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OneDrive_2022-05-17/02 CIPL/04 Substantive testing/01 Significant/01 Export Sales/02 Main working for significant Risk/"/>
    </mc:Choice>
  </mc:AlternateContent>
  <xr:revisionPtr revIDLastSave="10" documentId="13_ncr:1_{D93CFA16-AD01-47E9-AC88-58B4CFD7E62B}" xr6:coauthVersionLast="47" xr6:coauthVersionMax="47" xr10:uidLastSave="{082B0DE3-A89C-426F-934E-BBCFE9083F2C}"/>
  <bookViews>
    <workbookView xWindow="0" yWindow="380" windowWidth="19200" windowHeight="10200" xr2:uid="{00000000-000D-0000-FFFF-FFFF00000000}"/>
  </bookViews>
  <sheets>
    <sheet name="Sheet1" sheetId="6" r:id="rId1"/>
    <sheet name="ES 110-Total Population" sheetId="1" r:id="rId2"/>
    <sheet name="July 2021(7 days) Population" sheetId="5" state="hidden" r:id="rId3"/>
    <sheet name="Reversal" sheetId="2" r:id="rId4"/>
  </sheets>
  <definedNames>
    <definedName name="_xlnm._FilterDatabase" localSheetId="1" hidden="1">'ES 110-Total Population'!$A$1:$AE$3294</definedName>
  </definedNames>
  <calcPr calcId="191029" calcOnSave="0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10" i="6"/>
  <c r="F11" i="6"/>
  <c r="F12" i="6"/>
  <c r="F13" i="6"/>
  <c r="F14" i="6"/>
  <c r="F15" i="6"/>
  <c r="F4" i="6"/>
  <c r="M3296" i="1"/>
  <c r="N3287" i="1" l="1"/>
  <c r="N3289" i="1"/>
  <c r="N3291" i="1"/>
  <c r="N3293" i="1"/>
  <c r="N3275" i="1"/>
  <c r="N3277" i="1"/>
  <c r="N3279" i="1"/>
  <c r="N3281" i="1"/>
  <c r="N3283" i="1"/>
  <c r="N3285" i="1"/>
  <c r="N3267" i="1"/>
  <c r="N3269" i="1"/>
  <c r="N3271" i="1"/>
  <c r="N3273" i="1"/>
  <c r="N3265" i="1"/>
  <c r="N3264" i="1"/>
  <c r="N3260" i="1"/>
  <c r="N3255" i="1"/>
  <c r="N3257" i="1"/>
  <c r="N3259" i="1"/>
  <c r="N3253" i="1"/>
  <c r="N3251" i="1"/>
  <c r="N3248" i="1"/>
  <c r="N3246" i="1"/>
  <c r="N3245" i="1"/>
  <c r="N3243" i="1"/>
  <c r="N3230" i="1"/>
  <c r="N3232" i="1"/>
  <c r="N3234" i="1"/>
  <c r="N3236" i="1"/>
  <c r="N3238" i="1"/>
  <c r="N3240" i="1"/>
  <c r="N3242" i="1"/>
  <c r="N3227" i="1"/>
  <c r="N3226" i="1"/>
  <c r="N3224" i="1"/>
  <c r="N3217" i="1"/>
  <c r="N3219" i="1"/>
  <c r="N3221" i="1"/>
  <c r="N3216" i="1"/>
  <c r="N3212" i="1"/>
  <c r="N3210" i="1"/>
  <c r="N3209" i="1"/>
  <c r="N3208" i="1"/>
  <c r="N3206" i="1"/>
  <c r="N3199" i="1"/>
  <c r="N3201" i="1"/>
  <c r="N3203" i="1"/>
  <c r="N3197" i="1"/>
  <c r="N3192" i="1"/>
  <c r="N3194" i="1"/>
  <c r="N3191" i="1"/>
  <c r="N3189" i="1"/>
  <c r="N3183" i="1"/>
  <c r="N3185" i="1"/>
  <c r="N3187" i="1"/>
  <c r="N3168" i="1"/>
  <c r="N3170" i="1"/>
  <c r="N3172" i="1"/>
  <c r="N3174" i="1"/>
  <c r="N3176" i="1"/>
  <c r="N3178" i="1"/>
  <c r="N3180" i="1"/>
  <c r="N3167" i="1"/>
  <c r="N3165" i="1"/>
  <c r="N3163" i="1"/>
  <c r="N3162" i="1"/>
  <c r="N3159" i="1"/>
  <c r="N3157" i="1"/>
  <c r="N3156" i="1"/>
  <c r="N3147" i="1"/>
  <c r="N3149" i="1"/>
  <c r="N3151" i="1"/>
  <c r="N3153" i="1"/>
  <c r="N3145" i="1"/>
  <c r="N3143" i="1"/>
  <c r="N3141" i="1"/>
  <c r="N3134" i="1"/>
  <c r="N3136" i="1"/>
  <c r="N3138" i="1"/>
  <c r="N3129" i="1"/>
  <c r="N3131" i="1"/>
  <c r="N3133" i="1"/>
  <c r="N3127" i="1"/>
  <c r="N3125" i="1"/>
  <c r="N3123" i="1"/>
  <c r="N3121" i="1"/>
  <c r="N3120" i="1"/>
  <c r="N3117" i="1"/>
  <c r="N3116" i="1"/>
  <c r="N3113" i="1"/>
  <c r="N3106" i="1"/>
  <c r="N3108" i="1"/>
  <c r="N3110" i="1"/>
  <c r="N3105" i="1"/>
  <c r="N3103" i="1"/>
  <c r="N3101" i="1"/>
  <c r="N3100" i="1"/>
  <c r="N3098" i="1"/>
  <c r="N3095" i="1"/>
  <c r="N3093" i="1"/>
  <c r="N3091" i="1"/>
  <c r="N3090" i="1"/>
  <c r="N3087" i="1"/>
  <c r="N3085" i="1"/>
  <c r="N3083" i="1"/>
  <c r="N3081" i="1"/>
  <c r="N3078" i="1"/>
  <c r="N3075" i="1"/>
  <c r="N3077" i="1"/>
  <c r="N3074" i="1"/>
  <c r="N3070" i="1"/>
  <c r="N3069" i="1"/>
  <c r="N3067" i="1"/>
  <c r="N3065" i="1"/>
  <c r="N3063" i="1"/>
  <c r="N3061" i="1"/>
  <c r="N3059" i="1"/>
  <c r="N3057" i="1"/>
  <c r="N3053" i="1"/>
  <c r="N3055" i="1"/>
  <c r="N3051" i="1"/>
  <c r="N3048" i="1"/>
  <c r="N3047" i="1"/>
  <c r="N3045" i="1"/>
  <c r="N3043" i="1"/>
  <c r="N3041" i="1"/>
  <c r="N3039" i="1"/>
  <c r="N3037" i="1"/>
  <c r="N3035" i="1"/>
  <c r="N3033" i="1"/>
  <c r="N3032" i="1"/>
  <c r="N3029" i="1"/>
  <c r="N3028" i="1"/>
  <c r="N3025" i="1"/>
  <c r="N3023" i="1"/>
  <c r="N3022" i="1"/>
  <c r="N3019" i="1"/>
  <c r="N3017" i="1"/>
  <c r="N3015" i="1"/>
  <c r="N3013" i="1"/>
  <c r="N3011" i="1"/>
  <c r="N3009" i="1"/>
  <c r="N3007" i="1"/>
  <c r="N3005" i="1"/>
  <c r="N3003" i="1"/>
  <c r="N3001" i="1"/>
  <c r="N2998" i="1"/>
  <c r="N2997" i="1"/>
  <c r="N2995" i="1"/>
  <c r="N2993" i="1"/>
  <c r="N2991" i="1"/>
  <c r="N2990" i="1"/>
  <c r="N2987" i="1"/>
  <c r="N2985" i="1"/>
  <c r="N2983" i="1"/>
  <c r="N2981" i="1"/>
  <c r="N2979" i="1"/>
  <c r="N2977" i="1"/>
  <c r="N2976" i="1"/>
  <c r="N2973" i="1"/>
  <c r="N2971" i="1"/>
  <c r="N2969" i="1"/>
  <c r="N2967" i="1"/>
  <c r="N2965" i="1"/>
  <c r="N2963" i="1"/>
  <c r="N2961" i="1"/>
  <c r="N2959" i="1"/>
  <c r="N2957" i="1"/>
  <c r="N2955" i="1"/>
  <c r="N2953" i="1"/>
  <c r="N2951" i="1"/>
  <c r="N2948" i="1"/>
  <c r="N2947" i="1"/>
  <c r="N2945" i="1"/>
  <c r="N2943" i="1"/>
  <c r="N2941" i="1"/>
  <c r="N2939" i="1"/>
  <c r="N2935" i="1"/>
  <c r="N2937" i="1"/>
  <c r="N2933" i="1"/>
  <c r="N2931" i="1"/>
  <c r="N2929" i="1"/>
  <c r="N2927" i="1"/>
  <c r="N2925" i="1"/>
  <c r="N2923" i="1"/>
  <c r="N2922" i="1"/>
  <c r="N2918" i="1"/>
  <c r="N2917" i="1"/>
  <c r="N2915" i="1"/>
  <c r="N2914" i="1"/>
  <c r="N2911" i="1"/>
  <c r="N2909" i="1"/>
  <c r="N2907" i="1"/>
  <c r="N2905" i="1"/>
  <c r="N2904" i="1"/>
  <c r="N2901" i="1"/>
  <c r="N2900" i="1"/>
  <c r="N2897" i="1"/>
  <c r="N2895" i="1"/>
  <c r="N2893" i="1"/>
  <c r="N2891" i="1"/>
  <c r="N2890" i="1"/>
  <c r="N2887" i="1"/>
  <c r="N2885" i="1"/>
  <c r="N2883" i="1"/>
  <c r="N2881" i="1"/>
  <c r="N2879" i="1"/>
  <c r="N2877" i="1"/>
  <c r="N2875" i="1"/>
  <c r="N2873" i="1"/>
  <c r="N2871" i="1"/>
  <c r="N2869" i="1"/>
  <c r="N2867" i="1"/>
  <c r="N2865" i="1"/>
  <c r="N2863" i="1"/>
  <c r="N2861" i="1"/>
  <c r="N2859" i="1"/>
  <c r="N2857" i="1"/>
  <c r="N2855" i="1"/>
  <c r="N2853" i="1"/>
  <c r="N2851" i="1"/>
  <c r="N2849" i="1"/>
  <c r="N2847" i="1"/>
  <c r="N2845" i="1"/>
  <c r="N2843" i="1"/>
  <c r="N2841" i="1"/>
  <c r="N2839" i="1"/>
  <c r="N2837" i="1"/>
  <c r="N2835" i="1"/>
  <c r="N2833" i="1"/>
  <c r="N3286" i="1"/>
  <c r="N3288" i="1"/>
  <c r="N3290" i="1"/>
  <c r="N3292" i="1"/>
  <c r="N3294" i="1"/>
  <c r="N3276" i="1"/>
  <c r="N3278" i="1"/>
  <c r="N3280" i="1"/>
  <c r="N3282" i="1"/>
  <c r="N3284" i="1"/>
  <c r="N3266" i="1"/>
  <c r="N3268" i="1"/>
  <c r="N3270" i="1"/>
  <c r="N3272" i="1"/>
  <c r="N3274" i="1"/>
  <c r="N3263" i="1"/>
  <c r="N3262" i="1"/>
  <c r="N3261" i="1"/>
  <c r="N3256" i="1"/>
  <c r="N3258" i="1"/>
  <c r="N3254" i="1"/>
  <c r="N3250" i="1"/>
  <c r="N3252" i="1"/>
  <c r="N3249" i="1"/>
  <c r="N3247" i="1"/>
  <c r="N3244" i="1"/>
  <c r="N3229" i="1"/>
  <c r="N3231" i="1"/>
  <c r="N3233" i="1"/>
  <c r="N3235" i="1"/>
  <c r="N3237" i="1"/>
  <c r="N3239" i="1"/>
  <c r="N3241" i="1"/>
  <c r="N3228" i="1"/>
  <c r="N3225" i="1"/>
  <c r="N3223" i="1"/>
  <c r="N3222" i="1"/>
  <c r="N3218" i="1"/>
  <c r="N3220" i="1"/>
  <c r="N3215" i="1"/>
  <c r="N3214" i="1"/>
  <c r="N3213" i="1"/>
  <c r="N3211" i="1"/>
  <c r="N3207" i="1"/>
  <c r="N3205" i="1"/>
  <c r="N3198" i="1"/>
  <c r="N3200" i="1"/>
  <c r="N3202" i="1"/>
  <c r="N3204" i="1"/>
  <c r="N3196" i="1"/>
  <c r="N3193" i="1"/>
  <c r="N3195" i="1"/>
  <c r="N3190" i="1"/>
  <c r="N3182" i="1"/>
  <c r="N3184" i="1"/>
  <c r="N3186" i="1"/>
  <c r="N3188" i="1"/>
  <c r="N3169" i="1"/>
  <c r="N3171" i="1"/>
  <c r="N3173" i="1"/>
  <c r="N3175" i="1"/>
  <c r="N3177" i="1"/>
  <c r="N3179" i="1"/>
  <c r="N3181" i="1"/>
  <c r="N3164" i="1"/>
  <c r="N3166" i="1"/>
  <c r="N3161" i="1"/>
  <c r="N3160" i="1"/>
  <c r="N3158" i="1"/>
  <c r="N3155" i="1"/>
  <c r="N3146" i="1"/>
  <c r="N3148" i="1"/>
  <c r="N3150" i="1"/>
  <c r="N3152" i="1"/>
  <c r="N3154" i="1"/>
  <c r="N3144" i="1"/>
  <c r="N3140" i="1"/>
  <c r="N3142" i="1"/>
  <c r="N3135" i="1"/>
  <c r="N3137" i="1"/>
  <c r="N3139" i="1"/>
  <c r="N3130" i="1"/>
  <c r="N3132" i="1"/>
  <c r="N3128" i="1"/>
  <c r="N3126" i="1"/>
  <c r="N3124" i="1"/>
  <c r="N3122" i="1"/>
  <c r="N3119" i="1"/>
  <c r="N3118" i="1"/>
  <c r="N3115" i="1"/>
  <c r="N3114" i="1"/>
  <c r="N3112" i="1"/>
  <c r="N3107" i="1"/>
  <c r="N3109" i="1"/>
  <c r="N3111" i="1"/>
  <c r="N3104" i="1"/>
  <c r="N3102" i="1"/>
  <c r="N3099" i="1"/>
  <c r="N3097" i="1"/>
  <c r="N3096" i="1"/>
  <c r="N3094" i="1"/>
  <c r="N3092" i="1"/>
  <c r="N3089" i="1"/>
  <c r="N3088" i="1"/>
  <c r="N3086" i="1"/>
  <c r="N3084" i="1"/>
  <c r="N3082" i="1"/>
  <c r="N3080" i="1"/>
  <c r="N3079" i="1"/>
  <c r="N3076" i="1"/>
  <c r="N3073" i="1"/>
  <c r="N3072" i="1"/>
  <c r="N3071" i="1"/>
  <c r="N3068" i="1"/>
  <c r="N3066" i="1"/>
  <c r="N3064" i="1"/>
  <c r="N3060" i="1"/>
  <c r="N3062" i="1"/>
  <c r="N3058" i="1"/>
  <c r="N3056" i="1"/>
  <c r="N3054" i="1"/>
  <c r="N3052" i="1"/>
  <c r="N3050" i="1"/>
  <c r="N3049" i="1"/>
  <c r="N3046" i="1"/>
  <c r="N3044" i="1"/>
  <c r="N3042" i="1"/>
  <c r="N3040" i="1"/>
  <c r="N3038" i="1"/>
  <c r="N3036" i="1"/>
  <c r="N3034" i="1"/>
  <c r="N3031" i="1"/>
  <c r="N3030" i="1"/>
  <c r="N3027" i="1"/>
  <c r="N3026" i="1"/>
  <c r="N3024" i="1"/>
  <c r="N3021" i="1"/>
  <c r="N3020" i="1"/>
  <c r="N3018" i="1"/>
  <c r="N3016" i="1"/>
  <c r="N3014" i="1"/>
  <c r="N3012" i="1"/>
  <c r="N3010" i="1"/>
  <c r="N3008" i="1"/>
  <c r="N3006" i="1"/>
  <c r="N3004" i="1"/>
  <c r="N3002" i="1"/>
  <c r="N3000" i="1"/>
  <c r="N2999" i="1"/>
  <c r="N2996" i="1"/>
  <c r="N2994" i="1"/>
  <c r="N2992" i="1"/>
  <c r="N2989" i="1"/>
  <c r="N2988" i="1"/>
  <c r="N2986" i="1"/>
  <c r="N2984" i="1"/>
  <c r="N2982" i="1"/>
  <c r="N2980" i="1"/>
  <c r="N2978" i="1"/>
  <c r="N2975" i="1"/>
  <c r="N2974" i="1"/>
  <c r="N2972" i="1"/>
  <c r="N2970" i="1"/>
  <c r="N2968" i="1"/>
  <c r="N2966" i="1"/>
  <c r="N2964" i="1"/>
  <c r="N2962" i="1"/>
  <c r="N2960" i="1"/>
  <c r="N2958" i="1"/>
  <c r="N2956" i="1"/>
  <c r="N2954" i="1"/>
  <c r="N2952" i="1"/>
  <c r="N2950" i="1"/>
  <c r="N2949" i="1"/>
  <c r="N2946" i="1"/>
  <c r="N2944" i="1"/>
  <c r="N2942" i="1"/>
  <c r="N2940" i="1"/>
  <c r="N2938" i="1"/>
  <c r="N2936" i="1"/>
  <c r="N2934" i="1"/>
  <c r="N2932" i="1"/>
  <c r="N2930" i="1"/>
  <c r="N2928" i="1"/>
  <c r="N2926" i="1"/>
  <c r="N2924" i="1"/>
  <c r="N2921" i="1"/>
  <c r="N2920" i="1"/>
  <c r="N2919" i="1"/>
  <c r="N2916" i="1"/>
  <c r="N2913" i="1"/>
  <c r="N2912" i="1"/>
  <c r="N2910" i="1"/>
  <c r="N2908" i="1"/>
  <c r="N2906" i="1"/>
  <c r="N2903" i="1"/>
  <c r="N2902" i="1"/>
  <c r="N2899" i="1"/>
  <c r="N2896" i="1"/>
  <c r="N2898" i="1"/>
  <c r="N2894" i="1"/>
  <c r="N2892" i="1"/>
  <c r="N2889" i="1"/>
  <c r="N2888" i="1"/>
  <c r="N2886" i="1"/>
  <c r="N2884" i="1"/>
  <c r="N2882" i="1"/>
  <c r="N2880" i="1"/>
  <c r="N2878" i="1"/>
  <c r="N2876" i="1"/>
  <c r="N2874" i="1"/>
  <c r="N2872" i="1"/>
  <c r="N2870" i="1"/>
  <c r="N2868" i="1"/>
  <c r="N2866" i="1"/>
  <c r="N2864" i="1"/>
  <c r="N2862" i="1"/>
  <c r="N2860" i="1"/>
  <c r="N2858" i="1"/>
  <c r="N2856" i="1"/>
  <c r="N2854" i="1"/>
  <c r="N2852" i="1"/>
  <c r="N2850" i="1"/>
  <c r="N2848" i="1"/>
  <c r="N2846" i="1"/>
  <c r="N2844" i="1"/>
  <c r="N2842" i="1"/>
  <c r="N2840" i="1"/>
  <c r="N2838" i="1"/>
  <c r="N2836" i="1"/>
  <c r="N2834" i="1"/>
  <c r="N2832" i="1"/>
  <c r="N2830" i="1"/>
  <c r="N2828" i="1"/>
  <c r="N2825" i="1"/>
  <c r="N2822" i="1"/>
  <c r="N2824" i="1"/>
  <c r="N2820" i="1"/>
  <c r="N2819" i="1"/>
  <c r="N2813" i="1"/>
  <c r="N2815" i="1"/>
  <c r="N2812" i="1"/>
  <c r="N2810" i="1"/>
  <c r="N2808" i="1"/>
  <c r="N2806" i="1"/>
  <c r="N2803" i="1"/>
  <c r="N2802" i="1"/>
  <c r="N2800" i="1"/>
  <c r="N2798" i="1"/>
  <c r="N2796" i="1"/>
  <c r="N2795" i="1"/>
  <c r="N2792" i="1"/>
  <c r="N2790" i="1"/>
  <c r="N2788" i="1"/>
  <c r="N2786" i="1"/>
  <c r="N2781" i="1"/>
  <c r="N2829" i="1"/>
  <c r="N2826" i="1"/>
  <c r="N2821" i="1"/>
  <c r="N2817" i="1"/>
  <c r="N2816" i="1"/>
  <c r="N2809" i="1"/>
  <c r="N2805" i="1"/>
  <c r="N2801" i="1"/>
  <c r="N2797" i="1"/>
  <c r="N2793" i="1"/>
  <c r="N2789" i="1"/>
  <c r="N2785" i="1"/>
  <c r="N2783" i="1"/>
  <c r="N2780" i="1"/>
  <c r="N2778" i="1"/>
  <c r="N2776" i="1"/>
  <c r="N2774" i="1"/>
  <c r="N2772" i="1"/>
  <c r="N2770" i="1"/>
  <c r="N2768" i="1"/>
  <c r="N2766" i="1"/>
  <c r="N2763" i="1"/>
  <c r="N2762" i="1"/>
  <c r="N2760" i="1"/>
  <c r="N2758" i="1"/>
  <c r="N2756" i="1"/>
  <c r="N2754" i="1"/>
  <c r="N2752" i="1"/>
  <c r="N2749" i="1"/>
  <c r="N2748" i="1"/>
  <c r="N2746" i="1"/>
  <c r="N2744" i="1"/>
  <c r="N2742" i="1"/>
  <c r="N2740" i="1"/>
  <c r="N2738" i="1"/>
  <c r="N2736" i="1"/>
  <c r="N2734" i="1"/>
  <c r="N2733" i="1"/>
  <c r="N2731" i="1"/>
  <c r="N2728" i="1"/>
  <c r="N2726" i="1"/>
  <c r="N2724" i="1"/>
  <c r="N2720" i="1"/>
  <c r="N2722" i="1"/>
  <c r="N2718" i="1"/>
  <c r="N2716" i="1"/>
  <c r="N2714" i="1"/>
  <c r="N2712" i="1"/>
  <c r="N2710" i="1"/>
  <c r="N2708" i="1"/>
  <c r="N2706" i="1"/>
  <c r="N2705" i="1"/>
  <c r="N2702" i="1"/>
  <c r="N2700" i="1"/>
  <c r="N2698" i="1"/>
  <c r="N2696" i="1"/>
  <c r="N2692" i="1"/>
  <c r="N2694" i="1"/>
  <c r="N2690" i="1"/>
  <c r="N2689" i="1"/>
  <c r="N2686" i="1"/>
  <c r="N2684" i="1"/>
  <c r="N2683" i="1"/>
  <c r="N2680" i="1"/>
  <c r="N2678" i="1"/>
  <c r="N2677" i="1"/>
  <c r="N2674" i="1"/>
  <c r="N2672" i="1"/>
  <c r="N2670" i="1"/>
  <c r="N2668" i="1"/>
  <c r="N2666" i="1"/>
  <c r="N2664" i="1"/>
  <c r="N2662" i="1"/>
  <c r="N2661" i="1"/>
  <c r="N2658" i="1"/>
  <c r="N2657" i="1"/>
  <c r="N2654" i="1"/>
  <c r="N2652" i="1"/>
  <c r="N2651" i="1"/>
  <c r="N2648" i="1"/>
  <c r="N2646" i="1"/>
  <c r="N2644" i="1"/>
  <c r="N2642" i="1"/>
  <c r="N2640" i="1"/>
  <c r="N2638" i="1"/>
  <c r="N2636" i="1"/>
  <c r="N2634" i="1"/>
  <c r="N2632" i="1"/>
  <c r="N2630" i="1"/>
  <c r="N2628" i="1"/>
  <c r="N2626" i="1"/>
  <c r="N2625" i="1"/>
  <c r="N2622" i="1"/>
  <c r="N2620" i="1"/>
  <c r="N2618" i="1"/>
  <c r="N2616" i="1"/>
  <c r="N2614" i="1"/>
  <c r="N2612" i="1"/>
  <c r="N2610" i="1"/>
  <c r="N2608" i="1"/>
  <c r="N2606" i="1"/>
  <c r="N2604" i="1"/>
  <c r="N2602" i="1"/>
  <c r="N2600" i="1"/>
  <c r="N2598" i="1"/>
  <c r="N2597" i="1"/>
  <c r="N2594" i="1"/>
  <c r="N2592" i="1"/>
  <c r="N2589" i="1"/>
  <c r="N2588" i="1"/>
  <c r="N2586" i="1"/>
  <c r="N2584" i="1"/>
  <c r="N2583" i="1"/>
  <c r="N2580" i="1"/>
  <c r="N2578" i="1"/>
  <c r="N2576" i="1"/>
  <c r="N2574" i="1"/>
  <c r="N2572" i="1"/>
  <c r="N2570" i="1"/>
  <c r="N2568" i="1"/>
  <c r="N2565" i="1"/>
  <c r="N2564" i="1"/>
  <c r="N2562" i="1"/>
  <c r="N2560" i="1"/>
  <c r="N2556" i="1"/>
  <c r="N2558" i="1"/>
  <c r="N2554" i="1"/>
  <c r="N2552" i="1"/>
  <c r="N2550" i="1"/>
  <c r="N2548" i="1"/>
  <c r="N2546" i="1"/>
  <c r="N2545" i="1"/>
  <c r="N2542" i="1"/>
  <c r="N2540" i="1"/>
  <c r="N2539" i="1"/>
  <c r="N2536" i="1"/>
  <c r="N2534" i="1"/>
  <c r="N2532" i="1"/>
  <c r="N2529" i="1"/>
  <c r="N2528" i="1"/>
  <c r="N2526" i="1"/>
  <c r="N2524" i="1"/>
  <c r="N2522" i="1"/>
  <c r="N2520" i="1"/>
  <c r="N2518" i="1"/>
  <c r="N2516" i="1"/>
  <c r="N2514" i="1"/>
  <c r="N2511" i="1"/>
  <c r="N2510" i="1"/>
  <c r="N2507" i="1"/>
  <c r="N2506" i="1"/>
  <c r="N2504" i="1"/>
  <c r="N2502" i="1"/>
  <c r="N2500" i="1"/>
  <c r="N2498" i="1"/>
  <c r="N2496" i="1"/>
  <c r="N2494" i="1"/>
  <c r="N2492" i="1"/>
  <c r="N2489" i="1"/>
  <c r="N2488" i="1"/>
  <c r="N2486" i="1"/>
  <c r="N2484" i="1"/>
  <c r="N2480" i="1"/>
  <c r="N2482" i="1"/>
  <c r="N2478" i="1"/>
  <c r="N2476" i="1"/>
  <c r="N2474" i="1"/>
  <c r="N2472" i="1"/>
  <c r="N2470" i="1"/>
  <c r="N2468" i="1"/>
  <c r="N2466" i="1"/>
  <c r="N2465" i="1"/>
  <c r="N2462" i="1"/>
  <c r="N2459" i="1"/>
  <c r="N2458" i="1"/>
  <c r="N2456" i="1"/>
  <c r="N2454" i="1"/>
  <c r="N2452" i="1"/>
  <c r="N2449" i="1"/>
  <c r="N2448" i="1"/>
  <c r="N2446" i="1"/>
  <c r="N2444" i="1"/>
  <c r="N2443" i="1"/>
  <c r="N2440" i="1"/>
  <c r="N2438" i="1"/>
  <c r="N2437" i="1"/>
  <c r="N2434" i="1"/>
  <c r="N2432" i="1"/>
  <c r="N2430" i="1"/>
  <c r="N2428" i="1"/>
  <c r="N2426" i="1"/>
  <c r="N2423" i="1"/>
  <c r="N2422" i="1"/>
  <c r="N2420" i="1"/>
  <c r="N2418" i="1"/>
  <c r="N2415" i="1"/>
  <c r="N2414" i="1"/>
  <c r="N2412" i="1"/>
  <c r="N2410" i="1"/>
  <c r="N2408" i="1"/>
  <c r="N2406" i="1"/>
  <c r="N2404" i="1"/>
  <c r="N2402" i="1"/>
  <c r="N2400" i="1"/>
  <c r="N2398" i="1"/>
  <c r="N2395" i="1"/>
  <c r="N2394" i="1"/>
  <c r="N2392" i="1"/>
  <c r="N2390" i="1"/>
  <c r="N2388" i="1"/>
  <c r="N2386" i="1"/>
  <c r="N2384" i="1"/>
  <c r="N2382" i="1"/>
  <c r="N2380" i="1"/>
  <c r="N2378" i="1"/>
  <c r="N2376" i="1"/>
  <c r="N2374" i="1"/>
  <c r="N2372" i="1"/>
  <c r="N2370" i="1"/>
  <c r="N2368" i="1"/>
  <c r="N2366" i="1"/>
  <c r="N2364" i="1"/>
  <c r="N2363" i="1"/>
  <c r="N2360" i="1"/>
  <c r="N2358" i="1"/>
  <c r="N2356" i="1"/>
  <c r="N2354" i="1"/>
  <c r="N2352" i="1"/>
  <c r="N2350" i="1"/>
  <c r="N2348" i="1"/>
  <c r="N2346" i="1"/>
  <c r="N2344" i="1"/>
  <c r="N2342" i="1"/>
  <c r="N2340" i="1"/>
  <c r="N2338" i="1"/>
  <c r="N2336" i="1"/>
  <c r="N2334" i="1"/>
  <c r="N2332" i="1"/>
  <c r="N2330" i="1"/>
  <c r="N2328" i="1"/>
  <c r="N2326" i="1"/>
  <c r="N2324" i="1"/>
  <c r="N2322" i="1"/>
  <c r="N2320" i="1"/>
  <c r="N2318" i="1"/>
  <c r="N2316" i="1"/>
  <c r="N2314" i="1"/>
  <c r="N2312" i="1"/>
  <c r="N2310" i="1"/>
  <c r="N2308" i="1"/>
  <c r="N2306" i="1"/>
  <c r="N2304" i="1"/>
  <c r="N2302" i="1"/>
  <c r="N2300" i="1"/>
  <c r="N2298" i="1"/>
  <c r="N2296" i="1"/>
  <c r="N2831" i="1"/>
  <c r="N2827" i="1"/>
  <c r="N2823" i="1"/>
  <c r="N2818" i="1"/>
  <c r="N2814" i="1"/>
  <c r="N2811" i="1"/>
  <c r="N2807" i="1"/>
  <c r="N2804" i="1"/>
  <c r="N2799" i="1"/>
  <c r="N2794" i="1"/>
  <c r="N2791" i="1"/>
  <c r="N2787" i="1"/>
  <c r="N2782" i="1"/>
  <c r="N2784" i="1"/>
  <c r="N2779" i="1"/>
  <c r="N2777" i="1"/>
  <c r="N2775" i="1"/>
  <c r="N2773" i="1"/>
  <c r="N2771" i="1"/>
  <c r="N2769" i="1"/>
  <c r="N2767" i="1"/>
  <c r="N2765" i="1"/>
  <c r="N2764" i="1"/>
  <c r="N2761" i="1"/>
  <c r="N2759" i="1"/>
  <c r="N2757" i="1"/>
  <c r="N2755" i="1"/>
  <c r="N2753" i="1"/>
  <c r="N2751" i="1"/>
  <c r="N2750" i="1"/>
  <c r="N2747" i="1"/>
  <c r="N2745" i="1"/>
  <c r="N2743" i="1"/>
  <c r="N2741" i="1"/>
  <c r="N2739" i="1"/>
  <c r="N2737" i="1"/>
  <c r="N2735" i="1"/>
  <c r="N2732" i="1"/>
  <c r="N2730" i="1"/>
  <c r="N2729" i="1"/>
  <c r="N2727" i="1"/>
  <c r="N2725" i="1"/>
  <c r="N2723" i="1"/>
  <c r="N2721" i="1"/>
  <c r="N2719" i="1"/>
  <c r="N2717" i="1"/>
  <c r="N2715" i="1"/>
  <c r="N2711" i="1"/>
  <c r="N2713" i="1"/>
  <c r="N2709" i="1"/>
  <c r="N2707" i="1"/>
  <c r="N2704" i="1"/>
  <c r="N2703" i="1"/>
  <c r="N2701" i="1"/>
  <c r="N2699" i="1"/>
  <c r="N2697" i="1"/>
  <c r="N2695" i="1"/>
  <c r="N2693" i="1"/>
  <c r="N2691" i="1"/>
  <c r="N2688" i="1"/>
  <c r="N2687" i="1"/>
  <c r="N2685" i="1"/>
  <c r="N2682" i="1"/>
  <c r="N2681" i="1"/>
  <c r="N2679" i="1"/>
  <c r="N2676" i="1"/>
  <c r="N2675" i="1"/>
  <c r="N2673" i="1"/>
  <c r="N2671" i="1"/>
  <c r="N2669" i="1"/>
  <c r="N2667" i="1"/>
  <c r="N2665" i="1"/>
  <c r="N2663" i="1"/>
  <c r="N2660" i="1"/>
  <c r="N2659" i="1"/>
  <c r="N2656" i="1"/>
  <c r="N2655" i="1"/>
  <c r="N2653" i="1"/>
  <c r="N2650" i="1"/>
  <c r="N2649" i="1"/>
  <c r="N2647" i="1"/>
  <c r="N2645" i="1"/>
  <c r="N2643" i="1"/>
  <c r="N2641" i="1"/>
  <c r="N2639" i="1"/>
  <c r="N2637" i="1"/>
  <c r="N2635" i="1"/>
  <c r="N2633" i="1"/>
  <c r="N2631" i="1"/>
  <c r="N2629" i="1"/>
  <c r="N2627" i="1"/>
  <c r="N2624" i="1"/>
  <c r="N2623" i="1"/>
  <c r="N2619" i="1"/>
  <c r="N2621" i="1"/>
  <c r="N2617" i="1"/>
  <c r="N2615" i="1"/>
  <c r="N2613" i="1"/>
  <c r="N2611" i="1"/>
  <c r="N2609" i="1"/>
  <c r="N2607" i="1"/>
  <c r="N2605" i="1"/>
  <c r="N2603" i="1"/>
  <c r="N2601" i="1"/>
  <c r="N2599" i="1"/>
  <c r="N2596" i="1"/>
  <c r="N2595" i="1"/>
  <c r="N2593" i="1"/>
  <c r="N2591" i="1"/>
  <c r="N2590" i="1"/>
  <c r="N2587" i="1"/>
  <c r="N2585" i="1"/>
  <c r="N2582" i="1"/>
  <c r="N2581" i="1"/>
  <c r="N2579" i="1"/>
  <c r="N2577" i="1"/>
  <c r="N2575" i="1"/>
  <c r="N2573" i="1"/>
  <c r="N2571" i="1"/>
  <c r="N2569" i="1"/>
  <c r="N2567" i="1"/>
  <c r="N2566" i="1"/>
  <c r="N2563" i="1"/>
  <c r="N2561" i="1"/>
  <c r="N2559" i="1"/>
  <c r="N2557" i="1"/>
  <c r="N2555" i="1"/>
  <c r="N2553" i="1"/>
  <c r="N2551" i="1"/>
  <c r="N2549" i="1"/>
  <c r="N2547" i="1"/>
  <c r="N2544" i="1"/>
  <c r="N2543" i="1"/>
  <c r="N2541" i="1"/>
  <c r="N2538" i="1"/>
  <c r="N2537" i="1"/>
  <c r="N2535" i="1"/>
  <c r="N2533" i="1"/>
  <c r="N2531" i="1"/>
  <c r="N2530" i="1"/>
  <c r="N2527" i="1"/>
  <c r="N2525" i="1"/>
  <c r="N2523" i="1"/>
  <c r="N2521" i="1"/>
  <c r="N2519" i="1"/>
  <c r="N2517" i="1"/>
  <c r="N2515" i="1"/>
  <c r="N2513" i="1"/>
  <c r="N2512" i="1"/>
  <c r="N2509" i="1"/>
  <c r="N2508" i="1"/>
  <c r="N2505" i="1"/>
  <c r="N2503" i="1"/>
  <c r="N2501" i="1"/>
  <c r="N2499" i="1"/>
  <c r="N2497" i="1"/>
  <c r="N2495" i="1"/>
  <c r="N2493" i="1"/>
  <c r="N2491" i="1"/>
  <c r="N2490" i="1"/>
  <c r="N2487" i="1"/>
  <c r="N2485" i="1"/>
  <c r="N2483" i="1"/>
  <c r="N2481" i="1"/>
  <c r="N2479" i="1"/>
  <c r="N2477" i="1"/>
  <c r="N2475" i="1"/>
  <c r="N2473" i="1"/>
  <c r="N2471" i="1"/>
  <c r="N2469" i="1"/>
  <c r="N2467" i="1"/>
  <c r="N2464" i="1"/>
  <c r="N2463" i="1"/>
  <c r="N2461" i="1"/>
  <c r="N2460" i="1"/>
  <c r="N2457" i="1"/>
  <c r="N2455" i="1"/>
  <c r="N2453" i="1"/>
  <c r="N2451" i="1"/>
  <c r="N2450" i="1"/>
  <c r="N2447" i="1"/>
  <c r="N2445" i="1"/>
  <c r="N2442" i="1"/>
  <c r="N2441" i="1"/>
  <c r="N2439" i="1"/>
  <c r="N2436" i="1"/>
  <c r="N2435" i="1"/>
  <c r="N2433" i="1"/>
  <c r="N2431" i="1"/>
  <c r="N2429" i="1"/>
  <c r="N2427" i="1"/>
  <c r="N2425" i="1"/>
  <c r="N2424" i="1"/>
  <c r="N2421" i="1"/>
  <c r="N2419" i="1"/>
  <c r="N2417" i="1"/>
  <c r="N2416" i="1"/>
  <c r="N2413" i="1"/>
  <c r="N2411" i="1"/>
  <c r="N2409" i="1"/>
  <c r="N2407" i="1"/>
  <c r="N2405" i="1"/>
  <c r="N2403" i="1"/>
  <c r="N2401" i="1"/>
  <c r="N2399" i="1"/>
  <c r="N2397" i="1"/>
  <c r="N2396" i="1"/>
  <c r="N2393" i="1"/>
  <c r="N2391" i="1"/>
  <c r="N2389" i="1"/>
  <c r="N2387" i="1"/>
  <c r="N2385" i="1"/>
  <c r="N2383" i="1"/>
  <c r="N2381" i="1"/>
  <c r="N2377" i="1"/>
  <c r="N2379" i="1"/>
  <c r="N2375" i="1"/>
  <c r="N2373" i="1"/>
  <c r="N2371" i="1"/>
  <c r="N2369" i="1"/>
  <c r="N2367" i="1"/>
  <c r="N2365" i="1"/>
  <c r="N2362" i="1"/>
  <c r="N2361" i="1"/>
  <c r="N2359" i="1"/>
  <c r="N2357" i="1"/>
  <c r="N2355" i="1"/>
  <c r="N2353" i="1"/>
  <c r="N2351" i="1"/>
  <c r="N2349" i="1"/>
  <c r="N2347" i="1"/>
  <c r="N2345" i="1"/>
  <c r="N2343" i="1"/>
  <c r="N2341" i="1"/>
  <c r="N2339" i="1"/>
  <c r="N2337" i="1"/>
  <c r="N2335" i="1"/>
  <c r="N2333" i="1"/>
  <c r="N2331" i="1"/>
  <c r="N2329" i="1"/>
  <c r="N2327" i="1"/>
  <c r="N2325" i="1"/>
  <c r="N2323" i="1"/>
  <c r="N2321" i="1"/>
  <c r="N2319" i="1"/>
  <c r="N2317" i="1"/>
  <c r="N2315" i="1"/>
  <c r="N2313" i="1"/>
  <c r="N2311" i="1"/>
  <c r="N2309" i="1"/>
  <c r="N2307" i="1"/>
  <c r="N2305" i="1"/>
  <c r="N2303" i="1"/>
  <c r="N2301" i="1"/>
  <c r="N2299" i="1"/>
  <c r="N2297" i="1"/>
  <c r="N2295" i="1"/>
  <c r="N2293" i="1"/>
  <c r="N2292" i="1"/>
  <c r="N2289" i="1"/>
  <c r="N2288" i="1"/>
  <c r="N2285" i="1"/>
  <c r="N2283" i="1"/>
  <c r="N2281" i="1"/>
  <c r="N2279" i="1"/>
  <c r="N2275" i="1"/>
  <c r="N2277" i="1"/>
  <c r="N2273" i="1"/>
  <c r="N2271" i="1"/>
  <c r="N2269" i="1"/>
  <c r="N2267" i="1"/>
  <c r="N2265" i="1"/>
  <c r="N2263" i="1"/>
  <c r="N2261" i="1"/>
  <c r="N2259" i="1"/>
  <c r="N2258" i="1"/>
  <c r="N2255" i="1"/>
  <c r="N2253" i="1"/>
  <c r="N2251" i="1"/>
  <c r="N2248" i="1"/>
  <c r="N2247" i="1"/>
  <c r="N2245" i="1"/>
  <c r="N2243" i="1"/>
  <c r="N2241" i="1"/>
  <c r="N2239" i="1"/>
  <c r="N2237" i="1"/>
  <c r="N2235" i="1"/>
  <c r="N2233" i="1"/>
  <c r="N2291" i="1"/>
  <c r="N2287" i="1"/>
  <c r="N2284" i="1"/>
  <c r="N2278" i="1"/>
  <c r="N2276" i="1"/>
  <c r="N2272" i="1"/>
  <c r="N2268" i="1"/>
  <c r="N2264" i="1"/>
  <c r="N2260" i="1"/>
  <c r="N2256" i="1"/>
  <c r="N2252" i="1"/>
  <c r="N2249" i="1"/>
  <c r="N2244" i="1"/>
  <c r="N2240" i="1"/>
  <c r="N2236" i="1"/>
  <c r="N2232" i="1"/>
  <c r="N2230" i="1"/>
  <c r="N2229" i="1"/>
  <c r="N2226" i="1"/>
  <c r="N2224" i="1"/>
  <c r="N2222" i="1"/>
  <c r="N2220" i="1"/>
  <c r="N2218" i="1"/>
  <c r="N2216" i="1"/>
  <c r="N2214" i="1"/>
  <c r="N2212" i="1"/>
  <c r="N2210" i="1"/>
  <c r="N2208" i="1"/>
  <c r="N2206" i="1"/>
  <c r="N2204" i="1"/>
  <c r="N2202" i="1"/>
  <c r="N2200" i="1"/>
  <c r="N2198" i="1"/>
  <c r="N2196" i="1"/>
  <c r="N2194" i="1"/>
  <c r="N2192" i="1"/>
  <c r="N2190" i="1"/>
  <c r="N2188" i="1"/>
  <c r="N2186" i="1"/>
  <c r="N2184" i="1"/>
  <c r="N2182" i="1"/>
  <c r="N2179" i="1"/>
  <c r="N2178" i="1"/>
  <c r="N2176" i="1"/>
  <c r="N2174" i="1"/>
  <c r="N2171" i="1"/>
  <c r="N2170" i="1"/>
  <c r="N2168" i="1"/>
  <c r="N2166" i="1"/>
  <c r="N2164" i="1"/>
  <c r="N2162" i="1"/>
  <c r="N2160" i="1"/>
  <c r="N2158" i="1"/>
  <c r="N2156" i="1"/>
  <c r="N2154" i="1"/>
  <c r="N2152" i="1"/>
  <c r="N2150" i="1"/>
  <c r="N2148" i="1"/>
  <c r="N2146" i="1"/>
  <c r="N2144" i="1"/>
  <c r="N2143" i="1"/>
  <c r="N2140" i="1"/>
  <c r="N2138" i="1"/>
  <c r="N2136" i="1"/>
  <c r="N2134" i="1"/>
  <c r="N2132" i="1"/>
  <c r="N2131" i="1"/>
  <c r="N2128" i="1"/>
  <c r="N2126" i="1"/>
  <c r="N2124" i="1"/>
  <c r="N2122" i="1"/>
  <c r="N2120" i="1"/>
  <c r="N2118" i="1"/>
  <c r="N2116" i="1"/>
  <c r="N2114" i="1"/>
  <c r="N2112" i="1"/>
  <c r="N2110" i="1"/>
  <c r="N2108" i="1"/>
  <c r="N2106" i="1"/>
  <c r="N2104" i="1"/>
  <c r="N2103" i="1"/>
  <c r="N2100" i="1"/>
  <c r="N2098" i="1"/>
  <c r="N2096" i="1"/>
  <c r="N2094" i="1"/>
  <c r="N2092" i="1"/>
  <c r="N2090" i="1"/>
  <c r="N2088" i="1"/>
  <c r="N2086" i="1"/>
  <c r="N2084" i="1"/>
  <c r="N2082" i="1"/>
  <c r="N2080" i="1"/>
  <c r="N2078" i="1"/>
  <c r="N2076" i="1"/>
  <c r="N2074" i="1"/>
  <c r="N2072" i="1"/>
  <c r="N2070" i="1"/>
  <c r="N2068" i="1"/>
  <c r="N2066" i="1"/>
  <c r="N2062" i="1"/>
  <c r="N2064" i="1"/>
  <c r="N2060" i="1"/>
  <c r="N2058" i="1"/>
  <c r="N2057" i="1"/>
  <c r="N2054" i="1"/>
  <c r="N2052" i="1"/>
  <c r="N2050" i="1"/>
  <c r="N2048" i="1"/>
  <c r="N2046" i="1"/>
  <c r="N2044" i="1"/>
  <c r="N2042" i="1"/>
  <c r="N2040" i="1"/>
  <c r="N2038" i="1"/>
  <c r="N2036" i="1"/>
  <c r="N2034" i="1"/>
  <c r="N2031" i="1"/>
  <c r="N2030" i="1"/>
  <c r="N2028" i="1"/>
  <c r="N2026" i="1"/>
  <c r="N2024" i="1"/>
  <c r="N2022" i="1"/>
  <c r="N2020" i="1"/>
  <c r="N2018" i="1"/>
  <c r="N2016" i="1"/>
  <c r="N2014" i="1"/>
  <c r="N2012" i="1"/>
  <c r="N2010" i="1"/>
  <c r="N2008" i="1"/>
  <c r="N2006" i="1"/>
  <c r="N2004" i="1"/>
  <c r="N2002" i="1"/>
  <c r="N2000" i="1"/>
  <c r="N1999" i="1"/>
  <c r="N1996" i="1"/>
  <c r="N1994" i="1"/>
  <c r="N1992" i="1"/>
  <c r="N1990" i="1"/>
  <c r="N1988" i="1"/>
  <c r="N1986" i="1"/>
  <c r="N1984" i="1"/>
  <c r="N1982" i="1"/>
  <c r="N1980" i="1"/>
  <c r="N1978" i="1"/>
  <c r="N1976" i="1"/>
  <c r="N1974" i="1"/>
  <c r="N1972" i="1"/>
  <c r="N1970" i="1"/>
  <c r="N1968" i="1"/>
  <c r="N1966" i="1"/>
  <c r="N1964" i="1"/>
  <c r="N1962" i="1"/>
  <c r="N1959" i="1"/>
  <c r="N1958" i="1"/>
  <c r="N1956" i="1"/>
  <c r="N1954" i="1"/>
  <c r="N1952" i="1"/>
  <c r="N1950" i="1"/>
  <c r="N1948" i="1"/>
  <c r="N1945" i="1"/>
  <c r="N1944" i="1"/>
  <c r="N1942" i="1"/>
  <c r="N1941" i="1"/>
  <c r="N1938" i="1"/>
  <c r="N1936" i="1"/>
  <c r="N1934" i="1"/>
  <c r="N1932" i="1"/>
  <c r="N1931" i="1"/>
  <c r="N1928" i="1"/>
  <c r="N1927" i="1"/>
  <c r="N1924" i="1"/>
  <c r="N1922" i="1"/>
  <c r="N1920" i="1"/>
  <c r="N1918" i="1"/>
  <c r="N1916" i="1"/>
  <c r="N1914" i="1"/>
  <c r="N1912" i="1"/>
  <c r="N1910" i="1"/>
  <c r="N1908" i="1"/>
  <c r="N1906" i="1"/>
  <c r="N1904" i="1"/>
  <c r="N1902" i="1"/>
  <c r="N1900" i="1"/>
  <c r="N1898" i="1"/>
  <c r="N1896" i="1"/>
  <c r="N1894" i="1"/>
  <c r="N1892" i="1"/>
  <c r="N1890" i="1"/>
  <c r="N1888" i="1"/>
  <c r="N1887" i="1"/>
  <c r="N1884" i="1"/>
  <c r="N1882" i="1"/>
  <c r="N1880" i="1"/>
  <c r="N1878" i="1"/>
  <c r="N1876" i="1"/>
  <c r="N1874" i="1"/>
  <c r="N1872" i="1"/>
  <c r="N1870" i="1"/>
  <c r="N1868" i="1"/>
  <c r="N1866" i="1"/>
  <c r="N1864" i="1"/>
  <c r="N1862" i="1"/>
  <c r="N1860" i="1"/>
  <c r="N1858" i="1"/>
  <c r="N1856" i="1"/>
  <c r="N1854" i="1"/>
  <c r="N1852" i="1"/>
  <c r="N1850" i="1"/>
  <c r="N1848" i="1"/>
  <c r="N1846" i="1"/>
  <c r="N1844" i="1"/>
  <c r="N1842" i="1"/>
  <c r="N1840" i="1"/>
  <c r="N1838" i="1"/>
  <c r="N1836" i="1"/>
  <c r="N1834" i="1"/>
  <c r="N1832" i="1"/>
  <c r="N1830" i="1"/>
  <c r="N1828" i="1"/>
  <c r="N1826" i="1"/>
  <c r="N1824" i="1"/>
  <c r="N1822" i="1"/>
  <c r="N1820" i="1"/>
  <c r="N1819" i="1"/>
  <c r="N1816" i="1"/>
  <c r="N1814" i="1"/>
  <c r="N1810" i="1"/>
  <c r="N1812" i="1"/>
  <c r="N1808" i="1"/>
  <c r="N1806" i="1"/>
  <c r="N1804" i="1"/>
  <c r="N1802" i="1"/>
  <c r="N1800" i="1"/>
  <c r="N1798" i="1"/>
  <c r="N1796" i="1"/>
  <c r="N1794" i="1"/>
  <c r="N1792" i="1"/>
  <c r="N1790" i="1"/>
  <c r="N1788" i="1"/>
  <c r="N1786" i="1"/>
  <c r="N1784" i="1"/>
  <c r="N1782" i="1"/>
  <c r="N1780" i="1"/>
  <c r="N1778" i="1"/>
  <c r="N1776" i="1"/>
  <c r="N1774" i="1"/>
  <c r="N1772" i="1"/>
  <c r="N1770" i="1"/>
  <c r="N1768" i="1"/>
  <c r="N1766" i="1"/>
  <c r="N1764" i="1"/>
  <c r="N1762" i="1"/>
  <c r="N1760" i="1"/>
  <c r="N1758" i="1"/>
  <c r="N1756" i="1"/>
  <c r="N1754" i="1"/>
  <c r="N1752" i="1"/>
  <c r="N1750" i="1"/>
  <c r="N1748" i="1"/>
  <c r="N1746" i="1"/>
  <c r="N1744" i="1"/>
  <c r="N1742" i="1"/>
  <c r="N1740" i="1"/>
  <c r="N1738" i="1"/>
  <c r="N1736" i="1"/>
  <c r="N1734" i="1"/>
  <c r="N1732" i="1"/>
  <c r="N1730" i="1"/>
  <c r="N1728" i="1"/>
  <c r="N1726" i="1"/>
  <c r="N1724" i="1"/>
  <c r="N1722" i="1"/>
  <c r="N1720" i="1"/>
  <c r="N1718" i="1"/>
  <c r="N1716" i="1"/>
  <c r="N1714" i="1"/>
  <c r="N1712" i="1"/>
  <c r="N1710" i="1"/>
  <c r="N1708" i="1"/>
  <c r="N1706" i="1"/>
  <c r="N1704" i="1"/>
  <c r="N1702" i="1"/>
  <c r="N1700" i="1"/>
  <c r="N1698" i="1"/>
  <c r="N1696" i="1"/>
  <c r="N1694" i="1"/>
  <c r="N1692" i="1"/>
  <c r="N1690" i="1"/>
  <c r="N1688" i="1"/>
  <c r="N1686" i="1"/>
  <c r="N1684" i="1"/>
  <c r="N1682" i="1"/>
  <c r="N1680" i="1"/>
  <c r="N1678" i="1"/>
  <c r="N1676" i="1"/>
  <c r="N1674" i="1"/>
  <c r="N1672" i="1"/>
  <c r="N1670" i="1"/>
  <c r="N1668" i="1"/>
  <c r="N1666" i="1"/>
  <c r="N1663" i="1"/>
  <c r="N1662" i="1"/>
  <c r="N1659" i="1"/>
  <c r="N1658" i="1"/>
  <c r="N1656" i="1"/>
  <c r="N1654" i="1"/>
  <c r="N1652" i="1"/>
  <c r="N1650" i="1"/>
  <c r="N1648" i="1"/>
  <c r="N1646" i="1"/>
  <c r="N1644" i="1"/>
  <c r="N1642" i="1"/>
  <c r="N1640" i="1"/>
  <c r="N1638" i="1"/>
  <c r="N1636" i="1"/>
  <c r="N1634" i="1"/>
  <c r="N1632" i="1"/>
  <c r="N1630" i="1"/>
  <c r="N1628" i="1"/>
  <c r="N1626" i="1"/>
  <c r="N1624" i="1"/>
  <c r="N1622" i="1"/>
  <c r="N1620" i="1"/>
  <c r="N1618" i="1"/>
  <c r="N1616" i="1"/>
  <c r="N1614" i="1"/>
  <c r="N1612" i="1"/>
  <c r="N1610" i="1"/>
  <c r="N1608" i="1"/>
  <c r="N1606" i="1"/>
  <c r="N1604" i="1"/>
  <c r="N1602" i="1"/>
  <c r="N1600" i="1"/>
  <c r="N1598" i="1"/>
  <c r="N1597" i="1"/>
  <c r="N1594" i="1"/>
  <c r="N1592" i="1"/>
  <c r="N1590" i="1"/>
  <c r="N1588" i="1"/>
  <c r="N1586" i="1"/>
  <c r="N1584" i="1"/>
  <c r="N1582" i="1"/>
  <c r="N1580" i="1"/>
  <c r="N1578" i="1"/>
  <c r="N1576" i="1"/>
  <c r="N1574" i="1"/>
  <c r="N1572" i="1"/>
  <c r="N1570" i="1"/>
  <c r="N1568" i="1"/>
  <c r="N1565" i="1"/>
  <c r="N1563" i="1"/>
  <c r="N1561" i="1"/>
  <c r="N1559" i="1"/>
  <c r="N1558" i="1"/>
  <c r="N1555" i="1"/>
  <c r="N1553" i="1"/>
  <c r="N1551" i="1"/>
  <c r="N1549" i="1"/>
  <c r="N1547" i="1"/>
  <c r="N1545" i="1"/>
  <c r="N1543" i="1"/>
  <c r="N1541" i="1"/>
  <c r="N1539" i="1"/>
  <c r="N1537" i="1"/>
  <c r="N1535" i="1"/>
  <c r="N1533" i="1"/>
  <c r="N1531" i="1"/>
  <c r="N1529" i="1"/>
  <c r="N1527" i="1"/>
  <c r="N1525" i="1"/>
  <c r="N1523" i="1"/>
  <c r="N1521" i="1"/>
  <c r="N1519" i="1"/>
  <c r="N1517" i="1"/>
  <c r="N1515" i="1"/>
  <c r="N1513" i="1"/>
  <c r="N1511" i="1"/>
  <c r="N1509" i="1"/>
  <c r="N1507" i="1"/>
  <c r="N1505" i="1"/>
  <c r="N1503" i="1"/>
  <c r="N1500" i="1"/>
  <c r="N1499" i="1"/>
  <c r="N1497" i="1"/>
  <c r="N1495" i="1"/>
  <c r="N1493" i="1"/>
  <c r="N1491" i="1"/>
  <c r="N1489" i="1"/>
  <c r="N1487" i="1"/>
  <c r="N1485" i="1"/>
  <c r="N1483" i="1"/>
  <c r="N1481" i="1"/>
  <c r="N1479" i="1"/>
  <c r="N1477" i="1"/>
  <c r="N1475" i="1"/>
  <c r="N1473" i="1"/>
  <c r="N1471" i="1"/>
  <c r="N1469" i="1"/>
  <c r="N1467" i="1"/>
  <c r="N1465" i="1"/>
  <c r="N1463" i="1"/>
  <c r="N1461" i="1"/>
  <c r="N1459" i="1"/>
  <c r="N1457" i="1"/>
  <c r="N1455" i="1"/>
  <c r="N1453" i="1"/>
  <c r="N1451" i="1"/>
  <c r="N1449" i="1"/>
  <c r="N1447" i="1"/>
  <c r="N1445" i="1"/>
  <c r="N1443" i="1"/>
  <c r="N1441" i="1"/>
  <c r="N1439" i="1"/>
  <c r="N1437" i="1"/>
  <c r="N1435" i="1"/>
  <c r="N1433" i="1"/>
  <c r="N1431" i="1"/>
  <c r="N1429" i="1"/>
  <c r="N1427" i="1"/>
  <c r="N1425" i="1"/>
  <c r="N1423" i="1"/>
  <c r="N1421" i="1"/>
  <c r="N1419" i="1"/>
  <c r="N1417" i="1"/>
  <c r="N1416" i="1"/>
  <c r="N1413" i="1"/>
  <c r="N1411" i="1"/>
  <c r="N1409" i="1"/>
  <c r="N1407" i="1"/>
  <c r="N1405" i="1"/>
  <c r="N1403" i="1"/>
  <c r="N1401" i="1"/>
  <c r="N1399" i="1"/>
  <c r="N1397" i="1"/>
  <c r="N1395" i="1"/>
  <c r="N1393" i="1"/>
  <c r="N1391" i="1"/>
  <c r="N1389" i="1"/>
  <c r="N1387" i="1"/>
  <c r="N1385" i="1"/>
  <c r="N1383" i="1"/>
  <c r="N1381" i="1"/>
  <c r="N1379" i="1"/>
  <c r="N1377" i="1"/>
  <c r="N1375" i="1"/>
  <c r="N1373" i="1"/>
  <c r="N1370" i="1"/>
  <c r="N1369" i="1"/>
  <c r="N1367" i="1"/>
  <c r="N1365" i="1"/>
  <c r="N1363" i="1"/>
  <c r="N1361" i="1"/>
  <c r="N1359" i="1"/>
  <c r="N1357" i="1"/>
  <c r="N1355" i="1"/>
  <c r="N1353" i="1"/>
  <c r="N1351" i="1"/>
  <c r="N1349" i="1"/>
  <c r="N1347" i="1"/>
  <c r="N1345" i="1"/>
  <c r="N1343" i="1"/>
  <c r="N1341" i="1"/>
  <c r="N1339" i="1"/>
  <c r="N1337" i="1"/>
  <c r="N1335" i="1"/>
  <c r="N1333" i="1"/>
  <c r="N1331" i="1"/>
  <c r="N1329" i="1"/>
  <c r="N1327" i="1"/>
  <c r="N1325" i="1"/>
  <c r="N1323" i="1"/>
  <c r="N1321" i="1"/>
  <c r="N1319" i="1"/>
  <c r="N1317" i="1"/>
  <c r="N1315" i="1"/>
  <c r="N1313" i="1"/>
  <c r="N1311" i="1"/>
  <c r="N1309" i="1"/>
  <c r="N1307" i="1"/>
  <c r="N1305" i="1"/>
  <c r="N1303" i="1"/>
  <c r="N1301" i="1"/>
  <c r="N1299" i="1"/>
  <c r="N1297" i="1"/>
  <c r="N1295" i="1"/>
  <c r="N1293" i="1"/>
  <c r="N1291" i="1"/>
  <c r="N1289" i="1"/>
  <c r="N1287" i="1"/>
  <c r="N1285" i="1"/>
  <c r="N1283" i="1"/>
  <c r="N1281" i="1"/>
  <c r="N1279" i="1"/>
  <c r="N1277" i="1"/>
  <c r="N1275" i="1"/>
  <c r="N1273" i="1"/>
  <c r="N1271" i="1"/>
  <c r="N1269" i="1"/>
  <c r="N1267" i="1"/>
  <c r="N1265" i="1"/>
  <c r="N1263" i="1"/>
  <c r="N1261" i="1"/>
  <c r="N1259" i="1"/>
  <c r="N1257" i="1"/>
  <c r="N1255" i="1"/>
  <c r="N1253" i="1"/>
  <c r="N1251" i="1"/>
  <c r="N1249" i="1"/>
  <c r="N1247" i="1"/>
  <c r="N1245" i="1"/>
  <c r="N1243" i="1"/>
  <c r="N1241" i="1"/>
  <c r="N2294" i="1"/>
  <c r="N2290" i="1"/>
  <c r="N2286" i="1"/>
  <c r="N2282" i="1"/>
  <c r="N2280" i="1"/>
  <c r="N2274" i="1"/>
  <c r="N2270" i="1"/>
  <c r="N2266" i="1"/>
  <c r="N2262" i="1"/>
  <c r="N2257" i="1"/>
  <c r="N2254" i="1"/>
  <c r="N2250" i="1"/>
  <c r="N2246" i="1"/>
  <c r="N2242" i="1"/>
  <c r="N2238" i="1"/>
  <c r="N2234" i="1"/>
  <c r="N2231" i="1"/>
  <c r="N2228" i="1"/>
  <c r="N2227" i="1"/>
  <c r="N2225" i="1"/>
  <c r="N2223" i="1"/>
  <c r="N2221" i="1"/>
  <c r="N2219" i="1"/>
  <c r="N2217" i="1"/>
  <c r="N2215" i="1"/>
  <c r="N2213" i="1"/>
  <c r="N2211" i="1"/>
  <c r="N2209" i="1"/>
  <c r="N2207" i="1"/>
  <c r="N2205" i="1"/>
  <c r="N2203" i="1"/>
  <c r="N2201" i="1"/>
  <c r="N2199" i="1"/>
  <c r="N2197" i="1"/>
  <c r="N2195" i="1"/>
  <c r="N2193" i="1"/>
  <c r="N2191" i="1"/>
  <c r="N2189" i="1"/>
  <c r="N2187" i="1"/>
  <c r="N2185" i="1"/>
  <c r="N2183" i="1"/>
  <c r="N2181" i="1"/>
  <c r="N2180" i="1"/>
  <c r="N2177" i="1"/>
  <c r="N2175" i="1"/>
  <c r="N2173" i="1"/>
  <c r="N2172" i="1"/>
  <c r="N2169" i="1"/>
  <c r="N2167" i="1"/>
  <c r="N2165" i="1"/>
  <c r="N2163" i="1"/>
  <c r="N2161" i="1"/>
  <c r="N2159" i="1"/>
  <c r="N2157" i="1"/>
  <c r="N2155" i="1"/>
  <c r="N2153" i="1"/>
  <c r="N2151" i="1"/>
  <c r="N2149" i="1"/>
  <c r="N2147" i="1"/>
  <c r="N2145" i="1"/>
  <c r="N2142" i="1"/>
  <c r="N2141" i="1"/>
  <c r="N2139" i="1"/>
  <c r="N2137" i="1"/>
  <c r="N2135" i="1"/>
  <c r="N2133" i="1"/>
  <c r="N2130" i="1"/>
  <c r="N2129" i="1"/>
  <c r="N2127" i="1"/>
  <c r="N2125" i="1"/>
  <c r="N2123" i="1"/>
  <c r="N2121" i="1"/>
  <c r="N2119" i="1"/>
  <c r="N2117" i="1"/>
  <c r="N2115" i="1"/>
  <c r="N2113" i="1"/>
  <c r="N2111" i="1"/>
  <c r="N2109" i="1"/>
  <c r="N2107" i="1"/>
  <c r="N2105" i="1"/>
  <c r="N2102" i="1"/>
  <c r="N2101" i="1"/>
  <c r="N2099" i="1"/>
  <c r="N2097" i="1"/>
  <c r="N2095" i="1"/>
  <c r="N2093" i="1"/>
  <c r="N2091" i="1"/>
  <c r="N2089" i="1"/>
  <c r="N2087" i="1"/>
  <c r="N2085" i="1"/>
  <c r="N2083" i="1"/>
  <c r="N2081" i="1"/>
  <c r="N2079" i="1"/>
  <c r="N2077" i="1"/>
  <c r="N2075" i="1"/>
  <c r="N2073" i="1"/>
  <c r="N2071" i="1"/>
  <c r="N2069" i="1"/>
  <c r="N2067" i="1"/>
  <c r="N2065" i="1"/>
  <c r="N2063" i="1"/>
  <c r="N2061" i="1"/>
  <c r="N2059" i="1"/>
  <c r="N2056" i="1"/>
  <c r="N2055" i="1"/>
  <c r="N2053" i="1"/>
  <c r="N2051" i="1"/>
  <c r="N2049" i="1"/>
  <c r="N2047" i="1"/>
  <c r="N2045" i="1"/>
  <c r="N2043" i="1"/>
  <c r="N2041" i="1"/>
  <c r="N2039" i="1"/>
  <c r="N2037" i="1"/>
  <c r="N2035" i="1"/>
  <c r="N2033" i="1"/>
  <c r="N2032" i="1"/>
  <c r="N2029" i="1"/>
  <c r="N2027" i="1"/>
  <c r="N2025" i="1"/>
  <c r="N2023" i="1"/>
  <c r="N2021" i="1"/>
  <c r="N2019" i="1"/>
  <c r="N2017" i="1"/>
  <c r="N2015" i="1"/>
  <c r="N2013" i="1"/>
  <c r="N2011" i="1"/>
  <c r="N2009" i="1"/>
  <c r="N2007" i="1"/>
  <c r="N2005" i="1"/>
  <c r="N2003" i="1"/>
  <c r="N2001" i="1"/>
  <c r="N1998" i="1"/>
  <c r="N1997" i="1"/>
  <c r="N1995" i="1"/>
  <c r="N1993" i="1"/>
  <c r="N1991" i="1"/>
  <c r="N1989" i="1"/>
  <c r="N1987" i="1"/>
  <c r="N1985" i="1"/>
  <c r="N1983" i="1"/>
  <c r="N1981" i="1"/>
  <c r="N1979" i="1"/>
  <c r="N1977" i="1"/>
  <c r="N1975" i="1"/>
  <c r="N1973" i="1"/>
  <c r="N1971" i="1"/>
  <c r="N1969" i="1"/>
  <c r="N1967" i="1"/>
  <c r="N1965" i="1"/>
  <c r="N1963" i="1"/>
  <c r="N1961" i="1"/>
  <c r="N1960" i="1"/>
  <c r="N1957" i="1"/>
  <c r="N1955" i="1"/>
  <c r="N1953" i="1"/>
  <c r="N1951" i="1"/>
  <c r="N1949" i="1"/>
  <c r="N1947" i="1"/>
  <c r="N1946" i="1"/>
  <c r="N1943" i="1"/>
  <c r="N1940" i="1"/>
  <c r="N1939" i="1"/>
  <c r="N1937" i="1"/>
  <c r="N1935" i="1"/>
  <c r="N1933" i="1"/>
  <c r="N1930" i="1"/>
  <c r="N1929" i="1"/>
  <c r="N1926" i="1"/>
  <c r="N1925" i="1"/>
  <c r="N1923" i="1"/>
  <c r="N1921" i="1"/>
  <c r="N1919" i="1"/>
  <c r="N1917" i="1"/>
  <c r="N1915" i="1"/>
  <c r="N1913" i="1"/>
  <c r="N1911" i="1"/>
  <c r="N1909" i="1"/>
  <c r="N1907" i="1"/>
  <c r="N1905" i="1"/>
  <c r="N1903" i="1"/>
  <c r="N1901" i="1"/>
  <c r="N1899" i="1"/>
  <c r="N1897" i="1"/>
  <c r="N1895" i="1"/>
  <c r="N1893" i="1"/>
  <c r="N1891" i="1"/>
  <c r="N1889" i="1"/>
  <c r="N1886" i="1"/>
  <c r="N1885" i="1"/>
  <c r="N1883" i="1"/>
  <c r="N1881" i="1"/>
  <c r="N1879" i="1"/>
  <c r="N1877" i="1"/>
  <c r="N1875" i="1"/>
  <c r="N1873" i="1"/>
  <c r="N1871" i="1"/>
  <c r="N1869" i="1"/>
  <c r="N1867" i="1"/>
  <c r="N1865" i="1"/>
  <c r="N1863" i="1"/>
  <c r="N1861" i="1"/>
  <c r="N1859" i="1"/>
  <c r="N1857" i="1"/>
  <c r="N1855" i="1"/>
  <c r="N1853" i="1"/>
  <c r="N1851" i="1"/>
  <c r="N1849" i="1"/>
  <c r="N1847" i="1"/>
  <c r="N1845" i="1"/>
  <c r="N1843" i="1"/>
  <c r="N1841" i="1"/>
  <c r="N1839" i="1"/>
  <c r="N1837" i="1"/>
  <c r="N1835" i="1"/>
  <c r="N1833" i="1"/>
  <c r="N1831" i="1"/>
  <c r="N1829" i="1"/>
  <c r="N1827" i="1"/>
  <c r="N1825" i="1"/>
  <c r="N1823" i="1"/>
  <c r="N1821" i="1"/>
  <c r="N1818" i="1"/>
  <c r="N1817" i="1"/>
  <c r="N1815" i="1"/>
  <c r="N1813" i="1"/>
  <c r="N1811" i="1"/>
  <c r="N1809" i="1"/>
  <c r="N1807" i="1"/>
  <c r="N1805" i="1"/>
  <c r="N1803" i="1"/>
  <c r="N1801" i="1"/>
  <c r="N1799" i="1"/>
  <c r="N1797" i="1"/>
  <c r="N1795" i="1"/>
  <c r="N1793" i="1"/>
  <c r="N1791" i="1"/>
  <c r="N1789" i="1"/>
  <c r="N1787" i="1"/>
  <c r="N1785" i="1"/>
  <c r="N1783" i="1"/>
  <c r="N1781" i="1"/>
  <c r="N1779" i="1"/>
  <c r="N1777" i="1"/>
  <c r="N1775" i="1"/>
  <c r="N1773" i="1"/>
  <c r="N1771" i="1"/>
  <c r="N1769" i="1"/>
  <c r="N1767" i="1"/>
  <c r="N1765" i="1"/>
  <c r="N1763" i="1"/>
  <c r="N1761" i="1"/>
  <c r="N1759" i="1"/>
  <c r="N1757" i="1"/>
  <c r="N1755" i="1"/>
  <c r="N1753" i="1"/>
  <c r="N1751" i="1"/>
  <c r="N1749" i="1"/>
  <c r="N1747" i="1"/>
  <c r="N1745" i="1"/>
  <c r="N1743" i="1"/>
  <c r="N1741" i="1"/>
  <c r="N1739" i="1"/>
  <c r="N1737" i="1"/>
  <c r="N1735" i="1"/>
  <c r="N1733" i="1"/>
  <c r="N1731" i="1"/>
  <c r="N1729" i="1"/>
  <c r="N1727" i="1"/>
  <c r="N1725" i="1"/>
  <c r="N1723" i="1"/>
  <c r="N1721" i="1"/>
  <c r="N1719" i="1"/>
  <c r="N1717" i="1"/>
  <c r="N1715" i="1"/>
  <c r="N1713" i="1"/>
  <c r="N1711" i="1"/>
  <c r="N1709" i="1"/>
  <c r="N1707" i="1"/>
  <c r="N1705" i="1"/>
  <c r="N1703" i="1"/>
  <c r="N1701" i="1"/>
  <c r="N1699" i="1"/>
  <c r="N1697" i="1"/>
  <c r="N1695" i="1"/>
  <c r="N1693" i="1"/>
  <c r="N1691" i="1"/>
  <c r="N1689" i="1"/>
  <c r="N1687" i="1"/>
  <c r="N1685" i="1"/>
  <c r="N1683" i="1"/>
  <c r="N1681" i="1"/>
  <c r="N1679" i="1"/>
  <c r="N1677" i="1"/>
  <c r="N1675" i="1"/>
  <c r="N1673" i="1"/>
  <c r="N1671" i="1"/>
  <c r="N1669" i="1"/>
  <c r="N1667" i="1"/>
  <c r="N1665" i="1"/>
  <c r="N1664" i="1"/>
  <c r="N1661" i="1"/>
  <c r="N1660" i="1"/>
  <c r="N1657" i="1"/>
  <c r="N1655" i="1"/>
  <c r="N1653" i="1"/>
  <c r="N1651" i="1"/>
  <c r="N1649" i="1"/>
  <c r="N1647" i="1"/>
  <c r="N1645" i="1"/>
  <c r="N1643" i="1"/>
  <c r="N1641" i="1"/>
  <c r="N1639" i="1"/>
  <c r="N1637" i="1"/>
  <c r="N1635" i="1"/>
  <c r="N1633" i="1"/>
  <c r="N1631" i="1"/>
  <c r="N1629" i="1"/>
  <c r="N1627" i="1"/>
  <c r="N1625" i="1"/>
  <c r="N1623" i="1"/>
  <c r="N1621" i="1"/>
  <c r="N1619" i="1"/>
  <c r="N1617" i="1"/>
  <c r="N1615" i="1"/>
  <c r="N1613" i="1"/>
  <c r="N1611" i="1"/>
  <c r="N1609" i="1"/>
  <c r="N1607" i="1"/>
  <c r="N1605" i="1"/>
  <c r="N1603" i="1"/>
  <c r="N1601" i="1"/>
  <c r="N1599" i="1"/>
  <c r="N1596" i="1"/>
  <c r="N1595" i="1"/>
  <c r="N1593" i="1"/>
  <c r="N1591" i="1"/>
  <c r="N1589" i="1"/>
  <c r="N1587" i="1"/>
  <c r="N1585" i="1"/>
  <c r="N1583" i="1"/>
  <c r="N1581" i="1"/>
  <c r="N1579" i="1"/>
  <c r="N1577" i="1"/>
  <c r="N1575" i="1"/>
  <c r="N1573" i="1"/>
  <c r="N1571" i="1"/>
  <c r="N1569" i="1"/>
  <c r="N1567" i="1"/>
  <c r="N1566" i="1"/>
  <c r="N1564" i="1"/>
  <c r="N1562" i="1"/>
  <c r="N1560" i="1"/>
  <c r="N1557" i="1"/>
  <c r="N1556" i="1"/>
  <c r="N1554" i="1"/>
  <c r="N1552" i="1"/>
  <c r="N1550" i="1"/>
  <c r="N1548" i="1"/>
  <c r="N1546" i="1"/>
  <c r="N1544" i="1"/>
  <c r="N1542" i="1"/>
  <c r="N1540" i="1"/>
  <c r="N1538" i="1"/>
  <c r="N1536" i="1"/>
  <c r="N1534" i="1"/>
  <c r="N1532" i="1"/>
  <c r="N1530" i="1"/>
  <c r="N1528" i="1"/>
  <c r="N1526" i="1"/>
  <c r="N1524" i="1"/>
  <c r="N1522" i="1"/>
  <c r="N1520" i="1"/>
  <c r="N1518" i="1"/>
  <c r="N1516" i="1"/>
  <c r="N1514" i="1"/>
  <c r="N1512" i="1"/>
  <c r="N1510" i="1"/>
  <c r="N1508" i="1"/>
  <c r="N1506" i="1"/>
  <c r="N1504" i="1"/>
  <c r="N1502" i="1"/>
  <c r="N1501" i="1"/>
  <c r="N1498" i="1"/>
  <c r="N1496" i="1"/>
  <c r="N1494" i="1"/>
  <c r="N1492" i="1"/>
  <c r="N1490" i="1"/>
  <c r="N1488" i="1"/>
  <c r="N1486" i="1"/>
  <c r="N1484" i="1"/>
  <c r="N1482" i="1"/>
  <c r="N1480" i="1"/>
  <c r="N1478" i="1"/>
  <c r="N1476" i="1"/>
  <c r="N1474" i="1"/>
  <c r="N1472" i="1"/>
  <c r="N1470" i="1"/>
  <c r="N1468" i="1"/>
  <c r="N1466" i="1"/>
  <c r="N1464" i="1"/>
  <c r="N1462" i="1"/>
  <c r="N1460" i="1"/>
  <c r="N1458" i="1"/>
  <c r="N1456" i="1"/>
  <c r="N1454" i="1"/>
  <c r="N1452" i="1"/>
  <c r="N1450" i="1"/>
  <c r="N1448" i="1"/>
  <c r="N1446" i="1"/>
  <c r="N1444" i="1"/>
  <c r="N1442" i="1"/>
  <c r="N1440" i="1"/>
  <c r="N1438" i="1"/>
  <c r="N1436" i="1"/>
  <c r="N1434" i="1"/>
  <c r="N1432" i="1"/>
  <c r="N1430" i="1"/>
  <c r="N1428" i="1"/>
  <c r="N1426" i="1"/>
  <c r="N1424" i="1"/>
  <c r="N1422" i="1"/>
  <c r="N1420" i="1"/>
  <c r="N1418" i="1"/>
  <c r="N1415" i="1"/>
  <c r="N1414" i="1"/>
  <c r="N1412" i="1"/>
  <c r="N1410" i="1"/>
  <c r="N1408" i="1"/>
  <c r="N1406" i="1"/>
  <c r="N1404" i="1"/>
  <c r="N1402" i="1"/>
  <c r="N1400" i="1"/>
  <c r="N1398" i="1"/>
  <c r="N1396" i="1"/>
  <c r="N1394" i="1"/>
  <c r="N1392" i="1"/>
  <c r="N1390" i="1"/>
  <c r="N1388" i="1"/>
  <c r="N1386" i="1"/>
  <c r="N1384" i="1"/>
  <c r="N1382" i="1"/>
  <c r="N1380" i="1"/>
  <c r="N1378" i="1"/>
  <c r="N1376" i="1"/>
  <c r="N1374" i="1"/>
  <c r="N1372" i="1"/>
  <c r="N1371" i="1"/>
  <c r="N1368" i="1"/>
  <c r="N1366" i="1"/>
  <c r="N1364" i="1"/>
  <c r="N1362" i="1"/>
  <c r="N1360" i="1"/>
  <c r="N1358" i="1"/>
  <c r="N1356" i="1"/>
  <c r="N1354" i="1"/>
  <c r="N1352" i="1"/>
  <c r="N1350" i="1"/>
  <c r="N1348" i="1"/>
  <c r="N1346" i="1"/>
  <c r="N1344" i="1"/>
  <c r="N1342" i="1"/>
  <c r="N1340" i="1"/>
  <c r="N1338" i="1"/>
  <c r="N1336" i="1"/>
  <c r="N1334" i="1"/>
  <c r="N1332" i="1"/>
  <c r="N1330" i="1"/>
  <c r="N1328" i="1"/>
  <c r="N1326" i="1"/>
  <c r="N1324" i="1"/>
  <c r="N1322" i="1"/>
  <c r="N1320" i="1"/>
  <c r="N1318" i="1"/>
  <c r="N1316" i="1"/>
  <c r="N1314" i="1"/>
  <c r="N1312" i="1"/>
  <c r="N1310" i="1"/>
  <c r="N1308" i="1"/>
  <c r="N1306" i="1"/>
  <c r="N1304" i="1"/>
  <c r="N1302" i="1"/>
  <c r="N1300" i="1"/>
  <c r="N1298" i="1"/>
  <c r="N1296" i="1"/>
  <c r="N1294" i="1"/>
  <c r="N1292" i="1"/>
  <c r="N1290" i="1"/>
  <c r="N1288" i="1"/>
  <c r="N1286" i="1"/>
  <c r="N1284" i="1"/>
  <c r="N1282" i="1"/>
  <c r="N1280" i="1"/>
  <c r="N1278" i="1"/>
  <c r="N1276" i="1"/>
  <c r="N1274" i="1"/>
  <c r="N1272" i="1"/>
  <c r="N1270" i="1"/>
  <c r="N1268" i="1"/>
  <c r="N1266" i="1"/>
  <c r="N1264" i="1"/>
  <c r="N1262" i="1"/>
  <c r="N1260" i="1"/>
  <c r="N1258" i="1"/>
  <c r="N1256" i="1"/>
  <c r="N1254" i="1"/>
  <c r="N1252" i="1"/>
  <c r="N1250" i="1"/>
  <c r="N1248" i="1"/>
  <c r="N1246" i="1"/>
  <c r="N1244" i="1"/>
  <c r="N1242" i="1"/>
  <c r="N1239" i="1"/>
  <c r="N1237" i="1"/>
  <c r="N1235" i="1"/>
  <c r="N1233" i="1"/>
  <c r="N1231" i="1"/>
  <c r="N1229" i="1"/>
  <c r="N1227" i="1"/>
  <c r="N1225" i="1"/>
  <c r="N1223" i="1"/>
  <c r="N1221" i="1"/>
  <c r="N1219" i="1"/>
  <c r="N1217" i="1"/>
  <c r="N1215" i="1"/>
  <c r="N1213" i="1"/>
  <c r="N1211" i="1"/>
  <c r="N1209" i="1"/>
  <c r="N1207" i="1"/>
  <c r="N1205" i="1"/>
  <c r="N1203" i="1"/>
  <c r="N1201" i="1"/>
  <c r="N1199" i="1"/>
  <c r="N1197" i="1"/>
  <c r="N1195" i="1"/>
  <c r="N1193" i="1"/>
  <c r="N1191" i="1"/>
  <c r="N1189" i="1"/>
  <c r="N1187" i="1"/>
  <c r="N1185" i="1"/>
  <c r="N1183" i="1"/>
  <c r="N1181" i="1"/>
  <c r="N1179" i="1"/>
  <c r="N1177" i="1"/>
  <c r="N1175" i="1"/>
  <c r="N1173" i="1"/>
  <c r="N1171" i="1"/>
  <c r="N1169" i="1"/>
  <c r="N1167" i="1"/>
  <c r="N1165" i="1"/>
  <c r="N1162" i="1"/>
  <c r="N1160" i="1"/>
  <c r="N1159" i="1"/>
  <c r="N1157" i="1"/>
  <c r="N1155" i="1"/>
  <c r="N1152" i="1"/>
  <c r="N1151" i="1"/>
  <c r="N1149" i="1"/>
  <c r="N1147" i="1"/>
  <c r="N1145" i="1"/>
  <c r="N1143" i="1"/>
  <c r="N1141" i="1"/>
  <c r="N1139" i="1"/>
  <c r="N1137" i="1"/>
  <c r="N1135" i="1"/>
  <c r="N1133" i="1"/>
  <c r="N1131" i="1"/>
  <c r="N1129" i="1"/>
  <c r="N1127" i="1"/>
  <c r="N1125" i="1"/>
  <c r="N1123" i="1"/>
  <c r="N1121" i="1"/>
  <c r="N1119" i="1"/>
  <c r="N1117" i="1"/>
  <c r="N1115" i="1"/>
  <c r="N1113" i="1"/>
  <c r="N1111" i="1"/>
  <c r="N1109" i="1"/>
  <c r="N1107" i="1"/>
  <c r="N1105" i="1"/>
  <c r="N1103" i="1"/>
  <c r="N1101" i="1"/>
  <c r="N1099" i="1"/>
  <c r="N1097" i="1"/>
  <c r="N1095" i="1"/>
  <c r="N1093" i="1"/>
  <c r="N1091" i="1"/>
  <c r="N1090" i="1"/>
  <c r="N1087" i="1"/>
  <c r="N1085" i="1"/>
  <c r="N1083" i="1"/>
  <c r="N1080" i="1"/>
  <c r="N1079" i="1"/>
  <c r="N1077" i="1"/>
  <c r="N1075" i="1"/>
  <c r="N1073" i="1"/>
  <c r="N1071" i="1"/>
  <c r="N1069" i="1"/>
  <c r="N1067" i="1"/>
  <c r="N1065" i="1"/>
  <c r="N1063" i="1"/>
  <c r="N1061" i="1"/>
  <c r="N1059" i="1"/>
  <c r="N1057" i="1"/>
  <c r="N1055" i="1"/>
  <c r="N1053" i="1"/>
  <c r="N1051" i="1"/>
  <c r="N1049" i="1"/>
  <c r="N1047" i="1"/>
  <c r="N1045" i="1"/>
  <c r="N1043" i="1"/>
  <c r="N1041" i="1"/>
  <c r="N1039" i="1"/>
  <c r="N1037" i="1"/>
  <c r="N1035" i="1"/>
  <c r="N1033" i="1"/>
  <c r="N1031" i="1"/>
  <c r="N1029" i="1"/>
  <c r="N1027" i="1"/>
  <c r="N1025" i="1"/>
  <c r="N1023" i="1"/>
  <c r="N1021" i="1"/>
  <c r="N1019" i="1"/>
  <c r="N1017" i="1"/>
  <c r="N1015" i="1"/>
  <c r="N1013" i="1"/>
  <c r="N1011" i="1"/>
  <c r="N1009" i="1"/>
  <c r="N1007" i="1"/>
  <c r="N1005" i="1"/>
  <c r="N1003" i="1"/>
  <c r="N1001" i="1"/>
  <c r="N999" i="1"/>
  <c r="N997" i="1"/>
  <c r="N995" i="1"/>
  <c r="N993" i="1"/>
  <c r="N991" i="1"/>
  <c r="N989" i="1"/>
  <c r="N987" i="1"/>
  <c r="N985" i="1"/>
  <c r="N983" i="1"/>
  <c r="N981" i="1"/>
  <c r="N979" i="1"/>
  <c r="N977" i="1"/>
  <c r="N975" i="1"/>
  <c r="N973" i="1"/>
  <c r="N971" i="1"/>
  <c r="N969" i="1"/>
  <c r="N967" i="1"/>
  <c r="N965" i="1"/>
  <c r="N963" i="1"/>
  <c r="N961" i="1"/>
  <c r="N959" i="1"/>
  <c r="N957" i="1"/>
  <c r="N955" i="1"/>
  <c r="N953" i="1"/>
  <c r="N951" i="1"/>
  <c r="N949" i="1"/>
  <c r="N947" i="1"/>
  <c r="N945" i="1"/>
  <c r="N943" i="1"/>
  <c r="N941" i="1"/>
  <c r="N939" i="1"/>
  <c r="N938" i="1"/>
  <c r="N935" i="1"/>
  <c r="N933" i="1"/>
  <c r="N931" i="1"/>
  <c r="N929" i="1"/>
  <c r="N927" i="1"/>
  <c r="N925" i="1"/>
  <c r="N923" i="1"/>
  <c r="N921" i="1"/>
  <c r="N919" i="1"/>
  <c r="N917" i="1"/>
  <c r="N915" i="1"/>
  <c r="N913" i="1"/>
  <c r="N911" i="1"/>
  <c r="N909" i="1"/>
  <c r="N907" i="1"/>
  <c r="N905" i="1"/>
  <c r="N903" i="1"/>
  <c r="N901" i="1"/>
  <c r="N899" i="1"/>
  <c r="N897" i="1"/>
  <c r="N895" i="1"/>
  <c r="N893" i="1"/>
  <c r="N891" i="1"/>
  <c r="N889" i="1"/>
  <c r="N887" i="1"/>
  <c r="N885" i="1"/>
  <c r="N883" i="1"/>
  <c r="N881" i="1"/>
  <c r="N879" i="1"/>
  <c r="N877" i="1"/>
  <c r="N875" i="1"/>
  <c r="N873" i="1"/>
  <c r="N871" i="1"/>
  <c r="N869" i="1"/>
  <c r="N867" i="1"/>
  <c r="N865" i="1"/>
  <c r="N863" i="1"/>
  <c r="N861" i="1"/>
  <c r="N859" i="1"/>
  <c r="N857" i="1"/>
  <c r="N855" i="1"/>
  <c r="N853" i="1"/>
  <c r="N851" i="1"/>
  <c r="N849" i="1"/>
  <c r="N847" i="1"/>
  <c r="N845" i="1"/>
  <c r="N843" i="1"/>
  <c r="N841" i="1"/>
  <c r="N839" i="1"/>
  <c r="N837" i="1"/>
  <c r="N835" i="1"/>
  <c r="N833" i="1"/>
  <c r="N831" i="1"/>
  <c r="N829" i="1"/>
  <c r="N827" i="1"/>
  <c r="N825" i="1"/>
  <c r="N823" i="1"/>
  <c r="N821" i="1"/>
  <c r="N819" i="1"/>
  <c r="N817" i="1"/>
  <c r="N815" i="1"/>
  <c r="N813" i="1"/>
  <c r="N811" i="1"/>
  <c r="N809" i="1"/>
  <c r="N807" i="1"/>
  <c r="N805" i="1"/>
  <c r="N803" i="1"/>
  <c r="N801" i="1"/>
  <c r="N799" i="1"/>
  <c r="N797" i="1"/>
  <c r="N795" i="1"/>
  <c r="N793" i="1"/>
  <c r="N791" i="1"/>
  <c r="N789" i="1"/>
  <c r="N787" i="1"/>
  <c r="N785" i="1"/>
  <c r="N783" i="1"/>
  <c r="N781" i="1"/>
  <c r="N779" i="1"/>
  <c r="N777" i="1"/>
  <c r="N775" i="1"/>
  <c r="N773" i="1"/>
  <c r="N771" i="1"/>
  <c r="N769" i="1"/>
  <c r="N767" i="1"/>
  <c r="N765" i="1"/>
  <c r="N763" i="1"/>
  <c r="N761" i="1"/>
  <c r="N759" i="1"/>
  <c r="N757" i="1"/>
  <c r="N755" i="1"/>
  <c r="N753" i="1"/>
  <c r="N751" i="1"/>
  <c r="N749" i="1"/>
  <c r="N747" i="1"/>
  <c r="N746" i="1"/>
  <c r="N743" i="1"/>
  <c r="N741" i="1"/>
  <c r="N739" i="1"/>
  <c r="N737" i="1"/>
  <c r="N735" i="1"/>
  <c r="N733" i="1"/>
  <c r="N731" i="1"/>
  <c r="N729" i="1"/>
  <c r="N727" i="1"/>
  <c r="N725" i="1"/>
  <c r="N723" i="1"/>
  <c r="N721" i="1"/>
  <c r="N719" i="1"/>
  <c r="N717" i="1"/>
  <c r="N715" i="1"/>
  <c r="N713" i="1"/>
  <c r="N711" i="1"/>
  <c r="N709" i="1"/>
  <c r="N707" i="1"/>
  <c r="N705" i="1"/>
  <c r="N703" i="1"/>
  <c r="N701" i="1"/>
  <c r="N699" i="1"/>
  <c r="N697" i="1"/>
  <c r="N695" i="1"/>
  <c r="N693" i="1"/>
  <c r="N691" i="1"/>
  <c r="N689" i="1"/>
  <c r="N687" i="1"/>
  <c r="N685" i="1"/>
  <c r="N683" i="1"/>
  <c r="N681" i="1"/>
  <c r="N679" i="1"/>
  <c r="N677" i="1"/>
  <c r="N675" i="1"/>
  <c r="N673" i="1"/>
  <c r="N671" i="1"/>
  <c r="N669" i="1"/>
  <c r="N667" i="1"/>
  <c r="N665" i="1"/>
  <c r="N663" i="1"/>
  <c r="N661" i="1"/>
  <c r="N659" i="1"/>
  <c r="N657" i="1"/>
  <c r="N655" i="1"/>
  <c r="N653" i="1"/>
  <c r="N651" i="1"/>
  <c r="N649" i="1"/>
  <c r="N647" i="1"/>
  <c r="N645" i="1"/>
  <c r="N643" i="1"/>
  <c r="N641" i="1"/>
  <c r="N639" i="1"/>
  <c r="N637" i="1"/>
  <c r="N635" i="1"/>
  <c r="N633" i="1"/>
  <c r="N631" i="1"/>
  <c r="N629" i="1"/>
  <c r="N627" i="1"/>
  <c r="N625" i="1"/>
  <c r="N623" i="1"/>
  <c r="N621" i="1"/>
  <c r="N619" i="1"/>
  <c r="N617" i="1"/>
  <c r="N615" i="1"/>
  <c r="N613" i="1"/>
  <c r="N611" i="1"/>
  <c r="N609" i="1"/>
  <c r="N607" i="1"/>
  <c r="N604" i="1"/>
  <c r="N603" i="1"/>
  <c r="N601" i="1"/>
  <c r="N599" i="1"/>
  <c r="N597" i="1"/>
  <c r="N595" i="1"/>
  <c r="N593" i="1"/>
  <c r="N591" i="1"/>
  <c r="N589" i="1"/>
  <c r="N587" i="1"/>
  <c r="N585" i="1"/>
  <c r="N583" i="1"/>
  <c r="N581" i="1"/>
  <c r="N579" i="1"/>
  <c r="N577" i="1"/>
  <c r="N575" i="1"/>
  <c r="N573" i="1"/>
  <c r="N571" i="1"/>
  <c r="N567" i="1"/>
  <c r="N569" i="1"/>
  <c r="N565" i="1"/>
  <c r="N563" i="1"/>
  <c r="N561" i="1"/>
  <c r="N559" i="1"/>
  <c r="N557" i="1"/>
  <c r="N555" i="1"/>
  <c r="N553" i="1"/>
  <c r="N551" i="1"/>
  <c r="N549" i="1"/>
  <c r="N547" i="1"/>
  <c r="N545" i="1"/>
  <c r="N543" i="1"/>
  <c r="N541" i="1"/>
  <c r="N539" i="1"/>
  <c r="N537" i="1"/>
  <c r="N535" i="1"/>
  <c r="N533" i="1"/>
  <c r="N531" i="1"/>
  <c r="N529" i="1"/>
  <c r="N527" i="1"/>
  <c r="N525" i="1"/>
  <c r="N523" i="1"/>
  <c r="N521" i="1"/>
  <c r="N519" i="1"/>
  <c r="N517" i="1"/>
  <c r="N515" i="1"/>
  <c r="N513" i="1"/>
  <c r="N511" i="1"/>
  <c r="N509" i="1"/>
  <c r="N507" i="1"/>
  <c r="N505" i="1"/>
  <c r="N503" i="1"/>
  <c r="N501" i="1"/>
  <c r="N499" i="1"/>
  <c r="N497" i="1"/>
  <c r="N495" i="1"/>
  <c r="N493" i="1"/>
  <c r="N491" i="1"/>
  <c r="N489" i="1"/>
  <c r="N487" i="1"/>
  <c r="N485" i="1"/>
  <c r="N483" i="1"/>
  <c r="N481" i="1"/>
  <c r="N479" i="1"/>
  <c r="N477" i="1"/>
  <c r="N473" i="1"/>
  <c r="N475" i="1"/>
  <c r="N471" i="1"/>
  <c r="N469" i="1"/>
  <c r="N467" i="1"/>
  <c r="N465" i="1"/>
  <c r="N463" i="1"/>
  <c r="N461" i="1"/>
  <c r="N459" i="1"/>
  <c r="N457" i="1"/>
  <c r="N455" i="1"/>
  <c r="N453" i="1"/>
  <c r="N451" i="1"/>
  <c r="N449" i="1"/>
  <c r="N447" i="1"/>
  <c r="N445" i="1"/>
  <c r="N443" i="1"/>
  <c r="N441" i="1"/>
  <c r="N439" i="1"/>
  <c r="N437" i="1"/>
  <c r="N435" i="1"/>
  <c r="N433" i="1"/>
  <c r="N431" i="1"/>
  <c r="N429" i="1"/>
  <c r="N427" i="1"/>
  <c r="N425" i="1"/>
  <c r="N423" i="1"/>
  <c r="N421" i="1"/>
  <c r="N419" i="1"/>
  <c r="N417" i="1"/>
  <c r="N415" i="1"/>
  <c r="N413" i="1"/>
  <c r="N411" i="1"/>
  <c r="N408" i="1"/>
  <c r="N407" i="1"/>
  <c r="N405" i="1"/>
  <c r="N403" i="1"/>
  <c r="N401" i="1"/>
  <c r="N399" i="1"/>
  <c r="N397" i="1"/>
  <c r="N395" i="1"/>
  <c r="N393" i="1"/>
  <c r="N391" i="1"/>
  <c r="N389" i="1"/>
  <c r="N387" i="1"/>
  <c r="N385" i="1"/>
  <c r="N383" i="1"/>
  <c r="N381" i="1"/>
  <c r="N379" i="1"/>
  <c r="N377" i="1"/>
  <c r="N375" i="1"/>
  <c r="N373" i="1"/>
  <c r="N371" i="1"/>
  <c r="N369" i="1"/>
  <c r="N367" i="1"/>
  <c r="N365" i="1"/>
  <c r="N363" i="1"/>
  <c r="N361" i="1"/>
  <c r="N359" i="1"/>
  <c r="N357" i="1"/>
  <c r="N355" i="1"/>
  <c r="N353" i="1"/>
  <c r="N351" i="1"/>
  <c r="N349" i="1"/>
  <c r="N347" i="1"/>
  <c r="N345" i="1"/>
  <c r="N343" i="1"/>
  <c r="N341" i="1"/>
  <c r="N339" i="1"/>
  <c r="N337" i="1"/>
  <c r="N335" i="1"/>
  <c r="N333" i="1"/>
  <c r="N331" i="1"/>
  <c r="N329" i="1"/>
  <c r="N327" i="1"/>
  <c r="N325" i="1"/>
  <c r="N323" i="1"/>
  <c r="N321" i="1"/>
  <c r="N319" i="1"/>
  <c r="N317" i="1"/>
  <c r="N315" i="1"/>
  <c r="N313" i="1"/>
  <c r="N311" i="1"/>
  <c r="N309" i="1"/>
  <c r="N307" i="1"/>
  <c r="N305" i="1"/>
  <c r="N303" i="1"/>
  <c r="N301" i="1"/>
  <c r="N299" i="1"/>
  <c r="N297" i="1"/>
  <c r="N295" i="1"/>
  <c r="N293" i="1"/>
  <c r="N291" i="1"/>
  <c r="N289" i="1"/>
  <c r="N287" i="1"/>
  <c r="N285" i="1"/>
  <c r="N283" i="1"/>
  <c r="N281" i="1"/>
  <c r="N279" i="1"/>
  <c r="N277" i="1"/>
  <c r="N275" i="1"/>
  <c r="N273" i="1"/>
  <c r="N271" i="1"/>
  <c r="N269" i="1"/>
  <c r="N267" i="1"/>
  <c r="N265" i="1"/>
  <c r="N263" i="1"/>
  <c r="N261" i="1"/>
  <c r="N259" i="1"/>
  <c r="N257" i="1"/>
  <c r="N255" i="1"/>
  <c r="N253" i="1"/>
  <c r="N251" i="1"/>
  <c r="N249" i="1"/>
  <c r="N247" i="1"/>
  <c r="N245" i="1"/>
  <c r="N243" i="1"/>
  <c r="N241" i="1"/>
  <c r="N239" i="1"/>
  <c r="N237" i="1"/>
  <c r="N235" i="1"/>
  <c r="N233" i="1"/>
  <c r="N231" i="1"/>
  <c r="N229" i="1"/>
  <c r="N227" i="1"/>
  <c r="N225" i="1"/>
  <c r="N223" i="1"/>
  <c r="N221" i="1"/>
  <c r="N219" i="1"/>
  <c r="N217" i="1"/>
  <c r="N215" i="1"/>
  <c r="N213" i="1"/>
  <c r="N211" i="1"/>
  <c r="N209" i="1"/>
  <c r="N207" i="1"/>
  <c r="N205" i="1"/>
  <c r="N203" i="1"/>
  <c r="N201" i="1"/>
  <c r="N199" i="1"/>
  <c r="N197" i="1"/>
  <c r="N195" i="1"/>
  <c r="N193" i="1"/>
  <c r="N191" i="1"/>
  <c r="N189" i="1"/>
  <c r="N187" i="1"/>
  <c r="N185" i="1"/>
  <c r="N183" i="1"/>
  <c r="N181" i="1"/>
  <c r="N179" i="1"/>
  <c r="N177" i="1"/>
  <c r="N175" i="1"/>
  <c r="N173" i="1"/>
  <c r="N172" i="1"/>
  <c r="N169" i="1"/>
  <c r="N167" i="1"/>
  <c r="N165" i="1"/>
  <c r="N163" i="1"/>
  <c r="N161" i="1"/>
  <c r="N159" i="1"/>
  <c r="N157" i="1"/>
  <c r="N155" i="1"/>
  <c r="N153" i="1"/>
  <c r="N151" i="1"/>
  <c r="N149" i="1"/>
  <c r="N147" i="1"/>
  <c r="N145" i="1"/>
  <c r="N143" i="1"/>
  <c r="N141" i="1"/>
  <c r="N139" i="1"/>
  <c r="N137" i="1"/>
  <c r="N135" i="1"/>
  <c r="N133" i="1"/>
  <c r="N131" i="1"/>
  <c r="N129" i="1"/>
  <c r="N127" i="1"/>
  <c r="N125" i="1"/>
  <c r="N123" i="1"/>
  <c r="N121" i="1"/>
  <c r="N119" i="1"/>
  <c r="N117" i="1"/>
  <c r="N115" i="1"/>
  <c r="N113" i="1"/>
  <c r="N111" i="1"/>
  <c r="N109" i="1"/>
  <c r="N107" i="1"/>
  <c r="N103" i="1"/>
  <c r="N99" i="1"/>
  <c r="N95" i="1"/>
  <c r="N91" i="1"/>
  <c r="N87" i="1"/>
  <c r="N83" i="1"/>
  <c r="N79" i="1"/>
  <c r="N75" i="1"/>
  <c r="N71" i="1"/>
  <c r="N67" i="1"/>
  <c r="N63" i="1"/>
  <c r="N59" i="1"/>
  <c r="N55" i="1"/>
  <c r="N51" i="1"/>
  <c r="N47" i="1"/>
  <c r="N43" i="1"/>
  <c r="N39" i="1"/>
  <c r="N35" i="1"/>
  <c r="N31" i="1"/>
  <c r="N27" i="1"/>
  <c r="N23" i="1"/>
  <c r="N19" i="1"/>
  <c r="N15" i="1"/>
  <c r="N11" i="1"/>
  <c r="N9" i="1"/>
  <c r="N5" i="1"/>
  <c r="N1240" i="1"/>
  <c r="N1238" i="1"/>
  <c r="N1236" i="1"/>
  <c r="N1234" i="1"/>
  <c r="N1232" i="1"/>
  <c r="N1230" i="1"/>
  <c r="N1228" i="1"/>
  <c r="N1226" i="1"/>
  <c r="N1224" i="1"/>
  <c r="N1222" i="1"/>
  <c r="N1220" i="1"/>
  <c r="N1218" i="1"/>
  <c r="N1216" i="1"/>
  <c r="N1214" i="1"/>
  <c r="N1212" i="1"/>
  <c r="N1210" i="1"/>
  <c r="N1208" i="1"/>
  <c r="N1206" i="1"/>
  <c r="N1204" i="1"/>
  <c r="N1202" i="1"/>
  <c r="N1200" i="1"/>
  <c r="N1198" i="1"/>
  <c r="N1196" i="1"/>
  <c r="N1194" i="1"/>
  <c r="N1192" i="1"/>
  <c r="N1190" i="1"/>
  <c r="N1188" i="1"/>
  <c r="N1186" i="1"/>
  <c r="N1184" i="1"/>
  <c r="N1182" i="1"/>
  <c r="N1180" i="1"/>
  <c r="N1178" i="1"/>
  <c r="N1176" i="1"/>
  <c r="N1174" i="1"/>
  <c r="N1172" i="1"/>
  <c r="N1170" i="1"/>
  <c r="N1168" i="1"/>
  <c r="N1166" i="1"/>
  <c r="N1164" i="1"/>
  <c r="N1163" i="1"/>
  <c r="N1161" i="1"/>
  <c r="N1158" i="1"/>
  <c r="N1156" i="1"/>
  <c r="N1154" i="1"/>
  <c r="N1153" i="1"/>
  <c r="N1150" i="1"/>
  <c r="N1148" i="1"/>
  <c r="N1146" i="1"/>
  <c r="N1144" i="1"/>
  <c r="N1142" i="1"/>
  <c r="N1140" i="1"/>
  <c r="N1138" i="1"/>
  <c r="N1136" i="1"/>
  <c r="N1134" i="1"/>
  <c r="N1132" i="1"/>
  <c r="N1130" i="1"/>
  <c r="N1128" i="1"/>
  <c r="N1126" i="1"/>
  <c r="N1124" i="1"/>
  <c r="N1122" i="1"/>
  <c r="N1120" i="1"/>
  <c r="N1118" i="1"/>
  <c r="N1116" i="1"/>
  <c r="N1114" i="1"/>
  <c r="N1112" i="1"/>
  <c r="N1110" i="1"/>
  <c r="N1108" i="1"/>
  <c r="N1106" i="1"/>
  <c r="N1104" i="1"/>
  <c r="N1102" i="1"/>
  <c r="N1100" i="1"/>
  <c r="N1098" i="1"/>
  <c r="N1096" i="1"/>
  <c r="N1094" i="1"/>
  <c r="N1092" i="1"/>
  <c r="N1089" i="1"/>
  <c r="N1088" i="1"/>
  <c r="N1086" i="1"/>
  <c r="N1084" i="1"/>
  <c r="N1082" i="1"/>
  <c r="N1081" i="1"/>
  <c r="N1078" i="1"/>
  <c r="N1076" i="1"/>
  <c r="N1074" i="1"/>
  <c r="N1072" i="1"/>
  <c r="N1070" i="1"/>
  <c r="N1068" i="1"/>
  <c r="N1066" i="1"/>
  <c r="N1064" i="1"/>
  <c r="N1062" i="1"/>
  <c r="N1060" i="1"/>
  <c r="N1058" i="1"/>
  <c r="N1056" i="1"/>
  <c r="N1054" i="1"/>
  <c r="N1052" i="1"/>
  <c r="N1050" i="1"/>
  <c r="N1048" i="1"/>
  <c r="N1046" i="1"/>
  <c r="N1044" i="1"/>
  <c r="N1042" i="1"/>
  <c r="N1040" i="1"/>
  <c r="N1038" i="1"/>
  <c r="N1036" i="1"/>
  <c r="N1034" i="1"/>
  <c r="N1032" i="1"/>
  <c r="N1030" i="1"/>
  <c r="N1028" i="1"/>
  <c r="N1026" i="1"/>
  <c r="N1024" i="1"/>
  <c r="N1022" i="1"/>
  <c r="N1020" i="1"/>
  <c r="N1018" i="1"/>
  <c r="N1016" i="1"/>
  <c r="N1014" i="1"/>
  <c r="N1012" i="1"/>
  <c r="N1010" i="1"/>
  <c r="N1008" i="1"/>
  <c r="N1006" i="1"/>
  <c r="N1004" i="1"/>
  <c r="N1002" i="1"/>
  <c r="N1000" i="1"/>
  <c r="N998" i="1"/>
  <c r="N996" i="1"/>
  <c r="N994" i="1"/>
  <c r="N992" i="1"/>
  <c r="N990" i="1"/>
  <c r="N988" i="1"/>
  <c r="N986" i="1"/>
  <c r="N984" i="1"/>
  <c r="N982" i="1"/>
  <c r="N980" i="1"/>
  <c r="N978" i="1"/>
  <c r="N976" i="1"/>
  <c r="N974" i="1"/>
  <c r="N972" i="1"/>
  <c r="N970" i="1"/>
  <c r="N968" i="1"/>
  <c r="N966" i="1"/>
  <c r="N964" i="1"/>
  <c r="N962" i="1"/>
  <c r="N960" i="1"/>
  <c r="N958" i="1"/>
  <c r="N956" i="1"/>
  <c r="N954" i="1"/>
  <c r="N952" i="1"/>
  <c r="N950" i="1"/>
  <c r="N948" i="1"/>
  <c r="N946" i="1"/>
  <c r="N944" i="1"/>
  <c r="N942" i="1"/>
  <c r="N940" i="1"/>
  <c r="N937" i="1"/>
  <c r="N936" i="1"/>
  <c r="N934" i="1"/>
  <c r="N932" i="1"/>
  <c r="N930" i="1"/>
  <c r="N928" i="1"/>
  <c r="N926" i="1"/>
  <c r="N924" i="1"/>
  <c r="N922" i="1"/>
  <c r="N920" i="1"/>
  <c r="N918" i="1"/>
  <c r="N916" i="1"/>
  <c r="N914" i="1"/>
  <c r="N912" i="1"/>
  <c r="N910" i="1"/>
  <c r="N908" i="1"/>
  <c r="N906" i="1"/>
  <c r="N904" i="1"/>
  <c r="N902" i="1"/>
  <c r="N900" i="1"/>
  <c r="N898" i="1"/>
  <c r="N896" i="1"/>
  <c r="N894" i="1"/>
  <c r="N892" i="1"/>
  <c r="N890" i="1"/>
  <c r="N888" i="1"/>
  <c r="N886" i="1"/>
  <c r="N884" i="1"/>
  <c r="N882" i="1"/>
  <c r="N880" i="1"/>
  <c r="N878" i="1"/>
  <c r="N876" i="1"/>
  <c r="N874" i="1"/>
  <c r="N872" i="1"/>
  <c r="N870" i="1"/>
  <c r="N868" i="1"/>
  <c r="N866" i="1"/>
  <c r="N864" i="1"/>
  <c r="N862" i="1"/>
  <c r="N860" i="1"/>
  <c r="N858" i="1"/>
  <c r="N856" i="1"/>
  <c r="N854" i="1"/>
  <c r="N852" i="1"/>
  <c r="N850" i="1"/>
  <c r="N848" i="1"/>
  <c r="N846" i="1"/>
  <c r="N844" i="1"/>
  <c r="N842" i="1"/>
  <c r="N840" i="1"/>
  <c r="N838" i="1"/>
  <c r="N836" i="1"/>
  <c r="N834" i="1"/>
  <c r="N832" i="1"/>
  <c r="N830" i="1"/>
  <c r="N828" i="1"/>
  <c r="N826" i="1"/>
  <c r="N824" i="1"/>
  <c r="N822" i="1"/>
  <c r="N820" i="1"/>
  <c r="N818" i="1"/>
  <c r="N816" i="1"/>
  <c r="N814" i="1"/>
  <c r="N812" i="1"/>
  <c r="N810" i="1"/>
  <c r="N808" i="1"/>
  <c r="N806" i="1"/>
  <c r="N804" i="1"/>
  <c r="N802" i="1"/>
  <c r="N800" i="1"/>
  <c r="N798" i="1"/>
  <c r="N796" i="1"/>
  <c r="N794" i="1"/>
  <c r="N792" i="1"/>
  <c r="N790" i="1"/>
  <c r="N788" i="1"/>
  <c r="N786" i="1"/>
  <c r="N784" i="1"/>
  <c r="N782" i="1"/>
  <c r="N780" i="1"/>
  <c r="N778" i="1"/>
  <c r="N776" i="1"/>
  <c r="N774" i="1"/>
  <c r="N772" i="1"/>
  <c r="N770" i="1"/>
  <c r="N768" i="1"/>
  <c r="N766" i="1"/>
  <c r="N764" i="1"/>
  <c r="N762" i="1"/>
  <c r="N760" i="1"/>
  <c r="N758" i="1"/>
  <c r="N756" i="1"/>
  <c r="N754" i="1"/>
  <c r="N752" i="1"/>
  <c r="N750" i="1"/>
  <c r="N748" i="1"/>
  <c r="N745" i="1"/>
  <c r="N744" i="1"/>
  <c r="N742" i="1"/>
  <c r="N740" i="1"/>
  <c r="N738" i="1"/>
  <c r="N736" i="1"/>
  <c r="N734" i="1"/>
  <c r="N732" i="1"/>
  <c r="N730" i="1"/>
  <c r="N728" i="1"/>
  <c r="N726" i="1"/>
  <c r="N724" i="1"/>
  <c r="N722" i="1"/>
  <c r="N720" i="1"/>
  <c r="N718" i="1"/>
  <c r="N716" i="1"/>
  <c r="N714" i="1"/>
  <c r="N712" i="1"/>
  <c r="N710" i="1"/>
  <c r="N708" i="1"/>
  <c r="N706" i="1"/>
  <c r="N704" i="1"/>
  <c r="N702" i="1"/>
  <c r="N700" i="1"/>
  <c r="N698" i="1"/>
  <c r="N696" i="1"/>
  <c r="N694" i="1"/>
  <c r="N692" i="1"/>
  <c r="N690" i="1"/>
  <c r="N688" i="1"/>
  <c r="N686" i="1"/>
  <c r="N684" i="1"/>
  <c r="N682" i="1"/>
  <c r="N680" i="1"/>
  <c r="N678" i="1"/>
  <c r="N676" i="1"/>
  <c r="N674" i="1"/>
  <c r="N672" i="1"/>
  <c r="N670" i="1"/>
  <c r="N668" i="1"/>
  <c r="N666" i="1"/>
  <c r="N664" i="1"/>
  <c r="N662" i="1"/>
  <c r="N660" i="1"/>
  <c r="N658" i="1"/>
  <c r="N656" i="1"/>
  <c r="N654" i="1"/>
  <c r="N652" i="1"/>
  <c r="N650" i="1"/>
  <c r="N648" i="1"/>
  <c r="N646" i="1"/>
  <c r="N644" i="1"/>
  <c r="N642" i="1"/>
  <c r="N640" i="1"/>
  <c r="N638" i="1"/>
  <c r="N636" i="1"/>
  <c r="N634" i="1"/>
  <c r="N632" i="1"/>
  <c r="N630" i="1"/>
  <c r="N628" i="1"/>
  <c r="N626" i="1"/>
  <c r="N624" i="1"/>
  <c r="N622" i="1"/>
  <c r="N620" i="1"/>
  <c r="N618" i="1"/>
  <c r="N616" i="1"/>
  <c r="N614" i="1"/>
  <c r="N612" i="1"/>
  <c r="N610" i="1"/>
  <c r="N608" i="1"/>
  <c r="N606" i="1"/>
  <c r="N605" i="1"/>
  <c r="N602" i="1"/>
  <c r="N600" i="1"/>
  <c r="N598" i="1"/>
  <c r="N596" i="1"/>
  <c r="N594" i="1"/>
  <c r="N592" i="1"/>
  <c r="N590" i="1"/>
  <c r="N588" i="1"/>
  <c r="N586" i="1"/>
  <c r="N584" i="1"/>
  <c r="N582" i="1"/>
  <c r="N580" i="1"/>
  <c r="N578" i="1"/>
  <c r="N576" i="1"/>
  <c r="N574" i="1"/>
  <c r="N572" i="1"/>
  <c r="N570" i="1"/>
  <c r="N568" i="1"/>
  <c r="N566" i="1"/>
  <c r="N564" i="1"/>
  <c r="N562" i="1"/>
  <c r="N560" i="1"/>
  <c r="N558" i="1"/>
  <c r="N556" i="1"/>
  <c r="N554" i="1"/>
  <c r="N552" i="1"/>
  <c r="N550" i="1"/>
  <c r="N548" i="1"/>
  <c r="N546" i="1"/>
  <c r="N544" i="1"/>
  <c r="N542" i="1"/>
  <c r="N540" i="1"/>
  <c r="N538" i="1"/>
  <c r="N536" i="1"/>
  <c r="N534" i="1"/>
  <c r="N532" i="1"/>
  <c r="N530" i="1"/>
  <c r="N528" i="1"/>
  <c r="N526" i="1"/>
  <c r="N524" i="1"/>
  <c r="N522" i="1"/>
  <c r="N520" i="1"/>
  <c r="N518" i="1"/>
  <c r="N516" i="1"/>
  <c r="N514" i="1"/>
  <c r="N512" i="1"/>
  <c r="N510" i="1"/>
  <c r="N508" i="1"/>
  <c r="N506" i="1"/>
  <c r="N504" i="1"/>
  <c r="N502" i="1"/>
  <c r="N500" i="1"/>
  <c r="N498" i="1"/>
  <c r="N496" i="1"/>
  <c r="N494" i="1"/>
  <c r="N492" i="1"/>
  <c r="N490" i="1"/>
  <c r="N488" i="1"/>
  <c r="N486" i="1"/>
  <c r="N482" i="1"/>
  <c r="N484" i="1"/>
  <c r="N480" i="1"/>
  <c r="N478" i="1"/>
  <c r="N476" i="1"/>
  <c r="N474" i="1"/>
  <c r="N472" i="1"/>
  <c r="N470" i="1"/>
  <c r="N468" i="1"/>
  <c r="N466" i="1"/>
  <c r="N464" i="1"/>
  <c r="N462" i="1"/>
  <c r="N460" i="1"/>
  <c r="N458" i="1"/>
  <c r="N456" i="1"/>
  <c r="N454" i="1"/>
  <c r="N452" i="1"/>
  <c r="N450" i="1"/>
  <c r="N448" i="1"/>
  <c r="N446" i="1"/>
  <c r="N444" i="1"/>
  <c r="N442" i="1"/>
  <c r="N440" i="1"/>
  <c r="N438" i="1"/>
  <c r="N436" i="1"/>
  <c r="N434" i="1"/>
  <c r="N432" i="1"/>
  <c r="N430" i="1"/>
  <c r="N428" i="1"/>
  <c r="N426" i="1"/>
  <c r="N424" i="1"/>
  <c r="N422" i="1"/>
  <c r="N420" i="1"/>
  <c r="N418" i="1"/>
  <c r="N416" i="1"/>
  <c r="N414" i="1"/>
  <c r="N412" i="1"/>
  <c r="N410" i="1"/>
  <c r="N409" i="1"/>
  <c r="N406" i="1"/>
  <c r="N404" i="1"/>
  <c r="N402" i="1"/>
  <c r="N400" i="1"/>
  <c r="N398" i="1"/>
  <c r="N396" i="1"/>
  <c r="N394" i="1"/>
  <c r="N392" i="1"/>
  <c r="N390" i="1"/>
  <c r="N388" i="1"/>
  <c r="N386" i="1"/>
  <c r="N384" i="1"/>
  <c r="N382" i="1"/>
  <c r="N380" i="1"/>
  <c r="N378" i="1"/>
  <c r="N376" i="1"/>
  <c r="N374" i="1"/>
  <c r="N372" i="1"/>
  <c r="N370" i="1"/>
  <c r="N368" i="1"/>
  <c r="N366" i="1"/>
  <c r="N364" i="1"/>
  <c r="N362" i="1"/>
  <c r="N360" i="1"/>
  <c r="N358" i="1"/>
  <c r="N356" i="1"/>
  <c r="N354" i="1"/>
  <c r="N352" i="1"/>
  <c r="N350" i="1"/>
  <c r="N348" i="1"/>
  <c r="N346" i="1"/>
  <c r="N344" i="1"/>
  <c r="N342" i="1"/>
  <c r="N340" i="1"/>
  <c r="N338" i="1"/>
  <c r="N336" i="1"/>
  <c r="N334" i="1"/>
  <c r="N332" i="1"/>
  <c r="N330" i="1"/>
  <c r="N328" i="1"/>
  <c r="N326" i="1"/>
  <c r="N324" i="1"/>
  <c r="N322" i="1"/>
  <c r="N320" i="1"/>
  <c r="N318" i="1"/>
  <c r="N316" i="1"/>
  <c r="N314" i="1"/>
  <c r="N312" i="1"/>
  <c r="N310" i="1"/>
  <c r="N308" i="1"/>
  <c r="N306" i="1"/>
  <c r="N304" i="1"/>
  <c r="N302" i="1"/>
  <c r="N300" i="1"/>
  <c r="N298" i="1"/>
  <c r="N296" i="1"/>
  <c r="N294" i="1"/>
  <c r="N292" i="1"/>
  <c r="N290" i="1"/>
  <c r="N288" i="1"/>
  <c r="N286" i="1"/>
  <c r="N284" i="1"/>
  <c r="N282" i="1"/>
  <c r="N280" i="1"/>
  <c r="N278" i="1"/>
  <c r="N276" i="1"/>
  <c r="N274" i="1"/>
  <c r="N272" i="1"/>
  <c r="N270" i="1"/>
  <c r="N268" i="1"/>
  <c r="N266" i="1"/>
  <c r="N264" i="1"/>
  <c r="N262" i="1"/>
  <c r="N260" i="1"/>
  <c r="N258" i="1"/>
  <c r="N256" i="1"/>
  <c r="N254" i="1"/>
  <c r="N252" i="1"/>
  <c r="N250" i="1"/>
  <c r="N248" i="1"/>
  <c r="N246" i="1"/>
  <c r="N244" i="1"/>
  <c r="N242" i="1"/>
  <c r="N240" i="1"/>
  <c r="N238" i="1"/>
  <c r="N236" i="1"/>
  <c r="N234" i="1"/>
  <c r="N232" i="1"/>
  <c r="N230" i="1"/>
  <c r="N228" i="1"/>
  <c r="N226" i="1"/>
  <c r="N224" i="1"/>
  <c r="N222" i="1"/>
  <c r="N220" i="1"/>
  <c r="N218" i="1"/>
  <c r="N216" i="1"/>
  <c r="N214" i="1"/>
  <c r="N212" i="1"/>
  <c r="N210" i="1"/>
  <c r="N208" i="1"/>
  <c r="N206" i="1"/>
  <c r="N204" i="1"/>
  <c r="N202" i="1"/>
  <c r="N200" i="1"/>
  <c r="N198" i="1"/>
  <c r="N196" i="1"/>
  <c r="N194" i="1"/>
  <c r="N192" i="1"/>
  <c r="N190" i="1"/>
  <c r="N188" i="1"/>
  <c r="N186" i="1"/>
  <c r="N184" i="1"/>
  <c r="N182" i="1"/>
  <c r="N180" i="1"/>
  <c r="N178" i="1"/>
  <c r="N176" i="1"/>
  <c r="N174" i="1"/>
  <c r="N171" i="1"/>
  <c r="N170" i="1"/>
  <c r="N168" i="1"/>
  <c r="N166" i="1"/>
  <c r="N164" i="1"/>
  <c r="N162" i="1"/>
  <c r="N160" i="1"/>
  <c r="N158" i="1"/>
  <c r="N156" i="1"/>
  <c r="N154" i="1"/>
  <c r="N152" i="1"/>
  <c r="N150" i="1"/>
  <c r="N148" i="1"/>
  <c r="N146" i="1"/>
  <c r="N144" i="1"/>
  <c r="N142" i="1"/>
  <c r="N140" i="1"/>
  <c r="N138" i="1"/>
  <c r="N136" i="1"/>
  <c r="N134" i="1"/>
  <c r="N132" i="1"/>
  <c r="N130" i="1"/>
  <c r="N128" i="1"/>
  <c r="N126" i="1"/>
  <c r="N124" i="1"/>
  <c r="N122" i="1"/>
  <c r="N120" i="1"/>
  <c r="N118" i="1"/>
  <c r="N116" i="1"/>
  <c r="N114" i="1"/>
  <c r="N112" i="1"/>
  <c r="N110" i="1"/>
  <c r="N108" i="1"/>
  <c r="N106" i="1"/>
  <c r="N104" i="1"/>
  <c r="N102" i="1"/>
  <c r="N100" i="1"/>
  <c r="N98" i="1"/>
  <c r="N96" i="1"/>
  <c r="N94" i="1"/>
  <c r="N92" i="1"/>
  <c r="N90" i="1"/>
  <c r="N88" i="1"/>
  <c r="N86" i="1"/>
  <c r="N84" i="1"/>
  <c r="N82" i="1"/>
  <c r="N80" i="1"/>
  <c r="N78" i="1"/>
  <c r="N76" i="1"/>
  <c r="N74" i="1"/>
  <c r="N72" i="1"/>
  <c r="N70" i="1"/>
  <c r="N68" i="1"/>
  <c r="N66" i="1"/>
  <c r="N64" i="1"/>
  <c r="N62" i="1"/>
  <c r="N60" i="1"/>
  <c r="N58" i="1"/>
  <c r="N56" i="1"/>
  <c r="N54" i="1"/>
  <c r="N52" i="1"/>
  <c r="N50" i="1"/>
  <c r="N48" i="1"/>
  <c r="N46" i="1"/>
  <c r="N44" i="1"/>
  <c r="N42" i="1"/>
  <c r="N40" i="1"/>
  <c r="N38" i="1"/>
  <c r="N36" i="1"/>
  <c r="N34" i="1"/>
  <c r="N32" i="1"/>
  <c r="N30" i="1"/>
  <c r="N28" i="1"/>
  <c r="N26" i="1"/>
  <c r="N24" i="1"/>
  <c r="N22" i="1"/>
  <c r="N20" i="1"/>
  <c r="N18" i="1"/>
  <c r="N16" i="1"/>
  <c r="N14" i="1"/>
  <c r="N12" i="1"/>
  <c r="N10" i="1"/>
  <c r="N8" i="1"/>
  <c r="N6" i="1"/>
  <c r="N4" i="1"/>
  <c r="N2" i="1"/>
  <c r="N105" i="1"/>
  <c r="N101" i="1"/>
  <c r="N97" i="1"/>
  <c r="N93" i="1"/>
  <c r="N89" i="1"/>
  <c r="N85" i="1"/>
  <c r="N81" i="1"/>
  <c r="N77" i="1"/>
  <c r="N73" i="1"/>
  <c r="N69" i="1"/>
  <c r="N65" i="1"/>
  <c r="N61" i="1"/>
  <c r="N57" i="1"/>
  <c r="N53" i="1"/>
  <c r="N49" i="1"/>
  <c r="N45" i="1"/>
  <c r="N41" i="1"/>
  <c r="N37" i="1"/>
  <c r="N33" i="1"/>
  <c r="N29" i="1"/>
  <c r="N25" i="1"/>
  <c r="N21" i="1"/>
  <c r="N17" i="1"/>
  <c r="N13" i="1"/>
  <c r="N7" i="1"/>
  <c r="N3" i="1"/>
  <c r="O3028" i="1" l="1"/>
  <c r="O2171" i="1"/>
  <c r="O2381" i="1"/>
  <c r="O2118" i="1"/>
  <c r="O3107" i="1"/>
  <c r="O2891" i="1"/>
  <c r="O226" i="1"/>
  <c r="O3232" i="1"/>
  <c r="O3213" i="1"/>
  <c r="O2770" i="1"/>
  <c r="O2636" i="1"/>
  <c r="O2649" i="1"/>
  <c r="O2822" i="1"/>
  <c r="O2427" i="1"/>
  <c r="O3175" i="1"/>
  <c r="O3266" i="1"/>
  <c r="O3151" i="1"/>
  <c r="O3018" i="1"/>
  <c r="O2765" i="1"/>
  <c r="O2085" i="1"/>
  <c r="O2898" i="1"/>
  <c r="O2509" i="1"/>
  <c r="O2253" i="1"/>
  <c r="O2390" i="1"/>
  <c r="O3112" i="1"/>
  <c r="O2683" i="1"/>
  <c r="O848" i="1"/>
  <c r="O3269" i="1"/>
  <c r="O3209" i="1"/>
  <c r="O3140" i="1"/>
  <c r="O3079" i="1"/>
  <c r="O3229" i="1"/>
  <c r="O3168" i="1"/>
  <c r="O3093" i="1"/>
  <c r="O2960" i="1"/>
  <c r="O2834" i="1"/>
  <c r="O2706" i="1"/>
  <c r="O2955" i="1"/>
  <c r="O2829" i="1"/>
  <c r="O2701" i="1"/>
  <c r="O2573" i="1"/>
  <c r="O2445" i="1"/>
  <c r="O2317" i="1"/>
  <c r="O2186" i="1"/>
  <c r="O2518" i="1"/>
  <c r="O2262" i="1"/>
  <c r="O1870" i="1"/>
  <c r="O3091" i="1"/>
  <c r="O2941" i="1"/>
  <c r="O2444" i="1"/>
  <c r="O169" i="1"/>
  <c r="O3291" i="1"/>
  <c r="O3259" i="1"/>
  <c r="O3224" i="1"/>
  <c r="O3194" i="1"/>
  <c r="O3158" i="1"/>
  <c r="O3126" i="1"/>
  <c r="O3094" i="1"/>
  <c r="O3288" i="1"/>
  <c r="O3256" i="1"/>
  <c r="O3225" i="1"/>
  <c r="O3196" i="1"/>
  <c r="O3165" i="1"/>
  <c r="O3125" i="1"/>
  <c r="O3056" i="1"/>
  <c r="O2992" i="1"/>
  <c r="O2928" i="1"/>
  <c r="O2865" i="1"/>
  <c r="O2802" i="1"/>
  <c r="O2738" i="1"/>
  <c r="O3047" i="1"/>
  <c r="O2987" i="1"/>
  <c r="O2923" i="1"/>
  <c r="O2860" i="1"/>
  <c r="O2797" i="1"/>
  <c r="O2732" i="1"/>
  <c r="O2668" i="1"/>
  <c r="O2604" i="1"/>
  <c r="O2541" i="1"/>
  <c r="O2477" i="1"/>
  <c r="O2413" i="1"/>
  <c r="O2349" i="1"/>
  <c r="O2285" i="1"/>
  <c r="O2218" i="1"/>
  <c r="O2681" i="1"/>
  <c r="O2585" i="1"/>
  <c r="O2454" i="1"/>
  <c r="O2326" i="1"/>
  <c r="O2199" i="1"/>
  <c r="O1999" i="1"/>
  <c r="O3230" i="1"/>
  <c r="O3220" i="1"/>
  <c r="O2954" i="1"/>
  <c r="O2696" i="1"/>
  <c r="O2811" i="1"/>
  <c r="O2555" i="1"/>
  <c r="O2299" i="1"/>
  <c r="O2572" i="1"/>
  <c r="O2189" i="1"/>
  <c r="O1555" i="1"/>
  <c r="O850" i="1"/>
  <c r="O2380" i="1"/>
  <c r="O2617" i="1"/>
  <c r="O2550" i="1"/>
  <c r="O2486" i="1"/>
  <c r="O2422" i="1"/>
  <c r="O2358" i="1"/>
  <c r="O2294" i="1"/>
  <c r="O2231" i="1"/>
  <c r="O2150" i="1"/>
  <c r="O2064" i="1"/>
  <c r="O1934" i="1"/>
  <c r="O2073" i="1"/>
  <c r="O3173" i="1"/>
  <c r="O3276" i="1"/>
  <c r="O3156" i="1"/>
  <c r="O3017" i="1"/>
  <c r="O2889" i="1"/>
  <c r="O2760" i="1"/>
  <c r="O3005" i="1"/>
  <c r="O2878" i="1"/>
  <c r="O2747" i="1"/>
  <c r="O2618" i="1"/>
  <c r="O2491" i="1"/>
  <c r="O2362" i="1"/>
  <c r="O2236" i="1"/>
  <c r="O2635" i="1"/>
  <c r="O2507" i="1"/>
  <c r="O2316" i="1"/>
  <c r="O2044" i="1"/>
  <c r="O1812" i="1"/>
  <c r="O1587" i="1"/>
  <c r="O1381" i="1"/>
  <c r="O350" i="1"/>
  <c r="O285" i="1"/>
  <c r="O2252" i="1"/>
  <c r="O1941" i="1"/>
  <c r="O1940" i="1"/>
  <c r="O1682" i="1"/>
  <c r="O1311" i="1"/>
  <c r="O1895" i="1"/>
  <c r="O1382" i="1"/>
  <c r="O741" i="1"/>
  <c r="O883" i="1"/>
  <c r="O679" i="1"/>
  <c r="O2108" i="1"/>
  <c r="O1843" i="1"/>
  <c r="O949" i="1"/>
  <c r="O33" i="1"/>
  <c r="O424" i="1"/>
  <c r="O88" i="1"/>
  <c r="O296" i="1"/>
  <c r="O3281" i="1"/>
  <c r="O3264" i="1"/>
  <c r="O3246" i="1"/>
  <c r="O3240" i="1"/>
  <c r="O3221" i="1"/>
  <c r="O3201" i="1"/>
  <c r="O3185" i="1"/>
  <c r="O3164" i="1"/>
  <c r="O3150" i="1"/>
  <c r="O3139" i="1"/>
  <c r="O3118" i="1"/>
  <c r="O3102" i="1"/>
  <c r="O3086" i="1"/>
  <c r="O3069" i="1"/>
  <c r="O3278" i="1"/>
  <c r="O3274" i="1"/>
  <c r="O3252" i="1"/>
  <c r="O3237" i="1"/>
  <c r="O3218" i="1"/>
  <c r="O3198" i="1"/>
  <c r="O3182" i="1"/>
  <c r="O3176" i="1"/>
  <c r="O3157" i="1"/>
  <c r="O3141" i="1"/>
  <c r="O3108" i="1"/>
  <c r="O3075" i="1"/>
  <c r="O3042" i="1"/>
  <c r="O3008" i="1"/>
  <c r="O2975" i="1"/>
  <c r="O2944" i="1"/>
  <c r="O2912" i="1"/>
  <c r="O2881" i="1"/>
  <c r="O2850" i="1"/>
  <c r="O2819" i="1"/>
  <c r="O2786" i="1"/>
  <c r="O2754" i="1"/>
  <c r="O2720" i="1"/>
  <c r="O3065" i="1"/>
  <c r="O3034" i="1"/>
  <c r="O3003" i="1"/>
  <c r="O2971" i="1"/>
  <c r="O2939" i="1"/>
  <c r="O2907" i="1"/>
  <c r="O2876" i="1"/>
  <c r="O2845" i="1"/>
  <c r="O2816" i="1"/>
  <c r="O2784" i="1"/>
  <c r="O2750" i="1"/>
  <c r="O2717" i="1"/>
  <c r="O2684" i="1"/>
  <c r="O2652" i="1"/>
  <c r="O2620" i="1"/>
  <c r="O2588" i="1"/>
  <c r="O2557" i="1"/>
  <c r="O2525" i="1"/>
  <c r="O2493" i="1"/>
  <c r="O2461" i="1"/>
  <c r="O2429" i="1"/>
  <c r="O2397" i="1"/>
  <c r="O2365" i="1"/>
  <c r="O2333" i="1"/>
  <c r="O2301" i="1"/>
  <c r="O2269" i="1"/>
  <c r="O2234" i="1"/>
  <c r="O2202" i="1"/>
  <c r="O2170" i="1"/>
  <c r="O2665" i="1"/>
  <c r="O2633" i="1"/>
  <c r="O2601" i="1"/>
  <c r="O2565" i="1"/>
  <c r="O2534" i="1"/>
  <c r="O2502" i="1"/>
  <c r="O2470" i="1"/>
  <c r="O2438" i="1"/>
  <c r="O2406" i="1"/>
  <c r="O2374" i="1"/>
  <c r="O2342" i="1"/>
  <c r="O2310" i="1"/>
  <c r="O2280" i="1"/>
  <c r="O2246" i="1"/>
  <c r="O2215" i="1"/>
  <c r="O2166" i="1"/>
  <c r="O2134" i="1"/>
  <c r="O2094" i="1"/>
  <c r="O2030" i="1"/>
  <c r="O1966" i="1"/>
  <c r="O1902" i="1"/>
  <c r="O2137" i="1"/>
  <c r="O3267" i="1"/>
  <c r="O3208" i="1"/>
  <c r="O3144" i="1"/>
  <c r="O3080" i="1"/>
  <c r="O3250" i="1"/>
  <c r="O3184" i="1"/>
  <c r="O3123" i="1"/>
  <c r="O3054" i="1"/>
  <c r="O2986" i="1"/>
  <c r="O2921" i="1"/>
  <c r="O2856" i="1"/>
  <c r="O2792" i="1"/>
  <c r="O2728" i="1"/>
  <c r="O3036" i="1"/>
  <c r="O2973" i="1"/>
  <c r="O2909" i="1"/>
  <c r="O2843" i="1"/>
  <c r="O2779" i="1"/>
  <c r="O2715" i="1"/>
  <c r="O2651" i="1"/>
  <c r="O2586" i="1"/>
  <c r="O2523" i="1"/>
  <c r="O2460" i="1"/>
  <c r="O2396" i="1"/>
  <c r="O2331" i="1"/>
  <c r="O2267" i="1"/>
  <c r="O2204" i="1"/>
  <c r="O2667" i="1"/>
  <c r="O2603" i="1"/>
  <c r="O2540" i="1"/>
  <c r="O2476" i="1"/>
  <c r="O2412" i="1"/>
  <c r="O2348" i="1"/>
  <c r="O2284" i="1"/>
  <c r="O2221" i="1"/>
  <c r="O2140" i="1"/>
  <c r="O2076" i="1"/>
  <c r="O2004" i="1"/>
  <c r="O1876" i="1"/>
  <c r="O2005" i="1"/>
  <c r="O1877" i="1"/>
  <c r="O1746" i="1"/>
  <c r="O1618" i="1"/>
  <c r="O1459" i="1"/>
  <c r="O1715" i="1"/>
  <c r="O1460" i="1"/>
  <c r="O1103" i="1"/>
  <c r="O2151" i="1"/>
  <c r="O1636" i="1"/>
  <c r="O1637" i="1"/>
  <c r="O1105" i="1"/>
  <c r="O1204" i="1"/>
  <c r="O606" i="1"/>
  <c r="O485" i="1"/>
  <c r="O1142" i="1"/>
  <c r="O540" i="1"/>
  <c r="O551" i="1"/>
  <c r="O807" i="1"/>
  <c r="O158" i="1"/>
  <c r="O413" i="1"/>
  <c r="O668" i="1"/>
  <c r="O1011" i="1"/>
  <c r="O103" i="1"/>
  <c r="O355" i="1"/>
  <c r="O613" i="1"/>
  <c r="O9" i="1"/>
  <c r="O223" i="1"/>
  <c r="O478" i="1"/>
  <c r="O734" i="1"/>
  <c r="O1076" i="1"/>
  <c r="O1320" i="1"/>
  <c r="O978" i="1"/>
  <c r="O1233" i="1"/>
  <c r="O1510" i="1"/>
  <c r="O1765" i="1"/>
  <c r="O1509" i="1"/>
  <c r="O1764" i="1"/>
  <c r="O2023" i="1"/>
  <c r="O1318" i="1"/>
  <c r="O976" i="1"/>
  <c r="O1231" i="1"/>
  <c r="O1396" i="1"/>
  <c r="O1524" i="1"/>
  <c r="O1651" i="1"/>
  <c r="O1779" i="1"/>
  <c r="O1395" i="1"/>
  <c r="O1523" i="1"/>
  <c r="O1586" i="1"/>
  <c r="O1650" i="1"/>
  <c r="O1714" i="1"/>
  <c r="O1778" i="1"/>
  <c r="O1842" i="1"/>
  <c r="O1909" i="1"/>
  <c r="O1973" i="1"/>
  <c r="O2037" i="1"/>
  <c r="O2149" i="1"/>
  <c r="O1908" i="1"/>
  <c r="O1972" i="1"/>
  <c r="O2028" i="1"/>
  <c r="O2060" i="1"/>
  <c r="O2092" i="1"/>
  <c r="O2124" i="1"/>
  <c r="O2156" i="1"/>
  <c r="O2205" i="1"/>
  <c r="O2237" i="1"/>
  <c r="O2268" i="1"/>
  <c r="O2300" i="1"/>
  <c r="O2332" i="1"/>
  <c r="O2364" i="1"/>
  <c r="O2395" i="1"/>
  <c r="O2428" i="1"/>
  <c r="O2459" i="1"/>
  <c r="O2492" i="1"/>
  <c r="O2524" i="1"/>
  <c r="O2558" i="1"/>
  <c r="O2587" i="1"/>
  <c r="O2621" i="1"/>
  <c r="O2650" i="1"/>
  <c r="O2682" i="1"/>
  <c r="O2188" i="1"/>
  <c r="O2220" i="1"/>
  <c r="O2251" i="1"/>
  <c r="O2283" i="1"/>
  <c r="O2315" i="1"/>
  <c r="O2347" i="1"/>
  <c r="O2377" i="1"/>
  <c r="O2411" i="1"/>
  <c r="O2442" i="1"/>
  <c r="O2475" i="1"/>
  <c r="O2508" i="1"/>
  <c r="O2538" i="1"/>
  <c r="O2571" i="1"/>
  <c r="O2602" i="1"/>
  <c r="O2634" i="1"/>
  <c r="O2666" i="1"/>
  <c r="O2699" i="1"/>
  <c r="O2730" i="1"/>
  <c r="O2764" i="1"/>
  <c r="O2794" i="1"/>
  <c r="O2827" i="1"/>
  <c r="O2862" i="1"/>
  <c r="O2893" i="1"/>
  <c r="O2925" i="1"/>
  <c r="O2957" i="1"/>
  <c r="O2990" i="1"/>
  <c r="O3020" i="1"/>
  <c r="O3055" i="1"/>
  <c r="O2712" i="1"/>
  <c r="O2744" i="1"/>
  <c r="O2776" i="1"/>
  <c r="O2808" i="1"/>
  <c r="O2840" i="1"/>
  <c r="O2871" i="1"/>
  <c r="O2906" i="1"/>
  <c r="O2938" i="1"/>
  <c r="O2970" i="1"/>
  <c r="O3002" i="1"/>
  <c r="O3033" i="1"/>
  <c r="O3077" i="1"/>
  <c r="O3110" i="1"/>
  <c r="O3134" i="1"/>
  <c r="O3178" i="1"/>
  <c r="O3200" i="1"/>
  <c r="O3235" i="1"/>
  <c r="O3272" i="1"/>
  <c r="O3063" i="1"/>
  <c r="O3096" i="1"/>
  <c r="O3128" i="1"/>
  <c r="O3160" i="1"/>
  <c r="O3191" i="1"/>
  <c r="O3226" i="1"/>
  <c r="O3257" i="1"/>
  <c r="O3293" i="1"/>
  <c r="O2105" i="1"/>
  <c r="O2169" i="1"/>
  <c r="O1887" i="1"/>
  <c r="O1918" i="1"/>
  <c r="O1950" i="1"/>
  <c r="O1982" i="1"/>
  <c r="O2014" i="1"/>
  <c r="O2046" i="1"/>
  <c r="O2078" i="1"/>
  <c r="O2110" i="1"/>
  <c r="O2126" i="1"/>
  <c r="O2143" i="1"/>
  <c r="O2158" i="1"/>
  <c r="O2191" i="1"/>
  <c r="O2207" i="1"/>
  <c r="O2223" i="1"/>
  <c r="O2238" i="1"/>
  <c r="O2254" i="1"/>
  <c r="O2270" i="1"/>
  <c r="O2286" i="1"/>
  <c r="O2302" i="1"/>
  <c r="O2318" i="1"/>
  <c r="O2334" i="1"/>
  <c r="O2350" i="1"/>
  <c r="O2366" i="1"/>
  <c r="O2382" i="1"/>
  <c r="O2398" i="1"/>
  <c r="O2414" i="1"/>
  <c r="O2430" i="1"/>
  <c r="O2446" i="1"/>
  <c r="O2462" i="1"/>
  <c r="O2478" i="1"/>
  <c r="O2494" i="1"/>
  <c r="O2510" i="1"/>
  <c r="O2526" i="1"/>
  <c r="O2542" i="1"/>
  <c r="O2556" i="1"/>
  <c r="O2574" i="1"/>
  <c r="O2593" i="1"/>
  <c r="O2609" i="1"/>
  <c r="O2624" i="1"/>
  <c r="O2641" i="1"/>
  <c r="O2656" i="1"/>
  <c r="O2673" i="1"/>
  <c r="O2688" i="1"/>
  <c r="O2178" i="1"/>
  <c r="O2194" i="1"/>
  <c r="O2210" i="1"/>
  <c r="O2226" i="1"/>
  <c r="O2245" i="1"/>
  <c r="O2261" i="1"/>
  <c r="O2275" i="1"/>
  <c r="O2293" i="1"/>
  <c r="O2309" i="1"/>
  <c r="O2325" i="1"/>
  <c r="O2341" i="1"/>
  <c r="O2357" i="1"/>
  <c r="O2373" i="1"/>
  <c r="O2389" i="1"/>
  <c r="O2405" i="1"/>
  <c r="O2421" i="1"/>
  <c r="O2436" i="1"/>
  <c r="O2453" i="1"/>
  <c r="O2469" i="1"/>
  <c r="O2485" i="1"/>
  <c r="O2501" i="1"/>
  <c r="O2517" i="1"/>
  <c r="O2533" i="1"/>
  <c r="O2549" i="1"/>
  <c r="O2566" i="1"/>
  <c r="O2581" i="1"/>
  <c r="O2597" i="1"/>
  <c r="O2612" i="1"/>
  <c r="O2628" i="1"/>
  <c r="O2644" i="1"/>
  <c r="O2661" i="1"/>
  <c r="O2677" i="1"/>
  <c r="O2694" i="1"/>
  <c r="O2709" i="1"/>
  <c r="O2725" i="1"/>
  <c r="O2741" i="1"/>
  <c r="O2757" i="1"/>
  <c r="O2773" i="1"/>
  <c r="O2789" i="1"/>
  <c r="O2805" i="1"/>
  <c r="O2821" i="1"/>
  <c r="O2837" i="1"/>
  <c r="O2853" i="1"/>
  <c r="O2868" i="1"/>
  <c r="O2883" i="1"/>
  <c r="O2900" i="1"/>
  <c r="O2915" i="1"/>
  <c r="O2931" i="1"/>
  <c r="O2947" i="1"/>
  <c r="O2963" i="1"/>
  <c r="O2979" i="1"/>
  <c r="O2995" i="1"/>
  <c r="O3011" i="1"/>
  <c r="O3026" i="1"/>
  <c r="O3041" i="1"/>
  <c r="O3053" i="1"/>
  <c r="O2698" i="1"/>
  <c r="O2714" i="1"/>
  <c r="O2731" i="1"/>
  <c r="O2746" i="1"/>
  <c r="O2762" i="1"/>
  <c r="O2778" i="1"/>
  <c r="O2795" i="1"/>
  <c r="O2810" i="1"/>
  <c r="O2825" i="1"/>
  <c r="O2842" i="1"/>
  <c r="O2858" i="1"/>
  <c r="O2873" i="1"/>
  <c r="O2888" i="1"/>
  <c r="O2903" i="1"/>
  <c r="O2920" i="1"/>
  <c r="O2936" i="1"/>
  <c r="O2952" i="1"/>
  <c r="O2968" i="1"/>
  <c r="O2984" i="1"/>
  <c r="O3000" i="1"/>
  <c r="O3019" i="1"/>
  <c r="O3035" i="1"/>
  <c r="O3049" i="1"/>
  <c r="O3066" i="1"/>
  <c r="O3085" i="1"/>
  <c r="O3101" i="1"/>
  <c r="O3117" i="1"/>
  <c r="O3129" i="1"/>
  <c r="O3" i="1"/>
  <c r="O94" i="1"/>
  <c r="O290" i="1"/>
  <c r="O422" i="1"/>
  <c r="O542" i="1"/>
  <c r="O670" i="1"/>
  <c r="O786" i="1"/>
  <c r="O914" i="1"/>
  <c r="O1078" i="1"/>
  <c r="O29" i="1"/>
  <c r="O45" i="1"/>
  <c r="O61" i="1"/>
  <c r="O93" i="1"/>
  <c r="O10" i="1"/>
  <c r="O26" i="1"/>
  <c r="O78" i="1"/>
  <c r="O86" i="1"/>
  <c r="O102" i="1"/>
  <c r="O110" i="1"/>
  <c r="O118" i="1"/>
  <c r="O126" i="1"/>
  <c r="O142" i="1"/>
  <c r="O178" i="1"/>
  <c r="O194" i="1"/>
  <c r="O210" i="1"/>
  <c r="O242" i="1"/>
  <c r="O258" i="1"/>
  <c r="O274" i="1"/>
  <c r="O306" i="1"/>
  <c r="O322" i="1"/>
  <c r="O802" i="1"/>
  <c r="O818" i="1"/>
  <c r="O834" i="1"/>
  <c r="O866" i="1"/>
  <c r="O882" i="1"/>
  <c r="O898" i="1"/>
  <c r="O930" i="1"/>
  <c r="O946" i="1"/>
  <c r="O962" i="1"/>
  <c r="O994" i="1"/>
  <c r="O1010" i="1"/>
  <c r="O1026" i="1"/>
  <c r="O1158" i="1"/>
  <c r="O1174" i="1"/>
  <c r="O1190" i="1"/>
  <c r="O120" i="1"/>
  <c r="O151" i="1"/>
  <c r="O184" i="1"/>
  <c r="O216" i="1"/>
  <c r="O248" i="1"/>
  <c r="O280" i="1"/>
  <c r="O312" i="1"/>
  <c r="O343" i="1"/>
  <c r="O377" i="1"/>
  <c r="O409" i="1"/>
  <c r="O439" i="1"/>
  <c r="O471" i="1"/>
  <c r="O503" i="1"/>
  <c r="O535" i="1"/>
  <c r="O569" i="1"/>
  <c r="O599" i="1"/>
  <c r="O631" i="1"/>
  <c r="O663" i="1"/>
  <c r="O695" i="1"/>
  <c r="O727" i="1"/>
  <c r="O759" i="1"/>
  <c r="O791" i="1"/>
  <c r="O823" i="1"/>
  <c r="O855" i="1"/>
  <c r="O48" i="1"/>
  <c r="O79" i="1"/>
  <c r="O109" i="1"/>
  <c r="O140" i="1"/>
  <c r="O205" i="1"/>
  <c r="O237" i="1"/>
  <c r="O269" i="1"/>
  <c r="O301" i="1"/>
  <c r="O332" i="1"/>
  <c r="O397" i="1"/>
  <c r="O429" i="1"/>
  <c r="O460" i="1"/>
  <c r="O492" i="1"/>
  <c r="O524" i="1"/>
  <c r="O556" i="1"/>
  <c r="O588" i="1"/>
  <c r="O620" i="1"/>
  <c r="O652" i="1"/>
  <c r="O684" i="1"/>
  <c r="O716" i="1"/>
  <c r="O748" i="1"/>
  <c r="O867" i="1"/>
  <c r="O899" i="1"/>
  <c r="O931" i="1"/>
  <c r="O963" i="1"/>
  <c r="O995" i="1"/>
  <c r="O11" i="1"/>
  <c r="O63" i="1"/>
  <c r="O149" i="1"/>
  <c r="O341" i="1"/>
  <c r="O371" i="1"/>
  <c r="O437" i="1"/>
  <c r="O469" i="1"/>
  <c r="O501" i="1"/>
  <c r="O533" i="1"/>
  <c r="O565" i="1"/>
  <c r="O597" i="1"/>
  <c r="O629" i="1"/>
  <c r="O661" i="1"/>
  <c r="O693" i="1"/>
  <c r="O725" i="1"/>
  <c r="O757" i="1"/>
  <c r="O789" i="1"/>
  <c r="O821" i="1"/>
  <c r="O853" i="1"/>
  <c r="O49" i="1"/>
  <c r="O4" i="1"/>
  <c r="O39" i="1"/>
  <c r="O73" i="1"/>
  <c r="O104" i="1"/>
  <c r="O171" i="1"/>
  <c r="O207" i="1"/>
  <c r="O239" i="1"/>
  <c r="O271" i="1"/>
  <c r="O303" i="1"/>
  <c r="O364" i="1"/>
  <c r="O395" i="1"/>
  <c r="O427" i="1"/>
  <c r="O869" i="1"/>
  <c r="O901" i="1"/>
  <c r="O933" i="1"/>
  <c r="O965" i="1"/>
  <c r="O997" i="1"/>
  <c r="O1028" i="1"/>
  <c r="O1060" i="1"/>
  <c r="O1092" i="1"/>
  <c r="O1124" i="1"/>
  <c r="O1156" i="1"/>
  <c r="O1188" i="1"/>
  <c r="O1220" i="1"/>
  <c r="O1238" i="1"/>
  <c r="O1272" i="1"/>
  <c r="O1304" i="1"/>
  <c r="O1336" i="1"/>
  <c r="O1368" i="1"/>
  <c r="O1057" i="1"/>
  <c r="O1090" i="1"/>
  <c r="O1121" i="1"/>
  <c r="O1152" i="1"/>
  <c r="O1185" i="1"/>
  <c r="O1217" i="1"/>
  <c r="O1249" i="1"/>
  <c r="O1281" i="1"/>
  <c r="O1313" i="1"/>
  <c r="O1345" i="1"/>
  <c r="O1398" i="1"/>
  <c r="O1430" i="1"/>
  <c r="O1462" i="1"/>
  <c r="O1494" i="1"/>
  <c r="O1526" i="1"/>
  <c r="O1557" i="1"/>
  <c r="O1589" i="1"/>
  <c r="O1621" i="1"/>
  <c r="O1653" i="1"/>
  <c r="O1685" i="1"/>
  <c r="O1717" i="1"/>
  <c r="O1749" i="1"/>
  <c r="O1781" i="1"/>
  <c r="O1813" i="1"/>
  <c r="O1845" i="1"/>
  <c r="O1365" i="1"/>
  <c r="O1397" i="1"/>
  <c r="O1429" i="1"/>
  <c r="O1461" i="1"/>
  <c r="O1493" i="1"/>
  <c r="O1525" i="1"/>
  <c r="O1558" i="1"/>
  <c r="O1588" i="1"/>
  <c r="O1620" i="1"/>
  <c r="O1652" i="1"/>
  <c r="O1684" i="1"/>
  <c r="O1716" i="1"/>
  <c r="O1748" i="1"/>
  <c r="O1780" i="1"/>
  <c r="O1810" i="1"/>
  <c r="O1844" i="1"/>
  <c r="O1879" i="1"/>
  <c r="O1911" i="1"/>
  <c r="O1943" i="1"/>
  <c r="O1975" i="1"/>
  <c r="O2007" i="1"/>
  <c r="O2039" i="1"/>
  <c r="O2071" i="1"/>
  <c r="O2102" i="1"/>
  <c r="O2135" i="1"/>
  <c r="O2167" i="1"/>
  <c r="O1234" i="1"/>
  <c r="O1270" i="1"/>
  <c r="O1302" i="1"/>
  <c r="O1334" i="1"/>
  <c r="O1366" i="1"/>
  <c r="O800" i="1"/>
  <c r="O832" i="1"/>
  <c r="O864" i="1"/>
  <c r="O896" i="1"/>
  <c r="O928" i="1"/>
  <c r="O960" i="1"/>
  <c r="O992" i="1"/>
  <c r="O1024" i="1"/>
  <c r="O1055" i="1"/>
  <c r="O1087" i="1"/>
  <c r="O1119" i="1"/>
  <c r="O1151" i="1"/>
  <c r="O1183" i="1"/>
  <c r="O1215" i="1"/>
  <c r="O1247" i="1"/>
  <c r="O1271" i="1"/>
  <c r="O1287" i="1"/>
  <c r="O1303" i="1"/>
  <c r="O1319" i="1"/>
  <c r="O1335" i="1"/>
  <c r="O1351" i="1"/>
  <c r="O1388" i="1"/>
  <c r="O1404" i="1"/>
  <c r="O1420" i="1"/>
  <c r="O1436" i="1"/>
  <c r="O1452" i="1"/>
  <c r="O1468" i="1"/>
  <c r="O1484" i="1"/>
  <c r="O1501" i="1"/>
  <c r="O1516" i="1"/>
  <c r="O1532" i="1"/>
  <c r="O1548" i="1"/>
  <c r="O1564" i="1"/>
  <c r="O1579" i="1"/>
  <c r="O1595" i="1"/>
  <c r="O1611" i="1"/>
  <c r="O1627" i="1"/>
  <c r="O1643" i="1"/>
  <c r="O1660" i="1"/>
  <c r="O1675" i="1"/>
  <c r="O1691" i="1"/>
  <c r="O1707" i="1"/>
  <c r="O1723" i="1"/>
  <c r="O1739" i="1"/>
  <c r="O1755" i="1"/>
  <c r="O1771" i="1"/>
  <c r="O1787" i="1"/>
  <c r="O1803" i="1"/>
  <c r="O1818" i="1"/>
  <c r="O1835" i="1"/>
  <c r="O1851" i="1"/>
  <c r="O1355" i="1"/>
  <c r="O1370" i="1"/>
  <c r="O1387" i="1"/>
  <c r="O1403" i="1"/>
  <c r="O1419" i="1"/>
  <c r="O1435" i="1"/>
  <c r="O1451" i="1"/>
  <c r="O1467" i="1"/>
  <c r="O1483" i="1"/>
  <c r="O1499" i="1"/>
  <c r="O1515" i="1"/>
  <c r="O43" i="1"/>
  <c r="O135" i="1"/>
  <c r="O200" i="1"/>
  <c r="O264" i="1"/>
  <c r="O328" i="1"/>
  <c r="O393" i="1"/>
  <c r="O455" i="1"/>
  <c r="O519" i="1"/>
  <c r="O583" i="1"/>
  <c r="O647" i="1"/>
  <c r="O711" i="1"/>
  <c r="O775" i="1"/>
  <c r="O839" i="1"/>
  <c r="O95" i="1"/>
  <c r="O64" i="1"/>
  <c r="O125" i="1"/>
  <c r="O189" i="1"/>
  <c r="O253" i="1"/>
  <c r="O317" i="1"/>
  <c r="O444" i="1"/>
  <c r="O508" i="1"/>
  <c r="O572" i="1"/>
  <c r="O636" i="1"/>
  <c r="O700" i="1"/>
  <c r="O764" i="1"/>
  <c r="O915" i="1"/>
  <c r="O979" i="1"/>
  <c r="O32" i="1"/>
  <c r="O133" i="1"/>
  <c r="O387" i="1"/>
  <c r="O453" i="1"/>
  <c r="O517" i="1"/>
  <c r="O581" i="1"/>
  <c r="O645" i="1"/>
  <c r="O709" i="1"/>
  <c r="O773" i="1"/>
  <c r="O837" i="1"/>
  <c r="O76" i="1"/>
  <c r="O123" i="1"/>
  <c r="O191" i="1"/>
  <c r="O255" i="1"/>
  <c r="O319" i="1"/>
  <c r="O380" i="1"/>
  <c r="O917" i="1"/>
  <c r="O981" i="1"/>
  <c r="O1044" i="1"/>
  <c r="O1108" i="1"/>
  <c r="O1172" i="1"/>
  <c r="O1236" i="1"/>
  <c r="O1288" i="1"/>
  <c r="O1352" i="1"/>
  <c r="O1073" i="1"/>
  <c r="O1137" i="1"/>
  <c r="O1201" i="1"/>
  <c r="O1265" i="1"/>
  <c r="O1329" i="1"/>
  <c r="O1414" i="1"/>
  <c r="O1478" i="1"/>
  <c r="O1542" i="1"/>
  <c r="O1605" i="1"/>
  <c r="O1669" i="1"/>
  <c r="O1733" i="1"/>
  <c r="O1797" i="1"/>
  <c r="O1861" i="1"/>
  <c r="O1413" i="1"/>
  <c r="O1477" i="1"/>
  <c r="O1541" i="1"/>
  <c r="O1604" i="1"/>
  <c r="O1668" i="1"/>
  <c r="O1732" i="1"/>
  <c r="O1796" i="1"/>
  <c r="O1860" i="1"/>
  <c r="O1926" i="1"/>
  <c r="O1991" i="1"/>
  <c r="O2055" i="1"/>
  <c r="O2119" i="1"/>
  <c r="O2183" i="1"/>
  <c r="O1286" i="1"/>
  <c r="O1350" i="1"/>
  <c r="O816" i="1"/>
  <c r="O880" i="1"/>
  <c r="O944" i="1"/>
  <c r="O1008" i="1"/>
  <c r="O1071" i="1"/>
  <c r="O1135" i="1"/>
  <c r="O1199" i="1"/>
  <c r="O1263" i="1"/>
  <c r="O1295" i="1"/>
  <c r="O1327" i="1"/>
  <c r="O1380" i="1"/>
  <c r="O1412" i="1"/>
  <c r="O1444" i="1"/>
  <c r="O1476" i="1"/>
  <c r="O1508" i="1"/>
  <c r="O1540" i="1"/>
  <c r="O1571" i="1"/>
  <c r="O1603" i="1"/>
  <c r="O1635" i="1"/>
  <c r="O1667" i="1"/>
  <c r="O1699" i="1"/>
  <c r="O1731" i="1"/>
  <c r="O1763" i="1"/>
  <c r="O1795" i="1"/>
  <c r="O1827" i="1"/>
  <c r="O1859" i="1"/>
  <c r="O1379" i="1"/>
  <c r="O1411" i="1"/>
  <c r="O1443" i="1"/>
  <c r="O1475" i="1"/>
  <c r="O1507" i="1"/>
  <c r="O1531" i="1"/>
  <c r="O1547" i="1"/>
  <c r="O1563" i="1"/>
  <c r="O1578" i="1"/>
  <c r="O1594" i="1"/>
  <c r="O1610" i="1"/>
  <c r="O1626" i="1"/>
  <c r="O1642" i="1"/>
  <c r="O1658" i="1"/>
  <c r="O1674" i="1"/>
  <c r="O1690" i="1"/>
  <c r="O1706" i="1"/>
  <c r="O1722" i="1"/>
  <c r="O1738" i="1"/>
  <c r="O1754" i="1"/>
  <c r="O1770" i="1"/>
  <c r="O1786" i="1"/>
  <c r="O1802" i="1"/>
  <c r="O1819" i="1"/>
  <c r="O1834" i="1"/>
  <c r="O1850" i="1"/>
  <c r="O1867" i="1"/>
  <c r="O1885" i="1"/>
  <c r="O1901" i="1"/>
  <c r="O1917" i="1"/>
  <c r="O1933" i="1"/>
  <c r="O1949" i="1"/>
  <c r="O1965" i="1"/>
  <c r="O1981" i="1"/>
  <c r="O1997" i="1"/>
  <c r="O2013" i="1"/>
  <c r="O2029" i="1"/>
  <c r="O2045" i="1"/>
  <c r="O2069" i="1"/>
  <c r="O2101" i="1"/>
  <c r="O2133" i="1"/>
  <c r="O2165" i="1"/>
  <c r="O1868" i="1"/>
  <c r="O1884" i="1"/>
  <c r="O1900" i="1"/>
  <c r="O1916" i="1"/>
  <c r="O1932" i="1"/>
  <c r="O1948" i="1"/>
  <c r="O1964" i="1"/>
  <c r="O1980" i="1"/>
  <c r="O1996" i="1"/>
  <c r="O2012" i="1"/>
  <c r="O2024" i="1"/>
  <c r="O2031" i="1"/>
  <c r="O2040" i="1"/>
  <c r="O2048" i="1"/>
  <c r="O2057" i="1"/>
  <c r="O2062" i="1"/>
  <c r="O2072" i="1"/>
  <c r="O2080" i="1"/>
  <c r="O2088" i="1"/>
  <c r="O2096" i="1"/>
  <c r="O2104" i="1"/>
  <c r="O2112" i="1"/>
  <c r="O2120" i="1"/>
  <c r="O2128" i="1"/>
  <c r="O2136" i="1"/>
  <c r="O2144" i="1"/>
  <c r="O2152" i="1"/>
  <c r="O2160" i="1"/>
  <c r="O2168" i="1"/>
  <c r="O2193" i="1"/>
  <c r="O2201" i="1"/>
  <c r="O2209" i="1"/>
  <c r="O2217" i="1"/>
  <c r="O2225" i="1"/>
  <c r="O2233" i="1"/>
  <c r="O2240" i="1"/>
  <c r="O2249" i="1"/>
  <c r="O2256" i="1"/>
  <c r="O2264" i="1"/>
  <c r="O2272" i="1"/>
  <c r="O2278" i="1"/>
  <c r="O2287" i="1"/>
  <c r="O2296" i="1"/>
  <c r="O2304" i="1"/>
  <c r="O2312" i="1"/>
  <c r="O2320" i="1"/>
  <c r="O2328" i="1"/>
  <c r="O2336" i="1"/>
  <c r="O2344" i="1"/>
  <c r="O2352" i="1"/>
  <c r="O2360" i="1"/>
  <c r="O2368" i="1"/>
  <c r="O2376" i="1"/>
  <c r="O2384" i="1"/>
  <c r="O2392" i="1"/>
  <c r="O2400" i="1"/>
  <c r="O2408" i="1"/>
  <c r="O2415" i="1"/>
  <c r="O2423" i="1"/>
  <c r="O2432" i="1"/>
  <c r="O2440" i="1"/>
  <c r="O2448" i="1"/>
  <c r="O2456" i="1"/>
  <c r="O2465" i="1"/>
  <c r="O2472" i="1"/>
  <c r="O2482" i="1"/>
  <c r="O2488" i="1"/>
  <c r="O2496" i="1"/>
  <c r="O2504" i="1"/>
  <c r="O2511" i="1"/>
  <c r="O2520" i="1"/>
  <c r="O2528" i="1"/>
  <c r="O2536" i="1"/>
  <c r="O2545" i="1"/>
  <c r="O2552" i="1"/>
  <c r="O2560" i="1"/>
  <c r="O2568" i="1"/>
  <c r="O2576" i="1"/>
  <c r="O2582" i="1"/>
  <c r="O2591" i="1"/>
  <c r="O2599" i="1"/>
  <c r="O2607" i="1"/>
  <c r="O2615" i="1"/>
  <c r="O2623" i="1"/>
  <c r="O2631" i="1"/>
  <c r="O2639" i="1"/>
  <c r="O2647" i="1"/>
  <c r="O2655" i="1"/>
  <c r="O2663" i="1"/>
  <c r="O2671" i="1"/>
  <c r="O2679" i="1"/>
  <c r="O2687" i="1"/>
  <c r="O2695" i="1"/>
  <c r="O2176" i="1"/>
  <c r="O2184" i="1"/>
  <c r="O2192" i="1"/>
  <c r="O2200" i="1"/>
  <c r="O2208" i="1"/>
  <c r="O2216" i="1"/>
  <c r="O2224" i="1"/>
  <c r="O2232" i="1"/>
  <c r="O2239" i="1"/>
  <c r="O2247" i="1"/>
  <c r="O2255" i="1"/>
  <c r="O2263" i="1"/>
  <c r="O2271" i="1"/>
  <c r="O2279" i="1"/>
  <c r="O2288" i="1"/>
  <c r="O2295" i="1"/>
  <c r="O2303" i="1"/>
  <c r="O2311" i="1"/>
  <c r="O2319" i="1"/>
  <c r="O2327" i="1"/>
  <c r="O2335" i="1"/>
  <c r="O2343" i="1"/>
  <c r="O2351" i="1"/>
  <c r="O2359" i="1"/>
  <c r="O2367" i="1"/>
  <c r="O2375" i="1"/>
  <c r="O2383" i="1"/>
  <c r="O2391" i="1"/>
  <c r="O2399" i="1"/>
  <c r="O2407" i="1"/>
  <c r="O2416" i="1"/>
  <c r="O2424" i="1"/>
  <c r="O2431" i="1"/>
  <c r="O2439" i="1"/>
  <c r="O2447" i="1"/>
  <c r="O2455" i="1"/>
  <c r="O2463" i="1"/>
  <c r="O2471" i="1"/>
  <c r="O2479" i="1"/>
  <c r="O2487" i="1"/>
  <c r="O2495" i="1"/>
  <c r="O2503" i="1"/>
  <c r="O2512" i="1"/>
  <c r="O2519" i="1"/>
  <c r="O2527" i="1"/>
  <c r="O2535" i="1"/>
  <c r="O2543" i="1"/>
  <c r="O2551" i="1"/>
  <c r="O2559" i="1"/>
  <c r="O2567" i="1"/>
  <c r="O2575" i="1"/>
  <c r="O2583" i="1"/>
  <c r="O2589" i="1"/>
  <c r="O2598" i="1"/>
  <c r="O2606" i="1"/>
  <c r="O2614" i="1"/>
  <c r="O2622" i="1"/>
  <c r="O2630" i="1"/>
  <c r="O2638" i="1"/>
  <c r="O2646" i="1"/>
  <c r="O2654" i="1"/>
  <c r="O2662" i="1"/>
  <c r="O2670" i="1"/>
  <c r="O2678" i="1"/>
  <c r="O2686" i="1"/>
  <c r="O2692" i="1"/>
  <c r="O2703" i="1"/>
  <c r="O2713" i="1"/>
  <c r="O2719" i="1"/>
  <c r="O2727" i="1"/>
  <c r="O2735" i="1"/>
  <c r="O2743" i="1"/>
  <c r="O2751" i="1"/>
  <c r="O2759" i="1"/>
  <c r="O2767" i="1"/>
  <c r="O2775" i="1"/>
  <c r="O2782" i="1"/>
  <c r="O2791" i="1"/>
  <c r="O2799" i="1"/>
  <c r="O2807" i="1"/>
  <c r="O2814" i="1"/>
  <c r="O2823" i="1"/>
  <c r="O2831" i="1"/>
  <c r="O2839" i="1"/>
  <c r="O2847" i="1"/>
  <c r="O2855" i="1"/>
  <c r="O2866" i="1"/>
  <c r="O2874" i="1"/>
  <c r="O2882" i="1"/>
  <c r="O2890" i="1"/>
  <c r="O2897" i="1"/>
  <c r="O2905" i="1"/>
  <c r="O2914" i="1"/>
  <c r="O2922" i="1"/>
  <c r="O2929" i="1"/>
  <c r="O2935" i="1"/>
  <c r="O2945" i="1"/>
  <c r="O2953" i="1"/>
  <c r="O2961" i="1"/>
  <c r="O2969" i="1"/>
  <c r="O2977" i="1"/>
  <c r="O2985" i="1"/>
  <c r="O2993" i="1"/>
  <c r="O3001" i="1"/>
  <c r="O3009" i="1"/>
  <c r="O3016" i="1"/>
  <c r="O3024" i="1"/>
  <c r="O3031" i="1"/>
  <c r="O3043" i="1"/>
  <c r="O3048" i="1"/>
  <c r="O3057" i="1"/>
  <c r="O3068" i="1"/>
  <c r="O2700" i="1"/>
  <c r="O2708" i="1"/>
  <c r="O2716" i="1"/>
  <c r="O2724" i="1"/>
  <c r="O2733" i="1"/>
  <c r="O2740" i="1"/>
  <c r="O2748" i="1"/>
  <c r="O2756" i="1"/>
  <c r="O2763" i="1"/>
  <c r="O2772" i="1"/>
  <c r="O2780" i="1"/>
  <c r="O2788" i="1"/>
  <c r="O2796" i="1"/>
  <c r="O2803" i="1"/>
  <c r="O2812" i="1"/>
  <c r="O2820" i="1"/>
  <c r="O2828" i="1"/>
  <c r="O2836" i="1"/>
  <c r="O2844" i="1"/>
  <c r="O2852" i="1"/>
  <c r="O2859" i="1"/>
  <c r="O2867" i="1"/>
  <c r="O2875" i="1"/>
  <c r="O2886" i="1"/>
  <c r="O2894" i="1"/>
  <c r="O2902" i="1"/>
  <c r="O2910" i="1"/>
  <c r="O2919" i="1"/>
  <c r="O2926" i="1"/>
  <c r="O2934" i="1"/>
  <c r="O2942" i="1"/>
  <c r="O2950" i="1"/>
  <c r="O2958" i="1"/>
  <c r="O2966" i="1"/>
  <c r="O2974" i="1"/>
  <c r="O2982" i="1"/>
  <c r="O2989" i="1"/>
  <c r="O2999" i="1"/>
  <c r="O3006" i="1"/>
  <c r="O3013" i="1"/>
  <c r="O3022" i="1"/>
  <c r="O3029" i="1"/>
  <c r="O3037" i="1"/>
  <c r="O3050" i="1"/>
  <c r="O3058" i="1"/>
  <c r="O3071" i="1"/>
  <c r="O3078" i="1"/>
  <c r="O3087" i="1"/>
  <c r="O3095" i="1"/>
  <c r="O3103" i="1"/>
  <c r="O3106" i="1"/>
  <c r="O3120" i="1"/>
  <c r="O3127" i="1"/>
  <c r="O3138" i="1"/>
  <c r="O3143" i="1"/>
  <c r="O3149" i="1"/>
  <c r="O3159" i="1"/>
  <c r="O3167" i="1"/>
  <c r="O3174" i="1"/>
  <c r="O3188" i="1"/>
  <c r="O3190" i="1"/>
  <c r="O3204" i="1"/>
  <c r="O3205" i="1"/>
  <c r="O3214" i="1"/>
  <c r="O3223" i="1"/>
  <c r="O3239" i="1"/>
  <c r="O3231" i="1"/>
  <c r="O3249" i="1"/>
  <c r="O3258" i="1"/>
  <c r="O3263" i="1"/>
  <c r="O3268" i="1"/>
  <c r="O3280" i="1"/>
  <c r="O3294" i="1"/>
  <c r="O3286" i="1"/>
  <c r="O3067" i="1"/>
  <c r="O3076" i="1"/>
  <c r="O3084" i="1"/>
  <c r="O3092" i="1"/>
  <c r="O3099" i="1"/>
  <c r="O3109" i="1"/>
  <c r="O3115" i="1"/>
  <c r="O3124" i="1"/>
  <c r="O3130" i="1"/>
  <c r="O3142" i="1"/>
  <c r="O3152" i="1"/>
  <c r="O3155" i="1"/>
  <c r="O3166" i="1"/>
  <c r="O3177" i="1"/>
  <c r="O3169" i="1"/>
  <c r="O3183" i="1"/>
  <c r="O3192" i="1"/>
  <c r="O3199" i="1"/>
  <c r="O3210" i="1"/>
  <c r="O3219" i="1"/>
  <c r="O3242" i="1"/>
  <c r="O3234" i="1"/>
  <c r="O3245" i="1"/>
  <c r="O3253" i="1"/>
  <c r="O3260" i="1"/>
  <c r="O3271" i="1"/>
  <c r="O3283" i="1"/>
  <c r="O3275" i="1"/>
  <c r="O3289" i="1"/>
  <c r="O2065" i="1"/>
  <c r="O2081" i="1"/>
  <c r="O2097" i="1"/>
  <c r="O2113" i="1"/>
  <c r="O2129" i="1"/>
  <c r="O2145" i="1"/>
  <c r="O2161" i="1"/>
  <c r="O2177" i="1"/>
  <c r="O1866" i="1"/>
  <c r="O1874" i="1"/>
  <c r="O1882" i="1"/>
  <c r="O1890" i="1"/>
  <c r="O1898" i="1"/>
  <c r="O1906" i="1"/>
  <c r="O1914" i="1"/>
  <c r="O1922" i="1"/>
  <c r="O1931" i="1"/>
  <c r="O1938" i="1"/>
  <c r="O1945" i="1"/>
  <c r="O1954" i="1"/>
  <c r="O1962" i="1"/>
  <c r="O1970" i="1"/>
  <c r="O1978" i="1"/>
  <c r="O1986" i="1"/>
  <c r="O1994" i="1"/>
  <c r="O2002" i="1"/>
  <c r="O2010" i="1"/>
  <c r="O2018" i="1"/>
  <c r="O2026" i="1"/>
  <c r="O2034" i="1"/>
  <c r="O2042" i="1"/>
  <c r="O2050" i="1"/>
  <c r="O2058" i="1"/>
  <c r="O2066" i="1"/>
  <c r="O2074" i="1"/>
  <c r="O2082" i="1"/>
  <c r="O2090" i="1"/>
  <c r="O2098" i="1"/>
  <c r="O2106" i="1"/>
  <c r="O21" i="1"/>
  <c r="O18" i="1"/>
  <c r="O34" i="1"/>
  <c r="O50" i="1"/>
  <c r="O58" i="1"/>
  <c r="O66" i="1"/>
  <c r="O174" i="1"/>
  <c r="O334" i="1"/>
  <c r="O366" i="1"/>
  <c r="O382" i="1"/>
  <c r="O406" i="1"/>
  <c r="O446" i="1"/>
  <c r="O462" i="1"/>
  <c r="O494" i="1"/>
  <c r="O510" i="1"/>
  <c r="O526" i="1"/>
  <c r="O558" i="1"/>
  <c r="O574" i="1"/>
  <c r="O590" i="1"/>
  <c r="O622" i="1"/>
  <c r="O638" i="1"/>
  <c r="O654" i="1"/>
  <c r="O686" i="1"/>
  <c r="O702" i="1"/>
  <c r="O718" i="1"/>
  <c r="O750" i="1"/>
  <c r="O766" i="1"/>
  <c r="O1030" i="1"/>
  <c r="O1046" i="1"/>
  <c r="O1062" i="1"/>
  <c r="O1094" i="1"/>
  <c r="O1110" i="1"/>
  <c r="O1126" i="1"/>
  <c r="O3287" i="1"/>
  <c r="O3277" i="1"/>
  <c r="O3285" i="1"/>
  <c r="O3273" i="1"/>
  <c r="O3255" i="1"/>
  <c r="O3251" i="1"/>
  <c r="O3243" i="1"/>
  <c r="O3236" i="1"/>
  <c r="O3227" i="1"/>
  <c r="O3217" i="1"/>
  <c r="O3212" i="1"/>
  <c r="O3206" i="1"/>
  <c r="O3197" i="1"/>
  <c r="O3189" i="1"/>
  <c r="O3171" i="1"/>
  <c r="O3179" i="1"/>
  <c r="O3161" i="1"/>
  <c r="O3146" i="1"/>
  <c r="O3154" i="1"/>
  <c r="O3135" i="1"/>
  <c r="O3132" i="1"/>
  <c r="O3122" i="1"/>
  <c r="O3114" i="1"/>
  <c r="O3111" i="1"/>
  <c r="O3097" i="1"/>
  <c r="O3089" i="1"/>
  <c r="O3082" i="1"/>
  <c r="O3073" i="1"/>
  <c r="O3064" i="1"/>
  <c r="O3292" i="1"/>
  <c r="O3282" i="1"/>
  <c r="O3270" i="1"/>
  <c r="O3262" i="1"/>
  <c r="O3254" i="1"/>
  <c r="O3247" i="1"/>
  <c r="O3233" i="1"/>
  <c r="O3241" i="1"/>
  <c r="O3222" i="1"/>
  <c r="O3215" i="1"/>
  <c r="O3207" i="1"/>
  <c r="O3202" i="1"/>
  <c r="O3195" i="1"/>
  <c r="O3186" i="1"/>
  <c r="O3172" i="1"/>
  <c r="O3180" i="1"/>
  <c r="O3162" i="1"/>
  <c r="O3147" i="1"/>
  <c r="O3145" i="1"/>
  <c r="O3136" i="1"/>
  <c r="O3133" i="1"/>
  <c r="O3121" i="1"/>
  <c r="O3113" i="1"/>
  <c r="O3105" i="1"/>
  <c r="O3098" i="1"/>
  <c r="O3090" i="1"/>
  <c r="O3081" i="1"/>
  <c r="O3074" i="1"/>
  <c r="O3062" i="1"/>
  <c r="O3052" i="1"/>
  <c r="O3045" i="1"/>
  <c r="O3039" i="1"/>
  <c r="O3032" i="1"/>
  <c r="O3023" i="1"/>
  <c r="O3015" i="1"/>
  <c r="O3004" i="1"/>
  <c r="O2996" i="1"/>
  <c r="O2988" i="1"/>
  <c r="O2980" i="1"/>
  <c r="O2972" i="1"/>
  <c r="O2964" i="1"/>
  <c r="O2956" i="1"/>
  <c r="O2949" i="1"/>
  <c r="O2940" i="1"/>
  <c r="O2932" i="1"/>
  <c r="O2924" i="1"/>
  <c r="O2916" i="1"/>
  <c r="O2908" i="1"/>
  <c r="O2899" i="1"/>
  <c r="O2892" i="1"/>
  <c r="O2884" i="1"/>
  <c r="O2877" i="1"/>
  <c r="O2869" i="1"/>
  <c r="O2861" i="1"/>
  <c r="O2854" i="1"/>
  <c r="O2846" i="1"/>
  <c r="O2838" i="1"/>
  <c r="O2830" i="1"/>
  <c r="O2824" i="1"/>
  <c r="O2815" i="1"/>
  <c r="O2806" i="1"/>
  <c r="O2798" i="1"/>
  <c r="O2790" i="1"/>
  <c r="O2783" i="1"/>
  <c r="O2774" i="1"/>
  <c r="O2766" i="1"/>
  <c r="O2758" i="1"/>
  <c r="O2749" i="1"/>
  <c r="O2742" i="1"/>
  <c r="O2734" i="1"/>
  <c r="O2726" i="1"/>
  <c r="O2718" i="1"/>
  <c r="O2710" i="1"/>
  <c r="O2702" i="1"/>
  <c r="O3070" i="1"/>
  <c r="O3059" i="1"/>
  <c r="O3051" i="1"/>
  <c r="O3044" i="1"/>
  <c r="O3038" i="1"/>
  <c r="O3030" i="1"/>
  <c r="O3021" i="1"/>
  <c r="O3014" i="1"/>
  <c r="O3007" i="1"/>
  <c r="O2998" i="1"/>
  <c r="O2991" i="1"/>
  <c r="O2983" i="1"/>
  <c r="O2976" i="1"/>
  <c r="O2967" i="1"/>
  <c r="O2959" i="1"/>
  <c r="O2951" i="1"/>
  <c r="O2943" i="1"/>
  <c r="O2937" i="1"/>
  <c r="O2927" i="1"/>
  <c r="O2918" i="1"/>
  <c r="O2911" i="1"/>
  <c r="O2904" i="1"/>
  <c r="O2895" i="1"/>
  <c r="O2887" i="1"/>
  <c r="O2880" i="1"/>
  <c r="O2872" i="1"/>
  <c r="O2864" i="1"/>
  <c r="O2857" i="1"/>
  <c r="O2849" i="1"/>
  <c r="O2841" i="1"/>
  <c r="O2833" i="1"/>
  <c r="O2826" i="1"/>
  <c r="O2817" i="1"/>
  <c r="O2809" i="1"/>
  <c r="O2801" i="1"/>
  <c r="O2793" i="1"/>
  <c r="O2785" i="1"/>
  <c r="O2777" i="1"/>
  <c r="O2769" i="1"/>
  <c r="O2761" i="1"/>
  <c r="O2753" i="1"/>
  <c r="O2745" i="1"/>
  <c r="O2737" i="1"/>
  <c r="O2729" i="1"/>
  <c r="O2721" i="1"/>
  <c r="O2711" i="1"/>
  <c r="O2704" i="1"/>
  <c r="O2697" i="1"/>
  <c r="O2689" i="1"/>
  <c r="O2680" i="1"/>
  <c r="O2672" i="1"/>
  <c r="O2664" i="1"/>
  <c r="O2657" i="1"/>
  <c r="O2648" i="1"/>
  <c r="O2640" i="1"/>
  <c r="O2632" i="1"/>
  <c r="O2625" i="1"/>
  <c r="O2616" i="1"/>
  <c r="O2608" i="1"/>
  <c r="O2600" i="1"/>
  <c r="O2592" i="1"/>
  <c r="O2584" i="1"/>
  <c r="O2577" i="1"/>
  <c r="O2569" i="1"/>
  <c r="O2561" i="1"/>
  <c r="O2553" i="1"/>
  <c r="O2544" i="1"/>
  <c r="O2537" i="1"/>
  <c r="O2530" i="1"/>
  <c r="O2521" i="1"/>
  <c r="O2513" i="1"/>
  <c r="O2505" i="1"/>
  <c r="O2497" i="1"/>
  <c r="O2490" i="1"/>
  <c r="O2481" i="1"/>
  <c r="O2473" i="1"/>
  <c r="O2464" i="1"/>
  <c r="O2457" i="1"/>
  <c r="O2450" i="1"/>
  <c r="O2441" i="1"/>
  <c r="O2433" i="1"/>
  <c r="O2425" i="1"/>
  <c r="O2417" i="1"/>
  <c r="O2409" i="1"/>
  <c r="O2401" i="1"/>
  <c r="O2393" i="1"/>
  <c r="O2385" i="1"/>
  <c r="O2379" i="1"/>
  <c r="O2369" i="1"/>
  <c r="O2361" i="1"/>
  <c r="O2353" i="1"/>
  <c r="O2345" i="1"/>
  <c r="O2337" i="1"/>
  <c r="O2329" i="1"/>
  <c r="O2321" i="1"/>
  <c r="O2313" i="1"/>
  <c r="O2305" i="1"/>
  <c r="O2297" i="1"/>
  <c r="O2289" i="1"/>
  <c r="O2281" i="1"/>
  <c r="O2273" i="1"/>
  <c r="O2265" i="1"/>
  <c r="O2258" i="1"/>
  <c r="O2248" i="1"/>
  <c r="O2241" i="1"/>
  <c r="O2230" i="1"/>
  <c r="O2222" i="1"/>
  <c r="O2214" i="1"/>
  <c r="O2206" i="1"/>
  <c r="O2198" i="1"/>
  <c r="O2190" i="1"/>
  <c r="O2182" i="1"/>
  <c r="O2174" i="1"/>
  <c r="O2693" i="1"/>
  <c r="O2685" i="1"/>
  <c r="O2676" i="1"/>
  <c r="O2669" i="1"/>
  <c r="O2660" i="1"/>
  <c r="O2653" i="1"/>
  <c r="O2645" i="1"/>
  <c r="O2637" i="1"/>
  <c r="O2629" i="1"/>
  <c r="O2619" i="1"/>
  <c r="O2613" i="1"/>
  <c r="O2605" i="1"/>
  <c r="O2596" i="1"/>
  <c r="O2590" i="1"/>
  <c r="O2578" i="1"/>
  <c r="O2570" i="1"/>
  <c r="O2562" i="1"/>
  <c r="O2554" i="1"/>
  <c r="O2546" i="1"/>
  <c r="O2539" i="1"/>
  <c r="O2529" i="1"/>
  <c r="O2522" i="1"/>
  <c r="O2514" i="1"/>
  <c r="O2506" i="1"/>
  <c r="O2498" i="1"/>
  <c r="O2489" i="1"/>
  <c r="O2480" i="1"/>
  <c r="O2474" i="1"/>
  <c r="O2466" i="1"/>
  <c r="O2458" i="1"/>
  <c r="O2449" i="1"/>
  <c r="O2443" i="1"/>
  <c r="O2434" i="1"/>
  <c r="O2426" i="1"/>
  <c r="O2418" i="1"/>
  <c r="O2410" i="1"/>
  <c r="O2402" i="1"/>
  <c r="O2394" i="1"/>
  <c r="O2386" i="1"/>
  <c r="O2378" i="1"/>
  <c r="O2370" i="1"/>
  <c r="O2363" i="1"/>
  <c r="O2354" i="1"/>
  <c r="O2346" i="1"/>
  <c r="O2338" i="1"/>
  <c r="O2330" i="1"/>
  <c r="O2322" i="1"/>
  <c r="O2314" i="1"/>
  <c r="O2306" i="1"/>
  <c r="O2298" i="1"/>
  <c r="O2290" i="1"/>
  <c r="O2282" i="1"/>
  <c r="O2274" i="1"/>
  <c r="O2266" i="1"/>
  <c r="O2257" i="1"/>
  <c r="O2250" i="1"/>
  <c r="O2242" i="1"/>
  <c r="O2235" i="1"/>
  <c r="O2227" i="1"/>
  <c r="O2219" i="1"/>
  <c r="O2211" i="1"/>
  <c r="O2203" i="1"/>
  <c r="O2195" i="1"/>
  <c r="O2187" i="1"/>
  <c r="O2162" i="1"/>
  <c r="O2154" i="1"/>
  <c r="O2146" i="1"/>
  <c r="O2138" i="1"/>
  <c r="O2131" i="1"/>
  <c r="O2122" i="1"/>
  <c r="O2114" i="1"/>
  <c r="O2103" i="1"/>
  <c r="O2086" i="1"/>
  <c r="O2070" i="1"/>
  <c r="O2054" i="1"/>
  <c r="O2038" i="1"/>
  <c r="O2022" i="1"/>
  <c r="O2006" i="1"/>
  <c r="O1990" i="1"/>
  <c r="O1974" i="1"/>
  <c r="O1958" i="1"/>
  <c r="O1942" i="1"/>
  <c r="O1927" i="1"/>
  <c r="O1910" i="1"/>
  <c r="O1894" i="1"/>
  <c r="O1878" i="1"/>
  <c r="O2185" i="1"/>
  <c r="O2153" i="1"/>
  <c r="O2121" i="1"/>
  <c r="O2089" i="1"/>
  <c r="O2056" i="1"/>
  <c r="O3279" i="1"/>
  <c r="O3265" i="1"/>
  <c r="O3248" i="1"/>
  <c r="O3238" i="1"/>
  <c r="O3216" i="1"/>
  <c r="O3203" i="1"/>
  <c r="O3187" i="1"/>
  <c r="O3181" i="1"/>
  <c r="O3148" i="1"/>
  <c r="O3137" i="1"/>
  <c r="O3119" i="1"/>
  <c r="O3104" i="1"/>
  <c r="O3088" i="1"/>
  <c r="O3072" i="1"/>
  <c r="O3290" i="1"/>
  <c r="O3284" i="1"/>
  <c r="O3261" i="1"/>
  <c r="O3244" i="1"/>
  <c r="O3228" i="1"/>
  <c r="O3211" i="1"/>
  <c r="O3193" i="1"/>
  <c r="O3170" i="1"/>
  <c r="O3163" i="1"/>
  <c r="O3153" i="1"/>
  <c r="O3131" i="1"/>
  <c r="O3116" i="1"/>
  <c r="O3100" i="1"/>
  <c r="O3083" i="1"/>
  <c r="O3060" i="1"/>
  <c r="O3040" i="1"/>
  <c r="O3025" i="1"/>
  <c r="O3010" i="1"/>
  <c r="O2994" i="1"/>
  <c r="O2978" i="1"/>
  <c r="O2962" i="1"/>
  <c r="O2946" i="1"/>
  <c r="O2930" i="1"/>
  <c r="O2913" i="1"/>
  <c r="O2896" i="1"/>
  <c r="O2879" i="1"/>
  <c r="O2863" i="1"/>
  <c r="O2848" i="1"/>
  <c r="O2832" i="1"/>
  <c r="O2813" i="1"/>
  <c r="O2800" i="1"/>
  <c r="O2781" i="1"/>
  <c r="O2768" i="1"/>
  <c r="O2752" i="1"/>
  <c r="O2736" i="1"/>
  <c r="O2722" i="1"/>
  <c r="O2705" i="1"/>
  <c r="O3061" i="1"/>
  <c r="O3046" i="1"/>
  <c r="O3027" i="1"/>
  <c r="O3012" i="1"/>
  <c r="O2997" i="1"/>
  <c r="O2981" i="1"/>
  <c r="O2965" i="1"/>
  <c r="O2948" i="1"/>
  <c r="O2933" i="1"/>
  <c r="O2917" i="1"/>
  <c r="O2901" i="1"/>
  <c r="O2885" i="1"/>
  <c r="O2870" i="1"/>
  <c r="O2851" i="1"/>
  <c r="O2835" i="1"/>
  <c r="O2818" i="1"/>
  <c r="O2804" i="1"/>
  <c r="O2787" i="1"/>
  <c r="O2771" i="1"/>
  <c r="O2755" i="1"/>
  <c r="O2739" i="1"/>
  <c r="O2723" i="1"/>
  <c r="O2707" i="1"/>
  <c r="O2690" i="1"/>
  <c r="O2674" i="1"/>
  <c r="O2658" i="1"/>
  <c r="O2642" i="1"/>
  <c r="O2626" i="1"/>
  <c r="O2610" i="1"/>
  <c r="O2594" i="1"/>
  <c r="O2579" i="1"/>
  <c r="O2563" i="1"/>
  <c r="O2547" i="1"/>
  <c r="O2531" i="1"/>
  <c r="O2515" i="1"/>
  <c r="O2499" i="1"/>
  <c r="O2483" i="1"/>
  <c r="O2467" i="1"/>
  <c r="O2451" i="1"/>
  <c r="O2435" i="1"/>
  <c r="O2419" i="1"/>
  <c r="O2403" i="1"/>
  <c r="O2387" i="1"/>
  <c r="O2371" i="1"/>
  <c r="O2355" i="1"/>
  <c r="O2339" i="1"/>
  <c r="O2323" i="1"/>
  <c r="O2307" i="1"/>
  <c r="O2292" i="1"/>
  <c r="O2277" i="1"/>
  <c r="O2259" i="1"/>
  <c r="O2243" i="1"/>
  <c r="O2229" i="1"/>
  <c r="O2212" i="1"/>
  <c r="O2196" i="1"/>
  <c r="O2179" i="1"/>
  <c r="O2691" i="1"/>
  <c r="O2675" i="1"/>
  <c r="O2659" i="1"/>
  <c r="O2643" i="1"/>
  <c r="O2627" i="1"/>
  <c r="O2611" i="1"/>
  <c r="O2595" i="1"/>
  <c r="O2580" i="1"/>
  <c r="O2564" i="1"/>
  <c r="O2548" i="1"/>
  <c r="O2532" i="1"/>
  <c r="O2516" i="1"/>
  <c r="O2500" i="1"/>
  <c r="O2484" i="1"/>
  <c r="O2468" i="1"/>
  <c r="O2452" i="1"/>
  <c r="O2437" i="1"/>
  <c r="O2420" i="1"/>
  <c r="O2404" i="1"/>
  <c r="O2388" i="1"/>
  <c r="O2372" i="1"/>
  <c r="O2356" i="1"/>
  <c r="O2340" i="1"/>
  <c r="O2324" i="1"/>
  <c r="O2308" i="1"/>
  <c r="O2291" i="1"/>
  <c r="O2276" i="1"/>
  <c r="O2260" i="1"/>
  <c r="O2244" i="1"/>
  <c r="O2228" i="1"/>
  <c r="O2213" i="1"/>
  <c r="O2197" i="1"/>
  <c r="O2164" i="1"/>
  <c r="O2148" i="1"/>
  <c r="O2132" i="1"/>
  <c r="O2116" i="1"/>
  <c r="O2100" i="1"/>
  <c r="O2084" i="1"/>
  <c r="O2068" i="1"/>
  <c r="O2052" i="1"/>
  <c r="O2036" i="1"/>
  <c r="O2020" i="1"/>
  <c r="O1988" i="1"/>
  <c r="O1956" i="1"/>
  <c r="O1924" i="1"/>
  <c r="O1892" i="1"/>
  <c r="O2181" i="1"/>
  <c r="O2117" i="1"/>
  <c r="O2053" i="1"/>
  <c r="O2021" i="1"/>
  <c r="O1989" i="1"/>
  <c r="O1957" i="1"/>
  <c r="O1925" i="1"/>
  <c r="O1893" i="1"/>
  <c r="O1858" i="1"/>
  <c r="O1826" i="1"/>
  <c r="O1794" i="1"/>
  <c r="O1762" i="1"/>
  <c r="O1730" i="1"/>
  <c r="O1698" i="1"/>
  <c r="O1666" i="1"/>
  <c r="O1634" i="1"/>
  <c r="O1602" i="1"/>
  <c r="O1570" i="1"/>
  <c r="O1539" i="1"/>
  <c r="O1491" i="1"/>
  <c r="O1427" i="1"/>
  <c r="O1363" i="1"/>
  <c r="O1811" i="1"/>
  <c r="O1747" i="1"/>
  <c r="O1683" i="1"/>
  <c r="O1619" i="1"/>
  <c r="O1556" i="1"/>
  <c r="O1492" i="1"/>
  <c r="O1428" i="1"/>
  <c r="O1343" i="1"/>
  <c r="O1279" i="1"/>
  <c r="O1167" i="1"/>
  <c r="O1039" i="1"/>
  <c r="O912" i="1"/>
  <c r="O784" i="1"/>
  <c r="O1254" i="1"/>
  <c r="O2087" i="1"/>
  <c r="O1960" i="1"/>
  <c r="O1828" i="1"/>
  <c r="O1700" i="1"/>
  <c r="O1572" i="1"/>
  <c r="O1445" i="1"/>
  <c r="O1829" i="1"/>
  <c r="O1701" i="1"/>
  <c r="O1573" i="1"/>
  <c r="O1446" i="1"/>
  <c r="O1297" i="1"/>
  <c r="O1169" i="1"/>
  <c r="O1041" i="1"/>
  <c r="O1256" i="1"/>
  <c r="O1140" i="1"/>
  <c r="O1013" i="1"/>
  <c r="O885" i="1"/>
  <c r="O411" i="1"/>
  <c r="O287" i="1"/>
  <c r="O156" i="1"/>
  <c r="O20" i="1"/>
  <c r="O805" i="1"/>
  <c r="O677" i="1"/>
  <c r="O549" i="1"/>
  <c r="O163" i="1"/>
  <c r="O1206" i="1"/>
  <c r="O947" i="1"/>
  <c r="O732" i="1"/>
  <c r="O605" i="1"/>
  <c r="O476" i="1"/>
  <c r="O348" i="1"/>
  <c r="O221" i="1"/>
  <c r="O31" i="1"/>
  <c r="O743" i="1"/>
  <c r="O615" i="1"/>
  <c r="O487" i="1"/>
  <c r="O361" i="1"/>
  <c r="O232" i="1"/>
  <c r="O105" i="1"/>
  <c r="O15" i="1"/>
  <c r="O25" i="1"/>
  <c r="O36" i="1"/>
  <c r="O51" i="1"/>
  <c r="O65" i="1"/>
  <c r="O108" i="1"/>
  <c r="O116" i="1"/>
  <c r="O124" i="1"/>
  <c r="O131" i="1"/>
  <c r="O139" i="1"/>
  <c r="O147" i="1"/>
  <c r="O157" i="1"/>
  <c r="O165" i="1"/>
  <c r="O173" i="1"/>
  <c r="O180" i="1"/>
  <c r="O188" i="1"/>
  <c r="O196" i="1"/>
  <c r="O204" i="1"/>
  <c r="O212" i="1"/>
  <c r="O220" i="1"/>
  <c r="O228" i="1"/>
  <c r="O236" i="1"/>
  <c r="O244" i="1"/>
  <c r="O252" i="1"/>
  <c r="O260" i="1"/>
  <c r="O268" i="1"/>
  <c r="O276" i="1"/>
  <c r="O284" i="1"/>
  <c r="O292" i="1"/>
  <c r="O300" i="1"/>
  <c r="O308" i="1"/>
  <c r="O316" i="1"/>
  <c r="O324" i="1"/>
  <c r="O331" i="1"/>
  <c r="O339" i="1"/>
  <c r="O347" i="1"/>
  <c r="O357" i="1"/>
  <c r="O365" i="1"/>
  <c r="O373" i="1"/>
  <c r="O381" i="1"/>
  <c r="O389" i="1"/>
  <c r="O396" i="1"/>
  <c r="O404" i="1"/>
  <c r="O412" i="1"/>
  <c r="O420" i="1"/>
  <c r="O428" i="1"/>
  <c r="O435" i="1"/>
  <c r="O443" i="1"/>
  <c r="O451" i="1"/>
  <c r="O459" i="1"/>
  <c r="O467" i="1"/>
  <c r="O473" i="1"/>
  <c r="O483" i="1"/>
  <c r="O491" i="1"/>
  <c r="O499" i="1"/>
  <c r="O507" i="1"/>
  <c r="O515" i="1"/>
  <c r="O523" i="1"/>
  <c r="O531" i="1"/>
  <c r="O539" i="1"/>
  <c r="O547" i="1"/>
  <c r="O555" i="1"/>
  <c r="O563" i="1"/>
  <c r="O571" i="1"/>
  <c r="O579" i="1"/>
  <c r="O587" i="1"/>
  <c r="O595" i="1"/>
  <c r="O603" i="1"/>
  <c r="O611" i="1"/>
  <c r="O619" i="1"/>
  <c r="O627" i="1"/>
  <c r="O635" i="1"/>
  <c r="O643" i="1"/>
  <c r="O651" i="1"/>
  <c r="O659" i="1"/>
  <c r="O667" i="1"/>
  <c r="O675" i="1"/>
  <c r="O683" i="1"/>
  <c r="O691" i="1"/>
  <c r="O699" i="1"/>
  <c r="O707" i="1"/>
  <c r="O715" i="1"/>
  <c r="O723" i="1"/>
  <c r="O731" i="1"/>
  <c r="O739" i="1"/>
  <c r="O747" i="1"/>
  <c r="O755" i="1"/>
  <c r="O763" i="1"/>
  <c r="O771" i="1"/>
  <c r="O779" i="1"/>
  <c r="O787" i="1"/>
  <c r="O795" i="1"/>
  <c r="O803" i="1"/>
  <c r="O811" i="1"/>
  <c r="O819" i="1"/>
  <c r="O827" i="1"/>
  <c r="O835" i="1"/>
  <c r="O843" i="1"/>
  <c r="O851" i="1"/>
  <c r="O859" i="1"/>
  <c r="O87" i="1"/>
  <c r="O44" i="1"/>
  <c r="O52" i="1"/>
  <c r="O60" i="1"/>
  <c r="O68" i="1"/>
  <c r="O75" i="1"/>
  <c r="O113" i="1"/>
  <c r="O121" i="1"/>
  <c r="O129" i="1"/>
  <c r="O136" i="1"/>
  <c r="O144" i="1"/>
  <c r="O177" i="1"/>
  <c r="O185" i="1"/>
  <c r="O193" i="1"/>
  <c r="O201" i="1"/>
  <c r="O209" i="1"/>
  <c r="O217" i="1"/>
  <c r="O225" i="1"/>
  <c r="O233" i="1"/>
  <c r="O241" i="1"/>
  <c r="O249" i="1"/>
  <c r="O257" i="1"/>
  <c r="O265" i="1"/>
  <c r="O273" i="1"/>
  <c r="O281" i="1"/>
  <c r="O289" i="1"/>
  <c r="O297" i="1"/>
  <c r="O305" i="1"/>
  <c r="O313" i="1"/>
  <c r="O321" i="1"/>
  <c r="O329" i="1"/>
  <c r="O336" i="1"/>
  <c r="O344" i="1"/>
  <c r="O351" i="1"/>
  <c r="O362" i="1"/>
  <c r="O370" i="1"/>
  <c r="O378" i="1"/>
  <c r="O386" i="1"/>
  <c r="O394" i="1"/>
  <c r="O401" i="1"/>
  <c r="O408" i="1"/>
  <c r="O417" i="1"/>
  <c r="O425" i="1"/>
  <c r="O432" i="1"/>
  <c r="O440" i="1"/>
  <c r="O448" i="1"/>
  <c r="O456" i="1"/>
  <c r="O464" i="1"/>
  <c r="O472" i="1"/>
  <c r="O480" i="1"/>
  <c r="O488" i="1"/>
  <c r="O496" i="1"/>
  <c r="O504" i="1"/>
  <c r="O512" i="1"/>
  <c r="O520" i="1"/>
  <c r="O528" i="1"/>
  <c r="O536" i="1"/>
  <c r="O544" i="1"/>
  <c r="O552" i="1"/>
  <c r="O560" i="1"/>
  <c r="O568" i="1"/>
  <c r="O576" i="1"/>
  <c r="O584" i="1"/>
  <c r="O592" i="1"/>
  <c r="O600" i="1"/>
  <c r="O608" i="1"/>
  <c r="O616" i="1"/>
  <c r="O624" i="1"/>
  <c r="O632" i="1"/>
  <c r="O640" i="1"/>
  <c r="O648" i="1"/>
  <c r="O656" i="1"/>
  <c r="O664" i="1"/>
  <c r="O672" i="1"/>
  <c r="O680" i="1"/>
  <c r="O688" i="1"/>
  <c r="O696" i="1"/>
  <c r="O704" i="1"/>
  <c r="O712" i="1"/>
  <c r="O720" i="1"/>
  <c r="O728" i="1"/>
  <c r="O736" i="1"/>
  <c r="O744" i="1"/>
  <c r="O752" i="1"/>
  <c r="O760" i="1"/>
  <c r="O768" i="1"/>
  <c r="O863" i="1"/>
  <c r="O871" i="1"/>
  <c r="O879" i="1"/>
  <c r="O887" i="1"/>
  <c r="O895" i="1"/>
  <c r="O903" i="1"/>
  <c r="O911" i="1"/>
  <c r="O919" i="1"/>
  <c r="O927" i="1"/>
  <c r="O935" i="1"/>
  <c r="O943" i="1"/>
  <c r="O951" i="1"/>
  <c r="O959" i="1"/>
  <c r="O967" i="1"/>
  <c r="O975" i="1"/>
  <c r="O983" i="1"/>
  <c r="O991" i="1"/>
  <c r="O999" i="1"/>
  <c r="O1007" i="1"/>
  <c r="O1015" i="1"/>
  <c r="O1023" i="1"/>
  <c r="O1034" i="1"/>
  <c r="O1042" i="1"/>
  <c r="O1050" i="1"/>
  <c r="O1058" i="1"/>
  <c r="O1066" i="1"/>
  <c r="O1074" i="1"/>
  <c r="O1082" i="1"/>
  <c r="O1089" i="1"/>
  <c r="O1098" i="1"/>
  <c r="O1106" i="1"/>
  <c r="O1114" i="1"/>
  <c r="O1122" i="1"/>
  <c r="O1130" i="1"/>
  <c r="O1138" i="1"/>
  <c r="O1146" i="1"/>
  <c r="O1154" i="1"/>
  <c r="O1163" i="1"/>
  <c r="O1170" i="1"/>
  <c r="O1178" i="1"/>
  <c r="O1186" i="1"/>
  <c r="O1194" i="1"/>
  <c r="O1202" i="1"/>
  <c r="O1210" i="1"/>
  <c r="O2" i="1"/>
  <c r="O19" i="1"/>
  <c r="O27" i="1"/>
  <c r="O40" i="1"/>
  <c r="O55" i="1"/>
  <c r="O97" i="1"/>
  <c r="O107" i="1"/>
  <c r="O137" i="1"/>
  <c r="O145" i="1"/>
  <c r="O152" i="1"/>
  <c r="O159" i="1"/>
  <c r="O167" i="1"/>
  <c r="O175" i="1"/>
  <c r="O337" i="1"/>
  <c r="O345" i="1"/>
  <c r="O352" i="1"/>
  <c r="O359" i="1"/>
  <c r="O367" i="1"/>
  <c r="O375" i="1"/>
  <c r="O383" i="1"/>
  <c r="O391" i="1"/>
  <c r="O402" i="1"/>
  <c r="O410" i="1"/>
  <c r="O418" i="1"/>
  <c r="O426" i="1"/>
  <c r="O433" i="1"/>
  <c r="O441" i="1"/>
  <c r="O449" i="1"/>
  <c r="O457" i="1"/>
  <c r="O465" i="1"/>
  <c r="O475" i="1"/>
  <c r="O481" i="1"/>
  <c r="O489" i="1"/>
  <c r="O497" i="1"/>
  <c r="O505" i="1"/>
  <c r="O513" i="1"/>
  <c r="O521" i="1"/>
  <c r="O529" i="1"/>
  <c r="O537" i="1"/>
  <c r="O545" i="1"/>
  <c r="O553" i="1"/>
  <c r="O561" i="1"/>
  <c r="O567" i="1"/>
  <c r="O577" i="1"/>
  <c r="O585" i="1"/>
  <c r="O593" i="1"/>
  <c r="O601" i="1"/>
  <c r="O609" i="1"/>
  <c r="O617" i="1"/>
  <c r="O625" i="1"/>
  <c r="O633" i="1"/>
  <c r="O641" i="1"/>
  <c r="O649" i="1"/>
  <c r="O657" i="1"/>
  <c r="O665" i="1"/>
  <c r="O673" i="1"/>
  <c r="O681" i="1"/>
  <c r="O689" i="1"/>
  <c r="O697" i="1"/>
  <c r="O705" i="1"/>
  <c r="O713" i="1"/>
  <c r="O721" i="1"/>
  <c r="O729" i="1"/>
  <c r="O737" i="1"/>
  <c r="O746" i="1"/>
  <c r="O753" i="1"/>
  <c r="O761" i="1"/>
  <c r="O769" i="1"/>
  <c r="O777" i="1"/>
  <c r="O785" i="1"/>
  <c r="O793" i="1"/>
  <c r="O801" i="1"/>
  <c r="O809" i="1"/>
  <c r="O817" i="1"/>
  <c r="O825" i="1"/>
  <c r="O833" i="1"/>
  <c r="O841" i="1"/>
  <c r="O849" i="1"/>
  <c r="O857" i="1"/>
  <c r="O17" i="1"/>
  <c r="O57" i="1"/>
  <c r="O72" i="1"/>
  <c r="O83" i="1"/>
  <c r="O99" i="1"/>
  <c r="O8" i="1"/>
  <c r="O16" i="1"/>
  <c r="O24" i="1"/>
  <c r="O35" i="1"/>
  <c r="O84" i="1"/>
  <c r="O92" i="1"/>
  <c r="O100" i="1"/>
  <c r="O111" i="1"/>
  <c r="O119" i="1"/>
  <c r="O127" i="1"/>
  <c r="O153" i="1"/>
  <c r="O160" i="1"/>
  <c r="O168" i="1"/>
  <c r="O179" i="1"/>
  <c r="O187" i="1"/>
  <c r="O195" i="1"/>
  <c r="O203" i="1"/>
  <c r="O211" i="1"/>
  <c r="O219" i="1"/>
  <c r="O227" i="1"/>
  <c r="O235" i="1"/>
  <c r="O243" i="1"/>
  <c r="O251" i="1"/>
  <c r="O259" i="1"/>
  <c r="O267" i="1"/>
  <c r="O275" i="1"/>
  <c r="O283" i="1"/>
  <c r="O291" i="1"/>
  <c r="O299" i="1"/>
  <c r="O307" i="1"/>
  <c r="O315" i="1"/>
  <c r="O323" i="1"/>
  <c r="O330" i="1"/>
  <c r="O338" i="1"/>
  <c r="O346" i="1"/>
  <c r="O353" i="1"/>
  <c r="O360" i="1"/>
  <c r="O368" i="1"/>
  <c r="O376" i="1"/>
  <c r="O384" i="1"/>
  <c r="O392" i="1"/>
  <c r="O399" i="1"/>
  <c r="O407" i="1"/>
  <c r="O415" i="1"/>
  <c r="O423" i="1"/>
  <c r="O434" i="1"/>
  <c r="O442" i="1"/>
  <c r="O450" i="1"/>
  <c r="O458" i="1"/>
  <c r="O466" i="1"/>
  <c r="O474" i="1"/>
  <c r="O484" i="1"/>
  <c r="O490" i="1"/>
  <c r="O498" i="1"/>
  <c r="O506" i="1"/>
  <c r="O514" i="1"/>
  <c r="O522" i="1"/>
  <c r="O530" i="1"/>
  <c r="O538" i="1"/>
  <c r="O546" i="1"/>
  <c r="O554" i="1"/>
  <c r="O562" i="1"/>
  <c r="O570" i="1"/>
  <c r="O578" i="1"/>
  <c r="O586" i="1"/>
  <c r="O594" i="1"/>
  <c r="O602" i="1"/>
  <c r="O610" i="1"/>
  <c r="O618" i="1"/>
  <c r="O626" i="1"/>
  <c r="O634" i="1"/>
  <c r="O642" i="1"/>
  <c r="O650" i="1"/>
  <c r="O658" i="1"/>
  <c r="O666" i="1"/>
  <c r="O674" i="1"/>
  <c r="O682" i="1"/>
  <c r="O690" i="1"/>
  <c r="O698" i="1"/>
  <c r="O706" i="1"/>
  <c r="O714" i="1"/>
  <c r="O722" i="1"/>
  <c r="O730" i="1"/>
  <c r="O738" i="1"/>
  <c r="O745" i="1"/>
  <c r="O754" i="1"/>
  <c r="O762" i="1"/>
  <c r="O770" i="1"/>
  <c r="O865" i="1"/>
  <c r="O873" i="1"/>
  <c r="O881" i="1"/>
  <c r="O889" i="1"/>
  <c r="O897" i="1"/>
  <c r="O905" i="1"/>
  <c r="O913" i="1"/>
  <c r="O921" i="1"/>
  <c r="O929" i="1"/>
  <c r="O938" i="1"/>
  <c r="O945" i="1"/>
  <c r="O953" i="1"/>
  <c r="O961" i="1"/>
  <c r="O969" i="1"/>
  <c r="O977" i="1"/>
  <c r="O985" i="1"/>
  <c r="O993" i="1"/>
  <c r="O1001" i="1"/>
  <c r="O1009" i="1"/>
  <c r="O1017" i="1"/>
  <c r="O1025" i="1"/>
  <c r="O1032" i="1"/>
  <c r="O1040" i="1"/>
  <c r="O1048" i="1"/>
  <c r="O1056" i="1"/>
  <c r="O1064" i="1"/>
  <c r="O1072" i="1"/>
  <c r="O1081" i="1"/>
  <c r="O1088" i="1"/>
  <c r="O1096" i="1"/>
  <c r="O1104" i="1"/>
  <c r="O1112" i="1"/>
  <c r="O1120" i="1"/>
  <c r="O1128" i="1"/>
  <c r="O1136" i="1"/>
  <c r="O1144" i="1"/>
  <c r="O1153" i="1"/>
  <c r="O1161" i="1"/>
  <c r="O1168" i="1"/>
  <c r="O1176" i="1"/>
  <c r="O1184" i="1"/>
  <c r="O1192" i="1"/>
  <c r="O1200" i="1"/>
  <c r="O1208" i="1"/>
  <c r="O1216" i="1"/>
  <c r="O1224" i="1"/>
  <c r="O1232" i="1"/>
  <c r="O1240" i="1"/>
  <c r="O1230" i="1"/>
  <c r="O1244" i="1"/>
  <c r="O1252" i="1"/>
  <c r="O1260" i="1"/>
  <c r="O1268" i="1"/>
  <c r="O1276" i="1"/>
  <c r="O1284" i="1"/>
  <c r="O1292" i="1"/>
  <c r="O1300" i="1"/>
  <c r="O1308" i="1"/>
  <c r="O1316" i="1"/>
  <c r="O1324" i="1"/>
  <c r="O1332" i="1"/>
  <c r="O1340" i="1"/>
  <c r="O1348" i="1"/>
  <c r="O1356" i="1"/>
  <c r="O1364" i="1"/>
  <c r="O1372" i="1"/>
  <c r="O782" i="1"/>
  <c r="O790" i="1"/>
  <c r="O798" i="1"/>
  <c r="O806" i="1"/>
  <c r="O814" i="1"/>
  <c r="O822" i="1"/>
  <c r="O830" i="1"/>
  <c r="O838" i="1"/>
  <c r="O846" i="1"/>
  <c r="O854" i="1"/>
  <c r="O862" i="1"/>
  <c r="O870" i="1"/>
  <c r="O878" i="1"/>
  <c r="O886" i="1"/>
  <c r="O894" i="1"/>
  <c r="O902" i="1"/>
  <c r="O910" i="1"/>
  <c r="O918" i="1"/>
  <c r="O926" i="1"/>
  <c r="O934" i="1"/>
  <c r="O942" i="1"/>
  <c r="O950" i="1"/>
  <c r="O958" i="1"/>
  <c r="O966" i="1"/>
  <c r="O974" i="1"/>
  <c r="O982" i="1"/>
  <c r="O990" i="1"/>
  <c r="O998" i="1"/>
  <c r="O1006" i="1"/>
  <c r="O1014" i="1"/>
  <c r="O1022" i="1"/>
  <c r="O1029" i="1"/>
  <c r="O1037" i="1"/>
  <c r="O1045" i="1"/>
  <c r="O1053" i="1"/>
  <c r="O1061" i="1"/>
  <c r="O1069" i="1"/>
  <c r="O1077" i="1"/>
  <c r="O1085" i="1"/>
  <c r="O1093" i="1"/>
  <c r="O1101" i="1"/>
  <c r="O1109" i="1"/>
  <c r="O1117" i="1"/>
  <c r="O1125" i="1"/>
  <c r="O1133" i="1"/>
  <c r="O1141" i="1"/>
  <c r="O1149" i="1"/>
  <c r="O1157" i="1"/>
  <c r="O1165" i="1"/>
  <c r="O1173" i="1"/>
  <c r="O1181" i="1"/>
  <c r="O1189" i="1"/>
  <c r="O1197" i="1"/>
  <c r="O1205" i="1"/>
  <c r="O1213" i="1"/>
  <c r="O1221" i="1"/>
  <c r="O1229" i="1"/>
  <c r="O1237" i="1"/>
  <c r="O1245" i="1"/>
  <c r="O1253" i="1"/>
  <c r="O1261" i="1"/>
  <c r="O1269" i="1"/>
  <c r="O1277" i="1"/>
  <c r="O1285" i="1"/>
  <c r="O1293" i="1"/>
  <c r="O1301" i="1"/>
  <c r="O1309" i="1"/>
  <c r="O1317" i="1"/>
  <c r="O1325" i="1"/>
  <c r="O1333" i="1"/>
  <c r="O1341" i="1"/>
  <c r="O1349" i="1"/>
  <c r="O1378" i="1"/>
  <c r="O1386" i="1"/>
  <c r="O1394" i="1"/>
  <c r="O1402" i="1"/>
  <c r="O1410" i="1"/>
  <c r="O1418" i="1"/>
  <c r="O1426" i="1"/>
  <c r="O1434" i="1"/>
  <c r="O1442" i="1"/>
  <c r="O1450" i="1"/>
  <c r="O1458" i="1"/>
  <c r="O1466" i="1"/>
  <c r="O1474" i="1"/>
  <c r="O1482" i="1"/>
  <c r="O1490" i="1"/>
  <c r="O1498" i="1"/>
  <c r="O1506" i="1"/>
  <c r="O1514" i="1"/>
  <c r="O1522" i="1"/>
  <c r="O1530" i="1"/>
  <c r="O1538" i="1"/>
  <c r="O1546" i="1"/>
  <c r="O1554" i="1"/>
  <c r="O1562" i="1"/>
  <c r="O1569" i="1"/>
  <c r="O1577" i="1"/>
  <c r="O1585" i="1"/>
  <c r="O1593" i="1"/>
  <c r="O1601" i="1"/>
  <c r="O1609" i="1"/>
  <c r="O1617" i="1"/>
  <c r="O1625" i="1"/>
  <c r="O1633" i="1"/>
  <c r="O1641" i="1"/>
  <c r="O1649" i="1"/>
  <c r="O1657" i="1"/>
  <c r="O1665" i="1"/>
  <c r="O1673" i="1"/>
  <c r="O1681" i="1"/>
  <c r="O1689" i="1"/>
  <c r="O1697" i="1"/>
  <c r="O1705" i="1"/>
  <c r="O1713" i="1"/>
  <c r="O1721" i="1"/>
  <c r="O1729" i="1"/>
  <c r="O1737" i="1"/>
  <c r="O1745" i="1"/>
  <c r="O1753" i="1"/>
  <c r="O1761" i="1"/>
  <c r="O1769" i="1"/>
  <c r="O1777" i="1"/>
  <c r="O1785" i="1"/>
  <c r="O1793" i="1"/>
  <c r="O1801" i="1"/>
  <c r="O1809" i="1"/>
  <c r="O1817" i="1"/>
  <c r="O1825" i="1"/>
  <c r="O1833" i="1"/>
  <c r="O1841" i="1"/>
  <c r="O1849" i="1"/>
  <c r="O1857" i="1"/>
  <c r="O1353" i="1"/>
  <c r="O1361" i="1"/>
  <c r="O1369" i="1"/>
  <c r="O1377" i="1"/>
  <c r="O1385" i="1"/>
  <c r="O1393" i="1"/>
  <c r="O1401" i="1"/>
  <c r="O1409" i="1"/>
  <c r="O1417" i="1"/>
  <c r="O1425" i="1"/>
  <c r="O1433" i="1"/>
  <c r="O1441" i="1"/>
  <c r="O1449" i="1"/>
  <c r="O1457" i="1"/>
  <c r="O1465" i="1"/>
  <c r="O1473" i="1"/>
  <c r="O1481" i="1"/>
  <c r="O1489" i="1"/>
  <c r="O1497" i="1"/>
  <c r="O1505" i="1"/>
  <c r="O1513" i="1"/>
  <c r="O1521" i="1"/>
  <c r="O1529" i="1"/>
  <c r="O1537" i="1"/>
  <c r="O1545" i="1"/>
  <c r="O1553" i="1"/>
  <c r="O1561" i="1"/>
  <c r="O1568" i="1"/>
  <c r="O1576" i="1"/>
  <c r="O1584" i="1"/>
  <c r="O1592" i="1"/>
  <c r="O1600" i="1"/>
  <c r="O1608" i="1"/>
  <c r="O1616" i="1"/>
  <c r="O1624" i="1"/>
  <c r="O1632" i="1"/>
  <c r="O1640" i="1"/>
  <c r="O1648" i="1"/>
  <c r="O1656" i="1"/>
  <c r="O1663" i="1"/>
  <c r="O1672" i="1"/>
  <c r="O1680" i="1"/>
  <c r="O1688" i="1"/>
  <c r="O1696" i="1"/>
  <c r="O1704" i="1"/>
  <c r="O1712" i="1"/>
  <c r="O1720" i="1"/>
  <c r="O1728" i="1"/>
  <c r="O1736" i="1"/>
  <c r="O1744" i="1"/>
  <c r="O1752" i="1"/>
  <c r="O1760" i="1"/>
  <c r="O1768" i="1"/>
  <c r="O1776" i="1"/>
  <c r="O1784" i="1"/>
  <c r="O1792" i="1"/>
  <c r="O1800" i="1"/>
  <c r="O1808" i="1"/>
  <c r="O1816" i="1"/>
  <c r="O1824" i="1"/>
  <c r="O1832" i="1"/>
  <c r="O1840" i="1"/>
  <c r="O1848" i="1"/>
  <c r="O1856" i="1"/>
  <c r="O1865" i="1"/>
  <c r="O1875" i="1"/>
  <c r="O1883" i="1"/>
  <c r="O1891" i="1"/>
  <c r="O1899" i="1"/>
  <c r="O1907" i="1"/>
  <c r="O1915" i="1"/>
  <c r="O1923" i="1"/>
  <c r="O1930" i="1"/>
  <c r="O1939" i="1"/>
  <c r="O1947" i="1"/>
  <c r="O1955" i="1"/>
  <c r="O1963" i="1"/>
  <c r="O1971" i="1"/>
  <c r="O1979" i="1"/>
  <c r="O1987" i="1"/>
  <c r="O1995" i="1"/>
  <c r="O2003" i="1"/>
  <c r="O2011" i="1"/>
  <c r="O2019" i="1"/>
  <c r="O2027" i="1"/>
  <c r="O2035" i="1"/>
  <c r="O2043" i="1"/>
  <c r="O2051" i="1"/>
  <c r="O2059" i="1"/>
  <c r="O2067" i="1"/>
  <c r="O2075" i="1"/>
  <c r="O2083" i="1"/>
  <c r="O2091" i="1"/>
  <c r="O2099" i="1"/>
  <c r="O2107" i="1"/>
  <c r="O2115" i="1"/>
  <c r="O2123" i="1"/>
  <c r="O2130" i="1"/>
  <c r="O2139" i="1"/>
  <c r="O2147" i="1"/>
  <c r="O2155" i="1"/>
  <c r="O2163" i="1"/>
  <c r="O2172" i="1"/>
  <c r="O2180" i="1"/>
  <c r="O1869" i="1"/>
  <c r="O1226" i="1"/>
  <c r="O1242" i="1"/>
  <c r="O1250" i="1"/>
  <c r="O1258" i="1"/>
  <c r="O1266" i="1"/>
  <c r="O1274" i="1"/>
  <c r="O1282" i="1"/>
  <c r="O1290" i="1"/>
  <c r="O1298" i="1"/>
  <c r="O1306" i="1"/>
  <c r="O1314" i="1"/>
  <c r="O1322" i="1"/>
  <c r="O1330" i="1"/>
  <c r="O1338" i="1"/>
  <c r="O1346" i="1"/>
  <c r="O1354" i="1"/>
  <c r="O1362" i="1"/>
  <c r="O1371" i="1"/>
  <c r="O780" i="1"/>
  <c r="O788" i="1"/>
  <c r="O796" i="1"/>
  <c r="O804" i="1"/>
  <c r="O812" i="1"/>
  <c r="O820" i="1"/>
  <c r="O828" i="1"/>
  <c r="O836" i="1"/>
  <c r="O844" i="1"/>
  <c r="O852" i="1"/>
  <c r="O860" i="1"/>
  <c r="O868" i="1"/>
  <c r="O876" i="1"/>
  <c r="O884" i="1"/>
  <c r="O892" i="1"/>
  <c r="O900" i="1"/>
  <c r="O908" i="1"/>
  <c r="O916" i="1"/>
  <c r="O924" i="1"/>
  <c r="O932" i="1"/>
  <c r="O940" i="1"/>
  <c r="O948" i="1"/>
  <c r="O956" i="1"/>
  <c r="O964" i="1"/>
  <c r="O972" i="1"/>
  <c r="O980" i="1"/>
  <c r="O988" i="1"/>
  <c r="O996" i="1"/>
  <c r="O1004" i="1"/>
  <c r="O1012" i="1"/>
  <c r="O1020" i="1"/>
  <c r="O1027" i="1"/>
  <c r="O1035" i="1"/>
  <c r="O1043" i="1"/>
  <c r="O1051" i="1"/>
  <c r="O1059" i="1"/>
  <c r="O1067" i="1"/>
  <c r="O1075" i="1"/>
  <c r="O1083" i="1"/>
  <c r="O1091" i="1"/>
  <c r="O1099" i="1"/>
  <c r="O1107" i="1"/>
  <c r="O1115" i="1"/>
  <c r="O1123" i="1"/>
  <c r="O1131" i="1"/>
  <c r="O1139" i="1"/>
  <c r="O1147" i="1"/>
  <c r="O1155" i="1"/>
  <c r="O1162" i="1"/>
  <c r="O1171" i="1"/>
  <c r="O1179" i="1"/>
  <c r="O1187" i="1"/>
  <c r="O1195" i="1"/>
  <c r="O1203" i="1"/>
  <c r="O1211" i="1"/>
  <c r="O1219" i="1"/>
  <c r="O1227" i="1"/>
  <c r="O1235" i="1"/>
  <c r="O1243" i="1"/>
  <c r="O1251" i="1"/>
  <c r="O1259" i="1"/>
  <c r="O1267" i="1"/>
  <c r="O1275" i="1"/>
  <c r="O1283" i="1"/>
  <c r="O1291" i="1"/>
  <c r="O1299" i="1"/>
  <c r="O1307" i="1"/>
  <c r="O1315" i="1"/>
  <c r="O1323" i="1"/>
  <c r="O1331" i="1"/>
  <c r="O1339" i="1"/>
  <c r="O1347" i="1"/>
  <c r="O1376" i="1"/>
  <c r="O1384" i="1"/>
  <c r="O1392" i="1"/>
  <c r="O1400" i="1"/>
  <c r="O1408" i="1"/>
  <c r="O1415" i="1"/>
  <c r="O1424" i="1"/>
  <c r="O1432" i="1"/>
  <c r="O1440" i="1"/>
  <c r="O1448" i="1"/>
  <c r="O1456" i="1"/>
  <c r="O1464" i="1"/>
  <c r="O1472" i="1"/>
  <c r="O1480" i="1"/>
  <c r="O1488" i="1"/>
  <c r="O1496" i="1"/>
  <c r="O1504" i="1"/>
  <c r="O1512" i="1"/>
  <c r="O1520" i="1"/>
  <c r="O1528" i="1"/>
  <c r="O1536" i="1"/>
  <c r="O1544" i="1"/>
  <c r="O1552" i="1"/>
  <c r="O1560" i="1"/>
  <c r="O1567" i="1"/>
  <c r="O1575" i="1"/>
  <c r="O1583" i="1"/>
  <c r="O1591" i="1"/>
  <c r="O1599" i="1"/>
  <c r="O1607" i="1"/>
  <c r="O1615" i="1"/>
  <c r="O1623" i="1"/>
  <c r="O1631" i="1"/>
  <c r="O1639" i="1"/>
  <c r="O1647" i="1"/>
  <c r="O1655" i="1"/>
  <c r="O1664" i="1"/>
  <c r="O1671" i="1"/>
  <c r="O1679" i="1"/>
  <c r="O1687" i="1"/>
  <c r="O1695" i="1"/>
  <c r="O1703" i="1"/>
  <c r="O1711" i="1"/>
  <c r="O1719" i="1"/>
  <c r="O1727" i="1"/>
  <c r="O1735" i="1"/>
  <c r="O1743" i="1"/>
  <c r="O1751" i="1"/>
  <c r="O1759" i="1"/>
  <c r="O1767" i="1"/>
  <c r="O1775" i="1"/>
  <c r="O1783" i="1"/>
  <c r="O1791" i="1"/>
  <c r="O1799" i="1"/>
  <c r="O1807" i="1"/>
  <c r="O1815" i="1"/>
  <c r="O1823" i="1"/>
  <c r="O1831" i="1"/>
  <c r="O1839" i="1"/>
  <c r="O1847" i="1"/>
  <c r="O1855" i="1"/>
  <c r="O1863" i="1"/>
  <c r="O1359" i="1"/>
  <c r="O1367" i="1"/>
  <c r="O1375" i="1"/>
  <c r="O1383" i="1"/>
  <c r="O1391" i="1"/>
  <c r="O1399" i="1"/>
  <c r="O1407" i="1"/>
  <c r="O1416" i="1"/>
  <c r="O1423" i="1"/>
  <c r="O1431" i="1"/>
  <c r="O1439" i="1"/>
  <c r="O1447" i="1"/>
  <c r="O1455" i="1"/>
  <c r="O1463" i="1"/>
  <c r="O1471" i="1"/>
  <c r="O1479" i="1"/>
  <c r="O1487" i="1"/>
  <c r="O1495" i="1"/>
  <c r="O1503" i="1"/>
  <c r="O1511" i="1"/>
  <c r="O1519" i="1"/>
  <c r="O1527" i="1"/>
  <c r="O1535" i="1"/>
  <c r="O1543" i="1"/>
  <c r="O1551" i="1"/>
  <c r="O1559" i="1"/>
  <c r="O1574" i="1"/>
  <c r="O1582" i="1"/>
  <c r="O1590" i="1"/>
  <c r="O1598" i="1"/>
  <c r="O1606" i="1"/>
  <c r="O1614" i="1"/>
  <c r="O1622" i="1"/>
  <c r="O1630" i="1"/>
  <c r="O1638" i="1"/>
  <c r="O1646" i="1"/>
  <c r="O1654" i="1"/>
  <c r="O1662" i="1"/>
  <c r="O1670" i="1"/>
  <c r="O1678" i="1"/>
  <c r="O1686" i="1"/>
  <c r="O1694" i="1"/>
  <c r="O1702" i="1"/>
  <c r="O1710" i="1"/>
  <c r="O1718" i="1"/>
  <c r="O1726" i="1"/>
  <c r="O1734" i="1"/>
  <c r="O1742" i="1"/>
  <c r="O1750" i="1"/>
  <c r="O1758" i="1"/>
  <c r="O1766" i="1"/>
  <c r="O1774" i="1"/>
  <c r="O1782" i="1"/>
  <c r="O1790" i="1"/>
  <c r="O1798" i="1"/>
  <c r="O1806" i="1"/>
  <c r="O1814" i="1"/>
  <c r="O1822" i="1"/>
  <c r="O1830" i="1"/>
  <c r="O1838" i="1"/>
  <c r="O1846" i="1"/>
  <c r="O1854" i="1"/>
  <c r="O1862" i="1"/>
  <c r="O1873" i="1"/>
  <c r="O1881" i="1"/>
  <c r="O1889" i="1"/>
  <c r="O1897" i="1"/>
  <c r="O1905" i="1"/>
  <c r="O1913" i="1"/>
  <c r="O1921" i="1"/>
  <c r="O1929" i="1"/>
  <c r="O1937" i="1"/>
  <c r="O1946" i="1"/>
  <c r="O1953" i="1"/>
  <c r="O1961" i="1"/>
  <c r="O1969" i="1"/>
  <c r="O1977" i="1"/>
  <c r="O1985" i="1"/>
  <c r="O1993" i="1"/>
  <c r="O2001" i="1"/>
  <c r="O2009" i="1"/>
  <c r="O2017" i="1"/>
  <c r="O2025" i="1"/>
  <c r="O2033" i="1"/>
  <c r="O2041" i="1"/>
  <c r="O2049" i="1"/>
  <c r="O2061" i="1"/>
  <c r="O2077" i="1"/>
  <c r="O2093" i="1"/>
  <c r="O2109" i="1"/>
  <c r="O2125" i="1"/>
  <c r="O2141" i="1"/>
  <c r="O2157" i="1"/>
  <c r="O2173" i="1"/>
  <c r="O1864" i="1"/>
  <c r="O1872" i="1"/>
  <c r="O1880" i="1"/>
  <c r="O1888" i="1"/>
  <c r="O1896" i="1"/>
  <c r="O1904" i="1"/>
  <c r="O1912" i="1"/>
  <c r="O1920" i="1"/>
  <c r="O1928" i="1"/>
  <c r="O1936" i="1"/>
  <c r="O1944" i="1"/>
  <c r="O1952" i="1"/>
  <c r="O1959" i="1"/>
  <c r="O1968" i="1"/>
  <c r="O1976" i="1"/>
  <c r="O1984" i="1"/>
  <c r="O1992" i="1"/>
  <c r="O2000" i="1"/>
  <c r="O2008" i="1"/>
  <c r="O2016" i="1"/>
  <c r="O13" i="1"/>
  <c r="O37" i="1"/>
  <c r="O53" i="1"/>
  <c r="O69" i="1"/>
  <c r="O77" i="1"/>
  <c r="O85" i="1"/>
  <c r="O101" i="1"/>
  <c r="O6" i="1"/>
  <c r="O14" i="1"/>
  <c r="O22" i="1"/>
  <c r="O30" i="1"/>
  <c r="O38" i="1"/>
  <c r="O42" i="1"/>
  <c r="O46" i="1"/>
  <c r="O54" i="1"/>
  <c r="O62" i="1"/>
  <c r="O70" i="1"/>
  <c r="O74" i="1"/>
  <c r="O82" i="1"/>
  <c r="O90" i="1"/>
  <c r="O98" i="1"/>
  <c r="O106" i="1"/>
  <c r="O114" i="1"/>
  <c r="O122" i="1"/>
  <c r="O130" i="1"/>
  <c r="O138" i="1"/>
  <c r="O146" i="1"/>
  <c r="O154" i="1"/>
  <c r="O162" i="1"/>
  <c r="O170" i="1"/>
  <c r="O182" i="1"/>
  <c r="O190" i="1"/>
  <c r="O198" i="1"/>
  <c r="O206" i="1"/>
  <c r="O214" i="1"/>
  <c r="O222" i="1"/>
  <c r="O230" i="1"/>
  <c r="O238" i="1"/>
  <c r="O246" i="1"/>
  <c r="O254" i="1"/>
  <c r="O262" i="1"/>
  <c r="O270" i="1"/>
  <c r="O278" i="1"/>
  <c r="O286" i="1"/>
  <c r="O294" i="1"/>
  <c r="O302" i="1"/>
  <c r="O310" i="1"/>
  <c r="O318" i="1"/>
  <c r="O326" i="1"/>
  <c r="O1255" i="1"/>
  <c r="O1239" i="1"/>
  <c r="O1223" i="1"/>
  <c r="O1207" i="1"/>
  <c r="O1191" i="1"/>
  <c r="O1175" i="1"/>
  <c r="O1159" i="1"/>
  <c r="O1143" i="1"/>
  <c r="O1127" i="1"/>
  <c r="O1111" i="1"/>
  <c r="O1095" i="1"/>
  <c r="O1079" i="1"/>
  <c r="O1063" i="1"/>
  <c r="O1047" i="1"/>
  <c r="O1031" i="1"/>
  <c r="O1016" i="1"/>
  <c r="O1000" i="1"/>
  <c r="O984" i="1"/>
  <c r="O968" i="1"/>
  <c r="O952" i="1"/>
  <c r="O936" i="1"/>
  <c r="O920" i="1"/>
  <c r="O904" i="1"/>
  <c r="O888" i="1"/>
  <c r="O872" i="1"/>
  <c r="O856" i="1"/>
  <c r="O840" i="1"/>
  <c r="O824" i="1"/>
  <c r="O808" i="1"/>
  <c r="O792" i="1"/>
  <c r="O776" i="1"/>
  <c r="O1358" i="1"/>
  <c r="O1342" i="1"/>
  <c r="O1326" i="1"/>
  <c r="O1310" i="1"/>
  <c r="O1294" i="1"/>
  <c r="O1278" i="1"/>
  <c r="O1262" i="1"/>
  <c r="O1246" i="1"/>
  <c r="O1218" i="1"/>
  <c r="O2175" i="1"/>
  <c r="O2159" i="1"/>
  <c r="O2142" i="1"/>
  <c r="O2127" i="1"/>
  <c r="O2111" i="1"/>
  <c r="O2095" i="1"/>
  <c r="O2079" i="1"/>
  <c r="O2063" i="1"/>
  <c r="O2047" i="1"/>
  <c r="O2032" i="1"/>
  <c r="O2015" i="1"/>
  <c r="O1998" i="1"/>
  <c r="O1983" i="1"/>
  <c r="O1967" i="1"/>
  <c r="O1951" i="1"/>
  <c r="O1935" i="1"/>
  <c r="O1919" i="1"/>
  <c r="O1903" i="1"/>
  <c r="O1886" i="1"/>
  <c r="O1871" i="1"/>
  <c r="O1852" i="1"/>
  <c r="O1836" i="1"/>
  <c r="O1820" i="1"/>
  <c r="O1804" i="1"/>
  <c r="O1788" i="1"/>
  <c r="O1772" i="1"/>
  <c r="O1756" i="1"/>
  <c r="O1740" i="1"/>
  <c r="O1724" i="1"/>
  <c r="O1708" i="1"/>
  <c r="O1692" i="1"/>
  <c r="O1676" i="1"/>
  <c r="O1659" i="1"/>
  <c r="O1644" i="1"/>
  <c r="O1628" i="1"/>
  <c r="O1612" i="1"/>
  <c r="O1597" i="1"/>
  <c r="O1580" i="1"/>
  <c r="O1565" i="1"/>
  <c r="O1549" i="1"/>
  <c r="O1533" i="1"/>
  <c r="O1517" i="1"/>
  <c r="O1500" i="1"/>
  <c r="O1485" i="1"/>
  <c r="O1469" i="1"/>
  <c r="O1453" i="1"/>
  <c r="O1437" i="1"/>
  <c r="O1421" i="1"/>
  <c r="O1405" i="1"/>
  <c r="O1389" i="1"/>
  <c r="O1373" i="1"/>
  <c r="O1357" i="1"/>
  <c r="O1853" i="1"/>
  <c r="O1837" i="1"/>
  <c r="O1821" i="1"/>
  <c r="O1805" i="1"/>
  <c r="O1789" i="1"/>
  <c r="O1773" i="1"/>
  <c r="O1757" i="1"/>
  <c r="O1741" i="1"/>
  <c r="O1725" i="1"/>
  <c r="O1709" i="1"/>
  <c r="O1693" i="1"/>
  <c r="O1677" i="1"/>
  <c r="O1661" i="1"/>
  <c r="O1645" i="1"/>
  <c r="O1629" i="1"/>
  <c r="O1613" i="1"/>
  <c r="O1596" i="1"/>
  <c r="O1581" i="1"/>
  <c r="O1566" i="1"/>
  <c r="O1550" i="1"/>
  <c r="O1534" i="1"/>
  <c r="O1518" i="1"/>
  <c r="O1502" i="1"/>
  <c r="O1486" i="1"/>
  <c r="O1470" i="1"/>
  <c r="O1454" i="1"/>
  <c r="O1438" i="1"/>
  <c r="O1422" i="1"/>
  <c r="O1406" i="1"/>
  <c r="O1390" i="1"/>
  <c r="O1374" i="1"/>
  <c r="O1337" i="1"/>
  <c r="O1321" i="1"/>
  <c r="O1305" i="1"/>
  <c r="O1289" i="1"/>
  <c r="O1273" i="1"/>
  <c r="O1257" i="1"/>
  <c r="O1241" i="1"/>
  <c r="O1225" i="1"/>
  <c r="O1209" i="1"/>
  <c r="O1193" i="1"/>
  <c r="O1177" i="1"/>
  <c r="O1160" i="1"/>
  <c r="O1145" i="1"/>
  <c r="O1129" i="1"/>
  <c r="O1113" i="1"/>
  <c r="O1097" i="1"/>
  <c r="O1080" i="1"/>
  <c r="O1065" i="1"/>
  <c r="O1049" i="1"/>
  <c r="O1033" i="1"/>
  <c r="O1018" i="1"/>
  <c r="O1002" i="1"/>
  <c r="O986" i="1"/>
  <c r="O970" i="1"/>
  <c r="O954" i="1"/>
  <c r="O937" i="1"/>
  <c r="O922" i="1"/>
  <c r="O906" i="1"/>
  <c r="O890" i="1"/>
  <c r="O874" i="1"/>
  <c r="O858" i="1"/>
  <c r="O842" i="1"/>
  <c r="O826" i="1"/>
  <c r="O810" i="1"/>
  <c r="O794" i="1"/>
  <c r="O778" i="1"/>
  <c r="O1360" i="1"/>
  <c r="O1344" i="1"/>
  <c r="O1328" i="1"/>
  <c r="O1312" i="1"/>
  <c r="O1296" i="1"/>
  <c r="O1280" i="1"/>
  <c r="O1264" i="1"/>
  <c r="O1248" i="1"/>
  <c r="O1222" i="1"/>
  <c r="O1228" i="1"/>
  <c r="O1212" i="1"/>
  <c r="O1196" i="1"/>
  <c r="O1180" i="1"/>
  <c r="O1164" i="1"/>
  <c r="O1148" i="1"/>
  <c r="O1132" i="1"/>
  <c r="O1116" i="1"/>
  <c r="O1100" i="1"/>
  <c r="O1084" i="1"/>
  <c r="O1068" i="1"/>
  <c r="O1052" i="1"/>
  <c r="O1036" i="1"/>
  <c r="O1021" i="1"/>
  <c r="O1005" i="1"/>
  <c r="O989" i="1"/>
  <c r="O973" i="1"/>
  <c r="O957" i="1"/>
  <c r="O941" i="1"/>
  <c r="O925" i="1"/>
  <c r="O909" i="1"/>
  <c r="O893" i="1"/>
  <c r="O877" i="1"/>
  <c r="O774" i="1"/>
  <c r="O758" i="1"/>
  <c r="O742" i="1"/>
  <c r="O726" i="1"/>
  <c r="O710" i="1"/>
  <c r="O694" i="1"/>
  <c r="O678" i="1"/>
  <c r="O662" i="1"/>
  <c r="O646" i="1"/>
  <c r="O630" i="1"/>
  <c r="O614" i="1"/>
  <c r="O598" i="1"/>
  <c r="O582" i="1"/>
  <c r="O566" i="1"/>
  <c r="O550" i="1"/>
  <c r="O534" i="1"/>
  <c r="O518" i="1"/>
  <c r="O502" i="1"/>
  <c r="O486" i="1"/>
  <c r="O470" i="1"/>
  <c r="O454" i="1"/>
  <c r="O438" i="1"/>
  <c r="O419" i="1"/>
  <c r="O403" i="1"/>
  <c r="O388" i="1"/>
  <c r="O372" i="1"/>
  <c r="O356" i="1"/>
  <c r="O342" i="1"/>
  <c r="O327" i="1"/>
  <c r="O311" i="1"/>
  <c r="O295" i="1"/>
  <c r="O279" i="1"/>
  <c r="O263" i="1"/>
  <c r="O247" i="1"/>
  <c r="O231" i="1"/>
  <c r="O215" i="1"/>
  <c r="O199" i="1"/>
  <c r="O183" i="1"/>
  <c r="O164" i="1"/>
  <c r="O150" i="1"/>
  <c r="O134" i="1"/>
  <c r="O115" i="1"/>
  <c r="O96" i="1"/>
  <c r="O81" i="1"/>
  <c r="O28" i="1"/>
  <c r="O12" i="1"/>
  <c r="O91" i="1"/>
  <c r="O67" i="1"/>
  <c r="O861" i="1"/>
  <c r="O845" i="1"/>
  <c r="O829" i="1"/>
  <c r="O813" i="1"/>
  <c r="O797" i="1"/>
  <c r="O781" i="1"/>
  <c r="O765" i="1"/>
  <c r="O749" i="1"/>
  <c r="O733" i="1"/>
  <c r="O717" i="1"/>
  <c r="O701" i="1"/>
  <c r="O685" i="1"/>
  <c r="O669" i="1"/>
  <c r="O653" i="1"/>
  <c r="O637" i="1"/>
  <c r="O621" i="1"/>
  <c r="O604" i="1"/>
  <c r="O589" i="1"/>
  <c r="O573" i="1"/>
  <c r="O557" i="1"/>
  <c r="O541" i="1"/>
  <c r="O525" i="1"/>
  <c r="O509" i="1"/>
  <c r="O493" i="1"/>
  <c r="O477" i="1"/>
  <c r="O461" i="1"/>
  <c r="O445" i="1"/>
  <c r="O430" i="1"/>
  <c r="O414" i="1"/>
  <c r="O398" i="1"/>
  <c r="O379" i="1"/>
  <c r="O363" i="1"/>
  <c r="O349" i="1"/>
  <c r="O333" i="1"/>
  <c r="O314" i="1"/>
  <c r="O298" i="1"/>
  <c r="O282" i="1"/>
  <c r="O266" i="1"/>
  <c r="O250" i="1"/>
  <c r="O234" i="1"/>
  <c r="O218" i="1"/>
  <c r="O202" i="1"/>
  <c r="O186" i="1"/>
  <c r="O172" i="1"/>
  <c r="O155" i="1"/>
  <c r="O141" i="1"/>
  <c r="O89" i="1"/>
  <c r="O47" i="1"/>
  <c r="O23" i="1"/>
  <c r="O1214" i="1"/>
  <c r="O1198" i="1"/>
  <c r="O1182" i="1"/>
  <c r="O1166" i="1"/>
  <c r="O1150" i="1"/>
  <c r="O1134" i="1"/>
  <c r="O1118" i="1"/>
  <c r="O1102" i="1"/>
  <c r="O1086" i="1"/>
  <c r="O1070" i="1"/>
  <c r="O1054" i="1"/>
  <c r="O1038" i="1"/>
  <c r="O1019" i="1"/>
  <c r="O1003" i="1"/>
  <c r="O987" i="1"/>
  <c r="O971" i="1"/>
  <c r="O955" i="1"/>
  <c r="O939" i="1"/>
  <c r="O923" i="1"/>
  <c r="O907" i="1"/>
  <c r="O891" i="1"/>
  <c r="O875" i="1"/>
  <c r="O772" i="1"/>
  <c r="O756" i="1"/>
  <c r="O740" i="1"/>
  <c r="O724" i="1"/>
  <c r="O708" i="1"/>
  <c r="O692" i="1"/>
  <c r="O676" i="1"/>
  <c r="O660" i="1"/>
  <c r="O644" i="1"/>
  <c r="O628" i="1"/>
  <c r="O612" i="1"/>
  <c r="O596" i="1"/>
  <c r="O580" i="1"/>
  <c r="O564" i="1"/>
  <c r="O548" i="1"/>
  <c r="O532" i="1"/>
  <c r="O516" i="1"/>
  <c r="O500" i="1"/>
  <c r="O482" i="1"/>
  <c r="O468" i="1"/>
  <c r="O452" i="1"/>
  <c r="O436" i="1"/>
  <c r="O421" i="1"/>
  <c r="O405" i="1"/>
  <c r="O390" i="1"/>
  <c r="O374" i="1"/>
  <c r="O358" i="1"/>
  <c r="O340" i="1"/>
  <c r="O325" i="1"/>
  <c r="O309" i="1"/>
  <c r="O293" i="1"/>
  <c r="O277" i="1"/>
  <c r="O261" i="1"/>
  <c r="O245" i="1"/>
  <c r="O229" i="1"/>
  <c r="O213" i="1"/>
  <c r="O197" i="1"/>
  <c r="O181" i="1"/>
  <c r="O166" i="1"/>
  <c r="O148" i="1"/>
  <c r="O132" i="1"/>
  <c r="O117" i="1"/>
  <c r="O71" i="1"/>
  <c r="O56" i="1"/>
  <c r="O41" i="1"/>
  <c r="O80" i="1"/>
  <c r="O5" i="1"/>
  <c r="O847" i="1"/>
  <c r="O831" i="1"/>
  <c r="O815" i="1"/>
  <c r="O799" i="1"/>
  <c r="O783" i="1"/>
  <c r="O767" i="1"/>
  <c r="O751" i="1"/>
  <c r="O735" i="1"/>
  <c r="O719" i="1"/>
  <c r="O703" i="1"/>
  <c r="O687" i="1"/>
  <c r="O671" i="1"/>
  <c r="O655" i="1"/>
  <c r="O639" i="1"/>
  <c r="O623" i="1"/>
  <c r="O607" i="1"/>
  <c r="O591" i="1"/>
  <c r="O575" i="1"/>
  <c r="O559" i="1"/>
  <c r="O543" i="1"/>
  <c r="O527" i="1"/>
  <c r="O511" i="1"/>
  <c r="O495" i="1"/>
  <c r="O479" i="1"/>
  <c r="O463" i="1"/>
  <c r="O447" i="1"/>
  <c r="O431" i="1"/>
  <c r="O416" i="1"/>
  <c r="O400" i="1"/>
  <c r="O385" i="1"/>
  <c r="O369" i="1"/>
  <c r="O354" i="1"/>
  <c r="O335" i="1"/>
  <c r="O320" i="1"/>
  <c r="O304" i="1"/>
  <c r="O288" i="1"/>
  <c r="O272" i="1"/>
  <c r="O256" i="1"/>
  <c r="O240" i="1"/>
  <c r="O224" i="1"/>
  <c r="O208" i="1"/>
  <c r="O192" i="1"/>
  <c r="O176" i="1"/>
  <c r="O161" i="1"/>
  <c r="O143" i="1"/>
  <c r="O128" i="1"/>
  <c r="O112" i="1"/>
  <c r="O59" i="1"/>
  <c r="O7" i="1"/>
</calcChain>
</file>

<file path=xl/sharedStrings.xml><?xml version="1.0" encoding="utf-8"?>
<sst xmlns="http://schemas.openxmlformats.org/spreadsheetml/2006/main" count="72215" uniqueCount="4518">
  <si>
    <t/>
  </si>
  <si>
    <t>40101001</t>
  </si>
  <si>
    <t>2018000000</t>
  </si>
  <si>
    <t>RV</t>
  </si>
  <si>
    <t>USD</t>
  </si>
  <si>
    <t>83.95000</t>
  </si>
  <si>
    <t>BDT</t>
  </si>
  <si>
    <t>C3084LVGR058220</t>
  </si>
  <si>
    <t>20200702</t>
  </si>
  <si>
    <t>0</t>
  </si>
  <si>
    <t>2010100001</t>
  </si>
  <si>
    <t>2018000001</t>
  </si>
  <si>
    <t>C3089UQ20OSA0547</t>
  </si>
  <si>
    <t>2018000018</t>
  </si>
  <si>
    <t>C3067LVCA058120</t>
  </si>
  <si>
    <t>2018000026</t>
  </si>
  <si>
    <t>C3121UQ20TOK0563</t>
  </si>
  <si>
    <t>2018000027</t>
  </si>
  <si>
    <t>C3122UQ20SHA0559</t>
  </si>
  <si>
    <t>2018000028</t>
  </si>
  <si>
    <t>C3122UQ20SHA0560</t>
  </si>
  <si>
    <t>2018000033</t>
  </si>
  <si>
    <t>C3128UQ20SHA0534</t>
  </si>
  <si>
    <t>2018000034</t>
  </si>
  <si>
    <t>C3128UQ20SHA0535</t>
  </si>
  <si>
    <t>2018000004</t>
  </si>
  <si>
    <t>C3074UQ20PH0463</t>
  </si>
  <si>
    <t>20200703</t>
  </si>
  <si>
    <t>2018000005</t>
  </si>
  <si>
    <t>C3091UQ20ID0443</t>
  </si>
  <si>
    <t>2018000006</t>
  </si>
  <si>
    <t>C3091UQ20MY0579</t>
  </si>
  <si>
    <t>2018000024</t>
  </si>
  <si>
    <t>C3120UQ20YAN0586</t>
  </si>
  <si>
    <t>2018000025</t>
  </si>
  <si>
    <t>C3120UQ20YAN0587</t>
  </si>
  <si>
    <t>2018000031</t>
  </si>
  <si>
    <t>C3122UQ20YAN0561</t>
  </si>
  <si>
    <t>2018000032</t>
  </si>
  <si>
    <t>C3122UQ20YAN0562</t>
  </si>
  <si>
    <t>2018000002</t>
  </si>
  <si>
    <t>C3093UQ20OSA0588</t>
  </si>
  <si>
    <t>20200704</t>
  </si>
  <si>
    <t>2018000003</t>
  </si>
  <si>
    <t>C3093UQ20TOK0589</t>
  </si>
  <si>
    <t>2018000008</t>
  </si>
  <si>
    <t>C3122UQ20VAN0590</t>
  </si>
  <si>
    <t>2008000000</t>
  </si>
  <si>
    <t>DR</t>
  </si>
  <si>
    <t>SC3088UQ20JP031</t>
  </si>
  <si>
    <t>Sample sales to EDL HK</t>
  </si>
  <si>
    <t>Sample Sales to EDL HK</t>
  </si>
  <si>
    <t>2008000001</t>
  </si>
  <si>
    <t>SC3093UQ20JP019</t>
  </si>
  <si>
    <t>2008000002</t>
  </si>
  <si>
    <t>83.95004</t>
  </si>
  <si>
    <t>SC3093UQ20JP018</t>
  </si>
  <si>
    <t>2018000007</t>
  </si>
  <si>
    <t>C3122UQ20TOR0591</t>
  </si>
  <si>
    <t>20200705</t>
  </si>
  <si>
    <t>2018000009</t>
  </si>
  <si>
    <t>C3128UQ20HAK0565</t>
  </si>
  <si>
    <t>20200706</t>
  </si>
  <si>
    <t>2018000010</t>
  </si>
  <si>
    <t>C3128UQ20OSA0608</t>
  </si>
  <si>
    <t>2018000011</t>
  </si>
  <si>
    <t>C3060LVGR059620</t>
  </si>
  <si>
    <t>2018000012</t>
  </si>
  <si>
    <t>83.95001</t>
  </si>
  <si>
    <t>C3093UQ20IN0599</t>
  </si>
  <si>
    <t>20200708</t>
  </si>
  <si>
    <t>2018000013</t>
  </si>
  <si>
    <t>C3121UQ20IN0564</t>
  </si>
  <si>
    <t>2018000016</t>
  </si>
  <si>
    <t>C3064LVSG059720</t>
  </si>
  <si>
    <t>2018000017</t>
  </si>
  <si>
    <t>C3067LVGR059420</t>
  </si>
  <si>
    <t>2018000022</t>
  </si>
  <si>
    <t>C3120UQ20SHA0584</t>
  </si>
  <si>
    <t>2018000023</t>
  </si>
  <si>
    <t>C3120UQ20SHA0585</t>
  </si>
  <si>
    <t>2018000061</t>
  </si>
  <si>
    <t>C3060LVUS060420</t>
  </si>
  <si>
    <t>2018000041</t>
  </si>
  <si>
    <t>C3036LVUS059220</t>
  </si>
  <si>
    <t>20200709</t>
  </si>
  <si>
    <t>2018000042</t>
  </si>
  <si>
    <t>C3036LVUS059520</t>
  </si>
  <si>
    <t>2018000014</t>
  </si>
  <si>
    <t>C3067LVCA059320</t>
  </si>
  <si>
    <t>20200711</t>
  </si>
  <si>
    <t>2018000051</t>
  </si>
  <si>
    <t>C3120UQ20SHA0609</t>
  </si>
  <si>
    <t>2018000052</t>
  </si>
  <si>
    <t>C3120UQ20YAN0610</t>
  </si>
  <si>
    <t>2018000019</t>
  </si>
  <si>
    <t>C3121UQ20OSA0601</t>
  </si>
  <si>
    <t>20200712</t>
  </si>
  <si>
    <t>2018000020</t>
  </si>
  <si>
    <t>C3128UQ20TOK0614</t>
  </si>
  <si>
    <t>2018000021</t>
  </si>
  <si>
    <t>C3121UQ20TOK0600</t>
  </si>
  <si>
    <t>2018000015</t>
  </si>
  <si>
    <t>C3077LVTR060620</t>
  </si>
  <si>
    <t>20200713</t>
  </si>
  <si>
    <t>2018000030</t>
  </si>
  <si>
    <t>C3122UQ20VAN0618</t>
  </si>
  <si>
    <t>2018000035</t>
  </si>
  <si>
    <t>C3121UQ20TOK0628</t>
  </si>
  <si>
    <t>2018000036</t>
  </si>
  <si>
    <t>C3128UQ20NAG0615</t>
  </si>
  <si>
    <t>2018000037</t>
  </si>
  <si>
    <t>C3128UQ20SEN0616</t>
  </si>
  <si>
    <t>2018000038</t>
  </si>
  <si>
    <t>C3128UQ20SEN0633</t>
  </si>
  <si>
    <t>2018000039</t>
  </si>
  <si>
    <t>C3128UQ20TOM0617</t>
  </si>
  <si>
    <t>2018000040</t>
  </si>
  <si>
    <t>C3128UQ20TOM0627</t>
  </si>
  <si>
    <t>2018000029</t>
  </si>
  <si>
    <t>C3122UQ20TOR0619</t>
  </si>
  <si>
    <t>20200714</t>
  </si>
  <si>
    <t>2018000043</t>
  </si>
  <si>
    <t>C3064LVUS062020</t>
  </si>
  <si>
    <t>2018000050</t>
  </si>
  <si>
    <t>C3049LVCA062120</t>
  </si>
  <si>
    <t>20200715</t>
  </si>
  <si>
    <t>2018000044</t>
  </si>
  <si>
    <t>C3068LVTH062420</t>
  </si>
  <si>
    <t>20200716</t>
  </si>
  <si>
    <t>2018000045</t>
  </si>
  <si>
    <t>C3088UQ20HK0613</t>
  </si>
  <si>
    <t>2018000046</t>
  </si>
  <si>
    <t>C3121UQ20OSA0647</t>
  </si>
  <si>
    <t>2018000047</t>
  </si>
  <si>
    <t>C3122UQ20TW0638</t>
  </si>
  <si>
    <t>2018000048</t>
  </si>
  <si>
    <t>C3125UQ20KR0611</t>
  </si>
  <si>
    <t>20200717</t>
  </si>
  <si>
    <t>2018000049</t>
  </si>
  <si>
    <t>C3125UQ20KR0626</t>
  </si>
  <si>
    <t>2018000053</t>
  </si>
  <si>
    <t>C3063LVGR062220</t>
  </si>
  <si>
    <t>2018000054</t>
  </si>
  <si>
    <t>C3118UQ20MEL0462</t>
  </si>
  <si>
    <t>20200718</t>
  </si>
  <si>
    <t>2018000055</t>
  </si>
  <si>
    <t>C3118UQ20SYD0461</t>
  </si>
  <si>
    <t>2018000058</t>
  </si>
  <si>
    <t>C3128UQ20TOK0645</t>
  </si>
  <si>
    <t>2018000056</t>
  </si>
  <si>
    <t>C3121UQ20TOK0630</t>
  </si>
  <si>
    <t>20200719</t>
  </si>
  <si>
    <t>2018000057</t>
  </si>
  <si>
    <t>C3128UQ20OSA0629</t>
  </si>
  <si>
    <t>2018000059</t>
  </si>
  <si>
    <t>C3128UQ20HAK0632</t>
  </si>
  <si>
    <t>2018000060</t>
  </si>
  <si>
    <t>C3128UQ20NAG0631</t>
  </si>
  <si>
    <t>2018000063</t>
  </si>
  <si>
    <t>C3120UQ20YAN0637</t>
  </si>
  <si>
    <t>2018000062</t>
  </si>
  <si>
    <t>C3099LVUS065020</t>
  </si>
  <si>
    <t>20200720</t>
  </si>
  <si>
    <t>2018000064</t>
  </si>
  <si>
    <t>C3122UQ20EU0661</t>
  </si>
  <si>
    <t>2018000080</t>
  </si>
  <si>
    <t>C3067LVMX065220</t>
  </si>
  <si>
    <t>2018000066</t>
  </si>
  <si>
    <t>C3132UQ20EU0644</t>
  </si>
  <si>
    <t>20200721</t>
  </si>
  <si>
    <t>2018000077</t>
  </si>
  <si>
    <t>C3060LVCA065120</t>
  </si>
  <si>
    <t>2018000065</t>
  </si>
  <si>
    <t>C3128UQ20TOK0660</t>
  </si>
  <si>
    <t>20200722</t>
  </si>
  <si>
    <t>2018000067</t>
  </si>
  <si>
    <t>C3120UQ20SHA0635</t>
  </si>
  <si>
    <t>2018000068</t>
  </si>
  <si>
    <t>C3122UQ20SHA0666</t>
  </si>
  <si>
    <t>2018000069</t>
  </si>
  <si>
    <t>C3122UQ20SHA0667</t>
  </si>
  <si>
    <t>2018000070</t>
  </si>
  <si>
    <t>C3122UQ20YAN0668</t>
  </si>
  <si>
    <t>2018000073</t>
  </si>
  <si>
    <t>C3131UQ20SHA0662</t>
  </si>
  <si>
    <t>2018000074</t>
  </si>
  <si>
    <t>C3131UQ20SHA0663</t>
  </si>
  <si>
    <t>2018000075</t>
  </si>
  <si>
    <t>C3131UQ20YAN0665</t>
  </si>
  <si>
    <t>2018000076</t>
  </si>
  <si>
    <t>C3150UQ20SHA0670</t>
  </si>
  <si>
    <t>2018000093</t>
  </si>
  <si>
    <t>C3120UQ20SHA0636</t>
  </si>
  <si>
    <t>2018000094</t>
  </si>
  <si>
    <t>C3122UQ20YAN0669</t>
  </si>
  <si>
    <t>2018000095</t>
  </si>
  <si>
    <t>C3131UQ20YAN0664</t>
  </si>
  <si>
    <t>2018000096</t>
  </si>
  <si>
    <t>C3150UQ20YAN0671</t>
  </si>
  <si>
    <t>2018000097</t>
  </si>
  <si>
    <t>C3064LVUS064820</t>
  </si>
  <si>
    <t>2018000098</t>
  </si>
  <si>
    <t>C3099LVUS064920</t>
  </si>
  <si>
    <t>2018000071</t>
  </si>
  <si>
    <t>C3128UQ20HAK0655</t>
  </si>
  <si>
    <t>20200724</t>
  </si>
  <si>
    <t>2018000072</t>
  </si>
  <si>
    <t>C3128UQ20NAG0656</t>
  </si>
  <si>
    <t>2018000078</t>
  </si>
  <si>
    <t>C3060LVTH065320</t>
  </si>
  <si>
    <t>2018000079</t>
  </si>
  <si>
    <t>C3064LVSG062320</t>
  </si>
  <si>
    <t>2018000081</t>
  </si>
  <si>
    <t>C3117UQ20MEL0657</t>
  </si>
  <si>
    <t>20200726</t>
  </si>
  <si>
    <t>2018000082</t>
  </si>
  <si>
    <t>C3117UQ20MEL0658</t>
  </si>
  <si>
    <t>2018000083</t>
  </si>
  <si>
    <t>C3117UQ20SYD0659</t>
  </si>
  <si>
    <t>2018000084</t>
  </si>
  <si>
    <t>C3121UQ20OSA0654</t>
  </si>
  <si>
    <t>2018000085</t>
  </si>
  <si>
    <t>C3126UQ20MEL0672</t>
  </si>
  <si>
    <t>2018000086</t>
  </si>
  <si>
    <t>C3126UQ20MEL0673</t>
  </si>
  <si>
    <t>2018000087</t>
  </si>
  <si>
    <t>C3126UQ20SYD0674</t>
  </si>
  <si>
    <t>2018000088</t>
  </si>
  <si>
    <t>C3064LVUS068020</t>
  </si>
  <si>
    <t>20200727</t>
  </si>
  <si>
    <t>2018000089</t>
  </si>
  <si>
    <t>C3125UQ20KR0678</t>
  </si>
  <si>
    <t>2018000090</t>
  </si>
  <si>
    <t>C3122UQ20KR0675</t>
  </si>
  <si>
    <t>2018000091</t>
  </si>
  <si>
    <t>C3122UQ20KR0676</t>
  </si>
  <si>
    <t>2018000092</t>
  </si>
  <si>
    <t>C3125UQ20KR0679</t>
  </si>
  <si>
    <t>2018000099</t>
  </si>
  <si>
    <t>C3099LVUS068120</t>
  </si>
  <si>
    <t>20200728</t>
  </si>
  <si>
    <t>2018000100</t>
  </si>
  <si>
    <t>C3085LVCA068320</t>
  </si>
  <si>
    <t>2018000137</t>
  </si>
  <si>
    <t>C3120UQ20SHA0685</t>
  </si>
  <si>
    <t>2018000138</t>
  </si>
  <si>
    <t>C3120UQ20SHA0687</t>
  </si>
  <si>
    <t>2018000105</t>
  </si>
  <si>
    <t>C3093UQ20OSA0698</t>
  </si>
  <si>
    <t>20200729</t>
  </si>
  <si>
    <t>2018000106</t>
  </si>
  <si>
    <t>C3093UQ20OSA0714</t>
  </si>
  <si>
    <t>2018000107</t>
  </si>
  <si>
    <t>C3093UQ20TOK0702</t>
  </si>
  <si>
    <t>2018000112</t>
  </si>
  <si>
    <t>C3128UQ20TOK0701</t>
  </si>
  <si>
    <t>2018000114</t>
  </si>
  <si>
    <t>C3150UQ20TW0727</t>
  </si>
  <si>
    <t>2018000127</t>
  </si>
  <si>
    <t>C3150UQ20YAN0726</t>
  </si>
  <si>
    <t>2018000139</t>
  </si>
  <si>
    <t>C3120UQ20YAN0686</t>
  </si>
  <si>
    <t>2018000140</t>
  </si>
  <si>
    <t>C3120UQ20YAN0688</t>
  </si>
  <si>
    <t>2003000342</t>
  </si>
  <si>
    <t>AB</t>
  </si>
  <si>
    <t>C3128UQ20TOK0721</t>
  </si>
  <si>
    <t>20200730</t>
  </si>
  <si>
    <t>2003000363</t>
  </si>
  <si>
    <t>SA</t>
  </si>
  <si>
    <t>WASH(EXPORT)</t>
  </si>
  <si>
    <t>WASH(EXPORT)JUL'20</t>
  </si>
  <si>
    <t>WASH(EXPORT)JULY20</t>
  </si>
  <si>
    <t>WASH(EXPORT) JULY20</t>
  </si>
  <si>
    <t>2018000104</t>
  </si>
  <si>
    <t>C3093UQ20HAK0712</t>
  </si>
  <si>
    <t>2018000108</t>
  </si>
  <si>
    <t>C3117UQ20KR0723</t>
  </si>
  <si>
    <t>2018000109</t>
  </si>
  <si>
    <t>C3117UQ20KR0724</t>
  </si>
  <si>
    <t>2018000110</t>
  </si>
  <si>
    <t>C3128UQ20HAK0710</t>
  </si>
  <si>
    <t>2018000111</t>
  </si>
  <si>
    <t>C3128UQ20OSA0722</t>
  </si>
  <si>
    <t>2018000113</t>
  </si>
  <si>
    <t>2018000122</t>
  </si>
  <si>
    <t>C3081LVMX068220</t>
  </si>
  <si>
    <t>2018000126</t>
  </si>
  <si>
    <t>40101011</t>
  </si>
  <si>
    <t>WASH(EXPORT)JULY'20</t>
  </si>
  <si>
    <t>2010200001</t>
  </si>
  <si>
    <t>2008000003</t>
  </si>
  <si>
    <t>CIPL-PGCL272-20</t>
  </si>
  <si>
    <t>Inter-Company wash sales to PGCL</t>
  </si>
  <si>
    <t>Intercompany Wash Sales</t>
  </si>
  <si>
    <t>2008000004</t>
  </si>
  <si>
    <t>CIPL-PGCL273-20</t>
  </si>
  <si>
    <t>2008000005</t>
  </si>
  <si>
    <t>CIPL-PGCL274-20</t>
  </si>
  <si>
    <t>2008000006</t>
  </si>
  <si>
    <t>CIPL-EG-A-007-20</t>
  </si>
  <si>
    <t>Inter-Company wash sales to EGMC-AEPZ</t>
  </si>
  <si>
    <t>40101012</t>
  </si>
  <si>
    <t>2008000007</t>
  </si>
  <si>
    <t>CIPL-MSGL-202-20</t>
  </si>
  <si>
    <t>Outside wash sales to mascot garments ltd</t>
  </si>
  <si>
    <t>Outside Washing Sales</t>
  </si>
  <si>
    <t>2008000008</t>
  </si>
  <si>
    <t>CIPL-MSGL-203-20</t>
  </si>
  <si>
    <t>2008000009</t>
  </si>
  <si>
    <t>CIPL-MSGL-204-20</t>
  </si>
  <si>
    <t>2008000010</t>
  </si>
  <si>
    <t>CIPL-MSGL-205-20</t>
  </si>
  <si>
    <t>2018000101</t>
  </si>
  <si>
    <t>C3060LVGR070720</t>
  </si>
  <si>
    <t>20200731</t>
  </si>
  <si>
    <t>2018000128</t>
  </si>
  <si>
    <t>C3120UQ20SHA0717</t>
  </si>
  <si>
    <t>2018000129</t>
  </si>
  <si>
    <t>C3120UQ20SHA0718</t>
  </si>
  <si>
    <t>2018000130</t>
  </si>
  <si>
    <t>C3120UQ20YAN0719</t>
  </si>
  <si>
    <t>2018000131</t>
  </si>
  <si>
    <t>C3120UQ20YAN0720</t>
  </si>
  <si>
    <t>83.95002</t>
  </si>
  <si>
    <t>2018000132</t>
  </si>
  <si>
    <t>C3150UQ20SHA0689</t>
  </si>
  <si>
    <t>2018000133</t>
  </si>
  <si>
    <t>C3150UQ20SHA0692</t>
  </si>
  <si>
    <t>2018000134</t>
  </si>
  <si>
    <t>C3150UQ20YAN0690</t>
  </si>
  <si>
    <t>2018000135</t>
  </si>
  <si>
    <t>C3150UQ20YAN0691</t>
  </si>
  <si>
    <t>2018000136</t>
  </si>
  <si>
    <t>C3150UQ20YAN0728</t>
  </si>
  <si>
    <t>2018000102</t>
  </si>
  <si>
    <t>C3063LVTR070620</t>
  </si>
  <si>
    <t>20200803</t>
  </si>
  <si>
    <t>2018000103</t>
  </si>
  <si>
    <t>C3080LVTR068420</t>
  </si>
  <si>
    <t>2018000115</t>
  </si>
  <si>
    <t>C3093UQ20NAG0697</t>
  </si>
  <si>
    <t>2018000116</t>
  </si>
  <si>
    <t>C3093UQ20NAG0713</t>
  </si>
  <si>
    <t>2018000117</t>
  </si>
  <si>
    <t>C3093UQ20SEN0699</t>
  </si>
  <si>
    <t>2018000118</t>
  </si>
  <si>
    <t>C3093UQ20SEN0715</t>
  </si>
  <si>
    <t>2018000119</t>
  </si>
  <si>
    <t>C3093UQ20TOM0700</t>
  </si>
  <si>
    <t>2018000120</t>
  </si>
  <si>
    <t>C3128UQ20NAG0711</t>
  </si>
  <si>
    <t>2018000123</t>
  </si>
  <si>
    <t>C3093UQ20TOM0716</t>
  </si>
  <si>
    <t>2018000174</t>
  </si>
  <si>
    <t>C3064LVUS070520</t>
  </si>
  <si>
    <t>20200805</t>
  </si>
  <si>
    <t>2018000175</t>
  </si>
  <si>
    <t>C3099LVUS070420</t>
  </si>
  <si>
    <t>2018000121</t>
  </si>
  <si>
    <t>C3064LVSG070920</t>
  </si>
  <si>
    <t>20200807</t>
  </si>
  <si>
    <t>2018000124</t>
  </si>
  <si>
    <t>C3128UQ20OSA0732</t>
  </si>
  <si>
    <t>2018000125</t>
  </si>
  <si>
    <t>C3128UQ20TOK0731</t>
  </si>
  <si>
    <t>2018000141</t>
  </si>
  <si>
    <t>C3084LVGR070820</t>
  </si>
  <si>
    <t>2018000142</t>
  </si>
  <si>
    <t>C3085LVCA070320</t>
  </si>
  <si>
    <t>20200810</t>
  </si>
  <si>
    <t>2008000011</t>
  </si>
  <si>
    <t>SC3092LVMX02420A</t>
  </si>
  <si>
    <t>2018000144</t>
  </si>
  <si>
    <t>C3093UQ20HAK0744</t>
  </si>
  <si>
    <t>20200814</t>
  </si>
  <si>
    <t>2018000145</t>
  </si>
  <si>
    <t>C3093UQ20NAG0745</t>
  </si>
  <si>
    <t>2018000146</t>
  </si>
  <si>
    <t>C3122UQ20MEL0740</t>
  </si>
  <si>
    <t>2018000147</t>
  </si>
  <si>
    <t>C3122UQ20SYD0741</t>
  </si>
  <si>
    <t>2018000143</t>
  </si>
  <si>
    <t>C3084LVGR060320</t>
  </si>
  <si>
    <t>20200816</t>
  </si>
  <si>
    <t>2018000148</t>
  </si>
  <si>
    <t>C3093UQ20OSA0746</t>
  </si>
  <si>
    <t>20200817</t>
  </si>
  <si>
    <t>2018000149</t>
  </si>
  <si>
    <t>C3093UQ20TOK0747</t>
  </si>
  <si>
    <t>2018000155</t>
  </si>
  <si>
    <t>C3132UQ20YAN0738</t>
  </si>
  <si>
    <t>2018000156</t>
  </si>
  <si>
    <t>83.94999</t>
  </si>
  <si>
    <t>C3132UQ20YAN0739</t>
  </si>
  <si>
    <t>2018000153</t>
  </si>
  <si>
    <t>C3132UQ20SHA0736</t>
  </si>
  <si>
    <t>20200818</t>
  </si>
  <si>
    <t>2018000154</t>
  </si>
  <si>
    <t>C3132UQ20SHA0737</t>
  </si>
  <si>
    <t>2018000150</t>
  </si>
  <si>
    <t>C3084LVGR075520</t>
  </si>
  <si>
    <t>20200819</t>
  </si>
  <si>
    <t>2018000151</t>
  </si>
  <si>
    <t>C3099LVUS075220</t>
  </si>
  <si>
    <t>2018000185</t>
  </si>
  <si>
    <t>C3099LVUS075020</t>
  </si>
  <si>
    <t>2018000186</t>
  </si>
  <si>
    <t>C3099LVUS074920</t>
  </si>
  <si>
    <t>2018000187</t>
  </si>
  <si>
    <t>C3099LVUS075120</t>
  </si>
  <si>
    <t>2018000205</t>
  </si>
  <si>
    <t>C3150UQ20YAN0733</t>
  </si>
  <si>
    <t>2018000159</t>
  </si>
  <si>
    <t>C3130C&amp;A20GR0757</t>
  </si>
  <si>
    <t>20200820</t>
  </si>
  <si>
    <t>2018000160</t>
  </si>
  <si>
    <t>C3130C&amp;A20GR0758</t>
  </si>
  <si>
    <t>2018000161</t>
  </si>
  <si>
    <t>C3130C&amp;A20GR0759</t>
  </si>
  <si>
    <t>2018000162</t>
  </si>
  <si>
    <t>C3130C&amp;A20GR0760</t>
  </si>
  <si>
    <t>2018000163</t>
  </si>
  <si>
    <t>C3130C&amp;A20GR0768</t>
  </si>
  <si>
    <t>2018000166</t>
  </si>
  <si>
    <t>C3130C&amp;A20GR0771</t>
  </si>
  <si>
    <t>2018000206</t>
  </si>
  <si>
    <t>C3150UQ20SHA0725</t>
  </si>
  <si>
    <t>2018000164</t>
  </si>
  <si>
    <t>C3130C&amp;A20GR0769</t>
  </si>
  <si>
    <t>20200821</t>
  </si>
  <si>
    <t>2018000165</t>
  </si>
  <si>
    <t>C3130C&amp;A20GR0770</t>
  </si>
  <si>
    <t>2018000176</t>
  </si>
  <si>
    <t>C3067LVMX075420</t>
  </si>
  <si>
    <t>2018000177</t>
  </si>
  <si>
    <t>C3085LVCA075320</t>
  </si>
  <si>
    <t>2018000152</t>
  </si>
  <si>
    <t>C3128UQ20HK0766</t>
  </si>
  <si>
    <t>20200822</t>
  </si>
  <si>
    <t>2018000171</t>
  </si>
  <si>
    <t>C3150UQ20SHA0748</t>
  </si>
  <si>
    <t>2018000157</t>
  </si>
  <si>
    <t>C3127C&amp;A20GR0772</t>
  </si>
  <si>
    <t>20200823</t>
  </si>
  <si>
    <t>2018000158</t>
  </si>
  <si>
    <t>C3127C&amp;A20GR0773</t>
  </si>
  <si>
    <t>2018000167</t>
  </si>
  <si>
    <t>C3068LVSG075620</t>
  </si>
  <si>
    <t>2018000169</t>
  </si>
  <si>
    <t>C3150UQ20YAN0735</t>
  </si>
  <si>
    <t>2018000203</t>
  </si>
  <si>
    <t>C03138DN20IR0761</t>
  </si>
  <si>
    <t>40101002</t>
  </si>
  <si>
    <t>2018000168</t>
  </si>
  <si>
    <t>C3062LVBR073020</t>
  </si>
  <si>
    <t>2018000170</t>
  </si>
  <si>
    <t>C3093UQ20TOK0788</t>
  </si>
  <si>
    <t>20200824</t>
  </si>
  <si>
    <t>2008000012</t>
  </si>
  <si>
    <t>SC3113UQ20JP72</t>
  </si>
  <si>
    <t>2008000013</t>
  </si>
  <si>
    <t>SC3088UQ20JP63</t>
  </si>
  <si>
    <t>2008000014</t>
  </si>
  <si>
    <t>SC3131UQ20JP73</t>
  </si>
  <si>
    <t>2008000015</t>
  </si>
  <si>
    <t>83.95012</t>
  </si>
  <si>
    <t>SC3120UQ20JP74</t>
  </si>
  <si>
    <t>2008000016</t>
  </si>
  <si>
    <t>SC3093UQ20JP42</t>
  </si>
  <si>
    <t>2008000017</t>
  </si>
  <si>
    <t>SC3120UQ20JP75</t>
  </si>
  <si>
    <t>2008000018</t>
  </si>
  <si>
    <t>83.95036</t>
  </si>
  <si>
    <t>SC3120UQ20JP77</t>
  </si>
  <si>
    <t>2008000019</t>
  </si>
  <si>
    <t>83.95008</t>
  </si>
  <si>
    <t>SC3088UQ20JP088</t>
  </si>
  <si>
    <t>2008000020</t>
  </si>
  <si>
    <t>SC3088UQ20KOR085</t>
  </si>
  <si>
    <t>2008000021</t>
  </si>
  <si>
    <t>SC3088UQ20IN084</t>
  </si>
  <si>
    <t>2008000022</t>
  </si>
  <si>
    <t>SC3088UQ20US082</t>
  </si>
  <si>
    <t>2008000023</t>
  </si>
  <si>
    <t>SC3088UQ20JP81</t>
  </si>
  <si>
    <t>2008000024</t>
  </si>
  <si>
    <t>83.94998</t>
  </si>
  <si>
    <t>SC3088UQ20JP76</t>
  </si>
  <si>
    <t>2008000025</t>
  </si>
  <si>
    <t>SC3088UQ20CN083</t>
  </si>
  <si>
    <t>2008000026</t>
  </si>
  <si>
    <t>SC3012UQ20JP62</t>
  </si>
  <si>
    <t>2008000027</t>
  </si>
  <si>
    <t>83.95009</t>
  </si>
  <si>
    <t>SC330UQ20JP059</t>
  </si>
  <si>
    <t>2008000028</t>
  </si>
  <si>
    <t>SC3093UQ20JP41</t>
  </si>
  <si>
    <t>2018000188</t>
  </si>
  <si>
    <t>C3101LVUS078220</t>
  </si>
  <si>
    <t>20200825</t>
  </si>
  <si>
    <t>2018000189</t>
  </si>
  <si>
    <t>C3083LVUS080020</t>
  </si>
  <si>
    <t>2018000190</t>
  </si>
  <si>
    <t>C3101LVUS078320</t>
  </si>
  <si>
    <t>2018000191</t>
  </si>
  <si>
    <t>C3152TS20UK0781</t>
  </si>
  <si>
    <t>2018000172</t>
  </si>
  <si>
    <t>C3136UQ20KR0742</t>
  </si>
  <si>
    <t>20200826</t>
  </si>
  <si>
    <t>2018000173</t>
  </si>
  <si>
    <t>C3136UQ20KR0743</t>
  </si>
  <si>
    <t>2018000178</t>
  </si>
  <si>
    <t>C3068LVCL080120</t>
  </si>
  <si>
    <t>2018000183</t>
  </si>
  <si>
    <t>C3062LVAR035520</t>
  </si>
  <si>
    <t>2018000207</t>
  </si>
  <si>
    <t>C3135SB20UK0780</t>
  </si>
  <si>
    <t>20200827</t>
  </si>
  <si>
    <t>2018000198</t>
  </si>
  <si>
    <t>C3155UQ20SHA0802</t>
  </si>
  <si>
    <t>20200829</t>
  </si>
  <si>
    <t>2018000182</t>
  </si>
  <si>
    <t>C3136UQ20HAK0763</t>
  </si>
  <si>
    <t>20200830</t>
  </si>
  <si>
    <t>2018000196</t>
  </si>
  <si>
    <t>C3127C&amp;A20GR0812</t>
  </si>
  <si>
    <t>2018000197</t>
  </si>
  <si>
    <t>C3127C&amp;A20GR0813</t>
  </si>
  <si>
    <t>2018000199</t>
  </si>
  <si>
    <t>C3155UQ20YAN0803</t>
  </si>
  <si>
    <t>2018000204</t>
  </si>
  <si>
    <t>C03138DN20IR0762</t>
  </si>
  <si>
    <t>2003001818</t>
  </si>
  <si>
    <t>WASH(EXPORT)AUG'20</t>
  </si>
  <si>
    <t>WASH(EXPORT)Aug'20</t>
  </si>
  <si>
    <t>2018000179</t>
  </si>
  <si>
    <t>C3093UQ20OSA0789</t>
  </si>
  <si>
    <t>20200831</t>
  </si>
  <si>
    <t>2018000180</t>
  </si>
  <si>
    <t>C3093UQ20OSA0818</t>
  </si>
  <si>
    <t>2018000181</t>
  </si>
  <si>
    <t>C3093UQ20TOK0819</t>
  </si>
  <si>
    <t>2018000184</t>
  </si>
  <si>
    <t>C3150UQ20MY0799</t>
  </si>
  <si>
    <t>2008000029</t>
  </si>
  <si>
    <t>CIPL-PGCL275-20</t>
  </si>
  <si>
    <t>2008000030</t>
  </si>
  <si>
    <t>CIPL-PGCL276-20</t>
  </si>
  <si>
    <t>2008000031</t>
  </si>
  <si>
    <t>CIPL-MSGL-206-20</t>
  </si>
  <si>
    <t>2008000032</t>
  </si>
  <si>
    <t>CIPL-MSGL-207-20</t>
  </si>
  <si>
    <t>2008000033</t>
  </si>
  <si>
    <t>CIPL-MSGL-208-20</t>
  </si>
  <si>
    <t>2018000194</t>
  </si>
  <si>
    <t>C3136UQ20TOM0765</t>
  </si>
  <si>
    <t>20200901</t>
  </si>
  <si>
    <t>2018000200</t>
  </si>
  <si>
    <t>C3136UQ20SEN0764</t>
  </si>
  <si>
    <t>2018000193</t>
  </si>
  <si>
    <t>C3093UQ20HAK0786</t>
  </si>
  <si>
    <t>20200902</t>
  </si>
  <si>
    <t>2018000195</t>
  </si>
  <si>
    <t>C3151UQ20HAK0815</t>
  </si>
  <si>
    <t>2008000037</t>
  </si>
  <si>
    <t>83.95003</t>
  </si>
  <si>
    <t>SC3161UQ20CN092</t>
  </si>
  <si>
    <t>2018000192</t>
  </si>
  <si>
    <t>C3083LVUS081120</t>
  </si>
  <si>
    <t>20200903</t>
  </si>
  <si>
    <t>2018000225</t>
  </si>
  <si>
    <t>C3152TS20UK0814</t>
  </si>
  <si>
    <t>2018000232</t>
  </si>
  <si>
    <t>C3083LVUS081020</t>
  </si>
  <si>
    <t>2018000233</t>
  </si>
  <si>
    <t>C3101LVUS080920</t>
  </si>
  <si>
    <t>2018000271</t>
  </si>
  <si>
    <t>C3150UQ20SHA0734</t>
  </si>
  <si>
    <t>2018000272</t>
  </si>
  <si>
    <t>C3150UQ20SHA0808</t>
  </si>
  <si>
    <t>2018000201</t>
  </si>
  <si>
    <t>C3150UQ20MY0822</t>
  </si>
  <si>
    <t>20200904</t>
  </si>
  <si>
    <t>2018000202</t>
  </si>
  <si>
    <t>C3154UQ20TOK0785</t>
  </si>
  <si>
    <t>20200905</t>
  </si>
  <si>
    <t>2018000249</t>
  </si>
  <si>
    <t>C3136UQ20OSA0775</t>
  </si>
  <si>
    <t>2018000250</t>
  </si>
  <si>
    <t>C3136UQ20NAG0774</t>
  </si>
  <si>
    <t>2018000226</t>
  </si>
  <si>
    <t>C3125UQ20KR0777</t>
  </si>
  <si>
    <t>20200906</t>
  </si>
  <si>
    <t>2018000227</t>
  </si>
  <si>
    <t>C3125UQ20KR0776</t>
  </si>
  <si>
    <t>2018000251</t>
  </si>
  <si>
    <t>C3136UQ20TOK0767</t>
  </si>
  <si>
    <t>2018000274</t>
  </si>
  <si>
    <t>C3155UQ20YAN0821</t>
  </si>
  <si>
    <t>2018000208</t>
  </si>
  <si>
    <t>C3093UQ20OSA0824</t>
  </si>
  <si>
    <t>20200908</t>
  </si>
  <si>
    <t>2018000209</t>
  </si>
  <si>
    <t>C3093UQ20TOK0823</t>
  </si>
  <si>
    <t>2018000210</t>
  </si>
  <si>
    <t>C3151UQ20HAK0832</t>
  </si>
  <si>
    <t>2018000212</t>
  </si>
  <si>
    <t>C3151UQ20OSA0834</t>
  </si>
  <si>
    <t>2018000213</t>
  </si>
  <si>
    <t>C3151UQ20TOK0798</t>
  </si>
  <si>
    <t>2018000214</t>
  </si>
  <si>
    <t>C3154UQ20NAG0779</t>
  </si>
  <si>
    <t>2018000215</t>
  </si>
  <si>
    <t>C3159UQ20HAK0790</t>
  </si>
  <si>
    <t>2018000216</t>
  </si>
  <si>
    <t>C3154UQ20HAK0778</t>
  </si>
  <si>
    <t>2018000218</t>
  </si>
  <si>
    <t>C3159UQ20OSA0831</t>
  </si>
  <si>
    <t>2018000273</t>
  </si>
  <si>
    <t>C3155UQ20SHA0820</t>
  </si>
  <si>
    <t>2018000211</t>
  </si>
  <si>
    <t>C3151UQ20OSA0792</t>
  </si>
  <si>
    <t>20200909</t>
  </si>
  <si>
    <t>2018000217</t>
  </si>
  <si>
    <t>C3154UQ20OSA0784</t>
  </si>
  <si>
    <t>2018000219</t>
  </si>
  <si>
    <t>C3093UQ20NAG0787</t>
  </si>
  <si>
    <t>2018000220</t>
  </si>
  <si>
    <t>C3136UQ20KR0836</t>
  </si>
  <si>
    <t>2018000221</t>
  </si>
  <si>
    <t>C3136UQ20KR0837</t>
  </si>
  <si>
    <t>2018000222</t>
  </si>
  <si>
    <t>C3151UQ20NAG0791</t>
  </si>
  <si>
    <t>2018000223</t>
  </si>
  <si>
    <t>C3151UQ20NAG0833</t>
  </si>
  <si>
    <t>2018000224</t>
  </si>
  <si>
    <t>C3151UQ20TOK0835</t>
  </si>
  <si>
    <t>2018000252</t>
  </si>
  <si>
    <t>C3167UQ20TW0829</t>
  </si>
  <si>
    <t>20200910</t>
  </si>
  <si>
    <t>2018000277</t>
  </si>
  <si>
    <t>C3204UQ20YAN0840</t>
  </si>
  <si>
    <t>2018000294</t>
  </si>
  <si>
    <t>C3120UQ20SHA0816</t>
  </si>
  <si>
    <t>2018000296</t>
  </si>
  <si>
    <t>C3204UQ20SHA0839</t>
  </si>
  <si>
    <t>2018000228</t>
  </si>
  <si>
    <t>C3099LVUS082820</t>
  </si>
  <si>
    <t>20200911</t>
  </si>
  <si>
    <t>2018000229</t>
  </si>
  <si>
    <t>C3204UQ20EU0848</t>
  </si>
  <si>
    <t>2018000253</t>
  </si>
  <si>
    <t>C3099LVUS082720</t>
  </si>
  <si>
    <t>2018000257</t>
  </si>
  <si>
    <t>C03139DN20IR0826</t>
  </si>
  <si>
    <t>2018000297</t>
  </si>
  <si>
    <t>C3204UQ20SHA0846</t>
  </si>
  <si>
    <t>20200912</t>
  </si>
  <si>
    <t>2018000242</t>
  </si>
  <si>
    <t>C3152TS19CE0845</t>
  </si>
  <si>
    <t>20200913</t>
  </si>
  <si>
    <t>2018000295</t>
  </si>
  <si>
    <t>C3120UQ20YAN0817</t>
  </si>
  <si>
    <t>2018000230</t>
  </si>
  <si>
    <t>C3159UQ20KR0841</t>
  </si>
  <si>
    <t>20200914</t>
  </si>
  <si>
    <t>2018000231</t>
  </si>
  <si>
    <t>C3159UQ20KR0842</t>
  </si>
  <si>
    <t>2018000269</t>
  </si>
  <si>
    <t>C3135SB20UK0830</t>
  </si>
  <si>
    <t>2008000038</t>
  </si>
  <si>
    <t>SCADSMLVUS09120</t>
  </si>
  <si>
    <t>2008000039</t>
  </si>
  <si>
    <t>SCADSMLVUS09020</t>
  </si>
  <si>
    <t>2008000040</t>
  </si>
  <si>
    <t>SCADSMLVUS08920</t>
  </si>
  <si>
    <t>2018000234</t>
  </si>
  <si>
    <t>C3154UQ20NAG0857</t>
  </si>
  <si>
    <t>20200915</t>
  </si>
  <si>
    <t>2018000235</t>
  </si>
  <si>
    <t>C3154UQ20NAG0862</t>
  </si>
  <si>
    <t>2018000299</t>
  </si>
  <si>
    <t>C3204UQ20SHA0854</t>
  </si>
  <si>
    <t>2018000236</t>
  </si>
  <si>
    <t>C3154UQ20HAK0856</t>
  </si>
  <si>
    <t>20200916</t>
  </si>
  <si>
    <t>2018000237</t>
  </si>
  <si>
    <t>C3154UQ20HAK0861</t>
  </si>
  <si>
    <t>2018000238</t>
  </si>
  <si>
    <t>C3154UQ20OSA0858</t>
  </si>
  <si>
    <t>2018000239</t>
  </si>
  <si>
    <t>C3154UQ20OSA0859</t>
  </si>
  <si>
    <t>2018000240</t>
  </si>
  <si>
    <t>C3154UQ20OSA0863</t>
  </si>
  <si>
    <t>2018000241</t>
  </si>
  <si>
    <t>C3154UQ20TOK0864</t>
  </si>
  <si>
    <t>2018000254</t>
  </si>
  <si>
    <t>C3099LVUS085320</t>
  </si>
  <si>
    <t>2018000300</t>
  </si>
  <si>
    <t>C3204UQ20YAN0855</t>
  </si>
  <si>
    <t>2018000301</t>
  </si>
  <si>
    <t>C3159UQ20SHA0872</t>
  </si>
  <si>
    <t>20200917</t>
  </si>
  <si>
    <t>2018000302</t>
  </si>
  <si>
    <t>C3204UQ20SHA0847</t>
  </si>
  <si>
    <t>2018000255</t>
  </si>
  <si>
    <t>C3208UQ20MY0865</t>
  </si>
  <si>
    <t>20200918</t>
  </si>
  <si>
    <t>2018000256</t>
  </si>
  <si>
    <t>C3208UQ20MY0876</t>
  </si>
  <si>
    <t>2018000311</t>
  </si>
  <si>
    <t>C3133SB20UK0843</t>
  </si>
  <si>
    <t>20200919</t>
  </si>
  <si>
    <t>2018000313</t>
  </si>
  <si>
    <t>C3135SB20UK0860</t>
  </si>
  <si>
    <t>2018000243</t>
  </si>
  <si>
    <t>C3204UQ20EU0866</t>
  </si>
  <si>
    <t>20200920</t>
  </si>
  <si>
    <t>2018000244</t>
  </si>
  <si>
    <t>C3159UQ20NAG0880</t>
  </si>
  <si>
    <t>2018000245</t>
  </si>
  <si>
    <t>C3204UQ20EU0881</t>
  </si>
  <si>
    <t>2018000246</t>
  </si>
  <si>
    <t>C3156DC20US0870</t>
  </si>
  <si>
    <t>20200921</t>
  </si>
  <si>
    <t>2018000247</t>
  </si>
  <si>
    <t>C3156DC20US0871</t>
  </si>
  <si>
    <t>2018000248</t>
  </si>
  <si>
    <t>C3156DC20US0874</t>
  </si>
  <si>
    <t>2018000258</t>
  </si>
  <si>
    <t>C3093UQ20OSA0877</t>
  </si>
  <si>
    <t>2018000259</t>
  </si>
  <si>
    <t>C3093UQ20TOK0878</t>
  </si>
  <si>
    <t>2018000260</t>
  </si>
  <si>
    <t>C3159UQ20OSA0899</t>
  </si>
  <si>
    <t>2018000261</t>
  </si>
  <si>
    <t>C3159UQ20TOK0900</t>
  </si>
  <si>
    <t>2018000262</t>
  </si>
  <si>
    <t>C3171UQ20HAK0897</t>
  </si>
  <si>
    <t>2018000263</t>
  </si>
  <si>
    <t>C3159UQ20HAK0879</t>
  </si>
  <si>
    <t>2018000291</t>
  </si>
  <si>
    <t>C3099LVUS088620</t>
  </si>
  <si>
    <t>2018000266</t>
  </si>
  <si>
    <t>C3208UQ20HK0901</t>
  </si>
  <si>
    <t>20200922</t>
  </si>
  <si>
    <t>2018000292</t>
  </si>
  <si>
    <t>C3081LVUS088520</t>
  </si>
  <si>
    <t>2018000293</t>
  </si>
  <si>
    <t>C3099LVUS088420</t>
  </si>
  <si>
    <t>2018000265</t>
  </si>
  <si>
    <t>C3205UQ20TOR0896</t>
  </si>
  <si>
    <t>20200923</t>
  </si>
  <si>
    <t>2018000270</t>
  </si>
  <si>
    <t>C03139DN20IR0867</t>
  </si>
  <si>
    <t>2018000303</t>
  </si>
  <si>
    <t>C3204UQ20YAN0873</t>
  </si>
  <si>
    <t>2018000264</t>
  </si>
  <si>
    <t>C3171UQ20NAG0898</t>
  </si>
  <si>
    <t>20200924</t>
  </si>
  <si>
    <t>2018000267</t>
  </si>
  <si>
    <t>C3171UQ20OSA0902</t>
  </si>
  <si>
    <t>2018000304</t>
  </si>
  <si>
    <t>C3204UQ20YAN0895</t>
  </si>
  <si>
    <t>2018000268</t>
  </si>
  <si>
    <t>C3208UQ20HK0903</t>
  </si>
  <si>
    <t>20200925</t>
  </si>
  <si>
    <t>2018000312</t>
  </si>
  <si>
    <t>C3133SB20UK0893</t>
  </si>
  <si>
    <t>2018000326</t>
  </si>
  <si>
    <t>C3135SB20UK0894</t>
  </si>
  <si>
    <t>2018000275</t>
  </si>
  <si>
    <t>C3161UQ20KR0904</t>
  </si>
  <si>
    <t>20200926</t>
  </si>
  <si>
    <t>2018000276</t>
  </si>
  <si>
    <t>C3161UQ20KR0905</t>
  </si>
  <si>
    <t>2018000278</t>
  </si>
  <si>
    <t>C3209UQ20KR0918</t>
  </si>
  <si>
    <t>2018000279</t>
  </si>
  <si>
    <t>C3209UQ20KR0917</t>
  </si>
  <si>
    <t>2018000280</t>
  </si>
  <si>
    <t>C3162DC20US0872</t>
  </si>
  <si>
    <t>20200927</t>
  </si>
  <si>
    <t>2018000281</t>
  </si>
  <si>
    <t>C3162DC20US0873</t>
  </si>
  <si>
    <t>2018000282</t>
  </si>
  <si>
    <t>C3162DC20US0912</t>
  </si>
  <si>
    <t>2018000283</t>
  </si>
  <si>
    <t>C3204UQ20EU0914</t>
  </si>
  <si>
    <t>2018000284</t>
  </si>
  <si>
    <t>C03138DN20IR0869</t>
  </si>
  <si>
    <t>2018000286</t>
  </si>
  <si>
    <t>C3152TS20UK0849</t>
  </si>
  <si>
    <t>2018000310</t>
  </si>
  <si>
    <t>C03138DN20IR0868</t>
  </si>
  <si>
    <t>2018000319</t>
  </si>
  <si>
    <t>C3204UQ20YAN0889</t>
  </si>
  <si>
    <t>20200928</t>
  </si>
  <si>
    <t>2018000285</t>
  </si>
  <si>
    <t>C03170US20-0892</t>
  </si>
  <si>
    <t>20200929</t>
  </si>
  <si>
    <t>2018000287</t>
  </si>
  <si>
    <t>C3163C&amp;A20GR0906</t>
  </si>
  <si>
    <t>2018000288</t>
  </si>
  <si>
    <t>C3163C&amp;A20GR0907</t>
  </si>
  <si>
    <t>2003002367</t>
  </si>
  <si>
    <t>WASH(EXPORT)SEP'20</t>
  </si>
  <si>
    <t>WASH(EXPORT)Sep'20</t>
  </si>
  <si>
    <t>2018000289</t>
  </si>
  <si>
    <t>C3141LVMX091420</t>
  </si>
  <si>
    <t>20200930</t>
  </si>
  <si>
    <t>2018000290</t>
  </si>
  <si>
    <t>C3081LVMX088720</t>
  </si>
  <si>
    <t>2003002349</t>
  </si>
  <si>
    <t>CIPL-EG2-0061-20</t>
  </si>
  <si>
    <t>Inter-Company wash sales to EGMC-DEPZ</t>
  </si>
  <si>
    <t>2008000043</t>
  </si>
  <si>
    <t>CIPL-EG-A-008-20</t>
  </si>
  <si>
    <t>2008000044</t>
  </si>
  <si>
    <t>CIPL-PGC-0277-20</t>
  </si>
  <si>
    <t>2008000045</t>
  </si>
  <si>
    <t>CIPL-PGC-0278-20</t>
  </si>
  <si>
    <t>CIPL-PGCL-0278-20</t>
  </si>
  <si>
    <t>2008000046</t>
  </si>
  <si>
    <t>CIPL-PGC-0279-20</t>
  </si>
  <si>
    <t>2008000052</t>
  </si>
  <si>
    <t>2008000047</t>
  </si>
  <si>
    <t>CIPL-MSGL-209-20</t>
  </si>
  <si>
    <t>2008000048</t>
  </si>
  <si>
    <t>CIPL-MSGL-210-20</t>
  </si>
  <si>
    <t>2008000049</t>
  </si>
  <si>
    <t>CIPL-MSGL-211-20</t>
  </si>
  <si>
    <t>2008000050</t>
  </si>
  <si>
    <t>CIPL-MSGL-212-20</t>
  </si>
  <si>
    <t>2018000350</t>
  </si>
  <si>
    <t>C3134SB20UK0920</t>
  </si>
  <si>
    <t>20201001</t>
  </si>
  <si>
    <t>2018000305</t>
  </si>
  <si>
    <t>C3159UQ20SHA0804</t>
  </si>
  <si>
    <t>20201003</t>
  </si>
  <si>
    <t>2018000306</t>
  </si>
  <si>
    <t>C3159UQ20SHA0805</t>
  </si>
  <si>
    <t>2018000307</t>
  </si>
  <si>
    <t>C3159UQ20YAN0806</t>
  </si>
  <si>
    <t>2018000333</t>
  </si>
  <si>
    <t>C03139DN20IR0925</t>
  </si>
  <si>
    <t>2018000298</t>
  </si>
  <si>
    <t>C3171UQ20NAG0954</t>
  </si>
  <si>
    <t>20201004</t>
  </si>
  <si>
    <t>2018000315</t>
  </si>
  <si>
    <t>C3152TS19CE0922</t>
  </si>
  <si>
    <t>2018000349</t>
  </si>
  <si>
    <t>C3133SB20UK0919</t>
  </si>
  <si>
    <t>2018000351</t>
  </si>
  <si>
    <t>C3135SB20UK0921</t>
  </si>
  <si>
    <t>2018000357</t>
  </si>
  <si>
    <t>C3163C&amp;A20GR0908</t>
  </si>
  <si>
    <t>2018000358</t>
  </si>
  <si>
    <t>C3163C&amp;A20GR0909</t>
  </si>
  <si>
    <t>2018000316</t>
  </si>
  <si>
    <t>C3152TS20UK0850</t>
  </si>
  <si>
    <t>20201006</t>
  </si>
  <si>
    <t>2018000308</t>
  </si>
  <si>
    <t>C3171UQ20TOK0924</t>
  </si>
  <si>
    <t>20201007</t>
  </si>
  <si>
    <t>2018000309</t>
  </si>
  <si>
    <t>C3204UQ20EU0952</t>
  </si>
  <si>
    <t>2018000314</t>
  </si>
  <si>
    <t>C3099LVUS093020</t>
  </si>
  <si>
    <t>2018000321</t>
  </si>
  <si>
    <t>C3205UQ20PH0953</t>
  </si>
  <si>
    <t>2018000322</t>
  </si>
  <si>
    <t>C3063LVUS093120</t>
  </si>
  <si>
    <t>40101013</t>
  </si>
  <si>
    <t>2008000051</t>
  </si>
  <si>
    <t>CIPL-GTL-002-20</t>
  </si>
  <si>
    <t>SUBCON INCOME FROM GTL FOR CUTTING &amp; SEWING</t>
  </si>
  <si>
    <t>SUBCON INCOME</t>
  </si>
  <si>
    <t>2018000317</t>
  </si>
  <si>
    <t>C3208UQ20HK0956</t>
  </si>
  <si>
    <t>20201009</t>
  </si>
  <si>
    <t>2018000318</t>
  </si>
  <si>
    <t>C3208UQ20HK0968</t>
  </si>
  <si>
    <t>2018000325</t>
  </si>
  <si>
    <t>C3208UQ20MY0967</t>
  </si>
  <si>
    <t>2018000361</t>
  </si>
  <si>
    <t>C3171UQ20OSA0910</t>
  </si>
  <si>
    <t>2008000054</t>
  </si>
  <si>
    <t>SC3168UQ20JP093</t>
  </si>
  <si>
    <t>2008000055</t>
  </si>
  <si>
    <t>SC3169UQ20JP094</t>
  </si>
  <si>
    <t>2008000056</t>
  </si>
  <si>
    <t>83.94997</t>
  </si>
  <si>
    <t>SC3169UQ20JP095</t>
  </si>
  <si>
    <t>2008000057</t>
  </si>
  <si>
    <t>SC3169UQ20JP096</t>
  </si>
  <si>
    <t>2018000320</t>
  </si>
  <si>
    <t>C03170US20-0926</t>
  </si>
  <si>
    <t>20201010</t>
  </si>
  <si>
    <t>2018000334</t>
  </si>
  <si>
    <t>C03139DN20IR0929</t>
  </si>
  <si>
    <t>2018000369</t>
  </si>
  <si>
    <t>C3133SB20UK0950</t>
  </si>
  <si>
    <t>2018000371</t>
  </si>
  <si>
    <t>C3134SB20UK0951</t>
  </si>
  <si>
    <t>2018000323</t>
  </si>
  <si>
    <t>C3159UQ20OSA0971</t>
  </si>
  <si>
    <t>20201011</t>
  </si>
  <si>
    <t>2018000324</t>
  </si>
  <si>
    <t>C3208UQ20MY0977</t>
  </si>
  <si>
    <t>2018000330</t>
  </si>
  <si>
    <t>C3095QTUS095920</t>
  </si>
  <si>
    <t>20201012</t>
  </si>
  <si>
    <t>2018000327</t>
  </si>
  <si>
    <t>C3205UQ20TOR0974</t>
  </si>
  <si>
    <t>20201013</t>
  </si>
  <si>
    <t>2018000328</t>
  </si>
  <si>
    <t>C3169UQ20LA0958</t>
  </si>
  <si>
    <t>2018000329</t>
  </si>
  <si>
    <t>C3171UQ20HAK0972</t>
  </si>
  <si>
    <t>2018000331</t>
  </si>
  <si>
    <t>C3083LVUS093920</t>
  </si>
  <si>
    <t>2018000332</t>
  </si>
  <si>
    <t>C3063LVTR093320</t>
  </si>
  <si>
    <t>2018000335</t>
  </si>
  <si>
    <t>C03202US20-0927</t>
  </si>
  <si>
    <t>2018000339</t>
  </si>
  <si>
    <t>C3141LVMX093220</t>
  </si>
  <si>
    <t>2018000341</t>
  </si>
  <si>
    <t>C3169UQ20NY0957</t>
  </si>
  <si>
    <t>2018000362</t>
  </si>
  <si>
    <t>C3159UQ20KR0969</t>
  </si>
  <si>
    <t>20201014</t>
  </si>
  <si>
    <t>2018000363</t>
  </si>
  <si>
    <t>C3159UQ20KR0970</t>
  </si>
  <si>
    <t>2018000336</t>
  </si>
  <si>
    <t>C3104LVGR094020</t>
  </si>
  <si>
    <t>20201015</t>
  </si>
  <si>
    <t>2018000346</t>
  </si>
  <si>
    <t>C3142LVMY094120</t>
  </si>
  <si>
    <t>2018000340</t>
  </si>
  <si>
    <t>C3159UQ20SHA0975</t>
  </si>
  <si>
    <t>20201016</t>
  </si>
  <si>
    <t>2018000337</t>
  </si>
  <si>
    <t>C3131UQ20MEL0981</t>
  </si>
  <si>
    <t>20201018</t>
  </si>
  <si>
    <t>2018000338</t>
  </si>
  <si>
    <t>C3131UQ20SYD0982</t>
  </si>
  <si>
    <t>2018000342</t>
  </si>
  <si>
    <t>C03202US20-0966</t>
  </si>
  <si>
    <t>2018000343</t>
  </si>
  <si>
    <t>C03170US20-0964</t>
  </si>
  <si>
    <t>2018000344</t>
  </si>
  <si>
    <t>C03170US20-0961</t>
  </si>
  <si>
    <t>2018000345</t>
  </si>
  <si>
    <t>C03170US20-0960</t>
  </si>
  <si>
    <t>20201019</t>
  </si>
  <si>
    <t>2018000347</t>
  </si>
  <si>
    <t>C03202US20-0928</t>
  </si>
  <si>
    <t>2018000348</t>
  </si>
  <si>
    <t>C3152TS20UK0874</t>
  </si>
  <si>
    <t>2018000352</t>
  </si>
  <si>
    <t>C3156DC20US0984</t>
  </si>
  <si>
    <t>2018000353</t>
  </si>
  <si>
    <t>C3156DC20US0985</t>
  </si>
  <si>
    <t>2018000354</t>
  </si>
  <si>
    <t>C3231UQ20NY0996</t>
  </si>
  <si>
    <t>2018000370</t>
  </si>
  <si>
    <t>C3133SB20UK0973</t>
  </si>
  <si>
    <t>2018000392</t>
  </si>
  <si>
    <t>C03202US20-0965</t>
  </si>
  <si>
    <t>2018000393</t>
  </si>
  <si>
    <t>C03170US20-0963</t>
  </si>
  <si>
    <t>2018000356</t>
  </si>
  <si>
    <t>C3205UQ20EU0976</t>
  </si>
  <si>
    <t>20201021</t>
  </si>
  <si>
    <t>2018000359</t>
  </si>
  <si>
    <t>C3104LVGR099120</t>
  </si>
  <si>
    <t>2018000365</t>
  </si>
  <si>
    <t>C3102LVUS098920</t>
  </si>
  <si>
    <t>2018000396</t>
  </si>
  <si>
    <t>C03139DN20IR0979</t>
  </si>
  <si>
    <t>2018000420</t>
  </si>
  <si>
    <t>C3102LVUS099520</t>
  </si>
  <si>
    <t>2018000421</t>
  </si>
  <si>
    <t>C3140LVUS098820</t>
  </si>
  <si>
    <t>2018000422</t>
  </si>
  <si>
    <t>C3140LVUS098720</t>
  </si>
  <si>
    <t>2018000355</t>
  </si>
  <si>
    <t>C03170US20-0962</t>
  </si>
  <si>
    <t>20201022</t>
  </si>
  <si>
    <t>2018000368</t>
  </si>
  <si>
    <t>C3104LVMX099020</t>
  </si>
  <si>
    <t>2018000372</t>
  </si>
  <si>
    <t>C3159UQ20HK0983</t>
  </si>
  <si>
    <t>2018000374</t>
  </si>
  <si>
    <t>C3169UQ20RU0882</t>
  </si>
  <si>
    <t>2018000375</t>
  </si>
  <si>
    <t>C3169UQ20TH1001</t>
  </si>
  <si>
    <t>2018000378</t>
  </si>
  <si>
    <t>C3205UQ20PH0992</t>
  </si>
  <si>
    <t>2018000379</t>
  </si>
  <si>
    <t>C3205UQ20RU0883</t>
  </si>
  <si>
    <t>2018000380</t>
  </si>
  <si>
    <t>C3205UQ20RU0916</t>
  </si>
  <si>
    <t>2018000395</t>
  </si>
  <si>
    <t>C03138DN20IR0978</t>
  </si>
  <si>
    <t>2018000364</t>
  </si>
  <si>
    <t>C3204UQ20RU0851</t>
  </si>
  <si>
    <t>20201023</t>
  </si>
  <si>
    <t>2018000373</t>
  </si>
  <si>
    <t>C3169UQ20OSA1002</t>
  </si>
  <si>
    <t>20201024</t>
  </si>
  <si>
    <t>2018000376</t>
  </si>
  <si>
    <t>C3169UQ20TOK1009</t>
  </si>
  <si>
    <t>2018000387</t>
  </si>
  <si>
    <t>C3231UQ20LA0997</t>
  </si>
  <si>
    <t>20201025</t>
  </si>
  <si>
    <t>2018000416</t>
  </si>
  <si>
    <t>C03139DN20IR0998</t>
  </si>
  <si>
    <t>2018000360</t>
  </si>
  <si>
    <t>C3212LVTR101320</t>
  </si>
  <si>
    <t>20201026</t>
  </si>
  <si>
    <t>2018000366</t>
  </si>
  <si>
    <t>C3142LVVN094220</t>
  </si>
  <si>
    <t>2018000367</t>
  </si>
  <si>
    <t>C3141LVVN093420</t>
  </si>
  <si>
    <t>2018000377</t>
  </si>
  <si>
    <t>C3205UQ20EU1019</t>
  </si>
  <si>
    <t>2018000381</t>
  </si>
  <si>
    <t>C3141LVPA093520</t>
  </si>
  <si>
    <t>2018000401</t>
  </si>
  <si>
    <t>C3205UQ20YAN1006</t>
  </si>
  <si>
    <t>2008000058</t>
  </si>
  <si>
    <t>CIN7QTPA100720</t>
  </si>
  <si>
    <t>Secondry  Sales to QUETICO</t>
  </si>
  <si>
    <t>Secondry Sales to QUETICO</t>
  </si>
  <si>
    <t>2018000382</t>
  </si>
  <si>
    <t>C3169UQ20KR1026</t>
  </si>
  <si>
    <t>20201027</t>
  </si>
  <si>
    <t>2018000383</t>
  </si>
  <si>
    <t>C3169UQ20KR1027</t>
  </si>
  <si>
    <t>2018000384</t>
  </si>
  <si>
    <t>C3205UQ20TW1003</t>
  </si>
  <si>
    <t>2018000385</t>
  </si>
  <si>
    <t>C3207UQ20KR1028</t>
  </si>
  <si>
    <t>2018000386</t>
  </si>
  <si>
    <t>C3207UQ20KR1029</t>
  </si>
  <si>
    <t>2018000397</t>
  </si>
  <si>
    <t>C3134SB20UK0992</t>
  </si>
  <si>
    <t>2018000400</t>
  </si>
  <si>
    <t>C3205UQ20SHA1004</t>
  </si>
  <si>
    <t>2018000402</t>
  </si>
  <si>
    <t>C3205UQ20SHA1005</t>
  </si>
  <si>
    <t>2018000417</t>
  </si>
  <si>
    <t>C03138DN20IR0999</t>
  </si>
  <si>
    <t>2018000388</t>
  </si>
  <si>
    <t>C3142LVUS101020</t>
  </si>
  <si>
    <t>20201028</t>
  </si>
  <si>
    <t>2018000391</t>
  </si>
  <si>
    <t>C3103LVUS101120</t>
  </si>
  <si>
    <t>2018000389</t>
  </si>
  <si>
    <t>C3169UQ20TH1021</t>
  </si>
  <si>
    <t>20201029</t>
  </si>
  <si>
    <t>2018000390</t>
  </si>
  <si>
    <t>C3131UQ20MEL0980</t>
  </si>
  <si>
    <t>2018000404</t>
  </si>
  <si>
    <t>C3210UQ20NAG1032</t>
  </si>
  <si>
    <t>2018000418</t>
  </si>
  <si>
    <t>C3169UQ20TOR0937</t>
  </si>
  <si>
    <t>2018000419</t>
  </si>
  <si>
    <t>C3169UQ20VAN0938</t>
  </si>
  <si>
    <t>2018000403</t>
  </si>
  <si>
    <t>C3210UQ20HAK1031</t>
  </si>
  <si>
    <t>20201030</t>
  </si>
  <si>
    <t>2018000394</t>
  </si>
  <si>
    <t>C3142LVPK101620</t>
  </si>
  <si>
    <t>2003002852</t>
  </si>
  <si>
    <t>WASH(EXPORT)Oct'20</t>
  </si>
  <si>
    <t>2018000398</t>
  </si>
  <si>
    <t>C3171UQ20TOK1036</t>
  </si>
  <si>
    <t>20201031</t>
  </si>
  <si>
    <t>2018000399</t>
  </si>
  <si>
    <t>C3171UQ20TOK1037</t>
  </si>
  <si>
    <t>2018000405</t>
  </si>
  <si>
    <t>C3210UQ20OSA1033</t>
  </si>
  <si>
    <t>2018000406</t>
  </si>
  <si>
    <t>C3210UQ20TOK1034</t>
  </si>
  <si>
    <t>2018000414</t>
  </si>
  <si>
    <t>C3152TS20UK1008</t>
  </si>
  <si>
    <t>2008000064</t>
  </si>
  <si>
    <t>CIPL-PGC-0280-20</t>
  </si>
  <si>
    <t>2008000065</t>
  </si>
  <si>
    <t>CIPL-PGC-0281-20</t>
  </si>
  <si>
    <t>2008000066</t>
  </si>
  <si>
    <t>CIPL-PGC-0282-20</t>
  </si>
  <si>
    <t>2008000067</t>
  </si>
  <si>
    <t>CIPL-MASF-213-20</t>
  </si>
  <si>
    <t>Outside wash sales to mascot fashions Ltd</t>
  </si>
  <si>
    <t>2008000068</t>
  </si>
  <si>
    <t>CIPL-MSGL-214-20</t>
  </si>
  <si>
    <t>2008000069</t>
  </si>
  <si>
    <t>CIPL-MSGL-215-20</t>
  </si>
  <si>
    <t>2008000070</t>
  </si>
  <si>
    <t>CIPL-MSGL-216-20</t>
  </si>
  <si>
    <t>2008000061</t>
  </si>
  <si>
    <t>CIPL-GTL-003-20</t>
  </si>
  <si>
    <t>2018000412</t>
  </si>
  <si>
    <t>C3207UQ20SEN1056</t>
  </si>
  <si>
    <t>20201101</t>
  </si>
  <si>
    <t>2018000413</t>
  </si>
  <si>
    <t>C3207UQ20TOM1047</t>
  </si>
  <si>
    <t>2018000415</t>
  </si>
  <si>
    <t>C3169UQ20VN1020</t>
  </si>
  <si>
    <t>2018000444</t>
  </si>
  <si>
    <t>C3142LVPE093620</t>
  </si>
  <si>
    <t>2018000407</t>
  </si>
  <si>
    <t>C3104LVGR101420</t>
  </si>
  <si>
    <t>20201102</t>
  </si>
  <si>
    <t>2018000408</t>
  </si>
  <si>
    <t>C03170US20-0986</t>
  </si>
  <si>
    <t>2018000409</t>
  </si>
  <si>
    <t>C3210UQ20OSA1024</t>
  </si>
  <si>
    <t>2018000410</t>
  </si>
  <si>
    <t>C3169UQ20OSA1048</t>
  </si>
  <si>
    <t>2018000411</t>
  </si>
  <si>
    <t>C3215UQ20OSA1073</t>
  </si>
  <si>
    <t>2018000423</t>
  </si>
  <si>
    <t>C3153TS19CE1038</t>
  </si>
  <si>
    <t>2018000424</t>
  </si>
  <si>
    <t>C3231UQ20NY1071</t>
  </si>
  <si>
    <t>2018000425</t>
  </si>
  <si>
    <t>C3210UQ20NAG1023</t>
  </si>
  <si>
    <t>20201103</t>
  </si>
  <si>
    <t>2018000442</t>
  </si>
  <si>
    <t>C3104LVMX101220</t>
  </si>
  <si>
    <t>20201104</t>
  </si>
  <si>
    <t>2008000071</t>
  </si>
  <si>
    <t>SC3216LVSG012120</t>
  </si>
  <si>
    <t>2008000072</t>
  </si>
  <si>
    <t>SC3216LVBE011320</t>
  </si>
  <si>
    <t>2008000073</t>
  </si>
  <si>
    <t>SC3216LVUS010020</t>
  </si>
  <si>
    <t>2008000074</t>
  </si>
  <si>
    <t>SC3216LVBE012920</t>
  </si>
  <si>
    <t>2008000075</t>
  </si>
  <si>
    <t>SC3216LVSG010620</t>
  </si>
  <si>
    <t>2008000076</t>
  </si>
  <si>
    <t>SC3216LVBE012220</t>
  </si>
  <si>
    <t>2008000077</t>
  </si>
  <si>
    <t>SC3216LVBE013820</t>
  </si>
  <si>
    <t>2008000078</t>
  </si>
  <si>
    <t>SC3216LVPA014420</t>
  </si>
  <si>
    <t>2008000079</t>
  </si>
  <si>
    <t>SC3216LVUS011520</t>
  </si>
  <si>
    <t>2008000080</t>
  </si>
  <si>
    <t>SC3216LVMX014120</t>
  </si>
  <si>
    <t>2008000081</t>
  </si>
  <si>
    <t>SC3216LVPA011220</t>
  </si>
  <si>
    <t>2008000082</t>
  </si>
  <si>
    <t>SC3216LVBE010720</t>
  </si>
  <si>
    <t>2018000426</t>
  </si>
  <si>
    <t>C3210UQ20HAK1022</t>
  </si>
  <si>
    <t>20201105</t>
  </si>
  <si>
    <t>2018000427</t>
  </si>
  <si>
    <t>C3210UQ20TOK1025</t>
  </si>
  <si>
    <t>2018000428</t>
  </si>
  <si>
    <t>C3141LVCL091520</t>
  </si>
  <si>
    <t>2018000429</t>
  </si>
  <si>
    <t>C3169UQ20TOK1030</t>
  </si>
  <si>
    <t>2018000430</t>
  </si>
  <si>
    <t>C3159UQ20TOK0955</t>
  </si>
  <si>
    <t>2018000431</t>
  </si>
  <si>
    <t>C3169UQ20TW1045</t>
  </si>
  <si>
    <t>2018000432</t>
  </si>
  <si>
    <t>C3205UQ20TW1039</t>
  </si>
  <si>
    <t>2018000433</t>
  </si>
  <si>
    <t>C3159UQ20HAK1057</t>
  </si>
  <si>
    <t>2018000434</t>
  </si>
  <si>
    <t>C3215UQ20NAG1066</t>
  </si>
  <si>
    <t>2018000435</t>
  </si>
  <si>
    <t>C3215UQ20TOK1065</t>
  </si>
  <si>
    <t>2018000436</t>
  </si>
  <si>
    <t>C3141LVUS094820</t>
  </si>
  <si>
    <t>2018000437</t>
  </si>
  <si>
    <t>C3146LVUS094620</t>
  </si>
  <si>
    <t>2018000438</t>
  </si>
  <si>
    <t>C3159UQ20NAG1074</t>
  </si>
  <si>
    <t>2018000439</t>
  </si>
  <si>
    <t>C3159UQ20TOK1091</t>
  </si>
  <si>
    <t>2018000440</t>
  </si>
  <si>
    <t>C3169UQ20TW1093</t>
  </si>
  <si>
    <t>2018000441</t>
  </si>
  <si>
    <t>C3215UQ20HAK1088</t>
  </si>
  <si>
    <t>2018000443</t>
  </si>
  <si>
    <t>C03170US20-1042</t>
  </si>
  <si>
    <t>2018000446</t>
  </si>
  <si>
    <t>C3169UQ20HK1058</t>
  </si>
  <si>
    <t>2018000447</t>
  </si>
  <si>
    <t>C3205UQ20HK1040</t>
  </si>
  <si>
    <t>2018000449</t>
  </si>
  <si>
    <t>C3205UQ20HK1059</t>
  </si>
  <si>
    <t>2018000453</t>
  </si>
  <si>
    <t>C3234UQ20TOR1067</t>
  </si>
  <si>
    <t>2018000455</t>
  </si>
  <si>
    <t>C3205UQ20SG1070</t>
  </si>
  <si>
    <t>2018000456</t>
  </si>
  <si>
    <t>C3231UQ20PH1079</t>
  </si>
  <si>
    <t>2018000462</t>
  </si>
  <si>
    <t>C03139DN20IR1000</t>
  </si>
  <si>
    <t>2018000465</t>
  </si>
  <si>
    <t>C3134SB20UK1049</t>
  </si>
  <si>
    <t>2018000482</t>
  </si>
  <si>
    <t>C3099LVUS094420</t>
  </si>
  <si>
    <t>2018000484</t>
  </si>
  <si>
    <t>C3142LVUS094520</t>
  </si>
  <si>
    <t>2018000452</t>
  </si>
  <si>
    <t>C3231UQ20LA1072</t>
  </si>
  <si>
    <t>20201106</t>
  </si>
  <si>
    <t>2018000454</t>
  </si>
  <si>
    <t>C3234UQ20VAN1068</t>
  </si>
  <si>
    <t>2018000459</t>
  </si>
  <si>
    <t>C3103LVUS094320</t>
  </si>
  <si>
    <t>2018000460</t>
  </si>
  <si>
    <t>C3141LVUS094720</t>
  </si>
  <si>
    <t>2018000457</t>
  </si>
  <si>
    <t>C3210UQ20HAK1083</t>
  </si>
  <si>
    <t>20201107</t>
  </si>
  <si>
    <t>2018000458</t>
  </si>
  <si>
    <t>C3210UQ20NAG1084</t>
  </si>
  <si>
    <t>2008000083</t>
  </si>
  <si>
    <t>83.95005</t>
  </si>
  <si>
    <t>SC3169UQ20RU110</t>
  </si>
  <si>
    <t>2008000084</t>
  </si>
  <si>
    <t>SC3205UQ20JP127</t>
  </si>
  <si>
    <t>2008000085</t>
  </si>
  <si>
    <t>SC3168UQ20JP097</t>
  </si>
  <si>
    <t>2008000086</t>
  </si>
  <si>
    <t>SC3205UQ20JP111</t>
  </si>
  <si>
    <t>2008000087</t>
  </si>
  <si>
    <t>SC3205UQ20JP126</t>
  </si>
  <si>
    <t>2018000445</t>
  </si>
  <si>
    <t>C3142LVMY101520</t>
  </si>
  <si>
    <t>20201108</t>
  </si>
  <si>
    <t>2018000448</t>
  </si>
  <si>
    <t>C3207UQ20NAG1080</t>
  </si>
  <si>
    <t>2018000450</t>
  </si>
  <si>
    <t>C3215UQ20SEN1089</t>
  </si>
  <si>
    <t>2018000451</t>
  </si>
  <si>
    <t>C3215UQ20TOM1090</t>
  </si>
  <si>
    <t>2018000461</t>
  </si>
  <si>
    <t>C3104LVGR106120</t>
  </si>
  <si>
    <t>2018000468</t>
  </si>
  <si>
    <t>C3160SB20UK1050</t>
  </si>
  <si>
    <t>2018000470</t>
  </si>
  <si>
    <t>C3205UQ20EU1081</t>
  </si>
  <si>
    <t>2018000471</t>
  </si>
  <si>
    <t>C3205UQ20EU1092</t>
  </si>
  <si>
    <t>2018000472</t>
  </si>
  <si>
    <t>C3205UQ20MY1064</t>
  </si>
  <si>
    <t>2018000473</t>
  </si>
  <si>
    <t>C3205UQ20MY1069</t>
  </si>
  <si>
    <t>2018000474</t>
  </si>
  <si>
    <t>C3231UQ20EU1099</t>
  </si>
  <si>
    <t>2018000475</t>
  </si>
  <si>
    <t>C3233UQ20VN1101</t>
  </si>
  <si>
    <t>2018000463</t>
  </si>
  <si>
    <t>C03170US20-1041</t>
  </si>
  <si>
    <t>20201109</t>
  </si>
  <si>
    <t>2018000464</t>
  </si>
  <si>
    <t>C03170US20-1044</t>
  </si>
  <si>
    <t>2018000469</t>
  </si>
  <si>
    <t>C3169UQ20EU1051</t>
  </si>
  <si>
    <t>2018000483</t>
  </si>
  <si>
    <t>C03170US20-1043</t>
  </si>
  <si>
    <t>20201110</t>
  </si>
  <si>
    <t>2018000500</t>
  </si>
  <si>
    <t>C3210UQ20OSA1121</t>
  </si>
  <si>
    <t>2018000466</t>
  </si>
  <si>
    <t>C3141LVCL106220</t>
  </si>
  <si>
    <t>20201111</t>
  </si>
  <si>
    <t>2018000478</t>
  </si>
  <si>
    <t>C3168UQ20TW1105</t>
  </si>
  <si>
    <t>2018000479</t>
  </si>
  <si>
    <t>C3207UQ20HAK1100</t>
  </si>
  <si>
    <t>2018000486</t>
  </si>
  <si>
    <t>C3231UQ20IN1076</t>
  </si>
  <si>
    <t>2018000487</t>
  </si>
  <si>
    <t>C3233UQ20IN1094</t>
  </si>
  <si>
    <t>2018000489</t>
  </si>
  <si>
    <t>C3233UQ20TOK1119</t>
  </si>
  <si>
    <t>2018000490</t>
  </si>
  <si>
    <t>C3141LVMX106020</t>
  </si>
  <si>
    <t>2018000491</t>
  </si>
  <si>
    <t>C3141LVMX111220</t>
  </si>
  <si>
    <t>2018000492</t>
  </si>
  <si>
    <t>C3141LVMX111620</t>
  </si>
  <si>
    <t>2018000498</t>
  </si>
  <si>
    <t>C3168UQ20LA1095</t>
  </si>
  <si>
    <t>2018000499</t>
  </si>
  <si>
    <t>C3169UQ20SG1077</t>
  </si>
  <si>
    <t>2018000503</t>
  </si>
  <si>
    <t>C3103LVUS111120</t>
  </si>
  <si>
    <t>2018000572</t>
  </si>
  <si>
    <t>C3205UQ20YAN1098</t>
  </si>
  <si>
    <t>2018000604</t>
  </si>
  <si>
    <t>C3205UQ20SHA1097</t>
  </si>
  <si>
    <t>2018000477</t>
  </si>
  <si>
    <t>C3142LVPK111320</t>
  </si>
  <si>
    <t>2018000467</t>
  </si>
  <si>
    <t>C3141LVUS111020</t>
  </si>
  <si>
    <t>20201112</t>
  </si>
  <si>
    <t>2018000476</t>
  </si>
  <si>
    <t>C3146LVUS110920</t>
  </si>
  <si>
    <t>2018000488</t>
  </si>
  <si>
    <t>C3233UQ20OSA1120</t>
  </si>
  <si>
    <t>2018000497</t>
  </si>
  <si>
    <t>C3168UQ20NY1096</t>
  </si>
  <si>
    <t>2018000557</t>
  </si>
  <si>
    <t>C3140LVUS110820</t>
  </si>
  <si>
    <t>2018000481</t>
  </si>
  <si>
    <t>C3215UQ20SEN1134</t>
  </si>
  <si>
    <t>20201113</t>
  </si>
  <si>
    <t>2018000501</t>
  </si>
  <si>
    <t>C3165DC19US1124</t>
  </si>
  <si>
    <t>2018000502</t>
  </si>
  <si>
    <t>C3165DC19US1125</t>
  </si>
  <si>
    <t>2018000480</t>
  </si>
  <si>
    <t>C3210UQ20TOK1137</t>
  </si>
  <si>
    <t>20201114</t>
  </si>
  <si>
    <t>2018000495</t>
  </si>
  <si>
    <t>C3210UQ20TOK1087</t>
  </si>
  <si>
    <t>2018000496</t>
  </si>
  <si>
    <t>C3210UQ20TOK1122</t>
  </si>
  <si>
    <t>2018000493</t>
  </si>
  <si>
    <t>C3210UQ20TOK1086</t>
  </si>
  <si>
    <t>20201115</t>
  </si>
  <si>
    <t>2018000494</t>
  </si>
  <si>
    <t>C3210UQ20OSA1085</t>
  </si>
  <si>
    <t>2018000504</t>
  </si>
  <si>
    <t>C3231UQ20EU1115</t>
  </si>
  <si>
    <t>2018000505</t>
  </si>
  <si>
    <t>C3210UQ20OSA1106</t>
  </si>
  <si>
    <t>2018000506</t>
  </si>
  <si>
    <t>C3210UQ20TOK1107</t>
  </si>
  <si>
    <t>2018000507</t>
  </si>
  <si>
    <t>C3215UQ20HAK1132</t>
  </si>
  <si>
    <t>2018000508</t>
  </si>
  <si>
    <t>C3215UQ20NAG1133</t>
  </si>
  <si>
    <t>2018000509</t>
  </si>
  <si>
    <t>C3234UQ20RU1035</t>
  </si>
  <si>
    <t>2018000521</t>
  </si>
  <si>
    <t>C3140LVUS115120</t>
  </si>
  <si>
    <t>2018000522</t>
  </si>
  <si>
    <t>C3147LVGR115220</t>
  </si>
  <si>
    <t>2018000524</t>
  </si>
  <si>
    <t>C3147LVTR115320</t>
  </si>
  <si>
    <t>2018000525</t>
  </si>
  <si>
    <t>C3147LVUS115020</t>
  </si>
  <si>
    <t>2018000485</t>
  </si>
  <si>
    <t>C3215UQ20TOM1135</t>
  </si>
  <si>
    <t>20201116</t>
  </si>
  <si>
    <t>2018000510</t>
  </si>
  <si>
    <t>C3231UQ20HK1160</t>
  </si>
  <si>
    <t>2018000511</t>
  </si>
  <si>
    <t>C3233UQ20TOK1145</t>
  </si>
  <si>
    <t>2018000512</t>
  </si>
  <si>
    <t>C3207UQ20OSA1144</t>
  </si>
  <si>
    <t>2018000531</t>
  </si>
  <si>
    <t>C3234UQ20LA1128</t>
  </si>
  <si>
    <t>2018000535</t>
  </si>
  <si>
    <t>C3205UQ20HNL0911</t>
  </si>
  <si>
    <t>2018000513</t>
  </si>
  <si>
    <t>C3168UQ20TOK1168</t>
  </si>
  <si>
    <t>20201117</t>
  </si>
  <si>
    <t>2018000515</t>
  </si>
  <si>
    <t>C3147LVUS114920</t>
  </si>
  <si>
    <t>2018000519</t>
  </si>
  <si>
    <t>C3145LVGR115620</t>
  </si>
  <si>
    <t>20201118</t>
  </si>
  <si>
    <t>2018000526</t>
  </si>
  <si>
    <t>C3215UQ20TOK1131</t>
  </si>
  <si>
    <t>2018000527</t>
  </si>
  <si>
    <t>C3231UQ20KR1117</t>
  </si>
  <si>
    <t>2018000528</t>
  </si>
  <si>
    <t>C3231UQ20KR1118</t>
  </si>
  <si>
    <t>2018000529</t>
  </si>
  <si>
    <t>C3231UQ20KR1126</t>
  </si>
  <si>
    <t>2018000530</t>
  </si>
  <si>
    <t>C3231UQ20KR1127</t>
  </si>
  <si>
    <t>2018000532</t>
  </si>
  <si>
    <t>C3234UQ20NY1130</t>
  </si>
  <si>
    <t>2018000533</t>
  </si>
  <si>
    <t>C3145LVCA115520</t>
  </si>
  <si>
    <t>2018000534</t>
  </si>
  <si>
    <t>C3231UQ20SHA1138</t>
  </si>
  <si>
    <t>2018000540</t>
  </si>
  <si>
    <t>C3231UQ20SHA1139</t>
  </si>
  <si>
    <t>2018000541</t>
  </si>
  <si>
    <t>C3168UQ20SHA1102</t>
  </si>
  <si>
    <t>2018000542</t>
  </si>
  <si>
    <t>C3169UQ20KR1172</t>
  </si>
  <si>
    <t>2018000598</t>
  </si>
  <si>
    <t>C3169UQ20KR1173</t>
  </si>
  <si>
    <t>2018000514</t>
  </si>
  <si>
    <t>C3142LVUS114820</t>
  </si>
  <si>
    <t>20201119</t>
  </si>
  <si>
    <t>2018000516</t>
  </si>
  <si>
    <t>C3210UQ20OSA1164</t>
  </si>
  <si>
    <t>2018000517</t>
  </si>
  <si>
    <t>C3233UQ20OSA1165</t>
  </si>
  <si>
    <t>2018000518</t>
  </si>
  <si>
    <t>C3140LVUS114720</t>
  </si>
  <si>
    <t>2018000589</t>
  </si>
  <si>
    <t>C3134SB20UK1141</t>
  </si>
  <si>
    <t>2018000590</t>
  </si>
  <si>
    <t>C3160SB20UK1143</t>
  </si>
  <si>
    <t>2018000596</t>
  </si>
  <si>
    <t>C3140LVUS114620</t>
  </si>
  <si>
    <t>2018000520</t>
  </si>
  <si>
    <t>C3148LVCL116920</t>
  </si>
  <si>
    <t>20201120</t>
  </si>
  <si>
    <t>2018000523</t>
  </si>
  <si>
    <t>C3147LVMY115820</t>
  </si>
  <si>
    <t>20201121</t>
  </si>
  <si>
    <t>2018000549</t>
  </si>
  <si>
    <t>C3165DC20US1174</t>
  </si>
  <si>
    <t>2018000550</t>
  </si>
  <si>
    <t>C3165DC20US1175</t>
  </si>
  <si>
    <t>2018000569</t>
  </si>
  <si>
    <t>C3233UQ20RU1046</t>
  </si>
  <si>
    <t>2018000536</t>
  </si>
  <si>
    <t>C3169UQ20OSA1178</t>
  </si>
  <si>
    <t>20201122</t>
  </si>
  <si>
    <t>2018000537</t>
  </si>
  <si>
    <t>C3233UQ20TH1186</t>
  </si>
  <si>
    <t>2018000585</t>
  </si>
  <si>
    <t>C3104LVGR118720</t>
  </si>
  <si>
    <t>2018000586</t>
  </si>
  <si>
    <t>C3147LVTR118820</t>
  </si>
  <si>
    <t>2018000538</t>
  </si>
  <si>
    <t>C3168UQ20TOK1175</t>
  </si>
  <si>
    <t>20201123</t>
  </si>
  <si>
    <t>2018000539</t>
  </si>
  <si>
    <t>C3210UQ20TOK1163</t>
  </si>
  <si>
    <t>2018000543</t>
  </si>
  <si>
    <t>C3142LVPE106320</t>
  </si>
  <si>
    <t>2018000582</t>
  </si>
  <si>
    <t>C3168UQ20YAN1103</t>
  </si>
  <si>
    <t>2018000583</t>
  </si>
  <si>
    <t>C3231UQ20YAN1140</t>
  </si>
  <si>
    <t>2018000548</t>
  </si>
  <si>
    <t>C3147LVUS119120</t>
  </si>
  <si>
    <t>20201124</t>
  </si>
  <si>
    <t>2018000551</t>
  </si>
  <si>
    <t>C3231UQ20KR1199</t>
  </si>
  <si>
    <t>2018000552</t>
  </si>
  <si>
    <t>C3231UQ20KR1200</t>
  </si>
  <si>
    <t>2018000553</t>
  </si>
  <si>
    <t>C3231UQ20KR1208</t>
  </si>
  <si>
    <t>2018000554</t>
  </si>
  <si>
    <t>C3231UQ20KR1209</t>
  </si>
  <si>
    <t>2018000555</t>
  </si>
  <si>
    <t>C3232UQ20KR1212</t>
  </si>
  <si>
    <t>2018000556</t>
  </si>
  <si>
    <t>C3232UQ20KR1213</t>
  </si>
  <si>
    <t>2018000544</t>
  </si>
  <si>
    <t>C3145LVGR119420</t>
  </si>
  <si>
    <t>20201125</t>
  </si>
  <si>
    <t>2018000545</t>
  </si>
  <si>
    <t>C3145LVVN115920</t>
  </si>
  <si>
    <t>2018000546</t>
  </si>
  <si>
    <t>C3145LVVN119720</t>
  </si>
  <si>
    <t>2018000547</t>
  </si>
  <si>
    <t>C3147LVTR111420</t>
  </si>
  <si>
    <t>2018000560</t>
  </si>
  <si>
    <t>C3168UQ20NAG1203</t>
  </si>
  <si>
    <t>2018000561</t>
  </si>
  <si>
    <t>C3168UQ20OSA1201</t>
  </si>
  <si>
    <t>2018000562</t>
  </si>
  <si>
    <t>C3168UQ20OSA1211</t>
  </si>
  <si>
    <t>2018000563</t>
  </si>
  <si>
    <t>C3168UQ20TOK1177</t>
  </si>
  <si>
    <t>2018000564</t>
  </si>
  <si>
    <t>C3168UQ20TOK1202</t>
  </si>
  <si>
    <t>2018000565</t>
  </si>
  <si>
    <t>C3168UQ20TOK1204</t>
  </si>
  <si>
    <t>2018000566</t>
  </si>
  <si>
    <t>C3169UQ20TOK1184</t>
  </si>
  <si>
    <t>2018000567</t>
  </si>
  <si>
    <t>C3210UQ20HAK1161</t>
  </si>
  <si>
    <t>2018000568</t>
  </si>
  <si>
    <t>C3210UQ20NAG1162</t>
  </si>
  <si>
    <t>2018000570</t>
  </si>
  <si>
    <t>C3233UQ20TW1185</t>
  </si>
  <si>
    <t>2018000581</t>
  </si>
  <si>
    <t>C3145LVCA119320</t>
  </si>
  <si>
    <t>2018000559</t>
  </si>
  <si>
    <t>C3147LVCL117120</t>
  </si>
  <si>
    <t>20201126</t>
  </si>
  <si>
    <t>2018000594</t>
  </si>
  <si>
    <t>C3147LVMX115420</t>
  </si>
  <si>
    <t>2018000584</t>
  </si>
  <si>
    <t>C3233UQ20MY1214</t>
  </si>
  <si>
    <t>20201127</t>
  </si>
  <si>
    <t>2018000558</t>
  </si>
  <si>
    <t>C3140LVUS119020</t>
  </si>
  <si>
    <t>20201128</t>
  </si>
  <si>
    <t>2018000571</t>
  </si>
  <si>
    <t>C3148LVKOR119520</t>
  </si>
  <si>
    <t>2018000587</t>
  </si>
  <si>
    <t>C3102LVUS118920</t>
  </si>
  <si>
    <t>2018000573</t>
  </si>
  <si>
    <t>C3143LVGR123620</t>
  </si>
  <si>
    <t>20201129</t>
  </si>
  <si>
    <t>2018000574</t>
  </si>
  <si>
    <t>C3147LVGR123120</t>
  </si>
  <si>
    <t>2018000575</t>
  </si>
  <si>
    <t>C3147LVGR123320</t>
  </si>
  <si>
    <t>2018000576</t>
  </si>
  <si>
    <t>C3147LVGR123420</t>
  </si>
  <si>
    <t>2018000577</t>
  </si>
  <si>
    <t>C3147LVGR123520</t>
  </si>
  <si>
    <t>2018000578</t>
  </si>
  <si>
    <t>C3147LVTR123720</t>
  </si>
  <si>
    <t>2018000579</t>
  </si>
  <si>
    <t>C3147LVUS123020</t>
  </si>
  <si>
    <t>2018000580</t>
  </si>
  <si>
    <t>C3147LVUS124820</t>
  </si>
  <si>
    <t>2018000601</t>
  </si>
  <si>
    <t>C3231UQ20YAN1183</t>
  </si>
  <si>
    <t>2018000602</t>
  </si>
  <si>
    <t>C3231UQ20SHA1181</t>
  </si>
  <si>
    <t>2018000603</t>
  </si>
  <si>
    <t>C3231UQ20SHA1182</t>
  </si>
  <si>
    <t>2003003479</t>
  </si>
  <si>
    <t>WASH(EXPORT)Nov'20</t>
  </si>
  <si>
    <t>2018000588</t>
  </si>
  <si>
    <t>C3152TS20UK1206</t>
  </si>
  <si>
    <t>20201130</t>
  </si>
  <si>
    <t>2018000592</t>
  </si>
  <si>
    <t>C3168UQ20TOK1219</t>
  </si>
  <si>
    <t>2018000593</t>
  </si>
  <si>
    <t>C3233UQ20OSA1218</t>
  </si>
  <si>
    <t>2018000595</t>
  </si>
  <si>
    <t>C3165DC20US1211</t>
  </si>
  <si>
    <t>2018000597</t>
  </si>
  <si>
    <t>C3145LVCA122320</t>
  </si>
  <si>
    <t>2018000599</t>
  </si>
  <si>
    <t>C3231UQ20MY1238</t>
  </si>
  <si>
    <t>2018000600</t>
  </si>
  <si>
    <t>C3231UQ20MY1246</t>
  </si>
  <si>
    <t>2008000088</t>
  </si>
  <si>
    <t>CIPL-PGC-0283-20</t>
  </si>
  <si>
    <t>2008000089</t>
  </si>
  <si>
    <t>CIPL-PGC-0284-20</t>
  </si>
  <si>
    <t>2008000090</t>
  </si>
  <si>
    <t>CIPL-PGC-0285-20</t>
  </si>
  <si>
    <t>2008000091</t>
  </si>
  <si>
    <t>CIP-EG2-0061-20</t>
  </si>
  <si>
    <t>2006000038</t>
  </si>
  <si>
    <t>DA</t>
  </si>
  <si>
    <t>CIPL-GA-003-20</t>
  </si>
  <si>
    <t>Outside wash sales to GLOBAL ATTIRE LIMITED</t>
  </si>
  <si>
    <t>Outside Wash Rev Nov'20</t>
  </si>
  <si>
    <t>2008000095</t>
  </si>
  <si>
    <t>CIPL-MSGL-217-20</t>
  </si>
  <si>
    <t>2008000096</t>
  </si>
  <si>
    <t>CIPL-MSGL-218-20</t>
  </si>
  <si>
    <t>2008000097</t>
  </si>
  <si>
    <t>CIPL-MSGL-219-20</t>
  </si>
  <si>
    <t>2008000098</t>
  </si>
  <si>
    <t>CIPL-MSGL-220-20</t>
  </si>
  <si>
    <t>2008000099</t>
  </si>
  <si>
    <t>CIPL-MSGL-221-20</t>
  </si>
  <si>
    <t>2018000591</t>
  </si>
  <si>
    <t>C3168UQ20SEN1222</t>
  </si>
  <si>
    <t>20201201</t>
  </si>
  <si>
    <t>2018000607</t>
  </si>
  <si>
    <t>C3147LVUS122520</t>
  </si>
  <si>
    <t>2018000615</t>
  </si>
  <si>
    <t>C3231UQ20SG1247</t>
  </si>
  <si>
    <t>2018000637</t>
  </si>
  <si>
    <t>C3168UQ20HAK1220</t>
  </si>
  <si>
    <t>2018000659</t>
  </si>
  <si>
    <t>C3168UQ20SEN1243</t>
  </si>
  <si>
    <t>2018000693</t>
  </si>
  <si>
    <t>C3168UQ20TOM1223</t>
  </si>
  <si>
    <t>2018000610</t>
  </si>
  <si>
    <t>C3168UQ20NAG1221</t>
  </si>
  <si>
    <t>20201202</t>
  </si>
  <si>
    <t>2018000611</t>
  </si>
  <si>
    <t>C3168UQ20OSA1244</t>
  </si>
  <si>
    <t>2018000612</t>
  </si>
  <si>
    <t>C3205UQ20SG1217</t>
  </si>
  <si>
    <t>2018000616</t>
  </si>
  <si>
    <t>C3232UQ20NAG1242</t>
  </si>
  <si>
    <t>2018000617</t>
  </si>
  <si>
    <t>C3233UQ20HK1215</t>
  </si>
  <si>
    <t>2018000618</t>
  </si>
  <si>
    <t>C3233UQ20TOK1245</t>
  </si>
  <si>
    <t>2018000605</t>
  </si>
  <si>
    <t>C3102LVUS122420</t>
  </si>
  <si>
    <t>20201203</t>
  </si>
  <si>
    <t>2018000606</t>
  </si>
  <si>
    <t>C3145LVGR122820</t>
  </si>
  <si>
    <t>2018000608</t>
  </si>
  <si>
    <t>C3145LVTR122920</t>
  </si>
  <si>
    <t>2018000609</t>
  </si>
  <si>
    <t>C3233UQ20TOK1250</t>
  </si>
  <si>
    <t>2018000620</t>
  </si>
  <si>
    <t>C3153TS19CE1205</t>
  </si>
  <si>
    <t>2018000640</t>
  </si>
  <si>
    <t>C3245UQ20RU1082</t>
  </si>
  <si>
    <t>2018000694</t>
  </si>
  <si>
    <t>C3205UQ20PH1128</t>
  </si>
  <si>
    <t>2008000100</t>
  </si>
  <si>
    <t>SC3169UQ20JP0160</t>
  </si>
  <si>
    <t>Samle sales to EDL HK</t>
  </si>
  <si>
    <t>2008000101</t>
  </si>
  <si>
    <t>SC3259UQ20JP0158</t>
  </si>
  <si>
    <t>2008000102</t>
  </si>
  <si>
    <t>SC3169UQ20JP0159</t>
  </si>
  <si>
    <t>2018000662</t>
  </si>
  <si>
    <t>C3147LVVN122720</t>
  </si>
  <si>
    <t>20201204</t>
  </si>
  <si>
    <t>2003003648</t>
  </si>
  <si>
    <t>SC3216LVUS013120</t>
  </si>
  <si>
    <t>2008000103</t>
  </si>
  <si>
    <t>SC3216LVUS012020</t>
  </si>
  <si>
    <t>2008000104</t>
  </si>
  <si>
    <t>SC3216LVJP016720</t>
  </si>
  <si>
    <t>2008000105</t>
  </si>
  <si>
    <t>SC3216LVUS016220</t>
  </si>
  <si>
    <t>2008000106</t>
  </si>
  <si>
    <t>SC3216LVUS012320</t>
  </si>
  <si>
    <t>2008000107</t>
  </si>
  <si>
    <t>SC3216LVUS016320</t>
  </si>
  <si>
    <t>2008000108</t>
  </si>
  <si>
    <t>SC3216LVUS011420</t>
  </si>
  <si>
    <t>2008000109</t>
  </si>
  <si>
    <t>SC3216LVUS011620</t>
  </si>
  <si>
    <t>2008000110</t>
  </si>
  <si>
    <t>SC3216LVUS011720</t>
  </si>
  <si>
    <t>2008000111</t>
  </si>
  <si>
    <t>SC3216LVSG013720</t>
  </si>
  <si>
    <t>2008000112</t>
  </si>
  <si>
    <t>2008000113</t>
  </si>
  <si>
    <t>SC3216LVUS014020</t>
  </si>
  <si>
    <t>2008000114</t>
  </si>
  <si>
    <t>SC3216LVUS017020</t>
  </si>
  <si>
    <t>2008000115</t>
  </si>
  <si>
    <t>SC3216LVUS012420</t>
  </si>
  <si>
    <t>2008000131</t>
  </si>
  <si>
    <t>SAMPLE SALES TO EDL HK</t>
  </si>
  <si>
    <t>2018000613</t>
  </si>
  <si>
    <t>C3233UQ20OSA1251</t>
  </si>
  <si>
    <t>20201206</t>
  </si>
  <si>
    <t>2018000614</t>
  </si>
  <si>
    <t>C3147LVGR127120</t>
  </si>
  <si>
    <t>2018000619</t>
  </si>
  <si>
    <t>C3169UQ20VN1176</t>
  </si>
  <si>
    <t>2018000660</t>
  </si>
  <si>
    <t>C3145LVMY119620</t>
  </si>
  <si>
    <t>2018000661</t>
  </si>
  <si>
    <t>C3145LVMY122620</t>
  </si>
  <si>
    <t>2018000695</t>
  </si>
  <si>
    <t>C3231UQ20PH1249</t>
  </si>
  <si>
    <t>2018000621</t>
  </si>
  <si>
    <t>C3168UQ20OSA1258</t>
  </si>
  <si>
    <t>20201207</t>
  </si>
  <si>
    <t>2018000623</t>
  </si>
  <si>
    <t>C3168UQ20TOM1261</t>
  </si>
  <si>
    <t>2018000624</t>
  </si>
  <si>
    <t>C3168UQ20HAK1260</t>
  </si>
  <si>
    <t>2018000625</t>
  </si>
  <si>
    <t>C3168UQ20NAG1259</t>
  </si>
  <si>
    <t>2018000629</t>
  </si>
  <si>
    <t>C3234UQ20LA1273</t>
  </si>
  <si>
    <t>2018000631</t>
  </si>
  <si>
    <t>C3247UQ20LA1264</t>
  </si>
  <si>
    <t>2018000632</t>
  </si>
  <si>
    <t>C3247UQ20LA1278</t>
  </si>
  <si>
    <t>2018000622</t>
  </si>
  <si>
    <t>C3218LVUS126520</t>
  </si>
  <si>
    <t>20201208</t>
  </si>
  <si>
    <t>2018000626</t>
  </si>
  <si>
    <t>C3245UQ20EU1257</t>
  </si>
  <si>
    <t>2018000627</t>
  </si>
  <si>
    <t>C3245UQ20EU1262</t>
  </si>
  <si>
    <t>2018000630</t>
  </si>
  <si>
    <t>C3234UQ20NY1272</t>
  </si>
  <si>
    <t>2018000633</t>
  </si>
  <si>
    <t>C3247UQ20NY1263</t>
  </si>
  <si>
    <t>2018000634</t>
  </si>
  <si>
    <t>C3247UQ20NY1277</t>
  </si>
  <si>
    <t>2018000641</t>
  </si>
  <si>
    <t>C3149LVMX119220</t>
  </si>
  <si>
    <t>2018000642</t>
  </si>
  <si>
    <t>C3145LVCA126720</t>
  </si>
  <si>
    <t>2018000628</t>
  </si>
  <si>
    <t>C3145LVTR126820</t>
  </si>
  <si>
    <t>20201209</t>
  </si>
  <si>
    <t>2018000638</t>
  </si>
  <si>
    <t>C3232UQ20KR1275</t>
  </si>
  <si>
    <t>2018000639</t>
  </si>
  <si>
    <t>C3232UQ20KR1276</t>
  </si>
  <si>
    <t>2008000116</t>
  </si>
  <si>
    <t>SC3216LVUS013020</t>
  </si>
  <si>
    <t>2008000117</t>
  </si>
  <si>
    <t>SC3216LVUS013320</t>
  </si>
  <si>
    <t>2018000636</t>
  </si>
  <si>
    <t>C3145LVUS126620</t>
  </si>
  <si>
    <t>20201210</t>
  </si>
  <si>
    <t>2018000647</t>
  </si>
  <si>
    <t>C3233UQ20SG1286</t>
  </si>
  <si>
    <t>20201211</t>
  </si>
  <si>
    <t>2018000648</t>
  </si>
  <si>
    <t>C3253UQ20VN1314</t>
  </si>
  <si>
    <t>2018000684</t>
  </si>
  <si>
    <t>C3165DC20US1240</t>
  </si>
  <si>
    <t>2018000685</t>
  </si>
  <si>
    <t>C3165DC20US1239</t>
  </si>
  <si>
    <t>2018000686</t>
  </si>
  <si>
    <t>C3165DC20US1241</t>
  </si>
  <si>
    <t>2018000643</t>
  </si>
  <si>
    <t>C3147LVGR127020</t>
  </si>
  <si>
    <t>20201212</t>
  </si>
  <si>
    <t>2018000644</t>
  </si>
  <si>
    <t>C3168UQ20HAK1289</t>
  </si>
  <si>
    <t>2018000645</t>
  </si>
  <si>
    <t>C3168UQ20SEN1290</t>
  </si>
  <si>
    <t>2018000646</t>
  </si>
  <si>
    <t>C3168UQ20TOM1292</t>
  </si>
  <si>
    <t>2018000679</t>
  </si>
  <si>
    <t>C3153TS19CE1287</t>
  </si>
  <si>
    <t>2018000635</t>
  </si>
  <si>
    <t>20201213</t>
  </si>
  <si>
    <t>2018000649</t>
  </si>
  <si>
    <t>C3253UQ20VN1313</t>
  </si>
  <si>
    <t>2018000687</t>
  </si>
  <si>
    <t>C3103LVUS130320</t>
  </si>
  <si>
    <t>2018000688</t>
  </si>
  <si>
    <t>C3103LVUS130220</t>
  </si>
  <si>
    <t>2018000689</t>
  </si>
  <si>
    <t>C3143LVGR129520</t>
  </si>
  <si>
    <t>2018000690</t>
  </si>
  <si>
    <t>C3143LVGR129620</t>
  </si>
  <si>
    <t>2018000650</t>
  </si>
  <si>
    <t>C3233UQ20EU1288</t>
  </si>
  <si>
    <t>20201214</t>
  </si>
  <si>
    <t>2018000651</t>
  </si>
  <si>
    <t>C3247UQ20EU1280</t>
  </si>
  <si>
    <t>2018000652</t>
  </si>
  <si>
    <t>C3168UQ20TOK1291</t>
  </si>
  <si>
    <t>20201215</t>
  </si>
  <si>
    <t>2018000653</t>
  </si>
  <si>
    <t>C3247UQ20OSA1293</t>
  </si>
  <si>
    <t>2018000654</t>
  </si>
  <si>
    <t>C3247UQ20YOK1294</t>
  </si>
  <si>
    <t>2018000713</t>
  </si>
  <si>
    <t>C3247UQ20TOR1180</t>
  </si>
  <si>
    <t>2018000655</t>
  </si>
  <si>
    <t>C3247UQ20OSA1318</t>
  </si>
  <si>
    <t>20201216</t>
  </si>
  <si>
    <t>2018000656</t>
  </si>
  <si>
    <t>C3247UQ20YOK1319</t>
  </si>
  <si>
    <t>2018000657</t>
  </si>
  <si>
    <t>C3233UQ20TH1317</t>
  </si>
  <si>
    <t>2018000658</t>
  </si>
  <si>
    <t>C3234UQ20OSA1330</t>
  </si>
  <si>
    <t>2018000663</t>
  </si>
  <si>
    <t>C3100LVGR131220</t>
  </si>
  <si>
    <t>2018000680</t>
  </si>
  <si>
    <t>C3149LVUS130620</t>
  </si>
  <si>
    <t>20201217</t>
  </si>
  <si>
    <t>2018000681</t>
  </si>
  <si>
    <t>C3218LVUS130520</t>
  </si>
  <si>
    <t>2018000714</t>
  </si>
  <si>
    <t>C3247UQ20VAN1179</t>
  </si>
  <si>
    <t>2018000738</t>
  </si>
  <si>
    <t>C3140LVUS131120</t>
  </si>
  <si>
    <t>2018000739</t>
  </si>
  <si>
    <t>C3218LVUS130820</t>
  </si>
  <si>
    <t>2018000740</t>
  </si>
  <si>
    <t>C3218LVUS131020</t>
  </si>
  <si>
    <t>2018000745</t>
  </si>
  <si>
    <t>C3236LVUS130920</t>
  </si>
  <si>
    <t>2018000664</t>
  </si>
  <si>
    <t>C3247UQ20SEN1322</t>
  </si>
  <si>
    <t>20201218</t>
  </si>
  <si>
    <t>2018000665</t>
  </si>
  <si>
    <t>C3247UQ20TOM1326</t>
  </si>
  <si>
    <t>2018000666</t>
  </si>
  <si>
    <t>C3234UQ20HAK1329</t>
  </si>
  <si>
    <t>2018000667</t>
  </si>
  <si>
    <t>C3234UQ20SEN1328</t>
  </si>
  <si>
    <t>2018000668</t>
  </si>
  <si>
    <t>C3234UQ20TOM1327</t>
  </si>
  <si>
    <t>2018000669</t>
  </si>
  <si>
    <t>C3234UQ20NAG1331</t>
  </si>
  <si>
    <t>2018000670</t>
  </si>
  <si>
    <t>C3247UQ20SEN1335</t>
  </si>
  <si>
    <t>2018000671</t>
  </si>
  <si>
    <t>C3247UQ20TOM1336</t>
  </si>
  <si>
    <t>2018000672</t>
  </si>
  <si>
    <t>C3247UQ20HAK1342</t>
  </si>
  <si>
    <t>2018000673</t>
  </si>
  <si>
    <t>C3247UQ20NAG1337</t>
  </si>
  <si>
    <t>2018000674</t>
  </si>
  <si>
    <t>C3247UQ20OSA1338</t>
  </si>
  <si>
    <t>2018000675</t>
  </si>
  <si>
    <t>C3247UQ20SEN1343</t>
  </si>
  <si>
    <t>2018000676</t>
  </si>
  <si>
    <t>C3247UQ20TOM1341</t>
  </si>
  <si>
    <t>2018000677</t>
  </si>
  <si>
    <t>C3247UQ20YOK1332</t>
  </si>
  <si>
    <t>2018000682</t>
  </si>
  <si>
    <t>C3145LVUS130720</t>
  </si>
  <si>
    <t>2018000696</t>
  </si>
  <si>
    <t>C3247UQ20HAK1320</t>
  </si>
  <si>
    <t>2018000697</t>
  </si>
  <si>
    <t>C3141LVPA119820</t>
  </si>
  <si>
    <t>2018000709</t>
  </si>
  <si>
    <t>C3247UQ20HAK1334</t>
  </si>
  <si>
    <t>2018000710</t>
  </si>
  <si>
    <t>C3247UQ20NAG1321</t>
  </si>
  <si>
    <t>2018000678</t>
  </si>
  <si>
    <t>C3168UQ20OSA1345</t>
  </si>
  <si>
    <t>20201219</t>
  </si>
  <si>
    <t>2018000715</t>
  </si>
  <si>
    <t>C3168UQ20SEN1255</t>
  </si>
  <si>
    <t>2018000716</t>
  </si>
  <si>
    <t>C3168UQ20HAK1254</t>
  </si>
  <si>
    <t>2018000717</t>
  </si>
  <si>
    <t>C3207UQ20NAG1316</t>
  </si>
  <si>
    <t>2018000778</t>
  </si>
  <si>
    <t>C3168UQ20TOM1256</t>
  </si>
  <si>
    <t>2018000779</t>
  </si>
  <si>
    <t>C3210UQ20TOK1216</t>
  </si>
  <si>
    <t>2018000780</t>
  </si>
  <si>
    <t>C3207UQ20TOK1315</t>
  </si>
  <si>
    <t>2018000781</t>
  </si>
  <si>
    <t>C3231UQ20SHA1252</t>
  </si>
  <si>
    <t>2018000683</t>
  </si>
  <si>
    <t>C3143LVGR134620</t>
  </si>
  <si>
    <t>20201220</t>
  </si>
  <si>
    <t>2018000718</t>
  </si>
  <si>
    <t>C3231UQ20YAN1253</t>
  </si>
  <si>
    <t>2018000728</t>
  </si>
  <si>
    <t>C03138DN20IR1285</t>
  </si>
  <si>
    <t>2018000691</t>
  </si>
  <si>
    <t>C3247UQ20NAG1371</t>
  </si>
  <si>
    <t>20201221</t>
  </si>
  <si>
    <t>2018000692</t>
  </si>
  <si>
    <t>C3247UQ20OSA1370</t>
  </si>
  <si>
    <t>2018000698</t>
  </si>
  <si>
    <t>C3148LVKOR129720</t>
  </si>
  <si>
    <t>2018000699</t>
  </si>
  <si>
    <t>C3211LVUS135420</t>
  </si>
  <si>
    <t>20201222</t>
  </si>
  <si>
    <t>2018000708</t>
  </si>
  <si>
    <t>C3145LVMY126920</t>
  </si>
  <si>
    <t>2018000732</t>
  </si>
  <si>
    <t>C3145LVCA134920</t>
  </si>
  <si>
    <t>2018000700</t>
  </si>
  <si>
    <t>C3185AC20KT1333</t>
  </si>
  <si>
    <t>20201223</t>
  </si>
  <si>
    <t>2018000729</t>
  </si>
  <si>
    <t>C03139DN20IR1372</t>
  </si>
  <si>
    <t>2018000733</t>
  </si>
  <si>
    <t>C3143LVGR129820</t>
  </si>
  <si>
    <t>2018000734</t>
  </si>
  <si>
    <t>C3205UQ20TW1344</t>
  </si>
  <si>
    <t>2018000735</t>
  </si>
  <si>
    <t>C3233UQ20KR1356</t>
  </si>
  <si>
    <t>2018000736</t>
  </si>
  <si>
    <t>C3233UQ20KR1357</t>
  </si>
  <si>
    <t>2018000741</t>
  </si>
  <si>
    <t>C3218LVUS135220</t>
  </si>
  <si>
    <t>2018000767</t>
  </si>
  <si>
    <t>C3140LVUS135320</t>
  </si>
  <si>
    <t>2018000701</t>
  </si>
  <si>
    <t>C3145LVUS135120</t>
  </si>
  <si>
    <t>20201224</t>
  </si>
  <si>
    <t>2018000702</t>
  </si>
  <si>
    <t>C3233UQ20TW1360</t>
  </si>
  <si>
    <t>2018000703</t>
  </si>
  <si>
    <t>C3234UQ20TOK1324</t>
  </si>
  <si>
    <t>2018000704</t>
  </si>
  <si>
    <t>C3232UQ20KR1379</t>
  </si>
  <si>
    <t>2018000705</t>
  </si>
  <si>
    <t>C3232UQ20KR1380</t>
  </si>
  <si>
    <t>2018000711</t>
  </si>
  <si>
    <t>C3145LVTR129920</t>
  </si>
  <si>
    <t>2018000712</t>
  </si>
  <si>
    <t>C3143LVTR135520</t>
  </si>
  <si>
    <t>2018000737</t>
  </si>
  <si>
    <t>C3160SB20UK1358</t>
  </si>
  <si>
    <t>2018000719</t>
  </si>
  <si>
    <t>SC3216LVUS013220</t>
  </si>
  <si>
    <t>20201225</t>
  </si>
  <si>
    <t>2018000720</t>
  </si>
  <si>
    <t>C3145LVVN120720</t>
  </si>
  <si>
    <t>2003003639</t>
  </si>
  <si>
    <t>SC3216LVUS009920</t>
  </si>
  <si>
    <t>20201226</t>
  </si>
  <si>
    <t>2003003640</t>
  </si>
  <si>
    <t>SC3216LVUS010520</t>
  </si>
  <si>
    <t>2008000118</t>
  </si>
  <si>
    <t>SC3216LVUS015820</t>
  </si>
  <si>
    <t>SAMPLESALES TO EDL HK</t>
  </si>
  <si>
    <t>2008000119</t>
  </si>
  <si>
    <t>SC3216LVUS015720</t>
  </si>
  <si>
    <t>2008000120</t>
  </si>
  <si>
    <t>SC3216LVUS016120</t>
  </si>
  <si>
    <t>2008000121</t>
  </si>
  <si>
    <t>SC3216LVUS015620</t>
  </si>
  <si>
    <t>2008000123</t>
  </si>
  <si>
    <t>SC3216LVUS015920</t>
  </si>
  <si>
    <t>2008000129</t>
  </si>
  <si>
    <t>2008000130</t>
  </si>
  <si>
    <t>2018000706</t>
  </si>
  <si>
    <t>C3245UQ20TW1361</t>
  </si>
  <si>
    <t>2018000707</t>
  </si>
  <si>
    <t>C3245UQ20TW1377</t>
  </si>
  <si>
    <t>2018000721</t>
  </si>
  <si>
    <t>2018000722</t>
  </si>
  <si>
    <t>2018000723</t>
  </si>
  <si>
    <t>C3214LVUS138620</t>
  </si>
  <si>
    <t>20201227</t>
  </si>
  <si>
    <t>2018000724</t>
  </si>
  <si>
    <t>C3214LVUS139720</t>
  </si>
  <si>
    <t>2018000725</t>
  </si>
  <si>
    <t>C3104LVGR138720</t>
  </si>
  <si>
    <t>2018000726</t>
  </si>
  <si>
    <t>C3234UQ20TOK1385</t>
  </si>
  <si>
    <t>2018000727</t>
  </si>
  <si>
    <t>C3145LVMY130020</t>
  </si>
  <si>
    <t>2018000730</t>
  </si>
  <si>
    <t>C3143LVCL130120</t>
  </si>
  <si>
    <t>2018000731</t>
  </si>
  <si>
    <t>C3145LVCL134720</t>
  </si>
  <si>
    <t>2018000760</t>
  </si>
  <si>
    <t>C03138DN20IR1373</t>
  </si>
  <si>
    <t>2018000743</t>
  </si>
  <si>
    <t>C3234UQ20TOR1365</t>
  </si>
  <si>
    <t>20201229</t>
  </si>
  <si>
    <t>2018000744</t>
  </si>
  <si>
    <t>C3234UQ20VAN1366</t>
  </si>
  <si>
    <t>2018000749</t>
  </si>
  <si>
    <t>C3253UQ20TH1378</t>
  </si>
  <si>
    <t>2018000742</t>
  </si>
  <si>
    <t>C3222LVGR138820</t>
  </si>
  <si>
    <t>20201230</t>
  </si>
  <si>
    <t>2018000746</t>
  </si>
  <si>
    <t>C3245UQ20IN1359</t>
  </si>
  <si>
    <t>2018000747</t>
  </si>
  <si>
    <t>C3247UQ20IN1281</t>
  </si>
  <si>
    <t>2018000748</t>
  </si>
  <si>
    <t>C3247UQ20OSA1375</t>
  </si>
  <si>
    <t>2018000750</t>
  </si>
  <si>
    <t>C3247UQ20NAG1376</t>
  </si>
  <si>
    <t>2018000761</t>
  </si>
  <si>
    <t>C3245UQ20SG1392</t>
  </si>
  <si>
    <t>2018000768</t>
  </si>
  <si>
    <t>C3149LVUS139020</t>
  </si>
  <si>
    <t>2018000769</t>
  </si>
  <si>
    <t>C3245UQ20SG1404</t>
  </si>
  <si>
    <t>2003003651</t>
  </si>
  <si>
    <t>WASH(EXPORT)Dec</t>
  </si>
  <si>
    <t>WASH(EXPORT)Dec'20</t>
  </si>
  <si>
    <t>2018000751</t>
  </si>
  <si>
    <t>C3235UQ20MEL1363</t>
  </si>
  <si>
    <t>20201231</t>
  </si>
  <si>
    <t>2018000752</t>
  </si>
  <si>
    <t>C3235UQ20SYD1364</t>
  </si>
  <si>
    <t>2018000753</t>
  </si>
  <si>
    <t>C3235UQ20MEL1400</t>
  </si>
  <si>
    <t>2018000754</t>
  </si>
  <si>
    <t>C3235UQ20MEL1401</t>
  </si>
  <si>
    <t>2018000755</t>
  </si>
  <si>
    <t>C3235UQ20SYD1402</t>
  </si>
  <si>
    <t>2018000762</t>
  </si>
  <si>
    <t>C3235UQ20MEL1362</t>
  </si>
  <si>
    <t>2018000763</t>
  </si>
  <si>
    <t>C3245UQ20MY1393</t>
  </si>
  <si>
    <t>2018000764</t>
  </si>
  <si>
    <t>C3247UQ20YOK1374</t>
  </si>
  <si>
    <t>WASH(EXPORT)Dec20</t>
  </si>
  <si>
    <t>2008000124</t>
  </si>
  <si>
    <t>CIPL-PGC-0286-20</t>
  </si>
  <si>
    <t>INTER COMPANY WASH SALES TO PGCL</t>
  </si>
  <si>
    <t>INTER COMPANY WASH SALES</t>
  </si>
  <si>
    <t>2008000125</t>
  </si>
  <si>
    <t>CIPL-GA-004-20</t>
  </si>
  <si>
    <t>N.INT.COM WASH SALES TO GLOBAL ATTIRE LTD</t>
  </si>
  <si>
    <t>N. INT. COM. WASH SALES</t>
  </si>
  <si>
    <t>2008000126</t>
  </si>
  <si>
    <t>CIPL-MSGL-222-20</t>
  </si>
  <si>
    <t>N.INT.COM WASH SALES TO MASCOT GARMENTS LTD</t>
  </si>
  <si>
    <t>2008000127</t>
  </si>
  <si>
    <t>CIPL-MSGL-223-20</t>
  </si>
  <si>
    <t>CIPL-MSGL-223-20</t>
  </si>
  <si>
    <t>2008000128</t>
  </si>
  <si>
    <t>CIPL-MSGL-224-20</t>
  </si>
  <si>
    <t>2003004157</t>
  </si>
  <si>
    <t>SC3216LVMX012520</t>
  </si>
  <si>
    <t>2008000132</t>
  </si>
  <si>
    <t>SC3216LVUS016620</t>
  </si>
  <si>
    <t>2008000133</t>
  </si>
  <si>
    <t>SC3216LVUS014520</t>
  </si>
  <si>
    <t>2008000134</t>
  </si>
  <si>
    <t>SC3216LVMX014720</t>
  </si>
  <si>
    <t>2008000135</t>
  </si>
  <si>
    <t>SC3216LVUS010920</t>
  </si>
  <si>
    <t>2008000136</t>
  </si>
  <si>
    <t>SC3216LVUS014620</t>
  </si>
  <si>
    <t>2008000137</t>
  </si>
  <si>
    <t>2008000139</t>
  </si>
  <si>
    <t>SC3216LVUS015120</t>
  </si>
  <si>
    <t>2008000140</t>
  </si>
  <si>
    <t>SC3216LVUS016520</t>
  </si>
  <si>
    <t>2008000141</t>
  </si>
  <si>
    <t>SC3216LVUS016820</t>
  </si>
  <si>
    <t>2008000142</t>
  </si>
  <si>
    <t>SC3216LVUS016920</t>
  </si>
  <si>
    <t>2008000176</t>
  </si>
  <si>
    <t>SC3216LVUS015020</t>
  </si>
  <si>
    <t>2008000185</t>
  </si>
  <si>
    <t>2018000756</t>
  </si>
  <si>
    <t>C3233UQ20KR1383</t>
  </si>
  <si>
    <t>20210101</t>
  </si>
  <si>
    <t>2018000757</t>
  </si>
  <si>
    <t>C3233UQ20KR1384</t>
  </si>
  <si>
    <t>2018000758</t>
  </si>
  <si>
    <t>C3245UQ20KR1381</t>
  </si>
  <si>
    <t>2018000759</t>
  </si>
  <si>
    <t>C3245UQ20KR1382</t>
  </si>
  <si>
    <t>2018000765</t>
  </si>
  <si>
    <t>C3233UQ20HK1405</t>
  </si>
  <si>
    <t>2018000770</t>
  </si>
  <si>
    <t>C3219LVUS139120</t>
  </si>
  <si>
    <t>2018000771</t>
  </si>
  <si>
    <t>C3217UQ20EU1395</t>
  </si>
  <si>
    <t>2018000782</t>
  </si>
  <si>
    <t>C3236LVUS138920</t>
  </si>
  <si>
    <t>2018000766</t>
  </si>
  <si>
    <t>C3245UQ20HK1399</t>
  </si>
  <si>
    <t>20210102</t>
  </si>
  <si>
    <t>2018000793</t>
  </si>
  <si>
    <t>C0322LVMY134820</t>
  </si>
  <si>
    <t>2008000143</t>
  </si>
  <si>
    <t>SC3168UQ20SG0178</t>
  </si>
  <si>
    <t>2008000144</t>
  </si>
  <si>
    <t>SC3168UQ20RUS161</t>
  </si>
  <si>
    <t>2008000145</t>
  </si>
  <si>
    <t>SC3168UQ20MY0176</t>
  </si>
  <si>
    <t>2008000146</t>
  </si>
  <si>
    <t>SC3169UQ20TH0181</t>
  </si>
  <si>
    <t>2008000147</t>
  </si>
  <si>
    <t>SC3169UQ20MY0186</t>
  </si>
  <si>
    <t>2008000148</t>
  </si>
  <si>
    <t>SC3169UQ20KOR185</t>
  </si>
  <si>
    <t>2008000149</t>
  </si>
  <si>
    <t>SC3168UQ20IDN177</t>
  </si>
  <si>
    <t>2008000151</t>
  </si>
  <si>
    <t>SC3168UQ20CN0174</t>
  </si>
  <si>
    <t>2008000152</t>
  </si>
  <si>
    <t>83.94985</t>
  </si>
  <si>
    <t>SC3259UQ20JP0165</t>
  </si>
  <si>
    <t>2008000153</t>
  </si>
  <si>
    <t>SC3169UQ20IDN184</t>
  </si>
  <si>
    <t>2008000154</t>
  </si>
  <si>
    <t>SC3168UQ20TH0179</t>
  </si>
  <si>
    <t>2008000155</t>
  </si>
  <si>
    <t>SC3168UQ20JP0183</t>
  </si>
  <si>
    <t>2008000156</t>
  </si>
  <si>
    <t>SC3168UQ20JP0162</t>
  </si>
  <si>
    <t>2008000157</t>
  </si>
  <si>
    <t>SC3259UQ20JP0164</t>
  </si>
  <si>
    <t>2008000158</t>
  </si>
  <si>
    <t>SC3169UQ20SG0187</t>
  </si>
  <si>
    <t>2008000159</t>
  </si>
  <si>
    <t>SC3169UQ20CN0180</t>
  </si>
  <si>
    <t>2008000161</t>
  </si>
  <si>
    <t>SC3168UQ20KOR175</t>
  </si>
  <si>
    <t>2008000162</t>
  </si>
  <si>
    <t>SC3168UQ20JP0163</t>
  </si>
  <si>
    <t>2018000772</t>
  </si>
  <si>
    <t>C3245UQ20MY1411</t>
  </si>
  <si>
    <t>20210103</t>
  </si>
  <si>
    <t>2018000773</t>
  </si>
  <si>
    <t>C3259UQ20KR1409</t>
  </si>
  <si>
    <t>2018000774</t>
  </si>
  <si>
    <t>C3259UQ20KR1410</t>
  </si>
  <si>
    <t>2018000775</t>
  </si>
  <si>
    <t>C3221LVGR142220</t>
  </si>
  <si>
    <t>2018000776</t>
  </si>
  <si>
    <t>C3243LVUS142020</t>
  </si>
  <si>
    <t>2018000777</t>
  </si>
  <si>
    <t>C3243LVUS142320</t>
  </si>
  <si>
    <t>2018000783</t>
  </si>
  <si>
    <t>C3141LVPE139420</t>
  </si>
  <si>
    <t>2018000786</t>
  </si>
  <si>
    <t>C3233UQ20LA1407</t>
  </si>
  <si>
    <t>2018000787</t>
  </si>
  <si>
    <t>C3233UQ20NY1406</t>
  </si>
  <si>
    <t>2018000788</t>
  </si>
  <si>
    <t>C3247UQ20LA1414</t>
  </si>
  <si>
    <t>2018000789</t>
  </si>
  <si>
    <t>C3247UQ20NY1413</t>
  </si>
  <si>
    <t>2018000784</t>
  </si>
  <si>
    <t>C3245UQ20SG1412</t>
  </si>
  <si>
    <t>20210105</t>
  </si>
  <si>
    <t>2018000785</t>
  </si>
  <si>
    <t>C3271UQ20PH1424</t>
  </si>
  <si>
    <t>2018000790</t>
  </si>
  <si>
    <t>C3168UQ20LA1426</t>
  </si>
  <si>
    <t>2018000791</t>
  </si>
  <si>
    <t>C3168UQ20NY1425</t>
  </si>
  <si>
    <t>2018000794</t>
  </si>
  <si>
    <t>C3253UQ20HK1416</t>
  </si>
  <si>
    <t>2018000792</t>
  </si>
  <si>
    <t>C3214LVUS141720</t>
  </si>
  <si>
    <t>20210106</t>
  </si>
  <si>
    <t>2018000795</t>
  </si>
  <si>
    <t>C3253UQ21IN0002</t>
  </si>
  <si>
    <t>20210107</t>
  </si>
  <si>
    <t>2018000797</t>
  </si>
  <si>
    <t>C3236LVUS141820</t>
  </si>
  <si>
    <t>2018000796</t>
  </si>
  <si>
    <t>C3245UQ21EU0001</t>
  </si>
  <si>
    <t>20210109</t>
  </si>
  <si>
    <t>2018000798</t>
  </si>
  <si>
    <t>C3221LVGR142120</t>
  </si>
  <si>
    <t>2018000799</t>
  </si>
  <si>
    <t>C3233UQ21SG0006</t>
  </si>
  <si>
    <t>2018000832</t>
  </si>
  <si>
    <t>C3236LVUS141920</t>
  </si>
  <si>
    <t>20210110</t>
  </si>
  <si>
    <t>2018000800</t>
  </si>
  <si>
    <t>C3245UQ21EU0003</t>
  </si>
  <si>
    <t>20210111</t>
  </si>
  <si>
    <t>2018000817</t>
  </si>
  <si>
    <t>C3259UQ21NY0004</t>
  </si>
  <si>
    <t>2018000822</t>
  </si>
  <si>
    <t>C3247UQ20HNL1279</t>
  </si>
  <si>
    <t>2018000801</t>
  </si>
  <si>
    <t>C3253UQ21TH0016</t>
  </si>
  <si>
    <t>20210112</t>
  </si>
  <si>
    <t>2018000802</t>
  </si>
  <si>
    <t>C3259UQ21LA0005</t>
  </si>
  <si>
    <t>2018000803</t>
  </si>
  <si>
    <t>C3253UQ21TH0007</t>
  </si>
  <si>
    <t>2018000804</t>
  </si>
  <si>
    <t>C3232UQ21KR0014</t>
  </si>
  <si>
    <t>20210113</t>
  </si>
  <si>
    <t>2018000805</t>
  </si>
  <si>
    <t>C3232UQ21KR0015</t>
  </si>
  <si>
    <t>2018000818</t>
  </si>
  <si>
    <t>C3213LVUS001021</t>
  </si>
  <si>
    <t>2018000830</t>
  </si>
  <si>
    <t>C3236LVUS000821</t>
  </si>
  <si>
    <t>2018000831</t>
  </si>
  <si>
    <t>C3236LVUS000921</t>
  </si>
  <si>
    <t>2018000873</t>
  </si>
  <si>
    <t>C3104LVMX135020</t>
  </si>
  <si>
    <t>2018000874</t>
  </si>
  <si>
    <t>C3213LVMX001221</t>
  </si>
  <si>
    <t>2018000875</t>
  </si>
  <si>
    <t>C3100LVMX130420</t>
  </si>
  <si>
    <t>2018000806</t>
  </si>
  <si>
    <t>C3253UQ21HAK0018</t>
  </si>
  <si>
    <t>20210114</t>
  </si>
  <si>
    <t>2018000807</t>
  </si>
  <si>
    <t>C3253UQ21NAG0019</t>
  </si>
  <si>
    <t>2018000808</t>
  </si>
  <si>
    <t>C3253UQ21SEN0022</t>
  </si>
  <si>
    <t>2018000809</t>
  </si>
  <si>
    <t>C3253UQ21TOM0023</t>
  </si>
  <si>
    <t>2018000810</t>
  </si>
  <si>
    <t>C3271UQ21TH0027</t>
  </si>
  <si>
    <t>2018000811</t>
  </si>
  <si>
    <t>C3232UQ21HAK0030</t>
  </si>
  <si>
    <t>2018000812</t>
  </si>
  <si>
    <t>C3232UQ21NAG0031</t>
  </si>
  <si>
    <t>2018000813</t>
  </si>
  <si>
    <t>C3232UQ21SEN0032</t>
  </si>
  <si>
    <t>2018000814</t>
  </si>
  <si>
    <t>C3232UQ21TOM0033</t>
  </si>
  <si>
    <t>2018000815</t>
  </si>
  <si>
    <t>C3245UQ21KR0038</t>
  </si>
  <si>
    <t>2018000816</t>
  </si>
  <si>
    <t>C3253UQ21TH0036</t>
  </si>
  <si>
    <t>2018000819</t>
  </si>
  <si>
    <t>C3214LVUS001121</t>
  </si>
  <si>
    <t>2018000820</t>
  </si>
  <si>
    <t>C3253UQ21OSA0020</t>
  </si>
  <si>
    <t>20210115</t>
  </si>
  <si>
    <t>2018000821</t>
  </si>
  <si>
    <t>C3232UQ21OSA0028</t>
  </si>
  <si>
    <t>2018000833</t>
  </si>
  <si>
    <t>C3245UQ21KR0037</t>
  </si>
  <si>
    <t>20210116</t>
  </si>
  <si>
    <t>2018000845</t>
  </si>
  <si>
    <t>C3217UQ20RU1323</t>
  </si>
  <si>
    <t>2018000823</t>
  </si>
  <si>
    <t>C3233UQ21HAK0057</t>
  </si>
  <si>
    <t>20210117</t>
  </si>
  <si>
    <t>2018000824</t>
  </si>
  <si>
    <t>C3233UQ21NAG0056</t>
  </si>
  <si>
    <t>2018000825</t>
  </si>
  <si>
    <t>C3233UQ21OSA0055</t>
  </si>
  <si>
    <t>2018000829</t>
  </si>
  <si>
    <t>C3147LVGR005321</t>
  </si>
  <si>
    <t>2008000163</t>
  </si>
  <si>
    <t>SC3216LVUS014220</t>
  </si>
  <si>
    <t>2008000164</t>
  </si>
  <si>
    <t>SC3216LVUS013620</t>
  </si>
  <si>
    <t>2008000165</t>
  </si>
  <si>
    <t>SC3216LVUS016420</t>
  </si>
  <si>
    <t>2008000166</t>
  </si>
  <si>
    <t>SC3243LVUS018220</t>
  </si>
  <si>
    <t>2008000167</t>
  </si>
  <si>
    <t>SC3216LVUS017120</t>
  </si>
  <si>
    <t>2008000168</t>
  </si>
  <si>
    <t>SC3216LVUS014820</t>
  </si>
  <si>
    <t>2008000169</t>
  </si>
  <si>
    <t>SC3216LVUS015520</t>
  </si>
  <si>
    <t>2008000170</t>
  </si>
  <si>
    <t>SC3216LVUS015420</t>
  </si>
  <si>
    <t>2008000171</t>
  </si>
  <si>
    <t>SC3216LVUS013920</t>
  </si>
  <si>
    <t>2008000173</t>
  </si>
  <si>
    <t>SC3216LVUS017220</t>
  </si>
  <si>
    <t>2008000174</t>
  </si>
  <si>
    <t>83.94996</t>
  </si>
  <si>
    <t>SC3214LVUS017320</t>
  </si>
  <si>
    <t>2018000826</t>
  </si>
  <si>
    <t>C3233UQ21TOM0058</t>
  </si>
  <si>
    <t>20210118</t>
  </si>
  <si>
    <t>2018000827</t>
  </si>
  <si>
    <t>C3253UQ21TOK0024</t>
  </si>
  <si>
    <t>2018000828</t>
  </si>
  <si>
    <t>C3274UQ21VAN0047</t>
  </si>
  <si>
    <t>2018000835</t>
  </si>
  <si>
    <t>C3213LVUS004921</t>
  </si>
  <si>
    <t>20210119</t>
  </si>
  <si>
    <t>2018000836</t>
  </si>
  <si>
    <t>C3223LVUS004821</t>
  </si>
  <si>
    <t>2018000834</t>
  </si>
  <si>
    <t>C3223LVUS005121</t>
  </si>
  <si>
    <t>20210120</t>
  </si>
  <si>
    <t>2018000840</t>
  </si>
  <si>
    <t>C3217UQ21EU0045</t>
  </si>
  <si>
    <t>2018000841</t>
  </si>
  <si>
    <t>C3246UQ21OSA0060</t>
  </si>
  <si>
    <t>2018000842</t>
  </si>
  <si>
    <t>C3246UQ21TOK0061</t>
  </si>
  <si>
    <t>2018000843</t>
  </si>
  <si>
    <t>C3247UQ21YOK0044</t>
  </si>
  <si>
    <t>2018000844</t>
  </si>
  <si>
    <t>C3246UQ21OSA0074</t>
  </si>
  <si>
    <t>2018000846</t>
  </si>
  <si>
    <t>C3232UQ21TOK0029</t>
  </si>
  <si>
    <t>2018000847</t>
  </si>
  <si>
    <t>C3247UQ21OSA0059</t>
  </si>
  <si>
    <t>2008000177</t>
  </si>
  <si>
    <t>SC3216LVBE014920</t>
  </si>
  <si>
    <t>2018000837</t>
  </si>
  <si>
    <t>C3222LVGR005221</t>
  </si>
  <si>
    <t>20210122</t>
  </si>
  <si>
    <t>2018000848</t>
  </si>
  <si>
    <t>C3290UQ21KR0062</t>
  </si>
  <si>
    <t>83.94994</t>
  </si>
  <si>
    <t>2018000883</t>
  </si>
  <si>
    <t>C3218LVMX005021</t>
  </si>
  <si>
    <t>2018000838</t>
  </si>
  <si>
    <t>SC3242LVUS009521</t>
  </si>
  <si>
    <t>20210123</t>
  </si>
  <si>
    <t>2018000839</t>
  </si>
  <si>
    <t>SC3242LVUS010321</t>
  </si>
  <si>
    <t>2018000852</t>
  </si>
  <si>
    <t>C3247UQ21HAK0039</t>
  </si>
  <si>
    <t>2018000853</t>
  </si>
  <si>
    <t>C3247UQ21NAG0040</t>
  </si>
  <si>
    <t>2018000854</t>
  </si>
  <si>
    <t>C3247UQ21SEN0042</t>
  </si>
  <si>
    <t>2018000855</t>
  </si>
  <si>
    <t>C3246UQ21SEN0075</t>
  </si>
  <si>
    <t>2018000856</t>
  </si>
  <si>
    <t>C3259UQ21HAK0078</t>
  </si>
  <si>
    <t>2018000857</t>
  </si>
  <si>
    <t>C3259UQ21NAG0076</t>
  </si>
  <si>
    <t>2018000858</t>
  </si>
  <si>
    <t>C3259UQ21OSA0081</t>
  </si>
  <si>
    <t>2018000859</t>
  </si>
  <si>
    <t>C3259UQ21SEN0079</t>
  </si>
  <si>
    <t>2018000860</t>
  </si>
  <si>
    <t>C3259UQ21TOM0080</t>
  </si>
  <si>
    <t>2018000861</t>
  </si>
  <si>
    <t>C3246UQ21HAK0041</t>
  </si>
  <si>
    <t>2018000862</t>
  </si>
  <si>
    <t>C3246UQ21NAG0097</t>
  </si>
  <si>
    <t>2018000863</t>
  </si>
  <si>
    <t>C3272UQ21SEN0100</t>
  </si>
  <si>
    <t>2018000864</t>
  </si>
  <si>
    <t>C3272UQ21TOM0101</t>
  </si>
  <si>
    <t>2018000869</t>
  </si>
  <si>
    <t>C3259UQ21YOK0077</t>
  </si>
  <si>
    <t>2018000871</t>
  </si>
  <si>
    <t>C3247UQ21TOM0043</t>
  </si>
  <si>
    <t>2018000849</t>
  </si>
  <si>
    <t>C3213LVCL001321</t>
  </si>
  <si>
    <t>20210124</t>
  </si>
  <si>
    <t>2018000850</t>
  </si>
  <si>
    <t>C3221LVGR009121</t>
  </si>
  <si>
    <t>2018000851</t>
  </si>
  <si>
    <t>C3218LVCL005421</t>
  </si>
  <si>
    <t>2018000872</t>
  </si>
  <si>
    <t>C3219LVTR009221</t>
  </si>
  <si>
    <t>2018000879</t>
  </si>
  <si>
    <t>C3291UQ21RU0035</t>
  </si>
  <si>
    <t>2018000880</t>
  </si>
  <si>
    <t>C3291UQ21RU0034</t>
  </si>
  <si>
    <t>2018000865</t>
  </si>
  <si>
    <t>C3253UQ21KR0083</t>
  </si>
  <si>
    <t>20210125</t>
  </si>
  <si>
    <t>2018000866</t>
  </si>
  <si>
    <t>C3253UQ21KR0084</t>
  </si>
  <si>
    <t>2018000867</t>
  </si>
  <si>
    <t>C3272UQ21TOK0102</t>
  </si>
  <si>
    <t>2018000868</t>
  </si>
  <si>
    <t>C3246UQ21OSA0105</t>
  </si>
  <si>
    <t>2018000870</t>
  </si>
  <si>
    <t>C3274UQ21TOR0046</t>
  </si>
  <si>
    <t>20210126</t>
  </si>
  <si>
    <t>2018000887</t>
  </si>
  <si>
    <t>C3218LVMX009021</t>
  </si>
  <si>
    <t>20210127</t>
  </si>
  <si>
    <t>2018000876</t>
  </si>
  <si>
    <t>C3218LVCL010421</t>
  </si>
  <si>
    <t>20210128</t>
  </si>
  <si>
    <t>2018000878</t>
  </si>
  <si>
    <t>C3242LVUS008921</t>
  </si>
  <si>
    <t>2018000881</t>
  </si>
  <si>
    <t>C3246UQ21TOK0106</t>
  </si>
  <si>
    <t>2018000882</t>
  </si>
  <si>
    <t>C3271UQ21TH098</t>
  </si>
  <si>
    <t>2018000884</t>
  </si>
  <si>
    <t>C3243LVUS008621</t>
  </si>
  <si>
    <t>2018000885</t>
  </si>
  <si>
    <t>C3160SB21UK0096</t>
  </si>
  <si>
    <t>2018000888</t>
  </si>
  <si>
    <t>C3243LVUS008721</t>
  </si>
  <si>
    <t>2018000889</t>
  </si>
  <si>
    <t>C3242LVUS008821</t>
  </si>
  <si>
    <t>2018000890</t>
  </si>
  <si>
    <t>C3218LVUS008521</t>
  </si>
  <si>
    <t>2018000891</t>
  </si>
  <si>
    <t>C3253UQ20ID1415</t>
  </si>
  <si>
    <t>2018000892</t>
  </si>
  <si>
    <t>C3245UQ21SG0099</t>
  </si>
  <si>
    <t>2018000877</t>
  </si>
  <si>
    <t>C3218LVPK009321</t>
  </si>
  <si>
    <t>2018000886</t>
  </si>
  <si>
    <t>C3221LVGR009421</t>
  </si>
  <si>
    <t>20210129</t>
  </si>
  <si>
    <t>2003004158</t>
  </si>
  <si>
    <t>WASH(EXPORT)Jan'21</t>
  </si>
  <si>
    <t>WASH(EXPORT)jan'21</t>
  </si>
  <si>
    <t>2008000178</t>
  </si>
  <si>
    <t>SC3168UQ21JP0001</t>
  </si>
  <si>
    <t>2018000893</t>
  </si>
  <si>
    <t>C3272UQ21HAK0120</t>
  </si>
  <si>
    <t>20210131</t>
  </si>
  <si>
    <t>2018000894</t>
  </si>
  <si>
    <t>C3272UQ21NAG0114</t>
  </si>
  <si>
    <t>2018000895</t>
  </si>
  <si>
    <t>C3272UQ21OSA0126</t>
  </si>
  <si>
    <t>2018000896</t>
  </si>
  <si>
    <t>C3272UQ21TOK0110</t>
  </si>
  <si>
    <t>2018000897</t>
  </si>
  <si>
    <t>C3272UQ21NAG0119</t>
  </si>
  <si>
    <t>2018000898</t>
  </si>
  <si>
    <t>C3272UQ21OSA0118</t>
  </si>
  <si>
    <t>2018000899</t>
  </si>
  <si>
    <t>C3272UQ21HAK0115</t>
  </si>
  <si>
    <t>2018000900</t>
  </si>
  <si>
    <t>C3272UQ21OSA0111</t>
  </si>
  <si>
    <t>2018000901</t>
  </si>
  <si>
    <t>C3272UQ21TOK0125</t>
  </si>
  <si>
    <t>2008000180</t>
  </si>
  <si>
    <t>CIPL-PGC-0287-20</t>
  </si>
  <si>
    <t>2008000181</t>
  </si>
  <si>
    <t>CIPL-PGC-0288-20</t>
  </si>
  <si>
    <t>2008000182</t>
  </si>
  <si>
    <t>CIPL-GTL0018-21</t>
  </si>
  <si>
    <t>Inter-Company wash sales to GTL</t>
  </si>
  <si>
    <t>2008000183</t>
  </si>
  <si>
    <t>CIPL-GTL0019-21</t>
  </si>
  <si>
    <t>2008000179</t>
  </si>
  <si>
    <t>CIPL-MSGL-225-20</t>
  </si>
  <si>
    <t>2008000184</t>
  </si>
  <si>
    <t>CIPL-LAI-001-21</t>
  </si>
  <si>
    <t>Outside wash sales to laila</t>
  </si>
  <si>
    <t>Outside Wash Rev Jan'21</t>
  </si>
  <si>
    <t>2018000921</t>
  </si>
  <si>
    <t>C3143LVGR0133-21</t>
  </si>
  <si>
    <t>20210201</t>
  </si>
  <si>
    <t>2018000902</t>
  </si>
  <si>
    <t>C3291UQ21EU0127</t>
  </si>
  <si>
    <t>20210202</t>
  </si>
  <si>
    <t>2018000903</t>
  </si>
  <si>
    <t>C3239LVUS0130-21</t>
  </si>
  <si>
    <t>2018000924</t>
  </si>
  <si>
    <t>C3248LVMX0128-21</t>
  </si>
  <si>
    <t>2018000925</t>
  </si>
  <si>
    <t>C3248LVMX0129-21</t>
  </si>
  <si>
    <t>2018000904</t>
  </si>
  <si>
    <t>C3236LVUS0131-21</t>
  </si>
  <si>
    <t>20210203</t>
  </si>
  <si>
    <t>2018000906</t>
  </si>
  <si>
    <t>C3253UQ21TW0116</t>
  </si>
  <si>
    <t>20210204</t>
  </si>
  <si>
    <t>2018000907</t>
  </si>
  <si>
    <t>C3255UQ21MEL0137</t>
  </si>
  <si>
    <t>2018000908</t>
  </si>
  <si>
    <t>C3255UQ21MEL0138</t>
  </si>
  <si>
    <t>2018000909</t>
  </si>
  <si>
    <t>C3255UQ21SYD0139</t>
  </si>
  <si>
    <t>2018000910</t>
  </si>
  <si>
    <t>C3272UQ21HAK0152</t>
  </si>
  <si>
    <t>2018000911</t>
  </si>
  <si>
    <t>C3272UQ21NAG0151</t>
  </si>
  <si>
    <t>2018000912</t>
  </si>
  <si>
    <t>C3272UQ21SEN0112</t>
  </si>
  <si>
    <t>2018000913</t>
  </si>
  <si>
    <t>C3272UQ21SEN0121</t>
  </si>
  <si>
    <t>2018000914</t>
  </si>
  <si>
    <t>C3272UQ21TOM0113</t>
  </si>
  <si>
    <t>2018000915</t>
  </si>
  <si>
    <t>C3272UQ21TOM0122</t>
  </si>
  <si>
    <t>2018000916</t>
  </si>
  <si>
    <t>C3291UQ21TW0145</t>
  </si>
  <si>
    <t>2018000917</t>
  </si>
  <si>
    <t>C3291UQ21TW0153</t>
  </si>
  <si>
    <t>2018000918</t>
  </si>
  <si>
    <t>C3305UQ21MEL0107</t>
  </si>
  <si>
    <t>2018000919</t>
  </si>
  <si>
    <t>C3305UQ21MEL0108</t>
  </si>
  <si>
    <t>2018000920</t>
  </si>
  <si>
    <t>C3305UQ21SYD0109</t>
  </si>
  <si>
    <t>2018000905</t>
  </si>
  <si>
    <t>C3248LVPK0132-21</t>
  </si>
  <si>
    <t>2008000186</t>
  </si>
  <si>
    <t>SC3216LVPA012820</t>
  </si>
  <si>
    <t>2018000922</t>
  </si>
  <si>
    <t>C3232UQ21KR0135</t>
  </si>
  <si>
    <t>20210207</t>
  </si>
  <si>
    <t>2018000923</t>
  </si>
  <si>
    <t>C3232UQ21KR0136</t>
  </si>
  <si>
    <t>2018000927</t>
  </si>
  <si>
    <t>C3260UQ21HAK0158</t>
  </si>
  <si>
    <t>2018000928</t>
  </si>
  <si>
    <t>C3260UQ21NAG0157</t>
  </si>
  <si>
    <t>2018000929</t>
  </si>
  <si>
    <t>C3260UQ21OSA0154</t>
  </si>
  <si>
    <t>2018000930</t>
  </si>
  <si>
    <t>C3260UQ21OSA0155</t>
  </si>
  <si>
    <t>2018000933</t>
  </si>
  <si>
    <t>C3260UQ21SEN0159</t>
  </si>
  <si>
    <t>2018000934</t>
  </si>
  <si>
    <t>C3260UQ21SEN0167</t>
  </si>
  <si>
    <t>2018000935</t>
  </si>
  <si>
    <t>C3260UQ21TOM0160</t>
  </si>
  <si>
    <t>2018000936</t>
  </si>
  <si>
    <t>C3260UQ21TOM0168</t>
  </si>
  <si>
    <t>2018000937</t>
  </si>
  <si>
    <t>C3260UQ21YOK0161</t>
  </si>
  <si>
    <t>2018000941</t>
  </si>
  <si>
    <t>C3272UQ21OSA0150</t>
  </si>
  <si>
    <t>2018000942</t>
  </si>
  <si>
    <t>C3272UQ21OSA0156</t>
  </si>
  <si>
    <t>2018000943</t>
  </si>
  <si>
    <t>C3272UQ21TOK0149</t>
  </si>
  <si>
    <t>2018000944</t>
  </si>
  <si>
    <t>C3272UQ21TOK0162</t>
  </si>
  <si>
    <t>2018000945</t>
  </si>
  <si>
    <t>C3291UQ21IN0147</t>
  </si>
  <si>
    <t>2018000926</t>
  </si>
  <si>
    <t>C3254UQ21OSA0182</t>
  </si>
  <si>
    <t>20210208</t>
  </si>
  <si>
    <t>2018000931</t>
  </si>
  <si>
    <t>C3260UQ21OSA0169</t>
  </si>
  <si>
    <t>2018000932</t>
  </si>
  <si>
    <t>C3260UQ21OSA0181</t>
  </si>
  <si>
    <t>2018000938</t>
  </si>
  <si>
    <t>C3260UQ21YOK0170</t>
  </si>
  <si>
    <t>2018000939</t>
  </si>
  <si>
    <t>C3260UQ21YOK0175</t>
  </si>
  <si>
    <t>2018000940</t>
  </si>
  <si>
    <t>C3260UQ21YOK0180</t>
  </si>
  <si>
    <t>2018000968</t>
  </si>
  <si>
    <t>C3291UQ21RU0140</t>
  </si>
  <si>
    <t>2018000946</t>
  </si>
  <si>
    <t>C3211LVUS0174-21</t>
  </si>
  <si>
    <t>20210209</t>
  </si>
  <si>
    <t>2018000951</t>
  </si>
  <si>
    <t>C3255UQ21LA0164</t>
  </si>
  <si>
    <t>2018000967</t>
  </si>
  <si>
    <t>C3275LVMX0173-21</t>
  </si>
  <si>
    <t>2018000947</t>
  </si>
  <si>
    <t>C3232UQ21KR0185</t>
  </si>
  <si>
    <t>20210210</t>
  </si>
  <si>
    <t>2018000949</t>
  </si>
  <si>
    <t>C3232UQ21KR0186</t>
  </si>
  <si>
    <t>2018000950</t>
  </si>
  <si>
    <t>C3254UQ21TOK0183</t>
  </si>
  <si>
    <t>2018000961</t>
  </si>
  <si>
    <t>C3291UQ21TOR0144</t>
  </si>
  <si>
    <t>2018000969</t>
  </si>
  <si>
    <t>C3255UQ21NY0163</t>
  </si>
  <si>
    <t>2018000948</t>
  </si>
  <si>
    <t>C3238LVGR0172-21</t>
  </si>
  <si>
    <t>20210211</t>
  </si>
  <si>
    <t>2018000952</t>
  </si>
  <si>
    <t>C3260UQ21HAK0166</t>
  </si>
  <si>
    <t>2018000953</t>
  </si>
  <si>
    <t>C3260UQ21HAK0176</t>
  </si>
  <si>
    <t>2018000954</t>
  </si>
  <si>
    <t>C3260UQ21NAG0171</t>
  </si>
  <si>
    <t>2018000955</t>
  </si>
  <si>
    <t>C3260UQ21NAG0179</t>
  </si>
  <si>
    <t>2018000956</t>
  </si>
  <si>
    <t>C3260UQ21SEN0177</t>
  </si>
  <si>
    <t>2018000957</t>
  </si>
  <si>
    <t>C3260UQ21TOM0178</t>
  </si>
  <si>
    <t>2018000964</t>
  </si>
  <si>
    <t>C3307UQ21MEL0141</t>
  </si>
  <si>
    <t>2018000965</t>
  </si>
  <si>
    <t>C3307UQ21MEL0142</t>
  </si>
  <si>
    <t>2018000966</t>
  </si>
  <si>
    <t>C3307UQ21SYD0143</t>
  </si>
  <si>
    <t>2018000958</t>
  </si>
  <si>
    <t>C3272UQ21OSA0187</t>
  </si>
  <si>
    <t>20210212</t>
  </si>
  <si>
    <t>2018000959</t>
  </si>
  <si>
    <t>C3272UQ21TOK0188</t>
  </si>
  <si>
    <t>2018000960</t>
  </si>
  <si>
    <t>C3290UQ21YOK0189</t>
  </si>
  <si>
    <t>2018000962</t>
  </si>
  <si>
    <t>C3291UQ21TW0184</t>
  </si>
  <si>
    <t>2018000963</t>
  </si>
  <si>
    <t>C3291UQ21TW0194</t>
  </si>
  <si>
    <t>2018000970</t>
  </si>
  <si>
    <t>C3271UQ21VN0191</t>
  </si>
  <si>
    <t>20210213</t>
  </si>
  <si>
    <t>2018000981</t>
  </si>
  <si>
    <t>C3246UQ21TOK0117</t>
  </si>
  <si>
    <t>2018000982</t>
  </si>
  <si>
    <t>C3246UQ21SEN0123</t>
  </si>
  <si>
    <t>2018000983</t>
  </si>
  <si>
    <t>C3246UQ21TOM0124</t>
  </si>
  <si>
    <t>2018000971</t>
  </si>
  <si>
    <t>C3291UQ21SG0190</t>
  </si>
  <si>
    <t>20210215</t>
  </si>
  <si>
    <t>2018000972</t>
  </si>
  <si>
    <t>C3291UQ21SG0193</t>
  </si>
  <si>
    <t>2018000973</t>
  </si>
  <si>
    <t>C3213LVUS0204-21</t>
  </si>
  <si>
    <t>20210216</t>
  </si>
  <si>
    <t>2018000974</t>
  </si>
  <si>
    <t>C3290UQ21OSA0218</t>
  </si>
  <si>
    <t>2018000975</t>
  </si>
  <si>
    <t>C3290UQ21YOK0217</t>
  </si>
  <si>
    <t>2018000976</t>
  </si>
  <si>
    <t>C3290UQ21NAG0219</t>
  </si>
  <si>
    <t>2018000977</t>
  </si>
  <si>
    <t>C3254UQ21TOK0216</t>
  </si>
  <si>
    <t>2018000978</t>
  </si>
  <si>
    <t>C3290UQ21HAK0220</t>
  </si>
  <si>
    <t>2018000979</t>
  </si>
  <si>
    <t>C3291UQ21TW0209</t>
  </si>
  <si>
    <t>2018000980</t>
  </si>
  <si>
    <t>C3242LVUS0207-21</t>
  </si>
  <si>
    <t>2018000985</t>
  </si>
  <si>
    <t>C3240LVMX0206-21</t>
  </si>
  <si>
    <t>2018000986</t>
  </si>
  <si>
    <t>C3100LVMX0205-21</t>
  </si>
  <si>
    <t>2018000988</t>
  </si>
  <si>
    <t>C3242LVUS0203-21</t>
  </si>
  <si>
    <t>2018000989</t>
  </si>
  <si>
    <t>C3248LVUS0198-21</t>
  </si>
  <si>
    <t>2018000990</t>
  </si>
  <si>
    <t>C3244LVUS0196-21</t>
  </si>
  <si>
    <t>2018000991</t>
  </si>
  <si>
    <t>C3223LVUS0199-21</t>
  </si>
  <si>
    <t>2018000992</t>
  </si>
  <si>
    <t>C3223LVUS0195-21</t>
  </si>
  <si>
    <t>2018000993</t>
  </si>
  <si>
    <t>C3248LVUS0201-21</t>
  </si>
  <si>
    <t>2018000994</t>
  </si>
  <si>
    <t>C3223LVUS0202-21</t>
  </si>
  <si>
    <t>2018000995</t>
  </si>
  <si>
    <t>C3244LVUS0197-21</t>
  </si>
  <si>
    <t>2018000996</t>
  </si>
  <si>
    <t>C3248LVUS0200-21</t>
  </si>
  <si>
    <t>2018000987</t>
  </si>
  <si>
    <t>C3271UQ21VN0225</t>
  </si>
  <si>
    <t>20210218</t>
  </si>
  <si>
    <t>2018000997</t>
  </si>
  <si>
    <t>C3271UQ21KR0215</t>
  </si>
  <si>
    <t>2018000998</t>
  </si>
  <si>
    <t>C3271UQ21KR0214</t>
  </si>
  <si>
    <t>2018000999</t>
  </si>
  <si>
    <t>C3169UQ21TW0213</t>
  </si>
  <si>
    <t>2018001001</t>
  </si>
  <si>
    <t>C3254UQ21TOK0224</t>
  </si>
  <si>
    <t>2018000984</t>
  </si>
  <si>
    <t>C3249LVPK0208-21</t>
  </si>
  <si>
    <t>2018001008</t>
  </si>
  <si>
    <t>C3291UQ21RU0148</t>
  </si>
  <si>
    <t>20210220</t>
  </si>
  <si>
    <t>2018001009</t>
  </si>
  <si>
    <t>C3271UQ21RU0082</t>
  </si>
  <si>
    <t>2018001010</t>
  </si>
  <si>
    <t>C3291UQ21RU0146</t>
  </si>
  <si>
    <t>2018001011</t>
  </si>
  <si>
    <t>C3217UQ21RU0026</t>
  </si>
  <si>
    <t>2018001029</t>
  </si>
  <si>
    <t>C3259UQ21NAG0210</t>
  </si>
  <si>
    <t>2018001002</t>
  </si>
  <si>
    <t>C3290UQ21SEN0221</t>
  </si>
  <si>
    <t>20210221</t>
  </si>
  <si>
    <t>2018001003</t>
  </si>
  <si>
    <t>C3290UQ21TOM0222</t>
  </si>
  <si>
    <t>2018001030</t>
  </si>
  <si>
    <t>C3259UQ21YOK0212</t>
  </si>
  <si>
    <t>2018001031</t>
  </si>
  <si>
    <t>C3259UQ21OSA0211</t>
  </si>
  <si>
    <t>2018001004</t>
  </si>
  <si>
    <t>C3290UQ21YOK0243</t>
  </si>
  <si>
    <t>20210222</t>
  </si>
  <si>
    <t>2018001005</t>
  </si>
  <si>
    <t>C3290UQ21TOM0241</t>
  </si>
  <si>
    <t>2018001006</t>
  </si>
  <si>
    <t>C3290UQ21SEN0240</t>
  </si>
  <si>
    <t>2018001007</t>
  </si>
  <si>
    <t>C3290UQ21OSA0242</t>
  </si>
  <si>
    <t>2018001012</t>
  </si>
  <si>
    <t>C3248LVPE0134-21</t>
  </si>
  <si>
    <t>2018001000</t>
  </si>
  <si>
    <t>C3220LVUS0230-21</t>
  </si>
  <si>
    <t>20210223</t>
  </si>
  <si>
    <t>2018001013</t>
  </si>
  <si>
    <t>C3290UQ21HAK0239</t>
  </si>
  <si>
    <t>20210226</t>
  </si>
  <si>
    <t>2018001014</t>
  </si>
  <si>
    <t>C3221LVUS0233-21</t>
  </si>
  <si>
    <t>2018001015</t>
  </si>
  <si>
    <t>C3271UQ21VN0226</t>
  </si>
  <si>
    <t>2018001016</t>
  </si>
  <si>
    <t>C3254UQ21NAG0266</t>
  </si>
  <si>
    <t>2018001017</t>
  </si>
  <si>
    <t>C3290UQ21NAG0238</t>
  </si>
  <si>
    <t>2018001018</t>
  </si>
  <si>
    <t>C3254UQ21OSA0265</t>
  </si>
  <si>
    <t>2018001019</t>
  </si>
  <si>
    <t>C3254UQ21HAK0267</t>
  </si>
  <si>
    <t>2018001023</t>
  </si>
  <si>
    <t>C3240LVMX0236-21</t>
  </si>
  <si>
    <t>2018001024</t>
  </si>
  <si>
    <t>C3248LVMX0232-21</t>
  </si>
  <si>
    <t>2018001025</t>
  </si>
  <si>
    <t>C3244LVUS0229-21</t>
  </si>
  <si>
    <t>2018001026</t>
  </si>
  <si>
    <t>C3248LVMX0231-21</t>
  </si>
  <si>
    <t>2018001027</t>
  </si>
  <si>
    <t>C3249LVUS0228-21</t>
  </si>
  <si>
    <t>2018001020</t>
  </si>
  <si>
    <t>C3254UQ21TOM0269</t>
  </si>
  <si>
    <t>20210227</t>
  </si>
  <si>
    <t>2018001021</t>
  </si>
  <si>
    <t>C3254UQ21SEN0268</t>
  </si>
  <si>
    <t>2018001028</t>
  </si>
  <si>
    <t>C3141LVPA0223-21</t>
  </si>
  <si>
    <t>2003005646</t>
  </si>
  <si>
    <t>WASH(EXPORT)Feb'21</t>
  </si>
  <si>
    <t>WASH(EXPORT)feb'21</t>
  </si>
  <si>
    <t>WASH(EXPORT)FEB'21</t>
  </si>
  <si>
    <t>2018001022</t>
  </si>
  <si>
    <t>C3221LVGR0252-21</t>
  </si>
  <si>
    <t>20210228</t>
  </si>
  <si>
    <t>2003005492</t>
  </si>
  <si>
    <t>CIPL-PGCL-0265-2</t>
  </si>
  <si>
    <t>CIPL-PGCL-0265-20</t>
  </si>
  <si>
    <t>2003005651</t>
  </si>
  <si>
    <t>CIPL-MSGL-226-20</t>
  </si>
  <si>
    <t>2008000187</t>
  </si>
  <si>
    <t>CIPL-PGCL-0289-2</t>
  </si>
  <si>
    <t>CIPL-PGCL-0289-21</t>
  </si>
  <si>
    <t>2008000188</t>
  </si>
  <si>
    <t>CIPL-PGCL-0290-2</t>
  </si>
  <si>
    <t>CIPL-PGCL-0290-21</t>
  </si>
  <si>
    <t>2008000189</t>
  </si>
  <si>
    <t>CIPL-PGCL-0291-2</t>
  </si>
  <si>
    <t>CIPL-PGCL-0291-21</t>
  </si>
  <si>
    <t>2008000190</t>
  </si>
  <si>
    <t>CIPL-PGCL-0292-2</t>
  </si>
  <si>
    <t>CIPL-PGCL-0292-21</t>
  </si>
  <si>
    <t>2008000191</t>
  </si>
  <si>
    <t>CIPL-PGCL-0293-2</t>
  </si>
  <si>
    <t>CIPL-PGCL-0293-21</t>
  </si>
  <si>
    <t>2008000192</t>
  </si>
  <si>
    <t>CIPL-PGCL-0264-2</t>
  </si>
  <si>
    <t>CIPL-PGCL-0264-21</t>
  </si>
  <si>
    <t>2008000193</t>
  </si>
  <si>
    <t>2008000194</t>
  </si>
  <si>
    <t>2008000195</t>
  </si>
  <si>
    <t>2008000196</t>
  </si>
  <si>
    <t>CIPL-MSGL-226-2</t>
  </si>
  <si>
    <t>CIPL-MSGL-226-20</t>
  </si>
  <si>
    <t>2008000200</t>
  </si>
  <si>
    <t>SC3216LVJP016020</t>
  </si>
  <si>
    <t>2018001040</t>
  </si>
  <si>
    <t>C3272UQ21OSA0227</t>
  </si>
  <si>
    <t>20210301</t>
  </si>
  <si>
    <t>2008000198</t>
  </si>
  <si>
    <t>CIPLBTC21US0192</t>
  </si>
  <si>
    <t>Stocklot sales to EDL HK</t>
  </si>
  <si>
    <t>2018001045</t>
  </si>
  <si>
    <t>C3240LVMX0253-21</t>
  </si>
  <si>
    <t>20210302</t>
  </si>
  <si>
    <t>2018001046</t>
  </si>
  <si>
    <t>C3218LVMX0270-21</t>
  </si>
  <si>
    <t>2018001035</t>
  </si>
  <si>
    <t>C3242LVUS0257-21</t>
  </si>
  <si>
    <t>20210304</t>
  </si>
  <si>
    <t>2018001053</t>
  </si>
  <si>
    <t>C3291UQ21HNL0258</t>
  </si>
  <si>
    <t>2018001033</t>
  </si>
  <si>
    <t>C3240LVCL0234-21</t>
  </si>
  <si>
    <t>20210305</t>
  </si>
  <si>
    <t>2018001034</t>
  </si>
  <si>
    <t>C3240LVCL0251-21</t>
  </si>
  <si>
    <t>2018001036</t>
  </si>
  <si>
    <t>C3248LVUS0254-21</t>
  </si>
  <si>
    <t>2018001037</t>
  </si>
  <si>
    <t>C3254UQ21TOK0244</t>
  </si>
  <si>
    <t>2018001038</t>
  </si>
  <si>
    <t>C3271UQ21TW0261</t>
  </si>
  <si>
    <t>2018001039</t>
  </si>
  <si>
    <t>C3271UQ21VN0259</t>
  </si>
  <si>
    <t>2018001041</t>
  </si>
  <si>
    <t>C3275LVCL0246-21</t>
  </si>
  <si>
    <t>2008000199</t>
  </si>
  <si>
    <t>CIPLKERA21GR0247</t>
  </si>
  <si>
    <t>2018001042</t>
  </si>
  <si>
    <t>C3290UQ21HAK0271</t>
  </si>
  <si>
    <t>20210306</t>
  </si>
  <si>
    <t>2018001043</t>
  </si>
  <si>
    <t>C3290UQ21NAG0272</t>
  </si>
  <si>
    <t>2018001044</t>
  </si>
  <si>
    <t>C3290UQ21OSA0274</t>
  </si>
  <si>
    <t>2018001032</t>
  </si>
  <si>
    <t>C3221LVGR0255-21</t>
  </si>
  <si>
    <t>20210307</t>
  </si>
  <si>
    <t>2018001047</t>
  </si>
  <si>
    <t>C3254UQ21TOK0276</t>
  </si>
  <si>
    <t>2018001048</t>
  </si>
  <si>
    <t>C3272UQ21KR0262</t>
  </si>
  <si>
    <t>2018001049</t>
  </si>
  <si>
    <t>C3272UQ21KR0263</t>
  </si>
  <si>
    <t>2018001050</t>
  </si>
  <si>
    <t>C3290UQ21TOM0292</t>
  </si>
  <si>
    <t>20210308</t>
  </si>
  <si>
    <t>2018001051</t>
  </si>
  <si>
    <t>C3254UQ21TOM0285</t>
  </si>
  <si>
    <t>2018001054</t>
  </si>
  <si>
    <t>C3233UQ21MY0288</t>
  </si>
  <si>
    <t>2018001055</t>
  </si>
  <si>
    <t>C3271UQ21SG0260</t>
  </si>
  <si>
    <t>2018001057</t>
  </si>
  <si>
    <t>C3254UQ21NAG0283</t>
  </si>
  <si>
    <t>2018001058</t>
  </si>
  <si>
    <t>C3254UQ21SEN0284</t>
  </si>
  <si>
    <t>2018001059</t>
  </si>
  <si>
    <t>C3290UQ21SEN0273</t>
  </si>
  <si>
    <t>2018001060</t>
  </si>
  <si>
    <t>C3290UQ21SEN0291</t>
  </si>
  <si>
    <t>2018001052</t>
  </si>
  <si>
    <t>C3242LVUS0256-21</t>
  </si>
  <si>
    <t>20210309</t>
  </si>
  <si>
    <t>2018001056</t>
  </si>
  <si>
    <t>C3242LVUS0279-21</t>
  </si>
  <si>
    <t>2018001061</t>
  </si>
  <si>
    <t>C3290UQ21NAG0290</t>
  </si>
  <si>
    <t>20210310</t>
  </si>
  <si>
    <t>2018001062</t>
  </si>
  <si>
    <t>C3290UQ21YOK0293</t>
  </si>
  <si>
    <t>2018001066</t>
  </si>
  <si>
    <t>C3248LVMX0282-21</t>
  </si>
  <si>
    <t>2018001067</t>
  </si>
  <si>
    <t>C3262LVMX0280-21</t>
  </si>
  <si>
    <t>2018001063</t>
  </si>
  <si>
    <t>C3254UQ21HAK0282</t>
  </si>
  <si>
    <t>20210311</t>
  </si>
  <si>
    <t>2018001064</t>
  </si>
  <si>
    <t>C3290UQ21HAK0289</t>
  </si>
  <si>
    <t>2018001065</t>
  </si>
  <si>
    <t>C3213LVPA0235-21</t>
  </si>
  <si>
    <t>2018001068</t>
  </si>
  <si>
    <t>C3254UQ21OSA0286</t>
  </si>
  <si>
    <t>2018001069</t>
  </si>
  <si>
    <t>C3290UQ21OSA0287</t>
  </si>
  <si>
    <t>2018001070</t>
  </si>
  <si>
    <t>C3254UQ21OSA0294</t>
  </si>
  <si>
    <t>2018001071</t>
  </si>
  <si>
    <t>C3244LVUS0277-21</t>
  </si>
  <si>
    <t>20210312</t>
  </si>
  <si>
    <t>2018001072</t>
  </si>
  <si>
    <t>C3263LVUS0278-21</t>
  </si>
  <si>
    <t>2018001073</t>
  </si>
  <si>
    <t>C3290UQ21YOK0299</t>
  </si>
  <si>
    <t>20210313</t>
  </si>
  <si>
    <t>2018001075</t>
  </si>
  <si>
    <t>C3290UQ21OSA0300</t>
  </si>
  <si>
    <t>20210314</t>
  </si>
  <si>
    <t>2018001076</t>
  </si>
  <si>
    <t>C3290UQ21NAG0301</t>
  </si>
  <si>
    <t>2018001078</t>
  </si>
  <si>
    <t>C3275LVPE0281-21</t>
  </si>
  <si>
    <t>2018001074</t>
  </si>
  <si>
    <t>C3251LVJP0315-21</t>
  </si>
  <si>
    <t>20210315</t>
  </si>
  <si>
    <t>2018001077</t>
  </si>
  <si>
    <t>C3290UQ21YOK0321</t>
  </si>
  <si>
    <t>2018001079</t>
  </si>
  <si>
    <t>C3251LVCL0314-21</t>
  </si>
  <si>
    <t>20210316</t>
  </si>
  <si>
    <t>2018001080</t>
  </si>
  <si>
    <t>C3274UQ21MEL0296</t>
  </si>
  <si>
    <t>2018001081</t>
  </si>
  <si>
    <t>C3251LVKR0313-21</t>
  </si>
  <si>
    <t>20210317</t>
  </si>
  <si>
    <t>2018001082</t>
  </si>
  <si>
    <t>C3251LVJP0312-21</t>
  </si>
  <si>
    <t>2018001083</t>
  </si>
  <si>
    <t>C3271UQ21SG0302</t>
  </si>
  <si>
    <t>2018001084</t>
  </si>
  <si>
    <t>C3271UQ21RU0248</t>
  </si>
  <si>
    <t>2018001085</t>
  </si>
  <si>
    <t>C3318UQ21NAG0361</t>
  </si>
  <si>
    <t>20210318</t>
  </si>
  <si>
    <t>2018001086</t>
  </si>
  <si>
    <t>C3271UQ21TW0329</t>
  </si>
  <si>
    <t>2018001087</t>
  </si>
  <si>
    <t>C3272UQ21TOK0328</t>
  </si>
  <si>
    <t>2018001088</t>
  </si>
  <si>
    <t>C3291UQ21PH0303</t>
  </si>
  <si>
    <t>2018001089</t>
  </si>
  <si>
    <t>C3272UQ21OSA0318</t>
  </si>
  <si>
    <t>2018001092</t>
  </si>
  <si>
    <t>C3318UQ21HAK0325</t>
  </si>
  <si>
    <t>2018001101</t>
  </si>
  <si>
    <t>C3254UQ21TOK0298</t>
  </si>
  <si>
    <t>2018001103</t>
  </si>
  <si>
    <t>C3291UQ21PH0317</t>
  </si>
  <si>
    <t>2018001090</t>
  </si>
  <si>
    <t>C3318UQ21TOM0327</t>
  </si>
  <si>
    <t>20210319</t>
  </si>
  <si>
    <t>2018001091</t>
  </si>
  <si>
    <t>C3318UQ21SEN0326</t>
  </si>
  <si>
    <t>2018001158</t>
  </si>
  <si>
    <t>C3205UQ21EU0249</t>
  </si>
  <si>
    <t>2018001093</t>
  </si>
  <si>
    <t>C3261C&amp;A21GR0333</t>
  </si>
  <si>
    <t>20210320</t>
  </si>
  <si>
    <t>2018001094</t>
  </si>
  <si>
    <t>C3261C&amp;A21GR0334</t>
  </si>
  <si>
    <t>2018001095</t>
  </si>
  <si>
    <t>C3261C&amp;A21GR0335</t>
  </si>
  <si>
    <t>2018001096</t>
  </si>
  <si>
    <t>C3261C&amp;A21GR0336</t>
  </si>
  <si>
    <t>2018001097</t>
  </si>
  <si>
    <t>C3261C&amp;A21GR0337</t>
  </si>
  <si>
    <t>2018001098</t>
  </si>
  <si>
    <t>C3261C&amp;A21GR0338</t>
  </si>
  <si>
    <t>2018001099</t>
  </si>
  <si>
    <t>C3261C&amp;A21GR0339</t>
  </si>
  <si>
    <t>2018001100</t>
  </si>
  <si>
    <t>C3261C&amp;A21GR0340</t>
  </si>
  <si>
    <t>2018001118</t>
  </si>
  <si>
    <t>C3261C&amp;A21GR0341</t>
  </si>
  <si>
    <t>2018001119</t>
  </si>
  <si>
    <t>C3261C&amp;A21GR0342</t>
  </si>
  <si>
    <t>2018001120</t>
  </si>
  <si>
    <t>C3261C&amp;A21GR0343</t>
  </si>
  <si>
    <t>2018001121</t>
  </si>
  <si>
    <t>C3261C&amp;A21GR0344</t>
  </si>
  <si>
    <t>2018001122</t>
  </si>
  <si>
    <t>C3261C&amp;A21GR0345</t>
  </si>
  <si>
    <t>2018001123</t>
  </si>
  <si>
    <t>C3261C&amp;A21GR0346</t>
  </si>
  <si>
    <t>2018001124</t>
  </si>
  <si>
    <t>C3261C&amp;A21GR0347</t>
  </si>
  <si>
    <t>2018001125</t>
  </si>
  <si>
    <t>C3261C&amp;A21GR0348</t>
  </si>
  <si>
    <t>2018001126</t>
  </si>
  <si>
    <t>C3261C&amp;A21GR0349</t>
  </si>
  <si>
    <t>2018001127</t>
  </si>
  <si>
    <t>C3261C&amp;A21GR0350</t>
  </si>
  <si>
    <t>2018001128</t>
  </si>
  <si>
    <t>C3261C&amp;A21GR0351</t>
  </si>
  <si>
    <t>2018001129</t>
  </si>
  <si>
    <t>C3261C&amp;A21GR0352</t>
  </si>
  <si>
    <t>2018001107</t>
  </si>
  <si>
    <t>C3217UQ21EU0322</t>
  </si>
  <si>
    <t>20210321</t>
  </si>
  <si>
    <t>2018001108</t>
  </si>
  <si>
    <t>C3242LVUS0372-21</t>
  </si>
  <si>
    <t>2018001109</t>
  </si>
  <si>
    <t>C3262LVUS0309-21</t>
  </si>
  <si>
    <t>2018001110</t>
  </si>
  <si>
    <t>C3223LVUS0307-21</t>
  </si>
  <si>
    <t>2018001111</t>
  </si>
  <si>
    <t>C3262LVUS0304-21</t>
  </si>
  <si>
    <t>2018001112</t>
  </si>
  <si>
    <t>C3223LVUS0308-21</t>
  </si>
  <si>
    <t>2018001113</t>
  </si>
  <si>
    <t>C3223LVUS0305-21</t>
  </si>
  <si>
    <t>2018001114</t>
  </si>
  <si>
    <t>C3262LVUS0306-21</t>
  </si>
  <si>
    <t>2018001130</t>
  </si>
  <si>
    <t>C3261C&amp;A21GR0353</t>
  </si>
  <si>
    <t>2018001131</t>
  </si>
  <si>
    <t>C3261C&amp;A21GR0354</t>
  </si>
  <si>
    <t>2018001132</t>
  </si>
  <si>
    <t>C3261C&amp;A21GR0357</t>
  </si>
  <si>
    <t>2018001133</t>
  </si>
  <si>
    <t>C3261C&amp;A21GR0358</t>
  </si>
  <si>
    <t>2018001134</t>
  </si>
  <si>
    <t>C3261C&amp;A21GR0359</t>
  </si>
  <si>
    <t>2018001135</t>
  </si>
  <si>
    <t>C3261C&amp;A21GR0360</t>
  </si>
  <si>
    <t>2018001136</t>
  </si>
  <si>
    <t>C3261C&amp;A21GR0355</t>
  </si>
  <si>
    <t>2018001137</t>
  </si>
  <si>
    <t>C3261C&amp;A21GR0356</t>
  </si>
  <si>
    <t>2018001102</t>
  </si>
  <si>
    <t>C3274UQ21MEL0330</t>
  </si>
  <si>
    <t>20210322</t>
  </si>
  <si>
    <t>2018001104</t>
  </si>
  <si>
    <t>C3274UQ21SYD0331</t>
  </si>
  <si>
    <t>2018001105</t>
  </si>
  <si>
    <t>C3274UQ21SYD0297</t>
  </si>
  <si>
    <t>2018001106</t>
  </si>
  <si>
    <t>C3274UQ21MEL0323</t>
  </si>
  <si>
    <t>2018001115</t>
  </si>
  <si>
    <t>C3173AMZLB037921</t>
  </si>
  <si>
    <t>20210323</t>
  </si>
  <si>
    <t>2018001116</t>
  </si>
  <si>
    <t>C3173AMZLB036321</t>
  </si>
  <si>
    <t>83.95016</t>
  </si>
  <si>
    <t>2018001117</t>
  </si>
  <si>
    <t>C3271UQ21SG0393</t>
  </si>
  <si>
    <t>2018001149</t>
  </si>
  <si>
    <t>C3266LVTR037321</t>
  </si>
  <si>
    <t>2018001179</t>
  </si>
  <si>
    <t>C3271UQ21TW0332</t>
  </si>
  <si>
    <t>2018001191</t>
  </si>
  <si>
    <t>C3274UQ21MEL0324</t>
  </si>
  <si>
    <t>2018001152</t>
  </si>
  <si>
    <t>C3268LVMX0311-21</t>
  </si>
  <si>
    <t>20210324</t>
  </si>
  <si>
    <t>2018001153</t>
  </si>
  <si>
    <t>C3275LVMX0310-21</t>
  </si>
  <si>
    <t>2018001155</t>
  </si>
  <si>
    <t>C3271UQ21TW0368</t>
  </si>
  <si>
    <t>2018001156</t>
  </si>
  <si>
    <t>C3318UQ21OSA0366</t>
  </si>
  <si>
    <t>2018001157</t>
  </si>
  <si>
    <t>C3318UQ21TOK0367</t>
  </si>
  <si>
    <t>2018001138</t>
  </si>
  <si>
    <t>C3261C&amp;A21GR0381</t>
  </si>
  <si>
    <t>20210325</t>
  </si>
  <si>
    <t>2018001139</t>
  </si>
  <si>
    <t>C3261C&amp;A21GR0382</t>
  </si>
  <si>
    <t>2018001140</t>
  </si>
  <si>
    <t>C3261C&amp;A21GR0383</t>
  </si>
  <si>
    <t>2018001141</t>
  </si>
  <si>
    <t>C3261C&amp;A21GR0384</t>
  </si>
  <si>
    <t>2018001142</t>
  </si>
  <si>
    <t>C3261C&amp;A21GR0385</t>
  </si>
  <si>
    <t>2018001143</t>
  </si>
  <si>
    <t>C3261C&amp;A21GR0386</t>
  </si>
  <si>
    <t>2018001144</t>
  </si>
  <si>
    <t>C3261C&amp;A21GR0387</t>
  </si>
  <si>
    <t>2018001145</t>
  </si>
  <si>
    <t>C3261C&amp;A21GR0388</t>
  </si>
  <si>
    <t>2018001146</t>
  </si>
  <si>
    <t>C3261C&amp;A21GR0389</t>
  </si>
  <si>
    <t>2018001147</t>
  </si>
  <si>
    <t>C3261C&amp;A21GR0390</t>
  </si>
  <si>
    <t>2018001148</t>
  </si>
  <si>
    <t>C3261C&amp;A21GR0392</t>
  </si>
  <si>
    <t>2018001159</t>
  </si>
  <si>
    <t>C3317SB21UK0370</t>
  </si>
  <si>
    <t>2018001154</t>
  </si>
  <si>
    <t>C3291UQ21PH0405</t>
  </si>
  <si>
    <t>20210326</t>
  </si>
  <si>
    <t>2018001161</t>
  </si>
  <si>
    <t>C3290UQ21HAK0395</t>
  </si>
  <si>
    <t>2018001162</t>
  </si>
  <si>
    <t>C3290UQ21NAG0394</t>
  </si>
  <si>
    <t>2018001164</t>
  </si>
  <si>
    <t>C3318UQ21HAK0399</t>
  </si>
  <si>
    <t>2018001165</t>
  </si>
  <si>
    <t>C3318UQ21NAG0398</t>
  </si>
  <si>
    <t>2018001168</t>
  </si>
  <si>
    <t>C3175AMZLB038021</t>
  </si>
  <si>
    <t>2018001169</t>
  </si>
  <si>
    <t>C3187AMZLB037821</t>
  </si>
  <si>
    <t>2018001170</t>
  </si>
  <si>
    <t>C3173AMZPL036421</t>
  </si>
  <si>
    <t>2018001171</t>
  </si>
  <si>
    <t>C3177AMZLB037621</t>
  </si>
  <si>
    <t>2018001172</t>
  </si>
  <si>
    <t>C3173AMZLB036221</t>
  </si>
  <si>
    <t>2018001151</t>
  </si>
  <si>
    <t>C3261C&amp;A21GR0391</t>
  </si>
  <si>
    <t>20210327</t>
  </si>
  <si>
    <t>2018001160</t>
  </si>
  <si>
    <t>C3290UQ21SEN0396</t>
  </si>
  <si>
    <t>2018001163</t>
  </si>
  <si>
    <t>C3318UQ21SEN0400</t>
  </si>
  <si>
    <t>2018001166</t>
  </si>
  <si>
    <t>C3290UQ21TOM0397</t>
  </si>
  <si>
    <t>2018001167</t>
  </si>
  <si>
    <t>C3318UQ21TOM0401</t>
  </si>
  <si>
    <t>2018001173</t>
  </si>
  <si>
    <t>C3291UQ21MY0369</t>
  </si>
  <si>
    <t>2018001150</t>
  </si>
  <si>
    <t>C3268LVCL0374-21</t>
  </si>
  <si>
    <t>20210328</t>
  </si>
  <si>
    <t>2018001174</t>
  </si>
  <si>
    <t>C3271UQ21OSA0403</t>
  </si>
  <si>
    <t>2018001175</t>
  </si>
  <si>
    <t>C3271UQ21TOK0402</t>
  </si>
  <si>
    <t>2018001176</t>
  </si>
  <si>
    <t>C3318UQ21OSA0411</t>
  </si>
  <si>
    <t>2018001177</t>
  </si>
  <si>
    <t>C3318UQ21TOK0412</t>
  </si>
  <si>
    <t>2018001178</t>
  </si>
  <si>
    <t>C3290UQ21YOK0413</t>
  </si>
  <si>
    <t>2018001180</t>
  </si>
  <si>
    <t>C3271UQ21TH0404</t>
  </si>
  <si>
    <t>20210329</t>
  </si>
  <si>
    <t>2018001181</t>
  </si>
  <si>
    <t>C3271UQ21TH0410</t>
  </si>
  <si>
    <t>2018001187</t>
  </si>
  <si>
    <t>C3177AMZPL040821</t>
  </si>
  <si>
    <t>2018001188</t>
  </si>
  <si>
    <t>C3177AMZPL037721</t>
  </si>
  <si>
    <t>2018001189</t>
  </si>
  <si>
    <t>C3147LVPE0250-21</t>
  </si>
  <si>
    <t>2018001190</t>
  </si>
  <si>
    <t>C3275LVPE0365-21</t>
  </si>
  <si>
    <t>2018001182</t>
  </si>
  <si>
    <t>C3252LVUS0436-21</t>
  </si>
  <si>
    <t>20210330</t>
  </si>
  <si>
    <t>2018001183</t>
  </si>
  <si>
    <t>C3173AMZJP037421</t>
  </si>
  <si>
    <t>2018001184</t>
  </si>
  <si>
    <t>C3177AMZJP040921</t>
  </si>
  <si>
    <t>2018001185</t>
  </si>
  <si>
    <t>C3290UQ21OSA0417</t>
  </si>
  <si>
    <t>2018001186</t>
  </si>
  <si>
    <t>C3290UQ21YOK0416</t>
  </si>
  <si>
    <t>2003005759</t>
  </si>
  <si>
    <t>WASH EXP'MAR'21</t>
  </si>
  <si>
    <t>WASH EXP'MARCH'21</t>
  </si>
  <si>
    <t>WASH(EXPORT) MARCH'21</t>
  </si>
  <si>
    <t>2003005825</t>
  </si>
  <si>
    <t>CIPL-GTL-004-21</t>
  </si>
  <si>
    <t>INTER COMPANY WASH SALES TO GTL</t>
  </si>
  <si>
    <t>2008000201</t>
  </si>
  <si>
    <t>2008000202</t>
  </si>
  <si>
    <t>CIPL-PGCL-294-21</t>
  </si>
  <si>
    <t>2008000203</t>
  </si>
  <si>
    <t>CIPL-PGCL-295-21</t>
  </si>
  <si>
    <t>N.INTER COMPANY WASH SALE</t>
  </si>
  <si>
    <t>2008000205</t>
  </si>
  <si>
    <t>CIPL-MSGL-227-21</t>
  </si>
  <si>
    <t>2008000206</t>
  </si>
  <si>
    <t>CIPL-MSGL-228-21</t>
  </si>
  <si>
    <t>2018001192</t>
  </si>
  <si>
    <t>C3237LVUS0435-21</t>
  </si>
  <si>
    <t>20210401</t>
  </si>
  <si>
    <t>2018001193</t>
  </si>
  <si>
    <t>C3252LVUS0414-21</t>
  </si>
  <si>
    <t>2012009168</t>
  </si>
  <si>
    <t>KR</t>
  </si>
  <si>
    <t>CIPL-MEDLAR-004-</t>
  </si>
  <si>
    <t>CIPL-MEDLAR-004-20</t>
  </si>
  <si>
    <t>N.INT.COM WASH SALES TO Medlar</t>
  </si>
  <si>
    <t>2008000210</t>
  </si>
  <si>
    <t>CIPLKERA21GR0295</t>
  </si>
  <si>
    <t>2018001194</t>
  </si>
  <si>
    <t>C3291UQ21SG0422</t>
  </si>
  <si>
    <t>20210402</t>
  </si>
  <si>
    <t>2018001195</t>
  </si>
  <si>
    <t>C3271UQ21OSA0418</t>
  </si>
  <si>
    <t>20210403</t>
  </si>
  <si>
    <t>2018001196</t>
  </si>
  <si>
    <t>C3271UQ21TOK0419</t>
  </si>
  <si>
    <t>2018001200</t>
  </si>
  <si>
    <t>C3266LVTR0425-21</t>
  </si>
  <si>
    <t>20210404</t>
  </si>
  <si>
    <t>2018001197</t>
  </si>
  <si>
    <t>C3266LVMY0415-21</t>
  </si>
  <si>
    <t>20210405</t>
  </si>
  <si>
    <t>2018001199</t>
  </si>
  <si>
    <t>C3291UQ21IN0371</t>
  </si>
  <si>
    <t>2018001212</t>
  </si>
  <si>
    <t>C3291UQ21HNL0421</t>
  </si>
  <si>
    <t>2018001211</t>
  </si>
  <si>
    <t>C3262LVMX0427-21</t>
  </si>
  <si>
    <t>20210406</t>
  </si>
  <si>
    <t>2018001198</t>
  </si>
  <si>
    <t>C3265LVPK0426-21</t>
  </si>
  <si>
    <t>20210407</t>
  </si>
  <si>
    <t>2018001201</t>
  </si>
  <si>
    <t>C3344UQ21TOK0432</t>
  </si>
  <si>
    <t>20210408</t>
  </si>
  <si>
    <t>2018001202</t>
  </si>
  <si>
    <t>C3344UQ21OSA0431</t>
  </si>
  <si>
    <t>2018001203</t>
  </si>
  <si>
    <t>C3265LVCL0424-21</t>
  </si>
  <si>
    <t>2018001204</t>
  </si>
  <si>
    <t>C3271UQ21KR0429</t>
  </si>
  <si>
    <t>2018001205</t>
  </si>
  <si>
    <t>C3217UQ21RU0237</t>
  </si>
  <si>
    <t>2018001206</t>
  </si>
  <si>
    <t>C3223LVUS0428-21</t>
  </si>
  <si>
    <t>20210410</t>
  </si>
  <si>
    <t>2018001208</t>
  </si>
  <si>
    <t>C3194AMZJP044221</t>
  </si>
  <si>
    <t>20210411</t>
  </si>
  <si>
    <t>2018001209</t>
  </si>
  <si>
    <t>C3194AMZPL044021</t>
  </si>
  <si>
    <t>2018001210</t>
  </si>
  <si>
    <t>C3194AMZPL044121</t>
  </si>
  <si>
    <t>2018001213</t>
  </si>
  <si>
    <t>C3271UQ21KR0430</t>
  </si>
  <si>
    <t>2018001215</t>
  </si>
  <si>
    <t>C3273NT21US0423</t>
  </si>
  <si>
    <t>2018001214</t>
  </si>
  <si>
    <t>C3290UQ21TOM0437</t>
  </si>
  <si>
    <t>20210412</t>
  </si>
  <si>
    <t>2018001216</t>
  </si>
  <si>
    <t>C3290UQ21HAK0438</t>
  </si>
  <si>
    <t>2018001217</t>
  </si>
  <si>
    <t>C3290UQ21SEN0434</t>
  </si>
  <si>
    <t>2018001207</t>
  </si>
  <si>
    <t>C3177AMZLB040721</t>
  </si>
  <si>
    <t>20210413</t>
  </si>
  <si>
    <t>2018001218</t>
  </si>
  <si>
    <t>C3343UQ21OSA0450</t>
  </si>
  <si>
    <t>2018001219</t>
  </si>
  <si>
    <t>C3290UQ21NAG0433</t>
  </si>
  <si>
    <t>2018001220</t>
  </si>
  <si>
    <t>C3290UQ21YOK0454</t>
  </si>
  <si>
    <t>2018001221</t>
  </si>
  <si>
    <t>C3344UQ21OSA0448</t>
  </si>
  <si>
    <t>2018001222</t>
  </si>
  <si>
    <t>C3290UQ21OSA0439</t>
  </si>
  <si>
    <t>2018001223</t>
  </si>
  <si>
    <t>C3344UQ21NAG0453</t>
  </si>
  <si>
    <t>2018001224</t>
  </si>
  <si>
    <t>C3344UQ21HAK0452</t>
  </si>
  <si>
    <t>2018001225</t>
  </si>
  <si>
    <t>C3344UQ21TOK0449</t>
  </si>
  <si>
    <t>2018001226</t>
  </si>
  <si>
    <t>C3343UQ21YOK0451</t>
  </si>
  <si>
    <t>2018001267</t>
  </si>
  <si>
    <t>C3305UQ21TH0420</t>
  </si>
  <si>
    <t>2018001237</t>
  </si>
  <si>
    <t>C3315UQ21RU0406</t>
  </si>
  <si>
    <t>20210414</t>
  </si>
  <si>
    <t>2018001227</t>
  </si>
  <si>
    <t>C3316UQ21NAG0467</t>
  </si>
  <si>
    <t>20210416</t>
  </si>
  <si>
    <t>2018001228</t>
  </si>
  <si>
    <t>C3343UQ21NAG0461</t>
  </si>
  <si>
    <t>2018001229</t>
  </si>
  <si>
    <t>C3316UQ21HAK0468</t>
  </si>
  <si>
    <t>2018001230</t>
  </si>
  <si>
    <t>C3308UQ21KR0469</t>
  </si>
  <si>
    <t>2018001231</t>
  </si>
  <si>
    <t>C3343UQ21OSA0459</t>
  </si>
  <si>
    <t>2018001232</t>
  </si>
  <si>
    <t>C3308UQ21KR0470</t>
  </si>
  <si>
    <t>2018001233</t>
  </si>
  <si>
    <t>C3343UQ21HAK0460</t>
  </si>
  <si>
    <t>2018001234</t>
  </si>
  <si>
    <t>C3343UQ21YOK0458</t>
  </si>
  <si>
    <t>2018001238</t>
  </si>
  <si>
    <t>C3217UQ21EU0457</t>
  </si>
  <si>
    <t>2018001235</t>
  </si>
  <si>
    <t>C3192AMZPL044421</t>
  </si>
  <si>
    <t>20210417</t>
  </si>
  <si>
    <t>2018001236</t>
  </si>
  <si>
    <t>C3237LVUS0443-21</t>
  </si>
  <si>
    <t>2018001239</t>
  </si>
  <si>
    <t>C3316UQ21TOM0465</t>
  </si>
  <si>
    <t>2018001240</t>
  </si>
  <si>
    <t>C3316UQ21SEN0466</t>
  </si>
  <si>
    <t>2018001241</t>
  </si>
  <si>
    <t>C3309UQ21TOM0489</t>
  </si>
  <si>
    <t>20210418</t>
  </si>
  <si>
    <t>2018001242</t>
  </si>
  <si>
    <t>C3309UQ21SEN0488</t>
  </si>
  <si>
    <t>2018001243</t>
  </si>
  <si>
    <t>C3343UQ21HAK0481</t>
  </si>
  <si>
    <t>20210420</t>
  </si>
  <si>
    <t>2018001244</t>
  </si>
  <si>
    <t>C3343UQ21NAG0482</t>
  </si>
  <si>
    <t>2018001245</t>
  </si>
  <si>
    <t>C3343UQ21OSA0483</t>
  </si>
  <si>
    <t>2018001246</t>
  </si>
  <si>
    <t>C3343UQ21YOK0484</t>
  </si>
  <si>
    <t>2018001247</t>
  </si>
  <si>
    <t>C3309UQ21HAK0486</t>
  </si>
  <si>
    <t>2018001248</t>
  </si>
  <si>
    <t>C3309UQ21NAG0487</t>
  </si>
  <si>
    <t>2018001296</t>
  </si>
  <si>
    <t>C3308UQ21KR0471</t>
  </si>
  <si>
    <t>2018001252</t>
  </si>
  <si>
    <t>C3343UQ21MY0480</t>
  </si>
  <si>
    <t>20210421</t>
  </si>
  <si>
    <t>2018001253</t>
  </si>
  <si>
    <t>C3286LVMX0493-21</t>
  </si>
  <si>
    <t>2018001255</t>
  </si>
  <si>
    <t>C3281LVMX0474-21</t>
  </si>
  <si>
    <t>2018001249</t>
  </si>
  <si>
    <t>C3281LVMY0476-21</t>
  </si>
  <si>
    <t>20210422</t>
  </si>
  <si>
    <t>2018001250</t>
  </si>
  <si>
    <t>C3266LVTR0477-21</t>
  </si>
  <si>
    <t>2018001254</t>
  </si>
  <si>
    <t>C3283LVCA0494-21</t>
  </si>
  <si>
    <t>2018001251</t>
  </si>
  <si>
    <t>C3266LVPK0472-21</t>
  </si>
  <si>
    <t>2018001261</t>
  </si>
  <si>
    <t>C3189AMZPL050521</t>
  </si>
  <si>
    <t>20210424</t>
  </si>
  <si>
    <t>2018001262</t>
  </si>
  <si>
    <t>C3189AMZPL049721</t>
  </si>
  <si>
    <t>2018001263</t>
  </si>
  <si>
    <t>C3189AMZPL049621</t>
  </si>
  <si>
    <t>2018001266</t>
  </si>
  <si>
    <t>C03138DN21IR0456</t>
  </si>
  <si>
    <t>2018001256</t>
  </si>
  <si>
    <t>C3267LVUS0491-21</t>
  </si>
  <si>
    <t>20210425</t>
  </si>
  <si>
    <t>2018001257</t>
  </si>
  <si>
    <t>C3343UQ21KR0508</t>
  </si>
  <si>
    <t>2018001258</t>
  </si>
  <si>
    <t>C3279LVUS0475-21</t>
  </si>
  <si>
    <t>2018001259</t>
  </si>
  <si>
    <t>C3265LVPE0479-21</t>
  </si>
  <si>
    <t>2018001260</t>
  </si>
  <si>
    <t>C3290UQ21YOK0485</t>
  </si>
  <si>
    <t>2018001264</t>
  </si>
  <si>
    <t>C3309UQ21TOR0495</t>
  </si>
  <si>
    <t>2018001265</t>
  </si>
  <si>
    <t>C3308UQ21TOR0501</t>
  </si>
  <si>
    <t>2018001268</t>
  </si>
  <si>
    <t>C3282LVUS0504-21</t>
  </si>
  <si>
    <t>20210428</t>
  </si>
  <si>
    <t>2018001269</t>
  </si>
  <si>
    <t>C3248LVUS0473-21</t>
  </si>
  <si>
    <t>2018001270</t>
  </si>
  <si>
    <t>C3267LVUS0492-21</t>
  </si>
  <si>
    <t>2018001271</t>
  </si>
  <si>
    <t>C3270LVUS0503-21</t>
  </si>
  <si>
    <t>2018001272</t>
  </si>
  <si>
    <t>C3250LVUS0519-21</t>
  </si>
  <si>
    <t>2018001273</t>
  </si>
  <si>
    <t>C3100LVMX0490-21</t>
  </si>
  <si>
    <t>2018001277</t>
  </si>
  <si>
    <t>C3343UQ21OSA0512</t>
  </si>
  <si>
    <t>2018001278</t>
  </si>
  <si>
    <t>C3343UQ21OSA0510</t>
  </si>
  <si>
    <t>2018001279</t>
  </si>
  <si>
    <t>C3343UQ21OSA0536</t>
  </si>
  <si>
    <t>2018001280</t>
  </si>
  <si>
    <t>C3343UQ21YOK0530</t>
  </si>
  <si>
    <t>2018001283</t>
  </si>
  <si>
    <t>C3343UQ21YOK0509</t>
  </si>
  <si>
    <t>2018001284</t>
  </si>
  <si>
    <t>C3309UQ21MEL0507</t>
  </si>
  <si>
    <t>2018001285</t>
  </si>
  <si>
    <t>C3309UQ21NAG0520</t>
  </si>
  <si>
    <t>2018001286</t>
  </si>
  <si>
    <t>C3309UQ21HAK0521</t>
  </si>
  <si>
    <t>2018001287</t>
  </si>
  <si>
    <t>C3309UQ21OSA0522</t>
  </si>
  <si>
    <t>2018001288</t>
  </si>
  <si>
    <t>C3309UQ21TOK0523</t>
  </si>
  <si>
    <t>2018001289</t>
  </si>
  <si>
    <t>C3343UQ21HAK0524</t>
  </si>
  <si>
    <t>2018001290</t>
  </si>
  <si>
    <t>C3343UQ21NAG0513</t>
  </si>
  <si>
    <t>2018001291</t>
  </si>
  <si>
    <t>C3343UQ21YOK0511</t>
  </si>
  <si>
    <t>2018001292</t>
  </si>
  <si>
    <t>C3316UQ21NAG0532</t>
  </si>
  <si>
    <t>2018001293</t>
  </si>
  <si>
    <t>C3316UQ21HAK0533</t>
  </si>
  <si>
    <t>2018001294</t>
  </si>
  <si>
    <t>C3343UQ21NAG0529</t>
  </si>
  <si>
    <t>2018001295</t>
  </si>
  <si>
    <t>C3343UQ21HAK0528</t>
  </si>
  <si>
    <t>2018001298</t>
  </si>
  <si>
    <t>C3247UQ21LA0517</t>
  </si>
  <si>
    <t>20210429</t>
  </si>
  <si>
    <t>2003006018</t>
  </si>
  <si>
    <t>WASH EXP'APR'21</t>
  </si>
  <si>
    <t>WASH EXP'APRIL'21</t>
  </si>
  <si>
    <t>WASH TRANSFER April'21</t>
  </si>
  <si>
    <t>WASH(EXPORT) APRIL'21</t>
  </si>
  <si>
    <t>2018001274</t>
  </si>
  <si>
    <t>C3316UQ21TOM0535</t>
  </si>
  <si>
    <t>20210430</t>
  </si>
  <si>
    <t>2018001275</t>
  </si>
  <si>
    <t>C3316UQ21SEN0534</t>
  </si>
  <si>
    <t>2018001297</t>
  </si>
  <si>
    <t>C3247UQ21EU0515</t>
  </si>
  <si>
    <t>2018001299</t>
  </si>
  <si>
    <t>C3247UQ21NY0516</t>
  </si>
  <si>
    <t>WASH TRANSFER APRIL'21</t>
  </si>
  <si>
    <t>2008000214</t>
  </si>
  <si>
    <t>CIPL-PGCL-0296-2</t>
  </si>
  <si>
    <t>CIPL-PGCL-0296-21</t>
  </si>
  <si>
    <t>2008000215</t>
  </si>
  <si>
    <t>CIPL-PGCL-0297-2</t>
  </si>
  <si>
    <t>CIPL-PGCL-0297-21</t>
  </si>
  <si>
    <t>2008000216</t>
  </si>
  <si>
    <t>CIPL-PGCL-0298-2</t>
  </si>
  <si>
    <t>CIPL-PGCL-0298-21</t>
  </si>
  <si>
    <t>2008000217</t>
  </si>
  <si>
    <t>CIPL-PGCL-0299-2</t>
  </si>
  <si>
    <t>CIPL-PGCL-0299-21</t>
  </si>
  <si>
    <t>2008000213</t>
  </si>
  <si>
    <t>CIPL-MSFL-229-21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</si>
  <si>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</si>
  <si>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</si>
  <si>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</si>
  <si>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</si>
  <si>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</si>
  <si>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</si>
  <si>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</si>
  <si>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</si>
  <si>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</si>
  <si>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</si>
  <si>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</si>
  <si>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</si>
  <si>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</si>
  <si>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</si>
  <si>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</si>
  <si>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</si>
  <si>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</si>
  <si>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</si>
  <si>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</si>
  <si>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</si>
  <si>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</si>
  <si>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</si>
  <si>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</si>
  <si>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</si>
  <si>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</si>
  <si>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</si>
  <si>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</si>
  <si>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</si>
  <si>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</si>
  <si>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2018001281</t>
  </si>
  <si>
    <t>C3316UQ21OSA0500</t>
  </si>
  <si>
    <t>20210501</t>
  </si>
  <si>
    <t>2018001282</t>
  </si>
  <si>
    <t>C3316UQ21TOK0499</t>
  </si>
  <si>
    <t>2018001276</t>
  </si>
  <si>
    <t>C3286LVGR0565-21</t>
  </si>
  <si>
    <t>20210502</t>
  </si>
  <si>
    <t>2018001308</t>
  </si>
  <si>
    <t>C3217UQ21EU0514</t>
  </si>
  <si>
    <t>2018001325</t>
  </si>
  <si>
    <t>C3309UQ21NY0573</t>
  </si>
  <si>
    <t>20210503</t>
  </si>
  <si>
    <t>2003006576</t>
  </si>
  <si>
    <t>C3327RSUS0502-21</t>
  </si>
  <si>
    <t>Stocklot sales to Levis</t>
  </si>
  <si>
    <t>2008000218</t>
  </si>
  <si>
    <t>SC3169UQ21CN013</t>
  </si>
  <si>
    <t>2008000219</t>
  </si>
  <si>
    <t>83.94956</t>
  </si>
  <si>
    <t>SC3169UQ21SG017</t>
  </si>
  <si>
    <t>2008000220</t>
  </si>
  <si>
    <t>SC3308UQ21JP019</t>
  </si>
  <si>
    <t>2008000221</t>
  </si>
  <si>
    <t>83.94995</t>
  </si>
  <si>
    <t>SC3168UQ21JP007</t>
  </si>
  <si>
    <t>2008000222</t>
  </si>
  <si>
    <t>SC3169UQ21JP012</t>
  </si>
  <si>
    <t>2008000223</t>
  </si>
  <si>
    <t>SC3169UQ21LK015</t>
  </si>
  <si>
    <t>2008000224</t>
  </si>
  <si>
    <t>SC3169UQ21MY016</t>
  </si>
  <si>
    <t>2008000225</t>
  </si>
  <si>
    <t>SC3169UQ21RUS008</t>
  </si>
  <si>
    <t>2008000226</t>
  </si>
  <si>
    <t>SC3168UQ21JP024</t>
  </si>
  <si>
    <t>2008000227</t>
  </si>
  <si>
    <t>SC3168UQ21JP025</t>
  </si>
  <si>
    <t>2008000228</t>
  </si>
  <si>
    <t>SC3169UQ21JP010</t>
  </si>
  <si>
    <t>2008000229</t>
  </si>
  <si>
    <t>SC3169UQ21JP011</t>
  </si>
  <si>
    <t>2008000230</t>
  </si>
  <si>
    <t>SC3308UQ21JP023</t>
  </si>
  <si>
    <t>2008000231</t>
  </si>
  <si>
    <t>SC3308UQ21JP027</t>
  </si>
  <si>
    <t>2008000232</t>
  </si>
  <si>
    <t>83.94980</t>
  </si>
  <si>
    <t>SC3308UQ21JP022</t>
  </si>
  <si>
    <t>2008000233</t>
  </si>
  <si>
    <t>SC3169UQ21IDN014</t>
  </si>
  <si>
    <t>2008000234</t>
  </si>
  <si>
    <t>SC3169UQ21JP009</t>
  </si>
  <si>
    <t>2008000235</t>
  </si>
  <si>
    <t>SC3169UQ21TH018</t>
  </si>
  <si>
    <t>2008000236</t>
  </si>
  <si>
    <t>SC3308UQ21JP021</t>
  </si>
  <si>
    <t>2008000237</t>
  </si>
  <si>
    <t>SC3308UQ21JP026</t>
  </si>
  <si>
    <t>2008000238</t>
  </si>
  <si>
    <t>2008000239</t>
  </si>
  <si>
    <t>2018001300</t>
  </si>
  <si>
    <t>C3286LVTR0566-21</t>
  </si>
  <si>
    <t>20210504</t>
  </si>
  <si>
    <t>2018001301</t>
  </si>
  <si>
    <t>C3308UQ21EU0531</t>
  </si>
  <si>
    <t>2018001304</t>
  </si>
  <si>
    <t>C3266LVGR0478-21</t>
  </si>
  <si>
    <t>2018001309</t>
  </si>
  <si>
    <t>C3343UQ21KR0525</t>
  </si>
  <si>
    <t>2018001311</t>
  </si>
  <si>
    <t>C3343UQ21YOK0540</t>
  </si>
  <si>
    <t>2018001312</t>
  </si>
  <si>
    <t>C3343UQ21OSA0542</t>
  </si>
  <si>
    <t>2018001313</t>
  </si>
  <si>
    <t>C3343UQ21NAG0539</t>
  </si>
  <si>
    <t>2018001314</t>
  </si>
  <si>
    <t>C3309UQ21OSA0544</t>
  </si>
  <si>
    <t>2018001315</t>
  </si>
  <si>
    <t>C3343UQ21HAK0541</t>
  </si>
  <si>
    <t>2018001316</t>
  </si>
  <si>
    <t>C3309UQ21TOK0543</t>
  </si>
  <si>
    <t>2018001317</t>
  </si>
  <si>
    <t>C3315UQ21MEL0546</t>
  </si>
  <si>
    <t>2018001318</t>
  </si>
  <si>
    <t>C3316UQ21TOK0552</t>
  </si>
  <si>
    <t>2018001319</t>
  </si>
  <si>
    <t>C3308UQ21NAG0548</t>
  </si>
  <si>
    <t>2018001320</t>
  </si>
  <si>
    <t>C3343UQ21NAG0553</t>
  </si>
  <si>
    <t>2018001321</t>
  </si>
  <si>
    <t>C3308UQ21SEN0550</t>
  </si>
  <si>
    <t>2018001322</t>
  </si>
  <si>
    <t>C3308UQ21TOM0551</t>
  </si>
  <si>
    <t>2018001323</t>
  </si>
  <si>
    <t>C3308UQ21HAK0549</t>
  </si>
  <si>
    <t>2018001388</t>
  </si>
  <si>
    <t>C3343UQ21HAK0554</t>
  </si>
  <si>
    <t>2018001302</t>
  </si>
  <si>
    <t>C3343UQ21MY0572</t>
  </si>
  <si>
    <t>20210505</t>
  </si>
  <si>
    <t>2018001303</t>
  </si>
  <si>
    <t>C3343UQ21MY0579</t>
  </si>
  <si>
    <t>2018001305</t>
  </si>
  <si>
    <t>C3283LVMY0567-21</t>
  </si>
  <si>
    <t>2018001310</t>
  </si>
  <si>
    <t>C3343UQ21HAK0568</t>
  </si>
  <si>
    <t>2018001324</t>
  </si>
  <si>
    <t>C3343UQ21NAG0569</t>
  </si>
  <si>
    <t>2018001333</t>
  </si>
  <si>
    <t>C3286LVMX0560-21</t>
  </si>
  <si>
    <t>2018001306</t>
  </si>
  <si>
    <t>C3286LVUS0561-21</t>
  </si>
  <si>
    <t>20210507</t>
  </si>
  <si>
    <t>2018001307</t>
  </si>
  <si>
    <t>C3313LVUS0562-21</t>
  </si>
  <si>
    <t>2018001326</t>
  </si>
  <si>
    <t>C3343UQ21YOK0577</t>
  </si>
  <si>
    <t>2018001328</t>
  </si>
  <si>
    <t>C3316UQ21HAK0581</t>
  </si>
  <si>
    <t>2018001327</t>
  </si>
  <si>
    <t>C3343UQ21OSA0578</t>
  </si>
  <si>
    <t>20210508</t>
  </si>
  <si>
    <t>2018001329</t>
  </si>
  <si>
    <t>C3343UQ21NAG0586</t>
  </si>
  <si>
    <t>2018001330</t>
  </si>
  <si>
    <t>C3343UQ21OSA0587</t>
  </si>
  <si>
    <t>2018001331</t>
  </si>
  <si>
    <t>C3343UQ21YOK0588</t>
  </si>
  <si>
    <t>2018001332</t>
  </si>
  <si>
    <t>C3308UQ21OSA0612</t>
  </si>
  <si>
    <t>2018001347</t>
  </si>
  <si>
    <t>C3194AMZLB044521</t>
  </si>
  <si>
    <t>2018001348</t>
  </si>
  <si>
    <t>C3194AMZLB046221</t>
  </si>
  <si>
    <t>2018001349</t>
  </si>
  <si>
    <t>C3194AMZLB046321</t>
  </si>
  <si>
    <t>2018001350</t>
  </si>
  <si>
    <t>C3194AMZLB046421</t>
  </si>
  <si>
    <t>2018001351</t>
  </si>
  <si>
    <t>C3189AMZLB058021</t>
  </si>
  <si>
    <t>2018001352</t>
  </si>
  <si>
    <t>C3195AMZPL057621</t>
  </si>
  <si>
    <t>2018001360</t>
  </si>
  <si>
    <t>C3316UQ21SEN0582</t>
  </si>
  <si>
    <t>2018001361</t>
  </si>
  <si>
    <t>C3316UQ21TOM0583</t>
  </si>
  <si>
    <t>2018001392</t>
  </si>
  <si>
    <t>C3271UQ21KR0619</t>
  </si>
  <si>
    <t>2018001393</t>
  </si>
  <si>
    <t>C3352UQ21KR0538</t>
  </si>
  <si>
    <t>2018001394</t>
  </si>
  <si>
    <t>C3308UQ21KR0527</t>
  </si>
  <si>
    <t>2018001395</t>
  </si>
  <si>
    <t>C3308UQ21KR0526</t>
  </si>
  <si>
    <t>2018001396</t>
  </si>
  <si>
    <t>C3344UQ21KR0611</t>
  </si>
  <si>
    <t>2018001397</t>
  </si>
  <si>
    <t>C3271UQ21KR0620</t>
  </si>
  <si>
    <t>2018001398</t>
  </si>
  <si>
    <t>C3352UQ21KR0609</t>
  </si>
  <si>
    <t>2018001399</t>
  </si>
  <si>
    <t>C3344UQ21KR0610</t>
  </si>
  <si>
    <t>2018001400</t>
  </si>
  <si>
    <t>C3344UQ21KR0608</t>
  </si>
  <si>
    <t>2003006578</t>
  </si>
  <si>
    <t>C3356LVUS0563-21</t>
  </si>
  <si>
    <t>20210509</t>
  </si>
  <si>
    <t>2018001334</t>
  </si>
  <si>
    <t>2018001335</t>
  </si>
  <si>
    <t>C3276LVUS0600-21</t>
  </si>
  <si>
    <t>2018001336</t>
  </si>
  <si>
    <t>C3276LVUS0599-21</t>
  </si>
  <si>
    <t>2018001337</t>
  </si>
  <si>
    <t>C3276LVUS0598-21</t>
  </si>
  <si>
    <t>2018001338</t>
  </si>
  <si>
    <t>C3276LVUS0597-21</t>
  </si>
  <si>
    <t>2018001339</t>
  </si>
  <si>
    <t>C3278LVUS0596-21</t>
  </si>
  <si>
    <t>2018001340</t>
  </si>
  <si>
    <t>C3278LVUS0595-21</t>
  </si>
  <si>
    <t>2018001341</t>
  </si>
  <si>
    <t>C3278LVUS0594-21</t>
  </si>
  <si>
    <t>2018001342</t>
  </si>
  <si>
    <t>C3278LVUS0593-21</t>
  </si>
  <si>
    <t>2018001343</t>
  </si>
  <si>
    <t>C3278LVUS0592-21</t>
  </si>
  <si>
    <t>2018001344</t>
  </si>
  <si>
    <t>C3278LVUS0591-21</t>
  </si>
  <si>
    <t>2018001389</t>
  </si>
  <si>
    <t>2018001345</t>
  </si>
  <si>
    <t>C3286LVGR0626-21</t>
  </si>
  <si>
    <t>20210510</t>
  </si>
  <si>
    <t>2018001346</t>
  </si>
  <si>
    <t>C3266LVTR0625-21</t>
  </si>
  <si>
    <t>2018001364</t>
  </si>
  <si>
    <t>C3343UQ21HAK0585</t>
  </si>
  <si>
    <t>20210511</t>
  </si>
  <si>
    <t>2018001365</t>
  </si>
  <si>
    <t>C3309UQ21HAK0627</t>
  </si>
  <si>
    <t>20210512</t>
  </si>
  <si>
    <t>2018001366</t>
  </si>
  <si>
    <t>C3308UQ21TOM0629</t>
  </si>
  <si>
    <t>2018001367</t>
  </si>
  <si>
    <t>C3308UQ21SEN0630</t>
  </si>
  <si>
    <t>2018001374</t>
  </si>
  <si>
    <t>C3343UQ21NAG0638</t>
  </si>
  <si>
    <t>2018001375</t>
  </si>
  <si>
    <t>C3343UQ21HAK0639</t>
  </si>
  <si>
    <t>2018001377</t>
  </si>
  <si>
    <t>C3316UQ21NAG0641</t>
  </si>
  <si>
    <t>2018001362</t>
  </si>
  <si>
    <t>C3282LVMY0617-21</t>
  </si>
  <si>
    <t>20210513</t>
  </si>
  <si>
    <t>2018001363</t>
  </si>
  <si>
    <t>C3282LVID0547-21</t>
  </si>
  <si>
    <t>2018001370</t>
  </si>
  <si>
    <t>C3309UQ21TOK0590</t>
  </si>
  <si>
    <t>2018001373</t>
  </si>
  <si>
    <t>C3343UQ21OSA0637</t>
  </si>
  <si>
    <t>2018001380</t>
  </si>
  <si>
    <t>C3308UQ21NAG0644</t>
  </si>
  <si>
    <t>2018001381</t>
  </si>
  <si>
    <t>C3308UQ21HAK0645</t>
  </si>
  <si>
    <t>2018001382</t>
  </si>
  <si>
    <t>C3283LVUS0624-21</t>
  </si>
  <si>
    <t>2018001383</t>
  </si>
  <si>
    <t>C3286LVUS0604-21</t>
  </si>
  <si>
    <t>2018001384</t>
  </si>
  <si>
    <t>C3283LVUS0614-21</t>
  </si>
  <si>
    <t>2018001386</t>
  </si>
  <si>
    <t>C3282LVPK0618-21</t>
  </si>
  <si>
    <t>2018001368</t>
  </si>
  <si>
    <t>C3308UQ21TOK0631</t>
  </si>
  <si>
    <t>20210514</t>
  </si>
  <si>
    <t>2018001369</t>
  </si>
  <si>
    <t>C3309UQ21OSA0589</t>
  </si>
  <si>
    <t>2018001371</t>
  </si>
  <si>
    <t>C3343UQ21YOK0633</t>
  </si>
  <si>
    <t>2018001372</t>
  </si>
  <si>
    <t>C3316UQ21OSA0632</t>
  </si>
  <si>
    <t>2018001376</t>
  </si>
  <si>
    <t>C3316UQ21TOK0640</t>
  </si>
  <si>
    <t>2018001387</t>
  </si>
  <si>
    <t>C3195AMZLB063421</t>
  </si>
  <si>
    <t>2018001355</t>
  </si>
  <si>
    <t>C3267LVUS0603-21</t>
  </si>
  <si>
    <t>20210515</t>
  </si>
  <si>
    <t>2018001356</t>
  </si>
  <si>
    <t>C3276LVUS0601-21</t>
  </si>
  <si>
    <t>2018001357</t>
  </si>
  <si>
    <t>C3270LVUS0602-21</t>
  </si>
  <si>
    <t>2018001358</t>
  </si>
  <si>
    <t>C3270LVUS0613-21</t>
  </si>
  <si>
    <t>2018001359</t>
  </si>
  <si>
    <t>C3281LVUS0615-21</t>
  </si>
  <si>
    <t>2018001379</t>
  </si>
  <si>
    <t>C3308UQ21OSA0643</t>
  </si>
  <si>
    <t>2018001401</t>
  </si>
  <si>
    <t>C3282LVCA0605-21</t>
  </si>
  <si>
    <t>2018001353</t>
  </si>
  <si>
    <t>C3195AMZLB063521</t>
  </si>
  <si>
    <t>20210516</t>
  </si>
  <si>
    <t>2018001354</t>
  </si>
  <si>
    <t>C3195AMZLB063621</t>
  </si>
  <si>
    <t>2018001378</t>
  </si>
  <si>
    <t>C3316UQ21TOK0642</t>
  </si>
  <si>
    <t>20210517</t>
  </si>
  <si>
    <t>2018001385</t>
  </si>
  <si>
    <t>C3286LVTR0621-21</t>
  </si>
  <si>
    <t>20210518</t>
  </si>
  <si>
    <t>2018001390</t>
  </si>
  <si>
    <t>C3286LVGR0616-21</t>
  </si>
  <si>
    <t>2018001402</t>
  </si>
  <si>
    <t>C3309UQ21KR0657</t>
  </si>
  <si>
    <t>20210519</t>
  </si>
  <si>
    <t>2018001403</t>
  </si>
  <si>
    <t>C3309UQ21KR0658</t>
  </si>
  <si>
    <t>2018001404</t>
  </si>
  <si>
    <t>C3343UQ21OSA0651</t>
  </si>
  <si>
    <t>2018001405</t>
  </si>
  <si>
    <t>C3308UQ21NAG0654</t>
  </si>
  <si>
    <t>2018001406</t>
  </si>
  <si>
    <t>C3343UQ21NAG0650</t>
  </si>
  <si>
    <t>2018001407</t>
  </si>
  <si>
    <t>C3308UQ21OSA0656</t>
  </si>
  <si>
    <t>2018001408</t>
  </si>
  <si>
    <t>C3343UQ21HAK0649</t>
  </si>
  <si>
    <t>2018001409</t>
  </si>
  <si>
    <t>C3308UQ21HAK0655</t>
  </si>
  <si>
    <t>2018001410</t>
  </si>
  <si>
    <t>C3195AMZLB068121</t>
  </si>
  <si>
    <t>2018001411</t>
  </si>
  <si>
    <t>C3195AMZLB068221</t>
  </si>
  <si>
    <t>2003006601</t>
  </si>
  <si>
    <t>1.00000</t>
  </si>
  <si>
    <t>SC3168UQ21KRO033</t>
  </si>
  <si>
    <t>2003006696</t>
  </si>
  <si>
    <t>83.95015</t>
  </si>
  <si>
    <t>SC3364UQ21JP0103</t>
  </si>
  <si>
    <t>2008000240</t>
  </si>
  <si>
    <t>SC3308UQ21JP081</t>
  </si>
  <si>
    <t>2008000241</t>
  </si>
  <si>
    <t>2008000242</t>
  </si>
  <si>
    <t>SC03168UQ21PH036</t>
  </si>
  <si>
    <t>2008000244</t>
  </si>
  <si>
    <t>SC03168UQ21US031</t>
  </si>
  <si>
    <t>2008000245</t>
  </si>
  <si>
    <t>SC03168UQ21SG034</t>
  </si>
  <si>
    <t>2008000246</t>
  </si>
  <si>
    <t>SC03168UQ21TW032</t>
  </si>
  <si>
    <t>2008000247</t>
  </si>
  <si>
    <t>2008000248</t>
  </si>
  <si>
    <t>SC03168UQ21TH037</t>
  </si>
  <si>
    <t>2008000249</t>
  </si>
  <si>
    <t>2008000250</t>
  </si>
  <si>
    <t>SC03168UQ21MY035</t>
  </si>
  <si>
    <t>2008000251</t>
  </si>
  <si>
    <t>SC3364UQ21JP0105</t>
  </si>
  <si>
    <t>2008000252</t>
  </si>
  <si>
    <t>SC3364UQ21JP0104</t>
  </si>
  <si>
    <t>2008000253</t>
  </si>
  <si>
    <t>SC03168UQ21CN039</t>
  </si>
  <si>
    <t>2008000254</t>
  </si>
  <si>
    <t>SC3308UQ21JP080</t>
  </si>
  <si>
    <t>2008000255</t>
  </si>
  <si>
    <t>SC03168UQ21AU041</t>
  </si>
  <si>
    <t>2008000256</t>
  </si>
  <si>
    <t>SC3308UQ21US0106</t>
  </si>
  <si>
    <t>2008000257</t>
  </si>
  <si>
    <t>SC03168UQ21ID038</t>
  </si>
  <si>
    <t>2008000258</t>
  </si>
  <si>
    <t>SC3308UQ21JP079</t>
  </si>
  <si>
    <t>2008000273</t>
  </si>
  <si>
    <t>2018001391</t>
  </si>
  <si>
    <t>C3283LVUS0647-21</t>
  </si>
  <si>
    <t>20210521</t>
  </si>
  <si>
    <t>2018001413</t>
  </si>
  <si>
    <t>C3286LVGR0564-21</t>
  </si>
  <si>
    <t>2018001441</t>
  </si>
  <si>
    <t>C3335LVMX0623-21</t>
  </si>
  <si>
    <t>2018001442</t>
  </si>
  <si>
    <t>C3282LVMX0622-21</t>
  </si>
  <si>
    <t>2008000259</t>
  </si>
  <si>
    <t>SCAD LVUS00621</t>
  </si>
  <si>
    <t>2008000260</t>
  </si>
  <si>
    <t>SCADLVUS00521</t>
  </si>
  <si>
    <t>2018001412</t>
  </si>
  <si>
    <t>C3281LVUS0646-21</t>
  </si>
  <si>
    <t>20210522</t>
  </si>
  <si>
    <t>2018001417</t>
  </si>
  <si>
    <t>C3265LVPE0575-21</t>
  </si>
  <si>
    <t>2008000261</t>
  </si>
  <si>
    <t>CIPLKERA21GR0537</t>
  </si>
  <si>
    <t>2018001414</t>
  </si>
  <si>
    <t>C3329UQ21VAN0628</t>
  </si>
  <si>
    <t>20210523</t>
  </si>
  <si>
    <t>2018001415</t>
  </si>
  <si>
    <t>C3329UQ21VAN0660</t>
  </si>
  <si>
    <t>2018001420</t>
  </si>
  <si>
    <t>C3316UQ21TOK0648</t>
  </si>
  <si>
    <t>2018001419</t>
  </si>
  <si>
    <t>C3329UQ21RU0556</t>
  </si>
  <si>
    <t>20210524</t>
  </si>
  <si>
    <t>2018001421</t>
  </si>
  <si>
    <t>C3329UQ21RU0558</t>
  </si>
  <si>
    <t>2018001423</t>
  </si>
  <si>
    <t>C3329UQ21RU0559</t>
  </si>
  <si>
    <t>2018001424</t>
  </si>
  <si>
    <t>C3329UQ21RU0545</t>
  </si>
  <si>
    <t>2018001418</t>
  </si>
  <si>
    <t>C3189AMZPL068321</t>
  </si>
  <si>
    <t>20210525</t>
  </si>
  <si>
    <t>2018001422</t>
  </si>
  <si>
    <t>C3331UQ21VN0652</t>
  </si>
  <si>
    <t>2018001429</t>
  </si>
  <si>
    <t>C3271UQ21TOK0571</t>
  </si>
  <si>
    <t>2018001430</t>
  </si>
  <si>
    <t>C3271UQ21OSA0662</t>
  </si>
  <si>
    <t>2008000262</t>
  </si>
  <si>
    <t>SC3327LVUS04321</t>
  </si>
  <si>
    <t>2018001425</t>
  </si>
  <si>
    <t>C3189AMZLB068421</t>
  </si>
  <si>
    <t>20210527</t>
  </si>
  <si>
    <t>2018001431</t>
  </si>
  <si>
    <t>C3343UQ21OSA0686</t>
  </si>
  <si>
    <t>2003006706</t>
  </si>
  <si>
    <t>C3266LVSR0498-21</t>
  </si>
  <si>
    <t>20210528</t>
  </si>
  <si>
    <t>2008000263</t>
  </si>
  <si>
    <t>SC3327LVUS09821</t>
  </si>
  <si>
    <t>2008000264</t>
  </si>
  <si>
    <t>SC3327LVPA09321</t>
  </si>
  <si>
    <t>2008000265</t>
  </si>
  <si>
    <t>SC3327LVUS05421</t>
  </si>
  <si>
    <t>2008000266</t>
  </si>
  <si>
    <t>SC3327LVMX06421</t>
  </si>
  <si>
    <t>2008000267</t>
  </si>
  <si>
    <t>SC3327LVBE04721</t>
  </si>
  <si>
    <t>2018001416</t>
  </si>
  <si>
    <t>2018001426</t>
  </si>
  <si>
    <t>C3285LVUS0714-21</t>
  </si>
  <si>
    <t>2018001427</t>
  </si>
  <si>
    <t>C3285LVUS0715-21</t>
  </si>
  <si>
    <t>2018001428</t>
  </si>
  <si>
    <t>C3284LVUS0716-21</t>
  </si>
  <si>
    <t>2018001432</t>
  </si>
  <si>
    <t>C3343UQ21HAK0687</t>
  </si>
  <si>
    <t>2018001433</t>
  </si>
  <si>
    <t>C3329UQ21TOR0659</t>
  </si>
  <si>
    <t>2018001434</t>
  </si>
  <si>
    <t>C3329UQ21TOR0607</t>
  </si>
  <si>
    <t>2018001435</t>
  </si>
  <si>
    <t>C3343UQ21YOK0669</t>
  </si>
  <si>
    <t>2008000268</t>
  </si>
  <si>
    <t>SC3327LVUS06721</t>
  </si>
  <si>
    <t>2008000269</t>
  </si>
  <si>
    <t>SC3327LVUS13421</t>
  </si>
  <si>
    <t>2008000270</t>
  </si>
  <si>
    <t>SC3327LVUS11021</t>
  </si>
  <si>
    <t>2018001436</t>
  </si>
  <si>
    <t>C3309UQ21KR0685</t>
  </si>
  <si>
    <t>20210530</t>
  </si>
  <si>
    <t>2018001437</t>
  </si>
  <si>
    <t>C3343UQ21NAG0688</t>
  </si>
  <si>
    <t>2018001438</t>
  </si>
  <si>
    <t>C3309UQ21TOK0672</t>
  </si>
  <si>
    <t>2003006708</t>
  </si>
  <si>
    <t>WASH EXP'MAY'21.</t>
  </si>
  <si>
    <t>WASH EXP'MAY'21</t>
  </si>
  <si>
    <t>WASH TRANSFER MAY'21</t>
  </si>
  <si>
    <t>WASH(EXPORT) May'21</t>
  </si>
  <si>
    <t>2018001439</t>
  </si>
  <si>
    <t>C3289LVGR0708-21</t>
  </si>
  <si>
    <t>20210531</t>
  </si>
  <si>
    <t>2018001440</t>
  </si>
  <si>
    <t>C3284LVGR0709-21</t>
  </si>
  <si>
    <t>2008000271</t>
  </si>
  <si>
    <t>83.94992</t>
  </si>
  <si>
    <t>CIPL-PGCL-300-21</t>
  </si>
  <si>
    <t>2008000272</t>
  </si>
  <si>
    <t>CIPL-PGCL-301-21</t>
  </si>
  <si>
    <t>2008000274</t>
  </si>
  <si>
    <t>SC3327LVUS05321</t>
  </si>
  <si>
    <t>2018001443</t>
  </si>
  <si>
    <t>C3329UQ21RU0557</t>
  </si>
  <si>
    <t>20210601</t>
  </si>
  <si>
    <t>2018001445</t>
  </si>
  <si>
    <t>C3329UQ21HNL0673</t>
  </si>
  <si>
    <t>20210602</t>
  </si>
  <si>
    <t>2018001453</t>
  </si>
  <si>
    <t>C3189AMZPL071221</t>
  </si>
  <si>
    <t>2018001444</t>
  </si>
  <si>
    <t>C3343UQ21NAG0720</t>
  </si>
  <si>
    <t>20210603</t>
  </si>
  <si>
    <t>2018001446</t>
  </si>
  <si>
    <t>C3329UQ21IN0724</t>
  </si>
  <si>
    <t>2018001448</t>
  </si>
  <si>
    <t>C3309UQ21EU0733</t>
  </si>
  <si>
    <t>2018001449</t>
  </si>
  <si>
    <t>C3308UQ21EU0663</t>
  </si>
  <si>
    <t>2018001452</t>
  </si>
  <si>
    <t>C3329UQ21IN0674</t>
  </si>
  <si>
    <t>2018001536</t>
  </si>
  <si>
    <t>C3283LVPK0707-21</t>
  </si>
  <si>
    <t>2018001447</t>
  </si>
  <si>
    <t>C3316UQ21OSA0722</t>
  </si>
  <si>
    <t>20210604</t>
  </si>
  <si>
    <t>2018001463</t>
  </si>
  <si>
    <t>C3270LVUS0698-21</t>
  </si>
  <si>
    <t>2018001464</t>
  </si>
  <si>
    <t>C3281LVUS0696-21</t>
  </si>
  <si>
    <t>2018001465</t>
  </si>
  <si>
    <t>C3270LVUS0697-21</t>
  </si>
  <si>
    <t>2018001485</t>
  </si>
  <si>
    <t>2018001497</t>
  </si>
  <si>
    <t>C3282LVCA0703-21</t>
  </si>
  <si>
    <t>2018001498</t>
  </si>
  <si>
    <t>C3284LVCA0704-21</t>
  </si>
  <si>
    <t>2018001499</t>
  </si>
  <si>
    <t>C3308UQ21LA0729</t>
  </si>
  <si>
    <t>2018001451</t>
  </si>
  <si>
    <t>C3316UQ21NAG0678</t>
  </si>
  <si>
    <t>20210605</t>
  </si>
  <si>
    <t>2018001455</t>
  </si>
  <si>
    <t>C3329UQ21MEL0667</t>
  </si>
  <si>
    <t>2018001456</t>
  </si>
  <si>
    <t>C3329UQ21MEL0730</t>
  </si>
  <si>
    <t>2018001462</t>
  </si>
  <si>
    <t>C3284LVMY0710-21</t>
  </si>
  <si>
    <t>2018001468</t>
  </si>
  <si>
    <t>C3329UQ21EU0721</t>
  </si>
  <si>
    <t>2018001500</t>
  </si>
  <si>
    <t>C3352UQ21TW0675</t>
  </si>
  <si>
    <t>2018001450</t>
  </si>
  <si>
    <t>C3308UQ21NY0664</t>
  </si>
  <si>
    <t>20210606</t>
  </si>
  <si>
    <t>2018001454</t>
  </si>
  <si>
    <t>C3308UQ21SEN0753</t>
  </si>
  <si>
    <t>2018001457</t>
  </si>
  <si>
    <t>C3308UQ21TOM0754</t>
  </si>
  <si>
    <t>2018001458</t>
  </si>
  <si>
    <t>C3309UQ21OSA0671</t>
  </si>
  <si>
    <t>2018001459</t>
  </si>
  <si>
    <t>C3343UQ21OSA0717</t>
  </si>
  <si>
    <t>2018001460</t>
  </si>
  <si>
    <t>C3343UQ21YOK0718</t>
  </si>
  <si>
    <t>2018001482</t>
  </si>
  <si>
    <t>C3284LVGR0745-21</t>
  </si>
  <si>
    <t>2018001486</t>
  </si>
  <si>
    <t>C3195AMZLB071321</t>
  </si>
  <si>
    <t>2018001501</t>
  </si>
  <si>
    <t>C3315UQ21MEL0676</t>
  </si>
  <si>
    <t>2018001502</t>
  </si>
  <si>
    <t>C3282LVMX0693-21</t>
  </si>
  <si>
    <t>2018001503</t>
  </si>
  <si>
    <t>C3283LVMX0692-21</t>
  </si>
  <si>
    <t>2018001504</t>
  </si>
  <si>
    <t>C3289LVMX0694-21</t>
  </si>
  <si>
    <t>2018001505</t>
  </si>
  <si>
    <t>C3283LVMX0695-21</t>
  </si>
  <si>
    <t>2018001506</t>
  </si>
  <si>
    <t>C3308UQ21MEL0677</t>
  </si>
  <si>
    <t>2018001461</t>
  </si>
  <si>
    <t>20210607</t>
  </si>
  <si>
    <t>2018001466</t>
  </si>
  <si>
    <t>C3308UQ21RU0506</t>
  </si>
  <si>
    <t>2018001467</t>
  </si>
  <si>
    <t>C3309UQ21RU0574</t>
  </si>
  <si>
    <t>2018001469</t>
  </si>
  <si>
    <t>C3331UQ21RU0446</t>
  </si>
  <si>
    <t>2018001470</t>
  </si>
  <si>
    <t>C3343UQ21HAK0719</t>
  </si>
  <si>
    <t>2018001471</t>
  </si>
  <si>
    <t>C3309UQ21TOK0723</t>
  </si>
  <si>
    <t>2018001472</t>
  </si>
  <si>
    <t>C3343UQ21YOK0727</t>
  </si>
  <si>
    <t>2018001473</t>
  </si>
  <si>
    <t>C3343UQ21YOK0732</t>
  </si>
  <si>
    <t>2018001474</t>
  </si>
  <si>
    <t>C3343UQ21HAK0725</t>
  </si>
  <si>
    <t>2018001475</t>
  </si>
  <si>
    <t>C3343UQ21NAG0726</t>
  </si>
  <si>
    <t>2018001476</t>
  </si>
  <si>
    <t>C3308UQ21HAK0751</t>
  </si>
  <si>
    <t>2018001477</t>
  </si>
  <si>
    <t>C3308UQ21NAG0752</t>
  </si>
  <si>
    <t>2018001479</t>
  </si>
  <si>
    <t>C3308UQ21TOK0756</t>
  </si>
  <si>
    <t>2018001480</t>
  </si>
  <si>
    <t>C3308UQ21TOR0666</t>
  </si>
  <si>
    <t>2018001481</t>
  </si>
  <si>
    <t>C3308UQ21VAN0665</t>
  </si>
  <si>
    <t>2018001507</t>
  </si>
  <si>
    <t>C3289LVMX0691-21</t>
  </si>
  <si>
    <t>2003006723</t>
  </si>
  <si>
    <t>20210608</t>
  </si>
  <si>
    <t>2018001478</t>
  </si>
  <si>
    <t>C3308UQ21OSA0679</t>
  </si>
  <si>
    <t>2018001484</t>
  </si>
  <si>
    <t>2018001508</t>
  </si>
  <si>
    <t>C3289LVMX0746-21</t>
  </si>
  <si>
    <t>2018001483</t>
  </si>
  <si>
    <t>C3277LVJP0734-21</t>
  </si>
  <si>
    <t>20210609</t>
  </si>
  <si>
    <t>2018001576</t>
  </si>
  <si>
    <t>C3309UQ21KR0749</t>
  </si>
  <si>
    <t>20210610</t>
  </si>
  <si>
    <t>2008000275</t>
  </si>
  <si>
    <t>SC3327LVUS08021</t>
  </si>
  <si>
    <t>2008000276</t>
  </si>
  <si>
    <t>SC3327LVUS06221</t>
  </si>
  <si>
    <t>2008000277</t>
  </si>
  <si>
    <t>SC3327LVUS06621</t>
  </si>
  <si>
    <t>2008000278</t>
  </si>
  <si>
    <t>SC3327LVUS10321</t>
  </si>
  <si>
    <t>2008000279</t>
  </si>
  <si>
    <t>SC3327LVMX09621</t>
  </si>
  <si>
    <t>2008000280</t>
  </si>
  <si>
    <t>SC3327LVMX06921</t>
  </si>
  <si>
    <t>2008000281</t>
  </si>
  <si>
    <t>SC3327LVUS05921</t>
  </si>
  <si>
    <t>2008000282</t>
  </si>
  <si>
    <t>SC3327LVUS10421</t>
  </si>
  <si>
    <t>2008000283</t>
  </si>
  <si>
    <t>SC3327LVMX05521</t>
  </si>
  <si>
    <t>2008000284</t>
  </si>
  <si>
    <t>SC3327LVUS06821</t>
  </si>
  <si>
    <t>2008000285</t>
  </si>
  <si>
    <t>SC3327LVUS09721</t>
  </si>
  <si>
    <t>2008000286</t>
  </si>
  <si>
    <t>SC3327LVUS05221</t>
  </si>
  <si>
    <t>2008000287</t>
  </si>
  <si>
    <t>SC3327LVBE91A21</t>
  </si>
  <si>
    <t>2008000288</t>
  </si>
  <si>
    <t>SC3327LVUS07621</t>
  </si>
  <si>
    <t>2008000289</t>
  </si>
  <si>
    <t>SC3327LVUS06521</t>
  </si>
  <si>
    <t>2008000290</t>
  </si>
  <si>
    <t>SC3327LVUS07221</t>
  </si>
  <si>
    <t>2008000291</t>
  </si>
  <si>
    <t>SC3327LVUS06321</t>
  </si>
  <si>
    <t>2008000292</t>
  </si>
  <si>
    <t>SC3327LVPA06121</t>
  </si>
  <si>
    <t>2008000293</t>
  </si>
  <si>
    <t>SC3327LVSG07321</t>
  </si>
  <si>
    <t>2008000294</t>
  </si>
  <si>
    <t>SC3327LVMX09021</t>
  </si>
  <si>
    <t>2008000295</t>
  </si>
  <si>
    <t>SC3327LVMX07721</t>
  </si>
  <si>
    <t>2008000296</t>
  </si>
  <si>
    <t>SC3327LVUS09921</t>
  </si>
  <si>
    <t>2008000297</t>
  </si>
  <si>
    <t>SC3327LVBE05121</t>
  </si>
  <si>
    <t>2008000298</t>
  </si>
  <si>
    <t>SC3327LVUS10521</t>
  </si>
  <si>
    <t>20210611</t>
  </si>
  <si>
    <t>2008000299</t>
  </si>
  <si>
    <t>SC3327LVUS10021</t>
  </si>
  <si>
    <t>2008000300</t>
  </si>
  <si>
    <t>SC3327LVUS07021</t>
  </si>
  <si>
    <t>2008000301</t>
  </si>
  <si>
    <t>SC3327LVSG05621</t>
  </si>
  <si>
    <t>2018001487</t>
  </si>
  <si>
    <t>C3329UQ21HAK0774</t>
  </si>
  <si>
    <t>2018001488</t>
  </si>
  <si>
    <t>C3329UQ21SEN0776</t>
  </si>
  <si>
    <t>2018001489</t>
  </si>
  <si>
    <t>C3316UQ21TOK0757</t>
  </si>
  <si>
    <t>2018001490</t>
  </si>
  <si>
    <t>C3329UQ21HAK0763</t>
  </si>
  <si>
    <t>2018001491</t>
  </si>
  <si>
    <t>C3329UQ21SEN0764</t>
  </si>
  <si>
    <t>2018001492</t>
  </si>
  <si>
    <t>C3329UQ21TOM0773</t>
  </si>
  <si>
    <t>2018001493</t>
  </si>
  <si>
    <t>C3308UQ21TOK0680</t>
  </si>
  <si>
    <t>2018001494</t>
  </si>
  <si>
    <t>C3316UQ21TOM0772</t>
  </si>
  <si>
    <t>2018001495</t>
  </si>
  <si>
    <t>C3316UQ21HAK0766</t>
  </si>
  <si>
    <t>2018001509</t>
  </si>
  <si>
    <t>C3280LVUS0699-21</t>
  </si>
  <si>
    <t>2018001510</t>
  </si>
  <si>
    <t>C3283LVUS0700-21</t>
  </si>
  <si>
    <t>2018001511</t>
  </si>
  <si>
    <t>C3286LVTR0711-21</t>
  </si>
  <si>
    <t>2018001512</t>
  </si>
  <si>
    <t>C3284LVUS0701-21</t>
  </si>
  <si>
    <t>2018001513</t>
  </si>
  <si>
    <t>C3286LVGR0705-21</t>
  </si>
  <si>
    <t>2018001514</t>
  </si>
  <si>
    <t>C3286LVGR0706-21</t>
  </si>
  <si>
    <t>2018001515</t>
  </si>
  <si>
    <t>C3286LVUS0702-21</t>
  </si>
  <si>
    <t>2018001527</t>
  </si>
  <si>
    <t>C3311LVUS0748-21</t>
  </si>
  <si>
    <t>2018001532</t>
  </si>
  <si>
    <t>C3077LVTW0743-21</t>
  </si>
  <si>
    <t>2018001533</t>
  </si>
  <si>
    <t>C3277LVCN0735-21</t>
  </si>
  <si>
    <t>2018001537</t>
  </si>
  <si>
    <t>C3285LVPK0742-21</t>
  </si>
  <si>
    <t>2018001496</t>
  </si>
  <si>
    <t>C3316UQ21OSA0758</t>
  </si>
  <si>
    <t>20210612</t>
  </si>
  <si>
    <t>2018001534</t>
  </si>
  <si>
    <t>C3284LVMY0738-21</t>
  </si>
  <si>
    <t>2018001545</t>
  </si>
  <si>
    <t>C3308UQ21NY0584</t>
  </si>
  <si>
    <t>2018001516</t>
  </si>
  <si>
    <t>C3289LVMX0747-21</t>
  </si>
  <si>
    <t>20210613</t>
  </si>
  <si>
    <t>2018001517</t>
  </si>
  <si>
    <t>C3329UQ21RU0661</t>
  </si>
  <si>
    <t>2018001518</t>
  </si>
  <si>
    <t>C3329UQ21HAK0781</t>
  </si>
  <si>
    <t>2018001519</t>
  </si>
  <si>
    <t>C3329UQ21HAK0798</t>
  </si>
  <si>
    <t>2018001619</t>
  </si>
  <si>
    <t>C3285LVMX0689-21</t>
  </si>
  <si>
    <t>2018001620</t>
  </si>
  <si>
    <t>C3335LVMX0690-21</t>
  </si>
  <si>
    <t>2018001520</t>
  </si>
  <si>
    <t>C3316UQ21NAG0768</t>
  </si>
  <si>
    <t>20210614</t>
  </si>
  <si>
    <t>2018001521</t>
  </si>
  <si>
    <t>C3309UQ21TOK0761</t>
  </si>
  <si>
    <t>2018001522</t>
  </si>
  <si>
    <t>C3329UQ21NAG0799</t>
  </si>
  <si>
    <t>2018001523</t>
  </si>
  <si>
    <t>C3329UQ21NAG0782</t>
  </si>
  <si>
    <t>2018001524</t>
  </si>
  <si>
    <t>C3328UQ21TOK0765</t>
  </si>
  <si>
    <t>2018001525</t>
  </si>
  <si>
    <t>C3316UQ21TOK0771</t>
  </si>
  <si>
    <t>2018001526</t>
  </si>
  <si>
    <t>C3329UQ21NAG0767</t>
  </si>
  <si>
    <t>2018001528</t>
  </si>
  <si>
    <t>C3335LVUS0741-21</t>
  </si>
  <si>
    <t>2018001529</t>
  </si>
  <si>
    <t>C3270LVGR0797-21</t>
  </si>
  <si>
    <t>2018001531</t>
  </si>
  <si>
    <t>C3270LVGR0795-21</t>
  </si>
  <si>
    <t>2008000313</t>
  </si>
  <si>
    <t>SC3327LVUS12121</t>
  </si>
  <si>
    <t>2008000314</t>
  </si>
  <si>
    <t>SC3327LVSG11521</t>
  </si>
  <si>
    <t>2018001535</t>
  </si>
  <si>
    <t>C3285LVTR0737-21</t>
  </si>
  <si>
    <t>20210615</t>
  </si>
  <si>
    <t>2018001538</t>
  </si>
  <si>
    <t>C3316UQ21OSA769</t>
  </si>
  <si>
    <t>2018001539</t>
  </si>
  <si>
    <t>C3309UQ21OSA0762</t>
  </si>
  <si>
    <t>2018001530</t>
  </si>
  <si>
    <t>C3332LVUS0793-21</t>
  </si>
  <si>
    <t>20210616</t>
  </si>
  <si>
    <t>2018001540</t>
  </si>
  <si>
    <t>C3343UQ21OSA0668</t>
  </si>
  <si>
    <t>2018001541</t>
  </si>
  <si>
    <t>C3329UQ21TOM0784</t>
  </si>
  <si>
    <t>2018001542</t>
  </si>
  <si>
    <t>C3329UQ21TOM0801</t>
  </si>
  <si>
    <t>2018001544</t>
  </si>
  <si>
    <t>C3284LVCL0744-21</t>
  </si>
  <si>
    <t>2003006856</t>
  </si>
  <si>
    <t>SC3327LVBE09221</t>
  </si>
  <si>
    <t>2008000315</t>
  </si>
  <si>
    <t>SC3327LVUS07921</t>
  </si>
  <si>
    <t>2008000316</t>
  </si>
  <si>
    <t>SC3327LVUS08821</t>
  </si>
  <si>
    <t>2008000317</t>
  </si>
  <si>
    <t>SC3327LVBE10821</t>
  </si>
  <si>
    <t>2008000318</t>
  </si>
  <si>
    <t>SC3327LVPA09421</t>
  </si>
  <si>
    <t>2008000319</t>
  </si>
  <si>
    <t>SC3327LVUS05821</t>
  </si>
  <si>
    <t>2008000321</t>
  </si>
  <si>
    <t>2008000322</t>
  </si>
  <si>
    <t>SC3327LVMX08221</t>
  </si>
  <si>
    <t>2008000323</t>
  </si>
  <si>
    <t>SC3327LVUS08921</t>
  </si>
  <si>
    <t>2008000324</t>
  </si>
  <si>
    <t>SC3327LVMX12021</t>
  </si>
  <si>
    <t>2008000325</t>
  </si>
  <si>
    <t>SC3327LVBE12321</t>
  </si>
  <si>
    <t>2008000326</t>
  </si>
  <si>
    <t>SC3327LVUS11121</t>
  </si>
  <si>
    <t>2008000327</t>
  </si>
  <si>
    <t>SC3327LVPA12221</t>
  </si>
  <si>
    <t>2008000328</t>
  </si>
  <si>
    <t>SC3327LVUS10921</t>
  </si>
  <si>
    <t>2008000329</t>
  </si>
  <si>
    <t>SC3327LVMX11221</t>
  </si>
  <si>
    <t>2008000330</t>
  </si>
  <si>
    <t>SC3327LVUS05021</t>
  </si>
  <si>
    <t>2008000331</t>
  </si>
  <si>
    <t>SC3327LVUS08521</t>
  </si>
  <si>
    <t>2008000332</t>
  </si>
  <si>
    <t>SC3327LVUS14221</t>
  </si>
  <si>
    <t>2008000333</t>
  </si>
  <si>
    <t>SC3327LVUS13721</t>
  </si>
  <si>
    <t>2008000334</t>
  </si>
  <si>
    <t>SC3327LVBE14021</t>
  </si>
  <si>
    <t>2008000335</t>
  </si>
  <si>
    <t>SC3327LVUS08121</t>
  </si>
  <si>
    <t>2008000336</t>
  </si>
  <si>
    <t>SC3327LVSG08621</t>
  </si>
  <si>
    <t>2008000337</t>
  </si>
  <si>
    <t>SC3327LVUS11921</t>
  </si>
  <si>
    <t>2008000338</t>
  </si>
  <si>
    <t>SC3327LVUS13521</t>
  </si>
  <si>
    <t>2008000339</t>
  </si>
  <si>
    <t>SC3327LVBE11621</t>
  </si>
  <si>
    <t>2008000340</t>
  </si>
  <si>
    <t>SC3327LVUS08321</t>
  </si>
  <si>
    <t>2008000341</t>
  </si>
  <si>
    <t>SC3327LVUS14321</t>
  </si>
  <si>
    <t>2008000342</t>
  </si>
  <si>
    <t>SC3327LVMX13621</t>
  </si>
  <si>
    <t>2008000343</t>
  </si>
  <si>
    <t>SC3327LVUS13321</t>
  </si>
  <si>
    <t>2008000344</t>
  </si>
  <si>
    <t>SC3327LVMX14421</t>
  </si>
  <si>
    <t>2008000345</t>
  </si>
  <si>
    <t>SC3327LVUS11821</t>
  </si>
  <si>
    <t>2008000350</t>
  </si>
  <si>
    <t>2018001543</t>
  </si>
  <si>
    <t>C3270LVGR0789-21</t>
  </si>
  <si>
    <t>20210617</t>
  </si>
  <si>
    <t>2018001547</t>
  </si>
  <si>
    <t>C3335LVUS0794-21</t>
  </si>
  <si>
    <t>2018001548</t>
  </si>
  <si>
    <t>C3329UQ21SEN0783</t>
  </si>
  <si>
    <t>2018001549</t>
  </si>
  <si>
    <t>C3343UQ21YOK0810</t>
  </si>
  <si>
    <t>2018001550</t>
  </si>
  <si>
    <t>C3329UQ21OSA0808</t>
  </si>
  <si>
    <t>2018001551</t>
  </si>
  <si>
    <t>C3329UQ21NAG0807</t>
  </si>
  <si>
    <t>2018001552</t>
  </si>
  <si>
    <t>C3364UQ21TOK0809</t>
  </si>
  <si>
    <t>2018001553</t>
  </si>
  <si>
    <t>C3364UQ21OSA0812</t>
  </si>
  <si>
    <t>2018001554</t>
  </si>
  <si>
    <t>C3343UQ21HAK0806</t>
  </si>
  <si>
    <t>2018001555</t>
  </si>
  <si>
    <t>C3329UQ21SEN0800</t>
  </si>
  <si>
    <t>2018001565</t>
  </si>
  <si>
    <t>C3335LVUS0786-21</t>
  </si>
  <si>
    <t>2018001566</t>
  </si>
  <si>
    <t>C3332LVUS0791-21</t>
  </si>
  <si>
    <t>2018001568</t>
  </si>
  <si>
    <t>C3233LVUS0790-21</t>
  </si>
  <si>
    <t>2018001569</t>
  </si>
  <si>
    <t>C3335LVUS0792-21</t>
  </si>
  <si>
    <t>2018001546</t>
  </si>
  <si>
    <t>C3333LVUS0785-21</t>
  </si>
  <si>
    <t>20210618</t>
  </si>
  <si>
    <t>2018001575</t>
  </si>
  <si>
    <t>C3329UQ21EU0780</t>
  </si>
  <si>
    <t>2008000346</t>
  </si>
  <si>
    <t>CIPLDASH21US0777</t>
  </si>
  <si>
    <t>2018001556</t>
  </si>
  <si>
    <t>C3316UQ21TOK0802</t>
  </si>
  <si>
    <t>20210619</t>
  </si>
  <si>
    <t>2018001557</t>
  </si>
  <si>
    <t>C3316UQ21OSA0803</t>
  </si>
  <si>
    <t>2018001558</t>
  </si>
  <si>
    <t>C3343UQ21OSA0759</t>
  </si>
  <si>
    <t>2018001618</t>
  </si>
  <si>
    <t>C3282LVMX0740-21</t>
  </si>
  <si>
    <t>2018001621</t>
  </si>
  <si>
    <t>C3335LVMX0739-21</t>
  </si>
  <si>
    <t>2018001559</t>
  </si>
  <si>
    <t>C3308UQ21EU0750</t>
  </si>
  <si>
    <t>20210620</t>
  </si>
  <si>
    <t>2018001560</t>
  </si>
  <si>
    <t>C3308UQ21OSA0805</t>
  </si>
  <si>
    <t>2018001564</t>
  </si>
  <si>
    <t>C3270LVGR0796-21</t>
  </si>
  <si>
    <t>2018001584</t>
  </si>
  <si>
    <t>C3309UQ21EU0850</t>
  </si>
  <si>
    <t>2008000348</t>
  </si>
  <si>
    <t>CIPL-GTL-005-21</t>
  </si>
  <si>
    <t>SUBCON INCOME FROM GTL-GTL1-00944</t>
  </si>
  <si>
    <t>2018001561</t>
  </si>
  <si>
    <t>C3312LVUS0837-21</t>
  </si>
  <si>
    <t>20210621</t>
  </si>
  <si>
    <t>2018001562</t>
  </si>
  <si>
    <t>C3312LVUS0835-21</t>
  </si>
  <si>
    <t>2018001563</t>
  </si>
  <si>
    <t>C3312LVUS0836-21</t>
  </si>
  <si>
    <t>2018001567</t>
  </si>
  <si>
    <t>C3284LVPE0760-21</t>
  </si>
  <si>
    <t>2018001577</t>
  </si>
  <si>
    <t>C3329UQ21MEL0779</t>
  </si>
  <si>
    <t>20210622</t>
  </si>
  <si>
    <t>2018001578</t>
  </si>
  <si>
    <t>C3343UQ21HAK0813</t>
  </si>
  <si>
    <t>2018001579</t>
  </si>
  <si>
    <t>C3343UQ21NAG0811</t>
  </si>
  <si>
    <t>2018001580</t>
  </si>
  <si>
    <t>C3343UQ21YOK0819</t>
  </si>
  <si>
    <t>2018001581</t>
  </si>
  <si>
    <t>C3343UQ21OSA0815</t>
  </si>
  <si>
    <t>2018001582</t>
  </si>
  <si>
    <t>C3343UQ21YOK0849</t>
  </si>
  <si>
    <t>2018001583</t>
  </si>
  <si>
    <t>C3343UQ21OSA0814</t>
  </si>
  <si>
    <t>2018001585</t>
  </si>
  <si>
    <t>C3343UQ21MY0823</t>
  </si>
  <si>
    <t>2018001586</t>
  </si>
  <si>
    <t>C3329UQ21VN0820</t>
  </si>
  <si>
    <t>2018001589</t>
  </si>
  <si>
    <t>C3284LVCA0834-21</t>
  </si>
  <si>
    <t>2018001570</t>
  </si>
  <si>
    <t>C3270LVGR0736-21</t>
  </si>
  <si>
    <t>20210623</t>
  </si>
  <si>
    <t>2018001572</t>
  </si>
  <si>
    <t>C3336LVUS0839-21</t>
  </si>
  <si>
    <t>2018001573</t>
  </si>
  <si>
    <t>C3333LVUS0838-21</t>
  </si>
  <si>
    <t>2018001574</t>
  </si>
  <si>
    <t>C3335LVMX0840-21</t>
  </si>
  <si>
    <t>2018001587</t>
  </si>
  <si>
    <t>C3270LVGR0842-21</t>
  </si>
  <si>
    <t>2018001608</t>
  </si>
  <si>
    <t>C3311LVUS0826-21</t>
  </si>
  <si>
    <t>2018001609</t>
  </si>
  <si>
    <t>C3311LVUS0825-21</t>
  </si>
  <si>
    <t>2003006832</t>
  </si>
  <si>
    <t>SC3308UQ21CN132</t>
  </si>
  <si>
    <t>2008000302</t>
  </si>
  <si>
    <t>SC3168UQ21JP147</t>
  </si>
  <si>
    <t>2008000303</t>
  </si>
  <si>
    <t>2008000304</t>
  </si>
  <si>
    <t>SC3308UQ21ID128</t>
  </si>
  <si>
    <t>2008000305</t>
  </si>
  <si>
    <t>SC3308UQ21JP124</t>
  </si>
  <si>
    <t>2008000306</t>
  </si>
  <si>
    <t>SC3308UQ21KR127</t>
  </si>
  <si>
    <t>2008000307</t>
  </si>
  <si>
    <t>SC3308UQ21MY129</t>
  </si>
  <si>
    <t>2008000308</t>
  </si>
  <si>
    <t>SC3308UQ21PH130</t>
  </si>
  <si>
    <t>2008000309</t>
  </si>
  <si>
    <t>SC3308UQ21SG126</t>
  </si>
  <si>
    <t>2008000310</t>
  </si>
  <si>
    <t>SC3308UQ21TH131</t>
  </si>
  <si>
    <t>2008000311</t>
  </si>
  <si>
    <t>SC3308UQ21TW125</t>
  </si>
  <si>
    <t>2008000312</t>
  </si>
  <si>
    <t>SC3308UQ21US146</t>
  </si>
  <si>
    <t>2008000347</t>
  </si>
  <si>
    <t>2018001571</t>
  </si>
  <si>
    <t>20210624</t>
  </si>
  <si>
    <t>2018001601</t>
  </si>
  <si>
    <t>C3311LVUS0832-21</t>
  </si>
  <si>
    <t>2018001588</t>
  </si>
  <si>
    <t>C3322LVJP0743-21</t>
  </si>
  <si>
    <t>20210625</t>
  </si>
  <si>
    <t>2018001590</t>
  </si>
  <si>
    <t>C3353UQ21TOK0817</t>
  </si>
  <si>
    <t>2018001591</t>
  </si>
  <si>
    <t>C3329UQ21YOK0859</t>
  </si>
  <si>
    <t>2018001592</t>
  </si>
  <si>
    <t>C3329UQ21OSA0856</t>
  </si>
  <si>
    <t>2018001593</t>
  </si>
  <si>
    <t>C3308UQ21TOK0804</t>
  </si>
  <si>
    <t>2018001604</t>
  </si>
  <si>
    <t>C3329UQ21YOK0853</t>
  </si>
  <si>
    <t>2018001594</t>
  </si>
  <si>
    <t>C3287LVMX0788-21</t>
  </si>
  <si>
    <t>20210626</t>
  </si>
  <si>
    <t>2018001595</t>
  </si>
  <si>
    <t>C3309UQ21KR0858</t>
  </si>
  <si>
    <t>2018001596</t>
  </si>
  <si>
    <t>C3309UQ21KR0857</t>
  </si>
  <si>
    <t>2018001611</t>
  </si>
  <si>
    <t>C3329UQ21VAN0822</t>
  </si>
  <si>
    <t>2018001597</t>
  </si>
  <si>
    <t>C3329UQ21OSA0888</t>
  </si>
  <si>
    <t>20210627</t>
  </si>
  <si>
    <t>2018001598</t>
  </si>
  <si>
    <t>C3329UQ21YOK0883</t>
  </si>
  <si>
    <t>2018001599</t>
  </si>
  <si>
    <t>C3329UQ21OSA0884</t>
  </si>
  <si>
    <t>2018001600</t>
  </si>
  <si>
    <t>C3311LVUS0874-21</t>
  </si>
  <si>
    <t>20210628</t>
  </si>
  <si>
    <t>2018001602</t>
  </si>
  <si>
    <t>C3311LVUS0875-21</t>
  </si>
  <si>
    <t>2018001603</t>
  </si>
  <si>
    <t>C3311LVUS0876-21</t>
  </si>
  <si>
    <t>2018001610</t>
  </si>
  <si>
    <t>C3329UQ21TOR0821</t>
  </si>
  <si>
    <t>2018001605</t>
  </si>
  <si>
    <t>C3335LVMX0879-21</t>
  </si>
  <si>
    <t>20210629</t>
  </si>
  <si>
    <t>2018001606</t>
  </si>
  <si>
    <t>C3284LVGR0869-21</t>
  </si>
  <si>
    <t>2018001607</t>
  </si>
  <si>
    <t>C3341LVGR0868-21</t>
  </si>
  <si>
    <t>2018001612</t>
  </si>
  <si>
    <t>C3335LVPE0851-21</t>
  </si>
  <si>
    <t>2018001613</t>
  </si>
  <si>
    <t>C3331UQ21IN0885</t>
  </si>
  <si>
    <t>2018001614</t>
  </si>
  <si>
    <t>C3331UQ21EU0670</t>
  </si>
  <si>
    <t>2018001615</t>
  </si>
  <si>
    <t>C3353UQ21TOK0889</t>
  </si>
  <si>
    <t>2018001616</t>
  </si>
  <si>
    <t>C3329UQ21NAG0855</t>
  </si>
  <si>
    <t>2018001617</t>
  </si>
  <si>
    <t>C3353UQ21OSA0890</t>
  </si>
  <si>
    <t>2018001622</t>
  </si>
  <si>
    <t>C3270LVMX0787-21</t>
  </si>
  <si>
    <t>2018001623</t>
  </si>
  <si>
    <t>C3312LVUS0860-21</t>
  </si>
  <si>
    <t>2018001624</t>
  </si>
  <si>
    <t>C3284LVUS0861-21</t>
  </si>
  <si>
    <t>2018001625</t>
  </si>
  <si>
    <t>C3277LVJP0878-21</t>
  </si>
  <si>
    <t>2018001626</t>
  </si>
  <si>
    <t>C3277LVJP0877-21</t>
  </si>
  <si>
    <t>2003006863</t>
  </si>
  <si>
    <t>WASH EXP'JUNE'21</t>
  </si>
  <si>
    <t>WASH EXP'June'21</t>
  </si>
  <si>
    <t>Wash Transfer June'21</t>
  </si>
  <si>
    <t>WASH(EXPORT) June'21</t>
  </si>
  <si>
    <t>2008000349</t>
  </si>
  <si>
    <t>CIPL-PGCL-302-21</t>
  </si>
  <si>
    <t>Inter Company Wash sales to PGCL</t>
  </si>
  <si>
    <t>Reversal Formula</t>
  </si>
  <si>
    <t>Reversal Formula Result</t>
  </si>
  <si>
    <t>325632.73_1</t>
  </si>
  <si>
    <t>x</t>
  </si>
  <si>
    <t>156670_1</t>
  </si>
  <si>
    <t>141680_1</t>
  </si>
  <si>
    <t>107868_1</t>
  </si>
  <si>
    <t>101863_1</t>
  </si>
  <si>
    <t>93379.3_1</t>
  </si>
  <si>
    <t>83284.13_1</t>
  </si>
  <si>
    <t>77016.92_1</t>
  </si>
  <si>
    <t>76783.5_1</t>
  </si>
  <si>
    <t>70088.88_1</t>
  </si>
  <si>
    <t>47003.36_1</t>
  </si>
  <si>
    <t>44969.31_1</t>
  </si>
  <si>
    <t>44567.51_1</t>
  </si>
  <si>
    <t>40622.68_1</t>
  </si>
  <si>
    <t>37880.63_1</t>
  </si>
  <si>
    <t>17842.22_1</t>
  </si>
  <si>
    <t>4273.5_1</t>
  </si>
  <si>
    <t>2393.9_1</t>
  </si>
  <si>
    <t>1323.56_1</t>
  </si>
  <si>
    <t>1244.9_1</t>
  </si>
  <si>
    <t>495_1</t>
  </si>
  <si>
    <t>304.95_1</t>
  </si>
  <si>
    <t>282.83_1</t>
  </si>
  <si>
    <t>271_1</t>
  </si>
  <si>
    <t>50_1</t>
  </si>
  <si>
    <t>32_1</t>
  </si>
  <si>
    <t>32_2</t>
  </si>
  <si>
    <t>9.96_1</t>
  </si>
  <si>
    <t>6.62_1</t>
  </si>
  <si>
    <t>0.81_1</t>
  </si>
  <si>
    <t>2118000001</t>
  </si>
  <si>
    <t>C3277LVJP0871-21</t>
  </si>
  <si>
    <t>20210701</t>
  </si>
  <si>
    <t>2118000004</t>
  </si>
  <si>
    <t>C3342LVMY0872-21</t>
  </si>
  <si>
    <t>2118000006</t>
  </si>
  <si>
    <t>C3233LVUS0827-21</t>
  </si>
  <si>
    <t>2118000007</t>
  </si>
  <si>
    <t>C3233LVUS0829-21</t>
  </si>
  <si>
    <t>2118000008</t>
  </si>
  <si>
    <t>C3336LVUS0831-21</t>
  </si>
  <si>
    <t>2118000011</t>
  </si>
  <si>
    <t>C3336LVUS0828-21</t>
  </si>
  <si>
    <t>2118000012</t>
  </si>
  <si>
    <t>C3336LVUS0830-21</t>
  </si>
  <si>
    <t>2118000052</t>
  </si>
  <si>
    <t>C3284LVCA0866-21</t>
  </si>
  <si>
    <t>2118000053</t>
  </si>
  <si>
    <t>C3212LVCA0865-21</t>
  </si>
  <si>
    <t>2118000009</t>
  </si>
  <si>
    <t>20210702</t>
  </si>
  <si>
    <t>2118000010</t>
  </si>
  <si>
    <t>C3312LVUS0862-21</t>
  </si>
  <si>
    <t>2118000005</t>
  </si>
  <si>
    <t>C3353UQ21OSA0895</t>
  </si>
  <si>
    <t>20210703</t>
  </si>
  <si>
    <t>2118000000</t>
  </si>
  <si>
    <t>C3277LVCN0870-21</t>
  </si>
  <si>
    <t>20210705</t>
  </si>
  <si>
    <t>2118000002</t>
  </si>
  <si>
    <t>C3340LVVN0873-21</t>
  </si>
  <si>
    <t>2118000003</t>
  </si>
  <si>
    <t>C3340LVID0778-21</t>
  </si>
  <si>
    <t>2118000013</t>
  </si>
  <si>
    <t>C3353UQ21SEN0893</t>
  </si>
  <si>
    <t>2118000018</t>
  </si>
  <si>
    <t>C3341LVGR0915-21</t>
  </si>
  <si>
    <t>2118000019</t>
  </si>
  <si>
    <t>C3338LVUS0907-21</t>
  </si>
  <si>
    <t>2118000020</t>
  </si>
  <si>
    <t>C3338LVUS0908-21</t>
  </si>
  <si>
    <t>2118000022</t>
  </si>
  <si>
    <t>C3312LVUS0909-21</t>
  </si>
  <si>
    <t>2118000023</t>
  </si>
  <si>
    <t>C3312LVUS0910-21</t>
  </si>
  <si>
    <t>2118000024</t>
  </si>
  <si>
    <t>C3312LVUS0911-21</t>
  </si>
  <si>
    <t>2118000025</t>
  </si>
  <si>
    <t>C3341LVGR0919-21</t>
  </si>
  <si>
    <t>2118000026</t>
  </si>
  <si>
    <t>C3353UQ21TOM0894</t>
  </si>
  <si>
    <t>2118000014</t>
  </si>
  <si>
    <t>C3313LVUS0912-21</t>
  </si>
  <si>
    <t>20210706</t>
  </si>
  <si>
    <t>2118000015</t>
  </si>
  <si>
    <t>C3320LVMX0914-21</t>
  </si>
  <si>
    <t>2118000016</t>
  </si>
  <si>
    <t>C3336LVUS0916-21</t>
  </si>
  <si>
    <t>2118000017</t>
  </si>
  <si>
    <t>C3320LVUS0917-21</t>
  </si>
  <si>
    <t>2118000021</t>
  </si>
  <si>
    <t>C3313LVUS0913-21</t>
  </si>
  <si>
    <t>2118000027</t>
  </si>
  <si>
    <t>C3322LVUS0864-21</t>
  </si>
  <si>
    <t>2118000028</t>
  </si>
  <si>
    <t>C3336LVUS0863-21</t>
  </si>
  <si>
    <t>2118000029</t>
  </si>
  <si>
    <t>C3353UQ21HAK0892</t>
  </si>
  <si>
    <t>2118000030</t>
  </si>
  <si>
    <t>C3329UQ21OSA0818</t>
  </si>
  <si>
    <t>2118000031</t>
  </si>
  <si>
    <t>C3329UQ21HAK0854</t>
  </si>
  <si>
    <t>2118000032</t>
  </si>
  <si>
    <t>C3353UQ21NAG0891</t>
  </si>
  <si>
    <t>2118000062</t>
  </si>
  <si>
    <t>C3270LVMX0833-21</t>
  </si>
  <si>
    <t>2118000063</t>
  </si>
  <si>
    <t>C3334LVMX0867-21</t>
  </si>
  <si>
    <t>2108000000</t>
  </si>
  <si>
    <t>SC3308UQ21US150</t>
  </si>
  <si>
    <t>2108000001</t>
  </si>
  <si>
    <t>SC3308UQ21JP149</t>
  </si>
  <si>
    <t>2108000002</t>
  </si>
  <si>
    <t>SC3308UQ21JP148</t>
  </si>
  <si>
    <t>Amount matched with FS</t>
  </si>
  <si>
    <t>Row Labels</t>
  </si>
  <si>
    <t>Grand Total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</si>
  <si>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</si>
  <si>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</si>
  <si>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</si>
  <si>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</si>
  <si>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</si>
  <si>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</si>
  <si>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</si>
  <si>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</si>
  <si>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</si>
  <si>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</si>
  <si>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</si>
  <si>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</si>
  <si>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Sum of Amount in loc.curr.2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</si>
</sst>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0" xfId="0" applyFill="1"/>
    <xf numFmtId="0" fontId="0" fillId="4" borderId="0" xfId="0" applyFill="1" applyAlignment="1">
      <alignment horizontal="center"/>
    </xf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0" fillId="0" borderId="1" xfId="0" applyBorder="1" applyAlignment="1">
      <alignment vertical="top" indent="2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pivotButton="1" applyAlignment="1">
      <alignment vertical="top"/>
    </xf>
    <xf numFmtId="14" fontId="0" fillId="0" borderId="0" xfId="0" applyNumberFormat="1" applyAlignment="1">
      <alignment horizontal="left"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952AE917-0CE3-489B-81FB-FCD81D46C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F63412B4-9CE7-402B-91B5-C800828DEA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1FC8558A-BAD2-43BD-B563-3CFDF2449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BFC77EC1-4316-41F7-9A9D-D5F471E32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EBB8A704-290A-4277-B9A5-6A959424E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DCA50CF8-4E86-40C3-8C2A-9C3850E3B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91CACA41-1C56-4252-AFCD-5DB774190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9A64E217-949B-41BE-B5A2-5FF9685EB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568D05E7-25DD-4B73-B41F-6ACC9D4CE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7857CCE7-60D9-4DB7-9395-025A4DFB6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91AFD005-106E-45E2-9ECA-6D36055DD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485BEF12-3F79-46A5-A32A-E28F3ED40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20C300D1-BEAF-472C-9E7C-B06395714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F0626311-48C1-42FD-A2FA-F8F12017A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46C08A5D-D298-4DF3-B54E-9DB6F05F4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587B6B55-E5DB-4CB6-837B-5A2AF1F96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707B0D5-5C90-443A-852D-4F8E58649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54740866-CA11-4EB7-9345-B08213E73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119B6C40-8B1C-4DA3-A495-DA8218C33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96E2FAB8-E97C-4FAD-86CB-98B60CF1C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94AD1C45-DDDC-4FC7-8FB9-893D4188B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D35EA12-8A9B-4CA2-A672-5EEDCE2C59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A5A1EF03-B1AB-441A-A46B-15AC4F59F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810ED296-F277-47FE-9A97-C244E2704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9B411875-3C13-4392-91B8-140E93F56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5E854389-B582-4E84-8959-9E98E5F208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72C17D21-FAC4-444C-84B8-6FD99C7D3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AA1AC460-55ED-41CC-9810-7F4D46504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9DDAA476-DA88-492F-86C9-042E9445D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FC80EF40-872C-4E3E-9692-F0FBE40FCB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446C477A-E4EB-48B5-A61F-F08C98431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59DC5A6-201D-4B5F-9B7B-AB7E519CD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578CFB13-ADDD-45AB-874E-5E3DD5B91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4413242B-C665-41EE-B1D2-105BFDF22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A223D6AB-0013-4678-9BF9-FB7F247A2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5BFA6C69-1CD6-4060-A5E4-85D957218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2A14EB3F-5183-4DFF-9CF0-FF6937A40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89C04F4E-7354-4D81-B0B3-4ACC9AAD19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4E78D32A-192A-4B6E-8004-15C4FAC63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8AB20510-0427-44F0-B0BA-FBA4325D4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92263C53-9FC8-4155-9893-228AEF8F81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798CA98E-DC84-40A0-B0CC-5B30830C1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29D9C2B5-6DDE-4C15-9A6E-C1A85201D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E483AC9E-8EC8-4600-A507-B7502DBF0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2E4DEAF8-4C10-423C-9448-D77F954A74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1C100E3F-6482-44F7-9394-6A47A843E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8E74D376-8223-4E96-A385-4B55ADE37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88C739AB-A09F-4582-B0C8-8847EBC5DE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66485625-80DC-4F46-B7D8-0DA9CC1E4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F8D58823-C953-4155-8172-5AAC62851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B5F8E7ED-48AC-4438-994C-8023C169A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F305710C-EA67-4E2D-9BAE-82E79F875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781A0563-8D7E-4892-84AC-2156713D6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78E84900-C7E5-4416-AA7D-1149FA2FF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BF620D7F-D171-4B4B-9649-556C497B1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9BA1485-5107-4FA3-B4AE-CA991F9AE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75AB3479-80E1-43C8-811B-ED12F93557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9C88D793-7A1B-4C97-B496-AA5503AEC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A052959A-77F2-465D-98D6-C6710EA35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57EAE747-8E45-4250-8899-814A3DBC0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B587E846-3BDD-4B05-B14C-54419D8894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E26FFED-B0D9-42B4-940F-630C8B2F8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9E1731C9-3D62-4053-9D41-40FBB312E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85912EC-E95A-4859-975D-87E05D35A5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9884232F-61B8-4FE9-A3C3-40CA91EDD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22FAA1E4-D7E5-41B0-803F-4DB4F06A5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B2C9F58B-6A28-4424-9706-83C7456727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778512A2-C788-4C29-8426-FBBFAE906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E07855FF-26A3-42BD-A0E8-4AE931226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ED2C0139-9342-48C5-ACFE-DE6659C7D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19156085-82A5-437E-9657-1AB1DD9DA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89C1CC39-5574-4925-9DF0-669EB54F0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6536B9DE-6F22-4E0D-A25A-3BAA0DEAF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7C1987D6-DCF1-448E-A889-9B04E82E4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2E879CD1-37DC-41C9-92F4-43A0B3D85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89418070-6B63-4D92-97CA-C388B8DE10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229D5065-0D04-4FE1-A50B-102E84C7C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FF8A8CEB-5627-44DD-943C-8BF78CA1C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6A89019-6ACD-44B4-A0A4-59D985ACB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4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DF2097FE-E6A9-4675-B7E6-A3BE10A6F1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D1A573A8-BC15-420E-A076-44EFBECE6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22309D9E-7311-4E34-A4C1-D7C3C9FF8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A5C5E01E-D2B4-453E-A06E-66D5E5565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C96C9807-ED51-4201-B0BC-CFB6EE791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C0379CFA-1FDF-40A0-8CDF-17001D2AA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C2FEBAC-81EE-4612-A4D8-A58812DAF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4E8A5989-9D03-4ABB-9A28-4FA334B5A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8AB673BB-5E11-4BB0-9587-676A45AE6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3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EDEE8275-0430-4D60-80CF-3CB8E49F8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0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B17CDE9C-6096-4709-9005-ADFB4CAE66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9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1082E24D-88CF-421B-BA4F-9CDE2BBA43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F65389EB-7D25-4245-B302-88EFED5842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2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20A1BB0F-3793-452F-99DA-6031F1057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6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782C4725-F29B-4FBE-BAF1-97BCF4167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0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65355A96-B61D-436F-92CC-7F98625F7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7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4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73142D6C-D64F-4EAB-BA82-0591B71F8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9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6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45BCC38D-280A-4C35-A51D-21D772734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3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7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4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2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id, Imtiaz" refreshedDate="44808.833810416669" createdVersion="7" refreshedVersion="7" minRefreshableVersion="3" recordCount="3293" xr:uid="{C9EFF36E-D01A-4787-94F3-A1E48259E3C2}">
  <cacheSource type="worksheet">
    <worksheetSource ref="A1:AE3294" sheet="ES 110-Total Population"/>
  </cacheSource>
  <cacheFields count="33">
    <cacheField name="Cleared/open items symbol" numFmtId="0">
      <sharedItems/>
    </cacheField>
    <cacheField name="G/L Account" numFmtId="0">
      <sharedItems/>
    </cacheField>
    <cacheField name="Document Number" numFmtId="0">
      <sharedItems/>
    </cacheField>
    <cacheField name="Posting Date" numFmtId="14">
      <sharedItems containsSemiMixedTypes="0" containsNonDate="0" containsDate="1" containsString="0" minDate="2020-07-02T00:00:00" maxDate="2021-07-01T00:00:00" count="322">
        <d v="2020-07-04T00:00:00"/>
        <d v="2020-07-30T00:00:00"/>
        <d v="2020-07-19T00:00:00"/>
        <d v="2020-11-18T00:00:00"/>
        <d v="2020-12-15T00:00:00"/>
        <d v="2021-03-07T00:00:00"/>
        <d v="2020-11-16T00:00:00"/>
        <d v="2020-10-19T00:00:00"/>
        <d v="2020-07-29T00:00:00"/>
        <d v="2020-12-24T00:00:00"/>
        <d v="2021-06-20T00:00:00"/>
        <d v="2020-07-12T00:00:00"/>
        <d v="2020-10-10T00:00:00"/>
        <d v="2020-10-22T00:00:00"/>
        <d v="2020-11-25T00:00:00"/>
        <d v="2021-05-04T00:00:00"/>
        <d v="2021-02-26T00:00:00"/>
        <d v="2021-05-23T00:00:00"/>
        <d v="2020-11-05T00:00:00"/>
        <d v="2020-12-16T00:00:00"/>
        <d v="2021-05-14T00:00:00"/>
        <d v="2021-05-01T00:00:00"/>
        <d v="2020-12-02T00:00:00"/>
        <d v="2020-10-31T00:00:00"/>
        <d v="2020-08-10T00:00:00"/>
        <d v="2020-10-07T00:00:00"/>
        <d v="2020-12-07T00:00:00"/>
        <d v="2020-11-30T00:00:00"/>
        <d v="2021-05-30T00:00:00"/>
        <d v="2021-05-16T00:00:00"/>
        <d v="2021-02-18T00:00:00"/>
        <d v="2020-10-18T00:00:00"/>
        <d v="2021-05-27T00:00:00"/>
        <d v="2020-08-21T00:00:00"/>
        <d v="2020-11-23T00:00:00"/>
        <d v="2021-01-20T00:00:00"/>
        <d v="2020-09-29T00:00:00"/>
        <d v="2020-07-17T00:00:00"/>
        <d v="2020-07-18T00:00:00"/>
        <d v="2021-06-27T00:00:00"/>
        <d v="2020-09-08T00:00:00"/>
        <d v="2020-07-26T00:00:00"/>
        <d v="2021-01-14T00:00:00"/>
        <d v="2021-05-17T00:00:00"/>
        <d v="2021-01-28T00:00:00"/>
        <d v="2020-09-09T00:00:00"/>
        <d v="2021-02-07T00:00:00"/>
        <d v="2020-07-16T00:00:00"/>
        <d v="2021-04-20T00:00:00"/>
        <d v="2021-04-24T00:00:00"/>
        <d v="2020-12-06T00:00:00"/>
        <d v="2021-05-08T00:00:00"/>
        <d v="2021-01-10T00:00:00"/>
        <d v="2020-07-22T00:00:00"/>
        <d v="2020-11-09T00:00:00"/>
        <d v="2020-08-19T00:00:00"/>
        <d v="2021-05-13T00:00:00"/>
        <d v="2021-03-18T00:00:00"/>
        <d v="2020-10-12T00:00:00"/>
        <d v="2020-08-17T00:00:00"/>
        <d v="2020-08-25T00:00:00"/>
        <d v="2021-06-25T00:00:00"/>
        <d v="2021-01-18T00:00:00"/>
        <d v="2020-09-24T00:00:00"/>
        <d v="2021-05-12T00:00:00"/>
        <d v="2020-11-11T00:00:00"/>
        <d v="2021-02-12T00:00:00"/>
        <d v="2020-10-27T00:00:00"/>
        <d v="2021-06-15T00:00:00"/>
        <d v="2020-12-29T00:00:00"/>
        <d v="2020-12-27T00:00:00"/>
        <d v="2021-04-28T00:00:00"/>
        <d v="2021-02-16T00:00:00"/>
        <d v="2021-02-08T00:00:00"/>
        <d v="2021-01-12T00:00:00"/>
        <d v="2021-06-17T00:00:00"/>
        <d v="2020-11-19T00:00:00"/>
        <d v="2020-09-06T00:00:00"/>
        <d v="2020-10-04T00:00:00"/>
        <d v="2020-12-18T00:00:00"/>
        <d v="2021-04-18T00:00:00"/>
        <d v="2020-09-16T00:00:00"/>
        <d v="2020-09-22T00:00:00"/>
        <d v="2021-03-30T00:00:00"/>
        <d v="2020-08-05T00:00:00"/>
        <d v="2021-01-25T00:00:00"/>
        <d v="2021-06-14T00:00:00"/>
        <d v="2021-01-16T00:00:00"/>
        <d v="2021-06-11T00:00:00"/>
        <d v="2021-03-21T00:00:00"/>
        <d v="2020-11-12T00:00:00"/>
        <d v="2020-11-10T00:00:00"/>
        <d v="2020-11-22T00:00:00"/>
        <d v="2021-06-29T00:00:00"/>
        <d v="2021-05-07T00:00:00"/>
        <d v="2020-10-26T00:00:00"/>
        <d v="2021-03-13T00:00:00"/>
        <d v="2020-10-09T00:00:00"/>
        <d v="2020-10-21T00:00:00"/>
        <d v="2021-02-11T00:00:00"/>
        <d v="2020-08-07T00:00:00"/>
        <d v="2021-03-28T00:00:00"/>
        <d v="2021-03-15T00:00:00"/>
        <d v="2021-06-18T00:00:00"/>
        <d v="2021-06-23T00:00:00"/>
        <d v="2020-07-13T00:00:00"/>
        <d v="2021-03-10T00:00:00"/>
        <d v="2021-04-13T00:00:00"/>
        <d v="2021-04-11T00:00:00"/>
        <d v="2020-09-05T00:00:00"/>
        <d v="2020-11-08T00:00:00"/>
        <d v="2021-03-11T00:00:00"/>
        <d v="2021-03-24T00:00:00"/>
        <d v="2020-07-02T00:00:00"/>
        <d v="2021-05-25T00:00:00"/>
        <d v="2020-11-15T00:00:00"/>
        <d v="2021-03-05T00:00:00"/>
        <d v="2020-07-11T00:00:00"/>
        <d v="2021-03-27T00:00:00"/>
        <d v="2021-05-24T00:00:00"/>
        <d v="2020-08-26T00:00:00"/>
        <d v="2020-09-11T00:00:00"/>
        <d v="2021-03-04T00:00:00"/>
        <d v="2020-08-23T00:00:00"/>
        <d v="2020-08-30T00:00:00"/>
        <d v="2021-04-17T00:00:00"/>
        <d v="2021-01-13T00:00:00"/>
        <d v="2021-06-04T00:00:00"/>
        <d v="2020-07-06T00:00:00"/>
        <d v="2021-02-13T00:00:00"/>
        <d v="2020-08-20T00:00:00"/>
        <d v="2020-08-22T00:00:00"/>
        <d v="2021-02-10T00:00:00"/>
        <d v="2020-09-21T00:00:00"/>
        <d v="2020-12-31T00:00:00"/>
        <d v="2020-07-03T00:00:00"/>
        <d v="2020-07-09T00:00:00"/>
        <d v="2021-01-05T00:00:00"/>
        <d v="2021-03-17T00:00:00"/>
        <d v="2020-07-27T00:00:00"/>
        <d v="2021-03-14T00:00:00"/>
        <d v="2021-03-25T00:00:00"/>
        <d v="2020-11-14T00:00:00"/>
        <d v="2021-01-31T00:00:00"/>
        <d v="2021-04-01T00:00:00"/>
        <d v="2021-03-06T00:00:00"/>
        <d v="2020-11-02T00:00:00"/>
        <d v="2020-07-31T00:00:00"/>
        <d v="2021-01-15T00:00:00"/>
        <d v="2020-10-06T00:00:00"/>
        <d v="2021-06-01T00:00:00"/>
        <d v="2020-09-23T00:00:00"/>
        <d v="2021-06-07T00:00:00"/>
        <d v="2020-11-28T00:00:00"/>
        <d v="2020-10-03T00:00:00"/>
        <d v="2020-12-17T00:00:00"/>
        <d v="2021-06-08T00:00:00"/>
        <d v="2021-05-19T00:00:00"/>
        <d v="2021-02-28T00:00:00"/>
        <d v="2020-09-20T00:00:00"/>
        <d v="2020-10-01T00:00:00"/>
        <d v="2020-09-26T00:00:00"/>
        <d v="2021-05-15T00:00:00"/>
        <d v="2021-06-26T00:00:00"/>
        <d v="2020-11-24T00:00:00"/>
        <d v="2021-01-02T00:00:00"/>
        <d v="2020-09-27T00:00:00"/>
        <d v="2021-03-09T00:00:00"/>
        <d v="2020-09-17T00:00:00"/>
        <d v="2020-09-10T00:00:00"/>
        <d v="2021-06-24T00:00:00"/>
        <d v="2021-03-01T00:00:00"/>
        <d v="2020-11-01T00:00:00"/>
        <d v="2021-02-27T00:00:00"/>
        <d v="2021-02-03T00:00:00"/>
        <d v="2021-04-30T00:00:00"/>
        <d v="2021-06-19T00:00:00"/>
        <d v="2021-03-23T00:00:00"/>
        <d v="2020-12-23T00:00:00"/>
        <d v="2021-01-07T00:00:00"/>
        <d v="2021-03-02T00:00:00"/>
        <d v="2021-01-19T00:00:00"/>
        <d v="2020-10-13T00:00:00"/>
        <d v="2021-03-29T00:00:00"/>
        <d v="2020-09-30T00:00:00"/>
        <d v="2020-07-28T00:00:00"/>
        <d v="2020-11-20T00:00:00"/>
        <d v="2020-12-12T00:00:00"/>
        <d v="2021-01-01T00:00:00"/>
        <d v="2021-03-26T00:00:00"/>
        <d v="2020-09-19T00:00:00"/>
        <d v="2021-03-08T00:00:00"/>
        <d v="2021-04-25T00:00:00"/>
        <d v="2020-12-03T00:00:00"/>
        <d v="2021-05-21T00:00:00"/>
        <d v="2021-06-28T00:00:00"/>
        <d v="2021-06-05T00:00:00"/>
        <d v="2021-01-23T00:00:00"/>
        <d v="2021-04-02T00:00:00"/>
        <d v="2020-10-15T00:00:00"/>
        <d v="2020-09-25T00:00:00"/>
        <d v="2020-10-28T00:00:00"/>
        <d v="2021-06-06T00:00:00"/>
        <d v="2021-02-02T00:00:00"/>
        <d v="2020-12-09T00:00:00"/>
        <d v="2021-05-28T00:00:00"/>
        <d v="2021-06-12T00:00:00"/>
        <d v="2020-09-03T00:00:00"/>
        <d v="2021-02-04T00:00:00"/>
        <d v="2020-08-27T00:00:00"/>
        <d v="2020-07-08T00:00:00"/>
        <d v="2021-01-03T00:00:00"/>
        <d v="2021-06-02T00:00:00"/>
        <d v="2020-10-11T00:00:00"/>
        <d v="2020-12-01T00:00:00"/>
        <d v="2020-08-31T00:00:00"/>
        <d v="2020-07-20T00:00:00"/>
        <d v="2021-03-22T00:00:00"/>
        <d v="2020-11-29T00:00:00"/>
        <d v="2021-06-21T00:00:00"/>
        <d v="2021-04-08T00:00:00"/>
        <d v="2020-11-06T00:00:00"/>
        <d v="2021-04-16T00:00:00"/>
        <d v="2020-10-14T00:00:00"/>
        <d v="2020-12-30T00:00:00"/>
        <d v="2020-12-08T00:00:00"/>
        <d v="2020-08-24T00:00:00"/>
        <d v="2020-09-13T00:00:00"/>
        <d v="2021-03-12T00:00:00"/>
        <d v="2020-08-03T00:00:00"/>
        <d v="2020-12-14T00:00:00"/>
        <d v="2021-02-22T00:00:00"/>
        <d v="2021-04-21T00:00:00"/>
        <d v="2021-02-20T00:00:00"/>
        <d v="2020-08-14T00:00:00"/>
        <d v="2020-10-29T00:00:00"/>
        <d v="2020-10-24T00:00:00"/>
        <d v="2021-01-17T00:00:00"/>
        <d v="2021-04-10T00:00:00"/>
        <d v="2021-05-09T00:00:00"/>
        <d v="2020-11-13T00:00:00"/>
        <d v="2021-05-05T00:00:00"/>
        <d v="2021-03-31T00:00:00"/>
        <d v="2020-11-17T00:00:00"/>
        <d v="2021-06-13T00:00:00"/>
        <d v="2020-12-19T00:00:00"/>
        <d v="2020-09-28T00:00:00"/>
        <d v="2021-06-22T00:00:00"/>
        <d v="2020-09-15T00:00:00"/>
        <d v="2020-09-18T00:00:00"/>
        <d v="2021-01-24T00:00:00"/>
        <d v="2021-01-06T00:00:00"/>
        <d v="2021-06-03T00:00:00"/>
        <d v="2020-11-07T00:00:00"/>
        <d v="2020-12-13T00:00:00"/>
        <d v="2021-05-31T00:00:00"/>
        <d v="2020-09-04T00:00:00"/>
        <d v="2021-04-06T00:00:00"/>
        <d v="2021-01-22T00:00:00"/>
        <d v="2021-04-22T00:00:00"/>
        <d v="2021-06-09T00:00:00"/>
        <d v="2020-07-05T00:00:00"/>
        <d v="2021-01-09T00:00:00"/>
        <d v="2021-04-12T00:00:00"/>
        <d v="2020-10-25T00:00:00"/>
        <d v="2020-11-21T00:00:00"/>
        <d v="2021-05-22T00:00:00"/>
        <d v="2020-12-22T00:00:00"/>
        <d v="2020-12-11T00:00:00"/>
        <d v="2020-07-15T00:00:00"/>
        <d v="2020-09-14T00:00:00"/>
        <d v="2020-09-12T00:00:00"/>
        <d v="2021-02-23T00:00:00"/>
        <d v="2020-12-21T00:00:00"/>
        <d v="2020-07-24T00:00:00"/>
        <d v="2020-07-14T00:00:00"/>
        <d v="2021-02-21T00:00:00"/>
        <d v="2020-11-27T00:00:00"/>
        <d v="2021-06-16T00:00:00"/>
        <d v="2020-11-26T00:00:00"/>
        <d v="2020-12-10T00:00:00"/>
        <d v="2020-10-23T00:00:00"/>
        <d v="2021-04-03T00:00:00"/>
        <d v="2020-11-04T00:00:00"/>
        <d v="2021-01-27T00:00:00"/>
        <d v="2021-02-09T00:00:00"/>
        <d v="2020-10-30T00:00:00"/>
        <d v="2021-05-18T00:00:00"/>
        <d v="2021-02-15T00:00:00"/>
        <d v="2020-08-29T00:00:00"/>
        <d v="2020-09-02T00:00:00"/>
        <d v="2021-01-11T00:00:00"/>
        <d v="2021-03-16T00:00:00"/>
        <d v="2020-12-20T00:00:00"/>
        <d v="2021-04-14T00:00:00"/>
        <d v="2020-07-21T00:00:00"/>
        <d v="2021-06-30T00:00:00"/>
        <d v="2021-04-05T00:00:00"/>
        <d v="2020-09-01T00:00:00"/>
        <d v="2021-02-01T00:00:00"/>
        <d v="2020-12-26T00:00:00"/>
        <d v="2021-03-20T00:00:00"/>
        <d v="2021-01-26T00:00:00"/>
        <d v="2021-01-29T00:00:00"/>
        <d v="2020-11-03T00:00:00"/>
        <d v="2020-08-18T00:00:00"/>
        <d v="2021-05-02T00:00:00"/>
        <d v="2021-04-07T00:00:00"/>
        <d v="2021-05-29T00:00:00"/>
        <d v="2021-03-19T00:00:00"/>
        <d v="2021-06-10T00:00:00"/>
        <d v="2020-12-04T00:00:00"/>
        <d v="2020-08-16T00:00:00"/>
        <d v="2021-05-10T00:00:00"/>
        <d v="2020-10-16T00:00:00"/>
        <d v="2021-05-11T00:00:00"/>
        <d v="2021-04-04T00:00:00"/>
        <d v="2021-05-03T00:00:00"/>
        <d v="2020-12-25T00:00:00"/>
        <d v="2021-04-29T00:00:00"/>
        <d v="2020-08-12T00:00:00"/>
        <d v="2021-02-06T00:00:00"/>
      </sharedItems>
      <fieldGroup par="32" base="3">
        <rangePr groupBy="months" startDate="2020-07-02T00:00:00" endDate="2021-07-01T00:00:00"/>
        <groupItems count="14">
          <s v="&lt;7/2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1"/>
        </groupItems>
      </fieldGroup>
    </cacheField>
    <cacheField name="Document Date" numFmtId="14">
      <sharedItems containsSemiMixedTypes="0" containsNonDate="0" containsDate="1" containsString="0" minDate="2020-07-02T00:00:00" maxDate="2021-07-01T00:00:00"/>
    </cacheField>
    <cacheField name="Entry Date" numFmtId="14">
      <sharedItems containsSemiMixedTypes="0" containsNonDate="0" containsDate="1" containsString="0" minDate="2020-07-06T00:00:00" maxDate="2021-07-08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356400.32" maxValue="-3"/>
    </cacheField>
    <cacheField name="Eff.exchange rate" numFmtId="0">
      <sharedItems/>
    </cacheField>
    <cacheField name="Local Currency" numFmtId="0">
      <sharedItems/>
    </cacheField>
    <cacheField name="Amount in local currency" numFmtId="4">
      <sharedItems containsSemiMixedTypes="0" containsString="0" containsNumber="1" minValue="-29919806.859999999" maxValue="-251.85"/>
    </cacheField>
    <cacheField name="Amount in loc.curr.2" numFmtId="4">
      <sharedItems containsSemiMixedTypes="0" containsString="0" containsNumber="1" minValue="-356400.32" maxValue="-3"/>
    </cacheField>
    <cacheField name="Reversal Formula" numFmtId="0">
      <sharedItems/>
    </cacheField>
    <cacheField name="Reversal Formula Result" numFmtId="0">
      <sharedItems/>
    </cacheField>
    <cacheField name="Reference" numFmtId="0">
      <sharedItems/>
    </cacheField>
    <cacheField name="Assignment" numFmtId="0">
      <sharedItems/>
    </cacheField>
    <cacheField name="Text/CI No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Clearing Document" numFmtId="0">
      <sharedItems/>
    </cacheField>
    <cacheField name="Clearing date" numFmtId="14">
      <sharedItems containsNonDate="0" containsString="0" containsBlank="1"/>
    </cacheField>
    <cacheField name="Billing Document" numFmtId="0">
      <sharedItems/>
    </cacheField>
    <cacheField name="Buyer Description" numFmtId="0">
      <sharedItems/>
    </cacheField>
    <cacheField name="Sales document" numFmtId="0">
      <sharedItems/>
    </cacheField>
    <cacheField name="Withholding tax amnt" numFmtId="4">
      <sharedItems containsSemiMixedTypes="0" containsString="0" containsNumber="1" containsInteger="1" minValue="0" maxValue="0"/>
    </cacheField>
    <cacheField name="Quarters" numFmtId="0" databaseField="0">
      <fieldGroup base="3">
        <rangePr groupBy="quarters" startDate="2020-07-02T00:00:00" endDate="2021-07-01T00:00:00"/>
        <groupItems count="6">
          <s v="&lt;7/2/2020"/>
          <s v="Qtr1"/>
          <s v="Qtr2"/>
          <s v="Qtr3"/>
          <s v="Qtr4"/>
          <s v="&gt;7/1/2021"/>
        </groupItems>
      </fieldGroup>
    </cacheField>
    <cacheField name="Years" numFmtId="0" databaseField="0">
      <fieldGroup base="3">
        <rangePr groupBy="years" startDate="2020-07-02T00:00:00" endDate="2021-07-01T00:00:00"/>
        <groupItems count="4">
          <s v="&lt;7/2/2020"/>
          <s v="2020"/>
          <s v="2021"/>
          <s v="&gt;7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3">
  <r>
    <s v=""/>
    <s v="40101001"/>
    <s v="2018000003"/>
    <x v="0"/>
    <d v="2020-07-04T00:00:00"/>
    <d v="2020-07-06T00:00:00"/>
    <s v="RV"/>
    <s v="USD"/>
    <n v="-356400.32"/>
    <s v="83.95000"/>
    <s v="BDT"/>
    <n v="-29919806.859999999"/>
    <n v="-356400.32"/>
    <s v="356400.32_1"/>
    <s v=""/>
    <s v="C3093UQ20TOK0589"/>
    <s v="20200704"/>
    <s v=""/>
    <s v=""/>
    <s v="0"/>
    <s v=""/>
    <s v=""/>
    <s v=""/>
    <s v=""/>
    <s v="2010100001"/>
    <s v=""/>
    <m/>
    <s v=""/>
    <s v=""/>
    <s v=""/>
    <n v="0"/>
  </r>
  <r>
    <s v=""/>
    <s v="40101001"/>
    <s v="2018000126"/>
    <x v="1"/>
    <d v="2020-07-30T00:00:00"/>
    <d v="2020-08-12T00:00:00"/>
    <s v="RV"/>
    <s v="USD"/>
    <n v="-324151.96000000002"/>
    <s v="83.95000"/>
    <s v="BDT"/>
    <n v="-27212557.039999999"/>
    <n v="-324151.96000000002"/>
    <s v="324151.96_1"/>
    <s v=""/>
    <s v="C3128UQ20TOK0721"/>
    <s v="20200730"/>
    <s v=""/>
    <s v=""/>
    <s v="0"/>
    <s v=""/>
    <s v=""/>
    <s v=""/>
    <s v=""/>
    <s v="2010100001"/>
    <s v=""/>
    <m/>
    <s v=""/>
    <s v=""/>
    <s v=""/>
    <n v="0"/>
  </r>
  <r>
    <s v=""/>
    <s v="40101001"/>
    <s v="2018000057"/>
    <x v="2"/>
    <d v="2020-07-19T00:00:00"/>
    <d v="2020-07-22T00:00:00"/>
    <s v="RV"/>
    <s v="USD"/>
    <n v="-322013.68"/>
    <s v="83.95000"/>
    <s v="BDT"/>
    <n v="-27033048.440000001"/>
    <n v="-322013.68"/>
    <s v="322013.68_1"/>
    <s v=""/>
    <s v="C3128UQ20OSA0629"/>
    <s v="20200719"/>
    <s v=""/>
    <s v=""/>
    <s v="0"/>
    <s v=""/>
    <s v=""/>
    <s v=""/>
    <s v=""/>
    <s v="2010100001"/>
    <s v=""/>
    <m/>
    <s v=""/>
    <s v=""/>
    <s v=""/>
    <n v="0"/>
  </r>
  <r>
    <s v=""/>
    <s v="40101001"/>
    <s v="2018000056"/>
    <x v="2"/>
    <d v="2020-07-19T00:00:00"/>
    <d v="2020-07-22T00:00:00"/>
    <s v="RV"/>
    <s v="USD"/>
    <n v="-320684.23"/>
    <s v="83.95000"/>
    <s v="BDT"/>
    <n v="-26921441.109999999"/>
    <n v="-320684.23"/>
    <s v="320684.23_1"/>
    <s v=""/>
    <s v="C3121UQ20TOK0630"/>
    <s v="20200719"/>
    <s v=""/>
    <s v=""/>
    <s v="0"/>
    <s v=""/>
    <s v=""/>
    <s v=""/>
    <s v=""/>
    <s v="2010100001"/>
    <s v=""/>
    <m/>
    <s v=""/>
    <s v=""/>
    <s v=""/>
    <n v="0"/>
  </r>
  <r>
    <s v=""/>
    <s v="40101001"/>
    <s v="2018000526"/>
    <x v="3"/>
    <d v="2020-11-18T00:00:00"/>
    <d v="2020-11-24T00:00:00"/>
    <s v="RV"/>
    <s v="USD"/>
    <n v="-294806.7"/>
    <s v="83.95000"/>
    <s v="BDT"/>
    <n v="-24749022.469999999"/>
    <n v="-294806.7"/>
    <s v="294806.7_1"/>
    <s v=""/>
    <s v="C3215UQ20TOK1131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652"/>
    <x v="4"/>
    <d v="2020-12-15T00:00:00"/>
    <d v="2020-12-20T00:00:00"/>
    <s v="RV"/>
    <s v="USD"/>
    <n v="-253328.52"/>
    <s v="83.95000"/>
    <s v="BDT"/>
    <n v="-21266929.260000002"/>
    <n v="-253328.52"/>
    <s v="253328.52_1"/>
    <s v=""/>
    <s v="C3168UQ20TOK1291"/>
    <s v="20201215"/>
    <s v=""/>
    <s v=""/>
    <s v="0"/>
    <s v=""/>
    <s v=""/>
    <s v=""/>
    <s v=""/>
    <s v="2010100001"/>
    <s v=""/>
    <m/>
    <s v=""/>
    <s v=""/>
    <s v=""/>
    <n v="0"/>
  </r>
  <r>
    <s v=""/>
    <s v="40101001"/>
    <s v="2018001047"/>
    <x v="5"/>
    <d v="2021-03-07T00:00:00"/>
    <d v="2021-03-11T00:00:00"/>
    <s v="RV"/>
    <s v="USD"/>
    <n v="-252070.96"/>
    <s v="83.95000"/>
    <s v="BDT"/>
    <n v="-21161357.09"/>
    <n v="-252070.96"/>
    <s v="252070.96_1"/>
    <s v=""/>
    <s v="C3254UQ21TOK0276"/>
    <s v="20210307"/>
    <s v=""/>
    <s v=""/>
    <s v="0"/>
    <s v=""/>
    <s v=""/>
    <s v=""/>
    <s v=""/>
    <s v="2010100001"/>
    <s v=""/>
    <m/>
    <s v=""/>
    <s v=""/>
    <s v=""/>
    <n v="0"/>
  </r>
  <r>
    <s v=""/>
    <s v="40101001"/>
    <s v="2018000512"/>
    <x v="6"/>
    <d v="2020-11-16T00:00:00"/>
    <d v="2020-11-21T00:00:00"/>
    <s v="RV"/>
    <s v="USD"/>
    <n v="-244933.05"/>
    <s v="83.95000"/>
    <s v="BDT"/>
    <n v="-20562129.550000001"/>
    <n v="-244933.05"/>
    <s v="244933.05_1"/>
    <s v=""/>
    <s v="C3207UQ20OSA1144"/>
    <s v="20201116"/>
    <s v=""/>
    <s v=""/>
    <s v="0"/>
    <s v=""/>
    <s v=""/>
    <s v=""/>
    <s v=""/>
    <s v="2010100001"/>
    <s v=""/>
    <m/>
    <s v=""/>
    <s v=""/>
    <s v=""/>
    <n v="0"/>
  </r>
  <r>
    <s v=""/>
    <s v="40101001"/>
    <s v="2018000345"/>
    <x v="7"/>
    <d v="2020-10-19T00:00:00"/>
    <d v="2020-10-22T00:00:00"/>
    <s v="RV"/>
    <s v="USD"/>
    <n v="-221762.05"/>
    <s v="83.95000"/>
    <s v="BDT"/>
    <n v="-18616924.100000001"/>
    <n v="-221762.05"/>
    <s v="221762.05_1"/>
    <s v=""/>
    <s v="C03170US20-0960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112"/>
    <x v="8"/>
    <d v="2020-07-29T00:00:00"/>
    <d v="2020-08-10T00:00:00"/>
    <s v="RV"/>
    <s v="USD"/>
    <n v="-219665.11"/>
    <s v="83.95000"/>
    <s v="BDT"/>
    <n v="-18440885.98"/>
    <n v="-219665.11"/>
    <s v="219665.11_1"/>
    <s v=""/>
    <s v="C3128UQ20TOK0701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0703"/>
    <x v="9"/>
    <d v="2020-12-24T00:00:00"/>
    <d v="2020-12-29T00:00:00"/>
    <s v="RV"/>
    <s v="USD"/>
    <n v="-219185.1"/>
    <s v="83.95000"/>
    <s v="BDT"/>
    <n v="-18400589.140000001"/>
    <n v="-219185.1"/>
    <s v="219185.1_1"/>
    <s v=""/>
    <s v="C3234UQ20TOK1324"/>
    <s v="20201224"/>
    <s v=""/>
    <s v=""/>
    <s v="0"/>
    <s v=""/>
    <s v=""/>
    <s v=""/>
    <s v=""/>
    <s v="2010100001"/>
    <s v=""/>
    <m/>
    <s v=""/>
    <s v=""/>
    <s v=""/>
    <n v="0"/>
  </r>
  <r>
    <s v=""/>
    <s v="40101013"/>
    <s v="2008000348"/>
    <x v="10"/>
    <d v="2021-06-20T00:00:00"/>
    <d v="2021-07-05T00:00:00"/>
    <s v="DR"/>
    <s v="USD"/>
    <n v="-216303.7"/>
    <s v="83.95000"/>
    <s v="BDT"/>
    <n v="-18158695.620000001"/>
    <n v="-216303.7"/>
    <s v="216303.7_1"/>
    <s v=""/>
    <s v="CIPL-GTL-005-21"/>
    <s v="CIPL-GTL-005-21"/>
    <s v="SUBCON INCOME FROM GTL-GTL1-00944"/>
    <s v=""/>
    <s v="0"/>
    <s v="SUBCON INCOME"/>
    <s v=""/>
    <s v=""/>
    <s v=""/>
    <s v="2010100001"/>
    <s v=""/>
    <m/>
    <s v=""/>
    <s v=""/>
    <s v=""/>
    <n v="0"/>
  </r>
  <r>
    <s v=""/>
    <s v="40101001"/>
    <s v="2018000021"/>
    <x v="11"/>
    <d v="2020-07-12T00:00:00"/>
    <d v="2020-07-16T00:00:00"/>
    <s v="RV"/>
    <s v="USD"/>
    <n v="-215134.85"/>
    <s v="83.95000"/>
    <s v="BDT"/>
    <n v="-18060570.66"/>
    <n v="-215134.85"/>
    <s v="215134.85_1"/>
    <s v=""/>
    <s v="C3121UQ20TOK0600"/>
    <s v="20200712"/>
    <s v=""/>
    <s v=""/>
    <s v="0"/>
    <s v=""/>
    <s v=""/>
    <s v=""/>
    <s v=""/>
    <s v="2010100001"/>
    <s v=""/>
    <m/>
    <s v=""/>
    <s v=""/>
    <s v=""/>
    <n v="0"/>
  </r>
  <r>
    <s v=""/>
    <s v="40101001"/>
    <s v="2018000107"/>
    <x v="8"/>
    <d v="2020-07-29T00:00:00"/>
    <d v="2020-08-10T00:00:00"/>
    <s v="RV"/>
    <s v="USD"/>
    <n v="-214789.47"/>
    <s v="83.95000"/>
    <s v="BDT"/>
    <n v="-18031576.010000002"/>
    <n v="-214789.47"/>
    <s v="214789.47_1"/>
    <s v=""/>
    <s v="C3093UQ20TOK0702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0320"/>
    <x v="12"/>
    <d v="2020-10-10T00:00:00"/>
    <d v="2020-10-14T00:00:00"/>
    <s v="RV"/>
    <s v="USD"/>
    <n v="-210041.09"/>
    <s v="83.95000"/>
    <s v="BDT"/>
    <n v="-17632949.510000002"/>
    <n v="-210041.09"/>
    <s v="210041.09_1"/>
    <s v=""/>
    <s v="C03170US20-0926"/>
    <s v="20201010"/>
    <s v=""/>
    <s v=""/>
    <s v="0"/>
    <s v=""/>
    <s v=""/>
    <s v=""/>
    <s v=""/>
    <s v="2010100001"/>
    <s v=""/>
    <m/>
    <s v=""/>
    <s v=""/>
    <s v=""/>
    <n v="0"/>
  </r>
  <r>
    <s v=""/>
    <s v="40101001"/>
    <s v="2018000355"/>
    <x v="13"/>
    <d v="2020-10-22T00:00:00"/>
    <d v="2020-10-26T00:00:00"/>
    <s v="RV"/>
    <s v="USD"/>
    <n v="-199993.89"/>
    <s v="83.95000"/>
    <s v="BDT"/>
    <n v="-16789487.059999999"/>
    <n v="-199993.89"/>
    <s v="199993.89_1"/>
    <s v=""/>
    <s v="C03170US20-0962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0563"/>
    <x v="14"/>
    <d v="2020-11-25T00:00:00"/>
    <d v="2020-11-30T00:00:00"/>
    <s v="RV"/>
    <s v="USD"/>
    <n v="-198156.32"/>
    <s v="83.95000"/>
    <s v="BDT"/>
    <n v="-16635223.060000001"/>
    <n v="-198156.32"/>
    <s v="198156.32_1"/>
    <s v=""/>
    <s v="C3168UQ20TOK1177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1318"/>
    <x v="15"/>
    <d v="2021-05-04T00:00:00"/>
    <d v="2021-05-12T00:00:00"/>
    <s v="RV"/>
    <s v="USD"/>
    <n v="-197669.24"/>
    <s v="83.95000"/>
    <s v="BDT"/>
    <n v="-16594332.699999999"/>
    <n v="-197669.24"/>
    <s v="197669.24_1"/>
    <s v=""/>
    <s v="C3316UQ21TOK0552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018"/>
    <x v="16"/>
    <d v="2021-02-26T00:00:00"/>
    <d v="2021-03-02T00:00:00"/>
    <s v="RV"/>
    <s v="USD"/>
    <n v="-193159.64"/>
    <s v="83.95000"/>
    <s v="BDT"/>
    <n v="-16215751.779999999"/>
    <n v="-193159.64"/>
    <s v="193159.64_1"/>
    <s v=""/>
    <s v="C3254UQ21OSA0265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420"/>
    <x v="17"/>
    <d v="2021-05-23T00:00:00"/>
    <d v="2021-05-29T00:00:00"/>
    <s v="RV"/>
    <s v="USD"/>
    <n v="-190719.49"/>
    <s v="83.95000"/>
    <s v="BDT"/>
    <n v="-16010901.18"/>
    <n v="-190719.49"/>
    <s v="190719.49_1"/>
    <s v=""/>
    <s v="C3316UQ21TOK0648"/>
    <s v="20210523"/>
    <s v=""/>
    <s v=""/>
    <s v="0"/>
    <s v=""/>
    <s v=""/>
    <s v=""/>
    <s v=""/>
    <s v="2010100001"/>
    <s v=""/>
    <m/>
    <s v=""/>
    <s v=""/>
    <s v=""/>
    <n v="0"/>
  </r>
  <r>
    <s v=""/>
    <s v="40101001"/>
    <s v="2018000430"/>
    <x v="18"/>
    <d v="2020-11-05T00:00:00"/>
    <d v="2020-11-10T00:00:00"/>
    <s v="RV"/>
    <s v="USD"/>
    <n v="-189641.28"/>
    <s v="83.95000"/>
    <s v="BDT"/>
    <n v="-15920385.460000001"/>
    <n v="-189641.28"/>
    <s v="189641.28_1"/>
    <s v=""/>
    <s v="C3159UQ20TOK0955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658"/>
    <x v="19"/>
    <d v="2020-12-16T00:00:00"/>
    <d v="2020-12-21T00:00:00"/>
    <s v="RV"/>
    <s v="USD"/>
    <n v="-183932.1"/>
    <s v="83.95000"/>
    <s v="BDT"/>
    <n v="-15441099.800000001"/>
    <n v="-183932.1"/>
    <s v="183932.1_1"/>
    <s v=""/>
    <s v="C3234UQ20OSA133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002"/>
    <x v="0"/>
    <d v="2020-07-04T00:00:00"/>
    <d v="2020-07-06T00:00:00"/>
    <s v="RV"/>
    <s v="USD"/>
    <n v="-179700.44"/>
    <s v="83.95000"/>
    <s v="BDT"/>
    <n v="-15085851.939999999"/>
    <n v="-179700.44"/>
    <s v="179700.44_1"/>
    <s v=""/>
    <s v="C3093UQ20OSA0588"/>
    <s v="20200704"/>
    <s v=""/>
    <s v=""/>
    <s v="0"/>
    <s v=""/>
    <s v=""/>
    <s v=""/>
    <s v=""/>
    <s v="2010100001"/>
    <s v=""/>
    <m/>
    <s v=""/>
    <s v=""/>
    <s v=""/>
    <n v="0"/>
  </r>
  <r>
    <s v=""/>
    <s v="40101001"/>
    <s v="2018001372"/>
    <x v="20"/>
    <d v="2021-05-14T00:00:00"/>
    <d v="2021-05-20T00:00:00"/>
    <s v="RV"/>
    <s v="USD"/>
    <n v="-178415.01"/>
    <s v="83.95000"/>
    <s v="BDT"/>
    <n v="-14977940.09"/>
    <n v="-178415.01"/>
    <s v="178415.01_1"/>
    <s v=""/>
    <s v="C3316UQ21OSA0632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1368"/>
    <x v="20"/>
    <d v="2021-05-14T00:00:00"/>
    <d v="2021-05-20T00:00:00"/>
    <s v="RV"/>
    <s v="USD"/>
    <n v="-178377.19"/>
    <s v="83.95000"/>
    <s v="BDT"/>
    <n v="-14974765.1"/>
    <n v="-178377.19"/>
    <s v="178377.19_1"/>
    <s v=""/>
    <s v="C3308UQ21TOK0631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1281"/>
    <x v="21"/>
    <d v="2021-05-01T00:00:00"/>
    <d v="2021-05-06T00:00:00"/>
    <s v="RV"/>
    <s v="USD"/>
    <n v="-177047.84"/>
    <s v="83.95000"/>
    <s v="BDT"/>
    <n v="-14863166.17"/>
    <n v="-177047.84"/>
    <s v="177047.84_1"/>
    <s v=""/>
    <s v="C3316UQ21OSA0500"/>
    <s v="20210501"/>
    <s v=""/>
    <s v=""/>
    <s v="0"/>
    <s v=""/>
    <s v=""/>
    <s v=""/>
    <s v=""/>
    <s v="2010100001"/>
    <s v=""/>
    <m/>
    <s v=""/>
    <s v=""/>
    <s v=""/>
    <n v="0"/>
  </r>
  <r>
    <s v=""/>
    <s v="40101001"/>
    <s v="2018000618"/>
    <x v="22"/>
    <d v="2020-12-02T00:00:00"/>
    <d v="2020-12-09T00:00:00"/>
    <s v="RV"/>
    <s v="USD"/>
    <n v="-173558.53"/>
    <s v="83.95000"/>
    <s v="BDT"/>
    <n v="-14570238.59"/>
    <n v="-173558.53"/>
    <s v="173558.53_1"/>
    <s v=""/>
    <s v="C3233UQ20TOK1245"/>
    <s v="20201202"/>
    <s v=""/>
    <s v=""/>
    <s v="0"/>
    <s v=""/>
    <s v=""/>
    <s v=""/>
    <s v=""/>
    <s v="2010100001"/>
    <s v=""/>
    <m/>
    <s v=""/>
    <s v=""/>
    <s v=""/>
    <n v="0"/>
  </r>
  <r>
    <s v=""/>
    <s v="40101013"/>
    <s v="2008000061"/>
    <x v="23"/>
    <d v="2020-10-31T00:00:00"/>
    <d v="2020-11-07T00:00:00"/>
    <s v="DR"/>
    <s v="USD"/>
    <n v="-168798.72"/>
    <s v="83.95000"/>
    <s v="BDT"/>
    <n v="-14170652.539999999"/>
    <n v="-168798.72"/>
    <s v="168798.72_1"/>
    <s v=""/>
    <s v="CIPL-GTL-003-20"/>
    <s v="CIPL-GTL-003-20"/>
    <s v="SUBCON INCOME FROM GTL FOR CUTTING &amp; SEWING"/>
    <s v=""/>
    <s v="0"/>
    <s v="SUBCON INCOME"/>
    <s v=""/>
    <s v=""/>
    <s v=""/>
    <s v=""/>
    <s v=""/>
    <m/>
    <s v=""/>
    <s v=""/>
    <s v=""/>
    <n v="0"/>
  </r>
  <r>
    <s v=""/>
    <s v="40101001"/>
    <s v="2018000142"/>
    <x v="24"/>
    <d v="2020-08-10T00:00:00"/>
    <d v="2020-08-16T00:00:00"/>
    <s v="RV"/>
    <s v="USD"/>
    <n v="-166244"/>
    <s v="83.95000"/>
    <s v="BDT"/>
    <n v="-13956183.800000001"/>
    <n v="-166244"/>
    <s v="166244_1"/>
    <s v=""/>
    <s v="C3085LVCA070320"/>
    <s v="20200810"/>
    <s v=""/>
    <s v=""/>
    <s v="0"/>
    <s v=""/>
    <s v=""/>
    <s v=""/>
    <s v=""/>
    <s v="2010100001"/>
    <s v=""/>
    <m/>
    <s v=""/>
    <s v=""/>
    <s v=""/>
    <n v="0"/>
  </r>
  <r>
    <s v=""/>
    <s v="40101001"/>
    <s v="2018000308"/>
    <x v="25"/>
    <d v="2020-10-07T00:00:00"/>
    <d v="2020-10-10T00:00:00"/>
    <s v="RV"/>
    <s v="USD"/>
    <n v="-164027.48000000001"/>
    <s v="83.95000"/>
    <s v="BDT"/>
    <n v="-13770106.939999999"/>
    <n v="-164027.48000000001"/>
    <s v="164027.48_1"/>
    <s v=""/>
    <s v="C3171UQ20TOK0924"/>
    <s v="20201007"/>
    <s v=""/>
    <s v=""/>
    <s v="0"/>
    <s v=""/>
    <s v=""/>
    <s v=""/>
    <s v=""/>
    <s v="2010100001"/>
    <s v=""/>
    <m/>
    <s v=""/>
    <s v=""/>
    <s v=""/>
    <n v="0"/>
  </r>
  <r>
    <s v=""/>
    <s v="40101001"/>
    <s v="2018000652"/>
    <x v="4"/>
    <d v="2020-12-15T00:00:00"/>
    <d v="2020-12-20T00:00:00"/>
    <s v="RV"/>
    <s v="USD"/>
    <n v="-154978.94"/>
    <s v="83.95000"/>
    <s v="BDT"/>
    <n v="-13010482.01"/>
    <n v="-154978.94"/>
    <s v="154978.94_1"/>
    <s v=""/>
    <s v="C3168UQ20TOK1291"/>
    <s v="20201215"/>
    <s v=""/>
    <s v=""/>
    <s v="0"/>
    <s v=""/>
    <s v=""/>
    <s v=""/>
    <s v=""/>
    <s v="2010100001"/>
    <s v=""/>
    <m/>
    <s v=""/>
    <s v=""/>
    <s v=""/>
    <n v="0"/>
  </r>
  <r>
    <s v=""/>
    <s v="40101013"/>
    <s v="2008000051"/>
    <x v="25"/>
    <d v="2020-10-07T00:00:00"/>
    <d v="2020-10-10T00:00:00"/>
    <s v="DR"/>
    <s v="USD"/>
    <n v="-154780.79999999999"/>
    <s v="83.95000"/>
    <s v="BDT"/>
    <n v="-12993848.16"/>
    <n v="-154780.79999999999"/>
    <s v="154780.8_1"/>
    <s v=""/>
    <s v="CIPL-GTL-002-20"/>
    <s v="CIPL-GTL-002-20"/>
    <s v="SUBCON INCOME FROM GTL FOR CUTTING &amp; SEWING"/>
    <s v=""/>
    <s v="0"/>
    <s v="SUBCON INCOME"/>
    <s v=""/>
    <s v=""/>
    <s v=""/>
    <s v=""/>
    <s v=""/>
    <m/>
    <s v=""/>
    <s v=""/>
    <s v=""/>
    <n v="0"/>
  </r>
  <r>
    <s v=""/>
    <s v="40101001"/>
    <s v="2018000621"/>
    <x v="26"/>
    <d v="2020-12-07T00:00:00"/>
    <d v="2020-12-13T00:00:00"/>
    <s v="RV"/>
    <s v="USD"/>
    <n v="-154667.64000000001"/>
    <s v="83.95000"/>
    <s v="BDT"/>
    <n v="-12984348.380000001"/>
    <n v="-154667.64000000001"/>
    <s v="154667.64_1"/>
    <s v=""/>
    <s v="C3168UQ20OSA1258"/>
    <s v="20201207"/>
    <s v=""/>
    <s v=""/>
    <s v="0"/>
    <s v=""/>
    <s v=""/>
    <s v=""/>
    <s v=""/>
    <s v="2010100001"/>
    <s v=""/>
    <m/>
    <s v=""/>
    <s v=""/>
    <s v=""/>
    <n v="0"/>
  </r>
  <r>
    <s v=""/>
    <s v="40101001"/>
    <s v="2018000593"/>
    <x v="27"/>
    <d v="2020-11-30T00:00:00"/>
    <d v="2020-12-05T00:00:00"/>
    <s v="RV"/>
    <s v="USD"/>
    <n v="-151863.72"/>
    <s v="83.95000"/>
    <s v="BDT"/>
    <n v="-12748959.289999999"/>
    <n v="-151863.72"/>
    <s v="151863.72_1"/>
    <s v=""/>
    <s v="C3233UQ20OSA1218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0019"/>
    <x v="11"/>
    <d v="2020-07-12T00:00:00"/>
    <d v="2020-07-16T00:00:00"/>
    <s v="RV"/>
    <s v="USD"/>
    <n v="-151536.14000000001"/>
    <s v="83.95000"/>
    <s v="BDT"/>
    <n v="-12721458.949999999"/>
    <n v="-151536.14000000001"/>
    <s v="151536.14_1"/>
    <s v=""/>
    <s v="C3121UQ20OSA0601"/>
    <s v="20200712"/>
    <s v=""/>
    <s v=""/>
    <s v="0"/>
    <s v=""/>
    <s v=""/>
    <s v=""/>
    <s v=""/>
    <s v="2010100001"/>
    <s v=""/>
    <m/>
    <s v=""/>
    <s v=""/>
    <s v=""/>
    <n v="0"/>
  </r>
  <r>
    <s v=""/>
    <s v="40101001"/>
    <s v="2018001438"/>
    <x v="28"/>
    <d v="2021-05-30T00:00:00"/>
    <d v="2021-06-02T00:00:00"/>
    <s v="RV"/>
    <s v="USD"/>
    <n v="-150190.35"/>
    <s v="83.95000"/>
    <s v="BDT"/>
    <n v="-12608479.880000001"/>
    <n v="-150190.35"/>
    <s v="150190.35_1"/>
    <s v=""/>
    <s v="C3309UQ21TOK0672"/>
    <s v="20210530"/>
    <s v=""/>
    <s v=""/>
    <s v="0"/>
    <s v=""/>
    <s v=""/>
    <s v=""/>
    <s v=""/>
    <s v="2010100001"/>
    <s v=""/>
    <m/>
    <s v=""/>
    <s v=""/>
    <s v=""/>
    <n v="0"/>
  </r>
  <r>
    <s v=""/>
    <s v="40101001"/>
    <s v="2018001353"/>
    <x v="29"/>
    <d v="2021-05-16T00:00:00"/>
    <d v="2021-05-20T00:00:00"/>
    <s v="RV"/>
    <s v="USD"/>
    <n v="-148299.66"/>
    <s v="83.95000"/>
    <s v="BDT"/>
    <n v="-12449756.460000001"/>
    <n v="-148299.66"/>
    <s v="148299.66_1"/>
    <s v=""/>
    <s v="C3195AMZLB063521"/>
    <s v="20210516"/>
    <s v=""/>
    <s v=""/>
    <s v="0"/>
    <s v=""/>
    <s v=""/>
    <s v=""/>
    <s v=""/>
    <s v="2010100001"/>
    <s v=""/>
    <m/>
    <s v=""/>
    <s v=""/>
    <s v=""/>
    <n v="0"/>
  </r>
  <r>
    <s v=""/>
    <s v="40101001"/>
    <s v="2018000105"/>
    <x v="8"/>
    <d v="2020-07-29T00:00:00"/>
    <d v="2020-08-10T00:00:00"/>
    <s v="RV"/>
    <s v="USD"/>
    <n v="-145862.81"/>
    <s v="83.95000"/>
    <s v="BDT"/>
    <n v="-12245182.9"/>
    <n v="-145862.81"/>
    <s v="145862.81_1"/>
    <s v=""/>
    <s v="C3093UQ20OSA0698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1001"/>
    <x v="30"/>
    <d v="2021-02-18T00:00:00"/>
    <d v="2021-02-28T00:00:00"/>
    <s v="RV"/>
    <s v="USD"/>
    <n v="-144909.21"/>
    <s v="83.95000"/>
    <s v="BDT"/>
    <n v="-12165128.18"/>
    <n v="-144909.21"/>
    <s v="144909.21_1"/>
    <s v=""/>
    <s v="C3254UQ21TOK0224"/>
    <s v="20210218"/>
    <s v=""/>
    <s v=""/>
    <s v="0"/>
    <s v=""/>
    <s v=""/>
    <s v=""/>
    <s v=""/>
    <s v="2010100001"/>
    <s v=""/>
    <m/>
    <s v=""/>
    <s v=""/>
    <s v=""/>
    <n v="0"/>
  </r>
  <r>
    <s v=""/>
    <s v="40101001"/>
    <s v="2018000344"/>
    <x v="31"/>
    <d v="2020-10-18T00:00:00"/>
    <d v="2020-10-22T00:00:00"/>
    <s v="RV"/>
    <s v="USD"/>
    <n v="-144642.15"/>
    <s v="83.95000"/>
    <s v="BDT"/>
    <n v="-12142708.5"/>
    <n v="-144642.15"/>
    <s v="144642.15_1"/>
    <s v=""/>
    <s v="C03170US20-0961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1425"/>
    <x v="32"/>
    <d v="2021-05-27T00:00:00"/>
    <d v="2021-05-31T00:00:00"/>
    <s v="RV"/>
    <s v="USD"/>
    <n v="-143861.01999999999"/>
    <s v="83.95000"/>
    <s v="BDT"/>
    <n v="-12077132.619999999"/>
    <n v="-143861.01999999999"/>
    <s v="143861.02_1"/>
    <s v=""/>
    <s v="C3189AMZLB068421"/>
    <s v="20210527"/>
    <s v=""/>
    <s v=""/>
    <s v="0"/>
    <s v=""/>
    <s v=""/>
    <s v=""/>
    <s v=""/>
    <s v="2010100001"/>
    <s v=""/>
    <m/>
    <s v=""/>
    <s v=""/>
    <s v=""/>
    <n v="0"/>
  </r>
  <r>
    <s v=""/>
    <s v="40101001"/>
    <s v="2018000308"/>
    <x v="25"/>
    <d v="2020-10-07T00:00:00"/>
    <d v="2020-10-10T00:00:00"/>
    <s v="RV"/>
    <s v="USD"/>
    <n v="-140117.68"/>
    <s v="83.95000"/>
    <s v="BDT"/>
    <n v="-11762879.24"/>
    <n v="-140117.68"/>
    <s v="140117.68_1"/>
    <s v=""/>
    <s v="C3171UQ20TOK0924"/>
    <s v="20201007"/>
    <s v=""/>
    <s v=""/>
    <s v="0"/>
    <s v=""/>
    <s v=""/>
    <s v=""/>
    <s v=""/>
    <s v="2010100001"/>
    <s v=""/>
    <m/>
    <s v=""/>
    <s v=""/>
    <s v=""/>
    <n v="0"/>
  </r>
  <r>
    <s v=""/>
    <s v="40101001"/>
    <s v="2018000393"/>
    <x v="7"/>
    <d v="2020-10-19T00:00:00"/>
    <d v="2020-11-02T00:00:00"/>
    <s v="RV"/>
    <s v="USD"/>
    <n v="-139565.9"/>
    <s v="83.95000"/>
    <s v="BDT"/>
    <n v="-11716557.300000001"/>
    <n v="-139565.9"/>
    <s v="139565.9_1"/>
    <s v=""/>
    <s v="C03170US20-0963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177"/>
    <x v="33"/>
    <d v="2020-08-21T00:00:00"/>
    <d v="2020-08-29T00:00:00"/>
    <s v="RV"/>
    <s v="USD"/>
    <n v="-136501.21"/>
    <s v="83.95000"/>
    <s v="BDT"/>
    <n v="-11459276.58"/>
    <n v="-136501.21"/>
    <s v="136501.21_1"/>
    <s v=""/>
    <s v="C3085LVCA075320"/>
    <s v="20200821"/>
    <s v=""/>
    <s v=""/>
    <s v="0"/>
    <s v=""/>
    <s v=""/>
    <s v=""/>
    <s v=""/>
    <s v="2010100001"/>
    <s v=""/>
    <m/>
    <s v=""/>
    <s v=""/>
    <s v=""/>
    <n v="0"/>
  </r>
  <r>
    <s v=""/>
    <s v="40101001"/>
    <s v="2018000611"/>
    <x v="22"/>
    <d v="2020-12-02T00:00:00"/>
    <d v="2020-12-09T00:00:00"/>
    <s v="RV"/>
    <s v="USD"/>
    <n v="-135751.45000000001"/>
    <s v="83.95000"/>
    <s v="BDT"/>
    <n v="-11396334.23"/>
    <n v="-135751.45000000001"/>
    <s v="135751.45_1"/>
    <s v=""/>
    <s v="C3168UQ20OSA1244"/>
    <s v="20201202"/>
    <s v=""/>
    <s v=""/>
    <s v="0"/>
    <s v=""/>
    <s v=""/>
    <s v=""/>
    <s v=""/>
    <s v="2010100001"/>
    <s v=""/>
    <m/>
    <s v=""/>
    <s v=""/>
    <s v=""/>
    <n v="0"/>
  </r>
  <r>
    <s v=""/>
    <s v="40101001"/>
    <s v="2018000538"/>
    <x v="34"/>
    <d v="2020-11-23T00:00:00"/>
    <d v="2020-11-26T00:00:00"/>
    <s v="RV"/>
    <s v="USD"/>
    <n v="-135380.54"/>
    <s v="83.95000"/>
    <s v="BDT"/>
    <n v="-11365196.33"/>
    <n v="-135380.54"/>
    <s v="135380.54_1"/>
    <s v=""/>
    <s v="C3168UQ20TOK1175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846"/>
    <x v="35"/>
    <d v="2021-01-20T00:00:00"/>
    <d v="2021-01-28T00:00:00"/>
    <s v="RV"/>
    <s v="USD"/>
    <n v="-133952.26999999999"/>
    <s v="83.95000"/>
    <s v="BDT"/>
    <n v="-11245293.07"/>
    <n v="-133952.26999999999"/>
    <s v="133952.27_1"/>
    <s v=""/>
    <s v="C3232UQ21TOK0029"/>
    <s v="20210120"/>
    <s v=""/>
    <s v=""/>
    <s v="0"/>
    <s v=""/>
    <s v=""/>
    <s v=""/>
    <s v=""/>
    <s v="2010100001"/>
    <s v=""/>
    <m/>
    <s v=""/>
    <s v=""/>
    <s v=""/>
    <n v="0"/>
  </r>
  <r>
    <s v=""/>
    <s v="40101001"/>
    <s v="2018000285"/>
    <x v="36"/>
    <d v="2020-09-29T00:00:00"/>
    <d v="2020-10-03T00:00:00"/>
    <s v="RV"/>
    <s v="USD"/>
    <n v="-132518.95000000001"/>
    <s v="83.95000"/>
    <s v="BDT"/>
    <n v="-11124965.85"/>
    <n v="-132518.95000000001"/>
    <s v="132518.95_1"/>
    <s v=""/>
    <s v="C03170US20-0892"/>
    <s v="20200929"/>
    <s v=""/>
    <s v=""/>
    <s v="0"/>
    <s v=""/>
    <s v=""/>
    <s v=""/>
    <s v=""/>
    <s v="2010100001"/>
    <s v=""/>
    <m/>
    <s v=""/>
    <s v=""/>
    <s v=""/>
    <n v="0"/>
  </r>
  <r>
    <s v=""/>
    <s v="40101001"/>
    <s v="2018000048"/>
    <x v="37"/>
    <d v="2020-07-17T00:00:00"/>
    <d v="2020-07-20T00:00:00"/>
    <s v="RV"/>
    <s v="USD"/>
    <n v="-132066.91"/>
    <s v="83.95000"/>
    <s v="BDT"/>
    <n v="-11087017.09"/>
    <n v="-132066.91"/>
    <s v="132066.91_1"/>
    <s v=""/>
    <s v="C3125UQ20KR0611"/>
    <s v="20200717"/>
    <s v=""/>
    <s v=""/>
    <s v="0"/>
    <s v=""/>
    <s v=""/>
    <s v=""/>
    <s v=""/>
    <s v="2010100001"/>
    <s v=""/>
    <m/>
    <s v=""/>
    <s v=""/>
    <s v=""/>
    <n v="0"/>
  </r>
  <r>
    <s v=""/>
    <s v="40101001"/>
    <s v="2018000058"/>
    <x v="38"/>
    <d v="2020-07-18T00:00:00"/>
    <d v="2020-07-22T00:00:00"/>
    <s v="RV"/>
    <s v="USD"/>
    <n v="-131533.23000000001"/>
    <s v="83.95000"/>
    <s v="BDT"/>
    <n v="-11042214.66"/>
    <n v="-131533.23000000001"/>
    <s v="131533.23_1"/>
    <s v=""/>
    <s v="C3128UQ20TOK0645"/>
    <s v="20200718"/>
    <s v=""/>
    <s v=""/>
    <s v="0"/>
    <s v=""/>
    <s v=""/>
    <s v=""/>
    <s v=""/>
    <s v="2010100001"/>
    <s v=""/>
    <m/>
    <s v=""/>
    <s v=""/>
    <s v=""/>
    <n v="0"/>
  </r>
  <r>
    <s v=""/>
    <s v="40101001"/>
    <s v="2018001598"/>
    <x v="39"/>
    <d v="2021-06-27T00:00:00"/>
    <d v="2021-06-29T00:00:00"/>
    <s v="RV"/>
    <s v="USD"/>
    <n v="-129549.59"/>
    <s v="83.95000"/>
    <s v="BDT"/>
    <n v="-10875688.08"/>
    <n v="-129549.59"/>
    <s v="129549.59_1"/>
    <s v=""/>
    <s v="C3329UQ21YOK0883"/>
    <s v="20210627"/>
    <s v=""/>
    <s v=""/>
    <s v="0"/>
    <s v=""/>
    <s v=""/>
    <s v=""/>
    <s v=""/>
    <s v="2010100001"/>
    <s v=""/>
    <m/>
    <s v=""/>
    <s v=""/>
    <s v=""/>
    <n v="0"/>
  </r>
  <r>
    <s v=""/>
    <s v="40101001"/>
    <s v="2018000209"/>
    <x v="40"/>
    <d v="2020-09-08T00:00:00"/>
    <d v="2020-09-12T00:00:00"/>
    <s v="RV"/>
    <s v="USD"/>
    <n v="-128690.85"/>
    <s v="83.95000"/>
    <s v="BDT"/>
    <n v="-10803596.859999999"/>
    <n v="-128690.85"/>
    <s v="128690.85_1"/>
    <s v=""/>
    <s v="C3093UQ20TOK0823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084"/>
    <x v="41"/>
    <d v="2020-07-26T00:00:00"/>
    <d v="2020-07-29T00:00:00"/>
    <s v="RV"/>
    <s v="USD"/>
    <n v="-121938.28"/>
    <s v="83.95000"/>
    <s v="BDT"/>
    <n v="-10236718.609999999"/>
    <n v="-121938.28"/>
    <s v="121938.28_1"/>
    <s v=""/>
    <s v="C3121UQ20OSA0654"/>
    <s v="20200726"/>
    <s v=""/>
    <s v=""/>
    <s v="0"/>
    <s v=""/>
    <s v=""/>
    <s v=""/>
    <s v=""/>
    <s v="2010100001"/>
    <s v=""/>
    <m/>
    <s v=""/>
    <s v=""/>
    <s v=""/>
    <n v="0"/>
  </r>
  <r>
    <s v=""/>
    <s v="40101001"/>
    <s v="2018000213"/>
    <x v="40"/>
    <d v="2020-09-08T00:00:00"/>
    <d v="2020-09-12T00:00:00"/>
    <s v="RV"/>
    <s v="USD"/>
    <n v="-121796.91"/>
    <s v="83.95000"/>
    <s v="BDT"/>
    <n v="-10224850.6"/>
    <n v="-121796.91"/>
    <s v="121796.91_1"/>
    <s v=""/>
    <s v="C3151UQ20TOK0798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811"/>
    <x v="42"/>
    <d v="2021-01-14T00:00:00"/>
    <d v="2021-01-21T00:00:00"/>
    <s v="RV"/>
    <s v="USD"/>
    <n v="-121415.34"/>
    <s v="83.95000"/>
    <s v="BDT"/>
    <n v="-10192817.789999999"/>
    <n v="-121415.34"/>
    <s v="121415.34_1"/>
    <s v=""/>
    <s v="C3232UQ21HAK0030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375"/>
    <x v="13"/>
    <d v="2020-10-22T00:00:00"/>
    <d v="2020-11-01T00:00:00"/>
    <s v="RV"/>
    <s v="USD"/>
    <n v="-120728.36"/>
    <s v="83.95000"/>
    <s v="BDT"/>
    <n v="-10135145.82"/>
    <n v="-120728.36"/>
    <s v="120728.36_1"/>
    <s v=""/>
    <s v="C3169UQ20TH1001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0177"/>
    <x v="33"/>
    <d v="2020-08-21T00:00:00"/>
    <d v="2020-08-29T00:00:00"/>
    <s v="RV"/>
    <s v="USD"/>
    <n v="-120130.79"/>
    <s v="83.95000"/>
    <s v="BDT"/>
    <n v="-10084979.82"/>
    <n v="-120130.79"/>
    <s v="120130.79_1"/>
    <s v=""/>
    <s v="C3085LVCA075320"/>
    <s v="20200821"/>
    <s v=""/>
    <s v=""/>
    <s v="0"/>
    <s v=""/>
    <s v=""/>
    <s v=""/>
    <s v=""/>
    <s v="2010100001"/>
    <s v=""/>
    <m/>
    <s v=""/>
    <s v=""/>
    <s v=""/>
    <n v="0"/>
  </r>
  <r>
    <s v=""/>
    <s v="40101001"/>
    <s v="2018001378"/>
    <x v="43"/>
    <d v="2021-05-17T00:00:00"/>
    <d v="2021-05-20T00:00:00"/>
    <s v="RV"/>
    <s v="USD"/>
    <n v="-119740.85"/>
    <s v="83.95000"/>
    <s v="BDT"/>
    <n v="-10052244.35"/>
    <n v="-119740.85"/>
    <s v="119740.85_1"/>
    <s v=""/>
    <s v="C3316UQ21TOK0642"/>
    <s v="20210517"/>
    <s v=""/>
    <s v=""/>
    <s v="0"/>
    <s v=""/>
    <s v=""/>
    <s v=""/>
    <s v=""/>
    <s v="2010100001"/>
    <s v=""/>
    <m/>
    <s v=""/>
    <s v=""/>
    <s v=""/>
    <n v="0"/>
  </r>
  <r>
    <s v=""/>
    <s v="40101001"/>
    <s v="2018000881"/>
    <x v="44"/>
    <d v="2021-01-28T00:00:00"/>
    <d v="2021-02-02T00:00:00"/>
    <s v="RV"/>
    <s v="USD"/>
    <n v="-118831.19"/>
    <s v="83.95000"/>
    <s v="BDT"/>
    <n v="-9975878.4000000004"/>
    <n v="-118831.19"/>
    <s v="118831.19_1"/>
    <s v=""/>
    <s v="C3246UQ21TOK0106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565"/>
    <x v="14"/>
    <d v="2020-11-25T00:00:00"/>
    <d v="2020-11-30T00:00:00"/>
    <s v="RV"/>
    <s v="USD"/>
    <n v="-117577.08"/>
    <s v="83.95000"/>
    <s v="BDT"/>
    <n v="-9870595.8699999992"/>
    <n v="-117577.08"/>
    <s v="117577.08_1"/>
    <s v=""/>
    <s v="C3168UQ20TOK1204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224"/>
    <x v="45"/>
    <d v="2020-09-09T00:00:00"/>
    <d v="2020-09-14T00:00:00"/>
    <s v="RV"/>
    <s v="USD"/>
    <n v="-117558"/>
    <s v="83.95000"/>
    <s v="BDT"/>
    <n v="-9868994.0999999996"/>
    <n v="-117558"/>
    <s v="117558_1"/>
    <s v=""/>
    <s v="C3151UQ20TOK0835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0944"/>
    <x v="46"/>
    <d v="2021-02-07T00:00:00"/>
    <d v="2021-02-14T00:00:00"/>
    <s v="RV"/>
    <s v="USD"/>
    <n v="-116429.42"/>
    <s v="83.95000"/>
    <s v="BDT"/>
    <n v="-9774249.8100000005"/>
    <n v="-116429.42"/>
    <s v="116429.42_1"/>
    <s v=""/>
    <s v="C3272UQ21TOK0162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354"/>
    <x v="29"/>
    <d v="2021-05-16T00:00:00"/>
    <d v="2021-05-20T00:00:00"/>
    <s v="RV"/>
    <s v="USD"/>
    <n v="-114735.06"/>
    <s v="83.95000"/>
    <s v="BDT"/>
    <n v="-9632008.2899999991"/>
    <n v="-114735.06"/>
    <s v="114735.06_1"/>
    <s v=""/>
    <s v="C3195AMZLB063621"/>
    <s v="20210516"/>
    <s v=""/>
    <s v=""/>
    <s v="0"/>
    <s v=""/>
    <s v=""/>
    <s v=""/>
    <s v=""/>
    <s v="2010100001"/>
    <s v=""/>
    <m/>
    <s v=""/>
    <s v=""/>
    <s v=""/>
    <n v="0"/>
  </r>
  <r>
    <s v=""/>
    <s v="40101001"/>
    <s v="2018001314"/>
    <x v="15"/>
    <d v="2021-05-04T00:00:00"/>
    <d v="2021-05-12T00:00:00"/>
    <s v="RV"/>
    <s v="USD"/>
    <n v="-113859.21"/>
    <s v="83.95000"/>
    <s v="BDT"/>
    <n v="-9558480.6799999997"/>
    <n v="-113859.21"/>
    <s v="113859.21_1"/>
    <s v=""/>
    <s v="C3309UQ21OSA0544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045"/>
    <x v="47"/>
    <d v="2020-07-16T00:00:00"/>
    <d v="2020-07-20T00:00:00"/>
    <s v="RV"/>
    <s v="USD"/>
    <n v="-113515.95"/>
    <s v="83.95000"/>
    <s v="BDT"/>
    <n v="-9529664"/>
    <n v="-113515.95"/>
    <s v="113515.95_1"/>
    <s v=""/>
    <s v="C3088UQ20HK0613"/>
    <s v="20200716"/>
    <s v=""/>
    <s v=""/>
    <s v="0"/>
    <s v=""/>
    <s v=""/>
    <s v=""/>
    <s v=""/>
    <s v="2010100001"/>
    <s v=""/>
    <m/>
    <s v=""/>
    <s v=""/>
    <s v=""/>
    <n v="0"/>
  </r>
  <r>
    <s v=""/>
    <s v="40101001"/>
    <s v="2018001248"/>
    <x v="48"/>
    <d v="2021-04-20T00:00:00"/>
    <d v="2021-04-25T00:00:00"/>
    <s v="RV"/>
    <s v="USD"/>
    <n v="-112453.54"/>
    <s v="83.95000"/>
    <s v="BDT"/>
    <n v="-9440474.6799999997"/>
    <n v="-112453.54"/>
    <s v="112453.54_1"/>
    <s v=""/>
    <s v="C3309UQ21NAG0487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1263"/>
    <x v="49"/>
    <d v="2021-04-24T00:00:00"/>
    <d v="2021-04-29T00:00:00"/>
    <s v="RV"/>
    <s v="USD"/>
    <n v="-111631.95"/>
    <s v="83.95000"/>
    <s v="BDT"/>
    <n v="-9371502.1999999993"/>
    <n v="-111631.95"/>
    <s v="111631.95_1"/>
    <s v=""/>
    <s v="C3189AMZPL049621"/>
    <s v="20210424"/>
    <s v=""/>
    <s v=""/>
    <s v="0"/>
    <s v=""/>
    <s v=""/>
    <s v=""/>
    <s v=""/>
    <s v="2010100001"/>
    <s v=""/>
    <m/>
    <s v=""/>
    <s v=""/>
    <s v=""/>
    <n v="0"/>
  </r>
  <r>
    <s v=""/>
    <s v="40101001"/>
    <s v="2018000613"/>
    <x v="50"/>
    <d v="2020-12-06T00:00:00"/>
    <d v="2020-12-09T00:00:00"/>
    <s v="RV"/>
    <s v="USD"/>
    <n v="-110598.15"/>
    <s v="83.95000"/>
    <s v="BDT"/>
    <n v="-9284714.6899999995"/>
    <n v="-110598.15"/>
    <s v="110598.15_1"/>
    <s v=""/>
    <s v="C3233UQ20OSA1251"/>
    <s v="20201206"/>
    <s v=""/>
    <s v=""/>
    <s v="0"/>
    <s v=""/>
    <s v=""/>
    <s v=""/>
    <s v=""/>
    <s v="2010100001"/>
    <s v=""/>
    <m/>
    <s v=""/>
    <s v=""/>
    <s v=""/>
    <n v="0"/>
  </r>
  <r>
    <s v=""/>
    <s v="40101001"/>
    <s v="2018001347"/>
    <x v="51"/>
    <d v="2021-05-08T00:00:00"/>
    <d v="2021-05-17T00:00:00"/>
    <s v="RV"/>
    <s v="USD"/>
    <n v="-108705.2"/>
    <s v="83.95000"/>
    <s v="BDT"/>
    <n v="-9125801.5399999991"/>
    <n v="-108705.2"/>
    <s v="108705.2_1"/>
    <s v=""/>
    <s v="C3194AMZLB0445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592"/>
    <x v="27"/>
    <d v="2020-11-30T00:00:00"/>
    <d v="2020-12-05T00:00:00"/>
    <s v="RV"/>
    <s v="USD"/>
    <n v="-107472.71"/>
    <s v="83.95000"/>
    <s v="BDT"/>
    <n v="-9022334"/>
    <n v="-107472.71"/>
    <s v="107472.71_1"/>
    <s v=""/>
    <s v="C3168UQ20TOK1219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0832"/>
    <x v="52"/>
    <d v="2021-01-10T00:00:00"/>
    <d v="2021-01-23T00:00:00"/>
    <s v="RV"/>
    <s v="USD"/>
    <n v="-105596.03"/>
    <s v="83.95000"/>
    <s v="BDT"/>
    <n v="-8864786.7200000007"/>
    <n v="-105596.03"/>
    <s v="105596.03_1"/>
    <s v=""/>
    <s v="C3236LVUS141920"/>
    <s v="20210110"/>
    <s v=""/>
    <s v=""/>
    <s v="0"/>
    <s v=""/>
    <s v=""/>
    <s v=""/>
    <s v=""/>
    <s v="2010100001"/>
    <s v=""/>
    <m/>
    <s v=""/>
    <s v=""/>
    <s v=""/>
    <n v="0"/>
  </r>
  <r>
    <s v=""/>
    <s v="40101001"/>
    <s v="2018000065"/>
    <x v="53"/>
    <d v="2020-07-22T00:00:00"/>
    <d v="2020-07-25T00:00:00"/>
    <s v="RV"/>
    <s v="USD"/>
    <n v="-104082.31"/>
    <s v="83.95000"/>
    <s v="BDT"/>
    <n v="-8737709.9199999999"/>
    <n v="-104082.31"/>
    <s v="104082.31_1"/>
    <s v=""/>
    <s v="C3128UQ20TOK0660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562"/>
    <x v="14"/>
    <d v="2020-11-25T00:00:00"/>
    <d v="2020-11-30T00:00:00"/>
    <s v="RV"/>
    <s v="USD"/>
    <n v="-103946.29"/>
    <s v="83.95000"/>
    <s v="BDT"/>
    <n v="-8726291.0500000007"/>
    <n v="-103946.29"/>
    <s v="103946.29_1"/>
    <s v=""/>
    <s v="C3168UQ20OSA1211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463"/>
    <x v="54"/>
    <d v="2020-11-09T00:00:00"/>
    <d v="2020-11-14T00:00:00"/>
    <s v="RV"/>
    <s v="USD"/>
    <n v="-103495.84"/>
    <s v="83.95000"/>
    <s v="BDT"/>
    <n v="-8688475.7699999996"/>
    <n v="-103495.84"/>
    <s v="103495.84_1"/>
    <s v=""/>
    <s v="C03170US20-1041"/>
    <s v="20201109"/>
    <s v=""/>
    <s v=""/>
    <s v="0"/>
    <s v=""/>
    <s v=""/>
    <s v=""/>
    <s v=""/>
    <s v="2010100001"/>
    <s v=""/>
    <m/>
    <s v=""/>
    <s v=""/>
    <s v=""/>
    <n v="0"/>
  </r>
  <r>
    <s v=""/>
    <s v="40101001"/>
    <s v="2018000889"/>
    <x v="44"/>
    <d v="2021-01-28T00:00:00"/>
    <d v="2021-02-04T00:00:00"/>
    <s v="RV"/>
    <s v="USD"/>
    <n v="-103283.81"/>
    <s v="83.95000"/>
    <s v="BDT"/>
    <n v="-8670675.8499999996"/>
    <n v="-103283.81"/>
    <s v="103283.81_1"/>
    <s v=""/>
    <s v="C3242LVUS0088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187"/>
    <x v="55"/>
    <d v="2020-08-19T00:00:00"/>
    <d v="2020-09-05T00:00:00"/>
    <s v="RV"/>
    <s v="USD"/>
    <n v="-103178.6"/>
    <s v="83.95000"/>
    <s v="BDT"/>
    <n v="-8661843.4700000007"/>
    <n v="-103178.6"/>
    <s v="103178.6_1"/>
    <s v=""/>
    <s v="C3099LVUS0751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1348"/>
    <x v="51"/>
    <d v="2021-05-08T00:00:00"/>
    <d v="2021-05-17T00:00:00"/>
    <s v="RV"/>
    <s v="USD"/>
    <n v="-102741.27"/>
    <s v="83.95000"/>
    <s v="BDT"/>
    <n v="-8625129.6199999992"/>
    <n v="-102741.27"/>
    <s v="102741.27_1"/>
    <s v=""/>
    <s v="C3194AMZLB0462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370"/>
    <x v="56"/>
    <d v="2021-05-13T00:00:00"/>
    <d v="2021-05-20T00:00:00"/>
    <s v="RV"/>
    <s v="USD"/>
    <n v="-102253.42"/>
    <s v="83.95000"/>
    <s v="BDT"/>
    <n v="-8584174.6099999994"/>
    <n v="-102253.42"/>
    <s v="102253.42_1"/>
    <s v=""/>
    <s v="C3309UQ21TOK0590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101"/>
    <x v="57"/>
    <d v="2021-03-18T00:00:00"/>
    <d v="2021-03-25T00:00:00"/>
    <s v="RV"/>
    <s v="USD"/>
    <n v="-102212.98"/>
    <s v="83.95000"/>
    <s v="BDT"/>
    <n v="-8580779.6699999999"/>
    <n v="-102212.98"/>
    <s v="102212.98_1"/>
    <s v=""/>
    <s v="C3254UQ21TOK0298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0889"/>
    <x v="44"/>
    <d v="2021-01-28T00:00:00"/>
    <d v="2021-02-04T00:00:00"/>
    <s v="RV"/>
    <s v="USD"/>
    <n v="-101996.08"/>
    <s v="83.95000"/>
    <s v="BDT"/>
    <n v="-8562570.9199999999"/>
    <n v="-101996.08"/>
    <s v="101996.08_1"/>
    <s v=""/>
    <s v="C3242LVUS0088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330"/>
    <x v="58"/>
    <d v="2020-10-12T00:00:00"/>
    <d v="2020-10-18T00:00:00"/>
    <s v="RV"/>
    <s v="USD"/>
    <n v="-100743.45"/>
    <s v="83.95000"/>
    <s v="BDT"/>
    <n v="-8457412.6199999992"/>
    <n v="-100743.45"/>
    <s v="100743.45_1"/>
    <s v=""/>
    <s v="C3095QTUS095920"/>
    <s v="20201012"/>
    <s v=""/>
    <s v=""/>
    <s v="0"/>
    <s v=""/>
    <s v=""/>
    <s v=""/>
    <s v=""/>
    <s v="2010100001"/>
    <s v=""/>
    <m/>
    <s v=""/>
    <s v=""/>
    <s v=""/>
    <n v="0"/>
  </r>
  <r>
    <s v=""/>
    <s v="40101001"/>
    <s v="2018001349"/>
    <x v="51"/>
    <d v="2021-05-08T00:00:00"/>
    <d v="2021-05-17T00:00:00"/>
    <s v="RV"/>
    <s v="USD"/>
    <n v="-100456.78"/>
    <s v="83.95000"/>
    <s v="BDT"/>
    <n v="-8433346.6799999997"/>
    <n v="-100456.78"/>
    <s v="100456.78_1"/>
    <s v=""/>
    <s v="C3194AMZLB0463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149"/>
    <x v="59"/>
    <d v="2020-08-17T00:00:00"/>
    <d v="2020-08-22T00:00:00"/>
    <s v="RV"/>
    <s v="USD"/>
    <n v="-100287.73"/>
    <s v="83.95000"/>
    <s v="BDT"/>
    <n v="-8419154.9299999997"/>
    <n v="-100287.73"/>
    <s v="100287.73_1"/>
    <s v=""/>
    <s v="C3093UQ20TOK0747"/>
    <s v="20200817"/>
    <s v=""/>
    <s v=""/>
    <s v="0"/>
    <s v=""/>
    <s v=""/>
    <s v=""/>
    <s v=""/>
    <s v="2010100001"/>
    <s v=""/>
    <m/>
    <s v=""/>
    <s v=""/>
    <s v=""/>
    <n v="0"/>
  </r>
  <r>
    <s v=""/>
    <s v="40101001"/>
    <s v="2018000188"/>
    <x v="60"/>
    <d v="2020-08-25T00:00:00"/>
    <d v="2020-09-05T00:00:00"/>
    <s v="RV"/>
    <s v="USD"/>
    <n v="-100132.31"/>
    <s v="83.95000"/>
    <s v="BDT"/>
    <n v="-8406107.4199999999"/>
    <n v="-100132.31"/>
    <s v="100132.31_1"/>
    <s v=""/>
    <s v="C3101LVUS078220"/>
    <s v="20200825"/>
    <s v=""/>
    <s v=""/>
    <s v="0"/>
    <s v=""/>
    <s v=""/>
    <s v=""/>
    <s v=""/>
    <s v="2010100001"/>
    <s v=""/>
    <m/>
    <s v=""/>
    <s v=""/>
    <s v=""/>
    <n v="0"/>
  </r>
  <r>
    <s v=""/>
    <s v="40101001"/>
    <s v="2018001591"/>
    <x v="61"/>
    <d v="2021-06-25T00:00:00"/>
    <d v="2021-06-29T00:00:00"/>
    <s v="RV"/>
    <s v="USD"/>
    <n v="-100043.1"/>
    <s v="83.95000"/>
    <s v="BDT"/>
    <n v="-8398618.25"/>
    <n v="-100043.1"/>
    <s v="100043.1_1"/>
    <s v=""/>
    <s v="C3329UQ21YOK0859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0827"/>
    <x v="62"/>
    <d v="2021-01-18T00:00:00"/>
    <d v="2021-01-23T00:00:00"/>
    <s v="RV"/>
    <s v="USD"/>
    <n v="-100011.91"/>
    <s v="83.95000"/>
    <s v="BDT"/>
    <n v="-8395999.8399999999"/>
    <n v="-100011.91"/>
    <s v="100011.91_1"/>
    <s v=""/>
    <s v="C3253UQ21TOK0024"/>
    <s v="20210118"/>
    <s v=""/>
    <s v=""/>
    <s v="0"/>
    <s v=""/>
    <s v=""/>
    <s v=""/>
    <s v=""/>
    <s v="2010100001"/>
    <s v=""/>
    <m/>
    <s v=""/>
    <s v=""/>
    <s v=""/>
    <n v="0"/>
  </r>
  <r>
    <s v=""/>
    <s v="40101001"/>
    <s v="2018000267"/>
    <x v="63"/>
    <d v="2020-09-24T00:00:00"/>
    <d v="2020-09-29T00:00:00"/>
    <s v="RV"/>
    <s v="USD"/>
    <n v="-99815.58"/>
    <s v="83.95000"/>
    <s v="BDT"/>
    <n v="-8379517.9400000004"/>
    <n v="-99815.58"/>
    <s v="99815.58_1"/>
    <s v=""/>
    <s v="C3171UQ20OSA0902"/>
    <s v="20200924"/>
    <s v=""/>
    <s v=""/>
    <s v="0"/>
    <s v=""/>
    <s v=""/>
    <s v=""/>
    <s v=""/>
    <s v="2010100001"/>
    <s v=""/>
    <m/>
    <s v=""/>
    <s v=""/>
    <s v=""/>
    <n v="0"/>
  </r>
  <r>
    <s v=""/>
    <s v="40101001"/>
    <s v="2018000878"/>
    <x v="44"/>
    <d v="2021-01-28T00:00:00"/>
    <d v="2021-02-01T00:00:00"/>
    <s v="RV"/>
    <s v="USD"/>
    <n v="-99646.71"/>
    <s v="83.95000"/>
    <s v="BDT"/>
    <n v="-8365341.2999999998"/>
    <n v="-99646.71"/>
    <s v="99646.71_1"/>
    <s v=""/>
    <s v="C3242LVUS0089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592"/>
    <x v="27"/>
    <d v="2020-11-30T00:00:00"/>
    <d v="2020-12-05T00:00:00"/>
    <s v="RV"/>
    <s v="USD"/>
    <n v="-98994.82"/>
    <s v="83.95000"/>
    <s v="BDT"/>
    <n v="-8310615.1399999997"/>
    <n v="-98994.82"/>
    <s v="98994.82_1"/>
    <s v=""/>
    <s v="C3168UQ20TOK1219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1282"/>
    <x v="21"/>
    <d v="2021-05-01T00:00:00"/>
    <d v="2021-05-06T00:00:00"/>
    <s v="RV"/>
    <s v="USD"/>
    <n v="-98891.59"/>
    <s v="83.95000"/>
    <s v="BDT"/>
    <n v="-8301948.9800000004"/>
    <n v="-98891.59"/>
    <s v="98891.59_1"/>
    <s v=""/>
    <s v="C3316UQ21TOK0499"/>
    <s v="20210501"/>
    <s v=""/>
    <s v=""/>
    <s v="0"/>
    <s v=""/>
    <s v=""/>
    <s v=""/>
    <s v=""/>
    <s v="2010100001"/>
    <s v=""/>
    <m/>
    <s v=""/>
    <s v=""/>
    <s v=""/>
    <n v="0"/>
  </r>
  <r>
    <s v=""/>
    <s v="40101001"/>
    <s v="2018000884"/>
    <x v="44"/>
    <d v="2021-01-28T00:00:00"/>
    <d v="2021-02-02T00:00:00"/>
    <s v="RV"/>
    <s v="USD"/>
    <n v="-98346.82"/>
    <s v="83.95000"/>
    <s v="BDT"/>
    <n v="-8256215.5300000003"/>
    <n v="-98346.82"/>
    <s v="98346.82_1"/>
    <s v=""/>
    <s v="C3243LVUS0086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884"/>
    <x v="44"/>
    <d v="2021-01-28T00:00:00"/>
    <d v="2021-02-02T00:00:00"/>
    <s v="RV"/>
    <s v="USD"/>
    <n v="-98247.49"/>
    <s v="83.95000"/>
    <s v="BDT"/>
    <n v="-8247876.79"/>
    <n v="-98247.49"/>
    <s v="98247.49_1"/>
    <s v=""/>
    <s v="C3243LVUS0086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878"/>
    <x v="44"/>
    <d v="2021-01-28T00:00:00"/>
    <d v="2021-02-01T00:00:00"/>
    <s v="RV"/>
    <s v="USD"/>
    <n v="-98034.59"/>
    <s v="83.95000"/>
    <s v="BDT"/>
    <n v="-8230003.8300000001"/>
    <n v="-98034.59"/>
    <s v="98034.59_1"/>
    <s v=""/>
    <s v="C3242LVUS0089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1377"/>
    <x v="64"/>
    <d v="2021-05-12T00:00:00"/>
    <d v="2021-05-20T00:00:00"/>
    <s v="RV"/>
    <s v="USD"/>
    <n v="-97866.21"/>
    <s v="83.95000"/>
    <s v="BDT"/>
    <n v="-8215868.3300000001"/>
    <n v="-97866.21"/>
    <s v="97866.21_1"/>
    <s v=""/>
    <s v="C3316UQ21NAG0641"/>
    <s v="20210512"/>
    <s v=""/>
    <s v=""/>
    <s v="0"/>
    <s v=""/>
    <s v=""/>
    <s v=""/>
    <s v=""/>
    <s v="2010100001"/>
    <s v=""/>
    <m/>
    <s v=""/>
    <s v=""/>
    <s v=""/>
    <n v="0"/>
  </r>
  <r>
    <s v=""/>
    <s v="40101001"/>
    <s v="2018000499"/>
    <x v="65"/>
    <d v="2020-11-11T00:00:00"/>
    <d v="2020-11-18T00:00:00"/>
    <s v="RV"/>
    <s v="USD"/>
    <n v="-96346.15"/>
    <s v="83.95000"/>
    <s v="BDT"/>
    <n v="-8088259.29"/>
    <n v="-96346.15"/>
    <s v="96346.15_1"/>
    <s v=""/>
    <s v="C3169UQ20SG1077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888"/>
    <x v="44"/>
    <d v="2021-01-28T00:00:00"/>
    <d v="2021-02-04T00:00:00"/>
    <s v="RV"/>
    <s v="USD"/>
    <n v="-95818.39"/>
    <s v="83.95000"/>
    <s v="BDT"/>
    <n v="-8043953.8399999999"/>
    <n v="-95818.39"/>
    <s v="95818.39_1"/>
    <s v=""/>
    <s v="C3243LVUS0087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959"/>
    <x v="66"/>
    <d v="2021-02-12T00:00:00"/>
    <d v="2021-02-16T00:00:00"/>
    <s v="RV"/>
    <s v="USD"/>
    <n v="-95253.59"/>
    <s v="83.95000"/>
    <s v="BDT"/>
    <n v="-7996538.8799999999"/>
    <n v="-95253.59"/>
    <s v="95253.59_1"/>
    <s v=""/>
    <s v="C3272UQ21TOK0188"/>
    <s v="20210212"/>
    <s v=""/>
    <s v=""/>
    <s v="0"/>
    <s v=""/>
    <s v=""/>
    <s v=""/>
    <s v=""/>
    <s v="2010100001"/>
    <s v=""/>
    <m/>
    <s v=""/>
    <s v=""/>
    <s v=""/>
    <n v="0"/>
  </r>
  <r>
    <s v=""/>
    <s v="40101001"/>
    <s v="2018000888"/>
    <x v="44"/>
    <d v="2021-01-28T00:00:00"/>
    <d v="2021-02-04T00:00:00"/>
    <s v="RV"/>
    <s v="USD"/>
    <n v="-95114.04"/>
    <s v="83.95000"/>
    <s v="BDT"/>
    <n v="-7984823.6600000001"/>
    <n v="-95114.04"/>
    <s v="95114.04_1"/>
    <s v=""/>
    <s v="C3243LVUS0087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382"/>
    <x v="67"/>
    <d v="2020-10-27T00:00:00"/>
    <d v="2020-11-01T00:00:00"/>
    <s v="RV"/>
    <s v="USD"/>
    <n v="-94871.88"/>
    <s v="83.95000"/>
    <s v="BDT"/>
    <n v="-7964494.3300000001"/>
    <n v="-94871.88"/>
    <s v="94871.88_1"/>
    <s v=""/>
    <s v="C3169UQ20KR1026"/>
    <s v="20201027"/>
    <s v=""/>
    <s v=""/>
    <s v="0"/>
    <s v=""/>
    <s v=""/>
    <s v=""/>
    <s v=""/>
    <s v="2010100001"/>
    <s v=""/>
    <m/>
    <s v=""/>
    <s v=""/>
    <s v=""/>
    <n v="0"/>
  </r>
  <r>
    <s v=""/>
    <s v="40101011"/>
    <s v="2008000065"/>
    <x v="23"/>
    <d v="2020-10-31T00:00:00"/>
    <d v="2020-11-08T00:00:00"/>
    <s v="DR"/>
    <s v="USD"/>
    <n v="-94740.41"/>
    <s v="83.95000"/>
    <s v="BDT"/>
    <n v="-7953457.4199999999"/>
    <n v="-94740.41"/>
    <s v="94740.41_1"/>
    <s v=""/>
    <s v="CIPL-PGC-0281-20"/>
    <s v="CIPL-PGC-0281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1538"/>
    <x v="68"/>
    <d v="2021-06-15T00:00:00"/>
    <d v="2021-06-20T00:00:00"/>
    <s v="RV"/>
    <s v="USD"/>
    <n v="-94676.160000000003"/>
    <s v="83.95000"/>
    <s v="BDT"/>
    <n v="-7948063.6299999999"/>
    <n v="-94676.160000000003"/>
    <s v="94676.16_1"/>
    <s v=""/>
    <s v="C3316UQ21OSA769"/>
    <s v="20210615"/>
    <s v=""/>
    <s v=""/>
    <s v="0"/>
    <s v=""/>
    <s v=""/>
    <s v=""/>
    <s v=""/>
    <s v="2010100001"/>
    <s v=""/>
    <m/>
    <s v=""/>
    <s v=""/>
    <s v=""/>
    <n v="0"/>
  </r>
  <r>
    <s v=""/>
    <s v="40101001"/>
    <s v="2018000749"/>
    <x v="69"/>
    <d v="2020-12-29T00:00:00"/>
    <d v="2021-01-03T00:00:00"/>
    <s v="RV"/>
    <s v="USD"/>
    <n v="-94458.66"/>
    <s v="83.95000"/>
    <s v="BDT"/>
    <n v="-7929804.5099999998"/>
    <n v="-94458.66"/>
    <s v="94458.66_1"/>
    <s v=""/>
    <s v="C3253UQ20TH1378"/>
    <s v="20201229"/>
    <s v=""/>
    <s v=""/>
    <s v="0"/>
    <s v=""/>
    <s v=""/>
    <s v=""/>
    <s v=""/>
    <s v="2010100001"/>
    <s v=""/>
    <m/>
    <s v=""/>
    <s v=""/>
    <s v=""/>
    <n v="0"/>
  </r>
  <r>
    <s v=""/>
    <s v="40101001"/>
    <s v="2018000726"/>
    <x v="70"/>
    <d v="2020-12-27T00:00:00"/>
    <d v="2020-12-31T00:00:00"/>
    <s v="RV"/>
    <s v="USD"/>
    <n v="-94143.25"/>
    <s v="83.95000"/>
    <s v="BDT"/>
    <n v="-7903325.8399999999"/>
    <n v="-94143.25"/>
    <s v="94143.25_1"/>
    <s v=""/>
    <s v="C3234UQ20TOK1385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1271"/>
    <x v="71"/>
    <d v="2021-04-28T00:00:00"/>
    <d v="2021-05-03T00:00:00"/>
    <s v="RV"/>
    <s v="USD"/>
    <n v="-94039.48"/>
    <s v="83.95000"/>
    <s v="BDT"/>
    <n v="-7894614.3499999996"/>
    <n v="-94039.48"/>
    <s v="94039.48_1"/>
    <s v=""/>
    <s v="C3270LVUS050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977"/>
    <x v="72"/>
    <d v="2021-02-16T00:00:00"/>
    <d v="2021-02-22T00:00:00"/>
    <s v="RV"/>
    <s v="USD"/>
    <n v="-93785.54"/>
    <s v="83.95000"/>
    <s v="BDT"/>
    <n v="-7873296.0800000001"/>
    <n v="-93785.54"/>
    <s v="93785.54_1"/>
    <s v=""/>
    <s v="C3254UQ21TOK0216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429"/>
    <x v="18"/>
    <d v="2020-11-05T00:00:00"/>
    <d v="2020-11-10T00:00:00"/>
    <s v="RV"/>
    <s v="USD"/>
    <n v="-93705.43"/>
    <s v="83.95000"/>
    <s v="BDT"/>
    <n v="-7866570.8499999996"/>
    <n v="-93705.43"/>
    <s v="93705.43_1"/>
    <s v=""/>
    <s v="C3169UQ20TOK103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926"/>
    <x v="73"/>
    <d v="2021-02-08T00:00:00"/>
    <d v="2021-02-14T00:00:00"/>
    <s v="RV"/>
    <s v="USD"/>
    <n v="-92394.43"/>
    <s v="83.95000"/>
    <s v="BDT"/>
    <n v="-7756512.3899999997"/>
    <n v="-92394.43"/>
    <s v="92394.43_1"/>
    <s v=""/>
    <s v="C3254UQ21OSA0182"/>
    <s v="20210208"/>
    <s v=""/>
    <s v=""/>
    <s v="0"/>
    <s v=""/>
    <s v=""/>
    <s v=""/>
    <s v=""/>
    <s v="2010100001"/>
    <s v=""/>
    <m/>
    <s v=""/>
    <s v=""/>
    <s v=""/>
    <n v="0"/>
  </r>
  <r>
    <s v=""/>
    <s v="40101001"/>
    <s v="2018000803"/>
    <x v="74"/>
    <d v="2021-01-12T00:00:00"/>
    <d v="2021-01-20T00:00:00"/>
    <s v="RV"/>
    <s v="USD"/>
    <n v="-91930.559999999998"/>
    <s v="83.95000"/>
    <s v="BDT"/>
    <n v="-7717570.5099999998"/>
    <n v="-91930.559999999998"/>
    <s v="91930.56_1"/>
    <s v=""/>
    <s v="C3253UQ21TH0007"/>
    <s v="20210112"/>
    <s v=""/>
    <s v=""/>
    <s v="0"/>
    <s v=""/>
    <s v=""/>
    <s v=""/>
    <s v=""/>
    <s v="2010100001"/>
    <s v=""/>
    <m/>
    <s v=""/>
    <s v=""/>
    <s v=""/>
    <n v="0"/>
  </r>
  <r>
    <s v=""/>
    <s v="40101001"/>
    <s v="2018001550"/>
    <x v="75"/>
    <d v="2021-06-17T00:00:00"/>
    <d v="2021-06-23T00:00:00"/>
    <s v="RV"/>
    <s v="USD"/>
    <n v="-91086.19"/>
    <s v="83.95000"/>
    <s v="BDT"/>
    <n v="-7646685.6500000004"/>
    <n v="-91086.19"/>
    <s v="91086.19_1"/>
    <s v=""/>
    <s v="C3329UQ21OSA0808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596"/>
    <x v="76"/>
    <d v="2020-11-19T00:00:00"/>
    <d v="2020-12-07T00:00:00"/>
    <s v="RV"/>
    <s v="USD"/>
    <n v="-90840.92"/>
    <s v="83.95000"/>
    <s v="BDT"/>
    <n v="-7626095.2300000004"/>
    <n v="-90840.92"/>
    <s v="90840.92_1"/>
    <s v=""/>
    <s v="C3140LVUS114620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0251"/>
    <x v="77"/>
    <d v="2020-09-06T00:00:00"/>
    <d v="2020-09-24T00:00:00"/>
    <s v="RV"/>
    <s v="USD"/>
    <n v="-90507.14"/>
    <s v="83.95000"/>
    <s v="BDT"/>
    <n v="-7598074.4000000004"/>
    <n v="-90507.14"/>
    <s v="90507.14_1"/>
    <s v=""/>
    <s v="C3136UQ20TOK0767"/>
    <s v="20200906"/>
    <s v=""/>
    <s v=""/>
    <s v="0"/>
    <s v=""/>
    <s v=""/>
    <s v=""/>
    <s v=""/>
    <s v="2010100001"/>
    <s v=""/>
    <m/>
    <s v=""/>
    <s v=""/>
    <s v=""/>
    <n v="0"/>
  </r>
  <r>
    <s v=""/>
    <s v="40101001"/>
    <s v="2018000185"/>
    <x v="55"/>
    <d v="2020-08-19T00:00:00"/>
    <d v="2020-09-05T00:00:00"/>
    <s v="RV"/>
    <s v="USD"/>
    <n v="-90359.73"/>
    <s v="83.95000"/>
    <s v="BDT"/>
    <n v="-7585699.3300000001"/>
    <n v="-90359.73"/>
    <s v="90359.73_1"/>
    <s v=""/>
    <s v="C3099LVUS0750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0703"/>
    <x v="9"/>
    <d v="2020-12-24T00:00:00"/>
    <d v="2020-12-29T00:00:00"/>
    <s v="RV"/>
    <s v="USD"/>
    <n v="-89060.1"/>
    <s v="83.95000"/>
    <s v="BDT"/>
    <n v="-7476595.4000000004"/>
    <n v="-89060.1"/>
    <s v="89060.1_1"/>
    <s v=""/>
    <s v="C3234UQ20TOK1324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358"/>
    <x v="78"/>
    <d v="2020-10-04T00:00:00"/>
    <d v="2020-10-26T00:00:00"/>
    <s v="RV"/>
    <s v="USD"/>
    <n v="-88830.03"/>
    <s v="83.95000"/>
    <s v="BDT"/>
    <n v="-7457281.0199999996"/>
    <n v="-88830.03"/>
    <s v="88830.03_1"/>
    <s v=""/>
    <s v="C3163C&amp;A20GR0909"/>
    <s v="20201004"/>
    <s v=""/>
    <s v=""/>
    <s v="0"/>
    <s v=""/>
    <s v=""/>
    <s v=""/>
    <s v=""/>
    <s v="2010100001"/>
    <s v=""/>
    <m/>
    <s v=""/>
    <s v=""/>
    <s v=""/>
    <n v="0"/>
  </r>
  <r>
    <s v=""/>
    <s v="40101001"/>
    <s v="2018000287"/>
    <x v="36"/>
    <d v="2020-09-29T00:00:00"/>
    <d v="2020-10-03T00:00:00"/>
    <s v="RV"/>
    <s v="USD"/>
    <n v="-88743.49"/>
    <s v="83.95000"/>
    <s v="BDT"/>
    <n v="-7450015.9900000002"/>
    <n v="-88743.49"/>
    <s v="88743.49_1"/>
    <s v=""/>
    <s v="C3163C&amp;A20GR0906"/>
    <s v="20200929"/>
    <s v=""/>
    <s v=""/>
    <s v="0"/>
    <s v=""/>
    <s v=""/>
    <s v=""/>
    <s v=""/>
    <s v="2010100001"/>
    <s v=""/>
    <m/>
    <s v=""/>
    <s v=""/>
    <s v=""/>
    <n v="0"/>
  </r>
  <r>
    <s v=""/>
    <s v="40101001"/>
    <s v="2018000288"/>
    <x v="36"/>
    <d v="2020-09-29T00:00:00"/>
    <d v="2020-10-03T00:00:00"/>
    <s v="RV"/>
    <s v="USD"/>
    <n v="-88570.41"/>
    <s v="83.95000"/>
    <s v="BDT"/>
    <n v="-7435485.9199999999"/>
    <n v="-88570.41"/>
    <s v="88570.41_1"/>
    <s v=""/>
    <s v="C3163C&amp;A20GR0907"/>
    <s v="20200929"/>
    <s v=""/>
    <s v=""/>
    <s v="0"/>
    <s v=""/>
    <s v=""/>
    <s v=""/>
    <s v=""/>
    <s v="2010100001"/>
    <s v=""/>
    <m/>
    <s v=""/>
    <s v=""/>
    <s v=""/>
    <n v="0"/>
  </r>
  <r>
    <s v=""/>
    <s v="40101001"/>
    <s v="2018000669"/>
    <x v="79"/>
    <d v="2020-12-18T00:00:00"/>
    <d v="2020-12-22T00:00:00"/>
    <s v="RV"/>
    <s v="USD"/>
    <n v="-88379.36"/>
    <s v="83.95000"/>
    <s v="BDT"/>
    <n v="-7419447.2699999996"/>
    <n v="-88379.36"/>
    <s v="88379.36_1"/>
    <s v=""/>
    <s v="C3234UQ20NAG1331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089"/>
    <x v="57"/>
    <d v="2021-03-18T00:00:00"/>
    <d v="2021-03-24T00:00:00"/>
    <s v="RV"/>
    <s v="USD"/>
    <n v="-88335.86"/>
    <s v="83.95000"/>
    <s v="BDT"/>
    <n v="-7415795.4500000002"/>
    <n v="-88335.86"/>
    <s v="88335.86_1"/>
    <s v=""/>
    <s v="C3272UQ21OSA0318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0469"/>
    <x v="54"/>
    <d v="2020-11-09T00:00:00"/>
    <d v="2020-11-14T00:00:00"/>
    <s v="RV"/>
    <s v="USD"/>
    <n v="-88245.43"/>
    <s v="83.95000"/>
    <s v="BDT"/>
    <n v="-7408203.8499999996"/>
    <n v="-88245.43"/>
    <s v="88245.43_1"/>
    <s v=""/>
    <s v="C3169UQ20EU1051"/>
    <s v="20201109"/>
    <s v=""/>
    <s v=""/>
    <s v="0"/>
    <s v=""/>
    <s v=""/>
    <s v=""/>
    <s v=""/>
    <s v="2010100001"/>
    <s v=""/>
    <m/>
    <s v=""/>
    <s v=""/>
    <s v=""/>
    <n v="0"/>
  </r>
  <r>
    <s v=""/>
    <s v="40101001"/>
    <s v="2018001242"/>
    <x v="80"/>
    <d v="2021-04-18T00:00:00"/>
    <d v="2021-04-22T00:00:00"/>
    <s v="RV"/>
    <s v="USD"/>
    <n v="-87151.49"/>
    <s v="83.95000"/>
    <s v="BDT"/>
    <n v="-7316367.5899999999"/>
    <n v="-87151.49"/>
    <s v="87151.49_1"/>
    <s v=""/>
    <s v="C3309UQ21SEN0488"/>
    <s v="20210418"/>
    <s v=""/>
    <s v=""/>
    <s v="0"/>
    <s v=""/>
    <s v=""/>
    <s v=""/>
    <s v=""/>
    <s v="2010100001"/>
    <s v=""/>
    <m/>
    <s v=""/>
    <s v=""/>
    <s v=""/>
    <n v="0"/>
  </r>
  <r>
    <s v=""/>
    <s v="40101001"/>
    <s v="2018000241"/>
    <x v="81"/>
    <d v="2020-09-16T00:00:00"/>
    <d v="2020-09-22T00:00:00"/>
    <s v="RV"/>
    <s v="USD"/>
    <n v="-86222.63"/>
    <s v="83.95000"/>
    <s v="BDT"/>
    <n v="-7238389.79"/>
    <n v="-86222.63"/>
    <s v="86222.63_1"/>
    <s v=""/>
    <s v="C3154UQ20TOK0864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1383"/>
    <x v="56"/>
    <d v="2021-05-13T00:00:00"/>
    <d v="2021-05-20T00:00:00"/>
    <s v="RV"/>
    <s v="USD"/>
    <n v="-86137.33"/>
    <s v="83.95000"/>
    <s v="BDT"/>
    <n v="-7231228.8499999996"/>
    <n v="-86137.33"/>
    <s v="86137.33_1"/>
    <s v=""/>
    <s v="C3286LVUS060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439"/>
    <x v="18"/>
    <d v="2020-11-05T00:00:00"/>
    <d v="2020-11-11T00:00:00"/>
    <s v="RV"/>
    <s v="USD"/>
    <n v="-85475.61"/>
    <s v="83.95000"/>
    <s v="BDT"/>
    <n v="-7175677.46"/>
    <n v="-85475.61"/>
    <s v="85475.61_1"/>
    <s v=""/>
    <s v="C3159UQ20TOK1091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597"/>
    <x v="39"/>
    <d v="2021-06-27T00:00:00"/>
    <d v="2021-06-29T00:00:00"/>
    <s v="RV"/>
    <s v="USD"/>
    <n v="-84702.68"/>
    <s v="83.95000"/>
    <s v="BDT"/>
    <n v="-7110789.9900000002"/>
    <n v="-84702.68"/>
    <s v="84702.68_1"/>
    <s v=""/>
    <s v="C3329UQ21OSA0888"/>
    <s v="20210627"/>
    <s v=""/>
    <s v=""/>
    <s v="0"/>
    <s v=""/>
    <s v=""/>
    <s v=""/>
    <s v=""/>
    <s v="2010100001"/>
    <s v=""/>
    <m/>
    <s v=""/>
    <s v=""/>
    <s v=""/>
    <n v="0"/>
  </r>
  <r>
    <s v=""/>
    <s v="40101001"/>
    <s v="2018000293"/>
    <x v="82"/>
    <d v="2020-09-22T00:00:00"/>
    <d v="2020-10-04T00:00:00"/>
    <s v="RV"/>
    <s v="USD"/>
    <n v="-84578.95"/>
    <s v="83.95000"/>
    <s v="BDT"/>
    <n v="-7100402.8499999996"/>
    <n v="-84578.95"/>
    <s v="84578.95_1"/>
    <s v=""/>
    <s v="C3099LVUS088420"/>
    <s v="20200922"/>
    <s v=""/>
    <s v=""/>
    <s v="0"/>
    <s v=""/>
    <s v=""/>
    <s v=""/>
    <s v=""/>
    <s v="2010100001"/>
    <s v=""/>
    <m/>
    <s v=""/>
    <s v=""/>
    <s v=""/>
    <n v="0"/>
  </r>
  <r>
    <s v=""/>
    <s v="40101001"/>
    <s v="2018000816"/>
    <x v="42"/>
    <d v="2021-01-14T00:00:00"/>
    <d v="2021-01-21T00:00:00"/>
    <s v="RV"/>
    <s v="USD"/>
    <n v="-84576.12"/>
    <s v="83.95000"/>
    <s v="BDT"/>
    <n v="-7100165.2699999996"/>
    <n v="-84576.12"/>
    <s v="84576.12_1"/>
    <s v=""/>
    <s v="C3253UQ21TH0036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186"/>
    <x v="83"/>
    <d v="2021-03-30T00:00:00"/>
    <d v="2021-04-04T00:00:00"/>
    <s v="RV"/>
    <s v="USD"/>
    <n v="-84542.04"/>
    <s v="83.95000"/>
    <s v="BDT"/>
    <n v="-7097304.2599999998"/>
    <n v="-84542.04"/>
    <s v="84542.04_1"/>
    <s v=""/>
    <s v="C3290UQ21YOK0416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1382"/>
    <x v="56"/>
    <d v="2021-05-13T00:00:00"/>
    <d v="2021-05-20T00:00:00"/>
    <s v="RV"/>
    <s v="USD"/>
    <n v="-84460.05"/>
    <s v="83.95000"/>
    <s v="BDT"/>
    <n v="-7090421.2000000002"/>
    <n v="-84460.05"/>
    <s v="84460.05_1"/>
    <s v=""/>
    <s v="C3283LVUS062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175"/>
    <x v="84"/>
    <d v="2020-08-05T00:00:00"/>
    <d v="2020-08-29T00:00:00"/>
    <s v="RV"/>
    <s v="USD"/>
    <n v="-83840.44"/>
    <s v="83.95000"/>
    <s v="BDT"/>
    <n v="-7038404.9299999997"/>
    <n v="-83840.44"/>
    <s v="83840.44_1"/>
    <s v=""/>
    <s v="C3099LVUS070420"/>
    <s v="20200805"/>
    <s v=""/>
    <s v=""/>
    <s v="0"/>
    <s v=""/>
    <s v=""/>
    <s v=""/>
    <s v=""/>
    <s v="2010100001"/>
    <s v=""/>
    <m/>
    <s v=""/>
    <s v=""/>
    <s v=""/>
    <n v="0"/>
  </r>
  <r>
    <s v=""/>
    <s v="40101001"/>
    <s v="2018000868"/>
    <x v="85"/>
    <d v="2021-01-25T00:00:00"/>
    <d v="2021-01-30T00:00:00"/>
    <s v="RV"/>
    <s v="USD"/>
    <n v="-82431.73"/>
    <s v="83.95000"/>
    <s v="BDT"/>
    <n v="-6920143.7300000004"/>
    <n v="-82431.73"/>
    <s v="82431.73_1"/>
    <s v=""/>
    <s v="C3246UQ21OSA0105"/>
    <s v="20210125"/>
    <s v=""/>
    <s v=""/>
    <s v="0"/>
    <s v=""/>
    <s v=""/>
    <s v=""/>
    <s v=""/>
    <s v="2010100001"/>
    <s v=""/>
    <m/>
    <s v=""/>
    <s v=""/>
    <s v=""/>
    <n v="0"/>
  </r>
  <r>
    <s v=""/>
    <s v="40101001"/>
    <s v="2018001521"/>
    <x v="86"/>
    <d v="2021-06-14T00:00:00"/>
    <d v="2021-06-17T00:00:00"/>
    <s v="RV"/>
    <s v="USD"/>
    <n v="-81853.2"/>
    <s v="83.95000"/>
    <s v="BDT"/>
    <n v="-6871576.1399999997"/>
    <n v="-81853.2"/>
    <s v="81853.2_1"/>
    <s v=""/>
    <s v="C3309UQ21TOK0761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0845"/>
    <x v="87"/>
    <d v="2021-01-16T00:00:00"/>
    <d v="2021-01-28T00:00:00"/>
    <s v="RV"/>
    <s v="USD"/>
    <n v="-81765.34"/>
    <s v="83.95000"/>
    <s v="BDT"/>
    <n v="-6864200.29"/>
    <n v="-81765.34"/>
    <s v="81765.34_1"/>
    <s v=""/>
    <s v="C3217UQ20RU1323"/>
    <s v="20210116"/>
    <s v=""/>
    <s v=""/>
    <s v="0"/>
    <s v=""/>
    <s v=""/>
    <s v=""/>
    <s v=""/>
    <s v="2010100001"/>
    <s v=""/>
    <m/>
    <s v=""/>
    <s v=""/>
    <s v=""/>
    <n v="0"/>
  </r>
  <r>
    <s v=""/>
    <s v="40101001"/>
    <s v="2018001515"/>
    <x v="88"/>
    <d v="2021-06-11T00:00:00"/>
    <d v="2021-06-17T00:00:00"/>
    <s v="RV"/>
    <s v="USD"/>
    <n v="-81712.259999999995"/>
    <s v="83.95000"/>
    <s v="BDT"/>
    <n v="-6859744.2300000004"/>
    <n v="-81712.259999999995"/>
    <s v="81712.26_1"/>
    <s v=""/>
    <s v="C3286LVUS0702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136"/>
    <x v="89"/>
    <d v="2021-03-21T00:00:00"/>
    <d v="2021-03-31T00:00:00"/>
    <s v="RV"/>
    <s v="USD"/>
    <n v="-81561.929999999993"/>
    <s v="83.95000"/>
    <s v="BDT"/>
    <n v="-6847124.0199999996"/>
    <n v="-81561.929999999993"/>
    <s v="81561.93_1"/>
    <s v=""/>
    <s v="C3261C&amp;A21GR0355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130"/>
    <x v="89"/>
    <d v="2021-03-21T00:00:00"/>
    <d v="2021-03-31T00:00:00"/>
    <s v="RV"/>
    <s v="USD"/>
    <n v="-81323.91"/>
    <s v="83.95000"/>
    <s v="BDT"/>
    <n v="-6827142.2400000002"/>
    <n v="-81323.91"/>
    <s v="81323.91_1"/>
    <s v=""/>
    <s v="C3261C&amp;A21GR0353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557"/>
    <x v="90"/>
    <d v="2020-11-12T00:00:00"/>
    <d v="2020-11-30T00:00:00"/>
    <s v="RV"/>
    <s v="USD"/>
    <n v="-80983.45"/>
    <s v="83.95000"/>
    <s v="BDT"/>
    <n v="-6798560.6299999999"/>
    <n v="-80983.45"/>
    <s v="80983.45_1"/>
    <s v=""/>
    <s v="C3140LVUS110820"/>
    <s v="20201112"/>
    <s v=""/>
    <s v=""/>
    <s v="0"/>
    <s v=""/>
    <s v=""/>
    <s v=""/>
    <s v=""/>
    <s v="2010100001"/>
    <s v=""/>
    <m/>
    <s v=""/>
    <s v=""/>
    <s v=""/>
    <n v="0"/>
  </r>
  <r>
    <s v=""/>
    <s v="40101001"/>
    <s v="2018000483"/>
    <x v="91"/>
    <d v="2020-11-10T00:00:00"/>
    <d v="2020-11-16T00:00:00"/>
    <s v="RV"/>
    <s v="USD"/>
    <n v="-80969.81"/>
    <s v="83.95000"/>
    <s v="BDT"/>
    <n v="-6797415.5499999998"/>
    <n v="-80969.81"/>
    <s v="80969.81_1"/>
    <s v=""/>
    <s v="C03170US20-1043"/>
    <s v="20201110"/>
    <s v=""/>
    <s v=""/>
    <s v="0"/>
    <s v=""/>
    <s v=""/>
    <s v=""/>
    <s v=""/>
    <s v="2010100001"/>
    <s v=""/>
    <m/>
    <s v=""/>
    <s v=""/>
    <s v=""/>
    <n v="0"/>
  </r>
  <r>
    <s v=""/>
    <s v="40101001"/>
    <s v="2018000537"/>
    <x v="92"/>
    <d v="2020-11-22T00:00:00"/>
    <d v="2020-11-26T00:00:00"/>
    <s v="RV"/>
    <s v="USD"/>
    <n v="-80451.61"/>
    <s v="83.95000"/>
    <s v="BDT"/>
    <n v="-6753912.6600000001"/>
    <n v="-80451.61"/>
    <s v="80451.61_1"/>
    <s v=""/>
    <s v="C3233UQ20TH1186"/>
    <s v="20201122"/>
    <s v=""/>
    <s v=""/>
    <s v="0"/>
    <s v=""/>
    <s v=""/>
    <s v=""/>
    <s v=""/>
    <s v="2010100001"/>
    <s v=""/>
    <m/>
    <s v=""/>
    <s v=""/>
    <s v=""/>
    <n v="0"/>
  </r>
  <r>
    <s v=""/>
    <s v="40101001"/>
    <s v="2018000111"/>
    <x v="1"/>
    <d v="2020-07-30T00:00:00"/>
    <d v="2020-08-10T00:00:00"/>
    <s v="RV"/>
    <s v="USD"/>
    <n v="-80445.63"/>
    <s v="83.95000"/>
    <s v="BDT"/>
    <n v="-6753410.6399999997"/>
    <n v="-80445.63"/>
    <s v="80445.63_1"/>
    <s v=""/>
    <s v="C3128UQ20OSA0722"/>
    <s v="20200730"/>
    <s v=""/>
    <s v=""/>
    <s v="0"/>
    <s v=""/>
    <s v=""/>
    <s v=""/>
    <s v=""/>
    <s v="2010100001"/>
    <s v=""/>
    <m/>
    <s v=""/>
    <s v=""/>
    <s v=""/>
    <n v="0"/>
  </r>
  <r>
    <s v=""/>
    <s v="40101001"/>
    <s v="2018001509"/>
    <x v="88"/>
    <d v="2021-06-11T00:00:00"/>
    <d v="2021-06-17T00:00:00"/>
    <s v="RV"/>
    <s v="USD"/>
    <n v="-80235.100000000006"/>
    <s v="83.95000"/>
    <s v="BDT"/>
    <n v="-6735736.6500000004"/>
    <n v="-80235.100000000006"/>
    <s v="80235.1_1"/>
    <s v=""/>
    <s v="C3280LVUS0699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382"/>
    <x v="56"/>
    <d v="2021-05-13T00:00:00"/>
    <d v="2021-05-20T00:00:00"/>
    <s v="RV"/>
    <s v="USD"/>
    <n v="-79932.62"/>
    <s v="83.95000"/>
    <s v="BDT"/>
    <n v="-6710343.4500000002"/>
    <n v="-79932.62"/>
    <s v="79932.62_1"/>
    <s v=""/>
    <s v="C3283LVUS062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926"/>
    <x v="73"/>
    <d v="2021-02-08T00:00:00"/>
    <d v="2021-02-14T00:00:00"/>
    <s v="RV"/>
    <s v="USD"/>
    <n v="-79680.33"/>
    <s v="83.95000"/>
    <s v="BDT"/>
    <n v="-6689163.71"/>
    <n v="-79680.33"/>
    <s v="79680.33_1"/>
    <s v=""/>
    <s v="C3254UQ21OSA0182"/>
    <s v="20210208"/>
    <s v=""/>
    <s v=""/>
    <s v="0"/>
    <s v=""/>
    <s v=""/>
    <s v=""/>
    <s v=""/>
    <s v="2010100001"/>
    <s v=""/>
    <m/>
    <s v=""/>
    <s v=""/>
    <s v=""/>
    <n v="0"/>
  </r>
  <r>
    <s v=""/>
    <s v="40101001"/>
    <s v="2018001615"/>
    <x v="93"/>
    <d v="2021-06-29T00:00:00"/>
    <d v="2021-07-05T00:00:00"/>
    <s v="RV"/>
    <s v="USD"/>
    <n v="-79462.61"/>
    <s v="83.95000"/>
    <s v="BDT"/>
    <n v="-6670886.1100000003"/>
    <n v="-79462.61"/>
    <s v="79462.61_1"/>
    <s v=""/>
    <s v="C3353UQ21TOK0889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1591"/>
    <x v="61"/>
    <d v="2021-06-25T00:00:00"/>
    <d v="2021-06-29T00:00:00"/>
    <s v="RV"/>
    <s v="USD"/>
    <n v="-79322.399999999994"/>
    <s v="83.95000"/>
    <s v="BDT"/>
    <n v="-6659115.4699999997"/>
    <n v="-79322.399999999994"/>
    <s v="79322.4_1"/>
    <s v=""/>
    <s v="C3329UQ21YOK0859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78925.16"/>
    <s v="83.95000"/>
    <s v="BDT"/>
    <n v="-6625767.1900000004"/>
    <n v="-78925.16"/>
    <s v="78925.16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561"/>
    <x v="14"/>
    <d v="2020-11-25T00:00:00"/>
    <d v="2020-11-30T00:00:00"/>
    <s v="RV"/>
    <s v="USD"/>
    <n v="-78724.710000000006"/>
    <s v="83.95000"/>
    <s v="BDT"/>
    <n v="-6608939.4100000001"/>
    <n v="-78724.710000000006"/>
    <s v="78724.71_1"/>
    <s v=""/>
    <s v="C3168UQ20OSA1201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046"/>
    <x v="47"/>
    <d v="2020-07-16T00:00:00"/>
    <d v="2020-07-20T00:00:00"/>
    <s v="RV"/>
    <s v="USD"/>
    <n v="-78642.240000000005"/>
    <s v="83.95000"/>
    <s v="BDT"/>
    <n v="-6602016.0499999998"/>
    <n v="-78642.240000000005"/>
    <s v="78642.24_1"/>
    <s v=""/>
    <s v="C3121UQ20OSA0647"/>
    <s v="20200716"/>
    <s v=""/>
    <s v=""/>
    <s v="0"/>
    <s v=""/>
    <s v=""/>
    <s v=""/>
    <s v=""/>
    <s v="2010100001"/>
    <s v=""/>
    <m/>
    <s v=""/>
    <s v=""/>
    <s v=""/>
    <n v="0"/>
  </r>
  <r>
    <s v=""/>
    <s v="40101001"/>
    <s v="2018001328"/>
    <x v="94"/>
    <d v="2021-05-07T00:00:00"/>
    <d v="2021-05-13T00:00:00"/>
    <s v="RV"/>
    <s v="USD"/>
    <n v="-78384.12"/>
    <s v="83.95000"/>
    <s v="BDT"/>
    <n v="-6580346.8700000001"/>
    <n v="-78384.12"/>
    <s v="78384.12_1"/>
    <s v=""/>
    <s v="C3316UQ21HAK0581"/>
    <s v="20210507"/>
    <s v=""/>
    <s v=""/>
    <s v="0"/>
    <s v=""/>
    <s v=""/>
    <s v=""/>
    <s v=""/>
    <s v="2010100001"/>
    <s v=""/>
    <m/>
    <s v=""/>
    <s v=""/>
    <s v=""/>
    <n v="0"/>
  </r>
  <r>
    <s v=""/>
    <s v="40101002"/>
    <s v="2008000058"/>
    <x v="95"/>
    <d v="2020-10-26T00:00:00"/>
    <d v="2020-11-03T00:00:00"/>
    <s v="DR"/>
    <s v="USD"/>
    <n v="-78339.7"/>
    <s v="83.95000"/>
    <s v="BDT"/>
    <n v="-6576617.8200000003"/>
    <n v="-78339.7"/>
    <s v="78339.7_1"/>
    <s v=""/>
    <s v="CIN7QTPA100720"/>
    <s v="CIN7QTPA100720"/>
    <s v="Secondry  Sales to QUETICO"/>
    <s v=""/>
    <s v="0"/>
    <s v="Secondry Sales to QUETICO"/>
    <s v=""/>
    <s v=""/>
    <s v=""/>
    <s v="2010100001"/>
    <s v=""/>
    <m/>
    <s v=""/>
    <s v=""/>
    <s v=""/>
    <n v="0"/>
  </r>
  <r>
    <s v=""/>
    <s v="40101001"/>
    <s v="2018000610"/>
    <x v="22"/>
    <d v="2020-12-02T00:00:00"/>
    <d v="2020-12-09T00:00:00"/>
    <s v="RV"/>
    <s v="USD"/>
    <n v="-77148.36"/>
    <s v="83.95000"/>
    <s v="BDT"/>
    <n v="-6476604.8200000003"/>
    <n v="-77148.36"/>
    <s v="77148.36_1"/>
    <s v=""/>
    <s v="C3168UQ20NAG1221"/>
    <s v="20201202"/>
    <s v=""/>
    <s v=""/>
    <s v="0"/>
    <s v=""/>
    <s v=""/>
    <s v=""/>
    <s v=""/>
    <s v="2010100001"/>
    <s v=""/>
    <m/>
    <s v=""/>
    <s v=""/>
    <s v=""/>
    <n v="0"/>
  </r>
  <r>
    <s v=""/>
    <s v="40101001"/>
    <s v="2018001073"/>
    <x v="96"/>
    <d v="2021-03-13T00:00:00"/>
    <d v="2021-03-17T00:00:00"/>
    <s v="RV"/>
    <s v="USD"/>
    <n v="-76981.039999999994"/>
    <s v="83.95000"/>
    <s v="BDT"/>
    <n v="-6462558.3099999996"/>
    <n v="-76981.039999999994"/>
    <s v="76981.04_1"/>
    <s v=""/>
    <s v="C3290UQ21YOK0299"/>
    <s v="20210313"/>
    <s v=""/>
    <s v=""/>
    <s v="0"/>
    <s v=""/>
    <s v=""/>
    <s v=""/>
    <s v=""/>
    <s v="2010100001"/>
    <s v=""/>
    <m/>
    <s v=""/>
    <s v=""/>
    <s v=""/>
    <n v="0"/>
  </r>
  <r>
    <s v=""/>
    <s v="40101001"/>
    <s v="2018000479"/>
    <x v="65"/>
    <d v="2020-11-11T00:00:00"/>
    <d v="2020-11-16T00:00:00"/>
    <s v="RV"/>
    <s v="USD"/>
    <n v="-76937.58"/>
    <s v="83.95000"/>
    <s v="BDT"/>
    <n v="-6458909.8399999999"/>
    <n v="-76937.58"/>
    <s v="76937.58_1"/>
    <s v=""/>
    <s v="C3207UQ20HAK110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1369"/>
    <x v="20"/>
    <d v="2021-05-14T00:00:00"/>
    <d v="2021-05-20T00:00:00"/>
    <s v="RV"/>
    <s v="USD"/>
    <n v="-76563.92"/>
    <s v="83.95000"/>
    <s v="BDT"/>
    <n v="-6427541.0800000001"/>
    <n v="-76563.92"/>
    <s v="76563.92_1"/>
    <s v=""/>
    <s v="C3309UQ21OSA0589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0361"/>
    <x v="97"/>
    <d v="2020-10-09T00:00:00"/>
    <d v="2020-10-28T00:00:00"/>
    <s v="RV"/>
    <s v="USD"/>
    <n v="-76427.83"/>
    <s v="83.95000"/>
    <s v="BDT"/>
    <n v="-6416116.3300000001"/>
    <n v="-76427.83"/>
    <s v="76427.83_1"/>
    <s v=""/>
    <s v="C3171UQ20OSA0910"/>
    <s v="20201009"/>
    <s v=""/>
    <s v=""/>
    <s v="0"/>
    <s v=""/>
    <s v=""/>
    <s v=""/>
    <s v=""/>
    <s v="2010100001"/>
    <s v=""/>
    <m/>
    <s v=""/>
    <s v=""/>
    <s v=""/>
    <n v="0"/>
  </r>
  <r>
    <s v=""/>
    <s v="40101001"/>
    <s v="2018001332"/>
    <x v="51"/>
    <d v="2021-05-08T00:00:00"/>
    <d v="2021-05-13T00:00:00"/>
    <s v="RV"/>
    <s v="USD"/>
    <n v="-74810.880000000005"/>
    <s v="83.95000"/>
    <s v="BDT"/>
    <n v="-6280373.3799999999"/>
    <n v="-74810.880000000005"/>
    <s v="74810.88_1"/>
    <s v=""/>
    <s v="C3308UQ21OSA0612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425"/>
    <x v="32"/>
    <d v="2021-05-27T00:00:00"/>
    <d v="2021-05-31T00:00:00"/>
    <s v="RV"/>
    <s v="USD"/>
    <n v="-74804.75"/>
    <s v="83.95000"/>
    <s v="BDT"/>
    <n v="-6279858.7699999996"/>
    <n v="-74804.75"/>
    <s v="74804.75_1"/>
    <s v=""/>
    <s v="C3189AMZLB068421"/>
    <s v="20210527"/>
    <s v=""/>
    <s v=""/>
    <s v="0"/>
    <s v=""/>
    <s v=""/>
    <s v=""/>
    <s v=""/>
    <s v="2010100001"/>
    <s v=""/>
    <m/>
    <s v=""/>
    <s v=""/>
    <s v=""/>
    <n v="0"/>
  </r>
  <r>
    <s v=""/>
    <s v="40101001"/>
    <s v="2018000422"/>
    <x v="98"/>
    <d v="2020-10-21T00:00:00"/>
    <d v="2020-11-07T00:00:00"/>
    <s v="RV"/>
    <s v="USD"/>
    <n v="-73943.28"/>
    <s v="83.95000"/>
    <s v="BDT"/>
    <n v="-6207538.3600000003"/>
    <n v="-73943.28"/>
    <s v="73943.28_1"/>
    <s v=""/>
    <s v="C3140LVUS0987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592"/>
    <x v="27"/>
    <d v="2020-11-30T00:00:00"/>
    <d v="2020-12-05T00:00:00"/>
    <s v="RV"/>
    <s v="USD"/>
    <n v="-73624.759999999995"/>
    <s v="83.95000"/>
    <s v="BDT"/>
    <n v="-6180798.5999999996"/>
    <n v="-73624.759999999995"/>
    <s v="73624.76_1"/>
    <s v=""/>
    <s v="C3168UQ20TOK1219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1368"/>
    <x v="20"/>
    <d v="2021-05-14T00:00:00"/>
    <d v="2021-05-20T00:00:00"/>
    <s v="RV"/>
    <s v="USD"/>
    <n v="-73408.179999999993"/>
    <s v="83.95000"/>
    <s v="BDT"/>
    <n v="-6162616.71"/>
    <n v="-73408.179999999993"/>
    <s v="73408.18_1"/>
    <s v=""/>
    <s v="C3308UQ21TOK0631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1591"/>
    <x v="61"/>
    <d v="2021-06-25T00:00:00"/>
    <d v="2021-06-29T00:00:00"/>
    <s v="RV"/>
    <s v="USD"/>
    <n v="-73215.899999999994"/>
    <s v="83.95000"/>
    <s v="BDT"/>
    <n v="-6146474.8099999996"/>
    <n v="-73215.899999999994"/>
    <s v="73215.9_1"/>
    <s v=""/>
    <s v="C3329UQ21YOK0859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0953"/>
    <x v="99"/>
    <d v="2021-02-11T00:00:00"/>
    <d v="2021-02-16T00:00:00"/>
    <s v="RV"/>
    <s v="USD"/>
    <n v="-72494.09"/>
    <s v="83.95000"/>
    <s v="BDT"/>
    <n v="-6085878.8600000003"/>
    <n v="-72494.09"/>
    <s v="72494.09_1"/>
    <s v=""/>
    <s v="C3260UQ21HAK0176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060"/>
    <x v="2"/>
    <d v="2020-07-19T00:00:00"/>
    <d v="2020-07-22T00:00:00"/>
    <s v="RV"/>
    <s v="USD"/>
    <n v="-72412.62"/>
    <s v="83.95000"/>
    <s v="BDT"/>
    <n v="-6079039.4500000002"/>
    <n v="-72412.62"/>
    <s v="72412.62_1"/>
    <s v=""/>
    <s v="C3128UQ20NAG0631"/>
    <s v="20200719"/>
    <s v=""/>
    <s v=""/>
    <s v="0"/>
    <s v=""/>
    <s v=""/>
    <s v=""/>
    <s v=""/>
    <s v="2010100001"/>
    <s v=""/>
    <m/>
    <s v=""/>
    <s v=""/>
    <s v=""/>
    <n v="0"/>
  </r>
  <r>
    <s v=""/>
    <s v="40101001"/>
    <s v="2018000125"/>
    <x v="100"/>
    <d v="2020-08-07T00:00:00"/>
    <d v="2020-08-12T00:00:00"/>
    <s v="RV"/>
    <s v="USD"/>
    <n v="-72395.08"/>
    <s v="83.95000"/>
    <s v="BDT"/>
    <n v="-6077566.9699999997"/>
    <n v="-72395.08"/>
    <s v="72395.08_1"/>
    <s v=""/>
    <s v="C3128UQ20TOK0731"/>
    <s v="20200807"/>
    <s v=""/>
    <s v=""/>
    <s v="0"/>
    <s v=""/>
    <s v=""/>
    <s v=""/>
    <s v=""/>
    <s v="2010100001"/>
    <s v=""/>
    <m/>
    <s v=""/>
    <s v=""/>
    <s v=""/>
    <n v="0"/>
  </r>
  <r>
    <s v=""/>
    <s v="40101001"/>
    <s v="2018000374"/>
    <x v="13"/>
    <d v="2020-10-22T00:00:00"/>
    <d v="2020-11-01T00:00:00"/>
    <s v="RV"/>
    <s v="USD"/>
    <n v="-72252.479999999996"/>
    <s v="83.95000"/>
    <s v="BDT"/>
    <n v="-6065595.7000000002"/>
    <n v="-72252.479999999996"/>
    <s v="72252.48_1"/>
    <s v=""/>
    <s v="C3169UQ20RU0882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0059"/>
    <x v="2"/>
    <d v="2020-07-19T00:00:00"/>
    <d v="2020-07-22T00:00:00"/>
    <s v="RV"/>
    <s v="USD"/>
    <n v="-72008.08"/>
    <s v="83.95000"/>
    <s v="BDT"/>
    <n v="-6045078.3200000003"/>
    <n v="-72008.08"/>
    <s v="72008.08_1"/>
    <s v=""/>
    <s v="C3128UQ20HAK0632"/>
    <s v="20200719"/>
    <s v=""/>
    <s v=""/>
    <s v="0"/>
    <s v=""/>
    <s v=""/>
    <s v=""/>
    <s v=""/>
    <s v="2010100001"/>
    <s v=""/>
    <m/>
    <s v=""/>
    <s v=""/>
    <s v=""/>
    <n v="0"/>
  </r>
  <r>
    <s v=""/>
    <s v="40101001"/>
    <s v="2018001178"/>
    <x v="101"/>
    <d v="2021-03-28T00:00:00"/>
    <d v="2021-04-04T00:00:00"/>
    <s v="RV"/>
    <s v="USD"/>
    <n v="-71995.75"/>
    <s v="83.95000"/>
    <s v="BDT"/>
    <n v="-6044043.21"/>
    <n v="-71995.75"/>
    <s v="71995.75_1"/>
    <s v=""/>
    <s v="C3290UQ21YOK0413"/>
    <s v="20210328"/>
    <s v=""/>
    <s v=""/>
    <s v="0"/>
    <s v=""/>
    <s v=""/>
    <s v=""/>
    <s v=""/>
    <s v="2010100001"/>
    <s v=""/>
    <m/>
    <s v=""/>
    <s v=""/>
    <s v=""/>
    <n v="0"/>
  </r>
  <r>
    <s v=""/>
    <s v="40101001"/>
    <s v="2018000348"/>
    <x v="7"/>
    <d v="2020-10-19T00:00:00"/>
    <d v="2020-10-24T00:00:00"/>
    <s v="RV"/>
    <s v="USD"/>
    <n v="-71236.42"/>
    <s v="83.95000"/>
    <s v="BDT"/>
    <n v="-5980297.46"/>
    <n v="-71236.42"/>
    <s v="71236.42_1"/>
    <s v=""/>
    <s v="C3152TS20UK0874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1077"/>
    <x v="102"/>
    <d v="2021-03-15T00:00:00"/>
    <d v="2021-03-20T00:00:00"/>
    <s v="RV"/>
    <s v="USD"/>
    <n v="-71081.78"/>
    <s v="83.95000"/>
    <s v="BDT"/>
    <n v="-5967315.4299999997"/>
    <n v="-71081.78"/>
    <s v="71081.78_1"/>
    <s v=""/>
    <s v="C3290UQ21YOK0321"/>
    <s v="20210315"/>
    <s v=""/>
    <s v=""/>
    <s v="0"/>
    <s v=""/>
    <s v=""/>
    <s v=""/>
    <s v=""/>
    <s v="2010100001"/>
    <s v=""/>
    <m/>
    <s v=""/>
    <s v=""/>
    <s v=""/>
    <n v="0"/>
  </r>
  <r>
    <s v=""/>
    <s v="40101001"/>
    <s v="2018000657"/>
    <x v="19"/>
    <d v="2020-12-16T00:00:00"/>
    <d v="2020-12-21T00:00:00"/>
    <s v="RV"/>
    <s v="USD"/>
    <n v="-70977.27"/>
    <s v="83.95000"/>
    <s v="BDT"/>
    <n v="-5958541.8200000003"/>
    <n v="-70977.27"/>
    <s v="70977.27_1"/>
    <s v=""/>
    <s v="C3233UQ20TH1317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414"/>
    <x v="23"/>
    <d v="2020-10-31T00:00:00"/>
    <d v="2020-11-05T00:00:00"/>
    <s v="RV"/>
    <s v="USD"/>
    <n v="-70921.31"/>
    <s v="83.95000"/>
    <s v="BDT"/>
    <n v="-5953843.9800000004"/>
    <n v="-70921.31"/>
    <s v="70921.31_1"/>
    <s v=""/>
    <s v="C3152TS20UK1008"/>
    <s v="20201031"/>
    <s v=""/>
    <s v=""/>
    <s v="0"/>
    <s v=""/>
    <s v=""/>
    <s v=""/>
    <s v=""/>
    <s v="2010100001"/>
    <s v=""/>
    <m/>
    <s v=""/>
    <s v=""/>
    <s v=""/>
    <n v="0"/>
  </r>
  <r>
    <s v=""/>
    <s v="40101001"/>
    <s v="2018000588"/>
    <x v="27"/>
    <d v="2020-11-30T00:00:00"/>
    <d v="2020-12-03T00:00:00"/>
    <s v="RV"/>
    <s v="USD"/>
    <n v="-70921.31"/>
    <s v="83.95000"/>
    <s v="BDT"/>
    <n v="-5953843.9699999997"/>
    <n v="-70921.31"/>
    <s v="70921.31_2"/>
    <s v=""/>
    <s v="C3152TS20UK1206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1546"/>
    <x v="103"/>
    <d v="2021-06-18T00:00:00"/>
    <d v="2021-06-21T00:00:00"/>
    <s v="RV"/>
    <s v="USD"/>
    <n v="-70582.52"/>
    <s v="83.95000"/>
    <s v="BDT"/>
    <n v="-5925402.5499999998"/>
    <n v="-70582.52"/>
    <s v="70582.52_1"/>
    <s v=""/>
    <s v="C3333LVUS0785-21"/>
    <s v="20210618"/>
    <s v=""/>
    <s v=""/>
    <s v="0"/>
    <s v=""/>
    <s v=""/>
    <s v=""/>
    <s v=""/>
    <s v="2010100001"/>
    <s v=""/>
    <m/>
    <s v=""/>
    <s v=""/>
    <s v=""/>
    <n v="0"/>
  </r>
  <r>
    <s v=""/>
    <s v="40101001"/>
    <s v="2018000517"/>
    <x v="76"/>
    <d v="2020-11-19T00:00:00"/>
    <d v="2020-11-24T00:00:00"/>
    <s v="RV"/>
    <s v="USD"/>
    <n v="-70500.009999999995"/>
    <s v="83.95000"/>
    <s v="BDT"/>
    <n v="-5918475.8399999999"/>
    <n v="-70500.009999999995"/>
    <s v="70500.01_1"/>
    <s v=""/>
    <s v="C3233UQ20OSA1165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1591"/>
    <x v="61"/>
    <d v="2021-06-25T00:00:00"/>
    <d v="2021-06-29T00:00:00"/>
    <s v="RV"/>
    <s v="USD"/>
    <n v="-70278"/>
    <s v="83.95000"/>
    <s v="BDT"/>
    <n v="-5899838.0999999996"/>
    <n v="-70278"/>
    <s v="70278_1"/>
    <s v=""/>
    <s v="C3329UQ21YOK0859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1609"/>
    <x v="104"/>
    <d v="2021-06-23T00:00:00"/>
    <d v="2021-06-30T00:00:00"/>
    <s v="RV"/>
    <s v="USD"/>
    <n v="-70064.820000000007"/>
    <s v="83.95000"/>
    <s v="BDT"/>
    <n v="-5881941.6399999997"/>
    <n v="-70064.820000000007"/>
    <s v="70064.82_1"/>
    <s v=""/>
    <s v="C3311LVUS0825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666"/>
    <x v="79"/>
    <d v="2020-12-18T00:00:00"/>
    <d v="2020-12-22T00:00:00"/>
    <s v="RV"/>
    <s v="USD"/>
    <n v="-68695.759999999995"/>
    <s v="83.95000"/>
    <s v="BDT"/>
    <n v="-5767009.0499999998"/>
    <n v="-68695.759999999995"/>
    <s v="68695.76_1"/>
    <s v=""/>
    <s v="C3234UQ20HAK1329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035"/>
    <x v="105"/>
    <d v="2020-07-13T00:00:00"/>
    <d v="2020-07-18T00:00:00"/>
    <s v="RV"/>
    <s v="USD"/>
    <n v="-68613.22"/>
    <s v="83.95000"/>
    <s v="BDT"/>
    <n v="-5760079.8200000003"/>
    <n v="-68613.22"/>
    <s v="68613.22_1"/>
    <s v=""/>
    <s v="C3121UQ20TOK0628"/>
    <s v="20200713"/>
    <s v=""/>
    <s v=""/>
    <s v="0"/>
    <s v=""/>
    <s v=""/>
    <s v=""/>
    <s v=""/>
    <s v="2010100001"/>
    <s v=""/>
    <m/>
    <s v=""/>
    <s v=""/>
    <s v=""/>
    <n v="0"/>
  </r>
  <r>
    <s v=""/>
    <s v="40101001"/>
    <s v="2018001177"/>
    <x v="101"/>
    <d v="2021-03-28T00:00:00"/>
    <d v="2021-04-04T00:00:00"/>
    <s v="RV"/>
    <s v="USD"/>
    <n v="-68488.990000000005"/>
    <s v="83.95000"/>
    <s v="BDT"/>
    <n v="-5749650.71"/>
    <n v="-68488.990000000005"/>
    <s v="68488.99_1"/>
    <s v=""/>
    <s v="C3318UQ21TOK0412"/>
    <s v="20210328"/>
    <s v=""/>
    <s v=""/>
    <s v="0"/>
    <s v=""/>
    <s v=""/>
    <s v=""/>
    <s v=""/>
    <s v="2010100001"/>
    <s v=""/>
    <m/>
    <s v=""/>
    <s v=""/>
    <s v=""/>
    <n v="0"/>
  </r>
  <r>
    <s v=""/>
    <s v="40101001"/>
    <s v="2018001062"/>
    <x v="106"/>
    <d v="2021-03-10T00:00:00"/>
    <d v="2021-03-13T00:00:00"/>
    <s v="RV"/>
    <s v="USD"/>
    <n v="-68298.33"/>
    <s v="83.95000"/>
    <s v="BDT"/>
    <n v="-5733644.7999999998"/>
    <n v="-68298.33"/>
    <s v="68298.33_1"/>
    <s v=""/>
    <s v="C3290UQ21YOK0293"/>
    <s v="20210310"/>
    <s v=""/>
    <s v=""/>
    <s v="0"/>
    <s v=""/>
    <s v=""/>
    <s v=""/>
    <s v=""/>
    <s v="2010100001"/>
    <s v=""/>
    <m/>
    <s v=""/>
    <s v=""/>
    <s v=""/>
    <n v="0"/>
  </r>
  <r>
    <s v=""/>
    <s v="40101001"/>
    <s v="2018001220"/>
    <x v="107"/>
    <d v="2021-04-13T00:00:00"/>
    <d v="2021-04-22T00:00:00"/>
    <s v="RV"/>
    <s v="USD"/>
    <n v="-67924.44"/>
    <s v="83.95000"/>
    <s v="BDT"/>
    <n v="-5702256.7400000002"/>
    <n v="-67924.44"/>
    <s v="67924.44_1"/>
    <s v=""/>
    <s v="C3290UQ21YOK0454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1209"/>
    <x v="108"/>
    <d v="2021-04-11T00:00:00"/>
    <d v="2021-04-20T00:00:00"/>
    <s v="RV"/>
    <s v="USD"/>
    <n v="-67901.149999999994"/>
    <s v="83.95000"/>
    <s v="BDT"/>
    <n v="-5700301.54"/>
    <n v="-67901.149999999994"/>
    <s v="67901.15_1"/>
    <s v=""/>
    <s v="C3194AMZPL044021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0202"/>
    <x v="109"/>
    <d v="2020-09-05T00:00:00"/>
    <d v="2020-09-08T00:00:00"/>
    <s v="RV"/>
    <s v="USD"/>
    <n v="-67573.66"/>
    <s v="83.95000"/>
    <s v="BDT"/>
    <n v="-5672808.7599999998"/>
    <n v="-67573.66"/>
    <s v="67573.66_1"/>
    <s v=""/>
    <s v="C3154UQ20TOK0785"/>
    <s v="20200905"/>
    <s v=""/>
    <s v=""/>
    <s v="0"/>
    <s v=""/>
    <s v=""/>
    <s v=""/>
    <s v=""/>
    <s v="2010100001"/>
    <s v=""/>
    <m/>
    <s v=""/>
    <s v=""/>
    <s v=""/>
    <n v="0"/>
  </r>
  <r>
    <s v=""/>
    <s v="40101001"/>
    <s v="2018000448"/>
    <x v="110"/>
    <d v="2020-11-08T00:00:00"/>
    <d v="2020-11-11T00:00:00"/>
    <s v="RV"/>
    <s v="USD"/>
    <n v="-67524.039999999994"/>
    <s v="83.95000"/>
    <s v="BDT"/>
    <n v="-5668643.1600000001"/>
    <n v="-67524.039999999994"/>
    <s v="67524.04_1"/>
    <s v=""/>
    <s v="C3207UQ20NAG108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472"/>
    <x v="110"/>
    <d v="2020-11-08T00:00:00"/>
    <d v="2020-11-14T00:00:00"/>
    <s v="RV"/>
    <s v="USD"/>
    <n v="-67515.289999999994"/>
    <s v="83.95000"/>
    <s v="BDT"/>
    <n v="-5667908.5899999999"/>
    <n v="-67515.289999999994"/>
    <s v="67515.29_1"/>
    <s v=""/>
    <s v="C3205UQ20MY1064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958"/>
    <x v="66"/>
    <d v="2021-02-12T00:00:00"/>
    <d v="2021-02-16T00:00:00"/>
    <s v="RV"/>
    <s v="USD"/>
    <n v="-67066.3"/>
    <s v="83.95000"/>
    <s v="BDT"/>
    <n v="-5630215.8899999997"/>
    <n v="-67066.3"/>
    <s v="67066.3_1"/>
    <s v=""/>
    <s v="C3272UQ21OSA0187"/>
    <s v="20210212"/>
    <s v=""/>
    <s v=""/>
    <s v="0"/>
    <s v=""/>
    <s v=""/>
    <s v=""/>
    <s v=""/>
    <s v="2010100001"/>
    <s v=""/>
    <m/>
    <s v=""/>
    <s v=""/>
    <s v=""/>
    <n v="0"/>
  </r>
  <r>
    <s v=""/>
    <s v="40101001"/>
    <s v="2018001068"/>
    <x v="111"/>
    <d v="2021-03-11T00:00:00"/>
    <d v="2021-03-17T00:00:00"/>
    <s v="RV"/>
    <s v="USD"/>
    <n v="-66729.31"/>
    <s v="83.95000"/>
    <s v="BDT"/>
    <n v="-5601925.5700000003"/>
    <n v="-66729.31"/>
    <s v="66729.31_1"/>
    <s v=""/>
    <s v="C3254UQ21OSA0286"/>
    <s v="20210311"/>
    <s v=""/>
    <s v=""/>
    <s v="0"/>
    <s v=""/>
    <s v=""/>
    <s v=""/>
    <s v=""/>
    <s v="2010100001"/>
    <s v=""/>
    <m/>
    <s v=""/>
    <s v=""/>
    <s v=""/>
    <n v="0"/>
  </r>
  <r>
    <s v=""/>
    <s v="40101001"/>
    <s v="2018000435"/>
    <x v="18"/>
    <d v="2020-11-05T00:00:00"/>
    <d v="2020-11-11T00:00:00"/>
    <s v="RV"/>
    <s v="USD"/>
    <n v="-66656.39"/>
    <s v="83.95000"/>
    <s v="BDT"/>
    <n v="-5595803.9400000004"/>
    <n v="-66656.39"/>
    <s v="66656.39_1"/>
    <s v=""/>
    <s v="C3215UQ20TOK1065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186"/>
    <x v="55"/>
    <d v="2020-08-19T00:00:00"/>
    <d v="2020-09-05T00:00:00"/>
    <s v="RV"/>
    <s v="USD"/>
    <n v="-66596.34"/>
    <s v="83.95000"/>
    <s v="BDT"/>
    <n v="-5590762.7400000002"/>
    <n v="-66596.34"/>
    <s v="66596.34_1"/>
    <s v=""/>
    <s v="C3099LVUS074920"/>
    <s v="20200819"/>
    <s v=""/>
    <s v=""/>
    <s v="0"/>
    <s v=""/>
    <s v=""/>
    <s v=""/>
    <s v=""/>
    <s v="2010100001"/>
    <s v=""/>
    <m/>
    <s v=""/>
    <s v=""/>
    <s v=""/>
    <n v="0"/>
  </r>
  <r>
    <s v=""/>
    <s v="40101011"/>
    <s v="2008000089"/>
    <x v="27"/>
    <d v="2020-11-30T00:00:00"/>
    <d v="2020-12-06T00:00:00"/>
    <s v="DR"/>
    <s v="USD"/>
    <n v="-66516.09"/>
    <s v="83.95000"/>
    <s v="BDT"/>
    <n v="-5584025.7599999998"/>
    <n v="-66516.09"/>
    <s v="66516.09_1"/>
    <s v=""/>
    <s v="CIPL-PGC-0284-20"/>
    <s v="CIPL-PGC-0284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1288"/>
    <x v="71"/>
    <d v="2021-04-28T00:00:00"/>
    <d v="2021-05-07T00:00:00"/>
    <s v="RV"/>
    <s v="USD"/>
    <n v="-66390.84"/>
    <s v="83.95000"/>
    <s v="BDT"/>
    <n v="-5573511.0199999996"/>
    <n v="-66390.84"/>
    <s v="66390.84_1"/>
    <s v=""/>
    <s v="C3309UQ21TOK0523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211"/>
    <x v="45"/>
    <d v="2020-09-09T00:00:00"/>
    <d v="2020-09-12T00:00:00"/>
    <s v="RV"/>
    <s v="USD"/>
    <n v="-66298.58"/>
    <s v="83.95000"/>
    <s v="BDT"/>
    <n v="-5565765.79"/>
    <n v="-66298.58"/>
    <s v="66298.58_1"/>
    <s v=""/>
    <s v="C3151UQ20OSA0792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1016"/>
    <x v="16"/>
    <d v="2021-02-26T00:00:00"/>
    <d v="2021-03-02T00:00:00"/>
    <s v="RV"/>
    <s v="USD"/>
    <n v="-66097.56"/>
    <s v="83.95000"/>
    <s v="BDT"/>
    <n v="-5548890.1600000001"/>
    <n v="-66097.56"/>
    <s v="66097.56_1"/>
    <s v=""/>
    <s v="C3254UQ21NAG0266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157"/>
    <x v="112"/>
    <d v="2021-03-24T00:00:00"/>
    <d v="2021-04-01T00:00:00"/>
    <s v="RV"/>
    <s v="USD"/>
    <n v="-65842.820000000007"/>
    <s v="83.95000"/>
    <s v="BDT"/>
    <n v="-5527504.7400000002"/>
    <n v="-65842.820000000007"/>
    <s v="65842.82_1"/>
    <s v=""/>
    <s v="C3318UQ21TOK0367"/>
    <s v="20210324"/>
    <s v=""/>
    <s v=""/>
    <s v="0"/>
    <s v=""/>
    <s v=""/>
    <s v=""/>
    <s v=""/>
    <s v="2010100001"/>
    <s v=""/>
    <m/>
    <s v=""/>
    <s v=""/>
    <s v=""/>
    <n v="0"/>
  </r>
  <r>
    <s v=""/>
    <s v="40101001"/>
    <s v="2018000001"/>
    <x v="113"/>
    <d v="2020-07-02T00:00:00"/>
    <d v="2020-07-06T00:00:00"/>
    <s v="RV"/>
    <s v="USD"/>
    <n v="-65171.93"/>
    <s v="83.95000"/>
    <s v="BDT"/>
    <n v="-5471183.5199999996"/>
    <n v="-65171.93"/>
    <s v="65171.93_1"/>
    <s v=""/>
    <s v="C3089UQ20OSA0547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0202"/>
    <x v="109"/>
    <d v="2020-09-05T00:00:00"/>
    <d v="2020-09-08T00:00:00"/>
    <s v="RV"/>
    <s v="USD"/>
    <n v="-65160.61"/>
    <s v="83.95000"/>
    <s v="BDT"/>
    <n v="-5470233.21"/>
    <n v="-65160.61"/>
    <s v="65160.61_1"/>
    <s v=""/>
    <s v="C3154UQ20TOK0785"/>
    <s v="20200905"/>
    <s v=""/>
    <s v=""/>
    <s v="0"/>
    <s v=""/>
    <s v=""/>
    <s v=""/>
    <s v=""/>
    <s v="2010100001"/>
    <s v=""/>
    <m/>
    <s v=""/>
    <s v=""/>
    <s v=""/>
    <n v="0"/>
  </r>
  <r>
    <s v=""/>
    <s v="40101001"/>
    <s v="2018000386"/>
    <x v="67"/>
    <d v="2020-10-27T00:00:00"/>
    <d v="2020-11-01T00:00:00"/>
    <s v="RV"/>
    <s v="USD"/>
    <n v="-64672.83"/>
    <s v="83.95000"/>
    <s v="BDT"/>
    <n v="-5429284.0800000001"/>
    <n v="-64672.83"/>
    <s v="64672.83_1"/>
    <s v=""/>
    <s v="C3207UQ20KR1029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1317"/>
    <x v="15"/>
    <d v="2021-05-04T00:00:00"/>
    <d v="2021-05-12T00:00:00"/>
    <s v="RV"/>
    <s v="USD"/>
    <n v="-64484.58"/>
    <s v="83.95000"/>
    <s v="BDT"/>
    <n v="-5413480.4900000002"/>
    <n v="-64484.58"/>
    <s v="64484.58_1"/>
    <s v=""/>
    <s v="C3315UQ21MEL0546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418"/>
    <x v="114"/>
    <d v="2021-05-25T00:00:00"/>
    <d v="2021-05-28T00:00:00"/>
    <s v="RV"/>
    <s v="USD"/>
    <n v="-64007.71"/>
    <s v="83.95000"/>
    <s v="BDT"/>
    <n v="-5373447.25"/>
    <n v="-64007.71"/>
    <s v="64007.71_1"/>
    <s v=""/>
    <s v="C3189AMZPL068321"/>
    <s v="20210525"/>
    <s v=""/>
    <s v=""/>
    <s v="0"/>
    <s v=""/>
    <s v=""/>
    <s v=""/>
    <s v=""/>
    <s v="2010100001"/>
    <s v=""/>
    <m/>
    <s v=""/>
    <s v=""/>
    <s v=""/>
    <n v="0"/>
  </r>
  <r>
    <s v=""/>
    <s v="40101001"/>
    <s v="2018000506"/>
    <x v="115"/>
    <d v="2020-11-15T00:00:00"/>
    <d v="2020-11-19T00:00:00"/>
    <s v="RV"/>
    <s v="USD"/>
    <n v="-63398.99"/>
    <s v="83.95000"/>
    <s v="BDT"/>
    <n v="-5322345.21"/>
    <n v="-63398.99"/>
    <s v="63398.99_1"/>
    <s v=""/>
    <s v="C3210UQ20TOK1107"/>
    <s v="20201115"/>
    <s v=""/>
    <s v=""/>
    <s v="0"/>
    <s v=""/>
    <s v=""/>
    <s v=""/>
    <s v=""/>
    <s v="2010100001"/>
    <s v=""/>
    <m/>
    <s v=""/>
    <s v=""/>
    <s v=""/>
    <n v="0"/>
  </r>
  <r>
    <s v=""/>
    <s v="40101011"/>
    <s v="2008000006"/>
    <x v="1"/>
    <d v="2020-07-30T00:00:00"/>
    <d v="2020-08-13T00:00:00"/>
    <s v="DR"/>
    <s v="USD"/>
    <n v="-63352.67"/>
    <s v="83.95000"/>
    <s v="BDT"/>
    <n v="-5318456.6500000004"/>
    <n v="-63352.67"/>
    <s v="63352.67_1"/>
    <s v=""/>
    <s v="CIPL-EG-A-007-20"/>
    <s v="CIPL-EG-A-007-20"/>
    <s v="Inter-Company wash sales to EGMC-AEPZ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1037"/>
    <x v="116"/>
    <d v="2021-03-05T00:00:00"/>
    <d v="2021-03-10T00:00:00"/>
    <s v="RV"/>
    <s v="USD"/>
    <n v="-63175.68"/>
    <s v="83.95000"/>
    <s v="BDT"/>
    <n v="-5303598.34"/>
    <n v="-63175.68"/>
    <s v="63175.68_1"/>
    <s v=""/>
    <s v="C3254UQ21TOK0244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0052"/>
    <x v="117"/>
    <d v="2020-07-11T00:00:00"/>
    <d v="2020-07-21T00:00:00"/>
    <s v="RV"/>
    <s v="USD"/>
    <n v="-62980.79"/>
    <s v="83.95000"/>
    <s v="BDT"/>
    <n v="-5287237.32"/>
    <n v="-62980.79"/>
    <s v="62980.79_1"/>
    <s v=""/>
    <s v="C3120UQ20YAN0610"/>
    <s v="20200711"/>
    <s v=""/>
    <s v=""/>
    <s v="0"/>
    <s v=""/>
    <s v=""/>
    <s v=""/>
    <s v=""/>
    <s v="2010100001"/>
    <s v=""/>
    <m/>
    <s v=""/>
    <s v=""/>
    <s v=""/>
    <n v="0"/>
  </r>
  <r>
    <s v=""/>
    <s v="40101001"/>
    <s v="2018001384"/>
    <x v="56"/>
    <d v="2021-05-13T00:00:00"/>
    <d v="2021-05-20T00:00:00"/>
    <s v="RV"/>
    <s v="USD"/>
    <n v="-62716.05"/>
    <s v="83.95000"/>
    <s v="BDT"/>
    <n v="-5265012.4000000004"/>
    <n v="-62716.05"/>
    <s v="62716.05_1"/>
    <s v=""/>
    <s v="C3283LVUS061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173"/>
    <x v="118"/>
    <d v="2021-03-27T00:00:00"/>
    <d v="2021-04-04T00:00:00"/>
    <s v="RV"/>
    <s v="USD"/>
    <n v="-62504.54"/>
    <s v="83.95000"/>
    <s v="BDT"/>
    <n v="-5247256.13"/>
    <n v="-62504.54"/>
    <s v="62504.54_1"/>
    <s v=""/>
    <s v="C3291UQ21MY0369"/>
    <s v="20210327"/>
    <s v=""/>
    <s v=""/>
    <s v="0"/>
    <s v=""/>
    <s v=""/>
    <s v=""/>
    <s v=""/>
    <s v="2010100001"/>
    <s v=""/>
    <m/>
    <s v=""/>
    <s v=""/>
    <s v=""/>
    <n v="0"/>
  </r>
  <r>
    <s v=""/>
    <s v="40101001"/>
    <s v="2018001623"/>
    <x v="93"/>
    <d v="2021-06-29T00:00:00"/>
    <d v="2021-07-07T00:00:00"/>
    <s v="RV"/>
    <s v="USD"/>
    <n v="-62438.03"/>
    <s v="83.95000"/>
    <s v="BDT"/>
    <n v="-5241672.6100000003"/>
    <n v="-62438.03"/>
    <s v="62438.03_1"/>
    <s v=""/>
    <s v="C3312LVUS0860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1419"/>
    <x v="119"/>
    <d v="2021-05-24T00:00:00"/>
    <d v="2021-05-29T00:00:00"/>
    <s v="RV"/>
    <s v="USD"/>
    <n v="-62431.199999999997"/>
    <s v="83.95000"/>
    <s v="BDT"/>
    <n v="-5241099.24"/>
    <n v="-62431.199999999997"/>
    <s v="62431.2_1"/>
    <s v=""/>
    <s v="C3329UQ21RU0556"/>
    <s v="20210524"/>
    <s v=""/>
    <s v=""/>
    <s v="0"/>
    <s v=""/>
    <s v=""/>
    <s v=""/>
    <s v=""/>
    <s v="2010100001"/>
    <s v=""/>
    <m/>
    <s v=""/>
    <s v=""/>
    <s v=""/>
    <n v="0"/>
  </r>
  <r>
    <s v=""/>
    <s v="40101001"/>
    <s v="2018000172"/>
    <x v="120"/>
    <d v="2020-08-26T00:00:00"/>
    <d v="2020-08-29T00:00:00"/>
    <s v="RV"/>
    <s v="USD"/>
    <n v="-62299.37"/>
    <s v="83.95000"/>
    <s v="BDT"/>
    <n v="-5230032.1100000003"/>
    <n v="-62299.37"/>
    <s v="62299.37_1"/>
    <s v=""/>
    <s v="C3136UQ20KR0742"/>
    <s v="20200826"/>
    <s v=""/>
    <s v=""/>
    <s v="0"/>
    <s v=""/>
    <s v=""/>
    <s v=""/>
    <s v=""/>
    <s v="2010100001"/>
    <s v=""/>
    <m/>
    <s v=""/>
    <s v=""/>
    <s v=""/>
    <n v="0"/>
  </r>
  <r>
    <s v=""/>
    <s v="40101001"/>
    <s v="2018001370"/>
    <x v="56"/>
    <d v="2021-05-13T00:00:00"/>
    <d v="2021-05-20T00:00:00"/>
    <s v="RV"/>
    <s v="USD"/>
    <n v="-61993.62"/>
    <s v="83.95000"/>
    <s v="BDT"/>
    <n v="-5204364.4000000004"/>
    <n v="-61993.62"/>
    <s v="61993.62_1"/>
    <s v=""/>
    <s v="C3309UQ21TOK0590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253"/>
    <x v="121"/>
    <d v="2020-09-11T00:00:00"/>
    <d v="2020-09-24T00:00:00"/>
    <s v="RV"/>
    <s v="USD"/>
    <n v="-61423.99"/>
    <s v="83.95000"/>
    <s v="BDT"/>
    <n v="-5156543.96"/>
    <n v="-61423.99"/>
    <s v="61423.99_1"/>
    <s v=""/>
    <s v="C3099LVUS082720"/>
    <s v="20200911"/>
    <s v=""/>
    <s v=""/>
    <s v="0"/>
    <s v=""/>
    <s v=""/>
    <s v=""/>
    <s v=""/>
    <s v="2010100001"/>
    <s v=""/>
    <m/>
    <s v=""/>
    <s v=""/>
    <s v=""/>
    <n v="0"/>
  </r>
  <r>
    <s v=""/>
    <s v="40101001"/>
    <s v="2018000067"/>
    <x v="53"/>
    <d v="2020-07-22T00:00:00"/>
    <d v="2020-07-28T00:00:00"/>
    <s v="RV"/>
    <s v="USD"/>
    <n v="-61220.86"/>
    <s v="83.95000"/>
    <s v="BDT"/>
    <n v="-5139491.2"/>
    <n v="-61220.86"/>
    <s v="61220.86_1"/>
    <s v=""/>
    <s v="C3120UQ20SHA0635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228"/>
    <x v="121"/>
    <d v="2020-09-11T00:00:00"/>
    <d v="2020-09-16T00:00:00"/>
    <s v="RV"/>
    <s v="USD"/>
    <n v="-60914.67"/>
    <s v="83.95000"/>
    <s v="BDT"/>
    <n v="-5113786.55"/>
    <n v="-60914.67"/>
    <s v="60914.67_1"/>
    <s v=""/>
    <s v="C3099LVUS082820"/>
    <s v="20200911"/>
    <s v=""/>
    <s v=""/>
    <s v="0"/>
    <s v=""/>
    <s v=""/>
    <s v=""/>
    <s v=""/>
    <s v="2010100001"/>
    <s v=""/>
    <m/>
    <s v=""/>
    <s v=""/>
    <s v=""/>
    <n v="0"/>
  </r>
  <r>
    <s v=""/>
    <s v="40101001"/>
    <s v="2018000658"/>
    <x v="19"/>
    <d v="2020-12-16T00:00:00"/>
    <d v="2020-12-21T00:00:00"/>
    <s v="RV"/>
    <s v="USD"/>
    <n v="-60773.120000000003"/>
    <s v="83.95000"/>
    <s v="BDT"/>
    <n v="-5101903.42"/>
    <n v="-60773.120000000003"/>
    <s v="60773.12_1"/>
    <s v=""/>
    <s v="C3234UQ20OSA133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1221"/>
    <x v="107"/>
    <d v="2021-04-13T00:00:00"/>
    <d v="2021-04-22T00:00:00"/>
    <s v="RV"/>
    <s v="USD"/>
    <n v="-60748.480000000003"/>
    <s v="83.95000"/>
    <s v="BDT"/>
    <n v="-5099834.9000000004"/>
    <n v="-60748.480000000003"/>
    <s v="60748.48_1"/>
    <s v=""/>
    <s v="C3344UQ21OSA0448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0882"/>
    <x v="44"/>
    <d v="2021-01-28T00:00:00"/>
    <d v="2021-02-02T00:00:00"/>
    <s v="RV"/>
    <s v="USD"/>
    <n v="-60642.49"/>
    <s v="83.95000"/>
    <s v="BDT"/>
    <n v="-5090937.04"/>
    <n v="-60642.49"/>
    <s v="60642.49_1"/>
    <s v=""/>
    <s v="C3271UQ21TH098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1035"/>
    <x v="122"/>
    <d v="2021-03-04T00:00:00"/>
    <d v="2021-03-10T00:00:00"/>
    <s v="RV"/>
    <s v="USD"/>
    <n v="-60634.44"/>
    <s v="83.95000"/>
    <s v="BDT"/>
    <n v="-5090261.24"/>
    <n v="-60634.44"/>
    <s v="60634.44_1"/>
    <s v=""/>
    <s v="C3242LVUS0257-21"/>
    <s v="20210304"/>
    <s v=""/>
    <s v=""/>
    <s v="0"/>
    <s v=""/>
    <s v=""/>
    <s v=""/>
    <s v=""/>
    <s v="2010100001"/>
    <s v=""/>
    <m/>
    <s v=""/>
    <s v=""/>
    <s v=""/>
    <n v="0"/>
  </r>
  <r>
    <s v=""/>
    <s v="40101001"/>
    <s v="2018001292"/>
    <x v="71"/>
    <d v="2021-04-28T00:00:00"/>
    <d v="2021-05-07T00:00:00"/>
    <s v="RV"/>
    <s v="USD"/>
    <n v="-60497.04"/>
    <s v="83.95000"/>
    <s v="BDT"/>
    <n v="-5078726.51"/>
    <n v="-60497.04"/>
    <s v="60497.04_1"/>
    <s v=""/>
    <s v="C3316UQ21NAG0532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158"/>
    <x v="123"/>
    <d v="2020-08-23T00:00:00"/>
    <d v="2020-08-26T00:00:00"/>
    <s v="RV"/>
    <s v="USD"/>
    <n v="-60425.27"/>
    <s v="83.95000"/>
    <s v="BDT"/>
    <n v="-5072701.42"/>
    <n v="-60425.27"/>
    <s v="60425.27_1"/>
    <s v=""/>
    <s v="C3127C&amp;A20GR0773"/>
    <s v="20200823"/>
    <s v=""/>
    <s v=""/>
    <s v="0"/>
    <s v=""/>
    <s v=""/>
    <s v=""/>
    <s v=""/>
    <s v="2010100001"/>
    <s v=""/>
    <m/>
    <s v=""/>
    <s v=""/>
    <s v=""/>
    <n v="0"/>
  </r>
  <r>
    <s v=""/>
    <s v="40101001"/>
    <s v="2018000810"/>
    <x v="42"/>
    <d v="2021-01-14T00:00:00"/>
    <d v="2021-01-20T00:00:00"/>
    <s v="RV"/>
    <s v="USD"/>
    <n v="-60412.79"/>
    <s v="83.95000"/>
    <s v="BDT"/>
    <n v="-5071653.72"/>
    <n v="-60412.79"/>
    <s v="60412.79_1"/>
    <s v=""/>
    <s v="C3271UQ21TH0027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357"/>
    <x v="78"/>
    <d v="2020-10-04T00:00:00"/>
    <d v="2020-10-26T00:00:00"/>
    <s v="RV"/>
    <s v="USD"/>
    <n v="-60308.94"/>
    <s v="83.95000"/>
    <s v="BDT"/>
    <n v="-5062935.51"/>
    <n v="-60308.94"/>
    <s v="60308.94_1"/>
    <s v=""/>
    <s v="C3163C&amp;A20GR0908"/>
    <s v="20201004"/>
    <s v=""/>
    <s v=""/>
    <s v="0"/>
    <s v=""/>
    <s v=""/>
    <s v=""/>
    <s v=""/>
    <s v="2010100001"/>
    <s v=""/>
    <m/>
    <s v=""/>
    <s v=""/>
    <s v=""/>
    <n v="0"/>
  </r>
  <r>
    <s v=""/>
    <s v="40101001"/>
    <s v="2018000196"/>
    <x v="124"/>
    <d v="2020-08-30T00:00:00"/>
    <d v="2020-09-08T00:00:00"/>
    <s v="RV"/>
    <s v="USD"/>
    <n v="-60157.08"/>
    <s v="83.95000"/>
    <s v="BDT"/>
    <n v="-5050186.87"/>
    <n v="-60157.08"/>
    <s v="60157.08_1"/>
    <s v=""/>
    <s v="C3127C&amp;A20GR0812"/>
    <s v="20200830"/>
    <s v=""/>
    <s v=""/>
    <s v="0"/>
    <s v=""/>
    <s v=""/>
    <s v=""/>
    <s v=""/>
    <s v="2010100001"/>
    <s v=""/>
    <m/>
    <s v=""/>
    <s v=""/>
    <s v=""/>
    <n v="0"/>
  </r>
  <r>
    <s v=""/>
    <s v="40101001"/>
    <s v="2018001236"/>
    <x v="125"/>
    <d v="2021-04-17T00:00:00"/>
    <d v="2021-04-22T00:00:00"/>
    <s v="RV"/>
    <s v="USD"/>
    <n v="-60129.66"/>
    <s v="83.95000"/>
    <s v="BDT"/>
    <n v="-5047884.96"/>
    <n v="-60129.66"/>
    <s v="60129.66_1"/>
    <s v=""/>
    <s v="C3237LVUS0443-21"/>
    <s v="20210417"/>
    <s v=""/>
    <s v=""/>
    <s v="0"/>
    <s v=""/>
    <s v=""/>
    <s v=""/>
    <s v=""/>
    <s v="2010100001"/>
    <s v=""/>
    <m/>
    <s v=""/>
    <s v=""/>
    <s v=""/>
    <n v="0"/>
  </r>
  <r>
    <s v=""/>
    <s v="40101001"/>
    <s v="2018001241"/>
    <x v="80"/>
    <d v="2021-04-18T00:00:00"/>
    <d v="2021-04-22T00:00:00"/>
    <s v="RV"/>
    <s v="USD"/>
    <n v="-60119.39"/>
    <s v="83.95000"/>
    <s v="BDT"/>
    <n v="-5047022.79"/>
    <n v="-60119.39"/>
    <s v="60119.39_1"/>
    <s v=""/>
    <s v="C3309UQ21TOM0489"/>
    <s v="20210418"/>
    <s v=""/>
    <s v=""/>
    <s v="0"/>
    <s v=""/>
    <s v=""/>
    <s v=""/>
    <s v=""/>
    <s v="2010100001"/>
    <s v=""/>
    <m/>
    <s v=""/>
    <s v=""/>
    <s v=""/>
    <n v="0"/>
  </r>
  <r>
    <s v=""/>
    <s v="40101001"/>
    <s v="2018000830"/>
    <x v="126"/>
    <d v="2021-01-13T00:00:00"/>
    <d v="2021-01-23T00:00:00"/>
    <s v="RV"/>
    <s v="USD"/>
    <n v="-60097.7"/>
    <s v="83.95000"/>
    <s v="BDT"/>
    <n v="-5045201.92"/>
    <n v="-60097.7"/>
    <s v="60097.7_1"/>
    <s v=""/>
    <s v="C3236LVUS0008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254"/>
    <x v="81"/>
    <d v="2020-09-16T00:00:00"/>
    <d v="2020-09-24T00:00:00"/>
    <s v="RV"/>
    <s v="USD"/>
    <n v="-59730.5"/>
    <s v="83.95000"/>
    <s v="BDT"/>
    <n v="-5014375.4800000004"/>
    <n v="-59730.5"/>
    <s v="59730.5_1"/>
    <s v=""/>
    <s v="C3099LVUS085320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406"/>
    <x v="23"/>
    <d v="2020-10-31T00:00:00"/>
    <d v="2020-11-03T00:00:00"/>
    <s v="RV"/>
    <s v="USD"/>
    <n v="-59499.05"/>
    <s v="83.95000"/>
    <s v="BDT"/>
    <n v="-4994945.25"/>
    <n v="-59499.05"/>
    <s v="59499.05_1"/>
    <s v=""/>
    <s v="C3210UQ20TOK1034"/>
    <s v="20201031"/>
    <s v=""/>
    <s v=""/>
    <s v="0"/>
    <s v=""/>
    <s v=""/>
    <s v=""/>
    <s v=""/>
    <s v="2010100001"/>
    <s v=""/>
    <m/>
    <s v=""/>
    <s v=""/>
    <s v=""/>
    <n v="0"/>
  </r>
  <r>
    <s v=""/>
    <s v="40101001"/>
    <s v="2018001465"/>
    <x v="127"/>
    <d v="2021-06-04T00:00:00"/>
    <d v="2021-06-10T00:00:00"/>
    <s v="RV"/>
    <s v="USD"/>
    <n v="-59463.68"/>
    <s v="83.95000"/>
    <s v="BDT"/>
    <n v="-4991975.9400000004"/>
    <n v="-59463.68"/>
    <s v="59463.68_1"/>
    <s v=""/>
    <s v="C3270LVUS0697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0010"/>
    <x v="128"/>
    <d v="2020-07-06T00:00:00"/>
    <d v="2020-07-09T00:00:00"/>
    <s v="RV"/>
    <s v="USD"/>
    <n v="-59293.98"/>
    <s v="83.95000"/>
    <s v="BDT"/>
    <n v="-4977729.62"/>
    <n v="-59293.98"/>
    <s v="59293.98_1"/>
    <s v=""/>
    <s v="C3128UQ20OSA0608"/>
    <s v="20200706"/>
    <s v=""/>
    <s v=""/>
    <s v="0"/>
    <s v=""/>
    <s v=""/>
    <s v=""/>
    <s v=""/>
    <s v="2010100001"/>
    <s v=""/>
    <m/>
    <s v=""/>
    <s v=""/>
    <s v=""/>
    <n v="0"/>
  </r>
  <r>
    <s v=""/>
    <s v="40101001"/>
    <s v="2018000157"/>
    <x v="123"/>
    <d v="2020-08-23T00:00:00"/>
    <d v="2020-08-26T00:00:00"/>
    <s v="RV"/>
    <s v="USD"/>
    <n v="-59082.51"/>
    <s v="83.95000"/>
    <s v="BDT"/>
    <n v="-4959976.71"/>
    <n v="-59082.51"/>
    <s v="59082.51_1"/>
    <s v=""/>
    <s v="C3127C&amp;A20GR0772"/>
    <s v="20200823"/>
    <s v=""/>
    <s v=""/>
    <s v="0"/>
    <s v=""/>
    <s v=""/>
    <s v=""/>
    <s v=""/>
    <s v="2010100001"/>
    <s v=""/>
    <m/>
    <s v=""/>
    <s v=""/>
    <s v=""/>
    <n v="0"/>
  </r>
  <r>
    <s v=""/>
    <s v="40101001"/>
    <s v="2018000197"/>
    <x v="124"/>
    <d v="2020-08-30T00:00:00"/>
    <d v="2020-09-08T00:00:00"/>
    <s v="RV"/>
    <s v="USD"/>
    <n v="-59072.26"/>
    <s v="83.95000"/>
    <s v="BDT"/>
    <n v="-4959116.2300000004"/>
    <n v="-59072.26"/>
    <s v="59072.26_1"/>
    <s v=""/>
    <s v="C3127C&amp;A20GR0813"/>
    <s v="20200830"/>
    <s v=""/>
    <s v=""/>
    <s v="0"/>
    <s v=""/>
    <s v=""/>
    <s v=""/>
    <s v=""/>
    <s v="2010100001"/>
    <s v=""/>
    <m/>
    <s v=""/>
    <s v=""/>
    <s v=""/>
    <n v="0"/>
  </r>
  <r>
    <s v=""/>
    <s v="40101001"/>
    <s v="2018000981"/>
    <x v="129"/>
    <d v="2021-02-13T00:00:00"/>
    <d v="2021-02-24T00:00:00"/>
    <s v="RV"/>
    <s v="USD"/>
    <n v="-59007.65"/>
    <s v="83.95000"/>
    <s v="BDT"/>
    <n v="-4953692.22"/>
    <n v="-59007.65"/>
    <s v="59007.65_1"/>
    <s v=""/>
    <s v="C3246UQ21TOK0117"/>
    <s v="20210213"/>
    <s v=""/>
    <s v=""/>
    <s v="0"/>
    <s v=""/>
    <s v=""/>
    <s v=""/>
    <s v=""/>
    <s v="2010100001"/>
    <s v=""/>
    <m/>
    <s v=""/>
    <s v=""/>
    <s v=""/>
    <n v="0"/>
  </r>
  <r>
    <s v=""/>
    <s v="40101001"/>
    <s v="2018000510"/>
    <x v="6"/>
    <d v="2020-11-16T00:00:00"/>
    <d v="2020-11-19T00:00:00"/>
    <s v="RV"/>
    <s v="USD"/>
    <n v="-58876.23"/>
    <s v="83.95000"/>
    <s v="BDT"/>
    <n v="-4942659.51"/>
    <n v="-58876.23"/>
    <s v="58876.23_1"/>
    <s v=""/>
    <s v="C3231UQ20HK1160"/>
    <s v="20201116"/>
    <s v=""/>
    <s v=""/>
    <s v="0"/>
    <s v=""/>
    <s v=""/>
    <s v=""/>
    <s v=""/>
    <s v="2010100001"/>
    <s v=""/>
    <m/>
    <s v=""/>
    <s v=""/>
    <s v=""/>
    <n v="0"/>
  </r>
  <r>
    <s v=""/>
    <s v="40101001"/>
    <s v="2018000159"/>
    <x v="130"/>
    <d v="2020-08-20T00:00:00"/>
    <d v="2020-08-26T00:00:00"/>
    <s v="RV"/>
    <s v="USD"/>
    <n v="-58788.49"/>
    <s v="83.95000"/>
    <s v="BDT"/>
    <n v="-4935293.74"/>
    <n v="-58788.49"/>
    <s v="58788.49_1"/>
    <s v=""/>
    <s v="C3130C&amp;A20GR0757"/>
    <s v="20200820"/>
    <s v=""/>
    <s v=""/>
    <s v="0"/>
    <s v=""/>
    <s v=""/>
    <s v=""/>
    <s v=""/>
    <s v="2010100001"/>
    <s v=""/>
    <m/>
    <s v=""/>
    <s v=""/>
    <s v=""/>
    <n v="0"/>
  </r>
  <r>
    <s v=""/>
    <s v="40101001"/>
    <s v="2018000431"/>
    <x v="18"/>
    <d v="2020-11-05T00:00:00"/>
    <d v="2020-11-10T00:00:00"/>
    <s v="RV"/>
    <s v="USD"/>
    <n v="-58711.69"/>
    <s v="83.95000"/>
    <s v="BDT"/>
    <n v="-4928846.38"/>
    <n v="-58711.69"/>
    <s v="58711.69_1"/>
    <s v=""/>
    <s v="C3169UQ20TW1045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152"/>
    <x v="131"/>
    <d v="2020-08-22T00:00:00"/>
    <d v="2020-08-25T00:00:00"/>
    <s v="RV"/>
    <s v="USD"/>
    <n v="-58577.91"/>
    <s v="83.95000"/>
    <s v="BDT"/>
    <n v="-4917615.54"/>
    <n v="-58577.91"/>
    <s v="58577.91_1"/>
    <s v=""/>
    <s v="C3128UQ20HK0766"/>
    <s v="20200822"/>
    <s v=""/>
    <s v=""/>
    <s v="0"/>
    <s v=""/>
    <s v=""/>
    <s v=""/>
    <s v=""/>
    <s v="2010100001"/>
    <s v=""/>
    <m/>
    <s v=""/>
    <s v=""/>
    <s v=""/>
    <n v="0"/>
  </r>
  <r>
    <s v=""/>
    <s v="40101001"/>
    <s v="2018001609"/>
    <x v="104"/>
    <d v="2021-06-23T00:00:00"/>
    <d v="2021-06-30T00:00:00"/>
    <s v="RV"/>
    <s v="USD"/>
    <n v="-58204"/>
    <s v="83.95000"/>
    <s v="BDT"/>
    <n v="-4886225.8"/>
    <n v="-58204"/>
    <s v="58204_1"/>
    <s v=""/>
    <s v="C3311LVUS0825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1509"/>
    <x v="88"/>
    <d v="2021-06-11T00:00:00"/>
    <d v="2021-06-17T00:00:00"/>
    <s v="RV"/>
    <s v="USD"/>
    <n v="-58202.89"/>
    <s v="83.95000"/>
    <s v="BDT"/>
    <n v="-4886132.62"/>
    <n v="-58202.89"/>
    <s v="58202.89_1"/>
    <s v=""/>
    <s v="C3280LVUS0699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164"/>
    <x v="33"/>
    <d v="2020-08-21T00:00:00"/>
    <d v="2020-08-26T00:00:00"/>
    <s v="RV"/>
    <s v="USD"/>
    <n v="-57846.33"/>
    <s v="83.95000"/>
    <s v="BDT"/>
    <n v="-4856199.4000000004"/>
    <n v="-57846.33"/>
    <s v="57846.33_1"/>
    <s v=""/>
    <s v="C3130C&amp;A20GR0769"/>
    <s v="20200821"/>
    <s v=""/>
    <s v=""/>
    <s v="0"/>
    <s v=""/>
    <s v=""/>
    <s v=""/>
    <s v=""/>
    <s v="2010100001"/>
    <s v=""/>
    <m/>
    <s v=""/>
    <s v=""/>
    <s v=""/>
    <n v="0"/>
  </r>
  <r>
    <s v=""/>
    <s v="40101001"/>
    <s v="2018000165"/>
    <x v="33"/>
    <d v="2020-08-21T00:00:00"/>
    <d v="2020-08-26T00:00:00"/>
    <s v="RV"/>
    <s v="USD"/>
    <n v="-57683.26"/>
    <s v="83.95000"/>
    <s v="BDT"/>
    <n v="-4842509.68"/>
    <n v="-57683.26"/>
    <s v="57683.26_1"/>
    <s v=""/>
    <s v="C3130C&amp;A20GR0770"/>
    <s v="20200821"/>
    <s v=""/>
    <s v=""/>
    <s v="0"/>
    <s v=""/>
    <s v=""/>
    <s v=""/>
    <s v=""/>
    <s v="2010100001"/>
    <s v=""/>
    <m/>
    <s v=""/>
    <s v=""/>
    <s v=""/>
    <n v="0"/>
  </r>
  <r>
    <s v=""/>
    <s v="40101001"/>
    <s v="2018000950"/>
    <x v="132"/>
    <d v="2021-02-10T00:00:00"/>
    <d v="2021-02-16T00:00:00"/>
    <s v="RV"/>
    <s v="USD"/>
    <n v="-57647.81"/>
    <s v="83.95000"/>
    <s v="BDT"/>
    <n v="-4839533.6500000004"/>
    <n v="-57647.81"/>
    <s v="57647.81_1"/>
    <s v=""/>
    <s v="C3254UQ21TOK0183"/>
    <s v="20210210"/>
    <s v=""/>
    <s v=""/>
    <s v="0"/>
    <s v=""/>
    <s v=""/>
    <s v=""/>
    <s v=""/>
    <s v="2010100001"/>
    <s v=""/>
    <m/>
    <s v=""/>
    <s v=""/>
    <s v=""/>
    <n v="0"/>
  </r>
  <r>
    <s v=""/>
    <s v="40101001"/>
    <s v="2018000260"/>
    <x v="133"/>
    <d v="2020-09-21T00:00:00"/>
    <d v="2020-09-26T00:00:00"/>
    <s v="RV"/>
    <s v="USD"/>
    <n v="-57582.31"/>
    <s v="83.95000"/>
    <s v="BDT"/>
    <n v="-4834034.92"/>
    <n v="-57582.31"/>
    <s v="57582.31_1"/>
    <s v=""/>
    <s v="C3159UQ20OSA0899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753"/>
    <x v="134"/>
    <d v="2020-12-31T00:00:00"/>
    <d v="2021-01-05T00:00:00"/>
    <s v="RV"/>
    <s v="USD"/>
    <n v="-57509.05"/>
    <s v="83.95000"/>
    <s v="BDT"/>
    <n v="-4827884.75"/>
    <n v="-57509.05"/>
    <s v="57509.05_1"/>
    <s v=""/>
    <s v="C3235UQ20MEL1400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0142"/>
    <x v="24"/>
    <d v="2020-08-10T00:00:00"/>
    <d v="2020-08-16T00:00:00"/>
    <s v="RV"/>
    <s v="USD"/>
    <n v="-57470.55"/>
    <s v="83.95000"/>
    <s v="BDT"/>
    <n v="-4824652.67"/>
    <n v="-57470.55"/>
    <s v="57470.55_1"/>
    <s v=""/>
    <s v="C3085LVCA070320"/>
    <s v="20200810"/>
    <s v=""/>
    <s v=""/>
    <s v="0"/>
    <s v=""/>
    <s v=""/>
    <s v=""/>
    <s v=""/>
    <s v="2010100001"/>
    <s v=""/>
    <m/>
    <s v=""/>
    <s v=""/>
    <s v=""/>
    <n v="0"/>
  </r>
  <r>
    <s v=""/>
    <s v="40101001"/>
    <s v="2018001025"/>
    <x v="16"/>
    <d v="2021-02-26T00:00:00"/>
    <d v="2021-03-03T00:00:00"/>
    <s v="RV"/>
    <s v="USD"/>
    <n v="-57126.36"/>
    <s v="83.95000"/>
    <s v="BDT"/>
    <n v="-4795757.92"/>
    <n v="-57126.36"/>
    <s v="57126.36_1"/>
    <s v=""/>
    <s v="C3244LVUS0229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0024"/>
    <x v="135"/>
    <d v="2020-07-03T00:00:00"/>
    <d v="2020-07-18T00:00:00"/>
    <s v="RV"/>
    <s v="USD"/>
    <n v="-57125.14"/>
    <s v="83.95000"/>
    <s v="BDT"/>
    <n v="-4795655.5"/>
    <n v="-57125.14"/>
    <s v="57125.14_1"/>
    <s v=""/>
    <s v="C3120UQ20YAN0586"/>
    <s v="20200703"/>
    <s v=""/>
    <s v=""/>
    <s v="0"/>
    <s v=""/>
    <s v=""/>
    <s v=""/>
    <s v=""/>
    <s v="2010100001"/>
    <s v=""/>
    <m/>
    <s v=""/>
    <s v=""/>
    <s v=""/>
    <n v="0"/>
  </r>
  <r>
    <s v=""/>
    <s v="40101001"/>
    <s v="2018001604"/>
    <x v="61"/>
    <d v="2021-06-25T00:00:00"/>
    <d v="2021-06-30T00:00:00"/>
    <s v="RV"/>
    <s v="USD"/>
    <n v="-57113.22"/>
    <s v="83.95000"/>
    <s v="BDT"/>
    <n v="-4794654.82"/>
    <n v="-57113.22"/>
    <s v="57113.22_1"/>
    <s v=""/>
    <s v="C3329UQ21YOK0853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0161"/>
    <x v="130"/>
    <d v="2020-08-20T00:00:00"/>
    <d v="2020-08-26T00:00:00"/>
    <s v="RV"/>
    <s v="USD"/>
    <n v="-57064.93"/>
    <s v="83.95000"/>
    <s v="BDT"/>
    <n v="-4790600.87"/>
    <n v="-57064.93"/>
    <s v="57064.93_1"/>
    <s v=""/>
    <s v="C3130C&amp;A20GR0759"/>
    <s v="20200820"/>
    <s v=""/>
    <s v=""/>
    <s v="0"/>
    <s v=""/>
    <s v=""/>
    <s v=""/>
    <s v=""/>
    <s v="2010100001"/>
    <s v=""/>
    <m/>
    <s v=""/>
    <s v=""/>
    <s v=""/>
    <n v="0"/>
  </r>
  <r>
    <s v=""/>
    <s v="40101001"/>
    <s v="2018001319"/>
    <x v="15"/>
    <d v="2021-05-04T00:00:00"/>
    <d v="2021-05-12T00:00:00"/>
    <s v="RV"/>
    <s v="USD"/>
    <n v="-56926.400000000001"/>
    <s v="83.95000"/>
    <s v="BDT"/>
    <n v="-4778971.28"/>
    <n v="-56926.400000000001"/>
    <s v="56926.4_1"/>
    <s v=""/>
    <s v="C3308UQ21NAG0548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592"/>
    <x v="61"/>
    <d v="2021-06-25T00:00:00"/>
    <d v="2021-06-29T00:00:00"/>
    <s v="RV"/>
    <s v="USD"/>
    <n v="-56784"/>
    <s v="83.95000"/>
    <s v="BDT"/>
    <n v="-4767016.8"/>
    <n v="-56784"/>
    <s v="56784_1"/>
    <s v=""/>
    <s v="C3329UQ21OSA0856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0397"/>
    <x v="67"/>
    <d v="2020-10-27T00:00:00"/>
    <d v="2020-11-03T00:00:00"/>
    <s v="RV"/>
    <s v="USD"/>
    <n v="-56607.26"/>
    <s v="83.95000"/>
    <s v="BDT"/>
    <n v="-4752179.4800000004"/>
    <n v="-56607.26"/>
    <s v="56607.26_1"/>
    <s v=""/>
    <s v="C3134SB20UK0992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0465"/>
    <x v="18"/>
    <d v="2020-11-05T00:00:00"/>
    <d v="2020-11-14T00:00:00"/>
    <s v="RV"/>
    <s v="USD"/>
    <n v="-56524.99"/>
    <s v="83.95000"/>
    <s v="BDT"/>
    <n v="-4745272.91"/>
    <n v="-56524.99"/>
    <s v="56524.99_1"/>
    <s v=""/>
    <s v="C3134SB20UK1049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185"/>
    <x v="83"/>
    <d v="2021-03-30T00:00:00"/>
    <d v="2021-04-04T00:00:00"/>
    <s v="RV"/>
    <s v="USD"/>
    <n v="-56198.65"/>
    <s v="83.95000"/>
    <s v="BDT"/>
    <n v="-4717876.67"/>
    <n v="-56198.65"/>
    <s v="56198.65_1"/>
    <s v=""/>
    <s v="C3290UQ21OSA0417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0020"/>
    <x v="11"/>
    <d v="2020-07-12T00:00:00"/>
    <d v="2020-07-16T00:00:00"/>
    <s v="RV"/>
    <s v="USD"/>
    <n v="-56057.66"/>
    <s v="83.95000"/>
    <s v="BDT"/>
    <n v="-4706040.5599999996"/>
    <n v="-56057.66"/>
    <s v="56057.66_1"/>
    <s v=""/>
    <s v="C3128UQ20TOK0614"/>
    <s v="20200712"/>
    <s v=""/>
    <s v=""/>
    <s v="0"/>
    <s v=""/>
    <s v=""/>
    <s v=""/>
    <s v=""/>
    <s v="2010100001"/>
    <s v=""/>
    <m/>
    <s v=""/>
    <s v=""/>
    <s v=""/>
    <n v="0"/>
  </r>
  <r>
    <s v=""/>
    <s v="40101001"/>
    <s v="2018000004"/>
    <x v="135"/>
    <d v="2020-07-03T00:00:00"/>
    <d v="2020-07-07T00:00:00"/>
    <s v="RV"/>
    <s v="USD"/>
    <n v="-55977.5"/>
    <s v="83.95000"/>
    <s v="BDT"/>
    <n v="-4699311.13"/>
    <n v="-55977.5"/>
    <s v="55977.5_1"/>
    <s v=""/>
    <s v="C3074UQ20PH0463"/>
    <s v="20200703"/>
    <s v=""/>
    <s v=""/>
    <s v="0"/>
    <s v=""/>
    <s v=""/>
    <s v=""/>
    <s v=""/>
    <s v="2010100001"/>
    <s v=""/>
    <m/>
    <s v=""/>
    <s v=""/>
    <s v=""/>
    <n v="0"/>
  </r>
  <r>
    <s v=""/>
    <s v="40101001"/>
    <s v="2018001376"/>
    <x v="20"/>
    <d v="2021-05-14T00:00:00"/>
    <d v="2021-05-20T00:00:00"/>
    <s v="RV"/>
    <s v="USD"/>
    <n v="-55253.61"/>
    <s v="83.95000"/>
    <s v="BDT"/>
    <n v="-4638540.5599999996"/>
    <n v="-55253.61"/>
    <s v="55253.61_1"/>
    <s v=""/>
    <s v="C3316UQ21TOK0640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0238"/>
    <x v="81"/>
    <d v="2020-09-16T00:00:00"/>
    <d v="2020-09-22T00:00:00"/>
    <s v="RV"/>
    <s v="USD"/>
    <n v="-54739.3"/>
    <s v="83.95000"/>
    <s v="BDT"/>
    <n v="-4595364.2300000004"/>
    <n v="-54739.3"/>
    <s v="54739.3_1"/>
    <s v=""/>
    <s v="C3154UQ20OSA0858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812"/>
    <x v="42"/>
    <d v="2021-01-14T00:00:00"/>
    <d v="2021-01-21T00:00:00"/>
    <s v="RV"/>
    <s v="USD"/>
    <n v="-54591.41"/>
    <s v="83.95000"/>
    <s v="BDT"/>
    <n v="-4582948.87"/>
    <n v="-54591.41"/>
    <s v="54591.41_1"/>
    <s v=""/>
    <s v="C3232UQ21NAG0031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446"/>
    <x v="18"/>
    <d v="2020-11-05T00:00:00"/>
    <d v="2020-11-11T00:00:00"/>
    <s v="RV"/>
    <s v="USD"/>
    <n v="-54467.09"/>
    <s v="83.95000"/>
    <s v="BDT"/>
    <n v="-4572512.21"/>
    <n v="-54467.09"/>
    <s v="54467.09_1"/>
    <s v=""/>
    <s v="C3169UQ20HK1058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261"/>
    <x v="49"/>
    <d v="2021-04-24T00:00:00"/>
    <d v="2021-04-29T00:00:00"/>
    <s v="RV"/>
    <s v="USD"/>
    <n v="-54414.03"/>
    <s v="83.95000"/>
    <s v="BDT"/>
    <n v="-4568057.82"/>
    <n v="-54414.03"/>
    <s v="54414.03_1"/>
    <s v=""/>
    <s v="C3189AMZPL050521"/>
    <s v="20210424"/>
    <s v=""/>
    <s v=""/>
    <s v="0"/>
    <s v=""/>
    <s v=""/>
    <s v=""/>
    <s v=""/>
    <s v="2010100001"/>
    <s v=""/>
    <m/>
    <s v=""/>
    <s v=""/>
    <s v=""/>
    <n v="0"/>
  </r>
  <r>
    <s v=""/>
    <s v="40101001"/>
    <s v="2018001598"/>
    <x v="39"/>
    <d v="2021-06-27T00:00:00"/>
    <d v="2021-06-29T00:00:00"/>
    <s v="RV"/>
    <s v="USD"/>
    <n v="-54345.96"/>
    <s v="83.95000"/>
    <s v="BDT"/>
    <n v="-4562343.34"/>
    <n v="-54345.96"/>
    <s v="54345.96_1"/>
    <s v=""/>
    <s v="C3329UQ21YOK0883"/>
    <s v="20210627"/>
    <s v=""/>
    <s v=""/>
    <s v="0"/>
    <s v=""/>
    <s v=""/>
    <s v=""/>
    <s v=""/>
    <s v="2010100001"/>
    <s v=""/>
    <m/>
    <s v=""/>
    <s v=""/>
    <s v=""/>
    <n v="0"/>
  </r>
  <r>
    <s v=""/>
    <s v="40101001"/>
    <s v="2018000041"/>
    <x v="136"/>
    <d v="2020-07-09T00:00:00"/>
    <d v="2020-07-20T00:00:00"/>
    <s v="RV"/>
    <s v="USD"/>
    <n v="-54318.78"/>
    <s v="83.95000"/>
    <s v="BDT"/>
    <n v="-4560061.58"/>
    <n v="-54318.78"/>
    <s v="54318.78_1"/>
    <s v=""/>
    <s v="C3036LVUS0592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794"/>
    <x v="137"/>
    <d v="2021-01-05T00:00:00"/>
    <d v="2021-01-18T00:00:00"/>
    <s v="RV"/>
    <s v="USD"/>
    <n v="-54200.72"/>
    <s v="83.95000"/>
    <s v="BDT"/>
    <n v="-4550150.4400000004"/>
    <n v="-54200.72"/>
    <s v="54200.72_1"/>
    <s v=""/>
    <s v="C3253UQ20HK1416"/>
    <s v="20210105"/>
    <s v=""/>
    <s v=""/>
    <s v="0"/>
    <s v=""/>
    <s v=""/>
    <s v=""/>
    <s v=""/>
    <s v="2010100001"/>
    <s v=""/>
    <m/>
    <s v=""/>
    <s v=""/>
    <s v=""/>
    <n v="0"/>
  </r>
  <r>
    <s v=""/>
    <s v="40101001"/>
    <s v="2018001382"/>
    <x v="56"/>
    <d v="2021-05-13T00:00:00"/>
    <d v="2021-05-20T00:00:00"/>
    <s v="RV"/>
    <s v="USD"/>
    <n v="-54121.46"/>
    <s v="83.95000"/>
    <s v="BDT"/>
    <n v="-4543496.57"/>
    <n v="-54121.46"/>
    <s v="54121.46_1"/>
    <s v=""/>
    <s v="C3283LVUS062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593"/>
    <x v="61"/>
    <d v="2021-06-25T00:00:00"/>
    <d v="2021-06-29T00:00:00"/>
    <s v="RV"/>
    <s v="USD"/>
    <n v="-54121"/>
    <s v="83.95000"/>
    <s v="BDT"/>
    <n v="-4543457.95"/>
    <n v="-54121"/>
    <s v="54121_1"/>
    <s v=""/>
    <s v="C3308UQ21TOK0804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1284"/>
    <x v="71"/>
    <d v="2021-04-28T00:00:00"/>
    <d v="2021-05-07T00:00:00"/>
    <s v="RV"/>
    <s v="USD"/>
    <n v="-54064.2"/>
    <s v="83.95000"/>
    <s v="BDT"/>
    <n v="-4538689.59"/>
    <n v="-54064.2"/>
    <s v="54064.2_1"/>
    <s v=""/>
    <s v="C3309UQ21MEL0507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505"/>
    <x v="115"/>
    <d v="2020-11-15T00:00:00"/>
    <d v="2020-11-19T00:00:00"/>
    <s v="RV"/>
    <s v="USD"/>
    <n v="-54036.09"/>
    <s v="83.95000"/>
    <s v="BDT"/>
    <n v="-4536329.76"/>
    <n v="-54036.09"/>
    <s v="54036.09_1"/>
    <s v=""/>
    <s v="C3210UQ20OSA1106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1185"/>
    <x v="83"/>
    <d v="2021-03-30T00:00:00"/>
    <d v="2021-04-04T00:00:00"/>
    <s v="RV"/>
    <s v="USD"/>
    <n v="-53778.71"/>
    <s v="83.95000"/>
    <s v="BDT"/>
    <n v="-4514722.7"/>
    <n v="-53778.71"/>
    <s v="53778.71_1"/>
    <s v=""/>
    <s v="C3290UQ21OSA0417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1382"/>
    <x v="56"/>
    <d v="2021-05-13T00:00:00"/>
    <d v="2021-05-20T00:00:00"/>
    <s v="RV"/>
    <s v="USD"/>
    <n v="-53763.35"/>
    <s v="83.95000"/>
    <s v="BDT"/>
    <n v="-4513433.2300000004"/>
    <n v="-53763.35"/>
    <s v="53763.35_1"/>
    <s v=""/>
    <s v="C3283LVUS062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148"/>
    <x v="59"/>
    <d v="2020-08-17T00:00:00"/>
    <d v="2020-08-22T00:00:00"/>
    <s v="RV"/>
    <s v="USD"/>
    <n v="-53697.37"/>
    <s v="83.95000"/>
    <s v="BDT"/>
    <n v="-4507894.21"/>
    <n v="-53697.37"/>
    <s v="53697.37_1"/>
    <s v=""/>
    <s v="C3093UQ20OSA0746"/>
    <s v="20200817"/>
    <s v=""/>
    <s v=""/>
    <s v="0"/>
    <s v=""/>
    <s v=""/>
    <s v=""/>
    <s v=""/>
    <s v="2010100001"/>
    <s v=""/>
    <m/>
    <s v=""/>
    <s v=""/>
    <s v=""/>
    <n v="0"/>
  </r>
  <r>
    <s v=""/>
    <s v="40101001"/>
    <s v="2018001084"/>
    <x v="138"/>
    <d v="2021-03-17T00:00:00"/>
    <d v="2021-03-24T00:00:00"/>
    <s v="RV"/>
    <s v="USD"/>
    <n v="-53570.76"/>
    <s v="83.95000"/>
    <s v="BDT"/>
    <n v="-4497265.3"/>
    <n v="-53570.76"/>
    <s v="53570.76_1"/>
    <s v=""/>
    <s v="C3271UQ21RU0248"/>
    <s v="20210317"/>
    <s v=""/>
    <s v=""/>
    <s v="0"/>
    <s v=""/>
    <s v=""/>
    <s v=""/>
    <s v=""/>
    <s v="2010100001"/>
    <s v=""/>
    <m/>
    <s v=""/>
    <s v=""/>
    <s v=""/>
    <n v="0"/>
  </r>
  <r>
    <s v=""/>
    <s v="40101001"/>
    <s v="2018001262"/>
    <x v="49"/>
    <d v="2021-04-24T00:00:00"/>
    <d v="2021-04-29T00:00:00"/>
    <s v="RV"/>
    <s v="USD"/>
    <n v="-53495.5"/>
    <s v="83.95000"/>
    <s v="BDT"/>
    <n v="-4490947.2300000004"/>
    <n v="-53495.5"/>
    <s v="53495.5_1"/>
    <s v=""/>
    <s v="C3189AMZPL049721"/>
    <s v="20210424"/>
    <s v=""/>
    <s v=""/>
    <s v="0"/>
    <s v=""/>
    <s v=""/>
    <s v=""/>
    <s v=""/>
    <s v="2010100001"/>
    <s v=""/>
    <m/>
    <s v=""/>
    <s v=""/>
    <s v=""/>
    <n v="0"/>
  </r>
  <r>
    <s v=""/>
    <s v="40101001"/>
    <s v="2018001617"/>
    <x v="93"/>
    <d v="2021-06-29T00:00:00"/>
    <d v="2021-07-05T00:00:00"/>
    <s v="RV"/>
    <s v="USD"/>
    <n v="-53466.720000000001"/>
    <s v="83.95000"/>
    <s v="BDT"/>
    <n v="-4488531.1399999997"/>
    <n v="-53466.720000000001"/>
    <s v="53466.72_1"/>
    <s v=""/>
    <s v="C3353UQ21OSA0890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090"/>
    <x v="139"/>
    <d v="2020-07-27T00:00:00"/>
    <d v="2020-07-30T00:00:00"/>
    <s v="RV"/>
    <s v="USD"/>
    <n v="-53452.86"/>
    <s v="83.95000"/>
    <s v="BDT"/>
    <n v="-4487367.5999999996"/>
    <n v="-53452.86"/>
    <s v="53452.86_1"/>
    <s v=""/>
    <s v="C3122UQ20KR0675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1075"/>
    <x v="140"/>
    <d v="2021-03-14T00:00:00"/>
    <d v="2021-03-20T00:00:00"/>
    <s v="RV"/>
    <s v="USD"/>
    <n v="-53259.41"/>
    <s v="83.95000"/>
    <s v="BDT"/>
    <n v="-4471127.47"/>
    <n v="-53259.41"/>
    <s v="53259.41_1"/>
    <s v=""/>
    <s v="C3290UQ21OSA0300"/>
    <s v="20210314"/>
    <s v=""/>
    <s v=""/>
    <s v="0"/>
    <s v=""/>
    <s v=""/>
    <s v=""/>
    <s v=""/>
    <s v="2010100001"/>
    <s v=""/>
    <m/>
    <s v=""/>
    <s v=""/>
    <s v=""/>
    <n v="0"/>
  </r>
  <r>
    <s v=""/>
    <s v="40101001"/>
    <s v="2018001063"/>
    <x v="111"/>
    <d v="2021-03-11T00:00:00"/>
    <d v="2021-03-16T00:00:00"/>
    <s v="RV"/>
    <s v="USD"/>
    <n v="-53146.54"/>
    <s v="83.95000"/>
    <s v="BDT"/>
    <n v="-4461652.03"/>
    <n v="-53146.54"/>
    <s v="53146.54_1"/>
    <s v=""/>
    <s v="C3254UQ21HAK0282"/>
    <s v="20210311"/>
    <s v=""/>
    <s v=""/>
    <s v="0"/>
    <s v=""/>
    <s v=""/>
    <s v=""/>
    <s v=""/>
    <s v="2010100001"/>
    <s v=""/>
    <m/>
    <s v=""/>
    <s v=""/>
    <s v=""/>
    <n v="0"/>
  </r>
  <r>
    <s v=""/>
    <s v="40101001"/>
    <s v="2018000482"/>
    <x v="18"/>
    <d v="2020-11-05T00:00:00"/>
    <d v="2020-11-16T00:00:00"/>
    <s v="RV"/>
    <s v="USD"/>
    <n v="-53122.080000000002"/>
    <s v="83.95000"/>
    <s v="BDT"/>
    <n v="-4459598.62"/>
    <n v="-53122.080000000002"/>
    <s v="53122.08_1"/>
    <s v=""/>
    <s v="C3099LVUS0944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140"/>
    <x v="141"/>
    <d v="2021-03-25T00:00:00"/>
    <d v="2021-03-31T00:00:00"/>
    <s v="RV"/>
    <s v="USD"/>
    <n v="-52845.5"/>
    <s v="83.95000"/>
    <s v="BDT"/>
    <n v="-4436379.7300000004"/>
    <n v="-52845.5"/>
    <s v="52845.5_1"/>
    <s v=""/>
    <s v="C3261C&amp;A21GR0383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1138"/>
    <x v="141"/>
    <d v="2021-03-25T00:00:00"/>
    <d v="2021-03-31T00:00:00"/>
    <s v="RV"/>
    <s v="USD"/>
    <n v="-52528.11"/>
    <s v="83.95000"/>
    <s v="BDT"/>
    <n v="-4409734.83"/>
    <n v="-52528.11"/>
    <s v="52528.11_1"/>
    <s v=""/>
    <s v="C3261C&amp;A21GR0381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1069"/>
    <x v="111"/>
    <d v="2021-03-11T00:00:00"/>
    <d v="2021-03-17T00:00:00"/>
    <s v="RV"/>
    <s v="USD"/>
    <n v="-52470.07"/>
    <s v="83.95000"/>
    <s v="BDT"/>
    <n v="-4404862.38"/>
    <n v="-52470.07"/>
    <s v="52470.07_1"/>
    <s v=""/>
    <s v="C3290UQ21OSA0287"/>
    <s v="20210311"/>
    <s v=""/>
    <s v=""/>
    <s v="0"/>
    <s v=""/>
    <s v=""/>
    <s v=""/>
    <s v=""/>
    <s v="2010100001"/>
    <s v=""/>
    <m/>
    <s v=""/>
    <s v=""/>
    <s v=""/>
    <n v="0"/>
  </r>
  <r>
    <s v=""/>
    <s v="40101001"/>
    <s v="2018000106"/>
    <x v="8"/>
    <d v="2020-07-29T00:00:00"/>
    <d v="2020-08-10T00:00:00"/>
    <s v="RV"/>
    <s v="USD"/>
    <n v="-52454.3"/>
    <s v="83.95000"/>
    <s v="BDT"/>
    <n v="-4403538.49"/>
    <n v="-52454.3"/>
    <s v="52454.3_1"/>
    <s v=""/>
    <s v="C3093UQ20OSA0714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0151"/>
    <x v="55"/>
    <d v="2020-08-19T00:00:00"/>
    <d v="2020-08-22T00:00:00"/>
    <s v="RV"/>
    <s v="USD"/>
    <n v="-52340.77"/>
    <s v="83.95000"/>
    <s v="BDT"/>
    <n v="-4394007.6399999997"/>
    <n v="-52340.77"/>
    <s v="52340.77_1"/>
    <s v=""/>
    <s v="C3099LVUS0752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0846"/>
    <x v="35"/>
    <d v="2021-01-20T00:00:00"/>
    <d v="2021-01-28T00:00:00"/>
    <s v="RV"/>
    <s v="USD"/>
    <n v="-52064.03"/>
    <s v="83.95000"/>
    <s v="BDT"/>
    <n v="-4370775.32"/>
    <n v="-52064.03"/>
    <s v="52064.03_1"/>
    <s v=""/>
    <s v="C3232UQ21TOK0029"/>
    <s v="20210120"/>
    <s v=""/>
    <s v=""/>
    <s v="0"/>
    <s v=""/>
    <s v=""/>
    <s v=""/>
    <s v=""/>
    <s v="2010100001"/>
    <s v=""/>
    <m/>
    <s v=""/>
    <s v=""/>
    <s v=""/>
    <n v="0"/>
  </r>
  <r>
    <s v=""/>
    <s v="40101001"/>
    <s v="2018000480"/>
    <x v="142"/>
    <d v="2020-11-14T00:00:00"/>
    <d v="2020-11-16T00:00:00"/>
    <s v="RV"/>
    <s v="USD"/>
    <n v="-51999.17"/>
    <s v="83.95000"/>
    <s v="BDT"/>
    <n v="-4365330.32"/>
    <n v="-51999.17"/>
    <s v="51999.17_1"/>
    <s v=""/>
    <s v="C3210UQ20TOK1137"/>
    <s v="20201114"/>
    <s v=""/>
    <s v=""/>
    <s v="0"/>
    <s v=""/>
    <s v=""/>
    <s v=""/>
    <s v=""/>
    <s v="2010100001"/>
    <s v=""/>
    <m/>
    <s v=""/>
    <s v=""/>
    <s v=""/>
    <n v="0"/>
  </r>
  <r>
    <s v=""/>
    <s v="40101001"/>
    <s v="2018001400"/>
    <x v="51"/>
    <d v="2021-05-08T00:00:00"/>
    <d v="2021-05-24T00:00:00"/>
    <s v="RV"/>
    <s v="USD"/>
    <n v="-51992.76"/>
    <s v="83.95000"/>
    <s v="BDT"/>
    <n v="-4364792.2"/>
    <n v="-51992.76"/>
    <s v="51992.76_1"/>
    <s v=""/>
    <s v="C3344UQ21KR0608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813"/>
    <x v="42"/>
    <d v="2021-01-14T00:00:00"/>
    <d v="2021-01-21T00:00:00"/>
    <s v="RV"/>
    <s v="USD"/>
    <n v="-51962.93"/>
    <s v="83.95000"/>
    <s v="BDT"/>
    <n v="-4362287.9800000004"/>
    <n v="-51962.93"/>
    <s v="51962.93_1"/>
    <s v=""/>
    <s v="C3232UQ21SEN0032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068"/>
    <x v="53"/>
    <d v="2020-07-22T00:00:00"/>
    <d v="2020-07-28T00:00:00"/>
    <s v="RV"/>
    <s v="USD"/>
    <n v="-51732.15"/>
    <s v="83.95000"/>
    <s v="BDT"/>
    <n v="-4342914"/>
    <n v="-51732.15"/>
    <s v="51732.15_1"/>
    <s v=""/>
    <s v="C3122UQ20SHA0666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424"/>
    <x v="119"/>
    <d v="2021-05-24T00:00:00"/>
    <d v="2021-05-29T00:00:00"/>
    <s v="RV"/>
    <s v="USD"/>
    <n v="-51617.52"/>
    <s v="83.95000"/>
    <s v="BDT"/>
    <n v="-4333290.8099999996"/>
    <n v="-51617.52"/>
    <s v="51617.52_1"/>
    <s v=""/>
    <s v="C3329UQ21RU0545"/>
    <s v="20210524"/>
    <s v=""/>
    <s v=""/>
    <s v="0"/>
    <s v=""/>
    <s v=""/>
    <s v=""/>
    <s v=""/>
    <s v="2010100001"/>
    <s v=""/>
    <m/>
    <s v=""/>
    <s v=""/>
    <s v=""/>
    <n v="0"/>
  </r>
  <r>
    <s v=""/>
    <s v="40101001"/>
    <s v="2018000526"/>
    <x v="3"/>
    <d v="2020-11-18T00:00:00"/>
    <d v="2020-11-24T00:00:00"/>
    <s v="RV"/>
    <s v="USD"/>
    <n v="-51573.04"/>
    <s v="83.95000"/>
    <s v="BDT"/>
    <n v="-4329556.71"/>
    <n v="-51573.04"/>
    <s v="51573.04_1"/>
    <s v=""/>
    <s v="C3215UQ20TOK1131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348"/>
    <x v="7"/>
    <d v="2020-10-19T00:00:00"/>
    <d v="2020-10-24T00:00:00"/>
    <s v="RV"/>
    <s v="USD"/>
    <n v="-51465.65"/>
    <s v="83.95000"/>
    <s v="BDT"/>
    <n v="-4320541.32"/>
    <n v="-51465.65"/>
    <s v="51465.65_1"/>
    <s v=""/>
    <s v="C3152TS20UK0874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899"/>
    <x v="143"/>
    <d v="2021-01-31T00:00:00"/>
    <d v="2021-02-04T00:00:00"/>
    <s v="RV"/>
    <s v="USD"/>
    <n v="-51227.47"/>
    <s v="83.95000"/>
    <s v="BDT"/>
    <n v="-4300546.1100000003"/>
    <n v="-51227.47"/>
    <s v="51227.47_1"/>
    <s v=""/>
    <s v="C3272UQ21HAK0115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1035"/>
    <x v="122"/>
    <d v="2021-03-04T00:00:00"/>
    <d v="2021-03-10T00:00:00"/>
    <s v="RV"/>
    <s v="USD"/>
    <n v="-51207.43"/>
    <s v="83.95000"/>
    <s v="BDT"/>
    <n v="-4298863.75"/>
    <n v="-51207.43"/>
    <s v="51207.43_1"/>
    <s v=""/>
    <s v="C3242LVUS0257-21"/>
    <s v="20210304"/>
    <s v=""/>
    <s v=""/>
    <s v="0"/>
    <s v=""/>
    <s v=""/>
    <s v=""/>
    <s v=""/>
    <s v="2010100001"/>
    <s v=""/>
    <m/>
    <s v=""/>
    <s v=""/>
    <s v=""/>
    <n v="0"/>
  </r>
  <r>
    <s v=""/>
    <s v="40101001"/>
    <s v="2018000414"/>
    <x v="23"/>
    <d v="2020-10-31T00:00:00"/>
    <d v="2020-11-05T00:00:00"/>
    <s v="RV"/>
    <s v="USD"/>
    <n v="-51130.92"/>
    <s v="83.95000"/>
    <s v="BDT"/>
    <n v="-4292440.7300000004"/>
    <n v="-51130.92"/>
    <s v="51130.92_1"/>
    <s v=""/>
    <s v="C3152TS20UK1008"/>
    <s v="20201031"/>
    <s v=""/>
    <s v=""/>
    <s v="0"/>
    <s v=""/>
    <s v=""/>
    <s v=""/>
    <s v=""/>
    <s v="2010100001"/>
    <s v=""/>
    <m/>
    <s v=""/>
    <s v=""/>
    <s v=""/>
    <n v="0"/>
  </r>
  <r>
    <s v=""/>
    <s v="40101001"/>
    <s v="2018000495"/>
    <x v="142"/>
    <d v="2020-11-14T00:00:00"/>
    <d v="2020-11-18T00:00:00"/>
    <s v="RV"/>
    <s v="USD"/>
    <n v="-50999.18"/>
    <s v="83.95000"/>
    <s v="BDT"/>
    <n v="-4281381.16"/>
    <n v="-50999.18"/>
    <s v="50999.18_1"/>
    <s v=""/>
    <s v="C3210UQ20TOK1087"/>
    <s v="20201114"/>
    <s v=""/>
    <s v=""/>
    <s v="0"/>
    <s v=""/>
    <s v=""/>
    <s v=""/>
    <s v=""/>
    <s v="2010100001"/>
    <s v=""/>
    <m/>
    <s v=""/>
    <s v=""/>
    <s v=""/>
    <n v="0"/>
  </r>
  <r>
    <s v=""/>
    <s v="40101001"/>
    <s v="2018001035"/>
    <x v="122"/>
    <d v="2021-03-04T00:00:00"/>
    <d v="2021-03-10T00:00:00"/>
    <s v="RV"/>
    <s v="USD"/>
    <n v="-50963.63"/>
    <s v="83.95000"/>
    <s v="BDT"/>
    <n v="-4278396.74"/>
    <n v="-50963.63"/>
    <s v="50963.63_1"/>
    <s v=""/>
    <s v="C3242LVUS0257-21"/>
    <s v="20210304"/>
    <s v=""/>
    <s v=""/>
    <s v="0"/>
    <s v=""/>
    <s v=""/>
    <s v=""/>
    <s v=""/>
    <s v="2010100001"/>
    <s v=""/>
    <m/>
    <s v=""/>
    <s v=""/>
    <s v=""/>
    <n v="0"/>
  </r>
  <r>
    <s v=""/>
    <s v="40101001"/>
    <s v="2018001193"/>
    <x v="144"/>
    <d v="2021-04-01T00:00:00"/>
    <d v="2021-04-08T00:00:00"/>
    <s v="RV"/>
    <s v="USD"/>
    <n v="-50520.98"/>
    <s v="83.95000"/>
    <s v="BDT"/>
    <n v="-4241236.2699999996"/>
    <n v="-50520.98"/>
    <s v="50520.98_1"/>
    <s v=""/>
    <s v="C3252LVUS0414-21"/>
    <s v="20210401"/>
    <s v=""/>
    <s v=""/>
    <s v="0"/>
    <s v=""/>
    <s v=""/>
    <s v=""/>
    <s v=""/>
    <s v="2010100001"/>
    <s v=""/>
    <m/>
    <s v=""/>
    <s v=""/>
    <s v=""/>
    <n v="0"/>
  </r>
  <r>
    <s v=""/>
    <s v="40101001"/>
    <s v="2018001222"/>
    <x v="107"/>
    <d v="2021-04-13T00:00:00"/>
    <d v="2021-04-22T00:00:00"/>
    <s v="RV"/>
    <s v="USD"/>
    <n v="-50475.96"/>
    <s v="83.95000"/>
    <s v="BDT"/>
    <n v="-4237456.84"/>
    <n v="-50475.96"/>
    <s v="50475.96_1"/>
    <s v=""/>
    <s v="C3290UQ21OSA0439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0070"/>
    <x v="53"/>
    <d v="2020-07-22T00:00:00"/>
    <d v="2020-07-28T00:00:00"/>
    <s v="RV"/>
    <s v="USD"/>
    <n v="-49955.94"/>
    <s v="83.95000"/>
    <s v="BDT"/>
    <n v="-4193801.16"/>
    <n v="-49955.94"/>
    <s v="49955.94_1"/>
    <s v=""/>
    <s v="C3122UQ20YAN0668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044"/>
    <x v="145"/>
    <d v="2021-03-06T00:00:00"/>
    <d v="2021-03-10T00:00:00"/>
    <s v="RV"/>
    <s v="USD"/>
    <n v="-49894.34"/>
    <s v="83.95000"/>
    <s v="BDT"/>
    <n v="-4188629.84"/>
    <n v="-49894.34"/>
    <s v="49894.34_1"/>
    <s v=""/>
    <s v="C3290UQ21OSA0274"/>
    <s v="20210306"/>
    <s v=""/>
    <s v=""/>
    <s v="0"/>
    <s v=""/>
    <s v=""/>
    <s v=""/>
    <s v=""/>
    <s v="2010100001"/>
    <s v=""/>
    <m/>
    <s v=""/>
    <s v=""/>
    <s v=""/>
    <n v="0"/>
  </r>
  <r>
    <s v=""/>
    <s v="40101001"/>
    <s v="2018000423"/>
    <x v="146"/>
    <d v="2020-11-02T00:00:00"/>
    <d v="2020-11-10T00:00:00"/>
    <s v="RV"/>
    <s v="USD"/>
    <n v="-49825.62"/>
    <s v="83.95000"/>
    <s v="BDT"/>
    <n v="-4182860.8"/>
    <n v="-49825.62"/>
    <s v="49825.62_1"/>
    <s v=""/>
    <s v="C3153TS19CE1038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401"/>
    <x v="95"/>
    <d v="2020-10-26T00:00:00"/>
    <d v="2020-11-03T00:00:00"/>
    <s v="RV"/>
    <s v="USD"/>
    <n v="-49814.06"/>
    <s v="83.95000"/>
    <s v="BDT"/>
    <n v="-4181890.34"/>
    <n v="-49814.06"/>
    <s v="49814.06_1"/>
    <s v=""/>
    <s v="C3205UQ20YAN1006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1087"/>
    <x v="57"/>
    <d v="2021-03-18T00:00:00"/>
    <d v="2021-03-24T00:00:00"/>
    <s v="RV"/>
    <s v="USD"/>
    <n v="-49796.05"/>
    <s v="83.95000"/>
    <s v="BDT"/>
    <n v="-4180378.4"/>
    <n v="-49796.05"/>
    <s v="49796.05_1"/>
    <s v=""/>
    <s v="C3272UQ21TOK0328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0130"/>
    <x v="147"/>
    <d v="2020-07-31T00:00:00"/>
    <d v="2020-08-14T00:00:00"/>
    <s v="RV"/>
    <s v="USD"/>
    <n v="-49773.04"/>
    <s v="83.95000"/>
    <s v="BDT"/>
    <n v="-4178446.71"/>
    <n v="-49773.04"/>
    <s v="49773.04_1"/>
    <s v=""/>
    <s v="C3120UQ20YAN0719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593"/>
    <x v="27"/>
    <d v="2020-11-30T00:00:00"/>
    <d v="2020-12-05T00:00:00"/>
    <s v="RV"/>
    <s v="USD"/>
    <n v="-49672.26"/>
    <s v="83.95000"/>
    <s v="BDT"/>
    <n v="-4169986.23"/>
    <n v="-49672.26"/>
    <s v="49672.26_1"/>
    <s v=""/>
    <s v="C3233UQ20OSA1218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0820"/>
    <x v="148"/>
    <d v="2021-01-15T00:00:00"/>
    <d v="2021-01-21T00:00:00"/>
    <s v="RV"/>
    <s v="USD"/>
    <n v="-49630.45"/>
    <s v="83.95000"/>
    <s v="BDT"/>
    <n v="-4166476.28"/>
    <n v="-49630.45"/>
    <s v="49630.45_1"/>
    <s v=""/>
    <s v="C3253UQ21OSA0020"/>
    <s v="20210115"/>
    <s v=""/>
    <s v=""/>
    <s v="0"/>
    <s v=""/>
    <s v=""/>
    <s v=""/>
    <s v=""/>
    <s v="2010100001"/>
    <s v=""/>
    <m/>
    <s v=""/>
    <s v=""/>
    <s v=""/>
    <n v="0"/>
  </r>
  <r>
    <s v=""/>
    <s v="40101001"/>
    <s v="2018001332"/>
    <x v="51"/>
    <d v="2021-05-08T00:00:00"/>
    <d v="2021-05-13T00:00:00"/>
    <s v="RV"/>
    <s v="USD"/>
    <n v="-49562.21"/>
    <s v="83.95000"/>
    <s v="BDT"/>
    <n v="-4160747.53"/>
    <n v="-49562.21"/>
    <s v="49562.21_1"/>
    <s v=""/>
    <s v="C3308UQ21OSA0612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056"/>
    <x v="2"/>
    <d v="2020-07-19T00:00:00"/>
    <d v="2020-07-22T00:00:00"/>
    <s v="RV"/>
    <s v="USD"/>
    <n v="-49533.61"/>
    <s v="83.95000"/>
    <s v="BDT"/>
    <n v="-4158346.56"/>
    <n v="-49533.61"/>
    <s v="49533.61_1"/>
    <s v=""/>
    <s v="C3121UQ20TOK0630"/>
    <s v="20200719"/>
    <s v=""/>
    <s v=""/>
    <s v="0"/>
    <s v=""/>
    <s v=""/>
    <s v=""/>
    <s v=""/>
    <s v="2010100001"/>
    <s v=""/>
    <m/>
    <s v=""/>
    <s v=""/>
    <s v=""/>
    <n v="0"/>
  </r>
  <r>
    <s v=""/>
    <s v="40101001"/>
    <s v="2018000536"/>
    <x v="92"/>
    <d v="2020-11-22T00:00:00"/>
    <d v="2020-11-26T00:00:00"/>
    <s v="RV"/>
    <s v="USD"/>
    <n v="-49469.14"/>
    <s v="83.95000"/>
    <s v="BDT"/>
    <n v="-4152934.3"/>
    <n v="-49469.14"/>
    <s v="49469.14_1"/>
    <s v=""/>
    <s v="C3169UQ20OSA1178"/>
    <s v="20201122"/>
    <s v=""/>
    <s v=""/>
    <s v="0"/>
    <s v=""/>
    <s v=""/>
    <s v=""/>
    <s v=""/>
    <s v="2010100001"/>
    <s v=""/>
    <m/>
    <s v=""/>
    <s v=""/>
    <s v=""/>
    <n v="0"/>
  </r>
  <r>
    <s v=""/>
    <s v="40101001"/>
    <s v="2018001490"/>
    <x v="88"/>
    <d v="2021-06-11T00:00:00"/>
    <d v="2021-06-16T00:00:00"/>
    <s v="RV"/>
    <s v="USD"/>
    <n v="-49018.27"/>
    <s v="83.95000"/>
    <s v="BDT"/>
    <n v="-4115083.77"/>
    <n v="-49018.27"/>
    <s v="49018.27_1"/>
    <s v=""/>
    <s v="C3329UQ21HAK0763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208"/>
    <x v="40"/>
    <d v="2020-09-08T00:00:00"/>
    <d v="2020-09-12T00:00:00"/>
    <s v="RV"/>
    <s v="USD"/>
    <n v="-49009.21"/>
    <s v="83.95000"/>
    <s v="BDT"/>
    <n v="-4114323.18"/>
    <n v="-49009.21"/>
    <s v="49009.21_1"/>
    <s v=""/>
    <s v="C3093UQ20OSA0824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954"/>
    <x v="99"/>
    <d v="2021-02-11T00:00:00"/>
    <d v="2021-02-16T00:00:00"/>
    <s v="RV"/>
    <s v="USD"/>
    <n v="-48961.15"/>
    <s v="83.95000"/>
    <s v="BDT"/>
    <n v="-4110288.54"/>
    <n v="-48961.15"/>
    <s v="48961.15_1"/>
    <s v=""/>
    <s v="C3260UQ21NAG0171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1236"/>
    <x v="125"/>
    <d v="2021-04-17T00:00:00"/>
    <d v="2021-04-22T00:00:00"/>
    <s v="RV"/>
    <s v="USD"/>
    <n v="-48902.9"/>
    <s v="83.95000"/>
    <s v="BDT"/>
    <n v="-4105398.45"/>
    <n v="-48902.9"/>
    <s v="48902.9_1"/>
    <s v=""/>
    <s v="C3237LVUS0443-21"/>
    <s v="20210417"/>
    <s v=""/>
    <s v=""/>
    <s v="0"/>
    <s v=""/>
    <s v=""/>
    <s v=""/>
    <s v=""/>
    <s v="2010100001"/>
    <s v=""/>
    <m/>
    <s v=""/>
    <s v=""/>
    <s v=""/>
    <n v="0"/>
  </r>
  <r>
    <s v=""/>
    <s v="40101001"/>
    <s v="2018000285"/>
    <x v="36"/>
    <d v="2020-09-29T00:00:00"/>
    <d v="2020-10-03T00:00:00"/>
    <s v="RV"/>
    <s v="USD"/>
    <n v="-48830.6"/>
    <s v="83.95000"/>
    <s v="BDT"/>
    <n v="-4099328.88"/>
    <n v="-48830.6"/>
    <s v="48830.6_1"/>
    <s v=""/>
    <s v="C03170US20-0892"/>
    <s v="20200929"/>
    <s v=""/>
    <s v=""/>
    <s v="0"/>
    <s v=""/>
    <s v=""/>
    <s v=""/>
    <s v=""/>
    <s v="2010100001"/>
    <s v=""/>
    <m/>
    <s v=""/>
    <s v=""/>
    <s v=""/>
    <n v="0"/>
  </r>
  <r>
    <s v=""/>
    <s v="40101001"/>
    <s v="2018001192"/>
    <x v="144"/>
    <d v="2021-04-01T00:00:00"/>
    <d v="2021-04-08T00:00:00"/>
    <s v="RV"/>
    <s v="USD"/>
    <n v="-48789.08"/>
    <s v="83.95000"/>
    <s v="BDT"/>
    <n v="-4095843.27"/>
    <n v="-48789.08"/>
    <s v="48789.08_1"/>
    <s v=""/>
    <s v="C3237LVUS0435-21"/>
    <s v="20210401"/>
    <s v=""/>
    <s v=""/>
    <s v="0"/>
    <s v=""/>
    <s v=""/>
    <s v=""/>
    <s v=""/>
    <s v="2010100001"/>
    <s v=""/>
    <m/>
    <s v=""/>
    <s v=""/>
    <s v=""/>
    <n v="0"/>
  </r>
  <r>
    <s v=""/>
    <s v="40101001"/>
    <s v="2018000316"/>
    <x v="149"/>
    <d v="2020-10-06T00:00:00"/>
    <d v="2020-10-13T00:00:00"/>
    <s v="RV"/>
    <s v="USD"/>
    <n v="-48702"/>
    <s v="83.95000"/>
    <s v="BDT"/>
    <n v="-4088532.9"/>
    <n v="-48702"/>
    <s v="48702_1"/>
    <s v=""/>
    <s v="C3152TS20UK0850"/>
    <s v="20201006"/>
    <s v=""/>
    <s v=""/>
    <s v="0"/>
    <s v=""/>
    <s v=""/>
    <s v=""/>
    <s v=""/>
    <s v="2010100001"/>
    <s v=""/>
    <m/>
    <s v=""/>
    <s v=""/>
    <s v=""/>
    <n v="0"/>
  </r>
  <r>
    <s v=""/>
    <s v="40101001"/>
    <s v="2018001387"/>
    <x v="20"/>
    <d v="2021-05-14T00:00:00"/>
    <d v="2021-05-23T00:00:00"/>
    <s v="RV"/>
    <s v="USD"/>
    <n v="-48690.15"/>
    <s v="83.95000"/>
    <s v="BDT"/>
    <n v="-4087538.09"/>
    <n v="-48690.15"/>
    <s v="48690.15_1"/>
    <s v=""/>
    <s v="C3195AMZLB063421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1443"/>
    <x v="150"/>
    <d v="2021-06-01T00:00:00"/>
    <d v="2021-06-09T00:00:00"/>
    <s v="RV"/>
    <s v="USD"/>
    <n v="-48672"/>
    <s v="83.95000"/>
    <s v="BDT"/>
    <n v="-4086014.4"/>
    <n v="-48672"/>
    <s v="48672_1"/>
    <s v=""/>
    <s v="C3329UQ21RU0557"/>
    <s v="20210601"/>
    <s v=""/>
    <s v=""/>
    <s v="0"/>
    <s v=""/>
    <s v=""/>
    <s v=""/>
    <s v=""/>
    <s v="2010100001"/>
    <s v=""/>
    <m/>
    <s v=""/>
    <s v=""/>
    <s v=""/>
    <n v="0"/>
  </r>
  <r>
    <s v=""/>
    <s v="40101001"/>
    <s v="2018001287"/>
    <x v="71"/>
    <d v="2021-04-28T00:00:00"/>
    <d v="2021-05-07T00:00:00"/>
    <s v="RV"/>
    <s v="USD"/>
    <n v="-48657.78"/>
    <s v="83.95000"/>
    <s v="BDT"/>
    <n v="-4084820.63"/>
    <n v="-48657.78"/>
    <s v="48657.78_1"/>
    <s v=""/>
    <s v="C3309UQ21OSA0522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592"/>
    <x v="61"/>
    <d v="2021-06-25T00:00:00"/>
    <d v="2021-06-29T00:00:00"/>
    <s v="RV"/>
    <s v="USD"/>
    <n v="-48438"/>
    <s v="83.95000"/>
    <s v="BDT"/>
    <n v="-4066370.1"/>
    <n v="-48438"/>
    <s v="48438_1"/>
    <s v=""/>
    <s v="C3329UQ21OSA0856"/>
    <s v="20210625"/>
    <s v=""/>
    <s v=""/>
    <s v="0"/>
    <s v=""/>
    <s v=""/>
    <s v=""/>
    <s v=""/>
    <s v="2010100001"/>
    <s v=""/>
    <m/>
    <s v=""/>
    <s v=""/>
    <s v=""/>
    <n v="0"/>
  </r>
  <r>
    <s v=""/>
    <s v="40101011"/>
    <s v="2008000124"/>
    <x v="134"/>
    <d v="2020-12-31T00:00:00"/>
    <d v="2021-01-07T00:00:00"/>
    <s v="DR"/>
    <s v="USD"/>
    <n v="-48401.82"/>
    <s v="83.95000"/>
    <s v="BDT"/>
    <n v="-4063332.79"/>
    <n v="-48401.82"/>
    <s v="48401.82_1"/>
    <s v=""/>
    <s v="CIPL-PGC-0286-20"/>
    <s v="CIPL-PGC-0286-20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0303"/>
    <x v="151"/>
    <d v="2020-09-23T00:00:00"/>
    <d v="2020-10-08T00:00:00"/>
    <s v="RV"/>
    <s v="USD"/>
    <n v="-48151.35"/>
    <s v="83.95000"/>
    <s v="BDT"/>
    <n v="-4042305.83"/>
    <n v="-48151.35"/>
    <s v="48151.35_1"/>
    <s v=""/>
    <s v="C3204UQ20YAN0873"/>
    <s v="20200923"/>
    <s v=""/>
    <s v=""/>
    <s v="0"/>
    <s v=""/>
    <s v=""/>
    <s v=""/>
    <s v=""/>
    <s v="2010100001"/>
    <s v=""/>
    <m/>
    <s v=""/>
    <s v=""/>
    <s v=""/>
    <n v="0"/>
  </r>
  <r>
    <s v=""/>
    <s v="40101001"/>
    <s v="2018000260"/>
    <x v="133"/>
    <d v="2020-09-21T00:00:00"/>
    <d v="2020-09-26T00:00:00"/>
    <s v="RV"/>
    <s v="USD"/>
    <n v="-47916.54"/>
    <s v="83.95000"/>
    <s v="BDT"/>
    <n v="-4022593.53"/>
    <n v="-47916.54"/>
    <s v="47916.54_1"/>
    <s v=""/>
    <s v="C3159UQ20OSA0899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1293"/>
    <x v="71"/>
    <d v="2021-04-28T00:00:00"/>
    <d v="2021-05-07T00:00:00"/>
    <s v="RV"/>
    <s v="USD"/>
    <n v="-47850.77"/>
    <s v="83.95000"/>
    <s v="BDT"/>
    <n v="-4017072.14"/>
    <n v="-47850.77"/>
    <s v="47850.77_1"/>
    <s v=""/>
    <s v="C3316UQ21HAK0533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190"/>
    <x v="60"/>
    <d v="2020-08-25T00:00:00"/>
    <d v="2020-09-05T00:00:00"/>
    <s v="RV"/>
    <s v="USD"/>
    <n v="-47774.22"/>
    <s v="83.95000"/>
    <s v="BDT"/>
    <n v="-4010645.77"/>
    <n v="-47774.22"/>
    <s v="47774.22_1"/>
    <s v=""/>
    <s v="C3101LVUS078320"/>
    <s v="20200825"/>
    <s v=""/>
    <s v=""/>
    <s v="0"/>
    <s v=""/>
    <s v=""/>
    <s v=""/>
    <s v=""/>
    <s v="2010100001"/>
    <s v=""/>
    <m/>
    <s v=""/>
    <s v=""/>
    <s v=""/>
    <n v="0"/>
  </r>
  <r>
    <s v=""/>
    <s v="40101001"/>
    <s v="2018000212"/>
    <x v="40"/>
    <d v="2020-09-08T00:00:00"/>
    <d v="2020-09-12T00:00:00"/>
    <s v="RV"/>
    <s v="USD"/>
    <n v="-47376"/>
    <s v="83.95000"/>
    <s v="BDT"/>
    <n v="-3977215.2"/>
    <n v="-47376"/>
    <s v="47376_1"/>
    <s v=""/>
    <s v="C3151UQ20OSA0834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1015"/>
    <x v="16"/>
    <d v="2021-02-26T00:00:00"/>
    <d v="2021-03-02T00:00:00"/>
    <s v="RV"/>
    <s v="USD"/>
    <n v="-47319.519999999997"/>
    <s v="83.95000"/>
    <s v="BDT"/>
    <n v="-3972473.7"/>
    <n v="-47319.519999999997"/>
    <s v="47319.52_1"/>
    <s v=""/>
    <s v="C3271UQ21VN0226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569"/>
    <x v="75"/>
    <d v="2021-06-17T00:00:00"/>
    <d v="2021-06-24T00:00:00"/>
    <s v="RV"/>
    <s v="USD"/>
    <n v="-47316.69"/>
    <s v="83.95000"/>
    <s v="BDT"/>
    <n v="-3972236.13"/>
    <n v="-47316.69"/>
    <s v="47316.69_1"/>
    <s v=""/>
    <s v="C3335LVUS0792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249"/>
    <x v="109"/>
    <d v="2020-09-05T00:00:00"/>
    <d v="2020-09-24T00:00:00"/>
    <s v="RV"/>
    <s v="USD"/>
    <n v="-47227.42"/>
    <s v="83.95000"/>
    <s v="BDT"/>
    <n v="-3964741.91"/>
    <n v="-47227.42"/>
    <s v="47227.42_1"/>
    <s v=""/>
    <s v="C3136UQ20OSA0775"/>
    <s v="20200905"/>
    <s v=""/>
    <s v=""/>
    <s v="0"/>
    <s v=""/>
    <s v=""/>
    <s v=""/>
    <s v=""/>
    <s v="2010100001"/>
    <s v=""/>
    <m/>
    <s v=""/>
    <s v=""/>
    <s v=""/>
    <n v="0"/>
  </r>
  <r>
    <s v=""/>
    <s v="40101001"/>
    <s v="2018000298"/>
    <x v="78"/>
    <d v="2020-10-04T00:00:00"/>
    <d v="2020-10-07T00:00:00"/>
    <s v="RV"/>
    <s v="USD"/>
    <n v="-47088.73"/>
    <s v="83.95000"/>
    <s v="BDT"/>
    <n v="-3953098.88"/>
    <n v="-47088.73"/>
    <s v="47088.73_1"/>
    <s v=""/>
    <s v="C3171UQ20NAG0954"/>
    <s v="20201004"/>
    <s v=""/>
    <s v=""/>
    <s v="0"/>
    <s v=""/>
    <s v=""/>
    <s v=""/>
    <s v=""/>
    <s v="2010100001"/>
    <s v=""/>
    <m/>
    <s v=""/>
    <s v=""/>
    <s v=""/>
    <n v="0"/>
  </r>
  <r>
    <s v=""/>
    <s v="40101001"/>
    <s v="2018001467"/>
    <x v="152"/>
    <d v="2021-06-07T00:00:00"/>
    <d v="2021-06-10T00:00:00"/>
    <s v="RV"/>
    <s v="USD"/>
    <n v="-47073"/>
    <s v="83.95000"/>
    <s v="BDT"/>
    <n v="-3951778.35"/>
    <n v="-47073"/>
    <s v="47073_1"/>
    <s v=""/>
    <s v="C3309UQ21RU0574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570"/>
    <x v="14"/>
    <d v="2020-11-25T00:00:00"/>
    <d v="2020-11-30T00:00:00"/>
    <s v="RV"/>
    <s v="USD"/>
    <n v="-46989.15"/>
    <s v="83.95000"/>
    <s v="BDT"/>
    <n v="-3944739.15"/>
    <n v="-46989.15"/>
    <s v="46989.15_1"/>
    <s v=""/>
    <s v="C3233UQ20TW1185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526"/>
    <x v="3"/>
    <d v="2020-11-18T00:00:00"/>
    <d v="2020-11-24T00:00:00"/>
    <s v="RV"/>
    <s v="USD"/>
    <n v="-46986.13"/>
    <s v="83.95000"/>
    <s v="BDT"/>
    <n v="-3944485.61"/>
    <n v="-46986.13"/>
    <s v="46986.13_1"/>
    <s v=""/>
    <s v="C3215UQ20TOK1131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220"/>
    <x v="45"/>
    <d v="2020-09-09T00:00:00"/>
    <d v="2020-09-14T00:00:00"/>
    <s v="RV"/>
    <s v="USD"/>
    <n v="-46791.82"/>
    <s v="83.95000"/>
    <s v="BDT"/>
    <n v="-3928173.29"/>
    <n v="-46791.82"/>
    <s v="46791.82_1"/>
    <s v=""/>
    <s v="C3136UQ20KR0836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1323"/>
    <x v="15"/>
    <d v="2021-05-04T00:00:00"/>
    <d v="2021-05-13T00:00:00"/>
    <s v="RV"/>
    <s v="USD"/>
    <n v="-46756.800000000003"/>
    <s v="83.95000"/>
    <s v="BDT"/>
    <n v="-3925233.36"/>
    <n v="-46756.800000000003"/>
    <s v="46756.8_1"/>
    <s v=""/>
    <s v="C3308UQ21HAK0549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193"/>
    <x v="144"/>
    <d v="2021-04-01T00:00:00"/>
    <d v="2021-04-08T00:00:00"/>
    <s v="RV"/>
    <s v="USD"/>
    <n v="-46696.54"/>
    <s v="83.95000"/>
    <s v="BDT"/>
    <n v="-3920174.53"/>
    <n v="-46696.54"/>
    <s v="46696.54_1"/>
    <s v=""/>
    <s v="C3252LVUS0414-21"/>
    <s v="20210401"/>
    <s v=""/>
    <s v=""/>
    <s v="0"/>
    <s v=""/>
    <s v=""/>
    <s v=""/>
    <s v=""/>
    <s v="2010100001"/>
    <s v=""/>
    <m/>
    <s v=""/>
    <s v=""/>
    <s v=""/>
    <n v="0"/>
  </r>
  <r>
    <s v=""/>
    <s v="40101001"/>
    <s v="2018001599"/>
    <x v="39"/>
    <d v="2021-06-27T00:00:00"/>
    <d v="2021-06-29T00:00:00"/>
    <s v="RV"/>
    <s v="USD"/>
    <n v="-46428.51"/>
    <s v="83.95000"/>
    <s v="BDT"/>
    <n v="-3897673.41"/>
    <n v="-46428.51"/>
    <s v="46428.51_1"/>
    <s v=""/>
    <s v="C3329UQ21OSA0884"/>
    <s v="20210627"/>
    <s v=""/>
    <s v=""/>
    <s v="0"/>
    <s v=""/>
    <s v=""/>
    <s v=""/>
    <s v=""/>
    <s v="2010100001"/>
    <s v=""/>
    <m/>
    <s v=""/>
    <s v=""/>
    <s v=""/>
    <n v="0"/>
  </r>
  <r>
    <s v=""/>
    <s v="40101001"/>
    <s v="2018000047"/>
    <x v="47"/>
    <d v="2020-07-16T00:00:00"/>
    <d v="2020-07-20T00:00:00"/>
    <s v="RV"/>
    <s v="USD"/>
    <n v="-46403.519999999997"/>
    <s v="83.95000"/>
    <s v="BDT"/>
    <n v="-3895575.5"/>
    <n v="-46403.519999999997"/>
    <s v="46403.52_1"/>
    <s v=""/>
    <s v="C3122UQ20TW0638"/>
    <s v="20200716"/>
    <s v=""/>
    <s v=""/>
    <s v="0"/>
    <s v=""/>
    <s v=""/>
    <s v=""/>
    <s v=""/>
    <s v="2010100001"/>
    <s v=""/>
    <m/>
    <s v=""/>
    <s v=""/>
    <s v=""/>
    <n v="0"/>
  </r>
  <r>
    <s v=""/>
    <s v="40101001"/>
    <s v="2018000894"/>
    <x v="143"/>
    <d v="2021-01-31T00:00:00"/>
    <d v="2021-02-04T00:00:00"/>
    <s v="RV"/>
    <s v="USD"/>
    <n v="-46392.75"/>
    <s v="83.95000"/>
    <s v="BDT"/>
    <n v="-3894671.3599999999"/>
    <n v="-46392.75"/>
    <s v="46392.75_1"/>
    <s v=""/>
    <s v="C3272UQ21NAG0114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0057"/>
    <x v="2"/>
    <d v="2020-07-19T00:00:00"/>
    <d v="2020-07-22T00:00:00"/>
    <s v="RV"/>
    <s v="USD"/>
    <n v="-46231.37"/>
    <s v="83.95000"/>
    <s v="BDT"/>
    <n v="-3881123.51"/>
    <n v="-46231.37"/>
    <s v="46231.37_1"/>
    <s v=""/>
    <s v="C3128UQ20OSA0629"/>
    <s v="20200719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46143.02"/>
    <s v="83.95000"/>
    <s v="BDT"/>
    <n v="-3873706.53"/>
    <n v="-46143.02"/>
    <s v="46143.02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527"/>
    <x v="88"/>
    <d v="2021-06-11T00:00:00"/>
    <d v="2021-06-17T00:00:00"/>
    <s v="RV"/>
    <s v="USD"/>
    <n v="-45930.35"/>
    <s v="83.95000"/>
    <s v="BDT"/>
    <n v="-3855852.88"/>
    <n v="-45930.35"/>
    <s v="45930.35_1"/>
    <s v=""/>
    <s v="C3311LVUS0748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609"/>
    <x v="104"/>
    <d v="2021-06-23T00:00:00"/>
    <d v="2021-06-30T00:00:00"/>
    <s v="RV"/>
    <s v="USD"/>
    <n v="-45834.39"/>
    <s v="83.95000"/>
    <s v="BDT"/>
    <n v="-3847797.04"/>
    <n v="-45834.39"/>
    <s v="45834.39_1"/>
    <s v=""/>
    <s v="C3311LVUS0825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1286"/>
    <x v="71"/>
    <d v="2021-04-28T00:00:00"/>
    <d v="2021-05-07T00:00:00"/>
    <s v="RV"/>
    <s v="USD"/>
    <n v="-45738.31"/>
    <s v="83.95000"/>
    <s v="BDT"/>
    <n v="-3839731.12"/>
    <n v="-45738.31"/>
    <s v="45738.31_1"/>
    <s v=""/>
    <s v="C3309UQ21HAK05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479"/>
    <x v="152"/>
    <d v="2021-06-07T00:00:00"/>
    <d v="2021-06-12T00:00:00"/>
    <s v="RV"/>
    <s v="USD"/>
    <n v="-45704.77"/>
    <s v="83.95000"/>
    <s v="BDT"/>
    <n v="-3836915.44"/>
    <n v="-45704.77"/>
    <s v="45704.77_1"/>
    <s v=""/>
    <s v="C3308UQ21TOK0756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667"/>
    <x v="79"/>
    <d v="2020-12-18T00:00:00"/>
    <d v="2020-12-22T00:00:00"/>
    <s v="RV"/>
    <s v="USD"/>
    <n v="-45665.95"/>
    <s v="83.95000"/>
    <s v="BDT"/>
    <n v="-3833656.5"/>
    <n v="-45665.95"/>
    <s v="45665.95_1"/>
    <s v=""/>
    <s v="C3234UQ20SEN1328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247"/>
    <x v="48"/>
    <d v="2021-04-20T00:00:00"/>
    <d v="2021-04-25T00:00:00"/>
    <s v="RV"/>
    <s v="USD"/>
    <n v="-45522.06"/>
    <s v="83.95000"/>
    <s v="BDT"/>
    <n v="-3821576.94"/>
    <n v="-45522.06"/>
    <s v="45522.06_1"/>
    <s v=""/>
    <s v="C3309UQ21HAK0486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0587"/>
    <x v="153"/>
    <d v="2020-11-28T00:00:00"/>
    <d v="2020-12-03T00:00:00"/>
    <s v="RV"/>
    <s v="USD"/>
    <n v="-45459.14"/>
    <s v="83.95000"/>
    <s v="BDT"/>
    <n v="-3816294.8"/>
    <n v="-45459.14"/>
    <s v="45459.14_1"/>
    <s v=""/>
    <s v="C3102LVUS1189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0333"/>
    <x v="154"/>
    <d v="2020-10-03T00:00:00"/>
    <d v="2020-10-22T00:00:00"/>
    <s v="RV"/>
    <s v="USD"/>
    <n v="-45341.01"/>
    <s v="83.95000"/>
    <s v="BDT"/>
    <n v="-3806377.8"/>
    <n v="-45341.01"/>
    <s v="45341.01_1"/>
    <s v=""/>
    <s v="C03139DN20IR0925"/>
    <s v="20201003"/>
    <s v=""/>
    <s v=""/>
    <s v="0"/>
    <s v=""/>
    <s v=""/>
    <s v=""/>
    <s v=""/>
    <s v="2010100001"/>
    <s v=""/>
    <m/>
    <s v=""/>
    <s v=""/>
    <s v=""/>
    <n v="0"/>
  </r>
  <r>
    <s v=""/>
    <s v="40101001"/>
    <s v="2018000680"/>
    <x v="155"/>
    <d v="2020-12-17T00:00:00"/>
    <d v="2020-12-23T00:00:00"/>
    <s v="RV"/>
    <s v="USD"/>
    <n v="-45074.93"/>
    <s v="83.95000"/>
    <s v="BDT"/>
    <n v="-3784040.38"/>
    <n v="-45074.93"/>
    <s v="45074.93_1"/>
    <s v=""/>
    <s v="C3149LVUS1306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476"/>
    <x v="152"/>
    <d v="2021-06-07T00:00:00"/>
    <d v="2021-06-12T00:00:00"/>
    <s v="RV"/>
    <s v="USD"/>
    <n v="-44981.41"/>
    <s v="83.95000"/>
    <s v="BDT"/>
    <n v="-3776189.37"/>
    <n v="-44981.41"/>
    <s v="44981.41_1"/>
    <s v=""/>
    <s v="C3308UQ21HAK0751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1484"/>
    <x v="156"/>
    <d v="2021-06-08T00:00:00"/>
    <d v="2021-06-14T00:00:00"/>
    <s v="RV"/>
    <s v="USD"/>
    <n v="-44969.31"/>
    <s v="83.95000"/>
    <s v="BDT"/>
    <n v="-3775173.57"/>
    <n v="-44969.31"/>
    <s v="44969.31_1"/>
    <s v=""/>
    <s v="C3195AMZLB071321"/>
    <s v="20210608"/>
    <s v=""/>
    <s v=""/>
    <s v="0"/>
    <s v=""/>
    <s v=""/>
    <s v=""/>
    <s v=""/>
    <s v="2010100001"/>
    <s v=""/>
    <m/>
    <s v=""/>
    <s v=""/>
    <s v=""/>
    <n v="0"/>
  </r>
  <r>
    <s v=""/>
    <s v="40101001"/>
    <s v="2018001411"/>
    <x v="157"/>
    <d v="2021-05-19T00:00:00"/>
    <d v="2021-05-25T00:00:00"/>
    <s v="RV"/>
    <s v="USD"/>
    <n v="-44897.760000000002"/>
    <s v="83.95000"/>
    <s v="BDT"/>
    <n v="-3769166.95"/>
    <n v="-44897.760000000002"/>
    <s v="44897.76_1"/>
    <s v=""/>
    <s v="C3195AMZLB068221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0443"/>
    <x v="18"/>
    <d v="2020-11-05T00:00:00"/>
    <d v="2020-11-11T00:00:00"/>
    <s v="RV"/>
    <s v="USD"/>
    <n v="-44747.56"/>
    <s v="83.95000"/>
    <s v="BDT"/>
    <n v="-3756557.66"/>
    <n v="-44747.56"/>
    <s v="44747.56_1"/>
    <s v=""/>
    <s v="C03170US20-1042"/>
    <s v="20201105"/>
    <s v=""/>
    <s v=""/>
    <s v="0"/>
    <s v=""/>
    <s v=""/>
    <s v=""/>
    <s v=""/>
    <s v="2010100001"/>
    <s v=""/>
    <m/>
    <s v=""/>
    <s v=""/>
    <s v=""/>
    <n v="0"/>
  </r>
  <r>
    <s v=""/>
    <s v="40101011"/>
    <s v="2008000189"/>
    <x v="158"/>
    <d v="2021-02-28T00:00:00"/>
    <d v="2021-03-07T00:00:00"/>
    <s v="DR"/>
    <s v="USD"/>
    <n v="-44655.26"/>
    <s v="83.95000"/>
    <s v="BDT"/>
    <n v="-3748809.08"/>
    <n v="-44655.26"/>
    <s v="44655.26_1"/>
    <s v=""/>
    <s v="CIPL-PGCL-0291-2"/>
    <s v="CIPL-PGCL-0291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1484"/>
    <x v="156"/>
    <d v="2021-06-08T00:00:00"/>
    <d v="2021-06-14T00:00:00"/>
    <s v="RV"/>
    <s v="USD"/>
    <n v="-44567.51"/>
    <s v="83.95000"/>
    <s v="BDT"/>
    <n v="-3741442.47"/>
    <n v="-44567.51"/>
    <s v="44567.51_1"/>
    <s v=""/>
    <s v="C3195AMZLB071321"/>
    <s v="20210608"/>
    <s v=""/>
    <s v=""/>
    <s v="0"/>
    <s v=""/>
    <s v=""/>
    <s v=""/>
    <s v=""/>
    <s v="2010100001"/>
    <s v=""/>
    <m/>
    <s v=""/>
    <s v=""/>
    <s v=""/>
    <n v="0"/>
  </r>
  <r>
    <s v=""/>
    <s v="40101001"/>
    <s v="2018001421"/>
    <x v="119"/>
    <d v="2021-05-24T00:00:00"/>
    <d v="2021-05-29T00:00:00"/>
    <s v="RV"/>
    <s v="USD"/>
    <n v="-44304"/>
    <s v="83.95000"/>
    <s v="BDT"/>
    <n v="-3719320.8"/>
    <n v="-44304"/>
    <s v="44304_1"/>
    <s v=""/>
    <s v="C3329UQ21RU0558"/>
    <s v="20210524"/>
    <s v=""/>
    <s v=""/>
    <s v="0"/>
    <s v=""/>
    <s v=""/>
    <s v=""/>
    <s v=""/>
    <s v="2010100001"/>
    <s v=""/>
    <m/>
    <s v=""/>
    <s v=""/>
    <s v=""/>
    <n v="0"/>
  </r>
  <r>
    <s v=""/>
    <s v="40101001"/>
    <s v="2018000304"/>
    <x v="63"/>
    <d v="2020-09-24T00:00:00"/>
    <d v="2020-10-08T00:00:00"/>
    <s v="RV"/>
    <s v="USD"/>
    <n v="-44299.24"/>
    <s v="83.95000"/>
    <s v="BDT"/>
    <n v="-3718921.2"/>
    <n v="-44299.24"/>
    <s v="44299.24_1"/>
    <s v=""/>
    <s v="C3204UQ20YAN0895"/>
    <s v="20200924"/>
    <s v=""/>
    <s v=""/>
    <s v="0"/>
    <s v=""/>
    <s v=""/>
    <s v=""/>
    <s v=""/>
    <s v="2010100001"/>
    <s v=""/>
    <m/>
    <s v=""/>
    <s v=""/>
    <s v=""/>
    <n v="0"/>
  </r>
  <r>
    <s v=""/>
    <s v="40101001"/>
    <s v="2018000994"/>
    <x v="72"/>
    <d v="2021-02-16T00:00:00"/>
    <d v="2021-02-25T00:00:00"/>
    <s v="RV"/>
    <s v="USD"/>
    <n v="-44291.15"/>
    <s v="83.95000"/>
    <s v="BDT"/>
    <n v="-3718242.04"/>
    <n v="-44291.15"/>
    <s v="44291.15_1"/>
    <s v=""/>
    <s v="C3223LVUS0202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808"/>
    <x v="42"/>
    <d v="2021-01-14T00:00:00"/>
    <d v="2021-01-20T00:00:00"/>
    <s v="RV"/>
    <s v="USD"/>
    <n v="-44290.99"/>
    <s v="83.95000"/>
    <s v="BDT"/>
    <n v="-3718228.61"/>
    <n v="-44290.99"/>
    <s v="44290.99_1"/>
    <s v=""/>
    <s v="C3253UQ21SEN0022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244"/>
    <x v="159"/>
    <d v="2020-09-20T00:00:00"/>
    <d v="2020-09-24T00:00:00"/>
    <s v="RV"/>
    <s v="USD"/>
    <n v="-44234.9"/>
    <s v="83.95000"/>
    <s v="BDT"/>
    <n v="-3713519.86"/>
    <n v="-44234.9"/>
    <s v="44234.9_1"/>
    <s v=""/>
    <s v="C3159UQ20NAG0880"/>
    <s v="20200920"/>
    <s v=""/>
    <s v=""/>
    <s v="0"/>
    <s v=""/>
    <s v=""/>
    <s v=""/>
    <s v=""/>
    <s v="2010100001"/>
    <s v=""/>
    <m/>
    <s v=""/>
    <s v=""/>
    <s v=""/>
    <n v="0"/>
  </r>
  <r>
    <s v=""/>
    <s v="40101001"/>
    <s v="2018000093"/>
    <x v="53"/>
    <d v="2020-07-22T00:00:00"/>
    <d v="2020-08-06T00:00:00"/>
    <s v="RV"/>
    <s v="USD"/>
    <n v="-43657.14"/>
    <s v="83.95000"/>
    <s v="BDT"/>
    <n v="-3665016.9"/>
    <n v="-43657.14"/>
    <s v="43657.14_1"/>
    <s v=""/>
    <s v="C3120UQ20SHA0636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215"/>
    <x v="108"/>
    <d v="2021-04-11T00:00:00"/>
    <d v="2021-04-22T00:00:00"/>
    <s v="RV"/>
    <s v="USD"/>
    <n v="-43636.5"/>
    <s v="83.95000"/>
    <s v="BDT"/>
    <n v="-3663284.19"/>
    <n v="-43636.5"/>
    <s v="43636.5_1"/>
    <s v=""/>
    <s v="C3273NT21US0423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0408"/>
    <x v="146"/>
    <d v="2020-11-02T00:00:00"/>
    <d v="2020-11-04T00:00:00"/>
    <s v="RV"/>
    <s v="USD"/>
    <n v="-43581.279999999999"/>
    <s v="83.95000"/>
    <s v="BDT"/>
    <n v="-3658648.46"/>
    <n v="-43581.279999999999"/>
    <s v="43581.28_1"/>
    <s v=""/>
    <s v="C03170US20-0986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1350"/>
    <x v="51"/>
    <d v="2021-05-08T00:00:00"/>
    <d v="2021-05-17T00:00:00"/>
    <s v="RV"/>
    <s v="USD"/>
    <n v="-43526.55"/>
    <s v="83.95000"/>
    <s v="BDT"/>
    <n v="-3654053.88"/>
    <n v="-43526.55"/>
    <s v="43526.55_1"/>
    <s v=""/>
    <s v="C3194AMZLB0464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942"/>
    <x v="46"/>
    <d v="2021-02-07T00:00:00"/>
    <d v="2021-02-14T00:00:00"/>
    <s v="RV"/>
    <s v="USD"/>
    <n v="-43283.69"/>
    <s v="83.95000"/>
    <s v="BDT"/>
    <n v="-3633665.78"/>
    <n v="-43283.69"/>
    <s v="43283.69_1"/>
    <s v=""/>
    <s v="C3272UQ21OSA0156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539"/>
    <x v="68"/>
    <d v="2021-06-15T00:00:00"/>
    <d v="2021-06-20T00:00:00"/>
    <s v="RV"/>
    <s v="USD"/>
    <n v="-43251.360000000001"/>
    <s v="83.95000"/>
    <s v="BDT"/>
    <n v="-3630951.67"/>
    <n v="-43251.360000000001"/>
    <s v="43251.36_1"/>
    <s v=""/>
    <s v="C3309UQ21OSA0762"/>
    <s v="20210615"/>
    <s v=""/>
    <s v=""/>
    <s v="0"/>
    <s v=""/>
    <s v=""/>
    <s v=""/>
    <s v=""/>
    <s v="2010100001"/>
    <s v=""/>
    <m/>
    <s v=""/>
    <s v=""/>
    <s v=""/>
    <n v="0"/>
  </r>
  <r>
    <s v=""/>
    <s v="40101001"/>
    <s v="2018000496"/>
    <x v="142"/>
    <d v="2020-11-14T00:00:00"/>
    <d v="2020-11-18T00:00:00"/>
    <s v="RV"/>
    <s v="USD"/>
    <n v="-43199.31"/>
    <s v="83.95000"/>
    <s v="BDT"/>
    <n v="-3626582.07"/>
    <n v="-43199.31"/>
    <s v="43199.31_1"/>
    <s v=""/>
    <s v="C3210UQ20TOK1122"/>
    <s v="20201114"/>
    <s v=""/>
    <s v=""/>
    <s v="0"/>
    <s v=""/>
    <s v=""/>
    <s v=""/>
    <s v=""/>
    <s v="2010100001"/>
    <s v=""/>
    <m/>
    <s v=""/>
    <s v=""/>
    <s v=""/>
    <n v="0"/>
  </r>
  <r>
    <s v=""/>
    <s v="40101001"/>
    <s v="2018001316"/>
    <x v="15"/>
    <d v="2021-05-04T00:00:00"/>
    <d v="2021-05-12T00:00:00"/>
    <s v="RV"/>
    <s v="USD"/>
    <n v="-43035.1"/>
    <s v="83.95000"/>
    <s v="BDT"/>
    <n v="-3612796.65"/>
    <n v="-43035.1"/>
    <s v="43035.1_1"/>
    <s v=""/>
    <s v="C3309UQ21TOK0543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470"/>
    <x v="110"/>
    <d v="2020-11-08T00:00:00"/>
    <d v="2020-11-14T00:00:00"/>
    <s v="RV"/>
    <s v="USD"/>
    <n v="-43008.37"/>
    <s v="83.95000"/>
    <s v="BDT"/>
    <n v="-3610552.66"/>
    <n v="-43008.37"/>
    <s v="43008.37_1"/>
    <s v=""/>
    <s v="C3205UQ20EU1081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896"/>
    <x v="143"/>
    <d v="2021-01-31T00:00:00"/>
    <d v="2021-02-04T00:00:00"/>
    <s v="RV"/>
    <s v="USD"/>
    <n v="-42998.16"/>
    <s v="83.95000"/>
    <s v="BDT"/>
    <n v="-3609695.53"/>
    <n v="-42998.16"/>
    <s v="42998.16_1"/>
    <s v=""/>
    <s v="C3272UQ21TOK0110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0842"/>
    <x v="35"/>
    <d v="2021-01-20T00:00:00"/>
    <d v="2021-01-27T00:00:00"/>
    <s v="RV"/>
    <s v="USD"/>
    <n v="-42689.74"/>
    <s v="83.95000"/>
    <s v="BDT"/>
    <n v="-3583803.67"/>
    <n v="-42689.74"/>
    <s v="42689.74_1"/>
    <s v=""/>
    <s v="C3246UQ21TOK0061"/>
    <s v="20210120"/>
    <s v=""/>
    <s v=""/>
    <s v="0"/>
    <s v=""/>
    <s v=""/>
    <s v=""/>
    <s v=""/>
    <s v="2010100001"/>
    <s v=""/>
    <m/>
    <s v=""/>
    <s v=""/>
    <s v=""/>
    <n v="0"/>
  </r>
  <r>
    <s v=""/>
    <s v="40101001"/>
    <s v="2018000128"/>
    <x v="147"/>
    <d v="2020-07-31T00:00:00"/>
    <d v="2020-08-14T00:00:00"/>
    <s v="RV"/>
    <s v="USD"/>
    <n v="-42551.07"/>
    <s v="83.95000"/>
    <s v="BDT"/>
    <n v="-3572162.33"/>
    <n v="-42551.07"/>
    <s v="42551.07_1"/>
    <s v=""/>
    <s v="C3120UQ20SHA0717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1407"/>
    <x v="157"/>
    <d v="2021-05-19T00:00:00"/>
    <d v="2021-05-24T00:00:00"/>
    <s v="RV"/>
    <s v="USD"/>
    <n v="-42548.69"/>
    <s v="83.95000"/>
    <s v="BDT"/>
    <n v="-3571962.53"/>
    <n v="-42548.69"/>
    <s v="42548.69_1"/>
    <s v=""/>
    <s v="C3308UQ21OSA0656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1543"/>
    <x v="75"/>
    <d v="2021-06-17T00:00:00"/>
    <d v="2021-06-21T00:00:00"/>
    <s v="RV"/>
    <s v="USD"/>
    <n v="-42388.13"/>
    <s v="83.95000"/>
    <s v="BDT"/>
    <n v="-3558483.51"/>
    <n v="-42388.13"/>
    <s v="42388.13_1"/>
    <s v=""/>
    <s v="C3270LVGR0789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989"/>
    <x v="72"/>
    <d v="2021-02-16T00:00:00"/>
    <d v="2021-02-25T00:00:00"/>
    <s v="RV"/>
    <s v="USD"/>
    <n v="-42265.68"/>
    <s v="83.95000"/>
    <s v="BDT"/>
    <n v="-3548203.84"/>
    <n v="-42265.68"/>
    <s v="42265.68_1"/>
    <s v=""/>
    <s v="C3248LVUS0198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350"/>
    <x v="160"/>
    <d v="2020-10-01T00:00:00"/>
    <d v="2020-10-24T00:00:00"/>
    <s v="RV"/>
    <s v="USD"/>
    <n v="-42236.04"/>
    <s v="83.95000"/>
    <s v="BDT"/>
    <n v="-3545715.56"/>
    <n v="-42236.04"/>
    <s v="42236.04_1"/>
    <s v=""/>
    <s v="C3134SB20UK0920"/>
    <s v="20201001"/>
    <s v=""/>
    <s v=""/>
    <s v="0"/>
    <s v=""/>
    <s v=""/>
    <s v=""/>
    <s v=""/>
    <s v="2010100001"/>
    <s v=""/>
    <m/>
    <s v=""/>
    <s v=""/>
    <s v=""/>
    <n v="0"/>
  </r>
  <r>
    <s v=""/>
    <s v="40101001"/>
    <s v="2018000371"/>
    <x v="12"/>
    <d v="2020-10-10T00:00:00"/>
    <d v="2020-11-01T00:00:00"/>
    <s v="RV"/>
    <s v="USD"/>
    <n v="-42208.61"/>
    <s v="83.95000"/>
    <s v="BDT"/>
    <n v="-3543412.81"/>
    <n v="-42208.61"/>
    <s v="42208.61_1"/>
    <s v=""/>
    <s v="C3134SB20UK0951"/>
    <s v="20201010"/>
    <s v=""/>
    <s v=""/>
    <s v="0"/>
    <s v=""/>
    <s v=""/>
    <s v=""/>
    <s v=""/>
    <s v="2010100001"/>
    <s v=""/>
    <m/>
    <s v=""/>
    <s v=""/>
    <s v=""/>
    <n v="0"/>
  </r>
  <r>
    <s v=""/>
    <s v="40101001"/>
    <s v="2018000227"/>
    <x v="77"/>
    <d v="2020-09-06T00:00:00"/>
    <d v="2020-09-15T00:00:00"/>
    <s v="RV"/>
    <s v="USD"/>
    <n v="-42102.27"/>
    <s v="83.95000"/>
    <s v="BDT"/>
    <n v="-3534485.57"/>
    <n v="-42102.27"/>
    <s v="42102.27_1"/>
    <s v=""/>
    <s v="C3125UQ20KR0776"/>
    <s v="20200906"/>
    <s v=""/>
    <s v=""/>
    <s v="0"/>
    <s v=""/>
    <s v=""/>
    <s v=""/>
    <s v=""/>
    <s v="2010100001"/>
    <s v=""/>
    <m/>
    <s v=""/>
    <s v=""/>
    <s v=""/>
    <n v="0"/>
  </r>
  <r>
    <s v=""/>
    <s v="40101001"/>
    <s v="2018001087"/>
    <x v="57"/>
    <d v="2021-03-18T00:00:00"/>
    <d v="2021-03-24T00:00:00"/>
    <s v="RV"/>
    <s v="USD"/>
    <n v="-41840.720000000001"/>
    <s v="83.95000"/>
    <s v="BDT"/>
    <n v="-3512528.44"/>
    <n v="-41840.720000000001"/>
    <s v="41840.72_1"/>
    <s v=""/>
    <s v="C3272UQ21TOK0328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0343"/>
    <x v="31"/>
    <d v="2020-10-18T00:00:00"/>
    <d v="2020-10-22T00:00:00"/>
    <s v="RV"/>
    <s v="USD"/>
    <n v="-41800.870000000003"/>
    <s v="83.95000"/>
    <s v="BDT"/>
    <n v="-3509183.04"/>
    <n v="-41800.870000000003"/>
    <s v="41800.87_1"/>
    <s v=""/>
    <s v="C03170US20-0964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589"/>
    <x v="76"/>
    <d v="2020-11-19T00:00:00"/>
    <d v="2020-12-05T00:00:00"/>
    <s v="RV"/>
    <s v="USD"/>
    <n v="-41742.370000000003"/>
    <s v="83.95000"/>
    <s v="BDT"/>
    <n v="-3504271.96"/>
    <n v="-41742.370000000003"/>
    <s v="41742.37_1"/>
    <s v=""/>
    <s v="C3134SB20UK1141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0702"/>
    <x v="9"/>
    <d v="2020-12-24T00:00:00"/>
    <d v="2020-12-29T00:00:00"/>
    <s v="RV"/>
    <s v="USD"/>
    <n v="-41735.480000000003"/>
    <s v="83.95000"/>
    <s v="BDT"/>
    <n v="-3503693.55"/>
    <n v="-41735.480000000003"/>
    <s v="41735.48_1"/>
    <s v=""/>
    <s v="C3233UQ20TW136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275"/>
    <x v="161"/>
    <d v="2020-09-26T00:00:00"/>
    <d v="2020-09-30T00:00:00"/>
    <s v="RV"/>
    <s v="USD"/>
    <n v="-41668.94"/>
    <s v="83.95000"/>
    <s v="BDT"/>
    <n v="-3498107.51"/>
    <n v="-41668.94"/>
    <s v="41668.94_1"/>
    <s v=""/>
    <s v="C3161UQ20KR0904"/>
    <s v="20200926"/>
    <s v=""/>
    <s v=""/>
    <s v="0"/>
    <s v=""/>
    <s v=""/>
    <s v=""/>
    <s v=""/>
    <s v="2010100001"/>
    <s v=""/>
    <m/>
    <s v=""/>
    <s v=""/>
    <s v=""/>
    <n v="0"/>
  </r>
  <r>
    <s v=""/>
    <s v="40101001"/>
    <s v="2018000703"/>
    <x v="9"/>
    <d v="2020-12-24T00:00:00"/>
    <d v="2020-12-29T00:00:00"/>
    <s v="RV"/>
    <s v="USD"/>
    <n v="-41630.81"/>
    <s v="83.95000"/>
    <s v="BDT"/>
    <n v="-3494906.5"/>
    <n v="-41630.81"/>
    <s v="41630.81_1"/>
    <s v=""/>
    <s v="C3234UQ20TOK1324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009"/>
    <x v="128"/>
    <d v="2020-07-06T00:00:00"/>
    <d v="2020-07-09T00:00:00"/>
    <s v="RV"/>
    <s v="USD"/>
    <n v="-41609.81"/>
    <s v="83.95000"/>
    <s v="BDT"/>
    <n v="-3493143.55"/>
    <n v="-41609.81"/>
    <s v="41609.81_1"/>
    <s v=""/>
    <s v="C3128UQ20HAK0565"/>
    <s v="20200706"/>
    <s v=""/>
    <s v=""/>
    <s v="0"/>
    <s v=""/>
    <s v=""/>
    <s v=""/>
    <s v=""/>
    <s v="2010100001"/>
    <s v=""/>
    <m/>
    <s v=""/>
    <s v=""/>
    <s v=""/>
    <n v="0"/>
  </r>
  <r>
    <s v=""/>
    <s v="40101001"/>
    <s v="2018000239"/>
    <x v="81"/>
    <d v="2020-09-16T00:00:00"/>
    <d v="2020-09-22T00:00:00"/>
    <s v="RV"/>
    <s v="USD"/>
    <n v="-41595.69"/>
    <s v="83.95000"/>
    <s v="BDT"/>
    <n v="-3491958.18"/>
    <n v="-41595.69"/>
    <s v="41595.69_1"/>
    <s v=""/>
    <s v="C3154UQ20OSA0859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384"/>
    <x v="67"/>
    <d v="2020-10-27T00:00:00"/>
    <d v="2020-11-01T00:00:00"/>
    <s v="RV"/>
    <s v="USD"/>
    <n v="-41590.050000000003"/>
    <s v="83.95000"/>
    <s v="BDT"/>
    <n v="-3491484.7"/>
    <n v="-41590.050000000003"/>
    <s v="41590.05_1"/>
    <s v=""/>
    <s v="C3205UQ20TW1003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1351"/>
    <x v="51"/>
    <d v="2021-05-08T00:00:00"/>
    <d v="2021-05-17T00:00:00"/>
    <s v="RV"/>
    <s v="USD"/>
    <n v="-41520.67"/>
    <s v="83.95000"/>
    <s v="BDT"/>
    <n v="-3485660.25"/>
    <n v="-41520.67"/>
    <s v="41520.67_1"/>
    <s v=""/>
    <s v="C3189AMZLB0580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358"/>
    <x v="162"/>
    <d v="2021-05-15T00:00:00"/>
    <d v="2021-05-20T00:00:00"/>
    <s v="RV"/>
    <s v="USD"/>
    <n v="-41491.160000000003"/>
    <s v="83.95000"/>
    <s v="BDT"/>
    <n v="-3483182.88"/>
    <n v="-41491.160000000003"/>
    <s v="41491.16_1"/>
    <s v=""/>
    <s v="C3270LVUS0613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1360"/>
    <x v="51"/>
    <d v="2021-05-08T00:00:00"/>
    <d v="2021-05-20T00:00:00"/>
    <s v="RV"/>
    <s v="USD"/>
    <n v="-41470.67"/>
    <s v="83.95000"/>
    <s v="BDT"/>
    <n v="-3481462.75"/>
    <n v="-41470.67"/>
    <s v="41470.67_1"/>
    <s v=""/>
    <s v="C3316UQ21SEN0582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811"/>
    <x v="42"/>
    <d v="2021-01-14T00:00:00"/>
    <d v="2021-01-21T00:00:00"/>
    <s v="RV"/>
    <s v="USD"/>
    <n v="-41459.269999999997"/>
    <s v="83.95000"/>
    <s v="BDT"/>
    <n v="-3480505.72"/>
    <n v="-41459.269999999997"/>
    <s v="41459.27_1"/>
    <s v=""/>
    <s v="C3232UQ21HAK0030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977"/>
    <x v="72"/>
    <d v="2021-02-16T00:00:00"/>
    <d v="2021-02-22T00:00:00"/>
    <s v="RV"/>
    <s v="USD"/>
    <n v="-41459.040000000001"/>
    <s v="83.95000"/>
    <s v="BDT"/>
    <n v="-3480486.41"/>
    <n v="-41459.040000000001"/>
    <s v="41459.04_1"/>
    <s v=""/>
    <s v="C3254UQ21TOK0216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527"/>
    <x v="88"/>
    <d v="2021-06-11T00:00:00"/>
    <d v="2021-06-17T00:00:00"/>
    <s v="RV"/>
    <s v="USD"/>
    <n v="-41078.269999999997"/>
    <s v="83.95000"/>
    <s v="BDT"/>
    <n v="-3448520.77"/>
    <n v="-41078.269999999997"/>
    <s v="41078.27_1"/>
    <s v=""/>
    <s v="C3311LVUS0748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596"/>
    <x v="163"/>
    <d v="2021-06-26T00:00:00"/>
    <d v="2021-06-29T00:00:00"/>
    <s v="RV"/>
    <s v="USD"/>
    <n v="-40842.83"/>
    <s v="83.95000"/>
    <s v="BDT"/>
    <n v="-3428755.57"/>
    <n v="-40842.83"/>
    <s v="40842.83_1"/>
    <s v=""/>
    <s v="C3309UQ21KR0857"/>
    <s v="20210626"/>
    <s v=""/>
    <s v=""/>
    <s v="0"/>
    <s v=""/>
    <s v=""/>
    <s v=""/>
    <s v=""/>
    <s v="2010100001"/>
    <s v=""/>
    <m/>
    <s v=""/>
    <s v=""/>
    <s v=""/>
    <n v="0"/>
  </r>
  <r>
    <s v=""/>
    <s v="40101001"/>
    <s v="2018001131"/>
    <x v="89"/>
    <d v="2021-03-21T00:00:00"/>
    <d v="2021-03-31T00:00:00"/>
    <s v="RV"/>
    <s v="USD"/>
    <n v="-40721.46"/>
    <s v="83.95000"/>
    <s v="BDT"/>
    <n v="-3418566.57"/>
    <n v="-40721.46"/>
    <s v="40721.46_1"/>
    <s v=""/>
    <s v="C3261C&amp;A21GR0354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553"/>
    <x v="164"/>
    <d v="2020-11-24T00:00:00"/>
    <d v="2020-11-28T00:00:00"/>
    <s v="RV"/>
    <s v="USD"/>
    <n v="-40580.06"/>
    <s v="83.95000"/>
    <s v="BDT"/>
    <n v="-3406696.04"/>
    <n v="-40580.06"/>
    <s v="40580.06_1"/>
    <s v=""/>
    <s v="C3231UQ20KR1208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0246"/>
    <x v="133"/>
    <d v="2020-09-21T00:00:00"/>
    <d v="2020-09-24T00:00:00"/>
    <s v="RV"/>
    <s v="USD"/>
    <n v="-40450.68"/>
    <s v="83.95000"/>
    <s v="BDT"/>
    <n v="-3395834.59"/>
    <n v="-40450.68"/>
    <s v="40450.68_1"/>
    <s v=""/>
    <s v="C3156DC20US0870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1489"/>
    <x v="88"/>
    <d v="2021-06-11T00:00:00"/>
    <d v="2021-06-16T00:00:00"/>
    <s v="RV"/>
    <s v="USD"/>
    <n v="-40331.360000000001"/>
    <s v="83.95000"/>
    <s v="BDT"/>
    <n v="-3385817.67"/>
    <n v="-40331.360000000001"/>
    <s v="40331.36_1"/>
    <s v=""/>
    <s v="C3316UQ21TOK0757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137"/>
    <x v="89"/>
    <d v="2021-03-21T00:00:00"/>
    <d v="2021-03-31T00:00:00"/>
    <s v="RV"/>
    <s v="USD"/>
    <n v="-40192.519999999997"/>
    <s v="83.95000"/>
    <s v="BDT"/>
    <n v="-3374162.05"/>
    <n v="-40192.519999999997"/>
    <s v="40192.52_1"/>
    <s v=""/>
    <s v="C3261C&amp;A21GR0356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821"/>
    <x v="148"/>
    <d v="2021-01-15T00:00:00"/>
    <d v="2021-01-21T00:00:00"/>
    <s v="RV"/>
    <s v="USD"/>
    <n v="-40074.28"/>
    <s v="83.95000"/>
    <s v="BDT"/>
    <n v="-3364235.81"/>
    <n v="-40074.28"/>
    <s v="40074.28_1"/>
    <s v=""/>
    <s v="C3232UQ21OSA0028"/>
    <s v="20210115"/>
    <s v=""/>
    <s v=""/>
    <s v="0"/>
    <s v=""/>
    <s v=""/>
    <s v=""/>
    <s v=""/>
    <s v="2010100001"/>
    <s v=""/>
    <m/>
    <s v=""/>
    <s v=""/>
    <s v=""/>
    <n v="0"/>
  </r>
  <r>
    <s v=""/>
    <s v="40101001"/>
    <s v="2018000169"/>
    <x v="123"/>
    <d v="2020-08-23T00:00:00"/>
    <d v="2020-08-27T00:00:00"/>
    <s v="RV"/>
    <s v="USD"/>
    <n v="-40048.43"/>
    <s v="83.95000"/>
    <s v="BDT"/>
    <n v="-3362065.7"/>
    <n v="-40048.43"/>
    <s v="40048.43_1"/>
    <s v=""/>
    <s v="C3150UQ20YAN0735"/>
    <s v="20200823"/>
    <s v=""/>
    <s v=""/>
    <s v="0"/>
    <s v=""/>
    <s v=""/>
    <s v=""/>
    <s v=""/>
    <s v="2010100001"/>
    <s v=""/>
    <m/>
    <s v=""/>
    <s v=""/>
    <s v=""/>
    <n v="0"/>
  </r>
  <r>
    <s v=""/>
    <s v="40101001"/>
    <s v="2018000766"/>
    <x v="165"/>
    <d v="2021-01-02T00:00:00"/>
    <d v="2021-01-05T00:00:00"/>
    <s v="RV"/>
    <s v="USD"/>
    <n v="-40018.25"/>
    <s v="83.95000"/>
    <s v="BDT"/>
    <n v="-3359532.08"/>
    <n v="-40018.25"/>
    <s v="40018.25_1"/>
    <s v=""/>
    <s v="C3245UQ20HK1399"/>
    <s v="20210102"/>
    <s v=""/>
    <s v=""/>
    <s v="0"/>
    <s v=""/>
    <s v=""/>
    <s v=""/>
    <s v=""/>
    <s v="2010100001"/>
    <s v=""/>
    <m/>
    <s v=""/>
    <s v=""/>
    <s v=""/>
    <n v="0"/>
  </r>
  <r>
    <s v=""/>
    <s v="40101001"/>
    <s v="2018001551"/>
    <x v="75"/>
    <d v="2021-06-17T00:00:00"/>
    <d v="2021-06-23T00:00:00"/>
    <s v="RV"/>
    <s v="USD"/>
    <n v="-39915.75"/>
    <s v="83.95000"/>
    <s v="BDT"/>
    <n v="-3350927.21"/>
    <n v="-39915.75"/>
    <s v="39915.75_1"/>
    <s v=""/>
    <s v="C3329UQ21NAG0807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977"/>
    <x v="72"/>
    <d v="2021-02-16T00:00:00"/>
    <d v="2021-02-22T00:00:00"/>
    <s v="RV"/>
    <s v="USD"/>
    <n v="-39563.769999999997"/>
    <s v="83.95000"/>
    <s v="BDT"/>
    <n v="-3321378.49"/>
    <n v="-39563.769999999997"/>
    <s v="39563.77_1"/>
    <s v=""/>
    <s v="C3254UQ21TOK0216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543"/>
    <x v="75"/>
    <d v="2021-06-17T00:00:00"/>
    <d v="2021-06-21T00:00:00"/>
    <s v="RV"/>
    <s v="USD"/>
    <n v="-39536.870000000003"/>
    <s v="83.95000"/>
    <s v="BDT"/>
    <n v="-3319120.24"/>
    <n v="-39536.870000000003"/>
    <s v="39536.87_1"/>
    <s v=""/>
    <s v="C3270LVGR0789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973"/>
    <x v="72"/>
    <d v="2021-02-16T00:00:00"/>
    <d v="2021-02-22T00:00:00"/>
    <s v="RV"/>
    <s v="USD"/>
    <n v="-39480.910000000003"/>
    <s v="83.95000"/>
    <s v="BDT"/>
    <n v="-3314422.39"/>
    <n v="-39480.910000000003"/>
    <s v="39480.91_1"/>
    <s v=""/>
    <s v="C3213LVUS0204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39477.120000000003"/>
    <s v="83.95000"/>
    <s v="BDT"/>
    <n v="-3314104.22"/>
    <n v="-39477.120000000003"/>
    <s v="39477.12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286"/>
    <x v="166"/>
    <d v="2020-09-27T00:00:00"/>
    <d v="2020-10-03T00:00:00"/>
    <s v="RV"/>
    <s v="USD"/>
    <n v="-39254.17"/>
    <s v="83.95000"/>
    <s v="BDT"/>
    <n v="-3295387.57"/>
    <n v="-39254.17"/>
    <s v="39254.17_1"/>
    <s v=""/>
    <s v="C3152TS20UK0849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18000286"/>
    <x v="166"/>
    <d v="2020-09-27T00:00:00"/>
    <d v="2020-10-03T00:00:00"/>
    <s v="RV"/>
    <s v="USD"/>
    <n v="-39233.25"/>
    <s v="83.95000"/>
    <s v="BDT"/>
    <n v="-3293631.34"/>
    <n v="-39233.25"/>
    <s v="39233.25_1"/>
    <s v=""/>
    <s v="C3152TS20UK0849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18000286"/>
    <x v="166"/>
    <d v="2020-09-27T00:00:00"/>
    <d v="2020-10-03T00:00:00"/>
    <s v="RV"/>
    <s v="USD"/>
    <n v="-39233.25"/>
    <s v="83.95000"/>
    <s v="BDT"/>
    <n v="-3293631.34"/>
    <n v="-39233.25"/>
    <s v="39233.25_2"/>
    <s v=""/>
    <s v="C3152TS20UK0849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18000036"/>
    <x v="105"/>
    <d v="2020-07-13T00:00:00"/>
    <d v="2020-07-18T00:00:00"/>
    <s v="RV"/>
    <s v="USD"/>
    <n v="-39066.99"/>
    <s v="83.95000"/>
    <s v="BDT"/>
    <n v="-3279673.81"/>
    <n v="-39066.99"/>
    <s v="39066.99_1"/>
    <s v=""/>
    <s v="C3128UQ20NAG0615"/>
    <s v="20200713"/>
    <s v=""/>
    <s v=""/>
    <s v="0"/>
    <s v=""/>
    <s v=""/>
    <s v=""/>
    <s v=""/>
    <s v="2010100001"/>
    <s v=""/>
    <m/>
    <s v=""/>
    <s v=""/>
    <s v=""/>
    <n v="0"/>
  </r>
  <r>
    <s v=""/>
    <s v="40101001"/>
    <s v="2018001423"/>
    <x v="119"/>
    <d v="2021-05-24T00:00:00"/>
    <d v="2021-05-29T00:00:00"/>
    <s v="RV"/>
    <s v="USD"/>
    <n v="-39000"/>
    <s v="83.95000"/>
    <s v="BDT"/>
    <n v="-3274050"/>
    <n v="-39000"/>
    <s v="39000_1"/>
    <s v=""/>
    <s v="C3329UQ21RU0559"/>
    <s v="20210524"/>
    <s v=""/>
    <s v=""/>
    <s v="0"/>
    <s v=""/>
    <s v=""/>
    <s v=""/>
    <s v=""/>
    <s v="2010100001"/>
    <s v=""/>
    <m/>
    <s v=""/>
    <s v=""/>
    <s v=""/>
    <n v="0"/>
  </r>
  <r>
    <s v=""/>
    <s v="40101001"/>
    <s v="2018000819"/>
    <x v="42"/>
    <d v="2021-01-14T00:00:00"/>
    <d v="2021-01-21T00:00:00"/>
    <s v="RV"/>
    <s v="USD"/>
    <n v="-38943.96"/>
    <s v="83.95000"/>
    <s v="BDT"/>
    <n v="-3269345.44"/>
    <n v="-38943.96"/>
    <s v="38943.96_1"/>
    <s v=""/>
    <s v="C3214LVUS001121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052"/>
    <x v="167"/>
    <d v="2021-03-09T00:00:00"/>
    <d v="2021-03-11T00:00:00"/>
    <s v="RV"/>
    <s v="USD"/>
    <n v="-38809.65"/>
    <s v="83.95000"/>
    <s v="BDT"/>
    <n v="-3258070.12"/>
    <n v="-38809.65"/>
    <s v="38809.65_1"/>
    <s v=""/>
    <s v="C3242LVUS0256-21"/>
    <s v="20210309"/>
    <s v=""/>
    <s v=""/>
    <s v="0"/>
    <s v=""/>
    <s v=""/>
    <s v=""/>
    <s v=""/>
    <s v="2010100001"/>
    <s v=""/>
    <m/>
    <s v=""/>
    <s v=""/>
    <s v=""/>
    <n v="0"/>
  </r>
  <r>
    <s v=""/>
    <s v="40101001"/>
    <s v="2018001623"/>
    <x v="93"/>
    <d v="2021-06-29T00:00:00"/>
    <d v="2021-07-07T00:00:00"/>
    <s v="RV"/>
    <s v="USD"/>
    <n v="-38778.43"/>
    <s v="83.95000"/>
    <s v="BDT"/>
    <n v="-3255449.2"/>
    <n v="-38778.43"/>
    <s v="38778.43_1"/>
    <s v=""/>
    <s v="C3312LVUS0860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553"/>
    <x v="164"/>
    <d v="2020-11-24T00:00:00"/>
    <d v="2020-11-28T00:00:00"/>
    <s v="RV"/>
    <s v="USD"/>
    <n v="-38701.96"/>
    <s v="83.95000"/>
    <s v="BDT"/>
    <n v="-3249029.54"/>
    <n v="-38701.96"/>
    <s v="38701.96_1"/>
    <s v=""/>
    <s v="C3231UQ20KR1208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0807"/>
    <x v="42"/>
    <d v="2021-01-14T00:00:00"/>
    <d v="2021-01-20T00:00:00"/>
    <s v="RV"/>
    <s v="USD"/>
    <n v="-38685.93"/>
    <s v="83.95000"/>
    <s v="BDT"/>
    <n v="-3247683.82"/>
    <n v="-38685.93"/>
    <s v="38685.93_1"/>
    <s v=""/>
    <s v="C3253UQ21NAG0019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039"/>
    <x v="116"/>
    <d v="2021-03-05T00:00:00"/>
    <d v="2021-03-10T00:00:00"/>
    <s v="RV"/>
    <s v="USD"/>
    <n v="-38676.82"/>
    <s v="83.95000"/>
    <s v="BDT"/>
    <n v="-3246919.04"/>
    <n v="-38676.82"/>
    <s v="38676.82_1"/>
    <s v=""/>
    <s v="C3271UQ21VN0259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1176"/>
    <x v="101"/>
    <d v="2021-03-28T00:00:00"/>
    <d v="2021-04-04T00:00:00"/>
    <s v="RV"/>
    <s v="USD"/>
    <n v="-38602.879999999997"/>
    <s v="83.95000"/>
    <s v="BDT"/>
    <n v="-3240711.78"/>
    <n v="-38602.879999999997"/>
    <s v="38602.88_1"/>
    <s v=""/>
    <s v="C3318UQ21OSA0411"/>
    <s v="20210328"/>
    <s v=""/>
    <s v=""/>
    <s v="0"/>
    <s v=""/>
    <s v=""/>
    <s v=""/>
    <s v=""/>
    <s v="2010100001"/>
    <s v=""/>
    <m/>
    <s v=""/>
    <s v=""/>
    <s v=""/>
    <n v="0"/>
  </r>
  <r>
    <s v=""/>
    <s v="40101001"/>
    <s v="2018000812"/>
    <x v="42"/>
    <d v="2021-01-14T00:00:00"/>
    <d v="2021-01-21T00:00:00"/>
    <s v="RV"/>
    <s v="USD"/>
    <n v="-38517.269999999997"/>
    <s v="83.95000"/>
    <s v="BDT"/>
    <n v="-3233524.82"/>
    <n v="-38517.269999999997"/>
    <s v="38517.27_1"/>
    <s v=""/>
    <s v="C3232UQ21NAG0031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497"/>
    <x v="90"/>
    <d v="2020-11-12T00:00:00"/>
    <d v="2020-11-18T00:00:00"/>
    <s v="RV"/>
    <s v="USD"/>
    <n v="-38485.5"/>
    <s v="83.95000"/>
    <s v="BDT"/>
    <n v="-3230857.73"/>
    <n v="-38485.5"/>
    <s v="38485.5_1"/>
    <s v=""/>
    <s v="C3168UQ20NY1096"/>
    <s v="20201112"/>
    <s v=""/>
    <s v=""/>
    <s v="0"/>
    <s v=""/>
    <s v=""/>
    <s v=""/>
    <s v=""/>
    <s v="2010100001"/>
    <s v=""/>
    <m/>
    <s v=""/>
    <s v=""/>
    <s v=""/>
    <n v="0"/>
  </r>
  <r>
    <s v=""/>
    <s v="40101001"/>
    <s v="2018000260"/>
    <x v="133"/>
    <d v="2020-09-21T00:00:00"/>
    <d v="2020-09-26T00:00:00"/>
    <s v="RV"/>
    <s v="USD"/>
    <n v="-38430.89"/>
    <s v="83.95000"/>
    <s v="BDT"/>
    <n v="-3226273.22"/>
    <n v="-38430.89"/>
    <s v="38430.89_1"/>
    <s v=""/>
    <s v="C3159UQ20OSA0899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1477"/>
    <x v="152"/>
    <d v="2021-06-07T00:00:00"/>
    <d v="2021-06-12T00:00:00"/>
    <s v="RV"/>
    <s v="USD"/>
    <n v="-38385.58"/>
    <s v="83.95000"/>
    <s v="BDT"/>
    <n v="-3222469.44"/>
    <n v="-38385.58"/>
    <s v="38385.58_1"/>
    <s v=""/>
    <s v="C3308UQ21NAG0752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302"/>
    <x v="168"/>
    <d v="2020-09-17T00:00:00"/>
    <d v="2020-10-08T00:00:00"/>
    <s v="RV"/>
    <s v="USD"/>
    <n v="-38372.92"/>
    <s v="83.95000"/>
    <s v="BDT"/>
    <n v="-3221406.63"/>
    <n v="-38372.92"/>
    <s v="38372.92_1"/>
    <s v=""/>
    <s v="C3204UQ20SHA0847"/>
    <s v="20200917"/>
    <s v=""/>
    <s v=""/>
    <s v="0"/>
    <s v=""/>
    <s v=""/>
    <s v=""/>
    <s v=""/>
    <s v="2010100001"/>
    <s v=""/>
    <m/>
    <s v=""/>
    <s v=""/>
    <s v=""/>
    <n v="0"/>
  </r>
  <r>
    <s v=""/>
    <s v="40101001"/>
    <s v="2018000252"/>
    <x v="169"/>
    <d v="2020-09-10T00:00:00"/>
    <d v="2020-09-24T00:00:00"/>
    <s v="RV"/>
    <s v="USD"/>
    <n v="-38371.89"/>
    <s v="83.95000"/>
    <s v="BDT"/>
    <n v="-3221320.16"/>
    <n v="-38371.89"/>
    <s v="38371.89_1"/>
    <s v=""/>
    <s v="C3167UQ20TW0829"/>
    <s v="20200910"/>
    <s v=""/>
    <s v=""/>
    <s v="0"/>
    <s v=""/>
    <s v=""/>
    <s v=""/>
    <s v=""/>
    <s v="2010100001"/>
    <s v=""/>
    <m/>
    <s v=""/>
    <s v=""/>
    <s v=""/>
    <n v="0"/>
  </r>
  <r>
    <s v=""/>
    <s v="40101001"/>
    <s v="2018000348"/>
    <x v="7"/>
    <d v="2020-10-19T00:00:00"/>
    <d v="2020-10-24T00:00:00"/>
    <s v="RV"/>
    <s v="USD"/>
    <n v="-38335.019999999997"/>
    <s v="83.95000"/>
    <s v="BDT"/>
    <n v="-3218224.93"/>
    <n v="-38335.019999999997"/>
    <s v="38335.02_1"/>
    <s v=""/>
    <s v="C3152TS20UK0874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1074"/>
    <x v="102"/>
    <d v="2021-03-15T00:00:00"/>
    <d v="2021-03-17T00:00:00"/>
    <s v="RV"/>
    <s v="USD"/>
    <n v="-38283.760000000002"/>
    <s v="83.95000"/>
    <s v="BDT"/>
    <n v="-3213921.65"/>
    <n v="-38283.760000000002"/>
    <s v="38283.76_1"/>
    <s v=""/>
    <s v="C3251LVJP0315-21"/>
    <s v="20210315"/>
    <s v=""/>
    <s v=""/>
    <s v="0"/>
    <s v=""/>
    <s v=""/>
    <s v=""/>
    <s v=""/>
    <s v="2010100001"/>
    <s v=""/>
    <m/>
    <s v=""/>
    <s v=""/>
    <s v=""/>
    <n v="0"/>
  </r>
  <r>
    <s v=""/>
    <s v="40101001"/>
    <s v="2018001351"/>
    <x v="51"/>
    <d v="2021-05-08T00:00:00"/>
    <d v="2021-05-17T00:00:00"/>
    <s v="RV"/>
    <s v="USD"/>
    <n v="-38265.08"/>
    <s v="83.95000"/>
    <s v="BDT"/>
    <n v="-3212353.47"/>
    <n v="-38265.08"/>
    <s v="38265.08_1"/>
    <s v=""/>
    <s v="C3189AMZLB0580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235"/>
    <x v="125"/>
    <d v="2021-04-17T00:00:00"/>
    <d v="2021-04-22T00:00:00"/>
    <s v="RV"/>
    <s v="USD"/>
    <n v="-38184.080000000002"/>
    <s v="83.95000"/>
    <s v="BDT"/>
    <n v="-3205553.52"/>
    <n v="-38184.080000000002"/>
    <s v="38184.08_1"/>
    <s v=""/>
    <s v="C3192AMZPL044421"/>
    <s v="20210417"/>
    <s v=""/>
    <s v=""/>
    <s v="0"/>
    <s v=""/>
    <s v=""/>
    <s v=""/>
    <s v=""/>
    <s v="2010100001"/>
    <s v=""/>
    <m/>
    <s v=""/>
    <s v=""/>
    <s v=""/>
    <n v="0"/>
  </r>
  <r>
    <s v=""/>
    <s v="40101001"/>
    <s v="2018000890"/>
    <x v="44"/>
    <d v="2021-01-28T00:00:00"/>
    <d v="2021-02-04T00:00:00"/>
    <s v="RV"/>
    <s v="USD"/>
    <n v="-38078.589999999997"/>
    <s v="83.95000"/>
    <s v="BDT"/>
    <n v="-3196697.63"/>
    <n v="-38078.589999999997"/>
    <s v="38078.59_1"/>
    <s v=""/>
    <s v="C3218LVUS0085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402"/>
    <x v="67"/>
    <d v="2020-10-27T00:00:00"/>
    <d v="2020-11-03T00:00:00"/>
    <s v="RV"/>
    <s v="USD"/>
    <n v="-37971.480000000003"/>
    <s v="83.95000"/>
    <s v="BDT"/>
    <n v="-3187705.75"/>
    <n v="-37971.480000000003"/>
    <s v="37971.48_1"/>
    <s v=""/>
    <s v="C3205UQ20SHA1005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1527"/>
    <x v="88"/>
    <d v="2021-06-11T00:00:00"/>
    <d v="2021-06-17T00:00:00"/>
    <s v="RV"/>
    <s v="USD"/>
    <n v="-37810.339999999997"/>
    <s v="83.95000"/>
    <s v="BDT"/>
    <n v="-3174178.04"/>
    <n v="-37810.339999999997"/>
    <s v="37810.34_1"/>
    <s v=""/>
    <s v="C3311LVUS0748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500"/>
    <x v="91"/>
    <d v="2020-11-10T00:00:00"/>
    <d v="2020-11-18T00:00:00"/>
    <s v="RV"/>
    <s v="USD"/>
    <n v="-37799.4"/>
    <s v="83.95000"/>
    <s v="BDT"/>
    <n v="-3173259.63"/>
    <n v="-37799.4"/>
    <s v="37799.4_1"/>
    <s v=""/>
    <s v="C3210UQ20OSA1121"/>
    <s v="20201110"/>
    <s v=""/>
    <s v=""/>
    <s v="0"/>
    <s v=""/>
    <s v=""/>
    <s v=""/>
    <s v=""/>
    <s v="2010100001"/>
    <s v=""/>
    <m/>
    <s v=""/>
    <s v=""/>
    <s v=""/>
    <n v="0"/>
  </r>
  <r>
    <s v=""/>
    <s v="40101001"/>
    <s v="2018001601"/>
    <x v="170"/>
    <d v="2021-06-24T00:00:00"/>
    <d v="2021-06-30T00:00:00"/>
    <s v="RV"/>
    <s v="USD"/>
    <n v="-37790.42"/>
    <s v="83.95000"/>
    <s v="BDT"/>
    <n v="-3172505.76"/>
    <n v="-37790.42"/>
    <s v="37790.42_1"/>
    <s v=""/>
    <s v="C3311LVUS0832-21"/>
    <s v="20210624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37608.589999999997"/>
    <s v="83.95000"/>
    <s v="BDT"/>
    <n v="-3157241.13"/>
    <n v="-37608.589999999997"/>
    <s v="37608.59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306"/>
    <x v="94"/>
    <d v="2021-05-07T00:00:00"/>
    <d v="2021-05-10T00:00:00"/>
    <s v="RV"/>
    <s v="USD"/>
    <n v="-37593.72"/>
    <s v="83.95000"/>
    <s v="BDT"/>
    <n v="-3155992.79"/>
    <n v="-37593.72"/>
    <s v="37593.72_1"/>
    <s v=""/>
    <s v="C3286LVUS0561-21"/>
    <s v="20210507"/>
    <s v=""/>
    <s v=""/>
    <s v="0"/>
    <s v=""/>
    <s v=""/>
    <s v=""/>
    <s v=""/>
    <s v="2010100001"/>
    <s v=""/>
    <m/>
    <s v=""/>
    <s v=""/>
    <s v=""/>
    <n v="0"/>
  </r>
  <r>
    <s v=""/>
    <s v="40101001"/>
    <s v="2018001040"/>
    <x v="171"/>
    <d v="2021-03-01T00:00:00"/>
    <d v="2021-03-10T00:00:00"/>
    <s v="RV"/>
    <s v="USD"/>
    <n v="-37490.15"/>
    <s v="83.95000"/>
    <s v="BDT"/>
    <n v="-3147298.09"/>
    <n v="-37490.15"/>
    <s v="37490.15_1"/>
    <s v=""/>
    <s v="C3272UQ21OSA0227"/>
    <s v="20210301"/>
    <s v=""/>
    <s v=""/>
    <s v="0"/>
    <s v=""/>
    <s v=""/>
    <s v=""/>
    <s v=""/>
    <s v="2010100001"/>
    <s v=""/>
    <m/>
    <s v=""/>
    <s v=""/>
    <s v=""/>
    <n v="0"/>
  </r>
  <r>
    <s v=""/>
    <s v="40101001"/>
    <s v="2018000218"/>
    <x v="40"/>
    <d v="2020-09-08T00:00:00"/>
    <d v="2020-09-12T00:00:00"/>
    <s v="RV"/>
    <s v="USD"/>
    <n v="-37436.99"/>
    <s v="83.95000"/>
    <s v="BDT"/>
    <n v="-3142835.31"/>
    <n v="-37436.99"/>
    <s v="37436.99_1"/>
    <s v=""/>
    <s v="C3159UQ20OSA0831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055"/>
    <x v="38"/>
    <d v="2020-07-18T00:00:00"/>
    <d v="2020-07-22T00:00:00"/>
    <s v="RV"/>
    <s v="USD"/>
    <n v="-37320.36"/>
    <s v="83.95000"/>
    <s v="BDT"/>
    <n v="-3133044.22"/>
    <n v="-37320.36"/>
    <s v="37320.36_1"/>
    <s v=""/>
    <s v="C3118UQ20SYD0461"/>
    <s v="20200718"/>
    <s v=""/>
    <s v=""/>
    <s v="0"/>
    <s v=""/>
    <s v=""/>
    <s v=""/>
    <s v=""/>
    <s v="2010100001"/>
    <s v=""/>
    <m/>
    <s v=""/>
    <s v=""/>
    <s v=""/>
    <n v="0"/>
  </r>
  <r>
    <s v=""/>
    <s v="40101001"/>
    <s v="2018000263"/>
    <x v="133"/>
    <d v="2020-09-21T00:00:00"/>
    <d v="2020-09-26T00:00:00"/>
    <s v="RV"/>
    <s v="USD"/>
    <n v="-37276.61"/>
    <s v="83.95000"/>
    <s v="BDT"/>
    <n v="-3129371.41"/>
    <n v="-37276.61"/>
    <s v="37276.61_1"/>
    <s v=""/>
    <s v="C3159UQ20HAK0879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411"/>
    <x v="146"/>
    <d v="2020-11-02T00:00:00"/>
    <d v="2020-11-04T00:00:00"/>
    <s v="RV"/>
    <s v="USD"/>
    <n v="-37271.339999999997"/>
    <s v="83.95000"/>
    <s v="BDT"/>
    <n v="-3128928.99"/>
    <n v="-37271.339999999997"/>
    <s v="37271.34_1"/>
    <s v=""/>
    <s v="C3215UQ20OSA1073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098"/>
    <x v="53"/>
    <d v="2020-07-22T00:00:00"/>
    <d v="2020-08-06T00:00:00"/>
    <s v="RV"/>
    <s v="USD"/>
    <n v="-37250.39"/>
    <s v="83.95000"/>
    <s v="BDT"/>
    <n v="-3127170.24"/>
    <n v="-37250.39"/>
    <s v="37250.39_1"/>
    <s v=""/>
    <s v="C3099LVUS064920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608"/>
    <x v="104"/>
    <d v="2021-06-23T00:00:00"/>
    <d v="2021-06-30T00:00:00"/>
    <s v="RV"/>
    <s v="USD"/>
    <n v="-37196.57"/>
    <s v="83.95000"/>
    <s v="BDT"/>
    <n v="-3122652.05"/>
    <n v="-37196.57"/>
    <s v="37196.57_1"/>
    <s v=""/>
    <s v="C3311LVUS082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413"/>
    <x v="172"/>
    <d v="2020-11-01T00:00:00"/>
    <d v="2020-11-04T00:00:00"/>
    <s v="RV"/>
    <s v="USD"/>
    <n v="-37111.07"/>
    <s v="83.95000"/>
    <s v="BDT"/>
    <n v="-3115474.33"/>
    <n v="-37111.07"/>
    <s v="37111.07_1"/>
    <s v=""/>
    <s v="C3207UQ20TOM1047"/>
    <s v="20201101"/>
    <s v=""/>
    <s v=""/>
    <s v="0"/>
    <s v=""/>
    <s v=""/>
    <s v=""/>
    <s v=""/>
    <s v="2010100001"/>
    <s v=""/>
    <m/>
    <s v=""/>
    <s v=""/>
    <s v=""/>
    <n v="0"/>
  </r>
  <r>
    <s v=""/>
    <s v="40101001"/>
    <s v="2018001038"/>
    <x v="116"/>
    <d v="2021-03-05T00:00:00"/>
    <d v="2021-03-10T00:00:00"/>
    <s v="RV"/>
    <s v="USD"/>
    <n v="-37040.160000000003"/>
    <s v="83.95000"/>
    <s v="BDT"/>
    <n v="-3109521.43"/>
    <n v="-37040.160000000003"/>
    <s v="37040.16_1"/>
    <s v=""/>
    <s v="C3271UQ21TW026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0401"/>
    <x v="95"/>
    <d v="2020-10-26T00:00:00"/>
    <d v="2020-11-03T00:00:00"/>
    <s v="RV"/>
    <s v="USD"/>
    <n v="-36984.589999999997"/>
    <s v="83.95000"/>
    <s v="BDT"/>
    <n v="-3104856.33"/>
    <n v="-36984.589999999997"/>
    <s v="36984.59_1"/>
    <s v=""/>
    <s v="C3205UQ20YAN1006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36902.46"/>
    <s v="83.95000"/>
    <s v="BDT"/>
    <n v="-3097961.52"/>
    <n v="-36902.46"/>
    <s v="36902.46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599"/>
    <x v="27"/>
    <d v="2020-11-30T00:00:00"/>
    <d v="2020-12-07T00:00:00"/>
    <s v="RV"/>
    <s v="USD"/>
    <n v="-36801.78"/>
    <s v="83.95000"/>
    <s v="BDT"/>
    <n v="-3089509.43"/>
    <n v="-36801.78"/>
    <s v="36801.78_1"/>
    <s v=""/>
    <s v="C3231UQ20MY1238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1021"/>
    <x v="173"/>
    <d v="2021-02-27T00:00:00"/>
    <d v="2021-03-02T00:00:00"/>
    <s v="RV"/>
    <s v="USD"/>
    <n v="-36799.83"/>
    <s v="83.95000"/>
    <s v="BDT"/>
    <n v="-3089345.73"/>
    <n v="-36799.83"/>
    <s v="36799.83_1"/>
    <s v=""/>
    <s v="C3254UQ21SEN0268"/>
    <s v="20210227"/>
    <s v=""/>
    <s v=""/>
    <s v="0"/>
    <s v=""/>
    <s v=""/>
    <s v=""/>
    <s v=""/>
    <s v="2010100001"/>
    <s v=""/>
    <m/>
    <s v=""/>
    <s v=""/>
    <s v=""/>
    <n v="0"/>
  </r>
  <r>
    <s v=""/>
    <s v="40101001"/>
    <s v="2018000726"/>
    <x v="70"/>
    <d v="2020-12-27T00:00:00"/>
    <d v="2020-12-31T00:00:00"/>
    <s v="RV"/>
    <s v="USD"/>
    <n v="-36709.910000000003"/>
    <s v="83.95000"/>
    <s v="BDT"/>
    <n v="-3081796.94"/>
    <n v="-36709.910000000003"/>
    <s v="36709.91_1"/>
    <s v=""/>
    <s v="C3234UQ20TOK1385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988"/>
    <x v="72"/>
    <d v="2021-02-16T00:00:00"/>
    <d v="2021-02-25T00:00:00"/>
    <s v="RV"/>
    <s v="USD"/>
    <n v="-36699.620000000003"/>
    <s v="83.95000"/>
    <s v="BDT"/>
    <n v="-3080933.1"/>
    <n v="-36699.620000000003"/>
    <s v="36699.62_1"/>
    <s v=""/>
    <s v="C3242LVUS0203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900"/>
    <x v="143"/>
    <d v="2021-01-31T00:00:00"/>
    <d v="2021-02-04T00:00:00"/>
    <s v="RV"/>
    <s v="USD"/>
    <n v="-36620.44"/>
    <s v="83.95000"/>
    <s v="BDT"/>
    <n v="-3074285.94"/>
    <n v="-36620.44"/>
    <s v="36620.44_1"/>
    <s v=""/>
    <s v="C3272UQ21OSA0111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0372"/>
    <x v="13"/>
    <d v="2020-10-22T00:00:00"/>
    <d v="2020-11-01T00:00:00"/>
    <s v="RV"/>
    <s v="USD"/>
    <n v="-36433.89"/>
    <s v="83.95000"/>
    <s v="BDT"/>
    <n v="-3058625.07"/>
    <n v="-36433.89"/>
    <s v="36433.89_1"/>
    <s v=""/>
    <s v="C3159UQ20HK0983"/>
    <s v="20201022"/>
    <s v=""/>
    <s v=""/>
    <s v="0"/>
    <s v=""/>
    <s v=""/>
    <s v=""/>
    <s v=""/>
    <s v="2010100001"/>
    <s v=""/>
    <m/>
    <s v=""/>
    <s v=""/>
    <s v=""/>
    <n v="0"/>
  </r>
  <r>
    <s v=""/>
    <s v="40101011"/>
    <s v="2008000188"/>
    <x v="158"/>
    <d v="2021-02-28T00:00:00"/>
    <d v="2021-03-07T00:00:00"/>
    <s v="DR"/>
    <s v="USD"/>
    <n v="-36388.269999999997"/>
    <s v="83.95000"/>
    <s v="BDT"/>
    <n v="-3054795.27"/>
    <n v="-36388.269999999997"/>
    <s v="36388.27_1"/>
    <s v=""/>
    <s v="CIPL-PGCL-0290-2"/>
    <s v="CIPL-PGCL-0290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0904"/>
    <x v="174"/>
    <d v="2021-02-03T00:00:00"/>
    <d v="2021-02-09T00:00:00"/>
    <s v="RV"/>
    <s v="USD"/>
    <n v="-36291.050000000003"/>
    <s v="83.95000"/>
    <s v="BDT"/>
    <n v="-3046633.64"/>
    <n v="-36291.050000000003"/>
    <s v="36291.05_1"/>
    <s v=""/>
    <s v="C3236LVUS0131-21"/>
    <s v="20210203"/>
    <s v=""/>
    <s v=""/>
    <s v="0"/>
    <s v=""/>
    <s v=""/>
    <s v=""/>
    <s v=""/>
    <s v="2010100001"/>
    <s v=""/>
    <m/>
    <s v=""/>
    <s v=""/>
    <s v=""/>
    <n v="0"/>
  </r>
  <r>
    <s v=""/>
    <s v="40101001"/>
    <s v="2018000763"/>
    <x v="134"/>
    <d v="2020-12-31T00:00:00"/>
    <d v="2021-01-05T00:00:00"/>
    <s v="RV"/>
    <s v="USD"/>
    <n v="-36250.620000000003"/>
    <s v="83.95000"/>
    <s v="BDT"/>
    <n v="-3043239.55"/>
    <n v="-36250.620000000003"/>
    <s v="36250.62_1"/>
    <s v=""/>
    <s v="C3245UQ20MY1393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1560"/>
    <x v="10"/>
    <d v="2021-06-20T00:00:00"/>
    <d v="2021-06-24T00:00:00"/>
    <s v="RV"/>
    <s v="USD"/>
    <n v="-36119.629999999997"/>
    <s v="83.95000"/>
    <s v="BDT"/>
    <n v="-3032242.94"/>
    <n v="-36119.629999999997"/>
    <s v="36119.63_1"/>
    <s v=""/>
    <s v="C3308UQ21OSA0805"/>
    <s v="20210620"/>
    <s v=""/>
    <s v=""/>
    <s v="0"/>
    <s v=""/>
    <s v=""/>
    <s v=""/>
    <s v=""/>
    <s v="2010100001"/>
    <s v=""/>
    <m/>
    <s v=""/>
    <s v=""/>
    <s v=""/>
    <n v="0"/>
  </r>
  <r>
    <s v=""/>
    <s v="40101001"/>
    <s v="2018001275"/>
    <x v="175"/>
    <d v="2021-04-30T00:00:00"/>
    <d v="2021-05-05T00:00:00"/>
    <s v="RV"/>
    <s v="USD"/>
    <n v="-36115.94"/>
    <s v="83.95000"/>
    <s v="BDT"/>
    <n v="-3031933.16"/>
    <n v="-36115.94"/>
    <s v="36115.94_1"/>
    <s v=""/>
    <s v="C3316UQ21SEN0534"/>
    <s v="20210430"/>
    <s v=""/>
    <s v=""/>
    <s v="0"/>
    <s v=""/>
    <s v=""/>
    <s v=""/>
    <s v=""/>
    <s v="2010100001"/>
    <s v=""/>
    <m/>
    <s v=""/>
    <s v=""/>
    <s v=""/>
    <n v="0"/>
  </r>
  <r>
    <s v=""/>
    <s v="40101001"/>
    <s v="2018001608"/>
    <x v="104"/>
    <d v="2021-06-23T00:00:00"/>
    <d v="2021-06-30T00:00:00"/>
    <s v="RV"/>
    <s v="USD"/>
    <n v="-36019.54"/>
    <s v="83.95000"/>
    <s v="BDT"/>
    <n v="-3023840.38"/>
    <n v="-36019.54"/>
    <s v="36019.54_1"/>
    <s v=""/>
    <s v="C3311LVUS082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1621"/>
    <x v="176"/>
    <d v="2021-06-19T00:00:00"/>
    <d v="2021-07-07T00:00:00"/>
    <s v="RV"/>
    <s v="USD"/>
    <n v="-36006.54"/>
    <s v="83.95000"/>
    <s v="BDT"/>
    <n v="-3022749.03"/>
    <n v="-36006.54"/>
    <s v="36006.54_1"/>
    <s v=""/>
    <s v="C3335LVMX0739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988"/>
    <x v="72"/>
    <d v="2021-02-16T00:00:00"/>
    <d v="2021-02-25T00:00:00"/>
    <s v="RV"/>
    <s v="USD"/>
    <n v="-35965.300000000003"/>
    <s v="83.95000"/>
    <s v="BDT"/>
    <n v="-3019286.94"/>
    <n v="-35965.300000000003"/>
    <s v="35965.3_1"/>
    <s v=""/>
    <s v="C3242LVUS0203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966"/>
    <x v="99"/>
    <d v="2021-02-11T00:00:00"/>
    <d v="2021-02-16T00:00:00"/>
    <s v="RV"/>
    <s v="USD"/>
    <n v="-35914.46"/>
    <s v="83.95000"/>
    <s v="BDT"/>
    <n v="-3015018.92"/>
    <n v="-35914.46"/>
    <s v="35914.46_1"/>
    <s v=""/>
    <s v="C3307UQ21SYD0143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1464"/>
    <x v="127"/>
    <d v="2021-06-04T00:00:00"/>
    <d v="2021-06-10T00:00:00"/>
    <s v="RV"/>
    <s v="USD"/>
    <n v="-35911.83"/>
    <s v="83.95000"/>
    <s v="BDT"/>
    <n v="-3014798.13"/>
    <n v="-35911.83"/>
    <s v="35911.83_1"/>
    <s v=""/>
    <s v="C3281LVUS0696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1601"/>
    <x v="170"/>
    <d v="2021-06-24T00:00:00"/>
    <d v="2021-06-30T00:00:00"/>
    <s v="RV"/>
    <s v="USD"/>
    <n v="-35811.660000000003"/>
    <s v="83.95000"/>
    <s v="BDT"/>
    <n v="-3006388.86"/>
    <n v="-35811.660000000003"/>
    <s v="35811.66_1"/>
    <s v=""/>
    <s v="C3311LVUS0832-21"/>
    <s v="20210624"/>
    <s v=""/>
    <s v=""/>
    <s v="0"/>
    <s v=""/>
    <s v=""/>
    <s v=""/>
    <s v=""/>
    <s v="2010100001"/>
    <s v=""/>
    <m/>
    <s v=""/>
    <s v=""/>
    <s v=""/>
    <n v="0"/>
  </r>
  <r>
    <s v=""/>
    <s v="40101001"/>
    <s v="2018001618"/>
    <x v="176"/>
    <d v="2021-06-19T00:00:00"/>
    <d v="2021-07-07T00:00:00"/>
    <s v="RV"/>
    <s v="USD"/>
    <n v="-35800.79"/>
    <s v="83.95000"/>
    <s v="BDT"/>
    <n v="-3005476.32"/>
    <n v="-35800.79"/>
    <s v="35800.79_1"/>
    <s v=""/>
    <s v="C3282LVMX0740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427"/>
    <x v="18"/>
    <d v="2020-11-05T00:00:00"/>
    <d v="2020-11-10T00:00:00"/>
    <s v="RV"/>
    <s v="USD"/>
    <n v="-35799.43"/>
    <s v="83.95000"/>
    <s v="BDT"/>
    <n v="-3005362.15"/>
    <n v="-35799.43"/>
    <s v="35799.43_1"/>
    <s v=""/>
    <s v="C3210UQ20TOK1025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307"/>
    <x v="154"/>
    <d v="2020-10-03T00:00:00"/>
    <d v="2020-10-10T00:00:00"/>
    <s v="RV"/>
    <s v="USD"/>
    <n v="-35780.49"/>
    <s v="83.95000"/>
    <s v="BDT"/>
    <n v="-3003772.14"/>
    <n v="-35780.49"/>
    <s v="35780.49_1"/>
    <s v=""/>
    <s v="C3159UQ20YAN0806"/>
    <s v="20201003"/>
    <s v=""/>
    <s v=""/>
    <s v="0"/>
    <s v=""/>
    <s v=""/>
    <s v=""/>
    <s v=""/>
    <s v="2010100001"/>
    <s v=""/>
    <m/>
    <s v=""/>
    <s v=""/>
    <s v=""/>
    <n v="0"/>
  </r>
  <r>
    <s v=""/>
    <s v="40101001"/>
    <s v="2018001116"/>
    <x v="177"/>
    <d v="2021-03-23T00:00:00"/>
    <d v="2021-03-28T00:00:00"/>
    <s v="RV"/>
    <s v="USD"/>
    <n v="-35777.089999999997"/>
    <s v="83.95000"/>
    <s v="BDT"/>
    <n v="-3003486.72"/>
    <n v="-35777.089999999997"/>
    <s v="35777.09_1"/>
    <s v=""/>
    <s v="C3173AMZLB0363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814"/>
    <x v="42"/>
    <d v="2021-01-14T00:00:00"/>
    <d v="2021-01-21T00:00:00"/>
    <s v="RV"/>
    <s v="USD"/>
    <n v="-35686.61"/>
    <s v="83.95000"/>
    <s v="BDT"/>
    <n v="-2995890.91"/>
    <n v="-35686.61"/>
    <s v="35686.61_1"/>
    <s v=""/>
    <s v="C3232UQ21TOM0033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35639.5"/>
    <s v="83.95000"/>
    <s v="BDT"/>
    <n v="-2991936.03"/>
    <n v="-35639.5"/>
    <s v="35639.5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618"/>
    <x v="176"/>
    <d v="2021-06-19T00:00:00"/>
    <d v="2021-07-07T00:00:00"/>
    <s v="RV"/>
    <s v="USD"/>
    <n v="-35638.379999999997"/>
    <s v="83.95000"/>
    <s v="BDT"/>
    <n v="-2991842"/>
    <n v="-35638.379999999997"/>
    <s v="35638.38_1"/>
    <s v=""/>
    <s v="C3282LVMX0740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1525"/>
    <x v="86"/>
    <d v="2021-06-14T00:00:00"/>
    <d v="2021-06-17T00:00:00"/>
    <s v="RV"/>
    <s v="USD"/>
    <n v="-35546.28"/>
    <s v="83.95000"/>
    <s v="BDT"/>
    <n v="-2984110.21"/>
    <n v="-35546.28"/>
    <s v="35546.28_1"/>
    <s v=""/>
    <s v="C3316UQ21TOK0771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1402"/>
    <x v="157"/>
    <d v="2021-05-19T00:00:00"/>
    <d v="2021-05-24T00:00:00"/>
    <s v="RV"/>
    <s v="USD"/>
    <n v="-35466.120000000003"/>
    <s v="83.95000"/>
    <s v="BDT"/>
    <n v="-2977380.78"/>
    <n v="-35466.120000000003"/>
    <s v="35466.12_1"/>
    <s v=""/>
    <s v="C3309UQ21KR0657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1023"/>
    <x v="16"/>
    <d v="2021-02-26T00:00:00"/>
    <d v="2021-03-03T00:00:00"/>
    <s v="RV"/>
    <s v="USD"/>
    <n v="-35398.33"/>
    <s v="83.95000"/>
    <s v="BDT"/>
    <n v="-2971689.81"/>
    <n v="-35398.33"/>
    <s v="35398.33_1"/>
    <s v=""/>
    <s v="C3240LVMX0236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023"/>
    <x v="16"/>
    <d v="2021-02-26T00:00:00"/>
    <d v="2021-03-03T00:00:00"/>
    <s v="RV"/>
    <s v="USD"/>
    <n v="-35398.33"/>
    <s v="83.95000"/>
    <s v="BDT"/>
    <n v="-2971689.8"/>
    <n v="-35398.33"/>
    <s v="35398.33_2"/>
    <s v=""/>
    <s v="C3240LVMX0236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023"/>
    <x v="16"/>
    <d v="2021-02-26T00:00:00"/>
    <d v="2021-03-03T00:00:00"/>
    <s v="RV"/>
    <s v="USD"/>
    <n v="-35398.33"/>
    <s v="83.95000"/>
    <s v="BDT"/>
    <n v="-2971689.8"/>
    <n v="-35398.33"/>
    <s v="35398.33_3"/>
    <s v=""/>
    <s v="C3240LVMX0236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0049"/>
    <x v="37"/>
    <d v="2020-07-17T00:00:00"/>
    <d v="2020-07-20T00:00:00"/>
    <s v="RV"/>
    <s v="USD"/>
    <n v="-35392.03"/>
    <s v="83.95000"/>
    <s v="BDT"/>
    <n v="-2971160.92"/>
    <n v="-35392.03"/>
    <s v="35392.03_1"/>
    <s v=""/>
    <s v="C3125UQ20KR0626"/>
    <s v="20200717"/>
    <s v=""/>
    <s v=""/>
    <s v="0"/>
    <s v=""/>
    <s v=""/>
    <s v=""/>
    <s v=""/>
    <s v="2010100001"/>
    <s v=""/>
    <m/>
    <s v=""/>
    <s v=""/>
    <s v=""/>
    <n v="0"/>
  </r>
  <r>
    <s v=""/>
    <s v="40101001"/>
    <s v="2018000767"/>
    <x v="178"/>
    <d v="2020-12-23T00:00:00"/>
    <d v="2021-01-06T00:00:00"/>
    <s v="RV"/>
    <s v="USD"/>
    <n v="-35366.46"/>
    <s v="83.95000"/>
    <s v="BDT"/>
    <n v="-2969014.32"/>
    <n v="-35366.46"/>
    <s v="35366.46_1"/>
    <s v=""/>
    <s v="C3140LVUS1353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738"/>
    <x v="155"/>
    <d v="2020-12-17T00:00:00"/>
    <d v="2021-01-03T00:00:00"/>
    <s v="RV"/>
    <s v="USD"/>
    <n v="-35289.56"/>
    <s v="83.95000"/>
    <s v="BDT"/>
    <n v="-2962558.56"/>
    <n v="-35289.56"/>
    <s v="35289.56_1"/>
    <s v=""/>
    <s v="C3140LVUS1311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797"/>
    <x v="179"/>
    <d v="2021-01-07T00:00:00"/>
    <d v="2021-01-18T00:00:00"/>
    <s v="RV"/>
    <s v="USD"/>
    <n v="-35254.6"/>
    <s v="83.95000"/>
    <s v="BDT"/>
    <n v="-2959623.67"/>
    <n v="-35254.6"/>
    <s v="35254.6_1"/>
    <s v=""/>
    <s v="C3236LVUS141820"/>
    <s v="20210107"/>
    <s v=""/>
    <s v=""/>
    <s v="0"/>
    <s v=""/>
    <s v=""/>
    <s v=""/>
    <s v=""/>
    <s v="2010100001"/>
    <s v=""/>
    <m/>
    <s v=""/>
    <s v=""/>
    <s v=""/>
    <n v="0"/>
  </r>
  <r>
    <s v=""/>
    <s v="40101001"/>
    <s v="2018001436"/>
    <x v="28"/>
    <d v="2021-05-30T00:00:00"/>
    <d v="2021-06-01T00:00:00"/>
    <s v="RV"/>
    <s v="USD"/>
    <n v="-35249.86"/>
    <s v="83.95000"/>
    <s v="BDT"/>
    <n v="-2959225.75"/>
    <n v="-35249.86"/>
    <s v="35249.86_1"/>
    <s v=""/>
    <s v="C3309UQ21KR0685"/>
    <s v="20210530"/>
    <s v=""/>
    <s v=""/>
    <s v="0"/>
    <s v=""/>
    <s v=""/>
    <s v=""/>
    <s v=""/>
    <s v="2010100001"/>
    <s v=""/>
    <m/>
    <s v=""/>
    <s v=""/>
    <s v=""/>
    <n v="0"/>
  </r>
  <r>
    <s v=""/>
    <s v="40101001"/>
    <s v="2018000402"/>
    <x v="67"/>
    <d v="2020-10-27T00:00:00"/>
    <d v="2020-11-03T00:00:00"/>
    <s v="RV"/>
    <s v="USD"/>
    <n v="-35245.800000000003"/>
    <s v="83.95000"/>
    <s v="BDT"/>
    <n v="-2958884.91"/>
    <n v="-35245.800000000003"/>
    <s v="35245.8_1"/>
    <s v=""/>
    <s v="C3205UQ20SHA1005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1024"/>
    <x v="16"/>
    <d v="2021-02-26T00:00:00"/>
    <d v="2021-03-03T00:00:00"/>
    <s v="RV"/>
    <s v="USD"/>
    <n v="-35188.879999999997"/>
    <s v="83.95000"/>
    <s v="BDT"/>
    <n v="-2954106.48"/>
    <n v="-35188.879999999997"/>
    <s v="35188.88_1"/>
    <s v=""/>
    <s v="C3248LVMX0232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024"/>
    <x v="16"/>
    <d v="2021-02-26T00:00:00"/>
    <d v="2021-03-03T00:00:00"/>
    <s v="RV"/>
    <s v="USD"/>
    <n v="-35188.879999999997"/>
    <s v="83.95000"/>
    <s v="BDT"/>
    <n v="-2954106.48"/>
    <n v="-35188.879999999997"/>
    <s v="35188.88_2"/>
    <s v=""/>
    <s v="C3248LVMX0232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045"/>
    <x v="180"/>
    <d v="2021-03-02T00:00:00"/>
    <d v="2021-03-11T00:00:00"/>
    <s v="RV"/>
    <s v="USD"/>
    <n v="-35188.879999999997"/>
    <s v="83.95000"/>
    <s v="BDT"/>
    <n v="-2954106.48"/>
    <n v="-35188.879999999997"/>
    <s v="35188.88_3"/>
    <s v=""/>
    <s v="C3240LVMX0253-21"/>
    <s v="20210302"/>
    <s v=""/>
    <s v=""/>
    <s v="0"/>
    <s v=""/>
    <s v=""/>
    <s v=""/>
    <s v=""/>
    <s v="2010100001"/>
    <s v=""/>
    <m/>
    <s v=""/>
    <s v=""/>
    <s v=""/>
    <n v="0"/>
  </r>
  <r>
    <s v=""/>
    <s v="40101001"/>
    <s v="2018000835"/>
    <x v="181"/>
    <d v="2021-01-19T00:00:00"/>
    <d v="2021-01-26T00:00:00"/>
    <s v="RV"/>
    <s v="USD"/>
    <n v="-35170.129999999997"/>
    <s v="83.95000"/>
    <s v="BDT"/>
    <n v="-2952532.41"/>
    <n v="-35170.129999999997"/>
    <s v="35170.13_1"/>
    <s v=""/>
    <s v="C3213LVUS0049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0944"/>
    <x v="46"/>
    <d v="2021-02-07T00:00:00"/>
    <d v="2021-02-14T00:00:00"/>
    <s v="RV"/>
    <s v="USD"/>
    <n v="-35123.199999999997"/>
    <s v="83.95000"/>
    <s v="BDT"/>
    <n v="-2948592.64"/>
    <n v="-35123.199999999997"/>
    <s v="35123.2_1"/>
    <s v=""/>
    <s v="C3272UQ21TOK0162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618"/>
    <x v="176"/>
    <d v="2021-06-19T00:00:00"/>
    <d v="2021-07-07T00:00:00"/>
    <s v="RV"/>
    <s v="USD"/>
    <n v="-35115.839999999997"/>
    <s v="83.95000"/>
    <s v="BDT"/>
    <n v="-2947974.77"/>
    <n v="-35115.839999999997"/>
    <s v="35115.84_1"/>
    <s v=""/>
    <s v="C3282LVMX0740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1614"/>
    <x v="93"/>
    <d v="2021-06-29T00:00:00"/>
    <d v="2021-07-05T00:00:00"/>
    <s v="RV"/>
    <s v="USD"/>
    <n v="-35048"/>
    <s v="83.95000"/>
    <s v="BDT"/>
    <n v="-2942279.6"/>
    <n v="-35048"/>
    <s v="35048_1"/>
    <s v=""/>
    <s v="C3331UQ21EU0670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341"/>
    <x v="182"/>
    <d v="2020-10-13T00:00:00"/>
    <d v="2020-10-22T00:00:00"/>
    <s v="RV"/>
    <s v="USD"/>
    <n v="-35022.71"/>
    <s v="83.95000"/>
    <s v="BDT"/>
    <n v="-2940156.5"/>
    <n v="-35022.71"/>
    <s v="35022.71_1"/>
    <s v=""/>
    <s v="C3169UQ20NY0957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0493"/>
    <x v="115"/>
    <d v="2020-11-15T00:00:00"/>
    <d v="2020-11-18T00:00:00"/>
    <s v="RV"/>
    <s v="USD"/>
    <n v="-34999.440000000002"/>
    <s v="83.95000"/>
    <s v="BDT"/>
    <n v="-2938202.99"/>
    <n v="-34999.440000000002"/>
    <s v="34999.44_1"/>
    <s v=""/>
    <s v="C3210UQ20TOK1086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1512"/>
    <x v="88"/>
    <d v="2021-06-11T00:00:00"/>
    <d v="2021-06-17T00:00:00"/>
    <s v="RV"/>
    <s v="USD"/>
    <n v="-34989.949999999997"/>
    <s v="83.95000"/>
    <s v="BDT"/>
    <n v="-2937406.3"/>
    <n v="-34989.949999999997"/>
    <s v="34989.95_1"/>
    <s v=""/>
    <s v="C3284LVUS070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618"/>
    <x v="176"/>
    <d v="2021-06-19T00:00:00"/>
    <d v="2021-07-07T00:00:00"/>
    <s v="RV"/>
    <s v="USD"/>
    <n v="-34932.25"/>
    <s v="83.95000"/>
    <s v="BDT"/>
    <n v="-2932562.39"/>
    <n v="-34932.25"/>
    <s v="34932.25_1"/>
    <s v=""/>
    <s v="C3282LVMX0740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398"/>
    <x v="23"/>
    <d v="2020-10-31T00:00:00"/>
    <d v="2020-11-03T00:00:00"/>
    <s v="RV"/>
    <s v="USD"/>
    <n v="-34872.81"/>
    <s v="83.95000"/>
    <s v="BDT"/>
    <n v="-2927572.4"/>
    <n v="-34872.81"/>
    <s v="34872.81_1"/>
    <s v=""/>
    <s v="C3171UQ20TOK1036"/>
    <s v="20201031"/>
    <s v=""/>
    <s v=""/>
    <s v="0"/>
    <s v=""/>
    <s v=""/>
    <s v=""/>
    <s v=""/>
    <s v="2010100001"/>
    <s v=""/>
    <m/>
    <s v=""/>
    <s v=""/>
    <s v=""/>
    <n v="0"/>
  </r>
  <r>
    <s v=""/>
    <s v="40101001"/>
    <s v="2018001520"/>
    <x v="86"/>
    <d v="2021-06-14T00:00:00"/>
    <d v="2021-06-17T00:00:00"/>
    <s v="RV"/>
    <s v="USD"/>
    <n v="-34748.769999999997"/>
    <s v="83.95000"/>
    <s v="BDT"/>
    <n v="-2917159.24"/>
    <n v="-34748.769999999997"/>
    <s v="34748.77_1"/>
    <s v=""/>
    <s v="C3316UQ21NAG0768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1180"/>
    <x v="183"/>
    <d v="2021-03-29T00:00:00"/>
    <d v="2021-04-04T00:00:00"/>
    <s v="RV"/>
    <s v="USD"/>
    <n v="-34685.67"/>
    <s v="83.95000"/>
    <s v="BDT"/>
    <n v="-2911862"/>
    <n v="-34685.67"/>
    <s v="34685.67_1"/>
    <s v=""/>
    <s v="C3271UQ21TH0404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896"/>
    <x v="143"/>
    <d v="2021-01-31T00:00:00"/>
    <d v="2021-02-04T00:00:00"/>
    <s v="RV"/>
    <s v="USD"/>
    <n v="-34680.269999999997"/>
    <s v="83.95000"/>
    <s v="BDT"/>
    <n v="-2911408.67"/>
    <n v="-34680.269999999997"/>
    <s v="34680.27_1"/>
    <s v=""/>
    <s v="C3272UQ21TOK0110"/>
    <s v="20210131"/>
    <s v=""/>
    <s v=""/>
    <s v="0"/>
    <s v=""/>
    <s v=""/>
    <s v=""/>
    <s v=""/>
    <s v="2010100001"/>
    <s v=""/>
    <m/>
    <s v=""/>
    <s v=""/>
    <s v=""/>
    <n v="0"/>
  </r>
  <r>
    <s v=""/>
    <s v="40101011"/>
    <s v="2008000045"/>
    <x v="184"/>
    <d v="2020-09-30T00:00:00"/>
    <d v="2020-10-10T00:00:00"/>
    <s v="DR"/>
    <s v="USD"/>
    <n v="-34647.03"/>
    <s v="83.95000"/>
    <s v="BDT"/>
    <n v="-2908618.17"/>
    <n v="-34647.03"/>
    <s v="34647.03_1"/>
    <s v=""/>
    <s v="CIPL-PGC-0278-20"/>
    <s v="CIPL-PGCL-0278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0745"/>
    <x v="155"/>
    <d v="2020-12-17T00:00:00"/>
    <d v="2021-01-03T00:00:00"/>
    <s v="RV"/>
    <s v="USD"/>
    <n v="-34604.46"/>
    <s v="83.95000"/>
    <s v="BDT"/>
    <n v="-2905044.42"/>
    <n v="-34604.46"/>
    <s v="34604.46_1"/>
    <s v=""/>
    <s v="C3236LVUS1309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280"/>
    <x v="166"/>
    <d v="2020-09-27T00:00:00"/>
    <d v="2020-10-01T00:00:00"/>
    <s v="RV"/>
    <s v="USD"/>
    <n v="-34568.57"/>
    <s v="83.95000"/>
    <s v="BDT"/>
    <n v="-2902031.45"/>
    <n v="-34568.57"/>
    <s v="34568.57_1"/>
    <s v=""/>
    <s v="C3162DC20US0872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18001465"/>
    <x v="127"/>
    <d v="2021-06-04T00:00:00"/>
    <d v="2021-06-10T00:00:00"/>
    <s v="RV"/>
    <s v="USD"/>
    <n v="-34556.29"/>
    <s v="83.95000"/>
    <s v="BDT"/>
    <n v="-2901000.54"/>
    <n v="-34556.29"/>
    <s v="34556.29_1"/>
    <s v=""/>
    <s v="C3270LVUS0697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1326"/>
    <x v="94"/>
    <d v="2021-05-07T00:00:00"/>
    <d v="2021-05-13T00:00:00"/>
    <s v="RV"/>
    <s v="USD"/>
    <n v="-34341.279999999999"/>
    <s v="83.95000"/>
    <s v="BDT"/>
    <n v="-2882950.46"/>
    <n v="-34341.279999999999"/>
    <s v="34341.28_1"/>
    <s v=""/>
    <s v="C3343UQ21YOK0577"/>
    <s v="20210507"/>
    <s v=""/>
    <s v=""/>
    <s v="0"/>
    <s v=""/>
    <s v=""/>
    <s v=""/>
    <s v=""/>
    <s v="2010100001"/>
    <s v=""/>
    <m/>
    <s v=""/>
    <s v=""/>
    <s v=""/>
    <n v="0"/>
  </r>
  <r>
    <s v=""/>
    <s v="40101001"/>
    <s v="2018000202"/>
    <x v="109"/>
    <d v="2020-09-05T00:00:00"/>
    <d v="2020-09-08T00:00:00"/>
    <s v="RV"/>
    <s v="USD"/>
    <n v="-34289.629999999997"/>
    <s v="83.95000"/>
    <s v="BDT"/>
    <n v="-2878614.44"/>
    <n v="-34289.629999999997"/>
    <s v="34289.63_1"/>
    <s v=""/>
    <s v="C3154UQ20TOK0785"/>
    <s v="20200905"/>
    <s v=""/>
    <s v=""/>
    <s v="0"/>
    <s v=""/>
    <s v=""/>
    <s v=""/>
    <s v=""/>
    <s v="2010100001"/>
    <s v=""/>
    <m/>
    <s v=""/>
    <s v=""/>
    <s v=""/>
    <n v="0"/>
  </r>
  <r>
    <s v=""/>
    <s v="40101001"/>
    <s v="2018001356"/>
    <x v="162"/>
    <d v="2021-05-15T00:00:00"/>
    <d v="2021-05-20T00:00:00"/>
    <s v="RV"/>
    <s v="USD"/>
    <n v="-34211.35"/>
    <s v="83.95000"/>
    <s v="BDT"/>
    <n v="-2872042.83"/>
    <n v="-34211.35"/>
    <s v="34211.35_1"/>
    <s v=""/>
    <s v="C3276LVUS0601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099"/>
    <x v="185"/>
    <d v="2020-07-28T00:00:00"/>
    <d v="2020-08-06T00:00:00"/>
    <s v="RV"/>
    <s v="USD"/>
    <n v="-34178.54"/>
    <s v="83.95000"/>
    <s v="BDT"/>
    <n v="-2869288.43"/>
    <n v="-34178.54"/>
    <s v="34178.54_1"/>
    <s v=""/>
    <s v="C3099LVUS068120"/>
    <s v="20200728"/>
    <s v=""/>
    <s v=""/>
    <s v="0"/>
    <s v=""/>
    <s v=""/>
    <s v=""/>
    <s v=""/>
    <s v="2010100001"/>
    <s v=""/>
    <m/>
    <s v=""/>
    <s v=""/>
    <s v=""/>
    <n v="0"/>
  </r>
  <r>
    <s v=""/>
    <s v="40101001"/>
    <s v="2018000821"/>
    <x v="148"/>
    <d v="2021-01-15T00:00:00"/>
    <d v="2021-01-21T00:00:00"/>
    <s v="RV"/>
    <s v="USD"/>
    <n v="-34170.18"/>
    <s v="83.95000"/>
    <s v="BDT"/>
    <n v="-2868586.61"/>
    <n v="-34170.18"/>
    <s v="34170.18_1"/>
    <s v=""/>
    <s v="C3232UQ21OSA0028"/>
    <s v="20210115"/>
    <s v=""/>
    <s v=""/>
    <s v="0"/>
    <s v=""/>
    <s v=""/>
    <s v=""/>
    <s v=""/>
    <s v="2010100001"/>
    <s v=""/>
    <m/>
    <s v=""/>
    <s v=""/>
    <s v=""/>
    <n v="0"/>
  </r>
  <r>
    <s v=""/>
    <s v="40101001"/>
    <s v="2018000423"/>
    <x v="146"/>
    <d v="2020-11-02T00:00:00"/>
    <d v="2020-11-10T00:00:00"/>
    <s v="RV"/>
    <s v="USD"/>
    <n v="-34149.440000000002"/>
    <s v="83.95000"/>
    <s v="BDT"/>
    <n v="-2866845.49"/>
    <n v="-34149.440000000002"/>
    <s v="34149.44_1"/>
    <s v=""/>
    <s v="C3153TS19CE1038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1056"/>
    <x v="167"/>
    <d v="2021-03-09T00:00:00"/>
    <d v="2021-03-13T00:00:00"/>
    <s v="RV"/>
    <s v="USD"/>
    <n v="-34104.9"/>
    <s v="83.95000"/>
    <s v="BDT"/>
    <n v="-2863106.36"/>
    <n v="-34104.9"/>
    <s v="34104.9_1"/>
    <s v=""/>
    <s v="C3242LVUS0279-21"/>
    <s v="20210309"/>
    <s v=""/>
    <s v=""/>
    <s v="0"/>
    <s v=""/>
    <s v=""/>
    <s v=""/>
    <s v=""/>
    <s v="2010100001"/>
    <s v=""/>
    <m/>
    <s v=""/>
    <s v=""/>
    <s v=""/>
    <n v="0"/>
  </r>
  <r>
    <s v=""/>
    <s v="40101001"/>
    <s v="2018000520"/>
    <x v="186"/>
    <d v="2020-11-20T00:00:00"/>
    <d v="2020-11-24T00:00:00"/>
    <s v="RV"/>
    <s v="USD"/>
    <n v="-34072.26"/>
    <s v="83.95000"/>
    <s v="BDT"/>
    <n v="-2860366.23"/>
    <n v="-34072.26"/>
    <s v="34072.26_1"/>
    <s v=""/>
    <s v="C3148LVCL116920"/>
    <s v="20201120"/>
    <s v=""/>
    <s v=""/>
    <s v="0"/>
    <s v=""/>
    <s v=""/>
    <s v=""/>
    <s v=""/>
    <s v="2010100001"/>
    <s v=""/>
    <m/>
    <s v=""/>
    <s v=""/>
    <s v=""/>
    <n v="0"/>
  </r>
  <r>
    <s v=""/>
    <s v="40101001"/>
    <s v="2018000610"/>
    <x v="22"/>
    <d v="2020-12-02T00:00:00"/>
    <d v="2020-12-09T00:00:00"/>
    <s v="RV"/>
    <s v="USD"/>
    <n v="-34030.589999999997"/>
    <s v="83.95000"/>
    <s v="BDT"/>
    <n v="-2856868.03"/>
    <n v="-34030.589999999997"/>
    <s v="34030.59_1"/>
    <s v=""/>
    <s v="C3168UQ20NAG1221"/>
    <s v="20201202"/>
    <s v=""/>
    <s v=""/>
    <s v="0"/>
    <s v=""/>
    <s v=""/>
    <s v=""/>
    <s v=""/>
    <s v="2010100001"/>
    <s v=""/>
    <m/>
    <s v=""/>
    <s v=""/>
    <s v=""/>
    <n v="0"/>
  </r>
  <r>
    <s v=""/>
    <s v="40101001"/>
    <s v="2018000176"/>
    <x v="33"/>
    <d v="2020-08-21T00:00:00"/>
    <d v="2020-08-29T00:00:00"/>
    <s v="RV"/>
    <s v="USD"/>
    <n v="-34000.11"/>
    <s v="83.95000"/>
    <s v="BDT"/>
    <n v="-2854309.23"/>
    <n v="-34000.11"/>
    <s v="34000.11_1"/>
    <s v=""/>
    <s v="C3067LVMX075420"/>
    <s v="20200821"/>
    <s v=""/>
    <s v=""/>
    <s v="0"/>
    <s v=""/>
    <s v=""/>
    <s v=""/>
    <s v=""/>
    <s v="2010100001"/>
    <s v=""/>
    <m/>
    <s v=""/>
    <s v=""/>
    <s v=""/>
    <n v="0"/>
  </r>
  <r>
    <s v=""/>
    <s v="40101001"/>
    <s v="2018001114"/>
    <x v="89"/>
    <d v="2021-03-21T00:00:00"/>
    <d v="2021-03-28T00:00:00"/>
    <s v="RV"/>
    <s v="USD"/>
    <n v="-33938.51"/>
    <s v="83.95000"/>
    <s v="BDT"/>
    <n v="-2849137.91"/>
    <n v="-33938.51"/>
    <s v="33938.51_1"/>
    <s v=""/>
    <s v="C3262LVUS0306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608"/>
    <x v="104"/>
    <d v="2021-06-23T00:00:00"/>
    <d v="2021-06-30T00:00:00"/>
    <s v="RV"/>
    <s v="USD"/>
    <n v="-33906.93"/>
    <s v="83.95000"/>
    <s v="BDT"/>
    <n v="-2846486.77"/>
    <n v="-33906.93"/>
    <s v="33906.93_1"/>
    <s v=""/>
    <s v="C3311LVUS082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644"/>
    <x v="187"/>
    <d v="2020-12-12T00:00:00"/>
    <d v="2020-12-20T00:00:00"/>
    <s v="RV"/>
    <s v="USD"/>
    <n v="-33845.14"/>
    <s v="83.95000"/>
    <s v="BDT"/>
    <n v="-2841299.5"/>
    <n v="-33845.14"/>
    <s v="33845.14_1"/>
    <s v=""/>
    <s v="C3168UQ20HAK1289"/>
    <s v="20201212"/>
    <s v=""/>
    <s v=""/>
    <s v="0"/>
    <s v=""/>
    <s v=""/>
    <s v=""/>
    <s v=""/>
    <s v="2010100001"/>
    <s v=""/>
    <m/>
    <s v=""/>
    <s v=""/>
    <s v=""/>
    <n v="0"/>
  </r>
  <r>
    <s v=""/>
    <s v="40101001"/>
    <s v="2018000494"/>
    <x v="115"/>
    <d v="2020-11-15T00:00:00"/>
    <d v="2020-11-18T00:00:00"/>
    <s v="RV"/>
    <s v="USD"/>
    <n v="-33799.46"/>
    <s v="83.95000"/>
    <s v="BDT"/>
    <n v="-2837464.67"/>
    <n v="-33799.46"/>
    <s v="33799.46_1"/>
    <s v=""/>
    <s v="C3210UQ20OSA1085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0939"/>
    <x v="73"/>
    <d v="2021-02-08T00:00:00"/>
    <d v="2021-02-14T00:00:00"/>
    <s v="RV"/>
    <s v="USD"/>
    <n v="-33733.730000000003"/>
    <s v="83.95000"/>
    <s v="BDT"/>
    <n v="-2831946.63"/>
    <n v="-33733.730000000003"/>
    <s v="33733.73_1"/>
    <s v=""/>
    <s v="C3260UQ21YOK0175"/>
    <s v="20210208"/>
    <s v=""/>
    <s v=""/>
    <s v="0"/>
    <s v=""/>
    <s v=""/>
    <s v=""/>
    <s v=""/>
    <s v="2010100001"/>
    <s v=""/>
    <m/>
    <s v=""/>
    <s v=""/>
    <s v=""/>
    <n v="0"/>
  </r>
  <r>
    <s v=""/>
    <s v="40101001"/>
    <s v="2018001111"/>
    <x v="89"/>
    <d v="2021-03-21T00:00:00"/>
    <d v="2021-03-28T00:00:00"/>
    <s v="RV"/>
    <s v="USD"/>
    <n v="-33716.25"/>
    <s v="83.95000"/>
    <s v="BDT"/>
    <n v="-2830479.19"/>
    <n v="-33716.25"/>
    <s v="33716.25_1"/>
    <s v=""/>
    <s v="C3262LVUS0304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608"/>
    <x v="104"/>
    <d v="2021-06-23T00:00:00"/>
    <d v="2021-06-30T00:00:00"/>
    <s v="RV"/>
    <s v="USD"/>
    <n v="-33664.870000000003"/>
    <s v="83.95000"/>
    <s v="BDT"/>
    <n v="-2826165.84"/>
    <n v="-33664.870000000003"/>
    <s v="33664.87_1"/>
    <s v=""/>
    <s v="C3311LVUS082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765"/>
    <x v="188"/>
    <d v="2021-01-01T00:00:00"/>
    <d v="2021-01-05T00:00:00"/>
    <s v="RV"/>
    <s v="USD"/>
    <n v="-33664.699999999997"/>
    <s v="83.95000"/>
    <s v="BDT"/>
    <n v="-2826151.57"/>
    <n v="-33664.699999999997"/>
    <s v="33664.7_1"/>
    <s v=""/>
    <s v="C3233UQ20HK1405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1154"/>
    <x v="189"/>
    <d v="2021-03-26T00:00:00"/>
    <d v="2021-04-01T00:00:00"/>
    <s v="RV"/>
    <s v="USD"/>
    <n v="-33642.089999999997"/>
    <s v="83.95000"/>
    <s v="BDT"/>
    <n v="-2824253.45"/>
    <n v="-33642.089999999997"/>
    <s v="33642.09_1"/>
    <s v=""/>
    <s v="C3291UQ21PH0405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311"/>
    <x v="190"/>
    <d v="2020-09-19T00:00:00"/>
    <d v="2020-10-13T00:00:00"/>
    <s v="RV"/>
    <s v="USD"/>
    <n v="-33624.019999999997"/>
    <s v="83.95000"/>
    <s v="BDT"/>
    <n v="-2822736.48"/>
    <n v="-33624.019999999997"/>
    <s v="33624.02_1"/>
    <s v=""/>
    <s v="C3133SB20UK0843"/>
    <s v="20200919"/>
    <s v=""/>
    <s v=""/>
    <s v="0"/>
    <s v=""/>
    <s v=""/>
    <s v=""/>
    <s v=""/>
    <s v="2010100001"/>
    <s v=""/>
    <m/>
    <s v=""/>
    <s v=""/>
    <s v=""/>
    <n v="0"/>
  </r>
  <r>
    <s v=""/>
    <s v="40101001"/>
    <s v="2018001064"/>
    <x v="111"/>
    <d v="2021-03-11T00:00:00"/>
    <d v="2021-03-16T00:00:00"/>
    <s v="RV"/>
    <s v="USD"/>
    <n v="-33609.1"/>
    <s v="83.95000"/>
    <s v="BDT"/>
    <n v="-2821483.95"/>
    <n v="-33609.1"/>
    <s v="33609.1_1"/>
    <s v=""/>
    <s v="C3290UQ21HAK0289"/>
    <s v="20210311"/>
    <s v=""/>
    <s v=""/>
    <s v="0"/>
    <s v=""/>
    <s v=""/>
    <s v=""/>
    <s v=""/>
    <s v="2010100001"/>
    <s v=""/>
    <m/>
    <s v=""/>
    <s v=""/>
    <s v=""/>
    <n v="0"/>
  </r>
  <r>
    <s v=""/>
    <s v="40101001"/>
    <s v="2018001057"/>
    <x v="191"/>
    <d v="2021-03-08T00:00:00"/>
    <d v="2021-03-13T00:00:00"/>
    <s v="RV"/>
    <s v="USD"/>
    <n v="-33562.080000000002"/>
    <s v="83.95000"/>
    <s v="BDT"/>
    <n v="-2817536.62"/>
    <n v="-33562.080000000002"/>
    <s v="33562.08_1"/>
    <s v=""/>
    <s v="C3254UQ21NAG0283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0891"/>
    <x v="44"/>
    <d v="2021-01-28T00:00:00"/>
    <d v="2021-02-04T00:00:00"/>
    <s v="RV"/>
    <s v="USD"/>
    <n v="-33554.65"/>
    <s v="83.95000"/>
    <s v="BDT"/>
    <n v="-2816912.87"/>
    <n v="-33554.65"/>
    <s v="33554.65_1"/>
    <s v=""/>
    <s v="C3253UQ20ID1415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1509"/>
    <x v="88"/>
    <d v="2021-06-11T00:00:00"/>
    <d v="2021-06-17T00:00:00"/>
    <s v="RV"/>
    <s v="USD"/>
    <n v="-33429.17"/>
    <s v="83.95000"/>
    <s v="BDT"/>
    <n v="-2806378.82"/>
    <n v="-33429.17"/>
    <s v="33429.17_1"/>
    <s v=""/>
    <s v="C3280LVUS0699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616"/>
    <x v="22"/>
    <d v="2020-12-02T00:00:00"/>
    <d v="2020-12-09T00:00:00"/>
    <s v="RV"/>
    <s v="USD"/>
    <n v="-33415.879999999997"/>
    <s v="83.95000"/>
    <s v="BDT"/>
    <n v="-2805263.13"/>
    <n v="-33415.879999999997"/>
    <s v="33415.88_1"/>
    <s v=""/>
    <s v="C3232UQ20NAG1242"/>
    <s v="20201202"/>
    <s v=""/>
    <s v=""/>
    <s v="0"/>
    <s v=""/>
    <s v=""/>
    <s v=""/>
    <s v=""/>
    <s v="2010100001"/>
    <s v=""/>
    <m/>
    <s v=""/>
    <s v=""/>
    <s v=""/>
    <n v="0"/>
  </r>
  <r>
    <s v=""/>
    <s v="40101001"/>
    <s v="2018000329"/>
    <x v="182"/>
    <d v="2020-10-13T00:00:00"/>
    <d v="2020-10-17T00:00:00"/>
    <s v="RV"/>
    <s v="USD"/>
    <n v="-33306.660000000003"/>
    <s v="83.95000"/>
    <s v="BDT"/>
    <n v="-2796094.11"/>
    <n v="-33306.660000000003"/>
    <s v="33306.66_1"/>
    <s v=""/>
    <s v="C3171UQ20HAK0972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0405"/>
    <x v="23"/>
    <d v="2020-10-31T00:00:00"/>
    <d v="2020-11-03T00:00:00"/>
    <s v="RV"/>
    <s v="USD"/>
    <n v="-33299.47"/>
    <s v="83.95000"/>
    <s v="BDT"/>
    <n v="-2795490.51"/>
    <n v="-33299.47"/>
    <s v="33299.47_1"/>
    <s v=""/>
    <s v="C3210UQ20OSA1033"/>
    <s v="20201031"/>
    <s v=""/>
    <s v=""/>
    <s v="0"/>
    <s v=""/>
    <s v=""/>
    <s v=""/>
    <s v=""/>
    <s v="2010100001"/>
    <s v=""/>
    <m/>
    <s v=""/>
    <s v=""/>
    <s v=""/>
    <n v="0"/>
  </r>
  <r>
    <s v=""/>
    <s v="40101001"/>
    <s v="2018000990"/>
    <x v="72"/>
    <d v="2021-02-16T00:00:00"/>
    <d v="2021-02-25T00:00:00"/>
    <s v="RV"/>
    <s v="USD"/>
    <n v="-33283.769999999997"/>
    <s v="83.95000"/>
    <s v="BDT"/>
    <n v="-2794172.49"/>
    <n v="-33283.769999999997"/>
    <s v="33283.77_1"/>
    <s v=""/>
    <s v="C3244LVUS0196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261"/>
    <x v="133"/>
    <d v="2020-09-21T00:00:00"/>
    <d v="2020-09-26T00:00:00"/>
    <s v="RV"/>
    <s v="USD"/>
    <n v="-33275.06"/>
    <s v="83.95000"/>
    <s v="BDT"/>
    <n v="-2793441.29"/>
    <n v="-33275.06"/>
    <s v="33275.06_1"/>
    <s v=""/>
    <s v="C3159UQ20TOK0900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1370"/>
    <x v="56"/>
    <d v="2021-05-13T00:00:00"/>
    <d v="2021-05-20T00:00:00"/>
    <s v="RV"/>
    <s v="USD"/>
    <n v="-33195.42"/>
    <s v="83.95000"/>
    <s v="BDT"/>
    <n v="-2786755.51"/>
    <n v="-33195.42"/>
    <s v="33195.42_1"/>
    <s v=""/>
    <s v="C3309UQ21TOK0590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625"/>
    <x v="26"/>
    <d v="2020-12-07T00:00:00"/>
    <d v="2020-12-13T00:00:00"/>
    <s v="RV"/>
    <s v="USD"/>
    <n v="-33103.32"/>
    <s v="83.95000"/>
    <s v="BDT"/>
    <n v="-2779023.71"/>
    <n v="-33103.32"/>
    <s v="33103.32_1"/>
    <s v=""/>
    <s v="C3168UQ20NAG1259"/>
    <s v="20201207"/>
    <s v=""/>
    <s v=""/>
    <s v="0"/>
    <s v=""/>
    <s v=""/>
    <s v=""/>
    <s v=""/>
    <s v="2010100001"/>
    <s v=""/>
    <m/>
    <s v=""/>
    <s v=""/>
    <s v=""/>
    <n v="0"/>
  </r>
  <r>
    <s v=""/>
    <s v="40101001"/>
    <s v="2018001115"/>
    <x v="177"/>
    <d v="2021-03-23T00:00:00"/>
    <d v="2021-03-28T00:00:00"/>
    <s v="RV"/>
    <s v="USD"/>
    <n v="-33078.79"/>
    <s v="83.95000"/>
    <s v="BDT"/>
    <n v="-2776964.43"/>
    <n v="-33078.79"/>
    <s v="33078.79_1"/>
    <s v=""/>
    <s v="C3173AMZLB0379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1410"/>
    <x v="157"/>
    <d v="2021-05-19T00:00:00"/>
    <d v="2021-05-25T00:00:00"/>
    <s v="RV"/>
    <s v="USD"/>
    <n v="-33014.19"/>
    <s v="83.95000"/>
    <s v="BDT"/>
    <n v="-2771541.25"/>
    <n v="-33014.19"/>
    <s v="33014.19_1"/>
    <s v=""/>
    <s v="C3195AMZLB068121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0455"/>
    <x v="18"/>
    <d v="2020-11-05T00:00:00"/>
    <d v="2020-11-14T00:00:00"/>
    <s v="RV"/>
    <s v="USD"/>
    <n v="-32943.07"/>
    <s v="83.95000"/>
    <s v="BDT"/>
    <n v="-2765570.72"/>
    <n v="-32943.07"/>
    <s v="32943.07_1"/>
    <s v=""/>
    <s v="C3205UQ20SG107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264"/>
    <x v="63"/>
    <d v="2020-09-24T00:00:00"/>
    <d v="2020-09-26T00:00:00"/>
    <s v="RV"/>
    <s v="USD"/>
    <n v="-32889.019999999997"/>
    <s v="83.95000"/>
    <s v="BDT"/>
    <n v="-2761033.23"/>
    <n v="-32889.019999999997"/>
    <s v="32889.02_1"/>
    <s v=""/>
    <s v="C3171UQ20NAG0898"/>
    <s v="20200924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32882.51"/>
    <s v="83.95000"/>
    <s v="BDT"/>
    <n v="-2760486.71"/>
    <n v="-32882.51"/>
    <s v="32882.51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960"/>
    <x v="66"/>
    <d v="2021-02-12T00:00:00"/>
    <d v="2021-02-16T00:00:00"/>
    <s v="RV"/>
    <s v="USD"/>
    <n v="-32861.300000000003"/>
    <s v="83.95000"/>
    <s v="BDT"/>
    <n v="-2758706.14"/>
    <n v="-32861.300000000003"/>
    <s v="32861.3_1"/>
    <s v=""/>
    <s v="C3290UQ21YOK0189"/>
    <s v="20210212"/>
    <s v=""/>
    <s v=""/>
    <s v="0"/>
    <s v=""/>
    <s v=""/>
    <s v=""/>
    <s v=""/>
    <s v="2010100001"/>
    <s v=""/>
    <m/>
    <s v=""/>
    <s v=""/>
    <s v=""/>
    <n v="0"/>
  </r>
  <r>
    <s v=""/>
    <s v="40101001"/>
    <s v="2018000399"/>
    <x v="23"/>
    <d v="2020-10-31T00:00:00"/>
    <d v="2020-11-03T00:00:00"/>
    <s v="RV"/>
    <s v="USD"/>
    <n v="-32784.61"/>
    <s v="83.95000"/>
    <s v="BDT"/>
    <n v="-2752268.01"/>
    <n v="-32784.61"/>
    <s v="32784.61_1"/>
    <s v=""/>
    <s v="C3171UQ20TOK1037"/>
    <s v="20201031"/>
    <s v=""/>
    <s v=""/>
    <s v="0"/>
    <s v=""/>
    <s v=""/>
    <s v=""/>
    <s v=""/>
    <s v="2010100001"/>
    <s v=""/>
    <m/>
    <s v=""/>
    <s v=""/>
    <s v=""/>
    <n v="0"/>
  </r>
  <r>
    <s v=""/>
    <s v="40101001"/>
    <s v="2018001392"/>
    <x v="51"/>
    <d v="2021-05-08T00:00:00"/>
    <d v="2021-05-24T00:00:00"/>
    <s v="RV"/>
    <s v="USD"/>
    <n v="-32678.22"/>
    <s v="83.95000"/>
    <s v="BDT"/>
    <n v="-2743336.57"/>
    <n v="-32678.22"/>
    <s v="32678.22_1"/>
    <s v=""/>
    <s v="C3271UQ21KR0619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253"/>
    <x v="121"/>
    <d v="2020-09-11T00:00:00"/>
    <d v="2020-09-24T00:00:00"/>
    <s v="RV"/>
    <s v="USD"/>
    <n v="-32583.75"/>
    <s v="83.95000"/>
    <s v="BDT"/>
    <n v="-2735405.81"/>
    <n v="-32583.75"/>
    <s v="32583.75_1"/>
    <s v=""/>
    <s v="C3099LVUS082720"/>
    <s v="20200911"/>
    <s v=""/>
    <s v=""/>
    <s v="0"/>
    <s v=""/>
    <s v=""/>
    <s v=""/>
    <s v=""/>
    <s v="2010100001"/>
    <s v=""/>
    <m/>
    <s v=""/>
    <s v=""/>
    <s v=""/>
    <n v="0"/>
  </r>
  <r>
    <s v=""/>
    <s v="40101001"/>
    <s v="2018000782"/>
    <x v="188"/>
    <d v="2021-01-01T00:00:00"/>
    <d v="2021-01-07T00:00:00"/>
    <s v="RV"/>
    <s v="USD"/>
    <n v="-32582.87"/>
    <s v="83.95000"/>
    <s v="BDT"/>
    <n v="-2735331.94"/>
    <n v="-32582.87"/>
    <s v="32582.87_1"/>
    <s v=""/>
    <s v="C3236LVUS138920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1258"/>
    <x v="192"/>
    <d v="2021-04-25T00:00:00"/>
    <d v="2021-04-29T00:00:00"/>
    <s v="RV"/>
    <s v="USD"/>
    <n v="-32482.45"/>
    <s v="83.95000"/>
    <s v="BDT"/>
    <n v="-2726901.68"/>
    <n v="-32482.45"/>
    <s v="32482.45_1"/>
    <s v=""/>
    <s v="C3279LVUS0475-21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1156"/>
    <x v="112"/>
    <d v="2021-03-24T00:00:00"/>
    <d v="2021-04-01T00:00:00"/>
    <s v="RV"/>
    <s v="USD"/>
    <n v="-32454.44"/>
    <s v="83.95000"/>
    <s v="BDT"/>
    <n v="-2724550.24"/>
    <n v="-32454.44"/>
    <s v="32454.44_1"/>
    <s v=""/>
    <s v="C3318UQ21OSA0366"/>
    <s v="20210324"/>
    <s v=""/>
    <s v=""/>
    <s v="0"/>
    <s v=""/>
    <s v=""/>
    <s v=""/>
    <s v=""/>
    <s v="2010100001"/>
    <s v=""/>
    <m/>
    <s v=""/>
    <s v=""/>
    <s v=""/>
    <n v="0"/>
  </r>
  <r>
    <s v=""/>
    <s v="40101001"/>
    <s v="2018000609"/>
    <x v="193"/>
    <d v="2020-12-03T00:00:00"/>
    <d v="2020-12-09T00:00:00"/>
    <s v="RV"/>
    <s v="USD"/>
    <n v="-32454.240000000002"/>
    <s v="83.95000"/>
    <s v="BDT"/>
    <n v="-2724533.45"/>
    <n v="-32454.240000000002"/>
    <s v="32454.24_1"/>
    <s v=""/>
    <s v="C3233UQ20TOK125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1543"/>
    <x v="75"/>
    <d v="2021-06-17T00:00:00"/>
    <d v="2021-06-21T00:00:00"/>
    <s v="RV"/>
    <s v="USD"/>
    <n v="-32447.77"/>
    <s v="83.95000"/>
    <s v="BDT"/>
    <n v="-2723990.29"/>
    <n v="-32447.77"/>
    <s v="32447.77_1"/>
    <s v=""/>
    <s v="C3270LVGR0789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391"/>
    <x v="194"/>
    <d v="2021-05-21T00:00:00"/>
    <d v="2021-05-24T00:00:00"/>
    <s v="RV"/>
    <s v="USD"/>
    <n v="-32437.06"/>
    <s v="83.95000"/>
    <s v="BDT"/>
    <n v="-2723091.19"/>
    <n v="-32437.06"/>
    <s v="32437.06_1"/>
    <s v=""/>
    <s v="C3283LVUS0647-21"/>
    <s v="20210521"/>
    <s v=""/>
    <s v=""/>
    <s v="0"/>
    <s v=""/>
    <s v=""/>
    <s v=""/>
    <s v=""/>
    <s v="2010100001"/>
    <s v=""/>
    <m/>
    <s v=""/>
    <s v=""/>
    <s v=""/>
    <n v="0"/>
  </r>
  <r>
    <s v=""/>
    <s v="40101001"/>
    <s v="2018001111"/>
    <x v="89"/>
    <d v="2021-03-21T00:00:00"/>
    <d v="2021-03-28T00:00:00"/>
    <s v="RV"/>
    <s v="USD"/>
    <n v="-32376.5"/>
    <s v="83.95000"/>
    <s v="BDT"/>
    <n v="-2718007.18"/>
    <n v="-32376.5"/>
    <s v="32376.5_1"/>
    <s v=""/>
    <s v="C3262LVUS0304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266"/>
    <x v="49"/>
    <d v="2021-04-24T00:00:00"/>
    <d v="2021-05-02T00:00:00"/>
    <s v="RV"/>
    <s v="USD"/>
    <n v="-32351.29"/>
    <s v="83.95000"/>
    <s v="BDT"/>
    <n v="-2715890.8"/>
    <n v="-32351.29"/>
    <s v="32351.29_1"/>
    <s v=""/>
    <s v="C03138DN21IR0456"/>
    <s v="20210424"/>
    <s v=""/>
    <s v=""/>
    <s v="0"/>
    <s v=""/>
    <s v=""/>
    <s v=""/>
    <s v=""/>
    <s v="2010100001"/>
    <s v=""/>
    <m/>
    <s v=""/>
    <s v=""/>
    <s v=""/>
    <n v="0"/>
  </r>
  <r>
    <s v=""/>
    <s v="40101001"/>
    <s v="2018001114"/>
    <x v="89"/>
    <d v="2021-03-21T00:00:00"/>
    <d v="2021-03-28T00:00:00"/>
    <s v="RV"/>
    <s v="USD"/>
    <n v="-32257.919999999998"/>
    <s v="83.95000"/>
    <s v="BDT"/>
    <n v="-2708052.39"/>
    <n v="-32257.919999999998"/>
    <s v="32257.92_1"/>
    <s v=""/>
    <s v="C3262LVUS0306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086"/>
    <x v="41"/>
    <d v="2020-07-26T00:00:00"/>
    <d v="2020-07-29T00:00:00"/>
    <s v="RV"/>
    <s v="USD"/>
    <n v="-32086.53"/>
    <s v="83.95000"/>
    <s v="BDT"/>
    <n v="-2693664.19"/>
    <n v="-32086.53"/>
    <s v="32086.53_1"/>
    <s v=""/>
    <s v="C3126UQ20MEL0673"/>
    <s v="20200726"/>
    <s v=""/>
    <s v=""/>
    <s v="0"/>
    <s v=""/>
    <s v=""/>
    <s v=""/>
    <s v=""/>
    <s v="2010100001"/>
    <s v=""/>
    <m/>
    <s v=""/>
    <s v=""/>
    <s v=""/>
    <n v="0"/>
  </r>
  <r>
    <s v=""/>
    <s v="40101001"/>
    <s v="2018000993"/>
    <x v="72"/>
    <d v="2021-02-16T00:00:00"/>
    <d v="2021-02-25T00:00:00"/>
    <s v="RV"/>
    <s v="USD"/>
    <n v="-32045.56"/>
    <s v="83.95000"/>
    <s v="BDT"/>
    <n v="-2690224.76"/>
    <n v="-32045.56"/>
    <s v="32045.56_1"/>
    <s v=""/>
    <s v="C3248LVUS0201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602"/>
    <x v="195"/>
    <d v="2021-06-28T00:00:00"/>
    <d v="2021-06-30T00:00:00"/>
    <s v="RV"/>
    <s v="USD"/>
    <n v="-32021.72"/>
    <s v="83.95000"/>
    <s v="BDT"/>
    <n v="-2688223.39"/>
    <n v="-32021.72"/>
    <s v="32021.72_1"/>
    <s v=""/>
    <s v="C3311LVUS0875-21"/>
    <s v="20210628"/>
    <s v=""/>
    <s v=""/>
    <s v="0"/>
    <s v=""/>
    <s v=""/>
    <s v=""/>
    <s v=""/>
    <s v="2010100001"/>
    <s v=""/>
    <m/>
    <s v=""/>
    <s v=""/>
    <s v=""/>
    <n v="0"/>
  </r>
  <r>
    <s v=""/>
    <s v="40101001"/>
    <s v="2018000411"/>
    <x v="146"/>
    <d v="2020-11-02T00:00:00"/>
    <d v="2020-11-04T00:00:00"/>
    <s v="RV"/>
    <s v="USD"/>
    <n v="-32003.54"/>
    <s v="83.95000"/>
    <s v="BDT"/>
    <n v="-2686697.19"/>
    <n v="-32003.54"/>
    <s v="32003.54_1"/>
    <s v=""/>
    <s v="C3215UQ20OSA1073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1500"/>
    <x v="196"/>
    <d v="2021-06-05T00:00:00"/>
    <d v="2021-06-17T00:00:00"/>
    <s v="RV"/>
    <s v="USD"/>
    <n v="-32002.05"/>
    <s v="83.95000"/>
    <s v="BDT"/>
    <n v="-2686572.1"/>
    <n v="-32002.05"/>
    <s v="32002.05_1"/>
    <s v=""/>
    <s v="C3352UQ21TW0675"/>
    <s v="20210605"/>
    <s v=""/>
    <s v=""/>
    <s v="0"/>
    <s v=""/>
    <s v=""/>
    <s v=""/>
    <s v=""/>
    <s v="2010100001"/>
    <s v=""/>
    <m/>
    <s v=""/>
    <s v=""/>
    <s v=""/>
    <n v="0"/>
  </r>
  <r>
    <s v=""/>
    <s v="40101001"/>
    <s v="2018000965"/>
    <x v="99"/>
    <d v="2021-02-11T00:00:00"/>
    <d v="2021-02-16T00:00:00"/>
    <s v="RV"/>
    <s v="USD"/>
    <n v="-31832.75"/>
    <s v="83.95000"/>
    <s v="BDT"/>
    <n v="-2672359.36"/>
    <n v="-31832.75"/>
    <s v="31832.75_1"/>
    <s v=""/>
    <s v="C3307UQ21MEL0142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1509"/>
    <x v="88"/>
    <d v="2021-06-11T00:00:00"/>
    <d v="2021-06-17T00:00:00"/>
    <s v="RV"/>
    <s v="USD"/>
    <n v="-31768.13"/>
    <s v="83.95000"/>
    <s v="BDT"/>
    <n v="-2666934.5099999998"/>
    <n v="-31768.13"/>
    <s v="31768.13_1"/>
    <s v=""/>
    <s v="C3280LVUS0699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853"/>
    <x v="197"/>
    <d v="2021-01-23T00:00:00"/>
    <d v="2021-01-30T00:00:00"/>
    <s v="RV"/>
    <s v="USD"/>
    <n v="-31740.959999999999"/>
    <s v="83.95000"/>
    <s v="BDT"/>
    <n v="-2664653.59"/>
    <n v="-31740.959999999999"/>
    <s v="31740.96_1"/>
    <s v=""/>
    <s v="C3247UQ21NAG0040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663"/>
    <x v="19"/>
    <d v="2020-12-16T00:00:00"/>
    <d v="2020-12-22T00:00:00"/>
    <s v="RV"/>
    <s v="USD"/>
    <n v="-31688.82"/>
    <s v="83.95000"/>
    <s v="BDT"/>
    <n v="-2660276.44"/>
    <n v="-31688.82"/>
    <s v="31688.82_1"/>
    <s v=""/>
    <s v="C3100LVGR13122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539"/>
    <x v="34"/>
    <d v="2020-11-23T00:00:00"/>
    <d v="2020-11-26T00:00:00"/>
    <s v="RV"/>
    <s v="USD"/>
    <n v="-31599.49"/>
    <s v="83.95000"/>
    <s v="BDT"/>
    <n v="-2652777.19"/>
    <n v="-31599.49"/>
    <s v="31599.49_1"/>
    <s v=""/>
    <s v="C3210UQ20TOK1163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356"/>
    <x v="98"/>
    <d v="2020-10-21T00:00:00"/>
    <d v="2020-10-26T00:00:00"/>
    <s v="RV"/>
    <s v="USD"/>
    <n v="-31583.13"/>
    <s v="83.95000"/>
    <s v="BDT"/>
    <n v="-2651403.77"/>
    <n v="-31583.13"/>
    <s v="31583.13_1"/>
    <s v=""/>
    <s v="C3205UQ20EU0976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1111"/>
    <x v="89"/>
    <d v="2021-03-21T00:00:00"/>
    <d v="2021-03-28T00:00:00"/>
    <s v="RV"/>
    <s v="USD"/>
    <n v="-31558.65"/>
    <s v="83.95000"/>
    <s v="BDT"/>
    <n v="-2649348.67"/>
    <n v="-31558.65"/>
    <s v="31558.65_1"/>
    <s v=""/>
    <s v="C3262LVUS0304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193"/>
    <x v="144"/>
    <d v="2021-04-01T00:00:00"/>
    <d v="2021-04-08T00:00:00"/>
    <s v="RV"/>
    <s v="USD"/>
    <n v="-31556.75"/>
    <s v="83.95000"/>
    <s v="BDT"/>
    <n v="-2649189.17"/>
    <n v="-31556.75"/>
    <s v="31556.75_1"/>
    <s v=""/>
    <s v="C3252LVUS0414-21"/>
    <s v="20210401"/>
    <s v=""/>
    <s v=""/>
    <s v="0"/>
    <s v=""/>
    <s v=""/>
    <s v=""/>
    <s v=""/>
    <s v="2010100001"/>
    <s v=""/>
    <m/>
    <s v=""/>
    <s v=""/>
    <s v=""/>
    <n v="0"/>
  </r>
  <r>
    <s v=""/>
    <s v="40101001"/>
    <s v="2018001626"/>
    <x v="93"/>
    <d v="2021-06-29T00:00:00"/>
    <d v="2021-07-07T00:00:00"/>
    <s v="RV"/>
    <s v="USD"/>
    <n v="-31552.06"/>
    <s v="83.95000"/>
    <s v="BDT"/>
    <n v="-2648795.44"/>
    <n v="-31552.06"/>
    <s v="31552.06_1"/>
    <s v=""/>
    <s v="C3277LVJP0877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1194"/>
    <x v="198"/>
    <d v="2021-04-02T00:00:00"/>
    <d v="2021-04-08T00:00:00"/>
    <s v="RV"/>
    <s v="USD"/>
    <n v="-31539.45"/>
    <s v="83.95000"/>
    <s v="BDT"/>
    <n v="-2647736.83"/>
    <n v="-31539.45"/>
    <s v="31539.45_1"/>
    <s v=""/>
    <s v="C3291UQ21SG0422"/>
    <s v="20210402"/>
    <s v=""/>
    <s v=""/>
    <s v="0"/>
    <s v=""/>
    <s v=""/>
    <s v=""/>
    <s v=""/>
    <s v="2010100001"/>
    <s v=""/>
    <m/>
    <s v=""/>
    <s v=""/>
    <s v=""/>
    <n v="0"/>
  </r>
  <r>
    <s v=""/>
    <s v="40101001"/>
    <s v="2018000473"/>
    <x v="110"/>
    <d v="2020-11-08T00:00:00"/>
    <d v="2020-11-14T00:00:00"/>
    <s v="RV"/>
    <s v="USD"/>
    <n v="-31513.66"/>
    <s v="83.95000"/>
    <s v="BDT"/>
    <n v="-2645571.7599999998"/>
    <n v="-31513.66"/>
    <s v="31513.66_1"/>
    <s v=""/>
    <s v="C3205UQ20MY1069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1549"/>
    <x v="75"/>
    <d v="2021-06-17T00:00:00"/>
    <d v="2021-06-23T00:00:00"/>
    <s v="RV"/>
    <s v="USD"/>
    <n v="-31440.959999999999"/>
    <s v="83.95000"/>
    <s v="BDT"/>
    <n v="-2639468.59"/>
    <n v="-31440.959999999999"/>
    <s v="31440.96_1"/>
    <s v=""/>
    <s v="C3343UQ21YOK0810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395"/>
    <x v="13"/>
    <d v="2020-10-22T00:00:00"/>
    <d v="2020-11-03T00:00:00"/>
    <s v="RV"/>
    <s v="USD"/>
    <n v="-31392.22"/>
    <s v="83.95000"/>
    <s v="BDT"/>
    <n v="-2635376.87"/>
    <n v="-31392.22"/>
    <s v="31392.22_1"/>
    <s v=""/>
    <s v="C03138DN20IR0978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0417"/>
    <x v="67"/>
    <d v="2020-10-27T00:00:00"/>
    <d v="2020-11-07T00:00:00"/>
    <s v="RV"/>
    <s v="USD"/>
    <n v="-31392.22"/>
    <s v="83.95000"/>
    <s v="BDT"/>
    <n v="-2635376.87"/>
    <n v="-31392.22"/>
    <s v="31392.22_2"/>
    <s v=""/>
    <s v="C03138DN20IR0999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0760"/>
    <x v="70"/>
    <d v="2020-12-27T00:00:00"/>
    <d v="2021-01-05T00:00:00"/>
    <s v="RV"/>
    <s v="USD"/>
    <n v="-31392.22"/>
    <s v="83.95000"/>
    <s v="BDT"/>
    <n v="-2635376.87"/>
    <n v="-31392.22"/>
    <s v="31392.22_3"/>
    <s v=""/>
    <s v="C03138DN20IR1373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284"/>
    <x v="166"/>
    <d v="2020-09-27T00:00:00"/>
    <d v="2020-10-03T00:00:00"/>
    <s v="RV"/>
    <s v="USD"/>
    <n v="-31392.21"/>
    <s v="83.95000"/>
    <s v="BDT"/>
    <n v="-2635376.0299999998"/>
    <n v="-31392.21"/>
    <s v="31392.21_1"/>
    <s v=""/>
    <s v="C03138DN20IR0869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18000204"/>
    <x v="124"/>
    <d v="2020-08-30T00:00:00"/>
    <d v="2020-09-10T00:00:00"/>
    <s v="RV"/>
    <s v="USD"/>
    <n v="-31384.7"/>
    <s v="83.95000"/>
    <s v="BDT"/>
    <n v="-2634745.5699999998"/>
    <n v="-31384.7"/>
    <s v="31384.7_1"/>
    <s v=""/>
    <s v="C03138DN20IR0762"/>
    <s v="20200830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31335.49"/>
    <s v="83.95000"/>
    <s v="BDT"/>
    <n v="-2630614.39"/>
    <n v="-31335.49"/>
    <s v="31335.49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266"/>
    <x v="82"/>
    <d v="2020-09-22T00:00:00"/>
    <d v="2020-09-26T00:00:00"/>
    <s v="RV"/>
    <s v="USD"/>
    <n v="-31307"/>
    <s v="83.95000"/>
    <s v="BDT"/>
    <n v="-2628222.65"/>
    <n v="-31307"/>
    <s v="31307_1"/>
    <s v=""/>
    <s v="C3208UQ20HK0901"/>
    <s v="20200922"/>
    <s v=""/>
    <s v=""/>
    <s v="0"/>
    <s v=""/>
    <s v=""/>
    <s v=""/>
    <s v=""/>
    <s v="2010100001"/>
    <s v=""/>
    <m/>
    <s v=""/>
    <s v=""/>
    <s v=""/>
    <n v="0"/>
  </r>
  <r>
    <s v=""/>
    <s v="40101001"/>
    <s v="2018001464"/>
    <x v="127"/>
    <d v="2021-06-04T00:00:00"/>
    <d v="2021-06-10T00:00:00"/>
    <s v="RV"/>
    <s v="USD"/>
    <n v="-31290.25"/>
    <s v="83.95000"/>
    <s v="BDT"/>
    <n v="-2626816.4900000002"/>
    <n v="-31290.25"/>
    <s v="31290.25_1"/>
    <s v=""/>
    <s v="C3281LVUS0696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0336"/>
    <x v="199"/>
    <d v="2020-10-15T00:00:00"/>
    <d v="2020-10-22T00:00:00"/>
    <s v="RV"/>
    <s v="USD"/>
    <n v="-31273.27"/>
    <s v="83.95000"/>
    <s v="BDT"/>
    <n v="-2625391.02"/>
    <n v="-31273.27"/>
    <s v="31273.27_1"/>
    <s v=""/>
    <s v="C3104LVGR094020"/>
    <s v="20201015"/>
    <s v=""/>
    <s v=""/>
    <s v="0"/>
    <s v=""/>
    <s v=""/>
    <s v=""/>
    <s v=""/>
    <s v="2010100001"/>
    <s v=""/>
    <m/>
    <s v=""/>
    <s v=""/>
    <s v=""/>
    <n v="0"/>
  </r>
  <r>
    <s v=""/>
    <s v="40101001"/>
    <s v="2018000268"/>
    <x v="200"/>
    <d v="2020-09-25T00:00:00"/>
    <d v="2020-09-29T00:00:00"/>
    <s v="RV"/>
    <s v="USD"/>
    <n v="-31208.16"/>
    <s v="83.95000"/>
    <s v="BDT"/>
    <n v="-2619925.0299999998"/>
    <n v="-31208.16"/>
    <s v="31208.16_1"/>
    <s v=""/>
    <s v="C3208UQ20HK0903"/>
    <s v="20200925"/>
    <s v=""/>
    <s v=""/>
    <s v="0"/>
    <s v=""/>
    <s v=""/>
    <s v=""/>
    <s v=""/>
    <s v="2010100001"/>
    <s v=""/>
    <m/>
    <s v=""/>
    <s v=""/>
    <s v=""/>
    <n v="0"/>
  </r>
  <r>
    <s v=""/>
    <s v="40101001"/>
    <s v="2018000033"/>
    <x v="113"/>
    <d v="2020-07-02T00:00:00"/>
    <d v="2020-07-18T00:00:00"/>
    <s v="RV"/>
    <s v="USD"/>
    <n v="-31147.08"/>
    <s v="83.95000"/>
    <s v="BDT"/>
    <n v="-2614797.37"/>
    <n v="-31147.08"/>
    <s v="31147.08_1"/>
    <s v=""/>
    <s v="C3128UQ20SHA0534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0222"/>
    <x v="45"/>
    <d v="2020-09-09T00:00:00"/>
    <d v="2020-09-14T00:00:00"/>
    <s v="RV"/>
    <s v="USD"/>
    <n v="-31117.56"/>
    <s v="83.95000"/>
    <s v="BDT"/>
    <n v="-2612319.16"/>
    <n v="-31117.56"/>
    <s v="31117.56_1"/>
    <s v=""/>
    <s v="C3151UQ20NAG0791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0520"/>
    <x v="186"/>
    <d v="2020-11-20T00:00:00"/>
    <d v="2020-11-24T00:00:00"/>
    <s v="RV"/>
    <s v="USD"/>
    <n v="-30975.72"/>
    <s v="83.95000"/>
    <s v="BDT"/>
    <n v="-2600411.6800000002"/>
    <n v="-30975.72"/>
    <s v="30975.72_1"/>
    <s v=""/>
    <s v="C3148LVCL116920"/>
    <s v="20201120"/>
    <s v=""/>
    <s v=""/>
    <s v="0"/>
    <s v=""/>
    <s v=""/>
    <s v=""/>
    <s v=""/>
    <s v="2010100001"/>
    <s v=""/>
    <m/>
    <s v=""/>
    <s v=""/>
    <s v=""/>
    <n v="0"/>
  </r>
  <r>
    <s v=""/>
    <s v="40101001"/>
    <s v="2018001056"/>
    <x v="167"/>
    <d v="2021-03-09T00:00:00"/>
    <d v="2021-03-13T00:00:00"/>
    <s v="RV"/>
    <s v="USD"/>
    <n v="-30890.98"/>
    <s v="83.95000"/>
    <s v="BDT"/>
    <n v="-2593297.77"/>
    <n v="-30890.98"/>
    <s v="30890.98_1"/>
    <s v=""/>
    <s v="C3242LVUS0279-21"/>
    <s v="20210309"/>
    <s v=""/>
    <s v=""/>
    <s v="0"/>
    <s v=""/>
    <s v=""/>
    <s v=""/>
    <s v=""/>
    <s v="2010100001"/>
    <s v=""/>
    <m/>
    <s v=""/>
    <s v=""/>
    <s v=""/>
    <n v="0"/>
  </r>
  <r>
    <s v=""/>
    <s v="40101001"/>
    <s v="2018000400"/>
    <x v="67"/>
    <d v="2020-10-27T00:00:00"/>
    <d v="2020-11-03T00:00:00"/>
    <s v="RV"/>
    <s v="USD"/>
    <n v="-30875.32"/>
    <s v="83.95000"/>
    <s v="BDT"/>
    <n v="-2591983.11"/>
    <n v="-30875.32"/>
    <s v="30875.32_1"/>
    <s v=""/>
    <s v="C3205UQ20SHA1004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0738"/>
    <x v="155"/>
    <d v="2020-12-17T00:00:00"/>
    <d v="2021-01-03T00:00:00"/>
    <s v="RV"/>
    <s v="USD"/>
    <n v="-30732.47"/>
    <s v="83.95000"/>
    <s v="BDT"/>
    <n v="-2579990.86"/>
    <n v="-30732.47"/>
    <s v="30732.47_1"/>
    <s v=""/>
    <s v="C3140LVUS1311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391"/>
    <x v="201"/>
    <d v="2020-10-28T00:00:00"/>
    <d v="2020-11-02T00:00:00"/>
    <s v="RV"/>
    <s v="USD"/>
    <n v="-30601.5"/>
    <s v="83.95000"/>
    <s v="BDT"/>
    <n v="-2568995.9300000002"/>
    <n v="-30601.5"/>
    <s v="30601.5_1"/>
    <s v=""/>
    <s v="C3103LVUS1011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0940"/>
    <x v="73"/>
    <d v="2021-02-08T00:00:00"/>
    <d v="2021-02-14T00:00:00"/>
    <s v="RV"/>
    <s v="USD"/>
    <n v="-30534.84"/>
    <s v="83.95000"/>
    <s v="BDT"/>
    <n v="-2563399.8199999998"/>
    <n v="-30534.84"/>
    <s v="30534.84_1"/>
    <s v=""/>
    <s v="C3260UQ21YOK0180"/>
    <s v="20210208"/>
    <s v=""/>
    <s v=""/>
    <s v="0"/>
    <s v=""/>
    <s v=""/>
    <s v=""/>
    <s v=""/>
    <s v="2010100001"/>
    <s v=""/>
    <m/>
    <s v=""/>
    <s v=""/>
    <s v=""/>
    <n v="0"/>
  </r>
  <r>
    <s v=""/>
    <s v="40101001"/>
    <s v="2018000420"/>
    <x v="98"/>
    <d v="2020-10-21T00:00:00"/>
    <d v="2020-11-07T00:00:00"/>
    <s v="RV"/>
    <s v="USD"/>
    <n v="-30519.75"/>
    <s v="83.95000"/>
    <s v="BDT"/>
    <n v="-2562133.0099999998"/>
    <n v="-30519.75"/>
    <s v="30519.75_1"/>
    <s v=""/>
    <s v="C3102LVUS0995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1458"/>
    <x v="202"/>
    <d v="2021-06-06T00:00:00"/>
    <d v="2021-06-10T00:00:00"/>
    <s v="RV"/>
    <s v="USD"/>
    <n v="-30492.21"/>
    <s v="83.95000"/>
    <s v="BDT"/>
    <n v="-2559821.0299999998"/>
    <n v="-30492.21"/>
    <s v="30492.21_1"/>
    <s v=""/>
    <s v="C3309UQ21OSA0671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520"/>
    <x v="186"/>
    <d v="2020-11-20T00:00:00"/>
    <d v="2020-11-24T00:00:00"/>
    <s v="RV"/>
    <s v="USD"/>
    <n v="-30480.28"/>
    <s v="83.95000"/>
    <s v="BDT"/>
    <n v="-2558819.5099999998"/>
    <n v="-30480.28"/>
    <s v="30480.28_1"/>
    <s v=""/>
    <s v="C3148LVCL116920"/>
    <s v="20201120"/>
    <s v=""/>
    <s v=""/>
    <s v="0"/>
    <s v=""/>
    <s v=""/>
    <s v=""/>
    <s v=""/>
    <s v="2010100001"/>
    <s v=""/>
    <m/>
    <s v=""/>
    <s v=""/>
    <s v=""/>
    <n v="0"/>
  </r>
  <r>
    <s v=""/>
    <s v="40101001"/>
    <s v="2018000941"/>
    <x v="46"/>
    <d v="2021-02-07T00:00:00"/>
    <d v="2021-02-14T00:00:00"/>
    <s v="RV"/>
    <s v="USD"/>
    <n v="-30329.11"/>
    <s v="83.95000"/>
    <s v="BDT"/>
    <n v="-2546128.7799999998"/>
    <n v="-30329.11"/>
    <s v="30329.11_1"/>
    <s v=""/>
    <s v="C3272UQ21OSA0150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155"/>
    <x v="112"/>
    <d v="2021-03-24T00:00:00"/>
    <d v="2021-04-01T00:00:00"/>
    <s v="RV"/>
    <s v="USD"/>
    <n v="-30321.24"/>
    <s v="83.95000"/>
    <s v="BDT"/>
    <n v="-2545468.1"/>
    <n v="-30321.24"/>
    <s v="30321.24_1"/>
    <s v=""/>
    <s v="C3271UQ21TW0368"/>
    <s v="20210324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30295.02"/>
    <s v="83.95000"/>
    <s v="BDT"/>
    <n v="-2543266.9300000002"/>
    <n v="-30295.02"/>
    <s v="30295.02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356"/>
    <x v="162"/>
    <d v="2021-05-15T00:00:00"/>
    <d v="2021-05-20T00:00:00"/>
    <s v="RV"/>
    <s v="USD"/>
    <n v="-30256.62"/>
    <s v="83.95000"/>
    <s v="BDT"/>
    <n v="-2540043.25"/>
    <n v="-30256.62"/>
    <s v="30256.62_1"/>
    <s v=""/>
    <s v="C3276LVUS0601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902"/>
    <x v="203"/>
    <d v="2021-02-02T00:00:00"/>
    <d v="2021-02-09T00:00:00"/>
    <s v="RV"/>
    <s v="USD"/>
    <n v="-30255.38"/>
    <s v="83.95000"/>
    <s v="BDT"/>
    <n v="-2539939.15"/>
    <n v="-30255.38"/>
    <s v="30255.38_1"/>
    <s v=""/>
    <s v="C3291UQ21EU0127"/>
    <s v="20210202"/>
    <s v=""/>
    <s v=""/>
    <s v="0"/>
    <s v=""/>
    <s v=""/>
    <s v=""/>
    <s v=""/>
    <s v="2010100001"/>
    <s v=""/>
    <m/>
    <s v=""/>
    <s v=""/>
    <s v=""/>
    <n v="0"/>
  </r>
  <r>
    <s v=""/>
    <s v="40101001"/>
    <s v="2018000639"/>
    <x v="204"/>
    <d v="2020-12-09T00:00:00"/>
    <d v="2020-12-20T00:00:00"/>
    <s v="RV"/>
    <s v="USD"/>
    <n v="-30254.92"/>
    <s v="83.95000"/>
    <s v="BDT"/>
    <n v="-2539900.5299999998"/>
    <n v="-30254.92"/>
    <s v="30254.92_1"/>
    <s v=""/>
    <s v="C3232UQ20KR1276"/>
    <s v="20201209"/>
    <s v=""/>
    <s v=""/>
    <s v="0"/>
    <s v=""/>
    <s v=""/>
    <s v=""/>
    <s v=""/>
    <s v="2010100001"/>
    <s v=""/>
    <m/>
    <s v=""/>
    <s v=""/>
    <s v=""/>
    <n v="0"/>
  </r>
  <r>
    <s v=""/>
    <s v="40101001"/>
    <s v="2018001035"/>
    <x v="122"/>
    <d v="2021-03-04T00:00:00"/>
    <d v="2021-03-10T00:00:00"/>
    <s v="RV"/>
    <s v="USD"/>
    <n v="-30222.639999999999"/>
    <s v="83.95000"/>
    <s v="BDT"/>
    <n v="-2537190.62"/>
    <n v="-30222.639999999999"/>
    <s v="30222.64_1"/>
    <s v=""/>
    <s v="C3242LVUS0257-21"/>
    <s v="20210304"/>
    <s v=""/>
    <s v=""/>
    <s v="0"/>
    <s v=""/>
    <s v=""/>
    <s v=""/>
    <s v=""/>
    <s v="2010100001"/>
    <s v=""/>
    <m/>
    <s v=""/>
    <s v=""/>
    <s v=""/>
    <n v="0"/>
  </r>
  <r>
    <s v=""/>
    <s v="40101001"/>
    <s v="2018001357"/>
    <x v="162"/>
    <d v="2021-05-15T00:00:00"/>
    <d v="2021-05-20T00:00:00"/>
    <s v="RV"/>
    <s v="USD"/>
    <n v="-30187.1"/>
    <s v="83.95000"/>
    <s v="BDT"/>
    <n v="-2534207.0499999998"/>
    <n v="-30187.1"/>
    <s v="30187.1_1"/>
    <s v=""/>
    <s v="C3270LVUS0602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054"/>
    <x v="38"/>
    <d v="2020-07-18T00:00:00"/>
    <d v="2020-07-22T00:00:00"/>
    <s v="RV"/>
    <s v="USD"/>
    <n v="-30171.33"/>
    <s v="83.95000"/>
    <s v="BDT"/>
    <n v="-2532883.15"/>
    <n v="-30171.33"/>
    <s v="30171.33_1"/>
    <s v=""/>
    <s v="C3118UQ20MEL0462"/>
    <s v="20200718"/>
    <s v=""/>
    <s v=""/>
    <s v="0"/>
    <s v=""/>
    <s v=""/>
    <s v=""/>
    <s v=""/>
    <s v="2010100001"/>
    <s v=""/>
    <m/>
    <s v=""/>
    <s v=""/>
    <s v=""/>
    <n v="0"/>
  </r>
  <r>
    <s v=""/>
    <s v="40101001"/>
    <s v="2018000704"/>
    <x v="9"/>
    <d v="2020-12-24T00:00:00"/>
    <d v="2020-12-29T00:00:00"/>
    <s v="RV"/>
    <s v="USD"/>
    <n v="-30168.61"/>
    <s v="83.95000"/>
    <s v="BDT"/>
    <n v="-2532654.81"/>
    <n v="-30168.61"/>
    <s v="30168.61_1"/>
    <s v=""/>
    <s v="C3232UQ20KR1379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805"/>
    <x v="126"/>
    <d v="2021-01-13T00:00:00"/>
    <d v="2021-01-20T00:00:00"/>
    <s v="RV"/>
    <s v="USD"/>
    <n v="-30161.09"/>
    <s v="83.95000"/>
    <s v="BDT"/>
    <n v="-2532023.5099999998"/>
    <n v="-30161.09"/>
    <s v="30161.09_1"/>
    <s v=""/>
    <s v="C3232UQ21KR0015"/>
    <s v="20210113"/>
    <s v=""/>
    <s v=""/>
    <s v="0"/>
    <s v=""/>
    <s v=""/>
    <s v=""/>
    <s v=""/>
    <s v="2010100001"/>
    <s v=""/>
    <m/>
    <s v=""/>
    <s v=""/>
    <s v=""/>
    <n v="0"/>
  </r>
  <r>
    <s v=""/>
    <s v="40101011"/>
    <s v="2008000005"/>
    <x v="1"/>
    <d v="2020-07-30T00:00:00"/>
    <d v="2020-08-11T00:00:00"/>
    <s v="DR"/>
    <s v="USD"/>
    <n v="-29979.22"/>
    <s v="83.95000"/>
    <s v="BDT"/>
    <n v="-2516755.52"/>
    <n v="-29979.22"/>
    <s v="29979.22_1"/>
    <s v=""/>
    <s v="CIPL-PGCL274-20"/>
    <s v="CIPL-PGCL274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0975"/>
    <x v="72"/>
    <d v="2021-02-16T00:00:00"/>
    <d v="2021-02-22T00:00:00"/>
    <s v="RV"/>
    <s v="USD"/>
    <n v="-29870.14"/>
    <s v="83.95000"/>
    <s v="BDT"/>
    <n v="-2507598.25"/>
    <n v="-29870.14"/>
    <s v="29870.14_1"/>
    <s v=""/>
    <s v="C3290UQ21YOK0217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129"/>
    <x v="147"/>
    <d v="2020-07-31T00:00:00"/>
    <d v="2020-08-14T00:00:00"/>
    <s v="RV"/>
    <s v="USD"/>
    <n v="-29863.83"/>
    <s v="83.95000"/>
    <s v="BDT"/>
    <n v="-2507068.5299999998"/>
    <n v="-29863.83"/>
    <s v="29863.83_1"/>
    <s v=""/>
    <s v="C3120UQ20SHA0718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1019"/>
    <x v="16"/>
    <d v="2021-02-26T00:00:00"/>
    <d v="2021-03-02T00:00:00"/>
    <s v="RV"/>
    <s v="USD"/>
    <n v="-29771.54"/>
    <s v="83.95000"/>
    <s v="BDT"/>
    <n v="-2499320.7799999998"/>
    <n v="-29771.54"/>
    <s v="29771.54_1"/>
    <s v=""/>
    <s v="C3254UQ21HAK0267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435"/>
    <x v="205"/>
    <d v="2021-05-28T00:00:00"/>
    <d v="2021-06-01T00:00:00"/>
    <s v="RV"/>
    <s v="USD"/>
    <n v="-29743.91"/>
    <s v="83.95000"/>
    <s v="BDT"/>
    <n v="-2497001.2400000002"/>
    <n v="-29743.91"/>
    <s v="29743.91_1"/>
    <s v=""/>
    <s v="C3343UQ21YOK0669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18001376"/>
    <x v="20"/>
    <d v="2021-05-14T00:00:00"/>
    <d v="2021-05-20T00:00:00"/>
    <s v="RV"/>
    <s v="USD"/>
    <n v="-29735.83"/>
    <s v="83.95000"/>
    <s v="BDT"/>
    <n v="-2496322.92"/>
    <n v="-29735.83"/>
    <s v="29735.83_1"/>
    <s v=""/>
    <s v="C3316UQ21TOK0640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1496"/>
    <x v="206"/>
    <d v="2021-06-12T00:00:00"/>
    <d v="2021-06-16T00:00:00"/>
    <s v="RV"/>
    <s v="USD"/>
    <n v="-29735.83"/>
    <s v="83.95000"/>
    <s v="BDT"/>
    <n v="-2496322.9300000002"/>
    <n v="-29735.83"/>
    <s v="29735.83_2"/>
    <s v=""/>
    <s v="C3316UQ21OSA0758"/>
    <s v="20210612"/>
    <s v=""/>
    <s v=""/>
    <s v="0"/>
    <s v=""/>
    <s v=""/>
    <s v=""/>
    <s v=""/>
    <s v="2010100001"/>
    <s v=""/>
    <m/>
    <s v=""/>
    <s v=""/>
    <s v=""/>
    <n v="0"/>
  </r>
  <r>
    <s v=""/>
    <s v="40101001"/>
    <s v="2018001082"/>
    <x v="138"/>
    <d v="2021-03-17T00:00:00"/>
    <d v="2021-03-23T00:00:00"/>
    <s v="RV"/>
    <s v="USD"/>
    <n v="-29733.35"/>
    <s v="83.95000"/>
    <s v="BDT"/>
    <n v="-2496114.73"/>
    <n v="-29733.35"/>
    <s v="29733.35_1"/>
    <s v=""/>
    <s v="C3251LVJP0312-21"/>
    <s v="20210317"/>
    <s v=""/>
    <s v=""/>
    <s v="0"/>
    <s v=""/>
    <s v=""/>
    <s v=""/>
    <s v=""/>
    <s v="2010100001"/>
    <s v=""/>
    <m/>
    <s v=""/>
    <s v=""/>
    <s v=""/>
    <n v="0"/>
  </r>
  <r>
    <s v=""/>
    <s v="40101001"/>
    <s v="2018000310"/>
    <x v="166"/>
    <d v="2020-09-27T00:00:00"/>
    <d v="2020-10-13T00:00:00"/>
    <s v="RV"/>
    <s v="USD"/>
    <n v="-29627.34"/>
    <s v="83.95000"/>
    <s v="BDT"/>
    <n v="-2487215.19"/>
    <n v="-29627.34"/>
    <s v="29627.34_1"/>
    <s v=""/>
    <s v="C03138DN20IR0868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18000225"/>
    <x v="207"/>
    <d v="2020-09-03T00:00:00"/>
    <d v="2020-09-15T00:00:00"/>
    <s v="RV"/>
    <s v="USD"/>
    <n v="-29541.27"/>
    <s v="83.95000"/>
    <s v="BDT"/>
    <n v="-2479989.62"/>
    <n v="-29541.27"/>
    <s v="29541.27_1"/>
    <s v=""/>
    <s v="C3152TS20UK0814"/>
    <s v="20200903"/>
    <s v=""/>
    <s v=""/>
    <s v="0"/>
    <s v=""/>
    <s v=""/>
    <s v=""/>
    <s v=""/>
    <s v="2010100001"/>
    <s v=""/>
    <m/>
    <s v=""/>
    <s v=""/>
    <s v=""/>
    <n v="0"/>
  </r>
  <r>
    <s v=""/>
    <s v="40101001"/>
    <s v="2018000098"/>
    <x v="53"/>
    <d v="2020-07-22T00:00:00"/>
    <d v="2020-08-06T00:00:00"/>
    <s v="RV"/>
    <s v="USD"/>
    <n v="-29508.62"/>
    <s v="83.95000"/>
    <s v="BDT"/>
    <n v="-2477248.65"/>
    <n v="-29508.62"/>
    <s v="29508.62_1"/>
    <s v=""/>
    <s v="C3099LVUS064920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911"/>
    <x v="208"/>
    <d v="2021-02-04T00:00:00"/>
    <d v="2021-02-10T00:00:00"/>
    <s v="RV"/>
    <s v="USD"/>
    <n v="-29426.46"/>
    <s v="83.95000"/>
    <s v="BDT"/>
    <n v="-2470351.3199999998"/>
    <n v="-29426.46"/>
    <s v="29426.46_1"/>
    <s v=""/>
    <s v="C3272UQ21NAG0151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988"/>
    <x v="72"/>
    <d v="2021-02-16T00:00:00"/>
    <d v="2021-02-25T00:00:00"/>
    <s v="RV"/>
    <s v="USD"/>
    <n v="-29418.76"/>
    <s v="83.95000"/>
    <s v="BDT"/>
    <n v="-2469704.9"/>
    <n v="-29418.76"/>
    <s v="29418.76_1"/>
    <s v=""/>
    <s v="C3242LVUS0203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988"/>
    <x v="72"/>
    <d v="2021-02-16T00:00:00"/>
    <d v="2021-02-25T00:00:00"/>
    <s v="RV"/>
    <s v="USD"/>
    <n v="-29382.639999999999"/>
    <s v="83.95000"/>
    <s v="BDT"/>
    <n v="-2466672.63"/>
    <n v="-29382.639999999999"/>
    <s v="29382.64_1"/>
    <s v=""/>
    <s v="C3242LVUS0203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988"/>
    <x v="72"/>
    <d v="2021-02-16T00:00:00"/>
    <d v="2021-02-25T00:00:00"/>
    <s v="RV"/>
    <s v="USD"/>
    <n v="-29377.39"/>
    <s v="83.95000"/>
    <s v="BDT"/>
    <n v="-2466231.89"/>
    <n v="-29377.39"/>
    <s v="29377.39_1"/>
    <s v=""/>
    <s v="C3242LVUS0203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168"/>
    <x v="189"/>
    <d v="2021-03-26T00:00:00"/>
    <d v="2021-04-04T00:00:00"/>
    <s v="RV"/>
    <s v="USD"/>
    <n v="-29280.67"/>
    <s v="83.95000"/>
    <s v="BDT"/>
    <n v="-2458112.2400000002"/>
    <n v="-29280.67"/>
    <s v="29280.67_1"/>
    <s v=""/>
    <s v="C3175AMZLB0380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423"/>
    <x v="146"/>
    <d v="2020-11-02T00:00:00"/>
    <d v="2020-11-10T00:00:00"/>
    <s v="RV"/>
    <s v="USD"/>
    <n v="-29270.95"/>
    <s v="83.95000"/>
    <s v="BDT"/>
    <n v="-2457296.25"/>
    <n v="-29270.95"/>
    <s v="29270.95_1"/>
    <s v=""/>
    <s v="C3153TS19CE1038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906"/>
    <x v="208"/>
    <d v="2021-02-04T00:00:00"/>
    <d v="2021-02-10T00:00:00"/>
    <s v="RV"/>
    <s v="USD"/>
    <n v="-29168.799999999999"/>
    <s v="83.95000"/>
    <s v="BDT"/>
    <n v="-2448720.7599999998"/>
    <n v="-29168.799999999999"/>
    <s v="29168.8_1"/>
    <s v=""/>
    <s v="C3253UQ21TW0116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175"/>
    <x v="84"/>
    <d v="2020-08-05T00:00:00"/>
    <d v="2020-08-29T00:00:00"/>
    <s v="RV"/>
    <s v="USD"/>
    <n v="-29131.5"/>
    <s v="83.95000"/>
    <s v="BDT"/>
    <n v="-2445589.4300000002"/>
    <n v="-29131.5"/>
    <s v="29131.5_1"/>
    <s v=""/>
    <s v="C3099LVUS070420"/>
    <s v="20200805"/>
    <s v=""/>
    <s v=""/>
    <s v="0"/>
    <s v=""/>
    <s v=""/>
    <s v=""/>
    <s v=""/>
    <s v="2010100001"/>
    <s v=""/>
    <m/>
    <s v=""/>
    <s v=""/>
    <s v=""/>
    <n v="0"/>
  </r>
  <r>
    <s v=""/>
    <s v="40101001"/>
    <s v="2018000207"/>
    <x v="209"/>
    <d v="2020-08-27T00:00:00"/>
    <d v="2020-09-10T00:00:00"/>
    <s v="RV"/>
    <s v="USD"/>
    <n v="-29114.21"/>
    <s v="83.95000"/>
    <s v="BDT"/>
    <n v="-2444137.9300000002"/>
    <n v="-29114.21"/>
    <s v="29114.21_1"/>
    <s v=""/>
    <s v="C3135SB20UK0780"/>
    <s v="20200827"/>
    <s v=""/>
    <s v=""/>
    <s v="0"/>
    <s v=""/>
    <s v=""/>
    <s v=""/>
    <s v=""/>
    <s v="2010100001"/>
    <s v=""/>
    <m/>
    <s v=""/>
    <s v=""/>
    <s v=""/>
    <n v="0"/>
  </r>
  <r>
    <s v=""/>
    <s v="40101001"/>
    <s v="2018000022"/>
    <x v="210"/>
    <d v="2020-07-08T00:00:00"/>
    <d v="2020-07-18T00:00:00"/>
    <s v="RV"/>
    <s v="USD"/>
    <n v="-29083.07"/>
    <s v="83.95000"/>
    <s v="BDT"/>
    <n v="-2441523.73"/>
    <n v="-29083.07"/>
    <s v="29083.07_1"/>
    <s v=""/>
    <s v="C3120UQ20SHA0584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1056"/>
    <x v="167"/>
    <d v="2021-03-09T00:00:00"/>
    <d v="2021-03-13T00:00:00"/>
    <s v="RV"/>
    <s v="USD"/>
    <n v="-28925.279999999999"/>
    <s v="83.95000"/>
    <s v="BDT"/>
    <n v="-2428277.2599999998"/>
    <n v="-28925.279999999999"/>
    <s v="28925.28_1"/>
    <s v=""/>
    <s v="C3242LVUS0279-21"/>
    <s v="20210309"/>
    <s v=""/>
    <s v=""/>
    <s v="0"/>
    <s v=""/>
    <s v=""/>
    <s v=""/>
    <s v=""/>
    <s v="2010100001"/>
    <s v=""/>
    <m/>
    <s v=""/>
    <s v=""/>
    <s v=""/>
    <n v="0"/>
  </r>
  <r>
    <s v=""/>
    <s v="40101001"/>
    <s v="2018000773"/>
    <x v="211"/>
    <d v="2021-01-03T00:00:00"/>
    <d v="2021-01-06T00:00:00"/>
    <s v="RV"/>
    <s v="USD"/>
    <n v="-28915.4"/>
    <s v="83.95000"/>
    <s v="BDT"/>
    <n v="-2427447.83"/>
    <n v="-28915.4"/>
    <s v="28915.4_1"/>
    <s v=""/>
    <s v="C3259UQ20KR1409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296"/>
    <x v="169"/>
    <d v="2020-09-10T00:00:00"/>
    <d v="2020-10-06T00:00:00"/>
    <s v="RV"/>
    <s v="USD"/>
    <n v="-28890.81"/>
    <s v="83.95000"/>
    <s v="BDT"/>
    <n v="-2425383.5"/>
    <n v="-28890.81"/>
    <s v="28890.81_1"/>
    <s v=""/>
    <s v="C3204UQ20SHA0839"/>
    <s v="20200910"/>
    <s v=""/>
    <s v=""/>
    <s v="0"/>
    <s v=""/>
    <s v=""/>
    <s v=""/>
    <s v=""/>
    <s v="2010100001"/>
    <s v=""/>
    <m/>
    <s v=""/>
    <s v=""/>
    <s v=""/>
    <n v="0"/>
  </r>
  <r>
    <s v=""/>
    <s v="40101001"/>
    <s v="2018000213"/>
    <x v="40"/>
    <d v="2020-09-08T00:00:00"/>
    <d v="2020-09-12T00:00:00"/>
    <s v="RV"/>
    <s v="USD"/>
    <n v="-28823.17"/>
    <s v="83.95000"/>
    <s v="BDT"/>
    <n v="-2419705.12"/>
    <n v="-28823.17"/>
    <s v="28823.17_1"/>
    <s v=""/>
    <s v="C3151UQ20TOK0798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830"/>
    <x v="126"/>
    <d v="2021-01-13T00:00:00"/>
    <d v="2021-01-23T00:00:00"/>
    <s v="RV"/>
    <s v="USD"/>
    <n v="-28796.81"/>
    <s v="83.95000"/>
    <s v="BDT"/>
    <n v="-2417492.19"/>
    <n v="-28796.81"/>
    <s v="28796.81_1"/>
    <s v=""/>
    <s v="C3236LVUS0008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380"/>
    <x v="56"/>
    <d v="2021-05-13T00:00:00"/>
    <d v="2021-05-20T00:00:00"/>
    <s v="RV"/>
    <s v="USD"/>
    <n v="-28755.43"/>
    <s v="83.95000"/>
    <s v="BDT"/>
    <n v="-2414018.35"/>
    <n v="-28755.43"/>
    <s v="28755.43_1"/>
    <s v=""/>
    <s v="C3308UQ21NAG0644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468"/>
    <x v="196"/>
    <d v="2021-06-05T00:00:00"/>
    <d v="2021-06-10T00:00:00"/>
    <s v="RV"/>
    <s v="USD"/>
    <n v="-28748.78"/>
    <s v="83.95000"/>
    <s v="BDT"/>
    <n v="-2413460.08"/>
    <n v="-28748.78"/>
    <s v="28748.78_1"/>
    <s v=""/>
    <s v="C3329UQ21EU0721"/>
    <s v="20210605"/>
    <s v=""/>
    <s v=""/>
    <s v="0"/>
    <s v=""/>
    <s v=""/>
    <s v=""/>
    <s v=""/>
    <s v="2010100001"/>
    <s v=""/>
    <m/>
    <s v=""/>
    <s v=""/>
    <s v=""/>
    <n v="0"/>
  </r>
  <r>
    <s v=""/>
    <s v="40101001"/>
    <s v="2018000396"/>
    <x v="98"/>
    <d v="2020-10-21T00:00:00"/>
    <d v="2020-11-03T00:00:00"/>
    <s v="RV"/>
    <s v="USD"/>
    <n v="-28658.74"/>
    <s v="83.95000"/>
    <s v="BDT"/>
    <n v="-2405901.23"/>
    <n v="-28658.74"/>
    <s v="28658.74_1"/>
    <s v=""/>
    <s v="C03139DN20IR0979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291"/>
    <x v="133"/>
    <d v="2020-09-21T00:00:00"/>
    <d v="2020-10-04T00:00:00"/>
    <s v="RV"/>
    <s v="USD"/>
    <n v="-28655.62"/>
    <s v="83.95000"/>
    <s v="BDT"/>
    <n v="-2405639.2999999998"/>
    <n v="-28655.62"/>
    <s v="28655.62_1"/>
    <s v=""/>
    <s v="C3099LVUS088620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1545"/>
    <x v="206"/>
    <d v="2021-06-12T00:00:00"/>
    <d v="2021-06-21T00:00:00"/>
    <s v="RV"/>
    <s v="USD"/>
    <n v="-28638.54"/>
    <s v="83.95000"/>
    <s v="BDT"/>
    <n v="-2404205.4300000002"/>
    <n v="-28638.54"/>
    <s v="28638.54_1"/>
    <s v=""/>
    <s v="C3308UQ21NY0584"/>
    <s v="20210612"/>
    <s v=""/>
    <s v=""/>
    <s v="0"/>
    <s v=""/>
    <s v=""/>
    <s v=""/>
    <s v=""/>
    <s v="2010100001"/>
    <s v=""/>
    <m/>
    <s v=""/>
    <s v=""/>
    <s v=""/>
    <n v="0"/>
  </r>
  <r>
    <s v=""/>
    <s v="40101001"/>
    <s v="2018001114"/>
    <x v="89"/>
    <d v="2021-03-21T00:00:00"/>
    <d v="2021-03-28T00:00:00"/>
    <s v="RV"/>
    <s v="USD"/>
    <n v="-28631.53"/>
    <s v="83.95000"/>
    <s v="BDT"/>
    <n v="-2403616.94"/>
    <n v="-28631.53"/>
    <s v="28631.53_1"/>
    <s v=""/>
    <s v="C3262LVUS0306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442"/>
    <x v="194"/>
    <d v="2021-05-21T00:00:00"/>
    <d v="2021-06-08T00:00:00"/>
    <s v="RV"/>
    <s v="USD"/>
    <n v="-28575.439999999999"/>
    <s v="83.95000"/>
    <s v="BDT"/>
    <n v="-2398908.19"/>
    <n v="-28575.439999999999"/>
    <s v="28575.44_1"/>
    <s v=""/>
    <s v="C3282LVMX0622-21"/>
    <s v="20210521"/>
    <s v=""/>
    <s v=""/>
    <s v="0"/>
    <s v=""/>
    <s v=""/>
    <s v=""/>
    <s v=""/>
    <s v="2010100001"/>
    <s v=""/>
    <m/>
    <s v=""/>
    <s v=""/>
    <s v=""/>
    <n v="0"/>
  </r>
  <r>
    <s v=""/>
    <s v="40101001"/>
    <s v="2018001453"/>
    <x v="212"/>
    <d v="2021-06-02T00:00:00"/>
    <d v="2021-06-09T00:00:00"/>
    <s v="RV"/>
    <s v="USD"/>
    <n v="-28535.84"/>
    <s v="83.95000"/>
    <s v="BDT"/>
    <n v="-2395583.77"/>
    <n v="-28535.84"/>
    <s v="28535.84_1"/>
    <s v=""/>
    <s v="C3189AMZPL071221"/>
    <s v="20210602"/>
    <s v=""/>
    <s v=""/>
    <s v="0"/>
    <s v=""/>
    <s v=""/>
    <s v=""/>
    <s v=""/>
    <s v="2010100001"/>
    <s v=""/>
    <m/>
    <s v=""/>
    <s v=""/>
    <s v=""/>
    <n v="0"/>
  </r>
  <r>
    <s v=""/>
    <s v="40101001"/>
    <s v="2018001569"/>
    <x v="75"/>
    <d v="2021-06-17T00:00:00"/>
    <d v="2021-06-24T00:00:00"/>
    <s v="RV"/>
    <s v="USD"/>
    <n v="-28515.96"/>
    <s v="83.95000"/>
    <s v="BDT"/>
    <n v="-2393914.84"/>
    <n v="-28515.96"/>
    <s v="28515.96_1"/>
    <s v=""/>
    <s v="C3335LVUS0792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733"/>
    <x v="178"/>
    <d v="2020-12-23T00:00:00"/>
    <d v="2021-01-02T00:00:00"/>
    <s v="RV"/>
    <s v="USD"/>
    <n v="-28453.25"/>
    <s v="83.95000"/>
    <s v="BDT"/>
    <n v="-2388650.34"/>
    <n v="-28453.25"/>
    <s v="28453.25_1"/>
    <s v=""/>
    <s v="C3143LVGR1298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1061"/>
    <x v="106"/>
    <d v="2021-03-10T00:00:00"/>
    <d v="2021-03-13T00:00:00"/>
    <s v="RV"/>
    <s v="USD"/>
    <n v="-28416.1"/>
    <s v="83.95000"/>
    <s v="BDT"/>
    <n v="-2385531.6"/>
    <n v="-28416.1"/>
    <s v="28416.1_1"/>
    <s v=""/>
    <s v="C3290UQ21NAG0290"/>
    <s v="20210310"/>
    <s v=""/>
    <s v=""/>
    <s v="0"/>
    <s v=""/>
    <s v=""/>
    <s v=""/>
    <s v=""/>
    <s v="2010100001"/>
    <s v=""/>
    <m/>
    <s v=""/>
    <s v=""/>
    <s v=""/>
    <n v="0"/>
  </r>
  <r>
    <s v=""/>
    <s v="40101001"/>
    <s v="2018000929"/>
    <x v="46"/>
    <d v="2021-02-07T00:00:00"/>
    <d v="2021-02-14T00:00:00"/>
    <s v="RV"/>
    <s v="USD"/>
    <n v="-28374.55"/>
    <s v="83.95000"/>
    <s v="BDT"/>
    <n v="-2382043.4700000002"/>
    <n v="-28374.55"/>
    <s v="28374.55_1"/>
    <s v=""/>
    <s v="C3260UQ21OSA0154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512"/>
    <x v="88"/>
    <d v="2021-06-11T00:00:00"/>
    <d v="2021-06-17T00:00:00"/>
    <s v="RV"/>
    <s v="USD"/>
    <n v="-28353.81"/>
    <s v="83.95000"/>
    <s v="BDT"/>
    <n v="-2380302.35"/>
    <n v="-28353.81"/>
    <s v="28353.81_1"/>
    <s v=""/>
    <s v="C3284LVUS070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205"/>
    <x v="55"/>
    <d v="2020-08-19T00:00:00"/>
    <d v="2020-09-10T00:00:00"/>
    <s v="RV"/>
    <s v="USD"/>
    <n v="-28344.14"/>
    <s v="83.95000"/>
    <s v="BDT"/>
    <n v="-2379490.5499999998"/>
    <n v="-28344.14"/>
    <s v="28344.14_1"/>
    <s v=""/>
    <s v="C3150UQ20YAN0733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0323"/>
    <x v="213"/>
    <d v="2020-10-11T00:00:00"/>
    <d v="2020-10-14T00:00:00"/>
    <s v="RV"/>
    <s v="USD"/>
    <n v="-28330.22"/>
    <s v="83.95000"/>
    <s v="BDT"/>
    <n v="-2378321.9700000002"/>
    <n v="-28330.22"/>
    <s v="28330.22_1"/>
    <s v=""/>
    <s v="C3159UQ20OSA0971"/>
    <s v="20201011"/>
    <s v=""/>
    <s v=""/>
    <s v="0"/>
    <s v=""/>
    <s v=""/>
    <s v=""/>
    <s v=""/>
    <s v="2010100001"/>
    <s v=""/>
    <m/>
    <s v=""/>
    <s v=""/>
    <s v=""/>
    <n v="0"/>
  </r>
  <r>
    <s v=""/>
    <s v="40101001"/>
    <s v="2018000023"/>
    <x v="210"/>
    <d v="2020-07-08T00:00:00"/>
    <d v="2020-07-18T00:00:00"/>
    <s v="RV"/>
    <s v="USD"/>
    <n v="-28302.32"/>
    <s v="83.95000"/>
    <s v="BDT"/>
    <n v="-2375979.7599999998"/>
    <n v="-28302.32"/>
    <s v="28302.32_1"/>
    <s v=""/>
    <s v="C3120UQ20SHA0585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28292.68"/>
    <s v="83.95000"/>
    <s v="BDT"/>
    <n v="-2375170.4900000002"/>
    <n v="-28292.68"/>
    <s v="28292.68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520"/>
    <x v="186"/>
    <d v="2020-11-20T00:00:00"/>
    <d v="2020-11-24T00:00:00"/>
    <s v="RV"/>
    <s v="USD"/>
    <n v="-28261.09"/>
    <s v="83.95000"/>
    <s v="BDT"/>
    <n v="-2372518.5099999998"/>
    <n v="-28261.09"/>
    <s v="28261.09_1"/>
    <s v=""/>
    <s v="C3148LVCL116920"/>
    <s v="20201120"/>
    <s v=""/>
    <s v=""/>
    <s v="0"/>
    <s v=""/>
    <s v=""/>
    <s v=""/>
    <s v=""/>
    <s v="2010100001"/>
    <s v=""/>
    <m/>
    <s v=""/>
    <s v=""/>
    <s v=""/>
    <n v="0"/>
  </r>
  <r>
    <s v=""/>
    <s v="40101001"/>
    <s v="2018000782"/>
    <x v="188"/>
    <d v="2021-01-01T00:00:00"/>
    <d v="2021-01-07T00:00:00"/>
    <s v="RV"/>
    <s v="USD"/>
    <n v="-28227.71"/>
    <s v="83.95000"/>
    <s v="BDT"/>
    <n v="-2369716.25"/>
    <n v="-28227.71"/>
    <s v="28227.71_1"/>
    <s v=""/>
    <s v="C3236LVUS138920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1471"/>
    <x v="152"/>
    <d v="2021-06-07T00:00:00"/>
    <d v="2021-06-10T00:00:00"/>
    <s v="RV"/>
    <s v="USD"/>
    <n v="-28215.34"/>
    <s v="83.95000"/>
    <s v="BDT"/>
    <n v="-2368677.79"/>
    <n v="-28215.34"/>
    <s v="28215.34_1"/>
    <s v=""/>
    <s v="C3309UQ21TOK0723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1497"/>
    <x v="127"/>
    <d v="2021-06-04T00:00:00"/>
    <d v="2021-06-17T00:00:00"/>
    <s v="RV"/>
    <s v="USD"/>
    <n v="-28197.71"/>
    <s v="83.95000"/>
    <s v="BDT"/>
    <n v="-2367197.7599999998"/>
    <n v="-28197.71"/>
    <s v="28197.71_1"/>
    <s v=""/>
    <s v="C3282LVCA0703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1624"/>
    <x v="93"/>
    <d v="2021-06-29T00:00:00"/>
    <d v="2021-07-07T00:00:00"/>
    <s v="RV"/>
    <s v="USD"/>
    <n v="-28191.759999999998"/>
    <s v="83.95000"/>
    <s v="BDT"/>
    <n v="-2366698.25"/>
    <n v="-28191.759999999998"/>
    <s v="28191.76_1"/>
    <s v=""/>
    <s v="C3284LVUS0861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912"/>
    <x v="208"/>
    <d v="2021-02-04T00:00:00"/>
    <d v="2021-02-10T00:00:00"/>
    <s v="RV"/>
    <s v="USD"/>
    <n v="-28185.39"/>
    <s v="83.95000"/>
    <s v="BDT"/>
    <n v="-2366163.4900000002"/>
    <n v="-28185.39"/>
    <s v="28185.39_1"/>
    <s v=""/>
    <s v="C3272UQ21SEN0112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1210"/>
    <x v="108"/>
    <d v="2021-04-11T00:00:00"/>
    <d v="2021-04-20T00:00:00"/>
    <s v="RV"/>
    <s v="USD"/>
    <n v="-28182.02"/>
    <s v="83.95000"/>
    <s v="BDT"/>
    <n v="-2365880.6"/>
    <n v="-28182.02"/>
    <s v="28182.02_1"/>
    <s v=""/>
    <s v="C3194AMZPL044121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1361"/>
    <x v="51"/>
    <d v="2021-05-08T00:00:00"/>
    <d v="2021-05-20T00:00:00"/>
    <s v="RV"/>
    <s v="USD"/>
    <n v="-28140.81"/>
    <s v="83.95000"/>
    <s v="BDT"/>
    <n v="-2362421"/>
    <n v="-28140.81"/>
    <s v="28140.81_1"/>
    <s v=""/>
    <s v="C3316UQ21TOM0583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184"/>
    <x v="215"/>
    <d v="2020-08-31T00:00:00"/>
    <d v="2020-09-05T00:00:00"/>
    <s v="RV"/>
    <s v="USD"/>
    <n v="-27991.61"/>
    <s v="83.95000"/>
    <s v="BDT"/>
    <n v="-2349895.66"/>
    <n v="-27991.61"/>
    <s v="27991.61_1"/>
    <s v=""/>
    <s v="C3150UQ20MY0799"/>
    <s v="20200831"/>
    <s v=""/>
    <s v=""/>
    <s v="0"/>
    <s v=""/>
    <s v=""/>
    <s v=""/>
    <s v=""/>
    <s v="2010100001"/>
    <s v=""/>
    <m/>
    <s v=""/>
    <s v=""/>
    <s v=""/>
    <n v="0"/>
  </r>
  <r>
    <s v=""/>
    <s v="40101001"/>
    <s v="2018000472"/>
    <x v="110"/>
    <d v="2020-11-08T00:00:00"/>
    <d v="2020-11-14T00:00:00"/>
    <s v="RV"/>
    <s v="USD"/>
    <n v="-27970.67"/>
    <s v="83.95000"/>
    <s v="BDT"/>
    <n v="-2348137.75"/>
    <n v="-27970.67"/>
    <s v="27970.67_1"/>
    <s v=""/>
    <s v="C3205UQ20MY1064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273"/>
    <x v="40"/>
    <d v="2020-09-08T00:00:00"/>
    <d v="2020-09-30T00:00:00"/>
    <s v="RV"/>
    <s v="USD"/>
    <n v="-27962.68"/>
    <s v="83.95000"/>
    <s v="BDT"/>
    <n v="-2347466.98"/>
    <n v="-27962.68"/>
    <s v="27962.68_1"/>
    <s v=""/>
    <s v="C3155UQ20SHA0820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108"/>
    <x v="1"/>
    <d v="2020-07-30T00:00:00"/>
    <d v="2020-08-10T00:00:00"/>
    <s v="RV"/>
    <s v="USD"/>
    <n v="-27917.19"/>
    <s v="83.95000"/>
    <s v="BDT"/>
    <n v="-2343648.1"/>
    <n v="-27917.19"/>
    <s v="27917.19_1"/>
    <s v=""/>
    <s v="C3117UQ20KR0723"/>
    <s v="20200730"/>
    <s v=""/>
    <s v=""/>
    <s v="0"/>
    <s v=""/>
    <s v=""/>
    <s v=""/>
    <s v=""/>
    <s v="2010100001"/>
    <s v=""/>
    <m/>
    <s v=""/>
    <s v=""/>
    <s v=""/>
    <n v="0"/>
  </r>
  <r>
    <s v=""/>
    <s v="40101001"/>
    <s v="2018000764"/>
    <x v="134"/>
    <d v="2020-12-31T00:00:00"/>
    <d v="2021-01-05T00:00:00"/>
    <s v="RV"/>
    <s v="USD"/>
    <n v="-27893.42"/>
    <s v="83.95000"/>
    <s v="BDT"/>
    <n v="-2341652.61"/>
    <n v="-27893.42"/>
    <s v="27893.42_1"/>
    <s v=""/>
    <s v="C3247UQ20YOK1374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0062"/>
    <x v="216"/>
    <d v="2020-07-20T00:00:00"/>
    <d v="2020-07-25T00:00:00"/>
    <s v="RV"/>
    <s v="USD"/>
    <n v="-27872.54"/>
    <s v="83.95000"/>
    <s v="BDT"/>
    <n v="-2339899.73"/>
    <n v="-27872.54"/>
    <s v="27872.54_1"/>
    <s v=""/>
    <s v="C3099LVUS065020"/>
    <s v="20200720"/>
    <s v=""/>
    <s v=""/>
    <s v="0"/>
    <s v=""/>
    <s v=""/>
    <s v=""/>
    <s v=""/>
    <s v="2010100001"/>
    <s v=""/>
    <m/>
    <s v=""/>
    <s v=""/>
    <s v=""/>
    <n v="0"/>
  </r>
  <r>
    <s v=""/>
    <s v="40101001"/>
    <s v="2018001105"/>
    <x v="217"/>
    <d v="2021-03-22T00:00:00"/>
    <d v="2021-03-25T00:00:00"/>
    <s v="RV"/>
    <s v="USD"/>
    <n v="-27655.15"/>
    <s v="83.95000"/>
    <s v="BDT"/>
    <n v="-2321649.85"/>
    <n v="-27655.15"/>
    <s v="27655.15_1"/>
    <s v=""/>
    <s v="C3274UQ21SYD0297"/>
    <s v="20210322"/>
    <s v=""/>
    <s v=""/>
    <s v="0"/>
    <s v=""/>
    <s v=""/>
    <s v=""/>
    <s v=""/>
    <s v="2010100001"/>
    <s v=""/>
    <m/>
    <s v=""/>
    <s v=""/>
    <s v=""/>
    <n v="0"/>
  </r>
  <r>
    <s v=""/>
    <s v="40101001"/>
    <s v="2018000988"/>
    <x v="72"/>
    <d v="2021-02-16T00:00:00"/>
    <d v="2021-02-25T00:00:00"/>
    <s v="RV"/>
    <s v="USD"/>
    <n v="-27568.94"/>
    <s v="83.95000"/>
    <s v="BDT"/>
    <n v="-2314412.5099999998"/>
    <n v="-27568.94"/>
    <s v="27568.94_1"/>
    <s v=""/>
    <s v="C3242LVUS0203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882"/>
    <x v="44"/>
    <d v="2021-01-28T00:00:00"/>
    <d v="2021-02-02T00:00:00"/>
    <s v="RV"/>
    <s v="USD"/>
    <n v="-27449.91"/>
    <s v="83.95000"/>
    <s v="BDT"/>
    <n v="-2304419.94"/>
    <n v="-27449.91"/>
    <s v="27449.91_1"/>
    <s v=""/>
    <s v="C3271UQ21TH098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812"/>
    <x v="42"/>
    <d v="2021-01-14T00:00:00"/>
    <d v="2021-01-21T00:00:00"/>
    <s v="RV"/>
    <s v="USD"/>
    <n v="-27368.54"/>
    <s v="83.95000"/>
    <s v="BDT"/>
    <n v="-2297588.9300000002"/>
    <n v="-27368.54"/>
    <s v="27368.54_1"/>
    <s v=""/>
    <s v="C3232UQ21NAG0031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063"/>
    <x v="2"/>
    <d v="2020-07-19T00:00:00"/>
    <d v="2020-07-25T00:00:00"/>
    <s v="RV"/>
    <s v="USD"/>
    <n v="-27344.3"/>
    <s v="83.95000"/>
    <s v="BDT"/>
    <n v="-2295553.9900000002"/>
    <n v="-27344.3"/>
    <s v="27344.3_1"/>
    <s v=""/>
    <s v="C3120UQ20YAN0637"/>
    <s v="20200719"/>
    <s v=""/>
    <s v=""/>
    <s v="0"/>
    <s v=""/>
    <s v=""/>
    <s v=""/>
    <s v=""/>
    <s v="2010100001"/>
    <s v=""/>
    <m/>
    <s v=""/>
    <s v=""/>
    <s v=""/>
    <n v="0"/>
  </r>
  <r>
    <s v=""/>
    <s v="40101001"/>
    <s v="2018000990"/>
    <x v="72"/>
    <d v="2021-02-16T00:00:00"/>
    <d v="2021-02-25T00:00:00"/>
    <s v="RV"/>
    <s v="USD"/>
    <n v="-27311.15"/>
    <s v="83.95000"/>
    <s v="BDT"/>
    <n v="-2292771.04"/>
    <n v="-27311.15"/>
    <s v="27311.15_1"/>
    <s v=""/>
    <s v="C3244LVUS0196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279"/>
    <x v="161"/>
    <d v="2020-09-26T00:00:00"/>
    <d v="2020-09-30T00:00:00"/>
    <s v="RV"/>
    <s v="USD"/>
    <n v="-27308.98"/>
    <s v="83.95000"/>
    <s v="BDT"/>
    <n v="-2292588.87"/>
    <n v="-27308.98"/>
    <s v="27308.98_1"/>
    <s v=""/>
    <s v="C3209UQ20KR0917"/>
    <s v="20200926"/>
    <s v=""/>
    <s v=""/>
    <s v="0"/>
    <s v=""/>
    <s v=""/>
    <s v=""/>
    <s v=""/>
    <s v="2010100001"/>
    <s v=""/>
    <m/>
    <s v=""/>
    <s v=""/>
    <s v=""/>
    <n v="0"/>
  </r>
  <r>
    <s v=""/>
    <s v="40101001"/>
    <s v="2018000206"/>
    <x v="130"/>
    <d v="2020-08-20T00:00:00"/>
    <d v="2020-09-10T00:00:00"/>
    <s v="RV"/>
    <s v="USD"/>
    <n v="-27286.52"/>
    <s v="83.95000"/>
    <s v="BDT"/>
    <n v="-2290703.35"/>
    <n v="-27286.52"/>
    <s v="27286.52_1"/>
    <s v=""/>
    <s v="C3150UQ20SHA0725"/>
    <s v="20200820"/>
    <s v=""/>
    <s v=""/>
    <s v="0"/>
    <s v=""/>
    <s v=""/>
    <s v=""/>
    <s v=""/>
    <s v="2010100001"/>
    <s v=""/>
    <m/>
    <s v=""/>
    <s v=""/>
    <s v=""/>
    <n v="0"/>
  </r>
  <r>
    <s v=""/>
    <s v="40101001"/>
    <s v="2018000601"/>
    <x v="218"/>
    <d v="2020-11-29T00:00:00"/>
    <d v="2020-12-09T00:00:00"/>
    <s v="RV"/>
    <s v="USD"/>
    <n v="-27256.76"/>
    <s v="83.95000"/>
    <s v="BDT"/>
    <n v="-2288205.0099999998"/>
    <n v="-27256.76"/>
    <s v="27256.76_1"/>
    <s v=""/>
    <s v="C3231UQ20YAN1183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841"/>
    <x v="35"/>
    <d v="2021-01-20T00:00:00"/>
    <d v="2021-01-27T00:00:00"/>
    <s v="RV"/>
    <s v="USD"/>
    <n v="-27240.37"/>
    <s v="83.95000"/>
    <s v="BDT"/>
    <n v="-2286829.06"/>
    <n v="-27240.37"/>
    <s v="27240.37_1"/>
    <s v=""/>
    <s v="C3246UQ21OSA0060"/>
    <s v="20210120"/>
    <s v=""/>
    <s v=""/>
    <s v="0"/>
    <s v=""/>
    <s v=""/>
    <s v=""/>
    <s v=""/>
    <s v="2010100001"/>
    <s v=""/>
    <m/>
    <s v=""/>
    <s v=""/>
    <s v=""/>
    <n v="0"/>
  </r>
  <r>
    <s v=""/>
    <s v="40101001"/>
    <s v="2018001561"/>
    <x v="219"/>
    <d v="2021-06-21T00:00:00"/>
    <d v="2021-06-24T00:00:00"/>
    <s v="RV"/>
    <s v="USD"/>
    <n v="-27188.37"/>
    <s v="83.95000"/>
    <s v="BDT"/>
    <n v="-2282463.66"/>
    <n v="-27188.37"/>
    <s v="27188.37_1"/>
    <s v=""/>
    <s v="C3312LVUS0837-21"/>
    <s v="20210621"/>
    <s v=""/>
    <s v=""/>
    <s v="0"/>
    <s v=""/>
    <s v=""/>
    <s v=""/>
    <s v=""/>
    <s v="2010100001"/>
    <s v=""/>
    <m/>
    <s v=""/>
    <s v=""/>
    <s v=""/>
    <n v="0"/>
  </r>
  <r>
    <s v=""/>
    <s v="40101001"/>
    <s v="2018000668"/>
    <x v="79"/>
    <d v="2020-12-18T00:00:00"/>
    <d v="2020-12-22T00:00:00"/>
    <s v="RV"/>
    <s v="USD"/>
    <n v="-27163.37"/>
    <s v="83.95000"/>
    <s v="BDT"/>
    <n v="-2280364.91"/>
    <n v="-27163.37"/>
    <s v="27163.37_1"/>
    <s v=""/>
    <s v="C3234UQ20TOM1327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400"/>
    <x v="67"/>
    <d v="2020-10-27T00:00:00"/>
    <d v="2020-11-03T00:00:00"/>
    <s v="RV"/>
    <s v="USD"/>
    <n v="-27100.1"/>
    <s v="83.95000"/>
    <s v="BDT"/>
    <n v="-2275053.4"/>
    <n v="-27100.1"/>
    <s v="27100.1_1"/>
    <s v=""/>
    <s v="C3205UQ20SHA1004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0421"/>
    <x v="98"/>
    <d v="2020-10-21T00:00:00"/>
    <d v="2020-11-07T00:00:00"/>
    <s v="RV"/>
    <s v="USD"/>
    <n v="-27068.14"/>
    <s v="83.95000"/>
    <s v="BDT"/>
    <n v="-2272370.35"/>
    <n v="-27068.14"/>
    <s v="27068.14_1"/>
    <s v=""/>
    <s v="C3140LVUS0988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353"/>
    <x v="7"/>
    <d v="2020-10-19T00:00:00"/>
    <d v="2020-10-24T00:00:00"/>
    <s v="RV"/>
    <s v="USD"/>
    <n v="-27063.79"/>
    <s v="83.95000"/>
    <s v="BDT"/>
    <n v="-2272005.1800000002"/>
    <n v="-27063.79"/>
    <s v="27063.79_1"/>
    <s v=""/>
    <s v="C3156DC20US0985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597"/>
    <x v="27"/>
    <d v="2020-11-30T00:00:00"/>
    <d v="2020-12-07T00:00:00"/>
    <s v="RV"/>
    <s v="USD"/>
    <n v="-26972.400000000001"/>
    <s v="83.95000"/>
    <s v="BDT"/>
    <n v="-2264332.98"/>
    <n v="-26972.400000000001"/>
    <s v="26972.4_1"/>
    <s v=""/>
    <s v="C3145LVCA122320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26919.61"/>
    <s v="83.95000"/>
    <s v="BDT"/>
    <n v="-2259901.2599999998"/>
    <n v="-26919.61"/>
    <s v="26919.61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1569"/>
    <x v="75"/>
    <d v="2021-06-17T00:00:00"/>
    <d v="2021-06-24T00:00:00"/>
    <s v="RV"/>
    <s v="USD"/>
    <n v="-26878.68"/>
    <s v="83.95000"/>
    <s v="BDT"/>
    <n v="-2256465.19"/>
    <n v="-26878.68"/>
    <s v="26878.68_1"/>
    <s v=""/>
    <s v="C3335LVUS0792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359"/>
    <x v="162"/>
    <d v="2021-05-15T00:00:00"/>
    <d v="2021-05-20T00:00:00"/>
    <s v="RV"/>
    <s v="USD"/>
    <n v="-26773.66"/>
    <s v="83.95000"/>
    <s v="BDT"/>
    <n v="-2247648.7599999998"/>
    <n v="-26773.66"/>
    <s v="26773.66_1"/>
    <s v=""/>
    <s v="C3281LVUS0615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041"/>
    <x v="136"/>
    <d v="2020-07-09T00:00:00"/>
    <d v="2020-07-20T00:00:00"/>
    <s v="RV"/>
    <s v="USD"/>
    <n v="-26696.1"/>
    <s v="83.95000"/>
    <s v="BDT"/>
    <n v="-2241137.6"/>
    <n v="-26696.1"/>
    <s v="26696.1_1"/>
    <s v=""/>
    <s v="C3036LVUS0592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764"/>
    <x v="134"/>
    <d v="2020-12-31T00:00:00"/>
    <d v="2021-01-05T00:00:00"/>
    <s v="RV"/>
    <s v="USD"/>
    <n v="-26671.81"/>
    <s v="83.95000"/>
    <s v="BDT"/>
    <n v="-2239098.4500000002"/>
    <n v="-26671.81"/>
    <s v="26671.81_1"/>
    <s v=""/>
    <s v="C3247UQ20YOK1374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1422"/>
    <x v="114"/>
    <d v="2021-05-25T00:00:00"/>
    <d v="2021-05-29T00:00:00"/>
    <s v="RV"/>
    <s v="USD"/>
    <n v="-26517.9"/>
    <s v="83.95000"/>
    <s v="BDT"/>
    <n v="-2226177.71"/>
    <n v="-26517.9"/>
    <s v="26517.9_1"/>
    <s v=""/>
    <s v="C3331UQ21VN0652"/>
    <s v="20210525"/>
    <s v=""/>
    <s v=""/>
    <s v="0"/>
    <s v=""/>
    <s v=""/>
    <s v=""/>
    <s v=""/>
    <s v="2010100001"/>
    <s v=""/>
    <m/>
    <s v=""/>
    <s v=""/>
    <s v=""/>
    <n v="0"/>
  </r>
  <r>
    <s v=""/>
    <s v="40101001"/>
    <s v="2018001531"/>
    <x v="86"/>
    <d v="2021-06-14T00:00:00"/>
    <d v="2021-06-17T00:00:00"/>
    <s v="RV"/>
    <s v="USD"/>
    <n v="-26452.3"/>
    <s v="83.95000"/>
    <s v="BDT"/>
    <n v="-2220670.59"/>
    <n v="-26452.3"/>
    <s v="26452.3_1"/>
    <s v=""/>
    <s v="C3270LVGR0795-21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0041"/>
    <x v="136"/>
    <d v="2020-07-09T00:00:00"/>
    <d v="2020-07-20T00:00:00"/>
    <s v="RV"/>
    <s v="USD"/>
    <n v="-26444.240000000002"/>
    <s v="83.95000"/>
    <s v="BDT"/>
    <n v="-2219993.9500000002"/>
    <n v="-26444.240000000002"/>
    <s v="26444.24_1"/>
    <s v=""/>
    <s v="C3036LVUS0592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365"/>
    <x v="98"/>
    <d v="2020-10-21T00:00:00"/>
    <d v="2020-10-28T00:00:00"/>
    <s v="RV"/>
    <s v="USD"/>
    <n v="-26390.41"/>
    <s v="83.95000"/>
    <s v="BDT"/>
    <n v="-2215474.92"/>
    <n v="-26390.41"/>
    <s v="26390.41_1"/>
    <s v=""/>
    <s v="C3102LVUS0989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806"/>
    <x v="42"/>
    <d v="2021-01-14T00:00:00"/>
    <d v="2021-01-20T00:00:00"/>
    <s v="RV"/>
    <s v="USD"/>
    <n v="-26376.77"/>
    <s v="83.95000"/>
    <s v="BDT"/>
    <n v="-2214329.84"/>
    <n v="-26376.77"/>
    <s v="26376.77_1"/>
    <s v=""/>
    <s v="C3253UQ21HAK0018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268"/>
    <x v="200"/>
    <d v="2020-09-25T00:00:00"/>
    <d v="2020-09-29T00:00:00"/>
    <s v="RV"/>
    <s v="USD"/>
    <n v="-26338.17"/>
    <s v="83.95000"/>
    <s v="BDT"/>
    <n v="-2211089.37"/>
    <n v="-26338.17"/>
    <s v="26338.17_1"/>
    <s v=""/>
    <s v="C3208UQ20HK0903"/>
    <s v="20200925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26265.77"/>
    <s v="83.95000"/>
    <s v="BDT"/>
    <n v="-2205011.39"/>
    <n v="-26265.77"/>
    <s v="26265.77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764"/>
    <x v="134"/>
    <d v="2020-12-31T00:00:00"/>
    <d v="2021-01-05T00:00:00"/>
    <s v="RV"/>
    <s v="USD"/>
    <n v="-26264.61"/>
    <s v="83.95000"/>
    <s v="BDT"/>
    <n v="-2204914.0099999998"/>
    <n v="-26264.61"/>
    <s v="26264.61_1"/>
    <s v=""/>
    <s v="C3247UQ20YOK1374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1179"/>
    <x v="177"/>
    <d v="2021-03-23T00:00:00"/>
    <d v="2021-04-04T00:00:00"/>
    <s v="RV"/>
    <s v="USD"/>
    <n v="-26186.53"/>
    <s v="83.95000"/>
    <s v="BDT"/>
    <n v="-2198359.19"/>
    <n v="-26186.53"/>
    <s v="26186.53_1"/>
    <s v=""/>
    <s v="C3271UQ21TW0332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1201"/>
    <x v="220"/>
    <d v="2021-04-08T00:00:00"/>
    <d v="2021-04-12T00:00:00"/>
    <s v="RV"/>
    <s v="USD"/>
    <n v="-26176.91"/>
    <s v="83.95000"/>
    <s v="BDT"/>
    <n v="-2197551.59"/>
    <n v="-26176.91"/>
    <s v="26176.91_1"/>
    <s v=""/>
    <s v="C3344UQ21TOK0432"/>
    <s v="20210408"/>
    <s v=""/>
    <s v=""/>
    <s v="0"/>
    <s v=""/>
    <s v=""/>
    <s v=""/>
    <s v=""/>
    <s v="2010100001"/>
    <s v=""/>
    <m/>
    <s v=""/>
    <s v=""/>
    <s v=""/>
    <n v="0"/>
  </r>
  <r>
    <s v=""/>
    <s v="40101001"/>
    <s v="2018000810"/>
    <x v="42"/>
    <d v="2021-01-14T00:00:00"/>
    <d v="2021-01-20T00:00:00"/>
    <s v="RV"/>
    <s v="USD"/>
    <n v="-26102.33"/>
    <s v="83.95000"/>
    <s v="BDT"/>
    <n v="-2191290.6"/>
    <n v="-26102.33"/>
    <s v="26102.33_1"/>
    <s v=""/>
    <s v="C3271UQ21TH0027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459"/>
    <x v="221"/>
    <d v="2020-11-06T00:00:00"/>
    <d v="2020-11-14T00:00:00"/>
    <s v="RV"/>
    <s v="USD"/>
    <n v="-26076.45"/>
    <s v="83.95000"/>
    <s v="BDT"/>
    <n v="-2189117.98"/>
    <n v="-26076.45"/>
    <s v="26076.45_1"/>
    <s v=""/>
    <s v="C3103LVUS094320"/>
    <s v="20201106"/>
    <s v=""/>
    <s v=""/>
    <s v="0"/>
    <s v=""/>
    <s v=""/>
    <s v=""/>
    <s v=""/>
    <s v="2010100001"/>
    <s v=""/>
    <m/>
    <s v=""/>
    <s v=""/>
    <s v=""/>
    <n v="0"/>
  </r>
  <r>
    <s v=""/>
    <s v="40101001"/>
    <s v="2018000637"/>
    <x v="214"/>
    <d v="2020-12-01T00:00:00"/>
    <d v="2020-12-15T00:00:00"/>
    <s v="RV"/>
    <s v="USD"/>
    <n v="-26056.12"/>
    <s v="83.95000"/>
    <s v="BDT"/>
    <n v="-2187411.27"/>
    <n v="-26056.12"/>
    <s v="26056.12_1"/>
    <s v=""/>
    <s v="C3168UQ20HAK12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233"/>
    <x v="207"/>
    <d v="2020-09-03T00:00:00"/>
    <d v="2020-09-16T00:00:00"/>
    <s v="RV"/>
    <s v="USD"/>
    <n v="-25988.05"/>
    <s v="83.95000"/>
    <s v="BDT"/>
    <n v="-2181696.7999999998"/>
    <n v="-25988.05"/>
    <s v="25988.05_1"/>
    <s v=""/>
    <s v="C3101LVUS080920"/>
    <s v="20200903"/>
    <s v=""/>
    <s v=""/>
    <s v="0"/>
    <s v=""/>
    <s v=""/>
    <s v=""/>
    <s v=""/>
    <s v="2010100001"/>
    <s v=""/>
    <m/>
    <s v=""/>
    <s v=""/>
    <s v=""/>
    <n v="0"/>
  </r>
  <r>
    <s v=""/>
    <s v="40101001"/>
    <s v="2018001227"/>
    <x v="222"/>
    <d v="2021-04-16T00:00:00"/>
    <d v="2021-04-22T00:00:00"/>
    <s v="RV"/>
    <s v="USD"/>
    <n v="-25976.13"/>
    <s v="83.95000"/>
    <s v="BDT"/>
    <n v="-2180696.11"/>
    <n v="-25976.13"/>
    <s v="25976.13_1"/>
    <s v=""/>
    <s v="C3316UQ21NAG0467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0233"/>
    <x v="207"/>
    <d v="2020-09-03T00:00:00"/>
    <d v="2020-09-16T00:00:00"/>
    <s v="RV"/>
    <s v="USD"/>
    <n v="-25943.49"/>
    <s v="83.95000"/>
    <s v="BDT"/>
    <n v="-2177955.98"/>
    <n v="-25943.49"/>
    <s v="25943.49_1"/>
    <s v=""/>
    <s v="C3101LVUS080920"/>
    <s v="20200903"/>
    <s v=""/>
    <s v=""/>
    <s v="0"/>
    <s v=""/>
    <s v=""/>
    <s v=""/>
    <s v=""/>
    <s v="2010100001"/>
    <s v=""/>
    <m/>
    <s v=""/>
    <s v=""/>
    <s v=""/>
    <n v="0"/>
  </r>
  <r>
    <s v=""/>
    <s v="40101001"/>
    <s v="2018000498"/>
    <x v="65"/>
    <d v="2020-11-11T00:00:00"/>
    <d v="2020-11-18T00:00:00"/>
    <s v="RV"/>
    <s v="USD"/>
    <n v="-25939.98"/>
    <s v="83.95000"/>
    <s v="BDT"/>
    <n v="-2177661.3199999998"/>
    <n v="-25939.98"/>
    <s v="25939.98_1"/>
    <s v=""/>
    <s v="C3168UQ20LA1095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1624"/>
    <x v="93"/>
    <d v="2021-06-29T00:00:00"/>
    <d v="2021-07-07T00:00:00"/>
    <s v="RV"/>
    <s v="USD"/>
    <n v="-25932.46"/>
    <s v="83.95000"/>
    <s v="BDT"/>
    <n v="-2177030.02"/>
    <n v="-25932.46"/>
    <s v="25932.46_1"/>
    <s v=""/>
    <s v="C3284LVUS0861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266"/>
    <x v="82"/>
    <d v="2020-09-22T00:00:00"/>
    <d v="2020-09-26T00:00:00"/>
    <s v="RV"/>
    <s v="USD"/>
    <n v="-25931.39"/>
    <s v="83.95000"/>
    <s v="BDT"/>
    <n v="-2176940.19"/>
    <n v="-25931.39"/>
    <s v="25931.39_1"/>
    <s v=""/>
    <s v="C3208UQ20HK0901"/>
    <s v="20200922"/>
    <s v=""/>
    <s v=""/>
    <s v="0"/>
    <s v=""/>
    <s v=""/>
    <s v=""/>
    <s v=""/>
    <s v="2010100001"/>
    <s v=""/>
    <m/>
    <s v=""/>
    <s v=""/>
    <s v=""/>
    <n v="0"/>
  </r>
  <r>
    <s v=""/>
    <s v="40101001"/>
    <s v="2018000233"/>
    <x v="207"/>
    <d v="2020-09-03T00:00:00"/>
    <d v="2020-09-16T00:00:00"/>
    <s v="RV"/>
    <s v="USD"/>
    <n v="-25886.19"/>
    <s v="83.95000"/>
    <s v="BDT"/>
    <n v="-2173145.65"/>
    <n v="-25886.19"/>
    <s v="25886.19_1"/>
    <s v=""/>
    <s v="C3101LVUS080920"/>
    <s v="20200903"/>
    <s v=""/>
    <s v=""/>
    <s v="0"/>
    <s v=""/>
    <s v=""/>
    <s v=""/>
    <s v=""/>
    <s v="2010100001"/>
    <s v=""/>
    <m/>
    <s v=""/>
    <s v=""/>
    <s v=""/>
    <n v="0"/>
  </r>
  <r>
    <s v=""/>
    <s v="40101001"/>
    <s v="2018000190"/>
    <x v="60"/>
    <d v="2020-08-25T00:00:00"/>
    <d v="2020-09-05T00:00:00"/>
    <s v="RV"/>
    <s v="USD"/>
    <n v="-25873.46"/>
    <s v="83.95000"/>
    <s v="BDT"/>
    <n v="-2172076.9700000002"/>
    <n v="-25873.46"/>
    <s v="25873.46_1"/>
    <s v=""/>
    <s v="C3101LVUS078320"/>
    <s v="20200825"/>
    <s v=""/>
    <s v=""/>
    <s v="0"/>
    <s v=""/>
    <s v=""/>
    <s v=""/>
    <s v=""/>
    <s v="2010100001"/>
    <s v=""/>
    <m/>
    <s v=""/>
    <s v=""/>
    <s v=""/>
    <n v="0"/>
  </r>
  <r>
    <s v=""/>
    <s v="40101001"/>
    <s v="2018000637"/>
    <x v="214"/>
    <d v="2020-12-01T00:00:00"/>
    <d v="2020-12-15T00:00:00"/>
    <s v="RV"/>
    <s v="USD"/>
    <n v="-25870.67"/>
    <s v="83.95000"/>
    <s v="BDT"/>
    <n v="-2171842.75"/>
    <n v="-25870.67"/>
    <s v="25870.67_1"/>
    <s v=""/>
    <s v="C3168UQ20HAK12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1055"/>
    <x v="191"/>
    <d v="2021-03-08T00:00:00"/>
    <d v="2021-03-13T00:00:00"/>
    <s v="RV"/>
    <s v="USD"/>
    <n v="-25841.98"/>
    <s v="83.95000"/>
    <s v="BDT"/>
    <n v="-2169434.2200000002"/>
    <n v="-25841.98"/>
    <s v="25841.98_1"/>
    <s v=""/>
    <s v="C3271UQ21SG0260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0363"/>
    <x v="223"/>
    <d v="2020-10-14T00:00:00"/>
    <d v="2020-10-28T00:00:00"/>
    <s v="RV"/>
    <s v="USD"/>
    <n v="-25841.46"/>
    <s v="83.95000"/>
    <s v="BDT"/>
    <n v="-2169390.56"/>
    <n v="-25841.46"/>
    <s v="25841.46_1"/>
    <s v=""/>
    <s v="C3159UQ20KR0970"/>
    <s v="20201014"/>
    <s v=""/>
    <s v=""/>
    <s v="0"/>
    <s v=""/>
    <s v=""/>
    <s v=""/>
    <s v=""/>
    <s v="2010100001"/>
    <s v=""/>
    <m/>
    <s v=""/>
    <s v=""/>
    <s v=""/>
    <n v="0"/>
  </r>
  <r>
    <s v=""/>
    <s v="40101001"/>
    <s v="2018000677"/>
    <x v="79"/>
    <d v="2020-12-18T00:00:00"/>
    <d v="2020-12-22T00:00:00"/>
    <s v="RV"/>
    <s v="USD"/>
    <n v="-25728.14"/>
    <s v="83.95000"/>
    <s v="BDT"/>
    <n v="-2159877.35"/>
    <n v="-25728.14"/>
    <s v="25728.14_1"/>
    <s v=""/>
    <s v="C3247UQ20YOK1332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315"/>
    <x v="78"/>
    <d v="2020-10-04T00:00:00"/>
    <d v="2020-10-13T00:00:00"/>
    <s v="RV"/>
    <s v="USD"/>
    <n v="-25727.25"/>
    <s v="83.95000"/>
    <s v="BDT"/>
    <n v="-2159802.64"/>
    <n v="-25727.25"/>
    <s v="25727.25_1"/>
    <s v=""/>
    <s v="C3152TS19CE0922"/>
    <s v="20201004"/>
    <s v=""/>
    <s v=""/>
    <s v="0"/>
    <s v=""/>
    <s v=""/>
    <s v=""/>
    <s v=""/>
    <s v="2010100001"/>
    <s v=""/>
    <m/>
    <s v=""/>
    <s v=""/>
    <s v=""/>
    <n v="0"/>
  </r>
  <r>
    <s v=""/>
    <s v="40101001"/>
    <s v="2018000142"/>
    <x v="24"/>
    <d v="2020-08-10T00:00:00"/>
    <d v="2020-08-16T00:00:00"/>
    <s v="RV"/>
    <s v="USD"/>
    <n v="-25651.45"/>
    <s v="83.95000"/>
    <s v="BDT"/>
    <n v="-2153439.23"/>
    <n v="-25651.45"/>
    <s v="25651.45_1"/>
    <s v=""/>
    <s v="C3085LVCA070320"/>
    <s v="20200810"/>
    <s v=""/>
    <s v=""/>
    <s v="0"/>
    <s v=""/>
    <s v=""/>
    <s v=""/>
    <s v=""/>
    <s v="2010100001"/>
    <s v=""/>
    <m/>
    <s v=""/>
    <s v=""/>
    <s v=""/>
    <n v="0"/>
  </r>
  <r>
    <s v=""/>
    <s v="40101001"/>
    <s v="2018000742"/>
    <x v="224"/>
    <d v="2020-12-30T00:00:00"/>
    <d v="2021-01-03T00:00:00"/>
    <s v="RV"/>
    <s v="USD"/>
    <n v="-25630.47"/>
    <s v="83.95000"/>
    <s v="BDT"/>
    <n v="-2151677.96"/>
    <n v="-25630.47"/>
    <s v="25630.47_1"/>
    <s v=""/>
    <s v="C3222LVGR1388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990"/>
    <x v="72"/>
    <d v="2021-02-16T00:00:00"/>
    <d v="2021-02-25T00:00:00"/>
    <s v="RV"/>
    <s v="USD"/>
    <n v="-25627.79"/>
    <s v="83.95000"/>
    <s v="BDT"/>
    <n v="-2151452.9700000002"/>
    <n v="-25627.79"/>
    <s v="25627.79_1"/>
    <s v=""/>
    <s v="C3244LVUS0196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321"/>
    <x v="15"/>
    <d v="2021-05-04T00:00:00"/>
    <d v="2021-05-13T00:00:00"/>
    <s v="RV"/>
    <s v="USD"/>
    <n v="-25599.35"/>
    <s v="83.95000"/>
    <s v="BDT"/>
    <n v="-2149065.4300000002"/>
    <n v="-25599.35"/>
    <s v="25599.35_1"/>
    <s v=""/>
    <s v="C3308UQ21SEN0550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25549.57"/>
    <s v="83.95000"/>
    <s v="BDT"/>
    <n v="-2144886.4"/>
    <n v="-25549.57"/>
    <s v="25549.57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274"/>
    <x v="175"/>
    <d v="2021-04-30T00:00:00"/>
    <d v="2021-05-05T00:00:00"/>
    <s v="RV"/>
    <s v="USD"/>
    <n v="-25520.41"/>
    <s v="83.95000"/>
    <s v="BDT"/>
    <n v="-2142438.42"/>
    <n v="-25520.41"/>
    <s v="25520.41_1"/>
    <s v=""/>
    <s v="C3316UQ21TOM0535"/>
    <s v="20210430"/>
    <s v=""/>
    <s v=""/>
    <s v="0"/>
    <s v=""/>
    <s v=""/>
    <s v=""/>
    <s v=""/>
    <s v="2010100001"/>
    <s v=""/>
    <m/>
    <s v=""/>
    <s v=""/>
    <s v=""/>
    <n v="0"/>
  </r>
  <r>
    <s v=""/>
    <s v="40101001"/>
    <s v="2018000742"/>
    <x v="224"/>
    <d v="2020-12-30T00:00:00"/>
    <d v="2021-01-03T00:00:00"/>
    <s v="RV"/>
    <s v="USD"/>
    <n v="-25510.22"/>
    <s v="83.95000"/>
    <s v="BDT"/>
    <n v="-2141582.9700000002"/>
    <n v="-25510.22"/>
    <s v="25510.22_1"/>
    <s v=""/>
    <s v="C3222LVGR1388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1600"/>
    <x v="195"/>
    <d v="2021-06-28T00:00:00"/>
    <d v="2021-06-30T00:00:00"/>
    <s v="RV"/>
    <s v="USD"/>
    <n v="-25426.09"/>
    <s v="83.95000"/>
    <s v="BDT"/>
    <n v="-2134520.2599999998"/>
    <n v="-25426.09"/>
    <s v="25426.09_1"/>
    <s v=""/>
    <s v="C3311LVUS0874-21"/>
    <s v="20210628"/>
    <s v=""/>
    <s v=""/>
    <s v="0"/>
    <s v=""/>
    <s v=""/>
    <s v=""/>
    <s v=""/>
    <s v="2010100001"/>
    <s v=""/>
    <m/>
    <s v=""/>
    <s v=""/>
    <s v=""/>
    <n v="0"/>
  </r>
  <r>
    <s v=""/>
    <s v="40101001"/>
    <s v="2018000772"/>
    <x v="211"/>
    <d v="2021-01-03T00:00:00"/>
    <d v="2021-01-06T00:00:00"/>
    <s v="RV"/>
    <s v="USD"/>
    <n v="-25409.63"/>
    <s v="83.95000"/>
    <s v="BDT"/>
    <n v="-2133138.44"/>
    <n v="-25409.63"/>
    <s v="25409.63_1"/>
    <s v=""/>
    <s v="C3245UQ20MY1411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432"/>
    <x v="18"/>
    <d v="2020-11-05T00:00:00"/>
    <d v="2020-11-10T00:00:00"/>
    <s v="RV"/>
    <s v="USD"/>
    <n v="-25376.98"/>
    <s v="83.95000"/>
    <s v="BDT"/>
    <n v="-2130397.4700000002"/>
    <n v="-25376.98"/>
    <s v="25376.98_1"/>
    <s v=""/>
    <s v="C3205UQ20TW1039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381"/>
    <x v="56"/>
    <d v="2021-05-13T00:00:00"/>
    <d v="2021-05-20T00:00:00"/>
    <s v="RV"/>
    <s v="USD"/>
    <n v="-25365.56"/>
    <s v="83.95000"/>
    <s v="BDT"/>
    <n v="-2129438.7599999998"/>
    <n v="-25365.56"/>
    <s v="25365.56_1"/>
    <s v=""/>
    <s v="C3308UQ21HAK0645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932"/>
    <x v="73"/>
    <d v="2021-02-08T00:00:00"/>
    <d v="2021-02-14T00:00:00"/>
    <s v="RV"/>
    <s v="USD"/>
    <n v="-25321.07"/>
    <s v="83.95000"/>
    <s v="BDT"/>
    <n v="-2125703.8199999998"/>
    <n v="-25321.07"/>
    <s v="25321.07_1"/>
    <s v=""/>
    <s v="C3260UQ21OSA0181"/>
    <s v="20210208"/>
    <s v=""/>
    <s v=""/>
    <s v="0"/>
    <s v=""/>
    <s v=""/>
    <s v=""/>
    <s v=""/>
    <s v="2010100001"/>
    <s v=""/>
    <m/>
    <s v=""/>
    <s v=""/>
    <s v=""/>
    <n v="0"/>
  </r>
  <r>
    <s v=""/>
    <s v="40101001"/>
    <s v="2018000624"/>
    <x v="26"/>
    <d v="2020-12-07T00:00:00"/>
    <d v="2020-12-13T00:00:00"/>
    <s v="RV"/>
    <s v="USD"/>
    <n v="-25314.31"/>
    <s v="83.95000"/>
    <s v="BDT"/>
    <n v="-2125136.3199999998"/>
    <n v="-25314.31"/>
    <s v="25314.31_1"/>
    <s v=""/>
    <s v="C3168UQ20HAK1260"/>
    <s v="20201207"/>
    <s v=""/>
    <s v=""/>
    <s v="0"/>
    <s v=""/>
    <s v=""/>
    <s v=""/>
    <s v=""/>
    <s v="2010100001"/>
    <s v=""/>
    <m/>
    <s v=""/>
    <s v=""/>
    <s v=""/>
    <n v="0"/>
  </r>
  <r>
    <s v=""/>
    <s v="40101001"/>
    <s v="2018000174"/>
    <x v="84"/>
    <d v="2020-08-05T00:00:00"/>
    <d v="2020-08-29T00:00:00"/>
    <s v="RV"/>
    <s v="USD"/>
    <n v="-25265.49"/>
    <s v="83.95000"/>
    <s v="BDT"/>
    <n v="-2121037.89"/>
    <n v="-25265.49"/>
    <s v="25265.49_1"/>
    <s v=""/>
    <s v="C3064LVUS070520"/>
    <s v="20200805"/>
    <s v=""/>
    <s v=""/>
    <s v="0"/>
    <s v=""/>
    <s v=""/>
    <s v=""/>
    <s v=""/>
    <s v="2010100001"/>
    <s v=""/>
    <m/>
    <s v=""/>
    <s v=""/>
    <s v=""/>
    <n v="0"/>
  </r>
  <r>
    <s v=""/>
    <s v="40101001"/>
    <s v="2018001505"/>
    <x v="202"/>
    <d v="2021-06-06T00:00:00"/>
    <d v="2021-06-17T00:00:00"/>
    <s v="RV"/>
    <s v="USD"/>
    <n v="-25246.87"/>
    <s v="83.95000"/>
    <s v="BDT"/>
    <n v="-2119474.7400000002"/>
    <n v="-25246.87"/>
    <s v="25246.87_1"/>
    <s v=""/>
    <s v="C3283LVMX0695-21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1575"/>
    <x v="103"/>
    <d v="2021-06-18T00:00:00"/>
    <d v="2021-06-24T00:00:00"/>
    <s v="RV"/>
    <s v="USD"/>
    <n v="-25212.84"/>
    <s v="83.95000"/>
    <s v="BDT"/>
    <n v="-2116617.92"/>
    <n v="-25212.84"/>
    <s v="25212.84_1"/>
    <s v=""/>
    <s v="C3329UQ21EU0780"/>
    <s v="20210618"/>
    <s v=""/>
    <s v=""/>
    <s v="0"/>
    <s v=""/>
    <s v=""/>
    <s v=""/>
    <s v=""/>
    <s v="2010100001"/>
    <s v=""/>
    <m/>
    <s v=""/>
    <s v=""/>
    <s v=""/>
    <n v="0"/>
  </r>
  <r>
    <s v=""/>
    <s v="40101001"/>
    <s v="2018000505"/>
    <x v="115"/>
    <d v="2020-11-15T00:00:00"/>
    <d v="2020-11-19T00:00:00"/>
    <s v="RV"/>
    <s v="USD"/>
    <n v="-25199.599999999999"/>
    <s v="83.95000"/>
    <s v="BDT"/>
    <n v="-2115506.42"/>
    <n v="-25199.599999999999"/>
    <s v="25199.6_1"/>
    <s v=""/>
    <s v="C3210UQ20OSA1106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0087"/>
    <x v="41"/>
    <d v="2020-07-26T00:00:00"/>
    <d v="2020-07-29T00:00:00"/>
    <s v="RV"/>
    <s v="USD"/>
    <n v="-25184.2"/>
    <s v="83.95000"/>
    <s v="BDT"/>
    <n v="-2114213.59"/>
    <n v="-25184.2"/>
    <s v="25184.2_1"/>
    <s v=""/>
    <s v="C3126UQ20SYD0674"/>
    <s v="20200726"/>
    <s v=""/>
    <s v=""/>
    <s v="0"/>
    <s v=""/>
    <s v=""/>
    <s v=""/>
    <s v=""/>
    <s v="2010100001"/>
    <s v=""/>
    <m/>
    <s v=""/>
    <s v=""/>
    <s v=""/>
    <n v="0"/>
  </r>
  <r>
    <s v=""/>
    <s v="40101001"/>
    <s v="2018000421"/>
    <x v="98"/>
    <d v="2020-10-21T00:00:00"/>
    <d v="2020-11-07T00:00:00"/>
    <s v="RV"/>
    <s v="USD"/>
    <n v="-25134.7"/>
    <s v="83.95000"/>
    <s v="BDT"/>
    <n v="-2110058.0699999998"/>
    <n v="-25134.7"/>
    <s v="25134.7_1"/>
    <s v=""/>
    <s v="C3140LVUS0988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1493"/>
    <x v="88"/>
    <d v="2021-06-11T00:00:00"/>
    <d v="2021-06-16T00:00:00"/>
    <s v="RV"/>
    <s v="USD"/>
    <n v="-25131.78"/>
    <s v="83.95000"/>
    <s v="BDT"/>
    <n v="-2109812.9300000002"/>
    <n v="-25131.78"/>
    <s v="25131.78_1"/>
    <s v=""/>
    <s v="C3308UQ21TOK0680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502"/>
    <x v="202"/>
    <d v="2021-06-06T00:00:00"/>
    <d v="2021-06-17T00:00:00"/>
    <s v="RV"/>
    <s v="USD"/>
    <n v="-25019.4"/>
    <s v="83.95000"/>
    <s v="BDT"/>
    <n v="-2100378.63"/>
    <n v="-25019.4"/>
    <s v="25019.4_1"/>
    <s v=""/>
    <s v="C3282LVMX0693-21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239"/>
    <x v="81"/>
    <d v="2020-09-16T00:00:00"/>
    <d v="2020-09-22T00:00:00"/>
    <s v="RV"/>
    <s v="USD"/>
    <n v="-25013.21"/>
    <s v="83.95000"/>
    <s v="BDT"/>
    <n v="-2099858.98"/>
    <n v="-25013.21"/>
    <s v="25013.21_1"/>
    <s v=""/>
    <s v="C3154UQ20OSA0859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264"/>
    <x v="63"/>
    <d v="2020-09-24T00:00:00"/>
    <d v="2020-09-26T00:00:00"/>
    <s v="RV"/>
    <s v="USD"/>
    <n v="-25011.14"/>
    <s v="83.95000"/>
    <s v="BDT"/>
    <n v="-2099685.2000000002"/>
    <n v="-25011.14"/>
    <s v="25011.14_1"/>
    <s v=""/>
    <s v="C3171UQ20NAG0898"/>
    <s v="20200924"/>
    <s v=""/>
    <s v=""/>
    <s v="0"/>
    <s v=""/>
    <s v=""/>
    <s v=""/>
    <s v=""/>
    <s v="2010100001"/>
    <s v=""/>
    <m/>
    <s v=""/>
    <s v=""/>
    <s v=""/>
    <n v="0"/>
  </r>
  <r>
    <s v=""/>
    <s v="40101001"/>
    <s v="2018000943"/>
    <x v="46"/>
    <d v="2021-02-07T00:00:00"/>
    <d v="2021-02-14T00:00:00"/>
    <s v="RV"/>
    <s v="USD"/>
    <n v="-25003.46"/>
    <s v="83.95000"/>
    <s v="BDT"/>
    <n v="-2099040.4700000002"/>
    <n v="-25003.46"/>
    <s v="25003.46_1"/>
    <s v=""/>
    <s v="C3272UQ21TOK0149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169"/>
    <x v="189"/>
    <d v="2021-03-26T00:00:00"/>
    <d v="2021-04-04T00:00:00"/>
    <s v="RV"/>
    <s v="USD"/>
    <n v="-24982.28"/>
    <s v="83.95000"/>
    <s v="BDT"/>
    <n v="-2097262.4"/>
    <n v="-24982.28"/>
    <s v="24982.28_1"/>
    <s v=""/>
    <s v="C3187AMZLB0378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656"/>
    <x v="19"/>
    <d v="2020-12-16T00:00:00"/>
    <d v="2020-12-21T00:00:00"/>
    <s v="RV"/>
    <s v="USD"/>
    <n v="-24964.37"/>
    <s v="83.95000"/>
    <s v="BDT"/>
    <n v="-2095758.86"/>
    <n v="-24964.37"/>
    <s v="24964.37_1"/>
    <s v=""/>
    <s v="C3247UQ20YOK1319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089"/>
    <x v="139"/>
    <d v="2020-07-27T00:00:00"/>
    <d v="2020-07-30T00:00:00"/>
    <s v="RV"/>
    <s v="USD"/>
    <n v="-24940.69"/>
    <s v="83.95000"/>
    <s v="BDT"/>
    <n v="-2093770.93"/>
    <n v="-24940.69"/>
    <s v="24940.69_1"/>
    <s v=""/>
    <s v="C3125UQ20KR0678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1089"/>
    <x v="57"/>
    <d v="2021-03-18T00:00:00"/>
    <d v="2021-03-24T00:00:00"/>
    <s v="RV"/>
    <s v="USD"/>
    <n v="-24932.32"/>
    <s v="83.95000"/>
    <s v="BDT"/>
    <n v="-2093068.26"/>
    <n v="-24932.32"/>
    <s v="24932.32_1"/>
    <s v=""/>
    <s v="C3272UQ21OSA0318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0620"/>
    <x v="193"/>
    <d v="2020-12-03T00:00:00"/>
    <d v="2020-12-12T00:00:00"/>
    <s v="RV"/>
    <s v="USD"/>
    <n v="-24910.240000000002"/>
    <s v="83.95000"/>
    <s v="BDT"/>
    <n v="-2091214.65"/>
    <n v="-24910.240000000002"/>
    <s v="24910.24_1"/>
    <s v=""/>
    <s v="C3153TS19CE1205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347"/>
    <x v="7"/>
    <d v="2020-10-19T00:00:00"/>
    <d v="2020-10-24T00:00:00"/>
    <s v="RV"/>
    <s v="USD"/>
    <n v="-24839.65"/>
    <s v="83.95000"/>
    <s v="BDT"/>
    <n v="-2085288.62"/>
    <n v="-24839.65"/>
    <s v="24839.65_1"/>
    <s v=""/>
    <s v="C03202US20-0928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1563"/>
    <x v="219"/>
    <d v="2021-06-21T00:00:00"/>
    <d v="2021-06-24T00:00:00"/>
    <s v="RV"/>
    <s v="USD"/>
    <n v="-24821.75"/>
    <s v="83.95000"/>
    <s v="BDT"/>
    <n v="-2083785.91"/>
    <n v="-24821.75"/>
    <s v="24821.75_1"/>
    <s v=""/>
    <s v="C3312LVUS0836-21"/>
    <s v="20210621"/>
    <s v=""/>
    <s v=""/>
    <s v="0"/>
    <s v=""/>
    <s v=""/>
    <s v=""/>
    <s v=""/>
    <s v="2010100001"/>
    <s v=""/>
    <m/>
    <s v=""/>
    <s v=""/>
    <s v=""/>
    <n v="0"/>
  </r>
  <r>
    <s v=""/>
    <s v="40101001"/>
    <s v="2018000136"/>
    <x v="147"/>
    <d v="2020-07-31T00:00:00"/>
    <d v="2020-08-14T00:00:00"/>
    <s v="RV"/>
    <s v="USD"/>
    <n v="-24818.75"/>
    <s v="83.95000"/>
    <s v="BDT"/>
    <n v="-2083534.06"/>
    <n v="-24818.75"/>
    <s v="24818.75_1"/>
    <s v=""/>
    <s v="C3150UQ20YAN0728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642"/>
    <x v="225"/>
    <d v="2020-12-08T00:00:00"/>
    <d v="2020-12-20T00:00:00"/>
    <s v="RV"/>
    <s v="USD"/>
    <n v="-24705.33"/>
    <s v="83.95000"/>
    <s v="BDT"/>
    <n v="-2074012.45"/>
    <n v="-24705.33"/>
    <s v="24705.33_1"/>
    <s v=""/>
    <s v="C3145LVCA1267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170"/>
    <x v="226"/>
    <d v="2020-08-24T00:00:00"/>
    <d v="2020-08-27T00:00:00"/>
    <s v="RV"/>
    <s v="USD"/>
    <n v="-24705.3"/>
    <s v="83.95000"/>
    <s v="BDT"/>
    <n v="-2074009.94"/>
    <n v="-24705.3"/>
    <s v="24705.3_1"/>
    <s v=""/>
    <s v="C3093UQ20TOK0788"/>
    <s v="20200824"/>
    <s v=""/>
    <s v=""/>
    <s v="0"/>
    <s v=""/>
    <s v=""/>
    <s v=""/>
    <s v=""/>
    <s v="2010100001"/>
    <s v=""/>
    <m/>
    <s v=""/>
    <s v=""/>
    <s v=""/>
    <n v="0"/>
  </r>
  <r>
    <s v=""/>
    <s v="40101001"/>
    <s v="2018000003"/>
    <x v="0"/>
    <d v="2020-07-04T00:00:00"/>
    <d v="2020-07-06T00:00:00"/>
    <s v="RV"/>
    <s v="USD"/>
    <n v="-24694.7"/>
    <s v="83.95000"/>
    <s v="BDT"/>
    <n v="-2073120.07"/>
    <n v="-24694.7"/>
    <s v="24694.7_1"/>
    <s v=""/>
    <s v="C3093UQ20TOK0589"/>
    <s v="20200704"/>
    <s v=""/>
    <s v=""/>
    <s v="0"/>
    <s v=""/>
    <s v=""/>
    <s v=""/>
    <s v=""/>
    <s v="2010100001"/>
    <s v=""/>
    <m/>
    <s v=""/>
    <s v=""/>
    <s v=""/>
    <n v="0"/>
  </r>
  <r>
    <s v=""/>
    <s v="40101001"/>
    <s v="2018000041"/>
    <x v="136"/>
    <d v="2020-07-09T00:00:00"/>
    <d v="2020-07-20T00:00:00"/>
    <s v="RV"/>
    <s v="USD"/>
    <n v="-24689.43"/>
    <s v="83.95000"/>
    <s v="BDT"/>
    <n v="-2072677.65"/>
    <n v="-24689.43"/>
    <s v="24689.43_1"/>
    <s v=""/>
    <s v="C3036LVUS0592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355"/>
    <x v="162"/>
    <d v="2021-05-15T00:00:00"/>
    <d v="2021-05-20T00:00:00"/>
    <s v="RV"/>
    <s v="USD"/>
    <n v="-24626.55"/>
    <s v="83.95000"/>
    <s v="BDT"/>
    <n v="-2067398.87"/>
    <n v="-24626.55"/>
    <s v="24626.55_1"/>
    <s v=""/>
    <s v="C3267LVUS0603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1102"/>
    <x v="217"/>
    <d v="2021-03-22T00:00:00"/>
    <d v="2021-03-25T00:00:00"/>
    <s v="RV"/>
    <s v="USD"/>
    <n v="-24576.39"/>
    <s v="83.95000"/>
    <s v="BDT"/>
    <n v="-2063187.94"/>
    <n v="-24576.39"/>
    <s v="24576.39_1"/>
    <s v=""/>
    <s v="C3274UQ21MEL0330"/>
    <s v="20210322"/>
    <s v=""/>
    <s v=""/>
    <s v="0"/>
    <s v=""/>
    <s v=""/>
    <s v=""/>
    <s v=""/>
    <s v="2010100001"/>
    <s v=""/>
    <m/>
    <s v=""/>
    <s v=""/>
    <s v=""/>
    <n v="0"/>
  </r>
  <r>
    <s v=""/>
    <s v="40101001"/>
    <s v="2018001491"/>
    <x v="88"/>
    <d v="2021-06-11T00:00:00"/>
    <d v="2021-06-16T00:00:00"/>
    <s v="RV"/>
    <s v="USD"/>
    <n v="-24509.14"/>
    <s v="83.95000"/>
    <s v="BDT"/>
    <n v="-2057542.3"/>
    <n v="-24509.14"/>
    <s v="24509.14_1"/>
    <s v=""/>
    <s v="C3329UQ21SEN0764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035"/>
    <x v="122"/>
    <d v="2021-03-04T00:00:00"/>
    <d v="2021-03-10T00:00:00"/>
    <s v="RV"/>
    <s v="USD"/>
    <n v="-24502.45"/>
    <s v="83.95000"/>
    <s v="BDT"/>
    <n v="-2056980.68"/>
    <n v="-24502.45"/>
    <s v="24502.45_1"/>
    <s v=""/>
    <s v="C3242LVUS0257-21"/>
    <s v="20210304"/>
    <s v=""/>
    <s v=""/>
    <s v="0"/>
    <s v=""/>
    <s v=""/>
    <s v=""/>
    <s v=""/>
    <s v="2010100001"/>
    <s v=""/>
    <m/>
    <s v=""/>
    <s v=""/>
    <s v=""/>
    <n v="0"/>
  </r>
  <r>
    <s v=""/>
    <s v="40101001"/>
    <s v="2018001566"/>
    <x v="75"/>
    <d v="2021-06-17T00:00:00"/>
    <d v="2021-06-24T00:00:00"/>
    <s v="RV"/>
    <s v="USD"/>
    <n v="-24450.76"/>
    <s v="83.95000"/>
    <s v="BDT"/>
    <n v="-2052641.3"/>
    <n v="-24450.76"/>
    <s v="24450.76_1"/>
    <s v=""/>
    <s v="C3332LVUS0791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247"/>
    <x v="133"/>
    <d v="2020-09-21T00:00:00"/>
    <d v="2020-09-24T00:00:00"/>
    <s v="RV"/>
    <s v="USD"/>
    <n v="-24369.37"/>
    <s v="83.95000"/>
    <s v="BDT"/>
    <n v="-2045808.61"/>
    <n v="-24369.37"/>
    <s v="24369.37_1"/>
    <s v=""/>
    <s v="C3156DC20US0871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316"/>
    <x v="149"/>
    <d v="2020-10-06T00:00:00"/>
    <d v="2020-10-13T00:00:00"/>
    <s v="RV"/>
    <s v="USD"/>
    <n v="-24351"/>
    <s v="83.95000"/>
    <s v="BDT"/>
    <n v="-2044266.45"/>
    <n v="-24351"/>
    <s v="24351_1"/>
    <s v=""/>
    <s v="C3152TS20UK0850"/>
    <s v="20201006"/>
    <s v=""/>
    <s v=""/>
    <s v="0"/>
    <s v=""/>
    <s v=""/>
    <s v=""/>
    <s v=""/>
    <s v="2010100001"/>
    <s v=""/>
    <m/>
    <s v=""/>
    <s v=""/>
    <s v=""/>
    <n v="0"/>
  </r>
  <r>
    <s v=""/>
    <s v="40101001"/>
    <s v="2018000316"/>
    <x v="149"/>
    <d v="2020-10-06T00:00:00"/>
    <d v="2020-10-13T00:00:00"/>
    <s v="RV"/>
    <s v="USD"/>
    <n v="-24351"/>
    <s v="83.95000"/>
    <s v="BDT"/>
    <n v="-2044266.45"/>
    <n v="-24351"/>
    <s v="24351_2"/>
    <s v=""/>
    <s v="C3152TS20UK0850"/>
    <s v="20201006"/>
    <s v=""/>
    <s v=""/>
    <s v="0"/>
    <s v=""/>
    <s v=""/>
    <s v=""/>
    <s v=""/>
    <s v="2010100001"/>
    <s v=""/>
    <m/>
    <s v=""/>
    <s v=""/>
    <s v=""/>
    <n v="0"/>
  </r>
  <r>
    <s v=""/>
    <s v="40101001"/>
    <s v="2018000998"/>
    <x v="30"/>
    <d v="2021-02-18T00:00:00"/>
    <d v="2021-02-27T00:00:00"/>
    <s v="RV"/>
    <s v="USD"/>
    <n v="-24348.880000000001"/>
    <s v="83.95000"/>
    <s v="BDT"/>
    <n v="-2044088.48"/>
    <n v="-24348.880000000001"/>
    <s v="24348.88_1"/>
    <s v=""/>
    <s v="C3271UQ21KR0214"/>
    <s v="20210218"/>
    <s v=""/>
    <s v=""/>
    <s v="0"/>
    <s v=""/>
    <s v=""/>
    <s v=""/>
    <s v=""/>
    <s v="2010100001"/>
    <s v=""/>
    <m/>
    <s v=""/>
    <s v=""/>
    <s v=""/>
    <n v="0"/>
  </r>
  <r>
    <s v=""/>
    <s v="40101001"/>
    <s v="2018000474"/>
    <x v="110"/>
    <d v="2020-11-08T00:00:00"/>
    <d v="2020-11-14T00:00:00"/>
    <s v="RV"/>
    <s v="USD"/>
    <n v="-24339.83"/>
    <s v="83.95000"/>
    <s v="BDT"/>
    <n v="-2043328.73"/>
    <n v="-24339.83"/>
    <s v="24339.83_1"/>
    <s v=""/>
    <s v="C3231UQ20EU1099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1608"/>
    <x v="104"/>
    <d v="2021-06-23T00:00:00"/>
    <d v="2021-06-30T00:00:00"/>
    <s v="RV"/>
    <s v="USD"/>
    <n v="-24328.12"/>
    <s v="83.95000"/>
    <s v="BDT"/>
    <n v="-2042345.67"/>
    <n v="-24328.12"/>
    <s v="24328.12_1"/>
    <s v=""/>
    <s v="C3311LVUS082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223"/>
    <x v="45"/>
    <d v="2020-09-09T00:00:00"/>
    <d v="2020-09-14T00:00:00"/>
    <s v="RV"/>
    <s v="USD"/>
    <n v="-24318"/>
    <s v="83.95000"/>
    <s v="BDT"/>
    <n v="-2041496.1"/>
    <n v="-24318"/>
    <s v="24318_1"/>
    <s v=""/>
    <s v="C3151UQ20NAG0833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0938"/>
    <x v="73"/>
    <d v="2021-02-08T00:00:00"/>
    <d v="2021-02-14T00:00:00"/>
    <s v="RV"/>
    <s v="USD"/>
    <n v="-24303.24"/>
    <s v="83.95000"/>
    <s v="BDT"/>
    <n v="-2040257"/>
    <n v="-24303.24"/>
    <s v="24303.24_1"/>
    <s v=""/>
    <s v="C3260UQ21YOK0170"/>
    <s v="20210208"/>
    <s v=""/>
    <s v=""/>
    <s v="0"/>
    <s v=""/>
    <s v=""/>
    <s v=""/>
    <s v=""/>
    <s v="2010100001"/>
    <s v=""/>
    <m/>
    <s v=""/>
    <s v=""/>
    <s v=""/>
    <n v="0"/>
  </r>
  <r>
    <s v=""/>
    <s v="40101001"/>
    <s v="2018000947"/>
    <x v="132"/>
    <d v="2021-02-10T00:00:00"/>
    <d v="2021-02-16T00:00:00"/>
    <s v="RV"/>
    <s v="USD"/>
    <n v="-24297.48"/>
    <s v="83.95000"/>
    <s v="BDT"/>
    <n v="-2039773.45"/>
    <n v="-24297.48"/>
    <s v="24297.48_1"/>
    <s v=""/>
    <s v="C3232UQ21KR0185"/>
    <s v="20210210"/>
    <s v=""/>
    <s v=""/>
    <s v="0"/>
    <s v=""/>
    <s v=""/>
    <s v=""/>
    <s v=""/>
    <s v="2010100001"/>
    <s v=""/>
    <m/>
    <s v=""/>
    <s v=""/>
    <s v=""/>
    <n v="0"/>
  </r>
  <r>
    <s v=""/>
    <s v="40101001"/>
    <s v="2018001172"/>
    <x v="189"/>
    <d v="2021-03-26T00:00:00"/>
    <d v="2021-04-04T00:00:00"/>
    <s v="RV"/>
    <s v="USD"/>
    <n v="-24251.98"/>
    <s v="83.95000"/>
    <s v="BDT"/>
    <n v="-2035953.72"/>
    <n v="-24251.98"/>
    <s v="24251.98_1"/>
    <s v=""/>
    <s v="C3173AMZLB0362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242"/>
    <x v="227"/>
    <d v="2020-09-13T00:00:00"/>
    <d v="2020-09-23T00:00:00"/>
    <s v="RV"/>
    <s v="USD"/>
    <n v="-24247.62"/>
    <s v="83.95000"/>
    <s v="BDT"/>
    <n v="-2035587.7"/>
    <n v="-24247.62"/>
    <s v="24247.62_1"/>
    <s v=""/>
    <s v="C3152TS19CE0845"/>
    <s v="20200913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24231.17"/>
    <s v="83.95000"/>
    <s v="BDT"/>
    <n v="-2034206.72"/>
    <n v="-24231.17"/>
    <s v="24231.17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069"/>
    <x v="53"/>
    <d v="2020-07-22T00:00:00"/>
    <d v="2020-07-28T00:00:00"/>
    <s v="RV"/>
    <s v="USD"/>
    <n v="-24200.880000000001"/>
    <s v="83.95000"/>
    <s v="BDT"/>
    <n v="-2031663.88"/>
    <n v="-24200.880000000001"/>
    <s v="24200.88_1"/>
    <s v=""/>
    <s v="C3122UQ20SHA0667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24186.99"/>
    <s v="83.95000"/>
    <s v="BDT"/>
    <n v="-2030497.81"/>
    <n v="-24186.99"/>
    <s v="24186.99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242"/>
    <x v="227"/>
    <d v="2020-09-13T00:00:00"/>
    <d v="2020-09-23T00:00:00"/>
    <s v="RV"/>
    <s v="USD"/>
    <n v="-24162"/>
    <s v="83.95000"/>
    <s v="BDT"/>
    <n v="-2028399.9"/>
    <n v="-24162"/>
    <s v="24162_1"/>
    <s v=""/>
    <s v="C3152TS19CE0845"/>
    <s v="20200913"/>
    <s v=""/>
    <s v=""/>
    <s v="0"/>
    <s v=""/>
    <s v=""/>
    <s v=""/>
    <s v=""/>
    <s v="2010100001"/>
    <s v=""/>
    <m/>
    <s v=""/>
    <s v=""/>
    <s v=""/>
    <n v="0"/>
  </r>
  <r>
    <s v=""/>
    <s v="40101001"/>
    <s v="2018000257"/>
    <x v="121"/>
    <d v="2020-09-11T00:00:00"/>
    <d v="2020-09-26T00:00:00"/>
    <s v="RV"/>
    <s v="USD"/>
    <n v="-24146.1"/>
    <s v="83.95000"/>
    <s v="BDT"/>
    <n v="-2027065.1"/>
    <n v="-24146.1"/>
    <s v="24146.1_1"/>
    <s v=""/>
    <s v="C03139DN20IR0826"/>
    <s v="20200911"/>
    <s v=""/>
    <s v=""/>
    <s v="0"/>
    <s v=""/>
    <s v=""/>
    <s v=""/>
    <s v=""/>
    <s v="2010100001"/>
    <s v=""/>
    <m/>
    <s v=""/>
    <s v=""/>
    <s v=""/>
    <n v="0"/>
  </r>
  <r>
    <s v=""/>
    <s v="40101001"/>
    <s v="2018000922"/>
    <x v="46"/>
    <d v="2021-02-07T00:00:00"/>
    <d v="2021-02-14T00:00:00"/>
    <s v="RV"/>
    <s v="USD"/>
    <n v="-24116.83"/>
    <s v="83.95000"/>
    <s v="BDT"/>
    <n v="-2024607.88"/>
    <n v="-24116.83"/>
    <s v="24116.83_1"/>
    <s v=""/>
    <s v="C3232UQ21KR0135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0818"/>
    <x v="126"/>
    <d v="2021-01-13T00:00:00"/>
    <d v="2021-01-21T00:00:00"/>
    <s v="RV"/>
    <s v="USD"/>
    <n v="-24097.34"/>
    <s v="83.95000"/>
    <s v="BDT"/>
    <n v="-2022971.69"/>
    <n v="-24097.34"/>
    <s v="24097.34_1"/>
    <s v=""/>
    <s v="C3213LVUS0010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514"/>
    <x v="76"/>
    <d v="2020-11-19T00:00:00"/>
    <d v="2020-11-24T00:00:00"/>
    <s v="RV"/>
    <s v="USD"/>
    <n v="-24060.43"/>
    <s v="83.95000"/>
    <s v="BDT"/>
    <n v="-2019873.1"/>
    <n v="-24060.43"/>
    <s v="24060.43_1"/>
    <s v=""/>
    <s v="C3142LVUS114820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1052"/>
    <x v="167"/>
    <d v="2021-03-09T00:00:00"/>
    <d v="2021-03-11T00:00:00"/>
    <s v="RV"/>
    <s v="USD"/>
    <n v="-24060.17"/>
    <s v="83.95000"/>
    <s v="BDT"/>
    <n v="-2019851.27"/>
    <n v="-24060.17"/>
    <s v="24060.17_1"/>
    <s v=""/>
    <s v="C3242LVUS0256-21"/>
    <s v="20210309"/>
    <s v=""/>
    <s v=""/>
    <s v="0"/>
    <s v=""/>
    <s v=""/>
    <s v=""/>
    <s v=""/>
    <s v="2010100001"/>
    <s v=""/>
    <m/>
    <s v=""/>
    <s v=""/>
    <s v=""/>
    <n v="0"/>
  </r>
  <r>
    <s v=""/>
    <s v="40101001"/>
    <s v="2018000189"/>
    <x v="60"/>
    <d v="2020-08-25T00:00:00"/>
    <d v="2020-09-05T00:00:00"/>
    <s v="RV"/>
    <s v="USD"/>
    <n v="-24037.41"/>
    <s v="83.95000"/>
    <s v="BDT"/>
    <n v="-2017940.57"/>
    <n v="-24037.41"/>
    <s v="24037.41_1"/>
    <s v=""/>
    <s v="C3083LVUS080020"/>
    <s v="20200825"/>
    <s v=""/>
    <s v=""/>
    <s v="0"/>
    <s v=""/>
    <s v=""/>
    <s v=""/>
    <s v=""/>
    <s v="2010100001"/>
    <s v=""/>
    <m/>
    <s v=""/>
    <s v=""/>
    <s v=""/>
    <n v="0"/>
  </r>
  <r>
    <s v=""/>
    <s v="40101001"/>
    <s v="2018000241"/>
    <x v="81"/>
    <d v="2020-09-16T00:00:00"/>
    <d v="2020-09-22T00:00:00"/>
    <s v="RV"/>
    <s v="USD"/>
    <n v="-24019.31"/>
    <s v="83.95000"/>
    <s v="BDT"/>
    <n v="-2016421.07"/>
    <n v="-24019.31"/>
    <s v="24019.31_1"/>
    <s v=""/>
    <s v="C3154UQ20TOK0864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1071"/>
    <x v="228"/>
    <d v="2021-03-12T00:00:00"/>
    <d v="2021-03-17T00:00:00"/>
    <s v="RV"/>
    <s v="USD"/>
    <n v="-23974.38"/>
    <s v="83.95000"/>
    <s v="BDT"/>
    <n v="-2012649.2"/>
    <n v="-23974.38"/>
    <s v="23974.38_1"/>
    <s v=""/>
    <s v="C3244LVUS0277-21"/>
    <s v="20210312"/>
    <s v=""/>
    <s v=""/>
    <s v="0"/>
    <s v=""/>
    <s v=""/>
    <s v=""/>
    <s v=""/>
    <s v="2010100001"/>
    <s v=""/>
    <m/>
    <s v=""/>
    <s v=""/>
    <s v=""/>
    <n v="0"/>
  </r>
  <r>
    <s v=""/>
    <s v="40101001"/>
    <s v="2018001350"/>
    <x v="51"/>
    <d v="2021-05-08T00:00:00"/>
    <d v="2021-05-17T00:00:00"/>
    <s v="RV"/>
    <s v="USD"/>
    <n v="-23896.75"/>
    <s v="83.95000"/>
    <s v="BDT"/>
    <n v="-2006132.17"/>
    <n v="-23896.75"/>
    <s v="23896.75_1"/>
    <s v=""/>
    <s v="C3194AMZLB0464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214"/>
    <x v="40"/>
    <d v="2020-09-08T00:00:00"/>
    <d v="2020-09-12T00:00:00"/>
    <s v="RV"/>
    <s v="USD"/>
    <n v="-23853.66"/>
    <s v="83.95000"/>
    <s v="BDT"/>
    <n v="-2002514.76"/>
    <n v="-23853.66"/>
    <s v="23853.66_1"/>
    <s v=""/>
    <s v="C3154UQ20NAG0779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1272"/>
    <x v="71"/>
    <d v="2021-04-28T00:00:00"/>
    <d v="2021-05-03T00:00:00"/>
    <s v="RV"/>
    <s v="USD"/>
    <n v="-23840.04"/>
    <s v="83.95000"/>
    <s v="BDT"/>
    <n v="-2001371.36"/>
    <n v="-23840.04"/>
    <s v="23840.04_1"/>
    <s v=""/>
    <s v="C3250LVUS0519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407"/>
    <x v="146"/>
    <d v="2020-11-02T00:00:00"/>
    <d v="2020-11-04T00:00:00"/>
    <s v="RV"/>
    <s v="USD"/>
    <n v="-23838.85"/>
    <s v="83.95000"/>
    <s v="BDT"/>
    <n v="-2001271.46"/>
    <n v="-23838.85"/>
    <s v="23838.85_1"/>
    <s v=""/>
    <s v="C3104LVGR101420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1113"/>
    <x v="89"/>
    <d v="2021-03-21T00:00:00"/>
    <d v="2021-03-28T00:00:00"/>
    <s v="RV"/>
    <s v="USD"/>
    <n v="-23796.21"/>
    <s v="83.95000"/>
    <s v="BDT"/>
    <n v="-1997691.83"/>
    <n v="-23796.21"/>
    <s v="23796.21_1"/>
    <s v=""/>
    <s v="C3223LVUS0305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116"/>
    <x v="229"/>
    <d v="2020-08-03T00:00:00"/>
    <d v="2020-08-10T00:00:00"/>
    <s v="RV"/>
    <s v="USD"/>
    <n v="-23782.25"/>
    <s v="83.95000"/>
    <s v="BDT"/>
    <n v="-1996519.89"/>
    <n v="-23782.25"/>
    <s v="23782.25_1"/>
    <s v=""/>
    <s v="C3093UQ20NAG0713"/>
    <s v="20200803"/>
    <s v=""/>
    <s v=""/>
    <s v="0"/>
    <s v=""/>
    <s v=""/>
    <s v=""/>
    <s v=""/>
    <s v="2010100001"/>
    <s v=""/>
    <m/>
    <s v=""/>
    <s v=""/>
    <s v=""/>
    <n v="0"/>
  </r>
  <r>
    <s v=""/>
    <s v="40101001"/>
    <s v="2018000650"/>
    <x v="230"/>
    <d v="2020-12-14T00:00:00"/>
    <d v="2020-12-20T00:00:00"/>
    <s v="RV"/>
    <s v="USD"/>
    <n v="-23746.17"/>
    <s v="83.95000"/>
    <s v="BDT"/>
    <n v="-1993490.97"/>
    <n v="-23746.17"/>
    <s v="23746.17_1"/>
    <s v=""/>
    <s v="C3233UQ20EU1288"/>
    <s v="20201214"/>
    <s v=""/>
    <s v=""/>
    <s v="0"/>
    <s v=""/>
    <s v=""/>
    <s v=""/>
    <s v=""/>
    <s v="2010100001"/>
    <s v=""/>
    <m/>
    <s v=""/>
    <s v=""/>
    <s v=""/>
    <n v="0"/>
  </r>
  <r>
    <s v=""/>
    <s v="40101001"/>
    <s v="2018001004"/>
    <x v="231"/>
    <d v="2021-02-22T00:00:00"/>
    <d v="2021-02-28T00:00:00"/>
    <s v="RV"/>
    <s v="USD"/>
    <n v="-23700.85"/>
    <s v="83.95000"/>
    <s v="BDT"/>
    <n v="-1989686.36"/>
    <n v="-23700.85"/>
    <s v="23700.85_1"/>
    <s v=""/>
    <s v="C3290UQ21YOK0243"/>
    <s v="20210222"/>
    <s v=""/>
    <s v=""/>
    <s v="0"/>
    <s v=""/>
    <s v=""/>
    <s v=""/>
    <s v=""/>
    <s v="2010100001"/>
    <s v=""/>
    <m/>
    <s v=""/>
    <s v=""/>
    <s v=""/>
    <n v="0"/>
  </r>
  <r>
    <s v=""/>
    <s v="40101001"/>
    <s v="2018000011"/>
    <x v="128"/>
    <d v="2020-07-06T00:00:00"/>
    <d v="2020-07-13T00:00:00"/>
    <s v="RV"/>
    <s v="USD"/>
    <n v="-23695.71"/>
    <s v="83.95000"/>
    <s v="BDT"/>
    <n v="-1989254.87"/>
    <n v="-23695.71"/>
    <s v="23695.71_1"/>
    <s v=""/>
    <s v="C3060LVGR059620"/>
    <s v="20200706"/>
    <s v=""/>
    <s v=""/>
    <s v="0"/>
    <s v=""/>
    <s v=""/>
    <s v=""/>
    <s v=""/>
    <s v="2010100001"/>
    <s v=""/>
    <m/>
    <s v=""/>
    <s v=""/>
    <s v=""/>
    <n v="0"/>
  </r>
  <r>
    <s v=""/>
    <s v="40101001"/>
    <s v="2018001253"/>
    <x v="232"/>
    <d v="2021-04-21T00:00:00"/>
    <d v="2021-04-27T00:00:00"/>
    <s v="RV"/>
    <s v="USD"/>
    <n v="-23684.21"/>
    <s v="83.95000"/>
    <s v="BDT"/>
    <n v="-1988289.43"/>
    <n v="-23684.21"/>
    <s v="23684.21_1"/>
    <s v=""/>
    <s v="C3286LVMX0493-21"/>
    <s v="20210421"/>
    <s v=""/>
    <s v=""/>
    <s v="0"/>
    <s v=""/>
    <s v=""/>
    <s v=""/>
    <s v=""/>
    <s v="2010100001"/>
    <s v=""/>
    <m/>
    <s v=""/>
    <s v=""/>
    <s v=""/>
    <n v="0"/>
  </r>
  <r>
    <s v=""/>
    <s v="40101001"/>
    <s v="2018001497"/>
    <x v="127"/>
    <d v="2021-06-04T00:00:00"/>
    <d v="2021-06-17T00:00:00"/>
    <s v="RV"/>
    <s v="USD"/>
    <n v="-23683.94"/>
    <s v="83.95000"/>
    <s v="BDT"/>
    <n v="-1988266.76"/>
    <n v="-23683.94"/>
    <s v="23683.94_1"/>
    <s v=""/>
    <s v="C3282LVCA0703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0654"/>
    <x v="4"/>
    <d v="2020-12-15T00:00:00"/>
    <d v="2020-12-20T00:00:00"/>
    <s v="RV"/>
    <s v="USD"/>
    <n v="-23567.759999999998"/>
    <s v="83.95000"/>
    <s v="BDT"/>
    <n v="-1978513.45"/>
    <n v="-23567.759999999998"/>
    <s v="23567.76_1"/>
    <s v=""/>
    <s v="C3247UQ20YOK1294"/>
    <s v="20201215"/>
    <s v=""/>
    <s v=""/>
    <s v="0"/>
    <s v=""/>
    <s v=""/>
    <s v=""/>
    <s v=""/>
    <s v="2010100001"/>
    <s v=""/>
    <m/>
    <s v=""/>
    <s v=""/>
    <s v=""/>
    <n v="0"/>
  </r>
  <r>
    <s v=""/>
    <s v="40101001"/>
    <s v="2018000447"/>
    <x v="18"/>
    <d v="2020-11-05T00:00:00"/>
    <d v="2020-11-11T00:00:00"/>
    <s v="RV"/>
    <s v="USD"/>
    <n v="-23544.2"/>
    <s v="83.95000"/>
    <s v="BDT"/>
    <n v="-1976535.59"/>
    <n v="-23544.2"/>
    <s v="23544.2_1"/>
    <s v=""/>
    <s v="C3205UQ20HK104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412"/>
    <x v="172"/>
    <d v="2020-11-01T00:00:00"/>
    <d v="2020-11-04T00:00:00"/>
    <s v="RV"/>
    <s v="USD"/>
    <n v="-23533.85"/>
    <s v="83.95000"/>
    <s v="BDT"/>
    <n v="-1975666.71"/>
    <n v="-23533.85"/>
    <s v="23533.85_1"/>
    <s v=""/>
    <s v="C3207UQ20SEN1056"/>
    <s v="20201101"/>
    <s v=""/>
    <s v=""/>
    <s v="0"/>
    <s v=""/>
    <s v=""/>
    <s v=""/>
    <s v=""/>
    <s v="2010100001"/>
    <s v=""/>
    <m/>
    <s v=""/>
    <s v=""/>
    <s v=""/>
    <n v="0"/>
  </r>
  <r>
    <s v=""/>
    <s v="40101001"/>
    <s v="2018000527"/>
    <x v="3"/>
    <d v="2020-11-18T00:00:00"/>
    <d v="2020-11-24T00:00:00"/>
    <s v="RV"/>
    <s v="USD"/>
    <n v="-23507.86"/>
    <s v="83.95000"/>
    <s v="BDT"/>
    <n v="-1973484.85"/>
    <n v="-23507.86"/>
    <s v="23507.86_1"/>
    <s v=""/>
    <s v="C3231UQ20KR1117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1056"/>
    <x v="167"/>
    <d v="2021-03-09T00:00:00"/>
    <d v="2021-03-13T00:00:00"/>
    <s v="RV"/>
    <s v="USD"/>
    <n v="-23499.94"/>
    <s v="83.95000"/>
    <s v="BDT"/>
    <n v="-1972819.96"/>
    <n v="-23499.94"/>
    <s v="23499.94_1"/>
    <s v=""/>
    <s v="C3242LVUS0279-21"/>
    <s v="20210309"/>
    <s v=""/>
    <s v=""/>
    <s v="0"/>
    <s v=""/>
    <s v=""/>
    <s v=""/>
    <s v=""/>
    <s v="2010100001"/>
    <s v=""/>
    <m/>
    <s v=""/>
    <s v=""/>
    <s v=""/>
    <n v="0"/>
  </r>
  <r>
    <s v=""/>
    <s v="40101001"/>
    <s v="2018001399"/>
    <x v="51"/>
    <d v="2021-05-08T00:00:00"/>
    <d v="2021-05-24T00:00:00"/>
    <s v="RV"/>
    <s v="USD"/>
    <n v="-23468.959999999999"/>
    <s v="83.95000"/>
    <s v="BDT"/>
    <n v="-1970219.19"/>
    <n v="-23468.959999999999"/>
    <s v="23468.96_1"/>
    <s v=""/>
    <s v="C3344UQ21KR0610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146"/>
    <x v="141"/>
    <d v="2021-03-25T00:00:00"/>
    <d v="2021-03-31T00:00:00"/>
    <s v="RV"/>
    <s v="USD"/>
    <n v="-23454.97"/>
    <s v="83.95000"/>
    <s v="BDT"/>
    <n v="-1969044.73"/>
    <n v="-23454.97"/>
    <s v="23454.97_1"/>
    <s v=""/>
    <s v="C3261C&amp;A21GR0389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0980"/>
    <x v="72"/>
    <d v="2021-02-16T00:00:00"/>
    <d v="2021-02-22T00:00:00"/>
    <s v="RV"/>
    <s v="USD"/>
    <n v="-23377.66"/>
    <s v="83.95000"/>
    <s v="BDT"/>
    <n v="-1962554.56"/>
    <n v="-23377.66"/>
    <s v="23377.66_1"/>
    <s v=""/>
    <s v="C3242LVUS0207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954"/>
    <x v="99"/>
    <d v="2021-02-11T00:00:00"/>
    <d v="2021-02-16T00:00:00"/>
    <s v="RV"/>
    <s v="USD"/>
    <n v="-23375"/>
    <s v="83.95000"/>
    <s v="BDT"/>
    <n v="-1962331.25"/>
    <n v="-23375"/>
    <s v="23375_1"/>
    <s v=""/>
    <s v="C3260UQ21NAG0171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1495"/>
    <x v="88"/>
    <d v="2021-06-11T00:00:00"/>
    <d v="2021-06-16T00:00:00"/>
    <s v="RV"/>
    <s v="USD"/>
    <n v="-23355.73"/>
    <s v="83.95000"/>
    <s v="BDT"/>
    <n v="-1960713.53"/>
    <n v="-23355.73"/>
    <s v="23355.73_1"/>
    <s v=""/>
    <s v="C3316UQ21HAK0766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313"/>
    <x v="190"/>
    <d v="2020-09-19T00:00:00"/>
    <d v="2020-10-13T00:00:00"/>
    <s v="RV"/>
    <s v="USD"/>
    <n v="-23319.71"/>
    <s v="83.95000"/>
    <s v="BDT"/>
    <n v="-1957689.65"/>
    <n v="-23319.71"/>
    <s v="23319.71_1"/>
    <s v=""/>
    <s v="C3135SB20UK0860"/>
    <s v="20200919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23314.45"/>
    <s v="83.95000"/>
    <s v="BDT"/>
    <n v="-1957248.07"/>
    <n v="-23314.45"/>
    <s v="23314.45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547"/>
    <x v="75"/>
    <d v="2021-06-17T00:00:00"/>
    <d v="2021-06-21T00:00:00"/>
    <s v="RV"/>
    <s v="USD"/>
    <n v="-23270.46"/>
    <s v="83.95000"/>
    <s v="BDT"/>
    <n v="-1953555.12"/>
    <n v="-23270.46"/>
    <s v="23270.46_1"/>
    <s v=""/>
    <s v="C3335LVUS0794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009"/>
    <x v="233"/>
    <d v="2021-02-20T00:00:00"/>
    <d v="2021-03-02T00:00:00"/>
    <s v="RV"/>
    <s v="USD"/>
    <n v="-23259.360000000001"/>
    <s v="83.95000"/>
    <s v="BDT"/>
    <n v="-1952623.27"/>
    <n v="-23259.360000000001"/>
    <s v="23259.36_1"/>
    <s v=""/>
    <s v="C3271UQ21RU0082"/>
    <s v="20210220"/>
    <s v=""/>
    <s v=""/>
    <s v="0"/>
    <s v=""/>
    <s v=""/>
    <s v=""/>
    <s v=""/>
    <s v="2010100001"/>
    <s v=""/>
    <m/>
    <s v=""/>
    <s v=""/>
    <s v=""/>
    <n v="0"/>
  </r>
  <r>
    <s v=""/>
    <s v="40101001"/>
    <s v="2018000571"/>
    <x v="153"/>
    <d v="2020-11-28T00:00:00"/>
    <d v="2020-12-01T00:00:00"/>
    <s v="RV"/>
    <s v="USD"/>
    <n v="-23178.49"/>
    <s v="83.95000"/>
    <s v="BDT"/>
    <n v="-1945834.24"/>
    <n v="-23178.49"/>
    <s v="23178.49_1"/>
    <s v=""/>
    <s v="C3148LVKOR1195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1371"/>
    <x v="20"/>
    <d v="2021-05-14T00:00:00"/>
    <d v="2021-05-20T00:00:00"/>
    <s v="RV"/>
    <s v="USD"/>
    <n v="-23174.71"/>
    <s v="83.95000"/>
    <s v="BDT"/>
    <n v="-1945516.9"/>
    <n v="-23174.71"/>
    <s v="23174.71_1"/>
    <s v=""/>
    <s v="C3343UQ21YOK0633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0756"/>
    <x v="188"/>
    <d v="2021-01-01T00:00:00"/>
    <d v="2021-01-05T00:00:00"/>
    <s v="RV"/>
    <s v="USD"/>
    <n v="-23150.799999999999"/>
    <s v="83.95000"/>
    <s v="BDT"/>
    <n v="-1943509.66"/>
    <n v="-23150.799999999999"/>
    <s v="23150.8_1"/>
    <s v=""/>
    <s v="C3233UQ20KR1383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0739"/>
    <x v="155"/>
    <d v="2020-12-17T00:00:00"/>
    <d v="2021-01-03T00:00:00"/>
    <s v="RV"/>
    <s v="USD"/>
    <n v="-23132.49"/>
    <s v="83.95000"/>
    <s v="BDT"/>
    <n v="-1941972.54"/>
    <n v="-23132.49"/>
    <s v="23132.49_1"/>
    <s v=""/>
    <s v="C3218LVUS1308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145"/>
    <x v="234"/>
    <d v="2020-08-14T00:00:00"/>
    <d v="2020-08-20T00:00:00"/>
    <s v="RV"/>
    <s v="USD"/>
    <n v="-23125.97"/>
    <s v="83.95000"/>
    <s v="BDT"/>
    <n v="-1941425.18"/>
    <n v="-23125.97"/>
    <s v="23125.97_1"/>
    <s v=""/>
    <s v="C3093UQ20NAG0745"/>
    <s v="20200814"/>
    <s v=""/>
    <s v=""/>
    <s v="0"/>
    <s v=""/>
    <s v=""/>
    <s v=""/>
    <s v=""/>
    <s v="2010100001"/>
    <s v=""/>
    <m/>
    <s v=""/>
    <s v=""/>
    <s v=""/>
    <n v="0"/>
  </r>
  <r>
    <s v=""/>
    <s v="40101001"/>
    <s v="2018001466"/>
    <x v="152"/>
    <d v="2021-06-07T00:00:00"/>
    <d v="2021-06-10T00:00:00"/>
    <s v="RV"/>
    <s v="USD"/>
    <n v="-23075.23"/>
    <s v="83.95000"/>
    <s v="BDT"/>
    <n v="-1937165.56"/>
    <n v="-23075.23"/>
    <s v="23075.23_1"/>
    <s v=""/>
    <s v="C3308UQ21RU0506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240"/>
    <x v="81"/>
    <d v="2020-09-16T00:00:00"/>
    <d v="2020-09-22T00:00:00"/>
    <s v="RV"/>
    <s v="USD"/>
    <n v="-23025.41"/>
    <s v="83.95000"/>
    <s v="BDT"/>
    <n v="-1932983.18"/>
    <n v="-23025.41"/>
    <s v="23025.41_1"/>
    <s v=""/>
    <s v="C3154UQ20OSA0863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571"/>
    <x v="153"/>
    <d v="2020-11-28T00:00:00"/>
    <d v="2020-12-01T00:00:00"/>
    <s v="RV"/>
    <s v="USD"/>
    <n v="-22994.54"/>
    <s v="83.95000"/>
    <s v="BDT"/>
    <n v="-1930391.63"/>
    <n v="-22994.54"/>
    <s v="22994.54_1"/>
    <s v=""/>
    <s v="C3148LVKOR1195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0031"/>
    <x v="135"/>
    <d v="2020-07-03T00:00:00"/>
    <d v="2020-07-18T00:00:00"/>
    <s v="RV"/>
    <s v="USD"/>
    <n v="-22979.73"/>
    <s v="83.95000"/>
    <s v="BDT"/>
    <n v="-1929148.33"/>
    <n v="-22979.73"/>
    <s v="22979.73_1"/>
    <s v=""/>
    <s v="C3122UQ20YAN0561"/>
    <s v="20200703"/>
    <s v=""/>
    <s v=""/>
    <s v="0"/>
    <s v=""/>
    <s v=""/>
    <s v=""/>
    <s v=""/>
    <s v="2010100001"/>
    <s v=""/>
    <m/>
    <s v=""/>
    <s v=""/>
    <s v=""/>
    <n v="0"/>
  </r>
  <r>
    <s v=""/>
    <s v="40101001"/>
    <s v="2018000988"/>
    <x v="72"/>
    <d v="2021-02-16T00:00:00"/>
    <d v="2021-02-25T00:00:00"/>
    <s v="RV"/>
    <s v="USD"/>
    <n v="-22962.53"/>
    <s v="83.95000"/>
    <s v="BDT"/>
    <n v="-1927704.39"/>
    <n v="-22962.53"/>
    <s v="22962.53_1"/>
    <s v=""/>
    <s v="C3242LVUS0203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217"/>
    <x v="45"/>
    <d v="2020-09-09T00:00:00"/>
    <d v="2020-09-12T00:00:00"/>
    <s v="RV"/>
    <s v="USD"/>
    <n v="-22885.360000000001"/>
    <s v="83.95000"/>
    <s v="BDT"/>
    <n v="-1921225.97"/>
    <n v="-22885.360000000001"/>
    <s v="22885.36_1"/>
    <s v=""/>
    <s v="C3154UQ20OSA0784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1151"/>
    <x v="118"/>
    <d v="2021-03-27T00:00:00"/>
    <d v="2021-03-31T00:00:00"/>
    <s v="RV"/>
    <s v="USD"/>
    <n v="-22880.9"/>
    <s v="83.95000"/>
    <s v="BDT"/>
    <n v="-1920851.56"/>
    <n v="-22880.9"/>
    <s v="22880.9_1"/>
    <s v=""/>
    <s v="C3261C&amp;A21GR0391"/>
    <s v="20210327"/>
    <s v=""/>
    <s v=""/>
    <s v="0"/>
    <s v=""/>
    <s v=""/>
    <s v=""/>
    <s v=""/>
    <s v="2010100001"/>
    <s v=""/>
    <m/>
    <s v=""/>
    <s v=""/>
    <s v=""/>
    <n v="0"/>
  </r>
  <r>
    <s v=""/>
    <s v="40101001"/>
    <s v="2018000418"/>
    <x v="235"/>
    <d v="2020-10-29T00:00:00"/>
    <d v="2020-11-07T00:00:00"/>
    <s v="RV"/>
    <s v="USD"/>
    <n v="-22823.79"/>
    <s v="83.95000"/>
    <s v="BDT"/>
    <n v="-1916057.17"/>
    <n v="-22823.79"/>
    <s v="22823.79_1"/>
    <s v=""/>
    <s v="C3169UQ20TOR0937"/>
    <s v="20201029"/>
    <s v=""/>
    <s v=""/>
    <s v="0"/>
    <s v=""/>
    <s v=""/>
    <s v=""/>
    <s v=""/>
    <s v="2010100001"/>
    <s v=""/>
    <m/>
    <s v=""/>
    <s v=""/>
    <s v=""/>
    <n v="0"/>
  </r>
  <r>
    <s v=""/>
    <s v="40101001"/>
    <s v="2018001562"/>
    <x v="219"/>
    <d v="2021-06-21T00:00:00"/>
    <d v="2021-06-24T00:00:00"/>
    <s v="RV"/>
    <s v="USD"/>
    <n v="-22806.43"/>
    <s v="83.95000"/>
    <s v="BDT"/>
    <n v="-1914599.8"/>
    <n v="-22806.43"/>
    <s v="22806.43_1"/>
    <s v=""/>
    <s v="C3312LVUS0835-21"/>
    <s v="20210621"/>
    <s v=""/>
    <s v=""/>
    <s v="0"/>
    <s v=""/>
    <s v=""/>
    <s v=""/>
    <s v=""/>
    <s v="2010100001"/>
    <s v=""/>
    <m/>
    <s v=""/>
    <s v=""/>
    <s v=""/>
    <n v="0"/>
  </r>
  <r>
    <s v=""/>
    <s v="40101001"/>
    <s v="2018000482"/>
    <x v="18"/>
    <d v="2020-11-05T00:00:00"/>
    <d v="2020-11-16T00:00:00"/>
    <s v="RV"/>
    <s v="USD"/>
    <n v="-22798.44"/>
    <s v="83.95000"/>
    <s v="BDT"/>
    <n v="-1913929.04"/>
    <n v="-22798.44"/>
    <s v="22798.44_1"/>
    <s v=""/>
    <s v="C3099LVUS0944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114"/>
    <x v="89"/>
    <d v="2021-03-21T00:00:00"/>
    <d v="2021-03-28T00:00:00"/>
    <s v="RV"/>
    <s v="USD"/>
    <n v="-22789.93"/>
    <s v="83.95000"/>
    <s v="BDT"/>
    <n v="-1913214.62"/>
    <n v="-22789.93"/>
    <s v="22789.93_1"/>
    <s v=""/>
    <s v="C3262LVUS0306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861"/>
    <x v="197"/>
    <d v="2021-01-23T00:00:00"/>
    <d v="2021-01-30T00:00:00"/>
    <s v="RV"/>
    <s v="USD"/>
    <n v="-22739.79"/>
    <s v="83.95000"/>
    <s v="BDT"/>
    <n v="-1909005.37"/>
    <n v="-22739.79"/>
    <s v="22739.79_1"/>
    <s v=""/>
    <s v="C3246UQ21HAK0041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507"/>
    <x v="152"/>
    <d v="2021-06-07T00:00:00"/>
    <d v="2021-06-17T00:00:00"/>
    <s v="RV"/>
    <s v="USD"/>
    <n v="-22722.18"/>
    <s v="83.95000"/>
    <s v="BDT"/>
    <n v="-1907527.01"/>
    <n v="-22722.18"/>
    <s v="22722.18_1"/>
    <s v=""/>
    <s v="C3289LVMX0691-21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1270"/>
    <x v="71"/>
    <d v="2021-04-28T00:00:00"/>
    <d v="2021-05-03T00:00:00"/>
    <s v="RV"/>
    <s v="USD"/>
    <n v="-22705.39"/>
    <s v="83.95000"/>
    <s v="BDT"/>
    <n v="-1906117.49"/>
    <n v="-22705.39"/>
    <s v="22705.39_1"/>
    <s v=""/>
    <s v="C3267LVUS0492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771"/>
    <x v="188"/>
    <d v="2021-01-01T00:00:00"/>
    <d v="2021-01-06T00:00:00"/>
    <s v="RV"/>
    <s v="USD"/>
    <n v="-22692.54"/>
    <s v="83.95000"/>
    <s v="BDT"/>
    <n v="-1905038.73"/>
    <n v="-22692.54"/>
    <s v="22692.54_1"/>
    <s v=""/>
    <s v="C3217UQ20EU1395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1020"/>
    <x v="173"/>
    <d v="2021-02-27T00:00:00"/>
    <d v="2021-03-02T00:00:00"/>
    <s v="RV"/>
    <s v="USD"/>
    <n v="-22585.31"/>
    <s v="83.95000"/>
    <s v="BDT"/>
    <n v="-1896036.77"/>
    <n v="-22585.31"/>
    <s v="22585.31_1"/>
    <s v=""/>
    <s v="C3254UQ21TOM0269"/>
    <s v="20210227"/>
    <s v=""/>
    <s v=""/>
    <s v="0"/>
    <s v=""/>
    <s v=""/>
    <s v=""/>
    <s v=""/>
    <s v="2010100001"/>
    <s v=""/>
    <m/>
    <s v=""/>
    <s v=""/>
    <s v=""/>
    <n v="0"/>
  </r>
  <r>
    <s v=""/>
    <s v="40101001"/>
    <s v="2018000834"/>
    <x v="35"/>
    <d v="2021-01-20T00:00:00"/>
    <d v="2021-01-24T00:00:00"/>
    <s v="RV"/>
    <s v="USD"/>
    <n v="-22582.27"/>
    <s v="83.95000"/>
    <s v="BDT"/>
    <n v="-1895781.57"/>
    <n v="-22582.27"/>
    <s v="22582.27_1"/>
    <s v=""/>
    <s v="C3223LVUS005121"/>
    <s v="20210120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22574.65"/>
    <s v="83.95000"/>
    <s v="BDT"/>
    <n v="-1895141.87"/>
    <n v="-22574.65"/>
    <s v="22574.65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79"/>
    <x v="187"/>
    <d v="2020-12-12T00:00:00"/>
    <d v="2020-12-23T00:00:00"/>
    <s v="RV"/>
    <s v="USD"/>
    <n v="-22498.25"/>
    <s v="83.95000"/>
    <s v="BDT"/>
    <n v="-1888728.09"/>
    <n v="-22498.25"/>
    <s v="22498.25_1"/>
    <s v=""/>
    <s v="C3153TS19CE1287"/>
    <s v="20201212"/>
    <s v=""/>
    <s v=""/>
    <s v="0"/>
    <s v=""/>
    <s v=""/>
    <s v=""/>
    <s v=""/>
    <s v="2010100001"/>
    <s v=""/>
    <m/>
    <s v=""/>
    <s v=""/>
    <s v=""/>
    <n v="0"/>
  </r>
  <r>
    <s v=""/>
    <s v="40101001"/>
    <s v="2018000587"/>
    <x v="153"/>
    <d v="2020-11-28T00:00:00"/>
    <d v="2020-12-03T00:00:00"/>
    <s v="RV"/>
    <s v="USD"/>
    <n v="-22470.46"/>
    <s v="83.95000"/>
    <s v="BDT"/>
    <n v="-1886395.11"/>
    <n v="-22470.46"/>
    <s v="22470.46_1"/>
    <s v=""/>
    <s v="C3102LVUS1189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0073"/>
    <x v="53"/>
    <d v="2020-07-22T00:00:00"/>
    <d v="2020-07-28T00:00:00"/>
    <s v="RV"/>
    <s v="USD"/>
    <n v="-22363.02"/>
    <s v="83.95000"/>
    <s v="BDT"/>
    <n v="-1877375.53"/>
    <n v="-22363.02"/>
    <s v="22363.02_1"/>
    <s v=""/>
    <s v="C3131UQ20SHA0662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504"/>
    <x v="202"/>
    <d v="2021-06-06T00:00:00"/>
    <d v="2021-06-17T00:00:00"/>
    <s v="RV"/>
    <s v="USD"/>
    <n v="-22343.74"/>
    <s v="83.95000"/>
    <s v="BDT"/>
    <n v="-1875756.97"/>
    <n v="-22343.74"/>
    <s v="22343.74_1"/>
    <s v=""/>
    <s v="C3289LVMX0694-21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932"/>
    <x v="73"/>
    <d v="2021-02-08T00:00:00"/>
    <d v="2021-02-14T00:00:00"/>
    <s v="RV"/>
    <s v="USD"/>
    <n v="-22329.9"/>
    <s v="83.95000"/>
    <s v="BDT"/>
    <n v="-1874595.11"/>
    <n v="-22329.9"/>
    <s v="22329.9_1"/>
    <s v=""/>
    <s v="C3260UQ21OSA0181"/>
    <s v="20210208"/>
    <s v=""/>
    <s v=""/>
    <s v="0"/>
    <s v=""/>
    <s v=""/>
    <s v=""/>
    <s v=""/>
    <s v="2010100001"/>
    <s v=""/>
    <m/>
    <s v=""/>
    <s v=""/>
    <s v=""/>
    <n v="0"/>
  </r>
  <r>
    <s v=""/>
    <s v="40101001"/>
    <s v="2018001144"/>
    <x v="141"/>
    <d v="2021-03-25T00:00:00"/>
    <d v="2021-03-31T00:00:00"/>
    <s v="RV"/>
    <s v="USD"/>
    <n v="-22296.68"/>
    <s v="83.95000"/>
    <s v="BDT"/>
    <n v="-1871806.29"/>
    <n v="-22296.68"/>
    <s v="22296.68_1"/>
    <s v=""/>
    <s v="C3261C&amp;A21GR0387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0376"/>
    <x v="236"/>
    <d v="2020-10-24T00:00:00"/>
    <d v="2020-11-01T00:00:00"/>
    <s v="RV"/>
    <s v="USD"/>
    <n v="-22193.74"/>
    <s v="83.95000"/>
    <s v="BDT"/>
    <n v="-1863164.47"/>
    <n v="-22193.74"/>
    <s v="22193.74_1"/>
    <s v=""/>
    <s v="C3169UQ20TOK1009"/>
    <s v="20201024"/>
    <s v=""/>
    <s v=""/>
    <s v="0"/>
    <s v=""/>
    <s v=""/>
    <s v=""/>
    <s v=""/>
    <s v="2010100001"/>
    <s v=""/>
    <m/>
    <s v=""/>
    <s v=""/>
    <s v=""/>
    <n v="0"/>
  </r>
  <r>
    <s v=""/>
    <s v="40101001"/>
    <s v="2018000991"/>
    <x v="72"/>
    <d v="2021-02-16T00:00:00"/>
    <d v="2021-02-25T00:00:00"/>
    <s v="RV"/>
    <s v="USD"/>
    <n v="-22152.35"/>
    <s v="83.95000"/>
    <s v="BDT"/>
    <n v="-1859689.78"/>
    <n v="-22152.35"/>
    <s v="22152.35_1"/>
    <s v=""/>
    <s v="C3223LVUS0199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741"/>
    <x v="178"/>
    <d v="2020-12-23T00:00:00"/>
    <d v="2021-01-03T00:00:00"/>
    <s v="RV"/>
    <s v="USD"/>
    <n v="-22145.58"/>
    <s v="83.95000"/>
    <s v="BDT"/>
    <n v="-1859121.44"/>
    <n v="-22145.58"/>
    <s v="22145.58_1"/>
    <s v=""/>
    <s v="C3218LVUS1352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1285"/>
    <x v="71"/>
    <d v="2021-04-28T00:00:00"/>
    <d v="2021-05-07T00:00:00"/>
    <s v="RV"/>
    <s v="USD"/>
    <n v="-22058.19"/>
    <s v="83.95000"/>
    <s v="BDT"/>
    <n v="-1851785.05"/>
    <n v="-22058.19"/>
    <s v="22058.19_1"/>
    <s v=""/>
    <s v="C3309UQ21NAG0520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225"/>
    <x v="107"/>
    <d v="2021-04-13T00:00:00"/>
    <d v="2021-04-22T00:00:00"/>
    <s v="RV"/>
    <s v="USD"/>
    <n v="-22024.71"/>
    <s v="83.95000"/>
    <s v="BDT"/>
    <n v="-1848974.4"/>
    <n v="-22024.71"/>
    <s v="22024.71_1"/>
    <s v=""/>
    <s v="C3344UQ21TOK0449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1498"/>
    <x v="127"/>
    <d v="2021-06-04T00:00:00"/>
    <d v="2021-06-17T00:00:00"/>
    <s v="RV"/>
    <s v="USD"/>
    <n v="-21970.959999999999"/>
    <s v="83.95000"/>
    <s v="BDT"/>
    <n v="-1844462.09"/>
    <n v="-21970.959999999999"/>
    <s v="21970.96_1"/>
    <s v=""/>
    <s v="C3284LVCA0704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1523"/>
    <x v="86"/>
    <d v="2021-06-14T00:00:00"/>
    <d v="2021-06-17T00:00:00"/>
    <s v="RV"/>
    <s v="USD"/>
    <n v="-21969.119999999999"/>
    <s v="83.95000"/>
    <s v="BDT"/>
    <n v="-1844307.62"/>
    <n v="-21969.119999999999"/>
    <s v="21969.12_1"/>
    <s v=""/>
    <s v="C3329UQ21NAG0782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1001"/>
    <x v="30"/>
    <d v="2021-02-18T00:00:00"/>
    <d v="2021-02-28T00:00:00"/>
    <s v="RV"/>
    <s v="USD"/>
    <n v="-21953.55"/>
    <s v="83.95000"/>
    <s v="BDT"/>
    <n v="-1843000.52"/>
    <n v="-21953.55"/>
    <s v="21953.55_1"/>
    <s v=""/>
    <s v="C3254UQ21TOK0224"/>
    <s v="20210218"/>
    <s v=""/>
    <s v=""/>
    <s v="0"/>
    <s v=""/>
    <s v=""/>
    <s v=""/>
    <s v=""/>
    <s v="2010100001"/>
    <s v=""/>
    <m/>
    <s v=""/>
    <s v=""/>
    <s v=""/>
    <n v="0"/>
  </r>
  <r>
    <s v=""/>
    <s v="40101001"/>
    <s v="2018001569"/>
    <x v="75"/>
    <d v="2021-06-17T00:00:00"/>
    <d v="2021-06-24T00:00:00"/>
    <s v="RV"/>
    <s v="USD"/>
    <n v="-21919.040000000001"/>
    <s v="83.95000"/>
    <s v="BDT"/>
    <n v="-1840103.41"/>
    <n v="-21919.040000000001"/>
    <s v="21919.04_1"/>
    <s v=""/>
    <s v="C3335LVUS0792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532"/>
    <x v="3"/>
    <d v="2020-11-18T00:00:00"/>
    <d v="2020-11-24T00:00:00"/>
    <s v="RV"/>
    <s v="USD"/>
    <n v="-21883.91"/>
    <s v="83.95000"/>
    <s v="BDT"/>
    <n v="-1837154.24"/>
    <n v="-21883.91"/>
    <s v="21883.91_1"/>
    <s v=""/>
    <s v="C3234UQ20NY1130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027"/>
    <x v="113"/>
    <d v="2020-07-02T00:00:00"/>
    <d v="2020-07-18T00:00:00"/>
    <s v="RV"/>
    <s v="USD"/>
    <n v="-21869.599999999999"/>
    <s v="83.95000"/>
    <s v="BDT"/>
    <n v="-1835952.92"/>
    <n v="-21869.599999999999"/>
    <s v="21869.6_1"/>
    <s v=""/>
    <s v="C3122UQ20SHA0559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0237"/>
    <x v="81"/>
    <d v="2020-09-16T00:00:00"/>
    <d v="2020-09-22T00:00:00"/>
    <s v="RV"/>
    <s v="USD"/>
    <n v="-21865.85"/>
    <s v="83.95000"/>
    <s v="BDT"/>
    <n v="-1835638.11"/>
    <n v="-21865.85"/>
    <s v="21865.85_1"/>
    <s v=""/>
    <s v="C3154UQ20HAK0861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824"/>
    <x v="237"/>
    <d v="2021-01-17T00:00:00"/>
    <d v="2021-01-23T00:00:00"/>
    <s v="RV"/>
    <s v="USD"/>
    <n v="-21836.560000000001"/>
    <s v="83.95000"/>
    <s v="BDT"/>
    <n v="-1833179.21"/>
    <n v="-21836.560000000001"/>
    <s v="21836.56_1"/>
    <s v=""/>
    <s v="C3233UQ21NAG0056"/>
    <s v="20210117"/>
    <s v=""/>
    <s v=""/>
    <s v="0"/>
    <s v=""/>
    <s v=""/>
    <s v=""/>
    <s v=""/>
    <s v="2010100001"/>
    <s v=""/>
    <m/>
    <s v=""/>
    <s v=""/>
    <s v=""/>
    <n v="0"/>
  </r>
  <r>
    <s v=""/>
    <s v="40101001"/>
    <s v="2018000630"/>
    <x v="225"/>
    <d v="2020-12-08T00:00:00"/>
    <d v="2020-12-13T00:00:00"/>
    <s v="RV"/>
    <s v="USD"/>
    <n v="-21695.26"/>
    <s v="83.95000"/>
    <s v="BDT"/>
    <n v="-1821317.08"/>
    <n v="-21695.26"/>
    <s v="21695.26_1"/>
    <s v=""/>
    <s v="C3234UQ20NY1272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1206"/>
    <x v="238"/>
    <d v="2021-04-10T00:00:00"/>
    <d v="2021-04-13T00:00:00"/>
    <s v="RV"/>
    <s v="USD"/>
    <n v="-21658.53"/>
    <s v="83.95000"/>
    <s v="BDT"/>
    <n v="-1818233.6"/>
    <n v="-21658.53"/>
    <s v="21658.53_1"/>
    <s v=""/>
    <s v="C3223LVUS0428-21"/>
    <s v="20210410"/>
    <s v=""/>
    <s v=""/>
    <s v="0"/>
    <s v=""/>
    <s v=""/>
    <s v=""/>
    <s v=""/>
    <s v="2010100001"/>
    <s v=""/>
    <m/>
    <s v=""/>
    <s v=""/>
    <s v=""/>
    <n v="0"/>
  </r>
  <r>
    <s v=""/>
    <s v="40101001"/>
    <s v="2018000098"/>
    <x v="53"/>
    <d v="2020-07-22T00:00:00"/>
    <d v="2020-08-06T00:00:00"/>
    <s v="RV"/>
    <s v="USD"/>
    <n v="-21550.86"/>
    <s v="83.95000"/>
    <s v="BDT"/>
    <n v="-1809194.7"/>
    <n v="-21550.86"/>
    <s v="21550.86_1"/>
    <s v=""/>
    <s v="C3099LVUS064920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401"/>
    <x v="162"/>
    <d v="2021-05-15T00:00:00"/>
    <d v="2021-05-24T00:00:00"/>
    <s v="RV"/>
    <s v="USD"/>
    <n v="-21501.21"/>
    <s v="83.95000"/>
    <s v="BDT"/>
    <n v="-1805026.58"/>
    <n v="-21501.21"/>
    <s v="21501.21_1"/>
    <s v=""/>
    <s v="C3282LVCA0605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250"/>
    <x v="109"/>
    <d v="2020-09-05T00:00:00"/>
    <d v="2020-09-24T00:00:00"/>
    <s v="RV"/>
    <s v="USD"/>
    <n v="-21458.67"/>
    <s v="83.95000"/>
    <s v="BDT"/>
    <n v="-1801455.35"/>
    <n v="-21458.67"/>
    <s v="21458.67_1"/>
    <s v=""/>
    <s v="C3136UQ20NAG0774"/>
    <s v="20200905"/>
    <s v=""/>
    <s v=""/>
    <s v="0"/>
    <s v=""/>
    <s v=""/>
    <s v=""/>
    <s v=""/>
    <s v="2010100001"/>
    <s v=""/>
    <m/>
    <s v=""/>
    <s v=""/>
    <s v=""/>
    <n v="0"/>
  </r>
  <r>
    <s v=""/>
    <s v="40101001"/>
    <s v="2018000995"/>
    <x v="72"/>
    <d v="2021-02-16T00:00:00"/>
    <d v="2021-02-25T00:00:00"/>
    <s v="RV"/>
    <s v="USD"/>
    <n v="-21452.34"/>
    <s v="83.95000"/>
    <s v="BDT"/>
    <n v="-1800923.94"/>
    <n v="-21452.34"/>
    <s v="21452.34_1"/>
    <s v=""/>
    <s v="C3244LVUS0197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651"/>
    <x v="230"/>
    <d v="2020-12-14T00:00:00"/>
    <d v="2020-12-20T00:00:00"/>
    <s v="RV"/>
    <s v="USD"/>
    <n v="-21437.09"/>
    <s v="83.95000"/>
    <s v="BDT"/>
    <n v="-1799643.7"/>
    <n v="-21437.09"/>
    <s v="21437.09_1"/>
    <s v=""/>
    <s v="C3247UQ20EU1280"/>
    <s v="20201214"/>
    <s v=""/>
    <s v=""/>
    <s v="0"/>
    <s v=""/>
    <s v=""/>
    <s v=""/>
    <s v=""/>
    <s v="2010100001"/>
    <s v=""/>
    <m/>
    <s v=""/>
    <s v=""/>
    <s v=""/>
    <n v="0"/>
  </r>
  <r>
    <s v=""/>
    <s v="40101001"/>
    <s v="2018001340"/>
    <x v="239"/>
    <d v="2021-05-09T00:00:00"/>
    <d v="2021-05-17T00:00:00"/>
    <s v="RV"/>
    <s v="USD"/>
    <n v="-21435.33"/>
    <s v="83.95000"/>
    <s v="BDT"/>
    <n v="-1799495.95"/>
    <n v="-21435.33"/>
    <s v="21435.33_1"/>
    <s v=""/>
    <s v="C3278LVUS0595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1572"/>
    <x v="104"/>
    <d v="2021-06-23T00:00:00"/>
    <d v="2021-06-24T00:00:00"/>
    <s v="RV"/>
    <s v="USD"/>
    <n v="-21414.61"/>
    <s v="83.95000"/>
    <s v="BDT"/>
    <n v="-1797756.51"/>
    <n v="-21414.61"/>
    <s v="21414.61_1"/>
    <s v=""/>
    <s v="C3336LVUS0839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21380.48"/>
    <s v="83.95000"/>
    <s v="BDT"/>
    <n v="-1794891.3"/>
    <n v="-21380.48"/>
    <s v="21380.48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338"/>
    <x v="239"/>
    <d v="2021-05-09T00:00:00"/>
    <d v="2021-05-17T00:00:00"/>
    <s v="RV"/>
    <s v="USD"/>
    <n v="-21369.94"/>
    <s v="83.95000"/>
    <s v="BDT"/>
    <n v="-1794006.46"/>
    <n v="-21369.94"/>
    <s v="21369.94_1"/>
    <s v=""/>
    <s v="C3276LVUS0597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0782"/>
    <x v="188"/>
    <d v="2021-01-01T00:00:00"/>
    <d v="2021-01-07T00:00:00"/>
    <s v="RV"/>
    <s v="USD"/>
    <n v="-21368.47"/>
    <s v="83.95000"/>
    <s v="BDT"/>
    <n v="-1793883.06"/>
    <n v="-21368.47"/>
    <s v="21368.47_1"/>
    <s v=""/>
    <s v="C3236LVUS138920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1447"/>
    <x v="127"/>
    <d v="2021-06-04T00:00:00"/>
    <d v="2021-06-09T00:00:00"/>
    <s v="RV"/>
    <s v="USD"/>
    <n v="-21355.14"/>
    <s v="83.95000"/>
    <s v="BDT"/>
    <n v="-1792764"/>
    <n v="-21355.14"/>
    <s v="21355.14_1"/>
    <s v=""/>
    <s v="C3316UQ21OSA0722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0910"/>
    <x v="208"/>
    <d v="2021-02-04T00:00:00"/>
    <d v="2021-02-10T00:00:00"/>
    <s v="RV"/>
    <s v="USD"/>
    <n v="-21302.59"/>
    <s v="83.95000"/>
    <s v="BDT"/>
    <n v="-1788352.43"/>
    <n v="-21302.59"/>
    <s v="21302.59_1"/>
    <s v=""/>
    <s v="C3272UQ21HAK0152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1355"/>
    <x v="162"/>
    <d v="2021-05-15T00:00:00"/>
    <d v="2021-05-20T00:00:00"/>
    <s v="RV"/>
    <s v="USD"/>
    <n v="-21291.97"/>
    <s v="83.95000"/>
    <s v="BDT"/>
    <n v="-1787460.88"/>
    <n v="-21291.97"/>
    <s v="21291.97_1"/>
    <s v=""/>
    <s v="C3267LVUS0603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21276.92"/>
    <s v="83.95000"/>
    <s v="BDT"/>
    <n v="-1786197.43"/>
    <n v="-21276.92"/>
    <s v="21276.92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379"/>
    <x v="162"/>
    <d v="2021-05-15T00:00:00"/>
    <d v="2021-05-20T00:00:00"/>
    <s v="RV"/>
    <s v="USD"/>
    <n v="-21274.34"/>
    <s v="83.95000"/>
    <s v="BDT"/>
    <n v="-1785980.84"/>
    <n v="-21274.34"/>
    <s v="21274.34_1"/>
    <s v=""/>
    <s v="C3308UQ21OSA0643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1550"/>
    <x v="75"/>
    <d v="2021-06-17T00:00:00"/>
    <d v="2021-06-23T00:00:00"/>
    <s v="RV"/>
    <s v="USD"/>
    <n v="-21258.69"/>
    <s v="83.95000"/>
    <s v="BDT"/>
    <n v="-1784667.03"/>
    <n v="-21258.69"/>
    <s v="21258.69_1"/>
    <s v=""/>
    <s v="C3329UQ21OSA0808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039"/>
    <x v="116"/>
    <d v="2021-03-05T00:00:00"/>
    <d v="2021-03-10T00:00:00"/>
    <s v="RV"/>
    <s v="USD"/>
    <n v="-21247.85"/>
    <s v="83.95000"/>
    <s v="BDT"/>
    <n v="-1783757.01"/>
    <n v="-21247.85"/>
    <s v="21247.85_1"/>
    <s v=""/>
    <s v="C3271UQ21VN0259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1311"/>
    <x v="15"/>
    <d v="2021-05-04T00:00:00"/>
    <d v="2021-05-12T00:00:00"/>
    <s v="RV"/>
    <s v="USD"/>
    <n v="-21240.44"/>
    <s v="83.95000"/>
    <s v="BDT"/>
    <n v="-1783134.94"/>
    <n v="-21240.44"/>
    <s v="21240.44_1"/>
    <s v=""/>
    <s v="C3343UQ21YOK0540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259"/>
    <x v="133"/>
    <d v="2020-09-21T00:00:00"/>
    <d v="2020-09-26T00:00:00"/>
    <s v="RV"/>
    <s v="USD"/>
    <n v="-21226.21"/>
    <s v="83.95000"/>
    <s v="BDT"/>
    <n v="-1781940.33"/>
    <n v="-21226.21"/>
    <s v="21226.21_1"/>
    <s v=""/>
    <s v="C3093UQ20TOK0878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407"/>
    <x v="146"/>
    <d v="2020-11-02T00:00:00"/>
    <d v="2020-11-04T00:00:00"/>
    <s v="RV"/>
    <s v="USD"/>
    <n v="-21219.29"/>
    <s v="83.95000"/>
    <s v="BDT"/>
    <n v="-1781359.4"/>
    <n v="-21219.29"/>
    <s v="21219.29_1"/>
    <s v=""/>
    <s v="C3104LVGR101420"/>
    <s v="20201102"/>
    <s v=""/>
    <s v=""/>
    <s v="0"/>
    <s v=""/>
    <s v=""/>
    <s v=""/>
    <s v=""/>
    <s v="2010100001"/>
    <s v=""/>
    <m/>
    <s v=""/>
    <s v=""/>
    <s v=""/>
    <n v="0"/>
  </r>
  <r>
    <s v=""/>
    <s v="40101011"/>
    <s v="2008000182"/>
    <x v="143"/>
    <d v="2021-01-31T00:00:00"/>
    <d v="2021-02-07T00:00:00"/>
    <s v="DR"/>
    <s v="USD"/>
    <n v="-21213.06"/>
    <s v="83.95000"/>
    <s v="BDT"/>
    <n v="-1780836.39"/>
    <n v="-21213.06"/>
    <s v="21213.06_1"/>
    <s v=""/>
    <s v="CIPL-GTL0018-21"/>
    <s v="CIPL-GTL0018-21"/>
    <s v="Inter-Company wash sales to GTL"/>
    <s v=""/>
    <s v="0"/>
    <s v="Intercompany Wash Sales"/>
    <s v=""/>
    <s v=""/>
    <s v=""/>
    <s v=""/>
    <s v=""/>
    <m/>
    <s v=""/>
    <s v=""/>
    <s v=""/>
    <n v="0"/>
  </r>
  <r>
    <s v=""/>
    <s v="40101001"/>
    <s v="2018001052"/>
    <x v="167"/>
    <d v="2021-03-09T00:00:00"/>
    <d v="2021-03-11T00:00:00"/>
    <s v="RV"/>
    <s v="USD"/>
    <n v="-21200.07"/>
    <s v="83.95000"/>
    <s v="BDT"/>
    <n v="-1779745.88"/>
    <n v="-21200.07"/>
    <s v="21200.07_1"/>
    <s v=""/>
    <s v="C3242LVUS0256-21"/>
    <s v="20210309"/>
    <s v=""/>
    <s v=""/>
    <s v="0"/>
    <s v=""/>
    <s v=""/>
    <s v=""/>
    <s v=""/>
    <s v="2010100001"/>
    <s v=""/>
    <m/>
    <s v=""/>
    <s v=""/>
    <s v=""/>
    <n v="0"/>
  </r>
  <r>
    <s v=""/>
    <s v="40101001"/>
    <s v="2018001229"/>
    <x v="222"/>
    <d v="2021-04-16T00:00:00"/>
    <d v="2021-04-22T00:00:00"/>
    <s v="RV"/>
    <s v="USD"/>
    <n v="-21191.05"/>
    <s v="83.95000"/>
    <s v="BDT"/>
    <n v="-1778988.65"/>
    <n v="-21191.05"/>
    <s v="21191.05_1"/>
    <s v=""/>
    <s v="C3316UQ21HAK0468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0410"/>
    <x v="146"/>
    <d v="2020-11-02T00:00:00"/>
    <d v="2020-11-04T00:00:00"/>
    <s v="RV"/>
    <s v="USD"/>
    <n v="-21190.65"/>
    <s v="83.95000"/>
    <s v="BDT"/>
    <n v="-1778955.07"/>
    <n v="-21190.65"/>
    <s v="21190.65_1"/>
    <s v=""/>
    <s v="C3169UQ20OSA1048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501"/>
    <x v="240"/>
    <d v="2020-11-13T00:00:00"/>
    <d v="2020-11-19T00:00:00"/>
    <s v="RV"/>
    <s v="USD"/>
    <n v="-21190.14"/>
    <s v="83.95000"/>
    <s v="BDT"/>
    <n v="-1778912.25"/>
    <n v="-21190.14"/>
    <s v="21190.14_1"/>
    <s v=""/>
    <s v="C3165DC19US1124"/>
    <s v="20201113"/>
    <s v=""/>
    <s v=""/>
    <s v="0"/>
    <s v=""/>
    <s v=""/>
    <s v=""/>
    <s v=""/>
    <s v="2010100001"/>
    <s v=""/>
    <m/>
    <s v=""/>
    <s v=""/>
    <s v=""/>
    <n v="0"/>
  </r>
  <r>
    <s v=""/>
    <s v="40101001"/>
    <s v="2018001350"/>
    <x v="51"/>
    <d v="2021-05-08T00:00:00"/>
    <d v="2021-05-17T00:00:00"/>
    <s v="RV"/>
    <s v="USD"/>
    <n v="-21154.98"/>
    <s v="83.95000"/>
    <s v="BDT"/>
    <n v="-1775960.55"/>
    <n v="-21154.98"/>
    <s v="21154.98_1"/>
    <s v=""/>
    <s v="C3194AMZLB0464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964"/>
    <x v="99"/>
    <d v="2021-02-11T00:00:00"/>
    <d v="2021-02-16T00:00:00"/>
    <s v="RV"/>
    <s v="USD"/>
    <n v="-21146.45"/>
    <s v="83.95000"/>
    <s v="BDT"/>
    <n v="-1775244.48"/>
    <n v="-21146.45"/>
    <s v="21146.45_1"/>
    <s v=""/>
    <s v="C3307UQ21MEL0141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351"/>
    <x v="78"/>
    <d v="2020-10-04T00:00:00"/>
    <d v="2020-10-24T00:00:00"/>
    <s v="RV"/>
    <s v="USD"/>
    <n v="-21119.56"/>
    <s v="83.95000"/>
    <s v="BDT"/>
    <n v="-1772987.06"/>
    <n v="-21119.56"/>
    <s v="21119.56_1"/>
    <s v=""/>
    <s v="C3135SB20UK0921"/>
    <s v="20201004"/>
    <s v=""/>
    <s v=""/>
    <s v="0"/>
    <s v=""/>
    <s v=""/>
    <s v=""/>
    <s v=""/>
    <s v="2010100001"/>
    <s v=""/>
    <m/>
    <s v=""/>
    <s v=""/>
    <s v=""/>
    <n v="0"/>
  </r>
  <r>
    <s v=""/>
    <s v="40101001"/>
    <s v="2018000980"/>
    <x v="72"/>
    <d v="2021-02-16T00:00:00"/>
    <d v="2021-02-22T00:00:00"/>
    <s v="RV"/>
    <s v="USD"/>
    <n v="-21082.13"/>
    <s v="83.95000"/>
    <s v="BDT"/>
    <n v="-1769844.81"/>
    <n v="-21082.13"/>
    <s v="21082.13_1"/>
    <s v=""/>
    <s v="C3242LVUS0207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359"/>
    <x v="162"/>
    <d v="2021-05-15T00:00:00"/>
    <d v="2021-05-20T00:00:00"/>
    <s v="RV"/>
    <s v="USD"/>
    <n v="-21048.3"/>
    <s v="83.95000"/>
    <s v="BDT"/>
    <n v="-1767004.78"/>
    <n v="-21048.3"/>
    <s v="21048.3_1"/>
    <s v=""/>
    <s v="C3281LVUS0615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21035.98"/>
    <s v="83.95000"/>
    <s v="BDT"/>
    <n v="-1765970.52"/>
    <n v="-21035.98"/>
    <s v="21035.98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064"/>
    <x v="216"/>
    <d v="2020-07-20T00:00:00"/>
    <d v="2020-07-25T00:00:00"/>
    <s v="RV"/>
    <s v="USD"/>
    <n v="-21027.8"/>
    <s v="83.95000"/>
    <s v="BDT"/>
    <n v="-1765283.81"/>
    <n v="-21027.8"/>
    <s v="21027.8_1"/>
    <s v=""/>
    <s v="C3122UQ20EU0661"/>
    <s v="20200720"/>
    <s v=""/>
    <s v=""/>
    <s v="0"/>
    <s v=""/>
    <s v=""/>
    <s v=""/>
    <s v=""/>
    <s v="2010100001"/>
    <s v=""/>
    <m/>
    <s v=""/>
    <s v=""/>
    <s v=""/>
    <n v="0"/>
  </r>
  <r>
    <s v=""/>
    <s v="40101001"/>
    <s v="2018000075"/>
    <x v="53"/>
    <d v="2020-07-22T00:00:00"/>
    <d v="2020-07-28T00:00:00"/>
    <s v="RV"/>
    <s v="USD"/>
    <n v="-21021.24"/>
    <s v="83.95000"/>
    <s v="BDT"/>
    <n v="-1764733.1"/>
    <n v="-21021.24"/>
    <s v="21021.24_1"/>
    <s v=""/>
    <s v="C3131UQ20YAN0665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885"/>
    <x v="44"/>
    <d v="2021-01-28T00:00:00"/>
    <d v="2021-02-02T00:00:00"/>
    <s v="RV"/>
    <s v="USD"/>
    <n v="-20992.38"/>
    <s v="83.95000"/>
    <s v="BDT"/>
    <n v="-1762310.3"/>
    <n v="-20992.38"/>
    <s v="20992.38_1"/>
    <s v=""/>
    <s v="C3160SB21UK0096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1333"/>
    <x v="241"/>
    <d v="2021-05-05T00:00:00"/>
    <d v="2021-05-15T00:00:00"/>
    <s v="RV"/>
    <s v="USD"/>
    <n v="-20964.22"/>
    <s v="83.95000"/>
    <s v="BDT"/>
    <n v="-1759946.27"/>
    <n v="-20964.22"/>
    <s v="20964.22_1"/>
    <s v=""/>
    <s v="C3286LVMX0560-21"/>
    <s v="20210505"/>
    <s v=""/>
    <s v=""/>
    <s v="0"/>
    <s v=""/>
    <s v=""/>
    <s v=""/>
    <s v=""/>
    <s v="2010100001"/>
    <s v=""/>
    <m/>
    <s v=""/>
    <s v=""/>
    <s v=""/>
    <n v="0"/>
  </r>
  <r>
    <s v=""/>
    <s v="40101011"/>
    <s v="2008000203"/>
    <x v="242"/>
    <d v="2021-03-31T00:00:00"/>
    <d v="2021-04-06T00:00:00"/>
    <s v="DR"/>
    <s v="USD"/>
    <n v="-20960.89"/>
    <s v="83.95000"/>
    <s v="BDT"/>
    <n v="-1759666.72"/>
    <n v="-20960.89"/>
    <s v="20960.89_1"/>
    <s v=""/>
    <s v="CIPL-PGCL-295-21"/>
    <s v="CIPL-PGCL-295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1142"/>
    <x v="141"/>
    <d v="2021-03-25T00:00:00"/>
    <d v="2021-03-31T00:00:00"/>
    <s v="RV"/>
    <s v="USD"/>
    <n v="-20945.87"/>
    <s v="83.95000"/>
    <s v="BDT"/>
    <n v="-1758405.79"/>
    <n v="-20945.87"/>
    <s v="20945.87_1"/>
    <s v=""/>
    <s v="C3261C&amp;A21GR0385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0956"/>
    <x v="99"/>
    <d v="2021-02-11T00:00:00"/>
    <d v="2021-02-16T00:00:00"/>
    <s v="RV"/>
    <s v="USD"/>
    <n v="-20926.939999999999"/>
    <s v="83.95000"/>
    <s v="BDT"/>
    <n v="-1756816.61"/>
    <n v="-20926.939999999999"/>
    <s v="20926.94_1"/>
    <s v=""/>
    <s v="C3260UQ21SEN0177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277"/>
    <x v="169"/>
    <d v="2020-09-10T00:00:00"/>
    <d v="2020-09-30T00:00:00"/>
    <s v="RV"/>
    <s v="USD"/>
    <n v="-20890.28"/>
    <s v="83.95000"/>
    <s v="BDT"/>
    <n v="-1753739.01"/>
    <n v="-20890.28"/>
    <s v="20890.28_1"/>
    <s v=""/>
    <s v="C3204UQ20YAN0840"/>
    <s v="20200910"/>
    <s v=""/>
    <s v=""/>
    <s v="0"/>
    <s v=""/>
    <s v=""/>
    <s v=""/>
    <s v=""/>
    <s v="2010100001"/>
    <s v=""/>
    <m/>
    <s v=""/>
    <s v=""/>
    <s v=""/>
    <n v="0"/>
  </r>
  <r>
    <s v=""/>
    <s v="40101001"/>
    <s v="2018000515"/>
    <x v="243"/>
    <d v="2020-11-17T00:00:00"/>
    <d v="2020-11-24T00:00:00"/>
    <s v="RV"/>
    <s v="USD"/>
    <n v="-20887.349999999999"/>
    <s v="83.95000"/>
    <s v="BDT"/>
    <n v="-1753493.03"/>
    <n v="-20887.349999999999"/>
    <s v="20887.35_1"/>
    <s v=""/>
    <s v="C3147LVUS114920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0378"/>
    <x v="13"/>
    <d v="2020-10-22T00:00:00"/>
    <d v="2020-11-01T00:00:00"/>
    <s v="RV"/>
    <s v="USD"/>
    <n v="-20865.52"/>
    <s v="83.95000"/>
    <s v="BDT"/>
    <n v="-1751660.4"/>
    <n v="-20865.52"/>
    <s v="20865.52_1"/>
    <s v=""/>
    <s v="C3205UQ20PH0992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1518"/>
    <x v="244"/>
    <d v="2021-06-13T00:00:00"/>
    <d v="2021-06-17T00:00:00"/>
    <s v="RV"/>
    <s v="USD"/>
    <n v="-20825.75"/>
    <s v="83.95000"/>
    <s v="BDT"/>
    <n v="-1748321.71"/>
    <n v="-20825.75"/>
    <s v="20825.75_1"/>
    <s v=""/>
    <s v="C3329UQ21HAK078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0176"/>
    <x v="33"/>
    <d v="2020-08-21T00:00:00"/>
    <d v="2020-08-29T00:00:00"/>
    <s v="RV"/>
    <s v="USD"/>
    <n v="-20819.490000000002"/>
    <s v="83.95000"/>
    <s v="BDT"/>
    <n v="-1747796.19"/>
    <n v="-20819.490000000002"/>
    <s v="20819.49_1"/>
    <s v=""/>
    <s v="C3067LVMX075420"/>
    <s v="20200821"/>
    <s v=""/>
    <s v=""/>
    <s v="0"/>
    <s v=""/>
    <s v=""/>
    <s v=""/>
    <s v=""/>
    <s v="2010100001"/>
    <s v=""/>
    <m/>
    <s v=""/>
    <s v=""/>
    <s v=""/>
    <n v="0"/>
  </r>
  <r>
    <s v=""/>
    <s v="40101001"/>
    <s v="2018000028"/>
    <x v="113"/>
    <d v="2020-07-02T00:00:00"/>
    <d v="2020-07-18T00:00:00"/>
    <s v="RV"/>
    <s v="USD"/>
    <n v="-20759.47"/>
    <s v="83.95000"/>
    <s v="BDT"/>
    <n v="-1742757.51"/>
    <n v="-20759.47"/>
    <s v="20759.47_1"/>
    <s v=""/>
    <s v="C3122UQ20SHA0560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0974"/>
    <x v="72"/>
    <d v="2021-02-16T00:00:00"/>
    <d v="2021-02-22T00:00:00"/>
    <s v="RV"/>
    <s v="USD"/>
    <n v="-20751.23"/>
    <s v="83.95000"/>
    <s v="BDT"/>
    <n v="-1742065.76"/>
    <n v="-20751.23"/>
    <s v="20751.23_1"/>
    <s v=""/>
    <s v="C3290UQ21OSA0218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678"/>
    <x v="245"/>
    <d v="2020-12-19T00:00:00"/>
    <d v="2020-12-23T00:00:00"/>
    <s v="RV"/>
    <s v="USD"/>
    <n v="-20747.53"/>
    <s v="83.95000"/>
    <s v="BDT"/>
    <n v="-1741755.14"/>
    <n v="-20747.53"/>
    <s v="20747.53_1"/>
    <s v=""/>
    <s v="C3168UQ20OSA1345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0489"/>
    <x v="65"/>
    <d v="2020-11-11T00:00:00"/>
    <d v="2020-11-16T00:00:00"/>
    <s v="RV"/>
    <s v="USD"/>
    <n v="-20744.349999999999"/>
    <s v="83.95000"/>
    <s v="BDT"/>
    <n v="-1741488.18"/>
    <n v="-20744.349999999999"/>
    <s v="20744.35_1"/>
    <s v=""/>
    <s v="C3233UQ20TOK1119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1115"/>
    <x v="177"/>
    <d v="2021-03-23T00:00:00"/>
    <d v="2021-03-28T00:00:00"/>
    <s v="RV"/>
    <s v="USD"/>
    <n v="-20725.54"/>
    <s v="83.95000"/>
    <s v="BDT"/>
    <n v="-1739909.09"/>
    <n v="-20725.54"/>
    <s v="20725.54_1"/>
    <s v=""/>
    <s v="C3173AMZLB0379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383"/>
    <x v="67"/>
    <d v="2020-10-27T00:00:00"/>
    <d v="2020-11-01T00:00:00"/>
    <s v="RV"/>
    <s v="USD"/>
    <n v="-20704.62"/>
    <s v="83.95000"/>
    <s v="BDT"/>
    <n v="-1738152.85"/>
    <n v="-20704.62"/>
    <s v="20704.62_1"/>
    <s v=""/>
    <s v="C3169UQ20KR1027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0319"/>
    <x v="246"/>
    <d v="2020-09-28T00:00:00"/>
    <d v="2020-10-14T00:00:00"/>
    <s v="RV"/>
    <s v="USD"/>
    <n v="-20692.73"/>
    <s v="83.95000"/>
    <s v="BDT"/>
    <n v="-1737154.68"/>
    <n v="-20692.73"/>
    <s v="20692.73_1"/>
    <s v=""/>
    <s v="C3204UQ20YAN0889"/>
    <s v="20200928"/>
    <s v=""/>
    <s v=""/>
    <s v="0"/>
    <s v=""/>
    <s v=""/>
    <s v=""/>
    <s v=""/>
    <s v="2010100001"/>
    <s v=""/>
    <m/>
    <s v=""/>
    <s v=""/>
    <s v=""/>
    <n v="0"/>
  </r>
  <r>
    <s v=""/>
    <s v="40101001"/>
    <s v="2018001589"/>
    <x v="247"/>
    <d v="2021-06-22T00:00:00"/>
    <d v="2021-06-28T00:00:00"/>
    <s v="RV"/>
    <s v="USD"/>
    <n v="-20686.849999999999"/>
    <s v="83.95000"/>
    <s v="BDT"/>
    <n v="-1736661.06"/>
    <n v="-20686.849999999999"/>
    <s v="20686.85_1"/>
    <s v=""/>
    <s v="C3284LVCA0834-21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1337"/>
    <x v="239"/>
    <d v="2021-05-09T00:00:00"/>
    <d v="2021-05-17T00:00:00"/>
    <s v="RV"/>
    <s v="USD"/>
    <n v="-20663.79"/>
    <s v="83.95000"/>
    <s v="BDT"/>
    <n v="-1734725.17"/>
    <n v="-20663.79"/>
    <s v="20663.79_1"/>
    <s v=""/>
    <s v="C3276LVUS0598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1382"/>
    <x v="56"/>
    <d v="2021-05-13T00:00:00"/>
    <d v="2021-05-20T00:00:00"/>
    <s v="RV"/>
    <s v="USD"/>
    <n v="-20662.189999999999"/>
    <s v="83.95000"/>
    <s v="BDT"/>
    <n v="-1734590.85"/>
    <n v="-20662.189999999999"/>
    <s v="20662.19_1"/>
    <s v=""/>
    <s v="C3283LVUS062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311"/>
    <x v="15"/>
    <d v="2021-05-04T00:00:00"/>
    <d v="2021-05-12T00:00:00"/>
    <s v="RV"/>
    <s v="USD"/>
    <n v="-20620.009999999998"/>
    <s v="83.95000"/>
    <s v="BDT"/>
    <n v="-1731049.84"/>
    <n v="-20620.009999999998"/>
    <s v="20620.01_1"/>
    <s v=""/>
    <s v="C3343UQ21YOK0540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499"/>
    <x v="127"/>
    <d v="2021-06-04T00:00:00"/>
    <d v="2021-06-17T00:00:00"/>
    <s v="RV"/>
    <s v="USD"/>
    <n v="-20572.990000000002"/>
    <s v="83.95000"/>
    <s v="BDT"/>
    <n v="-1727102.51"/>
    <n v="-20572.990000000002"/>
    <s v="20572.99_1"/>
    <s v=""/>
    <s v="C3308UQ21LA0729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0305"/>
    <x v="154"/>
    <d v="2020-10-03T00:00:00"/>
    <d v="2020-10-10T00:00:00"/>
    <s v="RV"/>
    <s v="USD"/>
    <n v="-20540.650000000001"/>
    <s v="83.95000"/>
    <s v="BDT"/>
    <n v="-1724387.57"/>
    <n v="-20540.650000000001"/>
    <s v="20540.65_1"/>
    <s v=""/>
    <s v="C3159UQ20SHA0804"/>
    <s v="20201003"/>
    <s v=""/>
    <s v=""/>
    <s v="0"/>
    <s v=""/>
    <s v=""/>
    <s v=""/>
    <s v=""/>
    <s v="2010100001"/>
    <s v=""/>
    <m/>
    <s v=""/>
    <s v=""/>
    <s v=""/>
    <n v="0"/>
  </r>
  <r>
    <s v=""/>
    <s v="40101001"/>
    <s v="2018000085"/>
    <x v="41"/>
    <d v="2020-07-26T00:00:00"/>
    <d v="2020-07-29T00:00:00"/>
    <s v="RV"/>
    <s v="USD"/>
    <n v="-20520.46"/>
    <s v="83.95000"/>
    <s v="BDT"/>
    <n v="-1722692.62"/>
    <n v="-20520.46"/>
    <s v="20520.46_1"/>
    <s v=""/>
    <s v="C3126UQ20MEL0672"/>
    <s v="20200726"/>
    <s v=""/>
    <s v=""/>
    <s v="0"/>
    <s v=""/>
    <s v=""/>
    <s v=""/>
    <s v=""/>
    <s v="2010100001"/>
    <s v=""/>
    <m/>
    <s v=""/>
    <s v=""/>
    <s v=""/>
    <n v="0"/>
  </r>
  <r>
    <s v=""/>
    <s v="40101001"/>
    <s v="2018000993"/>
    <x v="72"/>
    <d v="2021-02-16T00:00:00"/>
    <d v="2021-02-25T00:00:00"/>
    <s v="RV"/>
    <s v="USD"/>
    <n v="-20483.07"/>
    <s v="83.95000"/>
    <s v="BDT"/>
    <n v="-1719553.74"/>
    <n v="-20483.07"/>
    <s v="20483.07_1"/>
    <s v=""/>
    <s v="C3248LVUS0201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20475.86"/>
    <s v="83.95000"/>
    <s v="BDT"/>
    <n v="-1718948.45"/>
    <n v="-20475.86"/>
    <s v="20475.86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048"/>
    <x v="5"/>
    <d v="2021-03-07T00:00:00"/>
    <d v="2021-03-11T00:00:00"/>
    <s v="RV"/>
    <s v="USD"/>
    <n v="-20461.98"/>
    <s v="83.95000"/>
    <s v="BDT"/>
    <n v="-1717783.22"/>
    <n v="-20461.98"/>
    <s v="20461.98_1"/>
    <s v=""/>
    <s v="C3272UQ21KR0262"/>
    <s v="20210307"/>
    <s v=""/>
    <s v=""/>
    <s v="0"/>
    <s v=""/>
    <s v=""/>
    <s v=""/>
    <s v=""/>
    <s v="2010100001"/>
    <s v=""/>
    <m/>
    <s v=""/>
    <s v=""/>
    <s v=""/>
    <n v="0"/>
  </r>
  <r>
    <s v=""/>
    <s v="40101001"/>
    <s v="2018000246"/>
    <x v="133"/>
    <d v="2020-09-21T00:00:00"/>
    <d v="2020-09-24T00:00:00"/>
    <s v="RV"/>
    <s v="USD"/>
    <n v="-20457.28"/>
    <s v="83.95000"/>
    <s v="BDT"/>
    <n v="-1717388.66"/>
    <n v="-20457.28"/>
    <s v="20457.28_1"/>
    <s v=""/>
    <s v="C3156DC20US0870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1034"/>
    <x v="116"/>
    <d v="2021-03-05T00:00:00"/>
    <d v="2021-03-10T00:00:00"/>
    <s v="RV"/>
    <s v="USD"/>
    <n v="-20448.38"/>
    <s v="83.95000"/>
    <s v="BDT"/>
    <n v="-1716641.5"/>
    <n v="-20448.38"/>
    <s v="20448.38_1"/>
    <s v=""/>
    <s v="C3240LVCL0251-2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1473"/>
    <x v="152"/>
    <d v="2021-06-07T00:00:00"/>
    <d v="2021-06-10T00:00:00"/>
    <s v="RV"/>
    <s v="USD"/>
    <n v="-20437.54"/>
    <s v="83.95000"/>
    <s v="BDT"/>
    <n v="-1715731.48"/>
    <n v="-20437.54"/>
    <s v="20437.54_1"/>
    <s v=""/>
    <s v="C3343UQ21YOK0732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529"/>
    <x v="3"/>
    <d v="2020-11-18T00:00:00"/>
    <d v="2020-11-24T00:00:00"/>
    <s v="RV"/>
    <s v="USD"/>
    <n v="-20435.23"/>
    <s v="83.95000"/>
    <s v="BDT"/>
    <n v="-1715537.56"/>
    <n v="-20435.23"/>
    <s v="20435.23_1"/>
    <s v=""/>
    <s v="C3231UQ20KR1126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181"/>
    <x v="215"/>
    <d v="2020-08-31T00:00:00"/>
    <d v="2020-09-03T00:00:00"/>
    <s v="RV"/>
    <s v="USD"/>
    <n v="-20418.54"/>
    <s v="83.95000"/>
    <s v="BDT"/>
    <n v="-1714136.43"/>
    <n v="-20418.54"/>
    <s v="20418.54_1"/>
    <s v=""/>
    <s v="C3093UQ20TOK0819"/>
    <s v="20200831"/>
    <s v=""/>
    <s v=""/>
    <s v="0"/>
    <s v=""/>
    <s v=""/>
    <s v=""/>
    <s v=""/>
    <s v="2010100001"/>
    <s v=""/>
    <m/>
    <s v=""/>
    <s v=""/>
    <s v=""/>
    <n v="0"/>
  </r>
  <r>
    <s v=""/>
    <s v="40101001"/>
    <s v="2018001373"/>
    <x v="56"/>
    <d v="2021-05-13T00:00:00"/>
    <d v="2021-05-20T00:00:00"/>
    <s v="RV"/>
    <s v="USD"/>
    <n v="-20316.41"/>
    <s v="83.95000"/>
    <s v="BDT"/>
    <n v="-1705562.62"/>
    <n v="-20316.41"/>
    <s v="20316.41_1"/>
    <s v=""/>
    <s v="C3343UQ21OSA0637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042"/>
    <x v="145"/>
    <d v="2021-03-06T00:00:00"/>
    <d v="2021-03-10T00:00:00"/>
    <s v="RV"/>
    <s v="USD"/>
    <n v="-20315.02"/>
    <s v="83.95000"/>
    <s v="BDT"/>
    <n v="-1705445.93"/>
    <n v="-20315.02"/>
    <s v="20315.02_1"/>
    <s v=""/>
    <s v="C3290UQ21HAK0271"/>
    <s v="20210306"/>
    <s v=""/>
    <s v=""/>
    <s v="0"/>
    <s v=""/>
    <s v=""/>
    <s v=""/>
    <s v=""/>
    <s v="2010100001"/>
    <s v=""/>
    <m/>
    <s v=""/>
    <s v=""/>
    <s v=""/>
    <n v="0"/>
  </r>
  <r>
    <s v=""/>
    <s v="40101001"/>
    <s v="2018001464"/>
    <x v="127"/>
    <d v="2021-06-04T00:00:00"/>
    <d v="2021-06-10T00:00:00"/>
    <s v="RV"/>
    <s v="USD"/>
    <n v="-20309.88"/>
    <s v="83.95000"/>
    <s v="BDT"/>
    <n v="-1705014.42"/>
    <n v="-20309.88"/>
    <s v="20309.88_1"/>
    <s v=""/>
    <s v="C3281LVUS0696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1601"/>
    <x v="170"/>
    <d v="2021-06-24T00:00:00"/>
    <d v="2021-06-30T00:00:00"/>
    <s v="RV"/>
    <s v="USD"/>
    <n v="-20308.16"/>
    <s v="83.95000"/>
    <s v="BDT"/>
    <n v="-1704870.03"/>
    <n v="-20308.16"/>
    <s v="20308.16_1"/>
    <s v=""/>
    <s v="C3311LVUS0832-21"/>
    <s v="20210624"/>
    <s v=""/>
    <s v=""/>
    <s v="0"/>
    <s v=""/>
    <s v=""/>
    <s v=""/>
    <s v=""/>
    <s v="2010100001"/>
    <s v=""/>
    <m/>
    <s v=""/>
    <s v=""/>
    <s v=""/>
    <n v="0"/>
  </r>
  <r>
    <s v=""/>
    <s v="40101001"/>
    <s v="2018000645"/>
    <x v="187"/>
    <d v="2020-12-12T00:00:00"/>
    <d v="2020-12-20T00:00:00"/>
    <s v="RV"/>
    <s v="USD"/>
    <n v="-20307.080000000002"/>
    <s v="83.95000"/>
    <s v="BDT"/>
    <n v="-1704779.37"/>
    <n v="-20307.080000000002"/>
    <s v="20307.08_1"/>
    <s v=""/>
    <s v="C3168UQ20SEN1290"/>
    <s v="20201212"/>
    <s v=""/>
    <s v=""/>
    <s v="0"/>
    <s v=""/>
    <s v=""/>
    <s v=""/>
    <s v=""/>
    <s v="2010100001"/>
    <s v=""/>
    <m/>
    <s v=""/>
    <s v=""/>
    <s v=""/>
    <n v="0"/>
  </r>
  <r>
    <s v=""/>
    <s v="40101001"/>
    <s v="2018000544"/>
    <x v="14"/>
    <d v="2020-11-25T00:00:00"/>
    <d v="2020-11-28T00:00:00"/>
    <s v="RV"/>
    <s v="USD"/>
    <n v="-20300.09"/>
    <s v="83.95000"/>
    <s v="BDT"/>
    <n v="-1704192.56"/>
    <n v="-20300.09"/>
    <s v="20300.09_1"/>
    <s v=""/>
    <s v="C3145LVGR119420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1522"/>
    <x v="86"/>
    <d v="2021-06-14T00:00:00"/>
    <d v="2021-06-17T00:00:00"/>
    <s v="RV"/>
    <s v="USD"/>
    <n v="-20293.259999999998"/>
    <s v="83.95000"/>
    <s v="BDT"/>
    <n v="-1703619.18"/>
    <n v="-20293.259999999998"/>
    <s v="20293.26_1"/>
    <s v=""/>
    <s v="C3329UQ21NAG0799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1442"/>
    <x v="194"/>
    <d v="2021-05-21T00:00:00"/>
    <d v="2021-06-08T00:00:00"/>
    <s v="RV"/>
    <s v="USD"/>
    <n v="-20269.84"/>
    <s v="83.95000"/>
    <s v="BDT"/>
    <n v="-1701653.07"/>
    <n v="-20269.84"/>
    <s v="20269.84_1"/>
    <s v=""/>
    <s v="C3282LVMX0622-21"/>
    <s v="20210521"/>
    <s v=""/>
    <s v=""/>
    <s v="0"/>
    <s v=""/>
    <s v=""/>
    <s v=""/>
    <s v=""/>
    <s v="2010100001"/>
    <s v=""/>
    <m/>
    <s v=""/>
    <s v=""/>
    <s v=""/>
    <n v="0"/>
  </r>
  <r>
    <s v=""/>
    <s v="40101001"/>
    <s v="2018000515"/>
    <x v="243"/>
    <d v="2020-11-17T00:00:00"/>
    <d v="2020-11-24T00:00:00"/>
    <s v="RV"/>
    <s v="USD"/>
    <n v="-20245.310000000001"/>
    <s v="83.95000"/>
    <s v="BDT"/>
    <n v="-1699593.77"/>
    <n v="-20245.310000000001"/>
    <s v="20245.31_1"/>
    <s v=""/>
    <s v="C3147LVUS114920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0218"/>
    <x v="40"/>
    <d v="2020-09-08T00:00:00"/>
    <d v="2020-09-12T00:00:00"/>
    <s v="RV"/>
    <s v="USD"/>
    <n v="-20209.349999999999"/>
    <s v="83.95000"/>
    <s v="BDT"/>
    <n v="-1696574.93"/>
    <n v="-20209.349999999999"/>
    <s v="20209.35_1"/>
    <s v=""/>
    <s v="C3159UQ20OSA0831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1172"/>
    <x v="189"/>
    <d v="2021-03-26T00:00:00"/>
    <d v="2021-04-04T00:00:00"/>
    <s v="RV"/>
    <s v="USD"/>
    <n v="-20207.73"/>
    <s v="83.95000"/>
    <s v="BDT"/>
    <n v="-1696438.93"/>
    <n v="-20207.73"/>
    <s v="20207.73_1"/>
    <s v=""/>
    <s v="C3173AMZLB0362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931"/>
    <x v="73"/>
    <d v="2021-02-08T00:00:00"/>
    <d v="2021-02-14T00:00:00"/>
    <s v="RV"/>
    <s v="USD"/>
    <n v="-20169.61"/>
    <s v="83.95000"/>
    <s v="BDT"/>
    <n v="-1693238.76"/>
    <n v="-20169.61"/>
    <s v="20169.61_1"/>
    <s v=""/>
    <s v="C3260UQ21OSA0169"/>
    <s v="20210208"/>
    <s v=""/>
    <s v=""/>
    <s v="0"/>
    <s v=""/>
    <s v=""/>
    <s v=""/>
    <s v=""/>
    <s v="2010100001"/>
    <s v=""/>
    <m/>
    <s v=""/>
    <s v=""/>
    <s v=""/>
    <n v="0"/>
  </r>
  <r>
    <s v=""/>
    <s v="40101011"/>
    <s v="2008000181"/>
    <x v="143"/>
    <d v="2021-01-31T00:00:00"/>
    <d v="2021-02-07T00:00:00"/>
    <s v="DR"/>
    <s v="USD"/>
    <n v="-20141.16"/>
    <s v="83.95000"/>
    <s v="BDT"/>
    <n v="-1690850.38"/>
    <n v="-20141.16"/>
    <s v="20141.16_1"/>
    <s v=""/>
    <s v="CIPL-PGC-0288-20"/>
    <s v="CIPL-PGC-0288-20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1210"/>
    <x v="108"/>
    <d v="2021-04-11T00:00:00"/>
    <d v="2021-04-20T00:00:00"/>
    <s v="RV"/>
    <s v="USD"/>
    <n v="-20127.13"/>
    <s v="83.95000"/>
    <s v="BDT"/>
    <n v="-1689672.55"/>
    <n v="-20127.13"/>
    <s v="20127.13_1"/>
    <s v=""/>
    <s v="C3194AMZPL044121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1169"/>
    <x v="189"/>
    <d v="2021-03-26T00:00:00"/>
    <d v="2021-04-04T00:00:00"/>
    <s v="RV"/>
    <s v="USD"/>
    <n v="-20124.439999999999"/>
    <s v="83.95000"/>
    <s v="BDT"/>
    <n v="-1689446.74"/>
    <n v="-20124.439999999999"/>
    <s v="20124.44_1"/>
    <s v=""/>
    <s v="C3187AMZLB0378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088"/>
    <x v="57"/>
    <d v="2021-03-18T00:00:00"/>
    <d v="2021-03-24T00:00:00"/>
    <s v="RV"/>
    <s v="USD"/>
    <n v="-20106.400000000001"/>
    <s v="83.95000"/>
    <s v="BDT"/>
    <n v="-1687932.28"/>
    <n v="-20106.400000000001"/>
    <s v="20106.4_1"/>
    <s v=""/>
    <s v="C3291UQ21PH0303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0240"/>
    <x v="81"/>
    <d v="2020-09-16T00:00:00"/>
    <d v="2020-09-22T00:00:00"/>
    <s v="RV"/>
    <s v="USD"/>
    <n v="-20074.73"/>
    <s v="83.95000"/>
    <s v="BDT"/>
    <n v="-1685273.58"/>
    <n v="-20074.73"/>
    <s v="20074.73_1"/>
    <s v=""/>
    <s v="C3154UQ20OSA0863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508"/>
    <x v="115"/>
    <d v="2020-11-15T00:00:00"/>
    <d v="2020-11-19T00:00:00"/>
    <s v="RV"/>
    <s v="USD"/>
    <n v="-20049.59"/>
    <s v="83.95000"/>
    <s v="BDT"/>
    <n v="-1683163.08"/>
    <n v="-20049.59"/>
    <s v="20049.59_1"/>
    <s v=""/>
    <s v="C3215UQ20NAG1133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0127"/>
    <x v="8"/>
    <d v="2020-07-29T00:00:00"/>
    <d v="2020-08-14T00:00:00"/>
    <s v="RV"/>
    <s v="USD"/>
    <n v="-20024.22"/>
    <s v="83.95000"/>
    <s v="BDT"/>
    <n v="-1681033.27"/>
    <n v="-20024.22"/>
    <s v="20024.22_1"/>
    <s v=""/>
    <s v="C3150UQ20YAN0726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20022.25"/>
    <s v="83.95000"/>
    <s v="BDT"/>
    <n v="-1680867.89"/>
    <n v="-20022.25"/>
    <s v="20022.25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351"/>
    <x v="78"/>
    <d v="2020-10-04T00:00:00"/>
    <d v="2020-10-24T00:00:00"/>
    <s v="RV"/>
    <s v="USD"/>
    <n v="-20020.55"/>
    <s v="83.95000"/>
    <s v="BDT"/>
    <n v="-1680725.17"/>
    <n v="-20020.55"/>
    <s v="20020.55_1"/>
    <s v=""/>
    <s v="C3135SB20UK0921"/>
    <s v="20201004"/>
    <s v=""/>
    <s v=""/>
    <s v="0"/>
    <s v=""/>
    <s v=""/>
    <s v=""/>
    <s v=""/>
    <s v="2010100001"/>
    <s v=""/>
    <m/>
    <s v=""/>
    <s v=""/>
    <s v=""/>
    <n v="0"/>
  </r>
  <r>
    <s v=""/>
    <s v="40101001"/>
    <s v="2018001398"/>
    <x v="51"/>
    <d v="2021-05-08T00:00:00"/>
    <d v="2021-05-24T00:00:00"/>
    <s v="RV"/>
    <s v="USD"/>
    <n v="-19982.36"/>
    <s v="83.95000"/>
    <s v="BDT"/>
    <n v="-1677519.12"/>
    <n v="-19982.36"/>
    <s v="19982.36_1"/>
    <s v=""/>
    <s v="C3352UQ21KR0609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585"/>
    <x v="247"/>
    <d v="2021-06-22T00:00:00"/>
    <d v="2021-06-26T00:00:00"/>
    <s v="RV"/>
    <s v="USD"/>
    <n v="-19981.349999999999"/>
    <s v="83.95000"/>
    <s v="BDT"/>
    <n v="-1677434.34"/>
    <n v="-19981.349999999999"/>
    <s v="19981.35_1"/>
    <s v=""/>
    <s v="C3343UQ21MY0823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1104"/>
    <x v="217"/>
    <d v="2021-03-22T00:00:00"/>
    <d v="2021-03-25T00:00:00"/>
    <s v="RV"/>
    <s v="USD"/>
    <n v="-19890.62"/>
    <s v="83.95000"/>
    <s v="BDT"/>
    <n v="-1669817.55"/>
    <n v="-19890.62"/>
    <s v="19890.62_1"/>
    <s v=""/>
    <s v="C3274UQ21SYD0331"/>
    <s v="20210322"/>
    <s v=""/>
    <s v=""/>
    <s v="0"/>
    <s v=""/>
    <s v=""/>
    <s v=""/>
    <s v=""/>
    <s v="2010100001"/>
    <s v=""/>
    <m/>
    <s v=""/>
    <s v=""/>
    <s v=""/>
    <n v="0"/>
  </r>
  <r>
    <s v=""/>
    <s v="40101001"/>
    <s v="2018001395"/>
    <x v="51"/>
    <d v="2021-05-08T00:00:00"/>
    <d v="2021-05-24T00:00:00"/>
    <s v="RV"/>
    <s v="USD"/>
    <n v="-19871.64"/>
    <s v="83.95000"/>
    <s v="BDT"/>
    <n v="-1668224.18"/>
    <n v="-19871.64"/>
    <s v="19871.64_1"/>
    <s v=""/>
    <s v="C3308UQ21KR0526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116"/>
    <x v="177"/>
    <d v="2021-03-23T00:00:00"/>
    <d v="2021-03-28T00:00:00"/>
    <s v="RV"/>
    <s v="USD"/>
    <n v="-19831.91"/>
    <s v="83.95000"/>
    <s v="BDT"/>
    <n v="-1664888.85"/>
    <n v="-19831.91"/>
    <s v="19831.91_1"/>
    <s v=""/>
    <s v="C3173AMZLB0363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073"/>
    <x v="53"/>
    <d v="2020-07-22T00:00:00"/>
    <d v="2020-07-28T00:00:00"/>
    <s v="RV"/>
    <s v="USD"/>
    <n v="-19828.54"/>
    <s v="83.95000"/>
    <s v="BDT"/>
    <n v="-1664605.93"/>
    <n v="-19828.54"/>
    <s v="19828.54_1"/>
    <s v=""/>
    <s v="C3131UQ20SHA0662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246"/>
    <x v="48"/>
    <d v="2021-04-20T00:00:00"/>
    <d v="2021-04-25T00:00:00"/>
    <s v="RV"/>
    <s v="USD"/>
    <n v="-19816.650000000001"/>
    <s v="83.95000"/>
    <s v="BDT"/>
    <n v="-1663607.77"/>
    <n v="-19816.650000000001"/>
    <s v="19816.65_1"/>
    <s v=""/>
    <s v="C3343UQ21YOK0484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0088"/>
    <x v="139"/>
    <d v="2020-07-27T00:00:00"/>
    <d v="2020-07-30T00:00:00"/>
    <s v="RV"/>
    <s v="USD"/>
    <n v="-19757.98"/>
    <s v="83.95000"/>
    <s v="BDT"/>
    <n v="-1658682.42"/>
    <n v="-19757.98"/>
    <s v="19757.98_1"/>
    <s v=""/>
    <s v="C3064LVUS068020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0313"/>
    <x v="190"/>
    <d v="2020-09-19T00:00:00"/>
    <d v="2020-10-13T00:00:00"/>
    <s v="RV"/>
    <s v="USD"/>
    <n v="-19737.310000000001"/>
    <s v="83.95000"/>
    <s v="BDT"/>
    <n v="-1656947.18"/>
    <n v="-19737.310000000001"/>
    <s v="19737.31_1"/>
    <s v=""/>
    <s v="C3135SB20UK0860"/>
    <s v="20200919"/>
    <s v=""/>
    <s v=""/>
    <s v="0"/>
    <s v=""/>
    <s v=""/>
    <s v=""/>
    <s v=""/>
    <s v="2010100001"/>
    <s v=""/>
    <m/>
    <s v=""/>
    <s v=""/>
    <s v=""/>
    <n v="0"/>
  </r>
  <r>
    <s v=""/>
    <s v="40101001"/>
    <s v="2018000235"/>
    <x v="248"/>
    <d v="2020-09-15T00:00:00"/>
    <d v="2020-09-17T00:00:00"/>
    <s v="RV"/>
    <s v="USD"/>
    <n v="-19712.400000000001"/>
    <s v="83.95000"/>
    <s v="BDT"/>
    <n v="-1654855.98"/>
    <n v="-19712.400000000001"/>
    <s v="19712.4_1"/>
    <s v=""/>
    <s v="C3154UQ20NAG0862"/>
    <s v="20200915"/>
    <s v=""/>
    <s v=""/>
    <s v="0"/>
    <s v=""/>
    <s v=""/>
    <s v=""/>
    <s v=""/>
    <s v="2010100001"/>
    <s v=""/>
    <m/>
    <s v=""/>
    <s v=""/>
    <s v=""/>
    <n v="0"/>
  </r>
  <r>
    <s v=""/>
    <s v="40101001"/>
    <s v="2018001577"/>
    <x v="247"/>
    <d v="2021-06-22T00:00:00"/>
    <d v="2021-06-24T00:00:00"/>
    <s v="RV"/>
    <s v="USD"/>
    <n v="-19707.689999999999"/>
    <s v="83.95000"/>
    <s v="BDT"/>
    <n v="-1654460.57"/>
    <n v="-19707.689999999999"/>
    <s v="19707.69_1"/>
    <s v=""/>
    <s v="C3329UQ21MEL0779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1403"/>
    <x v="157"/>
    <d v="2021-05-19T00:00:00"/>
    <d v="2021-05-24T00:00:00"/>
    <s v="RV"/>
    <s v="USD"/>
    <n v="-19679.37"/>
    <s v="83.95000"/>
    <s v="BDT"/>
    <n v="-1652083.12"/>
    <n v="-19679.37"/>
    <s v="19679.37_1"/>
    <s v=""/>
    <s v="C3309UQ21KR0658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0256"/>
    <x v="249"/>
    <d v="2020-09-18T00:00:00"/>
    <d v="2020-09-24T00:00:00"/>
    <s v="RV"/>
    <s v="USD"/>
    <n v="-19677.599999999999"/>
    <s v="83.95000"/>
    <s v="BDT"/>
    <n v="-1651934.52"/>
    <n v="-19677.599999999999"/>
    <s v="19677.6_1"/>
    <s v=""/>
    <s v="C3208UQ20MY0876"/>
    <s v="20200918"/>
    <s v=""/>
    <s v=""/>
    <s v="0"/>
    <s v=""/>
    <s v=""/>
    <s v=""/>
    <s v=""/>
    <s v="2010100001"/>
    <s v=""/>
    <m/>
    <s v=""/>
    <s v=""/>
    <s v=""/>
    <n v="0"/>
  </r>
  <r>
    <s v=""/>
    <s v="40101001"/>
    <s v="2018000216"/>
    <x v="40"/>
    <d v="2020-09-08T00:00:00"/>
    <d v="2020-09-12T00:00:00"/>
    <s v="RV"/>
    <s v="USD"/>
    <n v="-19638.11"/>
    <s v="83.95000"/>
    <s v="BDT"/>
    <n v="-1648619.33"/>
    <n v="-19638.11"/>
    <s v="19638.11_1"/>
    <s v=""/>
    <s v="C3154UQ20HAK0778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174"/>
    <x v="84"/>
    <d v="2020-08-05T00:00:00"/>
    <d v="2020-08-29T00:00:00"/>
    <s v="RV"/>
    <s v="USD"/>
    <n v="-19636.46"/>
    <s v="83.95000"/>
    <s v="BDT"/>
    <n v="-1648480.82"/>
    <n v="-19636.46"/>
    <s v="19636.46_1"/>
    <s v=""/>
    <s v="C3064LVUS070520"/>
    <s v="20200805"/>
    <s v=""/>
    <s v=""/>
    <s v="0"/>
    <s v=""/>
    <s v=""/>
    <s v=""/>
    <s v=""/>
    <s v="2010100001"/>
    <s v=""/>
    <m/>
    <s v=""/>
    <s v=""/>
    <s v=""/>
    <n v="0"/>
  </r>
  <r>
    <s v=""/>
    <s v="40101001"/>
    <s v="2018000379"/>
    <x v="13"/>
    <d v="2020-10-22T00:00:00"/>
    <d v="2020-11-01T00:00:00"/>
    <s v="RV"/>
    <s v="USD"/>
    <n v="-19580.400000000001"/>
    <s v="83.95000"/>
    <s v="BDT"/>
    <n v="-1643774.58"/>
    <n v="-19580.400000000001"/>
    <s v="19580.4_1"/>
    <s v=""/>
    <s v="C3205UQ20RU0883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0880"/>
    <x v="250"/>
    <d v="2021-01-24T00:00:00"/>
    <d v="2021-02-02T00:00:00"/>
    <s v="RV"/>
    <s v="USD"/>
    <n v="-19580.400000000001"/>
    <s v="83.95000"/>
    <s v="BDT"/>
    <n v="-1643774.58"/>
    <n v="-19580.400000000001"/>
    <s v="19580.4_2"/>
    <s v=""/>
    <s v="C3291UQ21RU0034"/>
    <s v="20210124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19579.64"/>
    <s v="83.95000"/>
    <s v="BDT"/>
    <n v="-1643710.78"/>
    <n v="-19579.64"/>
    <s v="19579.64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027"/>
    <x v="16"/>
    <d v="2021-02-26T00:00:00"/>
    <d v="2021-03-03T00:00:00"/>
    <s v="RV"/>
    <s v="USD"/>
    <n v="-19562.400000000001"/>
    <s v="83.95000"/>
    <s v="BDT"/>
    <n v="-1642263.48"/>
    <n v="-19562.400000000001"/>
    <s v="19562.4_1"/>
    <s v=""/>
    <s v="C3249LVUS0228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0587"/>
    <x v="153"/>
    <d v="2020-11-28T00:00:00"/>
    <d v="2020-12-03T00:00:00"/>
    <s v="RV"/>
    <s v="USD"/>
    <n v="-19522.86"/>
    <s v="83.95000"/>
    <s v="BDT"/>
    <n v="-1638944.1"/>
    <n v="-19522.86"/>
    <s v="19522.86_1"/>
    <s v=""/>
    <s v="C3102LVUS1189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0637"/>
    <x v="214"/>
    <d v="2020-12-01T00:00:00"/>
    <d v="2020-12-15T00:00:00"/>
    <s v="RV"/>
    <s v="USD"/>
    <n v="-19507.650000000001"/>
    <s v="83.95000"/>
    <s v="BDT"/>
    <n v="-1637667.22"/>
    <n v="-19507.650000000001"/>
    <s v="19507.65_1"/>
    <s v=""/>
    <s v="C3168UQ20HAK12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186"/>
    <x v="55"/>
    <d v="2020-08-19T00:00:00"/>
    <d v="2020-09-05T00:00:00"/>
    <s v="RV"/>
    <s v="USD"/>
    <n v="-19499.88"/>
    <s v="83.95000"/>
    <s v="BDT"/>
    <n v="-1637014.93"/>
    <n v="-19499.88"/>
    <s v="19499.88_1"/>
    <s v=""/>
    <s v="C3099LVUS0749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1431"/>
    <x v="32"/>
    <d v="2021-05-27T00:00:00"/>
    <d v="2021-06-01T00:00:00"/>
    <s v="RV"/>
    <s v="USD"/>
    <n v="-19488.650000000001"/>
    <s v="83.95000"/>
    <s v="BDT"/>
    <n v="-1636072.17"/>
    <n v="-19488.650000000001"/>
    <s v="19488.65_1"/>
    <s v=""/>
    <s v="C3343UQ21OSA0686"/>
    <s v="20210527"/>
    <s v=""/>
    <s v=""/>
    <s v="0"/>
    <s v=""/>
    <s v=""/>
    <s v=""/>
    <s v=""/>
    <s v="2010100001"/>
    <s v=""/>
    <m/>
    <s v=""/>
    <s v=""/>
    <s v=""/>
    <n v="0"/>
  </r>
  <r>
    <s v=""/>
    <s v="40101001"/>
    <s v="2018000792"/>
    <x v="251"/>
    <d v="2021-01-06T00:00:00"/>
    <d v="2021-01-12T00:00:00"/>
    <s v="RV"/>
    <s v="USD"/>
    <n v="-19475.45"/>
    <s v="83.95000"/>
    <s v="BDT"/>
    <n v="-1634964.03"/>
    <n v="-19475.45"/>
    <s v="19475.45_1"/>
    <s v=""/>
    <s v="C3214LVUS141720"/>
    <s v="20210106"/>
    <s v=""/>
    <s v=""/>
    <s v="0"/>
    <s v=""/>
    <s v=""/>
    <s v=""/>
    <s v=""/>
    <s v="2010100001"/>
    <s v=""/>
    <m/>
    <s v=""/>
    <s v=""/>
    <s v=""/>
    <n v="0"/>
  </r>
  <r>
    <s v=""/>
    <s v="40101011"/>
    <s v="2008000004"/>
    <x v="1"/>
    <d v="2020-07-30T00:00:00"/>
    <d v="2020-08-11T00:00:00"/>
    <s v="DR"/>
    <s v="USD"/>
    <n v="-19471.71"/>
    <s v="83.95000"/>
    <s v="BDT"/>
    <n v="-1634650.05"/>
    <n v="-19471.71"/>
    <s v="19471.71_1"/>
    <s v=""/>
    <s v="CIPL-PGCL273-20"/>
    <s v="CIPL-PGCL273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0255"/>
    <x v="249"/>
    <d v="2020-09-18T00:00:00"/>
    <d v="2020-09-24T00:00:00"/>
    <s v="RV"/>
    <s v="USD"/>
    <n v="-19468.509999999998"/>
    <s v="83.95000"/>
    <s v="BDT"/>
    <n v="-1634381.42"/>
    <n v="-19468.509999999998"/>
    <s v="19468.51_1"/>
    <s v=""/>
    <s v="C3208UQ20MY0865"/>
    <s v="20200918"/>
    <s v=""/>
    <s v=""/>
    <s v="0"/>
    <s v=""/>
    <s v=""/>
    <s v=""/>
    <s v=""/>
    <s v="2010100001"/>
    <s v=""/>
    <m/>
    <s v=""/>
    <s v=""/>
    <s v=""/>
    <n v="0"/>
  </r>
  <r>
    <s v=""/>
    <s v="40101001"/>
    <s v="2018001339"/>
    <x v="239"/>
    <d v="2021-05-09T00:00:00"/>
    <d v="2021-05-17T00:00:00"/>
    <s v="RV"/>
    <s v="USD"/>
    <n v="-19420.91"/>
    <s v="83.95000"/>
    <s v="BDT"/>
    <n v="-1630385.39"/>
    <n v="-19420.91"/>
    <s v="19420.91_1"/>
    <s v=""/>
    <s v="C3278LVUS0596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0382"/>
    <x v="67"/>
    <d v="2020-10-27T00:00:00"/>
    <d v="2020-11-01T00:00:00"/>
    <s v="RV"/>
    <s v="USD"/>
    <n v="-19419.53"/>
    <s v="83.95000"/>
    <s v="BDT"/>
    <n v="-1630269.54"/>
    <n v="-19419.53"/>
    <s v="19419.53_1"/>
    <s v=""/>
    <s v="C3169UQ20KR1026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0294"/>
    <x v="169"/>
    <d v="2020-09-10T00:00:00"/>
    <d v="2020-10-06T00:00:00"/>
    <s v="RV"/>
    <s v="USD"/>
    <n v="-19406.86"/>
    <s v="83.95000"/>
    <s v="BDT"/>
    <n v="-1629205.9"/>
    <n v="-19406.86"/>
    <s v="19406.86_1"/>
    <s v=""/>
    <s v="C3120UQ20SHA0816"/>
    <s v="20200910"/>
    <s v=""/>
    <s v=""/>
    <s v="0"/>
    <s v=""/>
    <s v=""/>
    <s v=""/>
    <s v=""/>
    <s v="2010100001"/>
    <s v=""/>
    <m/>
    <s v=""/>
    <s v=""/>
    <s v=""/>
    <n v="0"/>
  </r>
  <r>
    <s v=""/>
    <s v="40101001"/>
    <s v="2018000210"/>
    <x v="40"/>
    <d v="2020-09-08T00:00:00"/>
    <d v="2020-09-12T00:00:00"/>
    <s v="RV"/>
    <s v="USD"/>
    <n v="-19404"/>
    <s v="83.95000"/>
    <s v="BDT"/>
    <n v="-1628965.8"/>
    <n v="-19404"/>
    <s v="19404_1"/>
    <s v=""/>
    <s v="C3151UQ20HAK0832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1115"/>
    <x v="177"/>
    <d v="2021-03-23T00:00:00"/>
    <d v="2021-03-28T00:00:00"/>
    <s v="RV"/>
    <s v="USD"/>
    <n v="-19381.43"/>
    <s v="83.95000"/>
    <s v="BDT"/>
    <n v="-1627071.03"/>
    <n v="-19381.43"/>
    <s v="19381.43_1"/>
    <s v=""/>
    <s v="C3173AMZLB0379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074"/>
    <x v="53"/>
    <d v="2020-07-22T00:00:00"/>
    <d v="2020-07-28T00:00:00"/>
    <s v="RV"/>
    <s v="USD"/>
    <n v="-19381.28"/>
    <s v="83.95000"/>
    <s v="BDT"/>
    <n v="-1627058.45"/>
    <n v="-19381.28"/>
    <s v="19381.28_1"/>
    <s v=""/>
    <s v="C3131UQ20SHA0663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914"/>
    <x v="208"/>
    <d v="2021-02-04T00:00:00"/>
    <d v="2021-02-10T00:00:00"/>
    <s v="RV"/>
    <s v="USD"/>
    <n v="-19338.89"/>
    <s v="83.95000"/>
    <s v="BDT"/>
    <n v="-1623499.82"/>
    <n v="-19338.89"/>
    <s v="19338.89_1"/>
    <s v=""/>
    <s v="C3272UQ21TOM0113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622"/>
    <x v="225"/>
    <d v="2020-12-08T00:00:00"/>
    <d v="2020-12-13T00:00:00"/>
    <s v="RV"/>
    <s v="USD"/>
    <n v="-19331.75"/>
    <s v="83.95000"/>
    <s v="BDT"/>
    <n v="-1622900.41"/>
    <n v="-19331.75"/>
    <s v="19331.75_1"/>
    <s v=""/>
    <s v="C3218LVUS1265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137"/>
    <x v="185"/>
    <d v="2020-07-28T00:00:00"/>
    <d v="2020-08-14T00:00:00"/>
    <s v="RV"/>
    <s v="USD"/>
    <n v="-19323.650000000001"/>
    <s v="83.95000"/>
    <s v="BDT"/>
    <n v="-1622220.42"/>
    <n v="-19323.650000000001"/>
    <s v="19323.65_1"/>
    <s v=""/>
    <s v="C3120UQ20SHA0685"/>
    <s v="20200728"/>
    <s v=""/>
    <s v=""/>
    <s v="0"/>
    <s v=""/>
    <s v=""/>
    <s v=""/>
    <s v=""/>
    <s v="2010100001"/>
    <s v=""/>
    <m/>
    <s v=""/>
    <s v=""/>
    <s v=""/>
    <n v="0"/>
  </r>
  <r>
    <s v=""/>
    <s v="40101001"/>
    <s v="2018000739"/>
    <x v="155"/>
    <d v="2020-12-17T00:00:00"/>
    <d v="2021-01-03T00:00:00"/>
    <s v="RV"/>
    <s v="USD"/>
    <n v="-19304.39"/>
    <s v="83.95000"/>
    <s v="BDT"/>
    <n v="-1620603.54"/>
    <n v="-19304.39"/>
    <s v="19304.39_1"/>
    <s v=""/>
    <s v="C3218LVUS1308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987"/>
    <x v="30"/>
    <d v="2021-02-18T00:00:00"/>
    <d v="2021-02-25T00:00:00"/>
    <s v="RV"/>
    <s v="USD"/>
    <n v="-19295.32"/>
    <s v="83.95000"/>
    <s v="BDT"/>
    <n v="-1619842.11"/>
    <n v="-19295.32"/>
    <s v="19295.32_1"/>
    <s v=""/>
    <s v="C3271UQ21VN0225"/>
    <s v="20210218"/>
    <s v=""/>
    <s v=""/>
    <s v="0"/>
    <s v=""/>
    <s v=""/>
    <s v=""/>
    <s v=""/>
    <s v="2010100001"/>
    <s v=""/>
    <m/>
    <s v=""/>
    <s v=""/>
    <s v=""/>
    <n v="0"/>
  </r>
  <r>
    <s v=""/>
    <s v="40101001"/>
    <s v="2018001603"/>
    <x v="195"/>
    <d v="2021-06-28T00:00:00"/>
    <d v="2021-06-30T00:00:00"/>
    <s v="RV"/>
    <s v="USD"/>
    <n v="-19288.759999999998"/>
    <s v="83.95000"/>
    <s v="BDT"/>
    <n v="-1619291.4"/>
    <n v="-19288.759999999998"/>
    <s v="19288.76_1"/>
    <s v=""/>
    <s v="C3311LVUS0876-21"/>
    <s v="20210628"/>
    <s v=""/>
    <s v=""/>
    <s v="0"/>
    <s v=""/>
    <s v=""/>
    <s v=""/>
    <s v=""/>
    <s v="2010100001"/>
    <s v=""/>
    <m/>
    <s v=""/>
    <s v=""/>
    <s v=""/>
    <n v="0"/>
  </r>
  <r>
    <s v=""/>
    <s v="40101001"/>
    <s v="2018001545"/>
    <x v="206"/>
    <d v="2021-06-12T00:00:00"/>
    <d v="2021-06-21T00:00:00"/>
    <s v="RV"/>
    <s v="USD"/>
    <n v="-19287.18"/>
    <s v="83.95000"/>
    <s v="BDT"/>
    <n v="-1619158.76"/>
    <n v="-19287.18"/>
    <s v="19287.18_1"/>
    <s v=""/>
    <s v="C3308UQ21NY0584"/>
    <s v="20210612"/>
    <s v=""/>
    <s v=""/>
    <s v="0"/>
    <s v=""/>
    <s v=""/>
    <s v=""/>
    <s v=""/>
    <s v="2010100001"/>
    <s v=""/>
    <m/>
    <s v=""/>
    <s v=""/>
    <s v=""/>
    <n v="0"/>
  </r>
  <r>
    <s v=""/>
    <s v="40101001"/>
    <s v="2018001448"/>
    <x v="252"/>
    <d v="2021-06-03T00:00:00"/>
    <d v="2021-06-09T00:00:00"/>
    <s v="RV"/>
    <s v="USD"/>
    <n v="-19246.849999999999"/>
    <s v="83.95000"/>
    <s v="BDT"/>
    <n v="-1615773.06"/>
    <n v="-19246.849999999999"/>
    <s v="19246.85_1"/>
    <s v=""/>
    <s v="C3309UQ21EU0733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0909"/>
    <x v="208"/>
    <d v="2021-02-04T00:00:00"/>
    <d v="2021-02-10T00:00:00"/>
    <s v="RV"/>
    <s v="USD"/>
    <n v="-19233.27"/>
    <s v="83.95000"/>
    <s v="BDT"/>
    <n v="-1614633.02"/>
    <n v="-19233.27"/>
    <s v="19233.27_1"/>
    <s v=""/>
    <s v="C3255UQ21SYD0139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1519"/>
    <x v="244"/>
    <d v="2021-06-13T00:00:00"/>
    <d v="2021-06-17T00:00:00"/>
    <s v="RV"/>
    <s v="USD"/>
    <n v="-19217.099999999999"/>
    <s v="83.95000"/>
    <s v="BDT"/>
    <n v="-1613275.55"/>
    <n v="-19217.099999999999"/>
    <s v="19217.1_1"/>
    <s v=""/>
    <s v="C3329UQ21HAK0798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19216.32"/>
    <s v="83.95000"/>
    <s v="BDT"/>
    <n v="-1613210.06"/>
    <n v="-19216.32"/>
    <s v="19216.32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792"/>
    <x v="251"/>
    <d v="2021-01-06T00:00:00"/>
    <d v="2021-01-12T00:00:00"/>
    <s v="RV"/>
    <s v="USD"/>
    <n v="-19204.95"/>
    <s v="83.95000"/>
    <s v="BDT"/>
    <n v="-1612255.55"/>
    <n v="-19204.95"/>
    <s v="19204.95_1"/>
    <s v=""/>
    <s v="C3214LVUS141720"/>
    <s v="20210106"/>
    <s v=""/>
    <s v=""/>
    <s v="0"/>
    <s v=""/>
    <s v=""/>
    <s v=""/>
    <s v=""/>
    <s v="2010100001"/>
    <s v=""/>
    <m/>
    <s v=""/>
    <s v=""/>
    <s v=""/>
    <n v="0"/>
  </r>
  <r>
    <s v=""/>
    <s v="40101001"/>
    <s v="2018000970"/>
    <x v="129"/>
    <d v="2021-02-13T00:00:00"/>
    <d v="2021-02-22T00:00:00"/>
    <s v="RV"/>
    <s v="USD"/>
    <n v="-19180.48"/>
    <s v="83.95000"/>
    <s v="BDT"/>
    <n v="-1610201.3"/>
    <n v="-19180.48"/>
    <s v="19180.48_1"/>
    <s v=""/>
    <s v="C3271UQ21VN0191"/>
    <s v="20210213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19169.5"/>
    <s v="83.95000"/>
    <s v="BDT"/>
    <n v="-1609279.53"/>
    <n v="-19169.5"/>
    <s v="19169.5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255"/>
    <x v="249"/>
    <d v="2020-09-18T00:00:00"/>
    <d v="2020-09-24T00:00:00"/>
    <s v="RV"/>
    <s v="USD"/>
    <n v="-19160.560000000001"/>
    <s v="83.95000"/>
    <s v="BDT"/>
    <n v="-1608529.01"/>
    <n v="-19160.560000000001"/>
    <s v="19160.56_1"/>
    <s v=""/>
    <s v="C3208UQ20MY0865"/>
    <s v="20200918"/>
    <s v=""/>
    <s v=""/>
    <s v="0"/>
    <s v=""/>
    <s v=""/>
    <s v=""/>
    <s v=""/>
    <s v="2010100001"/>
    <s v=""/>
    <m/>
    <s v=""/>
    <s v=""/>
    <s v=""/>
    <n v="0"/>
  </r>
  <r>
    <s v=""/>
    <s v="40101001"/>
    <s v="2018000458"/>
    <x v="253"/>
    <d v="2020-11-07T00:00:00"/>
    <d v="2020-11-14T00:00:00"/>
    <s v="RV"/>
    <s v="USD"/>
    <n v="-19099.689999999999"/>
    <s v="83.95000"/>
    <s v="BDT"/>
    <n v="-1603418.98"/>
    <n v="-19099.689999999999"/>
    <s v="19099.69_1"/>
    <s v=""/>
    <s v="C3210UQ20NAG1084"/>
    <s v="20201107"/>
    <s v=""/>
    <s v=""/>
    <s v="0"/>
    <s v=""/>
    <s v=""/>
    <s v=""/>
    <s v=""/>
    <s v="2010100001"/>
    <s v=""/>
    <m/>
    <s v=""/>
    <s v=""/>
    <s v=""/>
    <n v="0"/>
  </r>
  <r>
    <s v=""/>
    <s v="40101001"/>
    <s v="2018000324"/>
    <x v="213"/>
    <d v="2020-10-11T00:00:00"/>
    <d v="2020-10-14T00:00:00"/>
    <s v="RV"/>
    <s v="USD"/>
    <n v="-19092.14"/>
    <s v="83.95000"/>
    <s v="BDT"/>
    <n v="-1602785.15"/>
    <n v="-19092.14"/>
    <s v="19092.14_1"/>
    <s v=""/>
    <s v="C3208UQ20MY0977"/>
    <s v="20201011"/>
    <s v=""/>
    <s v=""/>
    <s v="0"/>
    <s v=""/>
    <s v=""/>
    <s v=""/>
    <s v=""/>
    <s v="2010100001"/>
    <s v=""/>
    <m/>
    <s v=""/>
    <s v=""/>
    <s v=""/>
    <n v="0"/>
  </r>
  <r>
    <s v=""/>
    <s v="40101001"/>
    <s v="2018001033"/>
    <x v="116"/>
    <d v="2021-03-05T00:00:00"/>
    <d v="2021-03-10T00:00:00"/>
    <s v="RV"/>
    <s v="USD"/>
    <n v="-19084.62"/>
    <s v="83.95000"/>
    <s v="BDT"/>
    <n v="-1602153.85"/>
    <n v="-19084.62"/>
    <s v="19084.62_1"/>
    <s v=""/>
    <s v="C3240LVCL0234-2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1246"/>
    <x v="48"/>
    <d v="2021-04-20T00:00:00"/>
    <d v="2021-04-25T00:00:00"/>
    <s v="RV"/>
    <s v="USD"/>
    <n v="-19061.73"/>
    <s v="83.95000"/>
    <s v="BDT"/>
    <n v="-1600232.23"/>
    <n v="-19061.73"/>
    <s v="19061.73_1"/>
    <s v=""/>
    <s v="C3343UQ21YOK0484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0325"/>
    <x v="97"/>
    <d v="2020-10-09T00:00:00"/>
    <d v="2020-10-14T00:00:00"/>
    <s v="RV"/>
    <s v="USD"/>
    <n v="-19035.12"/>
    <s v="83.95000"/>
    <s v="BDT"/>
    <n v="-1597998.32"/>
    <n v="-19035.12"/>
    <s v="19035.12_1"/>
    <s v=""/>
    <s v="C3208UQ20MY0967"/>
    <s v="20201009"/>
    <s v=""/>
    <s v=""/>
    <s v="0"/>
    <s v=""/>
    <s v=""/>
    <s v=""/>
    <s v=""/>
    <s v="2010100001"/>
    <s v=""/>
    <m/>
    <s v=""/>
    <s v=""/>
    <s v=""/>
    <n v="0"/>
  </r>
  <r>
    <s v=""/>
    <s v="40101001"/>
    <s v="2018001342"/>
    <x v="239"/>
    <d v="2021-05-09T00:00:00"/>
    <d v="2021-05-17T00:00:00"/>
    <s v="RV"/>
    <s v="USD"/>
    <n v="-19008.560000000001"/>
    <s v="83.95000"/>
    <s v="BDT"/>
    <n v="-1595768.61"/>
    <n v="-19008.560000000001"/>
    <s v="19008.56_1"/>
    <s v=""/>
    <s v="C3278LVUS0593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1202"/>
    <x v="220"/>
    <d v="2021-04-08T00:00:00"/>
    <d v="2021-04-12T00:00:00"/>
    <s v="RV"/>
    <s v="USD"/>
    <n v="-18955.689999999999"/>
    <s v="83.95000"/>
    <s v="BDT"/>
    <n v="-1591330.18"/>
    <n v="-18955.689999999999"/>
    <s v="18955.69_1"/>
    <s v=""/>
    <s v="C3344UQ21OSA0431"/>
    <s v="20210408"/>
    <s v=""/>
    <s v=""/>
    <s v="0"/>
    <s v=""/>
    <s v=""/>
    <s v=""/>
    <s v=""/>
    <s v="2010100001"/>
    <s v=""/>
    <m/>
    <s v=""/>
    <s v=""/>
    <s v=""/>
    <n v="0"/>
  </r>
  <r>
    <s v=""/>
    <s v="40101001"/>
    <s v="2018001503"/>
    <x v="202"/>
    <d v="2021-06-06T00:00:00"/>
    <d v="2021-06-17T00:00:00"/>
    <s v="RV"/>
    <s v="USD"/>
    <n v="-18950.12"/>
    <s v="83.95000"/>
    <s v="BDT"/>
    <n v="-1590862.57"/>
    <n v="-18950.12"/>
    <s v="18950.12_1"/>
    <s v=""/>
    <s v="C3283LVMX0692-21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352"/>
    <x v="7"/>
    <d v="2020-10-19T00:00:00"/>
    <d v="2020-10-24T00:00:00"/>
    <s v="RV"/>
    <s v="USD"/>
    <n v="-18941.93"/>
    <s v="83.95000"/>
    <s v="BDT"/>
    <n v="-1590175.02"/>
    <n v="-18941.93"/>
    <s v="18941.93_1"/>
    <s v=""/>
    <s v="C3156DC20US0984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438"/>
    <x v="18"/>
    <d v="2020-11-05T00:00:00"/>
    <d v="2020-11-11T00:00:00"/>
    <s v="RV"/>
    <s v="USD"/>
    <n v="-18884.150000000001"/>
    <s v="83.95000"/>
    <s v="BDT"/>
    <n v="-1585324.39"/>
    <n v="-18884.150000000001"/>
    <s v="18884.15_1"/>
    <s v=""/>
    <s v="C3159UQ20NAG1074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18866.97"/>
    <s v="83.95000"/>
    <s v="BDT"/>
    <n v="-1583882.13"/>
    <n v="-18866.97"/>
    <s v="18866.97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0182"/>
    <x v="124"/>
    <d v="2020-08-30T00:00:00"/>
    <d v="2020-09-03T00:00:00"/>
    <s v="RV"/>
    <s v="USD"/>
    <n v="-18862.86"/>
    <s v="83.95000"/>
    <s v="BDT"/>
    <n v="-1583537.1"/>
    <n v="-18862.86"/>
    <s v="18862.86_1"/>
    <s v=""/>
    <s v="C3136UQ20HAK0763"/>
    <s v="20200830"/>
    <s v=""/>
    <s v=""/>
    <s v="0"/>
    <s v=""/>
    <s v=""/>
    <s v=""/>
    <s v=""/>
    <s v="2010100001"/>
    <s v=""/>
    <m/>
    <s v=""/>
    <s v=""/>
    <s v=""/>
    <n v="0"/>
  </r>
  <r>
    <s v=""/>
    <s v="40101001"/>
    <s v="2018000270"/>
    <x v="151"/>
    <d v="2020-09-23T00:00:00"/>
    <d v="2020-09-29T00:00:00"/>
    <s v="RV"/>
    <s v="USD"/>
    <n v="-18854.64"/>
    <s v="83.95000"/>
    <s v="BDT"/>
    <n v="-1582847.03"/>
    <n v="-18854.64"/>
    <s v="18854.64_1"/>
    <s v=""/>
    <s v="C03139DN20IR0867"/>
    <s v="20200923"/>
    <s v=""/>
    <s v=""/>
    <s v="0"/>
    <s v=""/>
    <s v=""/>
    <s v=""/>
    <s v=""/>
    <s v="2010100001"/>
    <s v=""/>
    <m/>
    <s v=""/>
    <s v=""/>
    <s v=""/>
    <n v="0"/>
  </r>
  <r>
    <s v=""/>
    <s v="40101001"/>
    <s v="2018000687"/>
    <x v="254"/>
    <d v="2020-12-13T00:00:00"/>
    <d v="2020-12-23T00:00:00"/>
    <s v="RV"/>
    <s v="USD"/>
    <n v="-18832.64"/>
    <s v="83.95000"/>
    <s v="BDT"/>
    <n v="-1581000.13"/>
    <n v="-18832.64"/>
    <s v="18832.64_1"/>
    <s v=""/>
    <s v="C3103LVUS130320"/>
    <s v="20201213"/>
    <s v=""/>
    <s v=""/>
    <s v="0"/>
    <s v=""/>
    <s v=""/>
    <s v=""/>
    <s v=""/>
    <s v="2010100001"/>
    <s v=""/>
    <m/>
    <s v=""/>
    <s v=""/>
    <s v=""/>
    <n v="0"/>
  </r>
  <r>
    <s v=""/>
    <s v="40101011"/>
    <s v="2008000043"/>
    <x v="184"/>
    <d v="2020-09-30T00:00:00"/>
    <d v="2020-10-10T00:00:00"/>
    <s v="DR"/>
    <s v="USD"/>
    <n v="-18832.13"/>
    <s v="83.95000"/>
    <s v="BDT"/>
    <n v="-1580957.31"/>
    <n v="-18832.13"/>
    <s v="18832.13_1"/>
    <s v=""/>
    <s v="CIPL-EG-A-008-20"/>
    <s v="CIPL-EG-A-008-20"/>
    <s v="Inter-Company wash sales to EGMC-AEPZ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0488"/>
    <x v="90"/>
    <d v="2020-11-12T00:00:00"/>
    <d v="2020-11-16T00:00:00"/>
    <s v="RV"/>
    <s v="USD"/>
    <n v="-18793.150000000001"/>
    <s v="83.95000"/>
    <s v="BDT"/>
    <n v="-1577684.94"/>
    <n v="-18793.150000000001"/>
    <s v="18793.15_1"/>
    <s v=""/>
    <s v="C3233UQ20OSA1120"/>
    <s v="20201112"/>
    <s v=""/>
    <s v=""/>
    <s v="0"/>
    <s v=""/>
    <s v=""/>
    <s v=""/>
    <s v=""/>
    <s v="2010100001"/>
    <s v=""/>
    <m/>
    <s v=""/>
    <s v=""/>
    <s v=""/>
    <n v="0"/>
  </r>
  <r>
    <s v=""/>
    <s v="40101001"/>
    <s v="2018000186"/>
    <x v="55"/>
    <d v="2020-08-19T00:00:00"/>
    <d v="2020-09-05T00:00:00"/>
    <s v="RV"/>
    <s v="USD"/>
    <n v="-18772.689999999999"/>
    <s v="83.95000"/>
    <s v="BDT"/>
    <n v="-1575967.32"/>
    <n v="-18772.689999999999"/>
    <s v="18772.69_1"/>
    <s v=""/>
    <s v="C3099LVUS0749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0768"/>
    <x v="224"/>
    <d v="2020-12-30T00:00:00"/>
    <d v="2021-01-06T00:00:00"/>
    <s v="RV"/>
    <s v="USD"/>
    <n v="-18765.27"/>
    <s v="83.95000"/>
    <s v="BDT"/>
    <n v="-1575344.42"/>
    <n v="-18765.27"/>
    <s v="18765.27_1"/>
    <s v=""/>
    <s v="C3149LVUS1390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256"/>
    <x v="249"/>
    <d v="2020-09-18T00:00:00"/>
    <d v="2020-09-24T00:00:00"/>
    <s v="RV"/>
    <s v="USD"/>
    <n v="-18749.98"/>
    <s v="83.95000"/>
    <s v="BDT"/>
    <n v="-1574060.82"/>
    <n v="-18749.98"/>
    <s v="18749.98_1"/>
    <s v=""/>
    <s v="C3208UQ20MY0876"/>
    <s v="20200918"/>
    <s v=""/>
    <s v=""/>
    <s v="0"/>
    <s v=""/>
    <s v=""/>
    <s v=""/>
    <s v=""/>
    <s v="2010100001"/>
    <s v=""/>
    <m/>
    <s v=""/>
    <s v=""/>
    <s v=""/>
    <n v="0"/>
  </r>
  <r>
    <s v=""/>
    <s v="40101001"/>
    <s v="2018000252"/>
    <x v="169"/>
    <d v="2020-09-10T00:00:00"/>
    <d v="2020-09-24T00:00:00"/>
    <s v="RV"/>
    <s v="USD"/>
    <n v="-18726.09"/>
    <s v="83.95000"/>
    <s v="BDT"/>
    <n v="-1572055.26"/>
    <n v="-18726.09"/>
    <s v="18726.09_1"/>
    <s v=""/>
    <s v="C3167UQ20TW0829"/>
    <s v="20200910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18719.7"/>
    <s v="83.95000"/>
    <s v="BDT"/>
    <n v="-1571518.82"/>
    <n v="-18719.7"/>
    <s v="18719.7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464"/>
    <x v="54"/>
    <d v="2020-11-09T00:00:00"/>
    <d v="2020-11-14T00:00:00"/>
    <s v="RV"/>
    <s v="USD"/>
    <n v="-18717.490000000002"/>
    <s v="83.95000"/>
    <s v="BDT"/>
    <n v="-1571333.28"/>
    <n v="-18717.490000000002"/>
    <s v="18717.49_1"/>
    <s v=""/>
    <s v="C03170US20-1044"/>
    <s v="20201109"/>
    <s v=""/>
    <s v=""/>
    <s v="0"/>
    <s v=""/>
    <s v=""/>
    <s v=""/>
    <s v=""/>
    <s v="2010100001"/>
    <s v=""/>
    <m/>
    <s v=""/>
    <s v=""/>
    <s v=""/>
    <n v="0"/>
  </r>
  <r>
    <s v=""/>
    <s v="40101001"/>
    <s v="2018000602"/>
    <x v="218"/>
    <d v="2020-11-29T00:00:00"/>
    <d v="2020-12-09T00:00:00"/>
    <s v="RV"/>
    <s v="USD"/>
    <n v="-18597.52"/>
    <s v="83.95000"/>
    <s v="BDT"/>
    <n v="-1561261.8"/>
    <n v="-18597.52"/>
    <s v="18597.52_1"/>
    <s v=""/>
    <s v="C3231UQ20SHA1181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1440"/>
    <x v="255"/>
    <d v="2021-05-31T00:00:00"/>
    <d v="2021-06-03T00:00:00"/>
    <s v="RV"/>
    <s v="USD"/>
    <n v="-18571.88"/>
    <s v="83.95000"/>
    <s v="BDT"/>
    <n v="-1559109.33"/>
    <n v="-18571.88"/>
    <s v="18571.88_1"/>
    <s v=""/>
    <s v="C3284LVGR0709-21"/>
    <s v="20210531"/>
    <s v=""/>
    <s v=""/>
    <s v="0"/>
    <s v=""/>
    <s v=""/>
    <s v=""/>
    <s v=""/>
    <s v="2010100001"/>
    <s v=""/>
    <m/>
    <s v=""/>
    <s v=""/>
    <s v=""/>
    <n v="0"/>
  </r>
  <r>
    <s v=""/>
    <s v="40101001"/>
    <s v="2018000401"/>
    <x v="95"/>
    <d v="2020-10-26T00:00:00"/>
    <d v="2020-11-03T00:00:00"/>
    <s v="RV"/>
    <s v="USD"/>
    <n v="-18562.79"/>
    <s v="83.95000"/>
    <s v="BDT"/>
    <n v="-1558346.22"/>
    <n v="-18562.79"/>
    <s v="18562.79_1"/>
    <s v=""/>
    <s v="C3205UQ20YAN1006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0600"/>
    <x v="27"/>
    <d v="2020-11-30T00:00:00"/>
    <d v="2020-12-07T00:00:00"/>
    <s v="RV"/>
    <s v="USD"/>
    <n v="-18527.689999999999"/>
    <s v="83.95000"/>
    <s v="BDT"/>
    <n v="-1555399.58"/>
    <n v="-18527.689999999999"/>
    <s v="18527.69_1"/>
    <s v=""/>
    <s v="C3231UQ20MY1246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0603"/>
    <x v="218"/>
    <d v="2020-11-29T00:00:00"/>
    <d v="2020-12-09T00:00:00"/>
    <s v="RV"/>
    <s v="USD"/>
    <n v="-18524.02"/>
    <s v="83.95000"/>
    <s v="BDT"/>
    <n v="-1555091.48"/>
    <n v="-18524.02"/>
    <s v="18524.02_1"/>
    <s v=""/>
    <s v="C3231UQ20SHA1182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739"/>
    <x v="155"/>
    <d v="2020-12-17T00:00:00"/>
    <d v="2021-01-03T00:00:00"/>
    <s v="RV"/>
    <s v="USD"/>
    <n v="-18521.39"/>
    <s v="83.95000"/>
    <s v="BDT"/>
    <n v="-1554870.69"/>
    <n v="-18521.39"/>
    <s v="18521.39_1"/>
    <s v=""/>
    <s v="C3218LVUS1308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688"/>
    <x v="254"/>
    <d v="2020-12-13T00:00:00"/>
    <d v="2020-12-23T00:00:00"/>
    <s v="RV"/>
    <s v="USD"/>
    <n v="-18497.46"/>
    <s v="83.95000"/>
    <s v="BDT"/>
    <n v="-1552861.77"/>
    <n v="-18497.46"/>
    <s v="18497.46_1"/>
    <s v=""/>
    <s v="C3103LVUS1302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0005"/>
    <x v="135"/>
    <d v="2020-07-03T00:00:00"/>
    <d v="2020-07-07T00:00:00"/>
    <s v="RV"/>
    <s v="USD"/>
    <n v="-18448.22"/>
    <s v="83.95000"/>
    <s v="BDT"/>
    <n v="-1548728.07"/>
    <n v="-18448.22"/>
    <s v="18448.22_1"/>
    <s v=""/>
    <s v="C3091UQ20ID0443"/>
    <s v="20200703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8441.84"/>
    <s v="83.95000"/>
    <s v="BDT"/>
    <n v="-1548192.47"/>
    <n v="-18441.84"/>
    <s v="18441.84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555"/>
    <x v="164"/>
    <d v="2020-11-24T00:00:00"/>
    <d v="2020-11-28T00:00:00"/>
    <s v="RV"/>
    <s v="USD"/>
    <n v="-18423.900000000001"/>
    <s v="83.95000"/>
    <s v="BDT"/>
    <n v="-1546686.41"/>
    <n v="-18423.900000000001"/>
    <s v="18423.9_1"/>
    <s v=""/>
    <s v="C3232UQ20KR1212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1569"/>
    <x v="75"/>
    <d v="2021-06-17T00:00:00"/>
    <d v="2021-06-24T00:00:00"/>
    <s v="RV"/>
    <s v="USD"/>
    <n v="-18413.97"/>
    <s v="83.95000"/>
    <s v="BDT"/>
    <n v="-1545852.78"/>
    <n v="-18413.97"/>
    <s v="18413.97_1"/>
    <s v=""/>
    <s v="C3335LVUS0792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201"/>
    <x v="256"/>
    <d v="2020-09-04T00:00:00"/>
    <d v="2020-09-08T00:00:00"/>
    <s v="RV"/>
    <s v="USD"/>
    <n v="-18402.54"/>
    <s v="83.95000"/>
    <s v="BDT"/>
    <n v="-1544893.23"/>
    <n v="-18402.54"/>
    <s v="18402.54_1"/>
    <s v=""/>
    <s v="C3150UQ20MY0822"/>
    <s v="20200904"/>
    <s v=""/>
    <s v=""/>
    <s v="0"/>
    <s v=""/>
    <s v=""/>
    <s v=""/>
    <s v=""/>
    <s v="2010100001"/>
    <s v=""/>
    <m/>
    <s v=""/>
    <s v=""/>
    <s v=""/>
    <n v="0"/>
  </r>
  <r>
    <s v=""/>
    <s v="40101001"/>
    <s v="2018000404"/>
    <x v="235"/>
    <d v="2020-10-29T00:00:00"/>
    <d v="2020-11-03T00:00:00"/>
    <s v="RV"/>
    <s v="USD"/>
    <n v="-18399.71"/>
    <s v="83.95000"/>
    <s v="BDT"/>
    <n v="-1544655.65"/>
    <n v="-18399.71"/>
    <s v="18399.71_1"/>
    <s v=""/>
    <s v="C3210UQ20NAG1032"/>
    <s v="20201029"/>
    <s v=""/>
    <s v=""/>
    <s v="0"/>
    <s v=""/>
    <s v=""/>
    <s v=""/>
    <s v=""/>
    <s v="2010100001"/>
    <s v=""/>
    <m/>
    <s v=""/>
    <s v=""/>
    <s v=""/>
    <n v="0"/>
  </r>
  <r>
    <s v=""/>
    <s v="40101001"/>
    <s v="2018001268"/>
    <x v="71"/>
    <d v="2021-04-28T00:00:00"/>
    <d v="2021-05-03T00:00:00"/>
    <s v="RV"/>
    <s v="USD"/>
    <n v="-18395.150000000001"/>
    <s v="83.95000"/>
    <s v="BDT"/>
    <n v="-1544272.84"/>
    <n v="-18395.150000000001"/>
    <s v="18395.15_1"/>
    <s v=""/>
    <s v="C3282LVUS0504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992"/>
    <x v="72"/>
    <d v="2021-02-16T00:00:00"/>
    <d v="2021-02-25T00:00:00"/>
    <s v="RV"/>
    <s v="USD"/>
    <n v="-18359.59"/>
    <s v="83.95000"/>
    <s v="BDT"/>
    <n v="-1541287.58"/>
    <n v="-18359.59"/>
    <s v="18359.59_1"/>
    <s v=""/>
    <s v="C3223LVUS0195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373"/>
    <x v="236"/>
    <d v="2020-10-24T00:00:00"/>
    <d v="2020-11-01T00:00:00"/>
    <s v="RV"/>
    <s v="USD"/>
    <n v="-18357.78"/>
    <s v="83.95000"/>
    <s v="BDT"/>
    <n v="-1541135.63"/>
    <n v="-18357.78"/>
    <s v="18357.78_1"/>
    <s v=""/>
    <s v="C3169UQ20OSA1002"/>
    <s v="20201024"/>
    <s v=""/>
    <s v=""/>
    <s v="0"/>
    <s v=""/>
    <s v=""/>
    <s v=""/>
    <s v=""/>
    <s v="2010100001"/>
    <s v=""/>
    <m/>
    <s v=""/>
    <s v=""/>
    <s v=""/>
    <n v="0"/>
  </r>
  <r>
    <s v=""/>
    <s v="40101001"/>
    <s v="2018001568"/>
    <x v="75"/>
    <d v="2021-06-17T00:00:00"/>
    <d v="2021-06-24T00:00:00"/>
    <s v="RV"/>
    <s v="USD"/>
    <n v="-18335.740000000002"/>
    <s v="83.95000"/>
    <s v="BDT"/>
    <n v="-1539285.37"/>
    <n v="-18335.740000000002"/>
    <s v="18335.74_1"/>
    <s v=""/>
    <s v="C3233LVUS0790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588"/>
    <x v="61"/>
    <d v="2021-06-25T00:00:00"/>
    <d v="2021-06-28T00:00:00"/>
    <s v="RV"/>
    <s v="USD"/>
    <n v="-18299.39"/>
    <s v="83.95000"/>
    <s v="BDT"/>
    <n v="-1536233.79"/>
    <n v="-18299.39"/>
    <s v="18299.39_1"/>
    <s v=""/>
    <s v="C3322LVJP0743-21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1568"/>
    <x v="75"/>
    <d v="2021-06-17T00:00:00"/>
    <d v="2021-06-24T00:00:00"/>
    <s v="RV"/>
    <s v="USD"/>
    <n v="-18269.09"/>
    <s v="83.95000"/>
    <s v="BDT"/>
    <n v="-1533690.11"/>
    <n v="-18269.09"/>
    <s v="18269.09_1"/>
    <s v=""/>
    <s v="C3233LVUS0790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18220.21"/>
    <s v="83.95000"/>
    <s v="BDT"/>
    <n v="-1529586.63"/>
    <n v="-18220.21"/>
    <s v="18220.21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1252"/>
    <x v="232"/>
    <d v="2021-04-21T00:00:00"/>
    <d v="2021-04-27T00:00:00"/>
    <s v="RV"/>
    <s v="USD"/>
    <n v="-18174.7"/>
    <s v="83.95000"/>
    <s v="BDT"/>
    <n v="-1525766.07"/>
    <n v="-18174.7"/>
    <s v="18174.7_1"/>
    <s v=""/>
    <s v="C3343UQ21MY0480"/>
    <s v="20210421"/>
    <s v=""/>
    <s v=""/>
    <s v="0"/>
    <s v=""/>
    <s v=""/>
    <s v=""/>
    <s v=""/>
    <s v="2010100001"/>
    <s v=""/>
    <m/>
    <s v=""/>
    <s v=""/>
    <s v=""/>
    <n v="0"/>
  </r>
  <r>
    <s v=""/>
    <s v="40101001"/>
    <s v="2018000518"/>
    <x v="76"/>
    <d v="2020-11-19T00:00:00"/>
    <d v="2020-11-24T00:00:00"/>
    <s v="RV"/>
    <s v="USD"/>
    <n v="-18164.8"/>
    <s v="83.95000"/>
    <s v="BDT"/>
    <n v="-1524934.96"/>
    <n v="-18164.8"/>
    <s v="18164.8_1"/>
    <s v=""/>
    <s v="C3140LVUS114720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0321"/>
    <x v="25"/>
    <d v="2020-10-07T00:00:00"/>
    <d v="2020-10-14T00:00:00"/>
    <s v="RV"/>
    <s v="USD"/>
    <n v="-18160.46"/>
    <s v="83.95000"/>
    <s v="BDT"/>
    <n v="-1524570.61"/>
    <n v="-18160.46"/>
    <s v="18160.46_1"/>
    <s v=""/>
    <s v="C3205UQ20PH0953"/>
    <s v="20201007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18143.03"/>
    <s v="83.95000"/>
    <s v="BDT"/>
    <n v="-1523107.37"/>
    <n v="-18143.03"/>
    <s v="18143.03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590"/>
    <x v="61"/>
    <d v="2021-06-25T00:00:00"/>
    <d v="2021-06-29T00:00:00"/>
    <s v="RV"/>
    <s v="USD"/>
    <n v="-18129.48"/>
    <s v="83.95000"/>
    <s v="BDT"/>
    <n v="-1521969.85"/>
    <n v="-18129.48"/>
    <s v="18129.48_1"/>
    <s v=""/>
    <s v="C3353UQ21TOK0817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1301"/>
    <x v="15"/>
    <d v="2021-05-04T00:00:00"/>
    <d v="2021-05-09T00:00:00"/>
    <s v="RV"/>
    <s v="USD"/>
    <n v="-18118.259999999998"/>
    <s v="83.95000"/>
    <s v="BDT"/>
    <n v="-1521027.92"/>
    <n v="-18118.259999999998"/>
    <s v="18118.26_1"/>
    <s v=""/>
    <s v="C3308UQ21EU0531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043"/>
    <x v="145"/>
    <d v="2021-03-06T00:00:00"/>
    <d v="2021-03-10T00:00:00"/>
    <s v="RV"/>
    <s v="USD"/>
    <n v="-18113.18"/>
    <s v="83.95000"/>
    <s v="BDT"/>
    <n v="-1520601.46"/>
    <n v="-18113.18"/>
    <s v="18113.18_1"/>
    <s v=""/>
    <s v="C3290UQ21NAG0272"/>
    <s v="20210306"/>
    <s v=""/>
    <s v=""/>
    <s v="0"/>
    <s v=""/>
    <s v=""/>
    <s v=""/>
    <s v=""/>
    <s v="2010100001"/>
    <s v=""/>
    <m/>
    <s v=""/>
    <s v=""/>
    <s v=""/>
    <n v="0"/>
  </r>
  <r>
    <s v=""/>
    <s v="40101001"/>
    <s v="2018001503"/>
    <x v="202"/>
    <d v="2021-06-06T00:00:00"/>
    <d v="2021-06-17T00:00:00"/>
    <s v="RV"/>
    <s v="USD"/>
    <n v="-18111.89"/>
    <s v="83.95000"/>
    <s v="BDT"/>
    <n v="-1520493.17"/>
    <n v="-18111.89"/>
    <s v="18111.89_1"/>
    <s v=""/>
    <s v="C3283LVMX0692-21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1565"/>
    <x v="75"/>
    <d v="2021-06-17T00:00:00"/>
    <d v="2021-06-24T00:00:00"/>
    <s v="RV"/>
    <s v="USD"/>
    <n v="-18090.54"/>
    <s v="83.95000"/>
    <s v="BDT"/>
    <n v="-1518700.83"/>
    <n v="-18090.54"/>
    <s v="18090.54_1"/>
    <s v=""/>
    <s v="C3335LVUS0786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331"/>
    <x v="182"/>
    <d v="2020-10-13T00:00:00"/>
    <d v="2020-10-19T00:00:00"/>
    <s v="RV"/>
    <s v="USD"/>
    <n v="-18086.13"/>
    <s v="83.95000"/>
    <s v="BDT"/>
    <n v="-1518330.61"/>
    <n v="-18086.13"/>
    <s v="18086.13_1"/>
    <s v=""/>
    <s v="C3083LVUS093920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0328"/>
    <x v="182"/>
    <d v="2020-10-13T00:00:00"/>
    <d v="2020-10-17T00:00:00"/>
    <s v="RV"/>
    <s v="USD"/>
    <n v="-18003.25"/>
    <s v="83.95000"/>
    <s v="BDT"/>
    <n v="-1511372.84"/>
    <n v="-18003.25"/>
    <s v="18003.25_1"/>
    <s v=""/>
    <s v="C3169UQ20LA0958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1240"/>
    <x v="125"/>
    <d v="2021-04-17T00:00:00"/>
    <d v="2021-04-22T00:00:00"/>
    <s v="RV"/>
    <s v="USD"/>
    <n v="-18001"/>
    <s v="83.95000"/>
    <s v="BDT"/>
    <n v="-1511183.95"/>
    <n v="-18001"/>
    <s v="18001_1"/>
    <s v=""/>
    <s v="C3316UQ21SEN0466"/>
    <s v="20210417"/>
    <s v=""/>
    <s v=""/>
    <s v="0"/>
    <s v=""/>
    <s v=""/>
    <s v=""/>
    <s v=""/>
    <s v="2010100001"/>
    <s v=""/>
    <m/>
    <s v=""/>
    <s v=""/>
    <s v=""/>
    <n v="0"/>
  </r>
  <r>
    <s v=""/>
    <s v="40101001"/>
    <s v="2018001616"/>
    <x v="93"/>
    <d v="2021-06-29T00:00:00"/>
    <d v="2021-07-05T00:00:00"/>
    <s v="RV"/>
    <s v="USD"/>
    <n v="-17987.21"/>
    <s v="83.95000"/>
    <s v="BDT"/>
    <n v="-1510026.28"/>
    <n v="-17987.21"/>
    <s v="17987.21_1"/>
    <s v=""/>
    <s v="C3329UQ21NAG0855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737"/>
    <x v="9"/>
    <d v="2020-12-24T00:00:00"/>
    <d v="2021-01-02T00:00:00"/>
    <s v="RV"/>
    <s v="USD"/>
    <n v="-17889.919999999998"/>
    <s v="83.95000"/>
    <s v="BDT"/>
    <n v="-1501858.78"/>
    <n v="-17889.919999999998"/>
    <s v="17889.92_1"/>
    <s v=""/>
    <s v="C3160SB20UK1358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17862.939999999999"/>
    <s v="83.95000"/>
    <s v="BDT"/>
    <n v="-1499593.81"/>
    <n v="-17862.939999999999"/>
    <s v="17862.94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389"/>
    <x v="239"/>
    <d v="2021-05-09T00:00:00"/>
    <d v="2021-05-24T00:00:00"/>
    <s v="RV"/>
    <s v="USD"/>
    <n v="-17842.22"/>
    <s v="83.95000"/>
    <s v="BDT"/>
    <n v="-1497854.37"/>
    <n v="-17842.22"/>
    <s v="17842.22_1"/>
    <s v=""/>
    <s v="C3356LVUS0563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1111"/>
    <x v="89"/>
    <d v="2021-03-21T00:00:00"/>
    <d v="2021-03-28T00:00:00"/>
    <s v="RV"/>
    <s v="USD"/>
    <n v="-17822.41"/>
    <s v="83.95000"/>
    <s v="BDT"/>
    <n v="-1496191.32"/>
    <n v="-17822.41"/>
    <s v="17822.41_1"/>
    <s v=""/>
    <s v="C3262LVUS0304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058"/>
    <x v="191"/>
    <d v="2021-03-08T00:00:00"/>
    <d v="2021-03-13T00:00:00"/>
    <s v="RV"/>
    <s v="USD"/>
    <n v="-17822.38"/>
    <s v="83.95000"/>
    <s v="BDT"/>
    <n v="-1496188.8"/>
    <n v="-17822.38"/>
    <s v="17822.38_1"/>
    <s v=""/>
    <s v="C3254UQ21SEN0284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0740"/>
    <x v="155"/>
    <d v="2020-12-17T00:00:00"/>
    <d v="2021-01-03T00:00:00"/>
    <s v="RV"/>
    <s v="USD"/>
    <n v="-17803.63"/>
    <s v="83.95000"/>
    <s v="BDT"/>
    <n v="-1494614.74"/>
    <n v="-17803.63"/>
    <s v="17803.63_1"/>
    <s v=""/>
    <s v="C3218LVUS1310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401"/>
    <x v="95"/>
    <d v="2020-10-26T00:00:00"/>
    <d v="2020-11-03T00:00:00"/>
    <s v="RV"/>
    <s v="USD"/>
    <n v="-17795.21"/>
    <s v="83.95000"/>
    <s v="BDT"/>
    <n v="-1493907.88"/>
    <n v="-17795.21"/>
    <s v="17795.21_1"/>
    <s v=""/>
    <s v="C3205UQ20YAN1006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0733"/>
    <x v="178"/>
    <d v="2020-12-23T00:00:00"/>
    <d v="2021-01-02T00:00:00"/>
    <s v="RV"/>
    <s v="USD"/>
    <n v="-17775.05"/>
    <s v="83.95000"/>
    <s v="BDT"/>
    <n v="-1492215.45"/>
    <n v="-17775.05"/>
    <s v="17775.05_1"/>
    <s v=""/>
    <s v="C3143LVGR1298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1211"/>
    <x v="257"/>
    <d v="2021-04-06T00:00:00"/>
    <d v="2021-04-20T00:00:00"/>
    <s v="RV"/>
    <s v="USD"/>
    <n v="-17766.419999999998"/>
    <s v="83.95000"/>
    <s v="BDT"/>
    <n v="-1491490.96"/>
    <n v="-17766.419999999998"/>
    <s v="17766.42_1"/>
    <s v=""/>
    <s v="C3262LVMX0427-21"/>
    <s v="20210406"/>
    <s v=""/>
    <s v=""/>
    <s v="0"/>
    <s v=""/>
    <s v=""/>
    <s v=""/>
    <s v=""/>
    <s v="2010100001"/>
    <s v=""/>
    <m/>
    <s v=""/>
    <s v=""/>
    <s v=""/>
    <n v="0"/>
  </r>
  <r>
    <s v=""/>
    <s v="40101001"/>
    <s v="2018000503"/>
    <x v="65"/>
    <d v="2020-11-11T00:00:00"/>
    <d v="2020-11-19T00:00:00"/>
    <s v="RV"/>
    <s v="USD"/>
    <n v="-17751.93"/>
    <s v="83.95000"/>
    <s v="BDT"/>
    <n v="-1490274.52"/>
    <n v="-17751.93"/>
    <s v="17751.93_1"/>
    <s v=""/>
    <s v="C3103LVUS1111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837"/>
    <x v="258"/>
    <d v="2021-01-22T00:00:00"/>
    <d v="2021-01-26T00:00:00"/>
    <s v="RV"/>
    <s v="USD"/>
    <n v="-17728.32"/>
    <s v="83.95000"/>
    <s v="BDT"/>
    <n v="-1488292.46"/>
    <n v="-17728.32"/>
    <s v="17728.32_1"/>
    <s v=""/>
    <s v="C3222LVGR005221"/>
    <s v="20210122"/>
    <s v=""/>
    <s v=""/>
    <s v="0"/>
    <s v=""/>
    <s v=""/>
    <s v=""/>
    <s v=""/>
    <s v="2010100001"/>
    <s v=""/>
    <m/>
    <s v=""/>
    <s v=""/>
    <s v=""/>
    <n v="0"/>
  </r>
  <r>
    <s v=""/>
    <s v="40101001"/>
    <s v="2018001566"/>
    <x v="75"/>
    <d v="2021-06-17T00:00:00"/>
    <d v="2021-06-24T00:00:00"/>
    <s v="RV"/>
    <s v="USD"/>
    <n v="-17716.75"/>
    <s v="83.95000"/>
    <s v="BDT"/>
    <n v="-1487321.16"/>
    <n v="-17716.75"/>
    <s v="17716.75_1"/>
    <s v=""/>
    <s v="C3332LVUS0791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17663.12"/>
    <s v="83.95000"/>
    <s v="BDT"/>
    <n v="-1482818.92"/>
    <n v="-17663.12"/>
    <s v="17663.12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1254"/>
    <x v="259"/>
    <d v="2021-04-22T00:00:00"/>
    <d v="2021-04-27T00:00:00"/>
    <s v="RV"/>
    <s v="USD"/>
    <n v="-17657.62"/>
    <s v="83.95000"/>
    <s v="BDT"/>
    <n v="-1482357.2"/>
    <n v="-17657.62"/>
    <s v="17657.62_1"/>
    <s v=""/>
    <s v="C3283LVCA0494-21"/>
    <s v="20210422"/>
    <s v=""/>
    <s v=""/>
    <s v="0"/>
    <s v=""/>
    <s v=""/>
    <s v=""/>
    <s v=""/>
    <s v="2010100001"/>
    <s v=""/>
    <m/>
    <s v=""/>
    <s v=""/>
    <s v=""/>
    <n v="0"/>
  </r>
  <r>
    <s v=""/>
    <s v="40101001"/>
    <s v="2018001301"/>
    <x v="15"/>
    <d v="2021-05-04T00:00:00"/>
    <d v="2021-05-09T00:00:00"/>
    <s v="RV"/>
    <s v="USD"/>
    <n v="-17650.689999999999"/>
    <s v="83.95000"/>
    <s v="BDT"/>
    <n v="-1481775.43"/>
    <n v="-17650.689999999999"/>
    <s v="17650.69_1"/>
    <s v=""/>
    <s v="C3308UQ21EU0531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741"/>
    <x v="178"/>
    <d v="2020-12-23T00:00:00"/>
    <d v="2021-01-03T00:00:00"/>
    <s v="RV"/>
    <s v="USD"/>
    <n v="-17648"/>
    <s v="83.95000"/>
    <s v="BDT"/>
    <n v="-1481549.6"/>
    <n v="-17648"/>
    <s v="17648_1"/>
    <s v=""/>
    <s v="C3218LVUS1352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1336"/>
    <x v="239"/>
    <d v="2021-05-09T00:00:00"/>
    <d v="2021-05-17T00:00:00"/>
    <s v="RV"/>
    <s v="USD"/>
    <n v="-17647.7"/>
    <s v="83.95000"/>
    <s v="BDT"/>
    <n v="-1481524.42"/>
    <n v="-17647.7"/>
    <s v="17647.7_1"/>
    <s v=""/>
    <s v="C3276LVUS0599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0809"/>
    <x v="42"/>
    <d v="2021-01-14T00:00:00"/>
    <d v="2021-01-20T00:00:00"/>
    <s v="RV"/>
    <s v="USD"/>
    <n v="-17584.509999999998"/>
    <s v="83.95000"/>
    <s v="BDT"/>
    <n v="-1476219.61"/>
    <n v="-17584.509999999998"/>
    <s v="17584.51_1"/>
    <s v=""/>
    <s v="C3253UQ21TOM0023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383"/>
    <x v="56"/>
    <d v="2021-05-13T00:00:00"/>
    <d v="2021-05-20T00:00:00"/>
    <s v="RV"/>
    <s v="USD"/>
    <n v="-17577.599999999999"/>
    <s v="83.95000"/>
    <s v="BDT"/>
    <n v="-1475639.52"/>
    <n v="-17577.599999999999"/>
    <s v="17577.6_1"/>
    <s v=""/>
    <s v="C3286LVUS060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635"/>
    <x v="254"/>
    <d v="2020-12-13T00:00:00"/>
    <d v="2020-12-15T00:00:00"/>
    <s v="RV"/>
    <s v="USD"/>
    <n v="-17570.900000000001"/>
    <s v="83.95000"/>
    <s v="BDT"/>
    <n v="-1475077.05"/>
    <n v="-17570.900000000001"/>
    <s v="17570.9_1"/>
    <s v=""/>
    <s v="C3145LVUS1266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0017"/>
    <x v="210"/>
    <d v="2020-07-08T00:00:00"/>
    <d v="2020-07-15T00:00:00"/>
    <s v="RV"/>
    <s v="USD"/>
    <n v="-17530.080000000002"/>
    <s v="83.95000"/>
    <s v="BDT"/>
    <n v="-1471650.22"/>
    <n v="-17530.080000000002"/>
    <s v="17530.08_1"/>
    <s v=""/>
    <s v="C3067LVGR0594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1483"/>
    <x v="260"/>
    <d v="2021-06-09T00:00:00"/>
    <d v="2021-06-14T00:00:00"/>
    <s v="RV"/>
    <s v="USD"/>
    <n v="-17479.61"/>
    <s v="83.95000"/>
    <s v="BDT"/>
    <n v="-1467413.26"/>
    <n v="-17479.61"/>
    <s v="17479.61_1"/>
    <s v=""/>
    <s v="C3277LVJP0734-21"/>
    <s v="20210609"/>
    <s v=""/>
    <s v=""/>
    <s v="0"/>
    <s v=""/>
    <s v=""/>
    <s v=""/>
    <s v=""/>
    <s v="2010100001"/>
    <s v=""/>
    <m/>
    <s v=""/>
    <s v=""/>
    <s v=""/>
    <n v="0"/>
  </r>
  <r>
    <s v=""/>
    <s v="40101001"/>
    <s v="2018000407"/>
    <x v="146"/>
    <d v="2020-11-02T00:00:00"/>
    <d v="2020-11-04T00:00:00"/>
    <s v="RV"/>
    <s v="USD"/>
    <n v="-17434.73"/>
    <s v="83.95000"/>
    <s v="BDT"/>
    <n v="-1463645.58"/>
    <n v="-17434.73"/>
    <s v="17434.73_1"/>
    <s v=""/>
    <s v="C3104LVGR101420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587"/>
    <x v="153"/>
    <d v="2020-11-28T00:00:00"/>
    <d v="2020-12-03T00:00:00"/>
    <s v="RV"/>
    <s v="USD"/>
    <n v="-17416.349999999999"/>
    <s v="83.95000"/>
    <s v="BDT"/>
    <n v="-1462102.58"/>
    <n v="-17416.349999999999"/>
    <s v="17416.35_1"/>
    <s v=""/>
    <s v="C3102LVUS1189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0007"/>
    <x v="261"/>
    <d v="2020-07-05T00:00:00"/>
    <d v="2020-07-07T00:00:00"/>
    <s v="RV"/>
    <s v="USD"/>
    <n v="-17350.810000000001"/>
    <s v="83.95000"/>
    <s v="BDT"/>
    <n v="-1456600.5"/>
    <n v="-17350.810000000001"/>
    <s v="17350.81_1"/>
    <s v=""/>
    <s v="C3122UQ20TOR0591"/>
    <s v="20200705"/>
    <s v=""/>
    <s v=""/>
    <s v="0"/>
    <s v=""/>
    <s v=""/>
    <s v=""/>
    <s v=""/>
    <s v="2010100001"/>
    <s v=""/>
    <m/>
    <s v=""/>
    <s v=""/>
    <s v=""/>
    <n v="0"/>
  </r>
  <r>
    <s v=""/>
    <s v="40101001"/>
    <s v="2018001109"/>
    <x v="89"/>
    <d v="2021-03-21T00:00:00"/>
    <d v="2021-03-25T00:00:00"/>
    <s v="RV"/>
    <s v="USD"/>
    <n v="-17345.86"/>
    <s v="83.95000"/>
    <s v="BDT"/>
    <n v="-1456184.95"/>
    <n v="-17345.86"/>
    <s v="17345.86_1"/>
    <s v=""/>
    <s v="C3262LVUS0309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798"/>
    <x v="262"/>
    <d v="2021-01-09T00:00:00"/>
    <d v="2021-01-18T00:00:00"/>
    <s v="RV"/>
    <s v="USD"/>
    <n v="-17341.8"/>
    <s v="83.95000"/>
    <s v="BDT"/>
    <n v="-1455844.11"/>
    <n v="-17341.8"/>
    <s v="17341.8_1"/>
    <s v=""/>
    <s v="C3221LVGR142120"/>
    <s v="20210109"/>
    <s v=""/>
    <s v=""/>
    <s v="0"/>
    <s v=""/>
    <s v=""/>
    <s v=""/>
    <s v=""/>
    <s v="2010100001"/>
    <s v=""/>
    <m/>
    <s v=""/>
    <s v=""/>
    <s v=""/>
    <n v="0"/>
  </r>
  <r>
    <s v=""/>
    <s v="40101001"/>
    <s v="2018001359"/>
    <x v="162"/>
    <d v="2021-05-15T00:00:00"/>
    <d v="2021-05-20T00:00:00"/>
    <s v="RV"/>
    <s v="USD"/>
    <n v="-17340.060000000001"/>
    <s v="83.95000"/>
    <s v="BDT"/>
    <n v="-1455698.04"/>
    <n v="-17340.060000000001"/>
    <s v="17340.06_1"/>
    <s v=""/>
    <s v="C3281LVUS0615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271"/>
    <x v="207"/>
    <d v="2020-09-03T00:00:00"/>
    <d v="2020-09-30T00:00:00"/>
    <s v="RV"/>
    <s v="USD"/>
    <n v="-17329.25"/>
    <s v="83.95000"/>
    <s v="BDT"/>
    <n v="-1454790.54"/>
    <n v="-17329.25"/>
    <s v="17329.25_1"/>
    <s v=""/>
    <s v="C3150UQ20SHA0734"/>
    <s v="20200903"/>
    <s v=""/>
    <s v=""/>
    <s v="0"/>
    <s v=""/>
    <s v=""/>
    <s v=""/>
    <s v=""/>
    <s v="2010100001"/>
    <s v=""/>
    <m/>
    <s v=""/>
    <s v=""/>
    <s v=""/>
    <n v="0"/>
  </r>
  <r>
    <s v=""/>
    <s v="40101001"/>
    <s v="2018000455"/>
    <x v="18"/>
    <d v="2020-11-05T00:00:00"/>
    <d v="2020-11-14T00:00:00"/>
    <s v="RV"/>
    <s v="USD"/>
    <n v="-17293.939999999999"/>
    <s v="83.95000"/>
    <s v="BDT"/>
    <n v="-1451826.27"/>
    <n v="-17293.939999999999"/>
    <s v="17293.94_1"/>
    <s v=""/>
    <s v="C3205UQ20SG107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625"/>
    <x v="93"/>
    <d v="2021-06-29T00:00:00"/>
    <d v="2021-07-07T00:00:00"/>
    <s v="RV"/>
    <s v="USD"/>
    <n v="-17247.189999999999"/>
    <s v="83.95000"/>
    <s v="BDT"/>
    <n v="-1447901.6"/>
    <n v="-17247.189999999999"/>
    <s v="17247.19_1"/>
    <s v=""/>
    <s v="C3277LVJP0878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1526"/>
    <x v="86"/>
    <d v="2021-06-14T00:00:00"/>
    <d v="2021-06-17T00:00:00"/>
    <s v="RV"/>
    <s v="USD"/>
    <n v="-17218.52"/>
    <s v="83.95000"/>
    <s v="BDT"/>
    <n v="-1445494.75"/>
    <n v="-17218.52"/>
    <s v="17218.52_1"/>
    <s v=""/>
    <s v="C3329UQ21NAG0767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17209.28"/>
    <s v="83.95000"/>
    <s v="BDT"/>
    <n v="-1444719.06"/>
    <n v="-17209.28"/>
    <s v="17209.28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993"/>
    <x v="72"/>
    <d v="2021-02-16T00:00:00"/>
    <d v="2021-02-25T00:00:00"/>
    <s v="RV"/>
    <s v="USD"/>
    <n v="-17202.310000000001"/>
    <s v="83.95000"/>
    <s v="BDT"/>
    <n v="-1444133.92"/>
    <n v="-17202.310000000001"/>
    <s v="17202.31_1"/>
    <s v=""/>
    <s v="C3248LVUS0201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010"/>
    <x v="233"/>
    <d v="2021-02-20T00:00:00"/>
    <d v="2021-03-02T00:00:00"/>
    <s v="RV"/>
    <s v="USD"/>
    <n v="-17199.009999999998"/>
    <s v="83.95000"/>
    <s v="BDT"/>
    <n v="-1443856.89"/>
    <n v="-17199.009999999998"/>
    <s v="17199.01_1"/>
    <s v=""/>
    <s v="C3291UQ21RU0146"/>
    <s v="20210220"/>
    <s v=""/>
    <s v=""/>
    <s v="0"/>
    <s v=""/>
    <s v=""/>
    <s v=""/>
    <s v=""/>
    <s v="2010100001"/>
    <s v=""/>
    <m/>
    <s v=""/>
    <s v=""/>
    <s v=""/>
    <n v="0"/>
  </r>
  <r>
    <s v=""/>
    <s v="40101001"/>
    <s v="2018000518"/>
    <x v="76"/>
    <d v="2020-11-19T00:00:00"/>
    <d v="2020-11-24T00:00:00"/>
    <s v="RV"/>
    <s v="USD"/>
    <n v="-17198.400000000001"/>
    <s v="83.95000"/>
    <s v="BDT"/>
    <n v="-1443805.68"/>
    <n v="-17198.400000000001"/>
    <s v="17198.4_1"/>
    <s v=""/>
    <s v="C3140LVUS114720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0755"/>
    <x v="134"/>
    <d v="2020-12-31T00:00:00"/>
    <d v="2021-01-05T00:00:00"/>
    <s v="RV"/>
    <s v="USD"/>
    <n v="-17122.82"/>
    <s v="83.95000"/>
    <s v="BDT"/>
    <n v="-1437460.74"/>
    <n v="-17122.82"/>
    <s v="17122.82_1"/>
    <s v=""/>
    <s v="C3235UQ20SYD1402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0770"/>
    <x v="188"/>
    <d v="2021-01-01T00:00:00"/>
    <d v="2021-01-06T00:00:00"/>
    <s v="RV"/>
    <s v="USD"/>
    <n v="-17102.52"/>
    <s v="83.95000"/>
    <s v="BDT"/>
    <n v="-1435756.55"/>
    <n v="-17102.52"/>
    <s v="17102.52_1"/>
    <s v=""/>
    <s v="C3219LVUS139120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0458"/>
    <x v="253"/>
    <d v="2020-11-07T00:00:00"/>
    <d v="2020-11-14T00:00:00"/>
    <s v="RV"/>
    <s v="USD"/>
    <n v="-17099.73"/>
    <s v="83.95000"/>
    <s v="BDT"/>
    <n v="-1435522.33"/>
    <n v="-17099.73"/>
    <s v="17099.73_1"/>
    <s v=""/>
    <s v="C3210UQ20NAG1084"/>
    <s v="20201107"/>
    <s v=""/>
    <s v=""/>
    <s v="0"/>
    <s v=""/>
    <s v=""/>
    <s v=""/>
    <s v=""/>
    <s v="2010100001"/>
    <s v=""/>
    <m/>
    <s v=""/>
    <s v=""/>
    <s v=""/>
    <n v="0"/>
  </r>
  <r>
    <s v=""/>
    <s v="40101001"/>
    <s v="2018001034"/>
    <x v="116"/>
    <d v="2021-03-05T00:00:00"/>
    <d v="2021-03-10T00:00:00"/>
    <s v="RV"/>
    <s v="USD"/>
    <n v="-17094.490000000002"/>
    <s v="83.95000"/>
    <s v="BDT"/>
    <n v="-1435082.44"/>
    <n v="-17094.490000000002"/>
    <s v="17094.49_1"/>
    <s v=""/>
    <s v="C3240LVCL0251-2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0587"/>
    <x v="153"/>
    <d v="2020-11-28T00:00:00"/>
    <d v="2020-12-03T00:00:00"/>
    <s v="RV"/>
    <s v="USD"/>
    <n v="-17088.68"/>
    <s v="83.95000"/>
    <s v="BDT"/>
    <n v="-1434594.69"/>
    <n v="-17088.68"/>
    <s v="17088.68_1"/>
    <s v=""/>
    <s v="C3102LVUS1189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17084.080000000002"/>
    <s v="83.95000"/>
    <s v="BDT"/>
    <n v="-1434208.52"/>
    <n v="-17084.080000000002"/>
    <s v="17084.08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768"/>
    <x v="224"/>
    <d v="2020-12-30T00:00:00"/>
    <d v="2021-01-06T00:00:00"/>
    <s v="RV"/>
    <s v="USD"/>
    <n v="-17066.39"/>
    <s v="83.95000"/>
    <s v="BDT"/>
    <n v="-1432723.44"/>
    <n v="-17066.39"/>
    <s v="17066.39_1"/>
    <s v=""/>
    <s v="C3149LVUS1390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993"/>
    <x v="72"/>
    <d v="2021-02-16T00:00:00"/>
    <d v="2021-02-25T00:00:00"/>
    <s v="RV"/>
    <s v="USD"/>
    <n v="-17027.169999999998"/>
    <s v="83.95000"/>
    <s v="BDT"/>
    <n v="-1429430.92"/>
    <n v="-17027.169999999998"/>
    <s v="17027.17_1"/>
    <s v=""/>
    <s v="C3248LVUS0201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837"/>
    <x v="258"/>
    <d v="2021-01-22T00:00:00"/>
    <d v="2021-01-26T00:00:00"/>
    <s v="RV"/>
    <s v="USD"/>
    <n v="-17023.990000000002"/>
    <s v="83.95000"/>
    <s v="BDT"/>
    <n v="-1429163.96"/>
    <n v="-17023.990000000002"/>
    <s v="17023.99_1"/>
    <s v=""/>
    <s v="C3222LVGR005221"/>
    <s v="20210122"/>
    <s v=""/>
    <s v=""/>
    <s v="0"/>
    <s v=""/>
    <s v=""/>
    <s v=""/>
    <s v=""/>
    <s v="2010100001"/>
    <s v=""/>
    <m/>
    <s v=""/>
    <s v=""/>
    <s v=""/>
    <n v="0"/>
  </r>
  <r>
    <s v=""/>
    <s v="40101001"/>
    <s v="2018000136"/>
    <x v="147"/>
    <d v="2020-07-31T00:00:00"/>
    <d v="2020-08-14T00:00:00"/>
    <s v="RV"/>
    <s v="USD"/>
    <n v="-16992.38"/>
    <s v="83.95000"/>
    <s v="BDT"/>
    <n v="-1426510.3"/>
    <n v="-16992.38"/>
    <s v="16992.38_1"/>
    <s v=""/>
    <s v="C3150UQ20YAN0728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521"/>
    <x v="115"/>
    <d v="2020-11-15T00:00:00"/>
    <d v="2020-11-24T00:00:00"/>
    <s v="RV"/>
    <s v="USD"/>
    <n v="-16971.29"/>
    <s v="83.95000"/>
    <s v="BDT"/>
    <n v="-1424739.8"/>
    <n v="-16971.29"/>
    <s v="16971.29_1"/>
    <s v=""/>
    <s v="C3140LVUS115120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0312"/>
    <x v="200"/>
    <d v="2020-09-25T00:00:00"/>
    <d v="2020-10-13T00:00:00"/>
    <s v="RV"/>
    <s v="USD"/>
    <n v="-16956.310000000001"/>
    <s v="83.95000"/>
    <s v="BDT"/>
    <n v="-1423482.22"/>
    <n v="-16956.310000000001"/>
    <s v="16956.31_1"/>
    <s v=""/>
    <s v="C3133SB20UK0893"/>
    <s v="20200925"/>
    <s v=""/>
    <s v=""/>
    <s v="0"/>
    <s v=""/>
    <s v=""/>
    <s v=""/>
    <s v=""/>
    <s v="2010100001"/>
    <s v=""/>
    <m/>
    <s v=""/>
    <s v=""/>
    <s v=""/>
    <n v="0"/>
  </r>
  <r>
    <s v=""/>
    <s v="40101001"/>
    <s v="2018001498"/>
    <x v="127"/>
    <d v="2021-06-04T00:00:00"/>
    <d v="2021-06-17T00:00:00"/>
    <s v="RV"/>
    <s v="USD"/>
    <n v="-16947.689999999999"/>
    <s v="83.95000"/>
    <s v="BDT"/>
    <n v="-1422758.58"/>
    <n v="-16947.689999999999"/>
    <s v="16947.69_1"/>
    <s v=""/>
    <s v="C3284LVCA0704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0273"/>
    <x v="40"/>
    <d v="2020-09-08T00:00:00"/>
    <d v="2020-09-30T00:00:00"/>
    <s v="RV"/>
    <s v="USD"/>
    <n v="-16928.759999999998"/>
    <s v="83.95000"/>
    <s v="BDT"/>
    <n v="-1421169.4"/>
    <n v="-16928.759999999998"/>
    <s v="16928.76_1"/>
    <s v=""/>
    <s v="C3155UQ20SHA0820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114"/>
    <x v="8"/>
    <d v="2020-07-29T00:00:00"/>
    <d v="2020-08-10T00:00:00"/>
    <s v="RV"/>
    <s v="USD"/>
    <n v="-16921.87"/>
    <s v="83.95000"/>
    <s v="BDT"/>
    <n v="-1420590.98"/>
    <n v="-16921.87"/>
    <s v="16921.87_1"/>
    <s v=""/>
    <s v="C3150UQ20TW0727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0989"/>
    <x v="72"/>
    <d v="2021-02-16T00:00:00"/>
    <d v="2021-02-25T00:00:00"/>
    <s v="RV"/>
    <s v="USD"/>
    <n v="-16904.509999999998"/>
    <s v="83.95000"/>
    <s v="BDT"/>
    <n v="-1419133.61"/>
    <n v="-16904.509999999998"/>
    <s v="16904.51_1"/>
    <s v=""/>
    <s v="C3248LVUS0198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16901.97"/>
    <s v="83.95000"/>
    <s v="BDT"/>
    <n v="-1418920.38"/>
    <n v="-16901.97"/>
    <s v="16901.97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240"/>
    <x v="81"/>
    <d v="2020-09-16T00:00:00"/>
    <d v="2020-09-22T00:00:00"/>
    <s v="RV"/>
    <s v="USD"/>
    <n v="-16896.34"/>
    <s v="83.95000"/>
    <s v="BDT"/>
    <n v="-1418447.74"/>
    <n v="-16896.34"/>
    <s v="16896.34_1"/>
    <s v=""/>
    <s v="C3154UQ20OSA0863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1424"/>
    <x v="119"/>
    <d v="2021-05-24T00:00:00"/>
    <d v="2021-05-29T00:00:00"/>
    <s v="RV"/>
    <s v="USD"/>
    <n v="-16866.37"/>
    <s v="83.95000"/>
    <s v="BDT"/>
    <n v="-1415931.76"/>
    <n v="-16866.37"/>
    <s v="16866.37_1"/>
    <s v=""/>
    <s v="C3329UQ21RU0545"/>
    <s v="20210524"/>
    <s v=""/>
    <s v=""/>
    <s v="0"/>
    <s v=""/>
    <s v=""/>
    <s v=""/>
    <s v=""/>
    <s v="2010100001"/>
    <s v=""/>
    <m/>
    <s v=""/>
    <s v=""/>
    <s v=""/>
    <n v="0"/>
  </r>
  <r>
    <s v=""/>
    <s v="40101001"/>
    <s v="2018001105"/>
    <x v="217"/>
    <d v="2021-03-22T00:00:00"/>
    <d v="2021-03-25T00:00:00"/>
    <s v="RV"/>
    <s v="USD"/>
    <n v="-16830.53"/>
    <s v="83.95000"/>
    <s v="BDT"/>
    <n v="-1412922.99"/>
    <n v="-16830.53"/>
    <s v="16830.53_1"/>
    <s v=""/>
    <s v="C3274UQ21SYD0297"/>
    <s v="20210322"/>
    <s v=""/>
    <s v=""/>
    <s v="0"/>
    <s v=""/>
    <s v=""/>
    <s v=""/>
    <s v=""/>
    <s v="2010100001"/>
    <s v=""/>
    <m/>
    <s v=""/>
    <s v=""/>
    <s v=""/>
    <n v="0"/>
  </r>
  <r>
    <s v=""/>
    <s v="40101001"/>
    <s v="2018001216"/>
    <x v="263"/>
    <d v="2021-04-12T00:00:00"/>
    <d v="2021-04-22T00:00:00"/>
    <s v="RV"/>
    <s v="USD"/>
    <n v="-16825.32"/>
    <s v="83.95000"/>
    <s v="BDT"/>
    <n v="-1412485.61"/>
    <n v="-16825.32"/>
    <s v="16825.32_1"/>
    <s v=""/>
    <s v="C3290UQ21HAK0438"/>
    <s v="20210412"/>
    <s v=""/>
    <s v=""/>
    <s v="0"/>
    <s v=""/>
    <s v=""/>
    <s v=""/>
    <s v=""/>
    <s v="2010100001"/>
    <s v=""/>
    <m/>
    <s v=""/>
    <s v=""/>
    <s v=""/>
    <n v="0"/>
  </r>
  <r>
    <s v=""/>
    <s v="40101001"/>
    <s v="2018001219"/>
    <x v="107"/>
    <d v="2021-04-13T00:00:00"/>
    <d v="2021-04-22T00:00:00"/>
    <s v="RV"/>
    <s v="USD"/>
    <n v="-16825.32"/>
    <s v="83.95000"/>
    <s v="BDT"/>
    <n v="-1412485.61"/>
    <n v="-16825.32"/>
    <s v="16825.32_2"/>
    <s v=""/>
    <s v="C3290UQ21NAG0433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1256"/>
    <x v="192"/>
    <d v="2021-04-25T00:00:00"/>
    <d v="2021-04-29T00:00:00"/>
    <s v="RV"/>
    <s v="USD"/>
    <n v="-16792.38"/>
    <s v="83.95000"/>
    <s v="BDT"/>
    <n v="-1409720.3"/>
    <n v="-16792.38"/>
    <s v="16792.38_1"/>
    <s v=""/>
    <s v="C3267LVUS0491-21"/>
    <s v="20210425"/>
    <s v=""/>
    <s v=""/>
    <s v="0"/>
    <s v=""/>
    <s v=""/>
    <s v=""/>
    <s v=""/>
    <s v="2010100001"/>
    <s v=""/>
    <m/>
    <s v=""/>
    <s v=""/>
    <s v=""/>
    <n v="0"/>
  </r>
  <r>
    <s v=""/>
    <s v="40101002"/>
    <s v="2018000168"/>
    <x v="123"/>
    <d v="2020-08-23T00:00:00"/>
    <d v="2020-08-26T00:00:00"/>
    <s v="RV"/>
    <s v="USD"/>
    <n v="-16769.04"/>
    <s v="83.95000"/>
    <s v="BDT"/>
    <n v="-1407760.91"/>
    <n v="-16769.04"/>
    <s v="16769.04_1"/>
    <s v=""/>
    <s v="C3062LVBR073020"/>
    <s v="20200823"/>
    <s v=""/>
    <s v=""/>
    <s v="0"/>
    <s v=""/>
    <s v=""/>
    <s v=""/>
    <s v=""/>
    <s v="2010100001"/>
    <s v=""/>
    <m/>
    <s v=""/>
    <s v=""/>
    <s v=""/>
    <n v="0"/>
  </r>
  <r>
    <s v=""/>
    <s v="40101001"/>
    <s v="2018000937"/>
    <x v="46"/>
    <d v="2021-02-07T00:00:00"/>
    <d v="2021-02-14T00:00:00"/>
    <s v="RV"/>
    <s v="USD"/>
    <n v="-16763"/>
    <s v="83.95000"/>
    <s v="BDT"/>
    <n v="-1407253.85"/>
    <n v="-16763"/>
    <s v="16763_1"/>
    <s v=""/>
    <s v="C3260UQ21YOK0161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365"/>
    <x v="64"/>
    <d v="2021-05-12T00:00:00"/>
    <d v="2021-05-20T00:00:00"/>
    <s v="RV"/>
    <s v="USD"/>
    <n v="-16759.900000000001"/>
    <s v="83.95000"/>
    <s v="BDT"/>
    <n v="-1406993.61"/>
    <n v="-16759.900000000001"/>
    <s v="16759.9_1"/>
    <s v=""/>
    <s v="C3309UQ21HAK0627"/>
    <s v="20210512"/>
    <s v=""/>
    <s v=""/>
    <s v="0"/>
    <s v=""/>
    <s v=""/>
    <s v=""/>
    <s v=""/>
    <s v="2010100001"/>
    <s v=""/>
    <m/>
    <s v=""/>
    <s v=""/>
    <s v=""/>
    <n v="0"/>
  </r>
  <r>
    <s v=""/>
    <s v="40101001"/>
    <s v="2018001546"/>
    <x v="103"/>
    <d v="2021-06-18T00:00:00"/>
    <d v="2021-06-21T00:00:00"/>
    <s v="RV"/>
    <s v="USD"/>
    <n v="-16703.759999999998"/>
    <s v="83.95000"/>
    <s v="BDT"/>
    <n v="-1402280.65"/>
    <n v="-16703.759999999998"/>
    <s v="16703.76_1"/>
    <s v=""/>
    <s v="C3333LVUS0785-21"/>
    <s v="20210618"/>
    <s v=""/>
    <s v=""/>
    <s v="0"/>
    <s v=""/>
    <s v=""/>
    <s v=""/>
    <s v=""/>
    <s v="2010100001"/>
    <s v=""/>
    <m/>
    <s v=""/>
    <s v=""/>
    <s v=""/>
    <n v="0"/>
  </r>
  <r>
    <s v=""/>
    <s v="40101001"/>
    <s v="2018001270"/>
    <x v="71"/>
    <d v="2021-04-28T00:00:00"/>
    <d v="2021-05-03T00:00:00"/>
    <s v="RV"/>
    <s v="USD"/>
    <n v="-16649.759999999998"/>
    <s v="83.95000"/>
    <s v="BDT"/>
    <n v="-1397747.35"/>
    <n v="-16649.759999999998"/>
    <s v="16649.76_1"/>
    <s v=""/>
    <s v="C3267LVUS0492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743"/>
    <x v="69"/>
    <d v="2020-12-29T00:00:00"/>
    <d v="2021-01-03T00:00:00"/>
    <s v="RV"/>
    <s v="USD"/>
    <n v="-16622.32"/>
    <s v="83.95000"/>
    <s v="BDT"/>
    <n v="-1395443.77"/>
    <n v="-16622.32"/>
    <s v="16622.32_1"/>
    <s v=""/>
    <s v="C3234UQ20TOR1365"/>
    <s v="20201229"/>
    <s v=""/>
    <s v=""/>
    <s v="0"/>
    <s v=""/>
    <s v=""/>
    <s v=""/>
    <s v=""/>
    <s v="2010100001"/>
    <s v=""/>
    <m/>
    <s v=""/>
    <s v=""/>
    <s v=""/>
    <n v="0"/>
  </r>
  <r>
    <s v=""/>
    <s v="40101001"/>
    <s v="2018001076"/>
    <x v="140"/>
    <d v="2021-03-14T00:00:00"/>
    <d v="2021-03-20T00:00:00"/>
    <s v="RV"/>
    <s v="USD"/>
    <n v="-16617.599999999999"/>
    <s v="83.95000"/>
    <s v="BDT"/>
    <n v="-1395047.52"/>
    <n v="-16617.599999999999"/>
    <s v="16617.6_1"/>
    <s v=""/>
    <s v="C3290UQ21NAG0301"/>
    <s v="20210314"/>
    <s v=""/>
    <s v=""/>
    <s v="0"/>
    <s v=""/>
    <s v=""/>
    <s v=""/>
    <s v=""/>
    <s v="2010100001"/>
    <s v=""/>
    <m/>
    <s v=""/>
    <s v=""/>
    <s v=""/>
    <n v="0"/>
  </r>
  <r>
    <s v=""/>
    <s v="40101001"/>
    <s v="2018001162"/>
    <x v="189"/>
    <d v="2021-03-26T00:00:00"/>
    <d v="2021-04-01T00:00:00"/>
    <s v="RV"/>
    <s v="USD"/>
    <n v="-16617.599999999999"/>
    <s v="83.95000"/>
    <s v="BDT"/>
    <n v="-1395047.52"/>
    <n v="-16617.599999999999"/>
    <s v="16617.6_2"/>
    <s v=""/>
    <s v="C3290UQ21NAG0394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131"/>
    <x v="147"/>
    <d v="2020-07-31T00:00:00"/>
    <d v="2020-08-14T00:00:00"/>
    <s v="RV"/>
    <s v="USD"/>
    <n v="-16591.009999999998"/>
    <s v="83.95000"/>
    <s v="BDT"/>
    <n v="-1392815.28"/>
    <n v="-16591.009999999998"/>
    <s v="16591.01_1"/>
    <s v=""/>
    <s v="C3120UQ20YAN0720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416"/>
    <x v="264"/>
    <d v="2020-10-25T00:00:00"/>
    <d v="2020-11-07T00:00:00"/>
    <s v="RV"/>
    <s v="USD"/>
    <n v="-16586.169999999998"/>
    <s v="83.95000"/>
    <s v="BDT"/>
    <n v="-1392408.97"/>
    <n v="-16586.169999999998"/>
    <s v="16586.17_1"/>
    <s v=""/>
    <s v="C03139DN20IR0998"/>
    <s v="20201025"/>
    <s v=""/>
    <s v=""/>
    <s v="0"/>
    <s v=""/>
    <s v=""/>
    <s v=""/>
    <s v=""/>
    <s v="2010100001"/>
    <s v=""/>
    <m/>
    <s v=""/>
    <s v=""/>
    <s v=""/>
    <n v="0"/>
  </r>
  <r>
    <s v=""/>
    <s v="40101001"/>
    <s v="2018000742"/>
    <x v="224"/>
    <d v="2020-12-30T00:00:00"/>
    <d v="2021-01-03T00:00:00"/>
    <s v="RV"/>
    <s v="USD"/>
    <n v="-16578.560000000001"/>
    <s v="83.95000"/>
    <s v="BDT"/>
    <n v="-1391770.11"/>
    <n v="-16578.560000000001"/>
    <s v="16578.56_1"/>
    <s v=""/>
    <s v="C3222LVGR1388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475"/>
    <x v="110"/>
    <d v="2020-11-08T00:00:00"/>
    <d v="2020-11-14T00:00:00"/>
    <s v="RV"/>
    <s v="USD"/>
    <n v="-16556.14"/>
    <s v="83.95000"/>
    <s v="BDT"/>
    <n v="-1389887.95"/>
    <n v="-16556.14"/>
    <s v="16556.14_1"/>
    <s v=""/>
    <s v="C3233UQ20VN1101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1270"/>
    <x v="71"/>
    <d v="2021-04-28T00:00:00"/>
    <d v="2021-05-03T00:00:00"/>
    <s v="RV"/>
    <s v="USD"/>
    <n v="-16515.87"/>
    <s v="83.95000"/>
    <s v="BDT"/>
    <n v="-1386507.28"/>
    <n v="-16515.87"/>
    <s v="16515.87_1"/>
    <s v=""/>
    <s v="C3267LVUS0492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326"/>
    <x v="200"/>
    <d v="2020-09-25T00:00:00"/>
    <d v="2020-10-15T00:00:00"/>
    <s v="RV"/>
    <s v="USD"/>
    <n v="-16480.099999999999"/>
    <s v="83.95000"/>
    <s v="BDT"/>
    <n v="-1383504.4"/>
    <n v="-16480.099999999999"/>
    <s v="16480.1_1"/>
    <s v=""/>
    <s v="C3135SB20UK0894"/>
    <s v="20200925"/>
    <s v=""/>
    <s v=""/>
    <s v="0"/>
    <s v=""/>
    <s v=""/>
    <s v=""/>
    <s v=""/>
    <s v="2010100001"/>
    <s v=""/>
    <m/>
    <s v=""/>
    <s v=""/>
    <s v=""/>
    <n v="0"/>
  </r>
  <r>
    <s v=""/>
    <s v="40101001"/>
    <s v="2018000549"/>
    <x v="265"/>
    <d v="2020-11-21T00:00:00"/>
    <d v="2020-11-28T00:00:00"/>
    <s v="RV"/>
    <s v="USD"/>
    <n v="-16471.07"/>
    <s v="83.95000"/>
    <s v="BDT"/>
    <n v="-1382746.32"/>
    <n v="-16471.07"/>
    <s v="16471.07_1"/>
    <s v=""/>
    <s v="C3165DC20US1174"/>
    <s v="20201121"/>
    <s v=""/>
    <s v=""/>
    <s v="0"/>
    <s v=""/>
    <s v=""/>
    <s v=""/>
    <s v=""/>
    <s v="2010100001"/>
    <s v=""/>
    <m/>
    <s v=""/>
    <s v=""/>
    <s v=""/>
    <n v="0"/>
  </r>
  <r>
    <s v=""/>
    <s v="40101001"/>
    <s v="2018001161"/>
    <x v="189"/>
    <d v="2021-03-26T00:00:00"/>
    <d v="2021-04-01T00:00:00"/>
    <s v="RV"/>
    <s v="USD"/>
    <n v="-16451.419999999998"/>
    <s v="83.95000"/>
    <s v="BDT"/>
    <n v="-1381096.71"/>
    <n v="-16451.419999999998"/>
    <s v="16451.42_1"/>
    <s v=""/>
    <s v="C3290UQ21HAK0395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483"/>
    <x v="260"/>
    <d v="2021-06-09T00:00:00"/>
    <d v="2021-06-14T00:00:00"/>
    <s v="RV"/>
    <s v="USD"/>
    <n v="-16443.939999999999"/>
    <s v="83.95000"/>
    <s v="BDT"/>
    <n v="-1380468.76"/>
    <n v="-16443.939999999999"/>
    <s v="16443.94_1"/>
    <s v=""/>
    <s v="C3277LVJP0734-21"/>
    <s v="20210609"/>
    <s v=""/>
    <s v=""/>
    <s v="0"/>
    <s v=""/>
    <s v=""/>
    <s v=""/>
    <s v=""/>
    <s v="2010100001"/>
    <s v=""/>
    <m/>
    <s v=""/>
    <s v=""/>
    <s v=""/>
    <n v="0"/>
  </r>
  <r>
    <s v=""/>
    <s v="40101001"/>
    <s v="2018000925"/>
    <x v="203"/>
    <d v="2021-02-02T00:00:00"/>
    <d v="2021-02-14T00:00:00"/>
    <s v="RV"/>
    <s v="USD"/>
    <n v="-16421.45"/>
    <s v="83.95000"/>
    <s v="BDT"/>
    <n v="-1378580.73"/>
    <n v="-16421.45"/>
    <s v="16421.45_1"/>
    <s v=""/>
    <s v="C3248LVMX0129-21"/>
    <s v="20210202"/>
    <s v=""/>
    <s v=""/>
    <s v="0"/>
    <s v=""/>
    <s v=""/>
    <s v=""/>
    <s v=""/>
    <s v="2010100001"/>
    <s v=""/>
    <m/>
    <s v=""/>
    <s v=""/>
    <s v=""/>
    <n v="0"/>
  </r>
  <r>
    <s v=""/>
    <s v="40101001"/>
    <s v="2018000379"/>
    <x v="13"/>
    <d v="2020-10-22T00:00:00"/>
    <d v="2020-11-01T00:00:00"/>
    <s v="RV"/>
    <s v="USD"/>
    <n v="-16405.2"/>
    <s v="83.95000"/>
    <s v="BDT"/>
    <n v="-1377216.54"/>
    <n v="-16405.2"/>
    <s v="16405.2_1"/>
    <s v=""/>
    <s v="C3205UQ20RU0883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1205"/>
    <x v="220"/>
    <d v="2021-04-08T00:00:00"/>
    <d v="2021-04-12T00:00:00"/>
    <s v="RV"/>
    <s v="USD"/>
    <n v="-16372.68"/>
    <s v="83.95000"/>
    <s v="BDT"/>
    <n v="-1374486.49"/>
    <n v="-16372.68"/>
    <s v="16372.68_1"/>
    <s v=""/>
    <s v="C3217UQ21RU0237"/>
    <s v="20210408"/>
    <s v=""/>
    <s v=""/>
    <s v="0"/>
    <s v=""/>
    <s v=""/>
    <s v=""/>
    <s v=""/>
    <s v="2010100001"/>
    <s v=""/>
    <m/>
    <s v=""/>
    <s v=""/>
    <s v=""/>
    <n v="0"/>
  </r>
  <r>
    <s v=""/>
    <s v="40101001"/>
    <s v="2018001322"/>
    <x v="15"/>
    <d v="2021-05-04T00:00:00"/>
    <d v="2021-05-13T00:00:00"/>
    <s v="RV"/>
    <s v="USD"/>
    <n v="-16364.88"/>
    <s v="83.95000"/>
    <s v="BDT"/>
    <n v="-1373831.68"/>
    <n v="-16364.88"/>
    <s v="16364.88_1"/>
    <s v=""/>
    <s v="C3308UQ21TOM0551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796"/>
    <x v="262"/>
    <d v="2021-01-09T00:00:00"/>
    <d v="2021-01-18T00:00:00"/>
    <s v="RV"/>
    <s v="USD"/>
    <n v="-16325.64"/>
    <s v="83.95000"/>
    <s v="BDT"/>
    <n v="-1370537.48"/>
    <n v="-16325.64"/>
    <s v="16325.64_1"/>
    <s v=""/>
    <s v="C3245UQ21EU0001"/>
    <s v="20210109"/>
    <s v=""/>
    <s v=""/>
    <s v="0"/>
    <s v=""/>
    <s v=""/>
    <s v=""/>
    <s v=""/>
    <s v="2010100001"/>
    <s v=""/>
    <m/>
    <s v=""/>
    <s v=""/>
    <s v=""/>
    <n v="0"/>
  </r>
  <r>
    <s v=""/>
    <s v="40101001"/>
    <s v="2018001412"/>
    <x v="266"/>
    <d v="2021-05-22T00:00:00"/>
    <d v="2021-05-25T00:00:00"/>
    <s v="RV"/>
    <s v="USD"/>
    <n v="-16324.89"/>
    <s v="83.95000"/>
    <s v="BDT"/>
    <n v="-1370474.52"/>
    <n v="-16324.89"/>
    <s v="16324.89_1"/>
    <s v=""/>
    <s v="C3281LVUS0646-21"/>
    <s v="20210522"/>
    <s v=""/>
    <s v=""/>
    <s v="0"/>
    <s v=""/>
    <s v=""/>
    <s v=""/>
    <s v=""/>
    <s v="2010100001"/>
    <s v=""/>
    <m/>
    <s v=""/>
    <s v=""/>
    <s v=""/>
    <n v="0"/>
  </r>
  <r>
    <s v=""/>
    <s v="40101001"/>
    <s v="2018001609"/>
    <x v="104"/>
    <d v="2021-06-23T00:00:00"/>
    <d v="2021-06-30T00:00:00"/>
    <s v="RV"/>
    <s v="USD"/>
    <n v="-16298.23"/>
    <s v="83.95000"/>
    <s v="BDT"/>
    <n v="-1368236.41"/>
    <n v="-16298.23"/>
    <s v="16298.23_1"/>
    <s v=""/>
    <s v="C3311LVUS0825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641"/>
    <x v="225"/>
    <d v="2020-12-08T00:00:00"/>
    <d v="2020-12-20T00:00:00"/>
    <s v="RV"/>
    <s v="USD"/>
    <n v="-16286.34"/>
    <s v="83.95000"/>
    <s v="BDT"/>
    <n v="-1367238.24"/>
    <n v="-16286.34"/>
    <s v="16286.34_1"/>
    <s v=""/>
    <s v="C3149LVMX1192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1559"/>
    <x v="10"/>
    <d v="2021-06-20T00:00:00"/>
    <d v="2021-06-24T00:00:00"/>
    <s v="RV"/>
    <s v="USD"/>
    <n v="-16247.99"/>
    <s v="83.95000"/>
    <s v="BDT"/>
    <n v="-1364018.76"/>
    <n v="-16247.99"/>
    <s v="16247.99_1"/>
    <s v=""/>
    <s v="C3308UQ21EU0750"/>
    <s v="20210620"/>
    <s v=""/>
    <s v=""/>
    <s v="0"/>
    <s v=""/>
    <s v=""/>
    <s v=""/>
    <s v=""/>
    <s v="2010100001"/>
    <s v=""/>
    <m/>
    <s v=""/>
    <s v=""/>
    <s v=""/>
    <n v="0"/>
  </r>
  <r>
    <s v=""/>
    <s v="40101001"/>
    <s v="2018000558"/>
    <x v="153"/>
    <d v="2020-11-28T00:00:00"/>
    <d v="2020-11-30T00:00:00"/>
    <s v="RV"/>
    <s v="USD"/>
    <n v="-16240.88"/>
    <s v="83.95000"/>
    <s v="BDT"/>
    <n v="-1363421.88"/>
    <n v="-16240.88"/>
    <s v="16240.88_1"/>
    <s v=""/>
    <s v="C3140LVUS1190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1517"/>
    <x v="244"/>
    <d v="2021-06-13T00:00:00"/>
    <d v="2021-06-17T00:00:00"/>
    <s v="RV"/>
    <s v="USD"/>
    <n v="-16224"/>
    <s v="83.95000"/>
    <s v="BDT"/>
    <n v="-1362004.8"/>
    <n v="-16224"/>
    <s v="16224_1"/>
    <s v=""/>
    <s v="C3329UQ21RU066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1007"/>
    <x v="231"/>
    <d v="2021-02-22T00:00:00"/>
    <d v="2021-02-28T00:00:00"/>
    <s v="RV"/>
    <s v="USD"/>
    <n v="-16181.39"/>
    <s v="83.95000"/>
    <s v="BDT"/>
    <n v="-1358427.69"/>
    <n v="-16181.39"/>
    <s v="16181.39_1"/>
    <s v=""/>
    <s v="C3290UQ21OSA0242"/>
    <s v="20210222"/>
    <s v=""/>
    <s v=""/>
    <s v="0"/>
    <s v=""/>
    <s v=""/>
    <s v=""/>
    <s v=""/>
    <s v="2010100001"/>
    <s v=""/>
    <m/>
    <s v=""/>
    <s v=""/>
    <s v=""/>
    <n v="0"/>
  </r>
  <r>
    <s v=""/>
    <s v="40101001"/>
    <s v="2018000651"/>
    <x v="230"/>
    <d v="2020-12-14T00:00:00"/>
    <d v="2020-12-20T00:00:00"/>
    <s v="RV"/>
    <s v="USD"/>
    <n v="-16177.68"/>
    <s v="83.95000"/>
    <s v="BDT"/>
    <n v="-1358116.24"/>
    <n v="-16177.68"/>
    <s v="16177.68_1"/>
    <s v=""/>
    <s v="C3247UQ20EU1280"/>
    <s v="20201214"/>
    <s v=""/>
    <s v=""/>
    <s v="0"/>
    <s v=""/>
    <s v=""/>
    <s v=""/>
    <s v=""/>
    <s v="2010100001"/>
    <s v=""/>
    <m/>
    <s v=""/>
    <s v=""/>
    <s v=""/>
    <n v="0"/>
  </r>
  <r>
    <s v=""/>
    <s v="40101001"/>
    <s v="2018001619"/>
    <x v="244"/>
    <d v="2021-06-13T00:00:00"/>
    <d v="2021-07-07T00:00:00"/>
    <s v="RV"/>
    <s v="USD"/>
    <n v="-16174.04"/>
    <s v="83.95000"/>
    <s v="BDT"/>
    <n v="-1357810.65"/>
    <n v="-16174.04"/>
    <s v="16174.04_1"/>
    <s v=""/>
    <s v="C3285LVMX0689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0732"/>
    <x v="267"/>
    <d v="2020-12-22T00:00:00"/>
    <d v="2021-01-02T00:00:00"/>
    <s v="RV"/>
    <s v="USD"/>
    <n v="-16171.53"/>
    <s v="83.95000"/>
    <s v="BDT"/>
    <n v="-1357599.94"/>
    <n v="-16171.53"/>
    <s v="16171.53_1"/>
    <s v=""/>
    <s v="C3145LVCA134920"/>
    <s v="20201222"/>
    <s v=""/>
    <s v=""/>
    <s v="0"/>
    <s v=""/>
    <s v=""/>
    <s v=""/>
    <s v=""/>
    <s v="2010100001"/>
    <s v=""/>
    <m/>
    <s v=""/>
    <s v=""/>
    <s v=""/>
    <n v="0"/>
  </r>
  <r>
    <s v=""/>
    <s v="40101001"/>
    <s v="2018001487"/>
    <x v="88"/>
    <d v="2021-06-11T00:00:00"/>
    <d v="2021-06-16T00:00:00"/>
    <s v="RV"/>
    <s v="USD"/>
    <n v="-16142.36"/>
    <s v="83.95000"/>
    <s v="BDT"/>
    <n v="-1355151.12"/>
    <n v="-16142.36"/>
    <s v="16142.36_1"/>
    <s v=""/>
    <s v="C3329UQ21HAK0774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648"/>
    <x v="268"/>
    <d v="2020-12-11T00:00:00"/>
    <d v="2020-12-20T00:00:00"/>
    <s v="RV"/>
    <s v="USD"/>
    <n v="-16123.04"/>
    <s v="83.95000"/>
    <s v="BDT"/>
    <n v="-1353529.21"/>
    <n v="-16123.04"/>
    <s v="16123.04_1"/>
    <s v=""/>
    <s v="C3253UQ20VN1314"/>
    <s v="20201211"/>
    <s v=""/>
    <s v=""/>
    <s v="0"/>
    <s v=""/>
    <s v=""/>
    <s v=""/>
    <s v=""/>
    <s v="2010100001"/>
    <s v=""/>
    <m/>
    <s v=""/>
    <s v=""/>
    <s v=""/>
    <n v="0"/>
  </r>
  <r>
    <s v=""/>
    <s v="40101001"/>
    <s v="2018001270"/>
    <x v="71"/>
    <d v="2021-04-28T00:00:00"/>
    <d v="2021-05-03T00:00:00"/>
    <s v="RV"/>
    <s v="USD"/>
    <n v="-16114.22"/>
    <s v="83.95000"/>
    <s v="BDT"/>
    <n v="-1352788.77"/>
    <n v="-16114.22"/>
    <s v="16114.22_1"/>
    <s v=""/>
    <s v="C3267LVUS0492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733"/>
    <x v="178"/>
    <d v="2020-12-23T00:00:00"/>
    <d v="2021-01-02T00:00:00"/>
    <s v="RV"/>
    <s v="USD"/>
    <n v="-16111.98"/>
    <s v="83.95000"/>
    <s v="BDT"/>
    <n v="-1352600.72"/>
    <n v="-16111.98"/>
    <s v="16111.98_1"/>
    <s v=""/>
    <s v="C3143LVGR1298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6087.85"/>
    <s v="83.95000"/>
    <s v="BDT"/>
    <n v="-1350575.01"/>
    <n v="-16087.85"/>
    <s v="16087.85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027"/>
    <x v="16"/>
    <d v="2021-02-26T00:00:00"/>
    <d v="2021-03-03T00:00:00"/>
    <s v="RV"/>
    <s v="USD"/>
    <n v="-16038.03"/>
    <s v="83.95000"/>
    <s v="BDT"/>
    <n v="-1346392.62"/>
    <n v="-16038.03"/>
    <s v="16038.03_1"/>
    <s v=""/>
    <s v="C3249LVUS0228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0540"/>
    <x v="3"/>
    <d v="2020-11-18T00:00:00"/>
    <d v="2020-11-26T00:00:00"/>
    <s v="RV"/>
    <s v="USD"/>
    <n v="-16010.04"/>
    <s v="83.95000"/>
    <s v="BDT"/>
    <n v="-1344042.86"/>
    <n v="-16010.04"/>
    <s v="16010.04_1"/>
    <s v=""/>
    <s v="C3231UQ20SHA1139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16009.44"/>
    <s v="83.95000"/>
    <s v="BDT"/>
    <n v="-1343992.49"/>
    <n v="-16009.44"/>
    <s v="16009.44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741"/>
    <x v="178"/>
    <d v="2020-12-23T00:00:00"/>
    <d v="2021-01-03T00:00:00"/>
    <s v="RV"/>
    <s v="USD"/>
    <n v="-15931.19"/>
    <s v="83.95000"/>
    <s v="BDT"/>
    <n v="-1337423.3999999999"/>
    <n v="-15931.19"/>
    <s v="15931.19_1"/>
    <s v=""/>
    <s v="C3218LVUS1352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928"/>
    <x v="46"/>
    <d v="2021-02-07T00:00:00"/>
    <d v="2021-02-14T00:00:00"/>
    <s v="RV"/>
    <s v="USD"/>
    <n v="-15916.86"/>
    <s v="83.95000"/>
    <s v="BDT"/>
    <n v="-1336220.3999999999"/>
    <n v="-15916.86"/>
    <s v="15916.86_1"/>
    <s v=""/>
    <s v="C3260UQ21NAG0157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0649"/>
    <x v="254"/>
    <d v="2020-12-13T00:00:00"/>
    <d v="2020-12-20T00:00:00"/>
    <s v="RV"/>
    <s v="USD"/>
    <n v="-15902.51"/>
    <s v="83.95000"/>
    <s v="BDT"/>
    <n v="-1335015.71"/>
    <n v="-15902.51"/>
    <s v="15902.51_1"/>
    <s v=""/>
    <s v="C3253UQ20VN1313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1402"/>
    <x v="157"/>
    <d v="2021-05-19T00:00:00"/>
    <d v="2021-05-24T00:00:00"/>
    <s v="RV"/>
    <s v="USD"/>
    <n v="-15897.31"/>
    <s v="83.95000"/>
    <s v="BDT"/>
    <n v="-1334579.17"/>
    <n v="-15897.31"/>
    <s v="15897.31_1"/>
    <s v=""/>
    <s v="C3309UQ21KR0657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0507"/>
    <x v="115"/>
    <d v="2020-11-15T00:00:00"/>
    <d v="2020-11-19T00:00:00"/>
    <s v="RV"/>
    <s v="USD"/>
    <n v="-15892.97"/>
    <s v="83.95000"/>
    <s v="BDT"/>
    <n v="-1334214.83"/>
    <n v="-15892.97"/>
    <s v="15892.97_1"/>
    <s v=""/>
    <s v="C3215UQ20HAK1132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0038"/>
    <x v="105"/>
    <d v="2020-07-13T00:00:00"/>
    <d v="2020-07-18T00:00:00"/>
    <s v="RV"/>
    <s v="USD"/>
    <n v="-15892.64"/>
    <s v="83.95000"/>
    <s v="BDT"/>
    <n v="-1334187.1299999999"/>
    <n v="-15892.64"/>
    <s v="15892.64_1"/>
    <s v=""/>
    <s v="C3128UQ20SEN0633"/>
    <s v="20200713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15856.39"/>
    <s v="83.95000"/>
    <s v="BDT"/>
    <n v="-1331143.94"/>
    <n v="-15856.39"/>
    <s v="15856.39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024"/>
    <x v="16"/>
    <d v="2021-02-26T00:00:00"/>
    <d v="2021-03-03T00:00:00"/>
    <s v="RV"/>
    <s v="USD"/>
    <n v="-15816.81"/>
    <s v="83.95000"/>
    <s v="BDT"/>
    <n v="-1327821.19"/>
    <n v="-15816.81"/>
    <s v="15816.81_1"/>
    <s v=""/>
    <s v="C3248LVMX0232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206"/>
    <x v="238"/>
    <d v="2021-04-10T00:00:00"/>
    <d v="2021-04-13T00:00:00"/>
    <s v="RV"/>
    <s v="USD"/>
    <n v="-15802.16"/>
    <s v="83.95000"/>
    <s v="BDT"/>
    <n v="-1326591.33"/>
    <n v="-15802.16"/>
    <s v="15802.16_1"/>
    <s v=""/>
    <s v="C3223LVUS0428-21"/>
    <s v="20210410"/>
    <s v=""/>
    <s v=""/>
    <s v="0"/>
    <s v=""/>
    <s v=""/>
    <s v=""/>
    <s v=""/>
    <s v="2010100001"/>
    <s v=""/>
    <m/>
    <s v=""/>
    <s v=""/>
    <s v=""/>
    <n v="0"/>
  </r>
  <r>
    <s v=""/>
    <s v="40101001"/>
    <s v="2018000449"/>
    <x v="18"/>
    <d v="2020-11-05T00:00:00"/>
    <d v="2020-11-11T00:00:00"/>
    <s v="RV"/>
    <s v="USD"/>
    <n v="-15719.63"/>
    <s v="83.95000"/>
    <s v="BDT"/>
    <n v="-1319662.94"/>
    <n v="-15719.63"/>
    <s v="15719.63_1"/>
    <s v=""/>
    <s v="C3205UQ20HK1059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341"/>
    <x v="239"/>
    <d v="2021-05-09T00:00:00"/>
    <d v="2021-05-17T00:00:00"/>
    <s v="RV"/>
    <s v="USD"/>
    <n v="-15716.54"/>
    <s v="83.95000"/>
    <s v="BDT"/>
    <n v="-1319403.53"/>
    <n v="-15716.54"/>
    <s v="15716.54_1"/>
    <s v=""/>
    <s v="C3278LVUS0594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0569"/>
    <x v="265"/>
    <d v="2020-11-21T00:00:00"/>
    <d v="2020-11-30T00:00:00"/>
    <s v="RV"/>
    <s v="USD"/>
    <n v="-15712.44"/>
    <s v="83.95000"/>
    <s v="BDT"/>
    <n v="-1319059.3400000001"/>
    <n v="-15712.44"/>
    <s v="15712.44_1"/>
    <s v=""/>
    <s v="C3233UQ20RU1046"/>
    <s v="20201121"/>
    <s v=""/>
    <s v=""/>
    <s v="0"/>
    <s v=""/>
    <s v=""/>
    <s v=""/>
    <s v=""/>
    <s v="2010100001"/>
    <s v=""/>
    <m/>
    <s v=""/>
    <s v=""/>
    <s v=""/>
    <n v="0"/>
  </r>
  <r>
    <s v=""/>
    <s v="40101001"/>
    <s v="2018000754"/>
    <x v="134"/>
    <d v="2020-12-31T00:00:00"/>
    <d v="2021-01-05T00:00:00"/>
    <s v="RV"/>
    <s v="USD"/>
    <n v="-15705.76"/>
    <s v="83.95000"/>
    <s v="BDT"/>
    <n v="-1318498.55"/>
    <n v="-15705.76"/>
    <s v="15705.76_1"/>
    <s v=""/>
    <s v="C3235UQ20MEL1401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1622"/>
    <x v="93"/>
    <d v="2021-06-29T00:00:00"/>
    <d v="2021-07-07T00:00:00"/>
    <s v="RV"/>
    <s v="USD"/>
    <n v="-15699.85"/>
    <s v="83.95000"/>
    <s v="BDT"/>
    <n v="-1318002.4099999999"/>
    <n v="-15699.85"/>
    <s v="15699.85_1"/>
    <s v=""/>
    <s v="C3270LVMX0787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1312"/>
    <x v="15"/>
    <d v="2021-05-04T00:00:00"/>
    <d v="2021-05-12T00:00:00"/>
    <s v="RV"/>
    <s v="USD"/>
    <n v="-15693.11"/>
    <s v="83.95000"/>
    <s v="BDT"/>
    <n v="-1317436.58"/>
    <n v="-15693.11"/>
    <s v="15693.11_1"/>
    <s v=""/>
    <s v="C3343UQ21OSA0542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138"/>
    <x v="185"/>
    <d v="2020-07-28T00:00:00"/>
    <d v="2020-08-14T00:00:00"/>
    <s v="RV"/>
    <s v="USD"/>
    <n v="-15647.02"/>
    <s v="83.95000"/>
    <s v="BDT"/>
    <n v="-1313567.33"/>
    <n v="-15647.02"/>
    <s v="15647.02_1"/>
    <s v=""/>
    <s v="C3120UQ20SHA0687"/>
    <s v="20200728"/>
    <s v=""/>
    <s v=""/>
    <s v="0"/>
    <s v=""/>
    <s v=""/>
    <s v=""/>
    <s v=""/>
    <s v="2010100001"/>
    <s v=""/>
    <m/>
    <s v=""/>
    <s v=""/>
    <s v=""/>
    <n v="0"/>
  </r>
  <r>
    <s v=""/>
    <s v="40101001"/>
    <s v="2018001187"/>
    <x v="183"/>
    <d v="2021-03-29T00:00:00"/>
    <d v="2021-04-04T00:00:00"/>
    <s v="RV"/>
    <s v="USD"/>
    <n v="-15630.32"/>
    <s v="83.95000"/>
    <s v="BDT"/>
    <n v="-1312165.3700000001"/>
    <n v="-15630.32"/>
    <s v="15630.32_1"/>
    <s v=""/>
    <s v="C3177AMZPL0408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806"/>
    <x v="42"/>
    <d v="2021-01-14T00:00:00"/>
    <d v="2021-01-20T00:00:00"/>
    <s v="RV"/>
    <s v="USD"/>
    <n v="-15617.1"/>
    <s v="83.95000"/>
    <s v="BDT"/>
    <n v="-1311055.55"/>
    <n v="-15617.1"/>
    <s v="15617.1_1"/>
    <s v=""/>
    <s v="C3253UQ21HAK0018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080"/>
    <x v="216"/>
    <d v="2020-07-20T00:00:00"/>
    <d v="2020-07-29T00:00:00"/>
    <s v="RV"/>
    <s v="USD"/>
    <n v="-15605.7"/>
    <s v="83.95000"/>
    <s v="BDT"/>
    <n v="-1310098.52"/>
    <n v="-15605.7"/>
    <s v="15605.7_1"/>
    <s v=""/>
    <s v="C3067LVMX065220"/>
    <s v="20200720"/>
    <s v=""/>
    <s v=""/>
    <s v="0"/>
    <s v=""/>
    <s v=""/>
    <s v=""/>
    <s v=""/>
    <s v="2010100001"/>
    <s v=""/>
    <m/>
    <s v=""/>
    <s v=""/>
    <s v=""/>
    <n v="0"/>
  </r>
  <r>
    <s v=""/>
    <s v="40101001"/>
    <s v="2018000457"/>
    <x v="253"/>
    <d v="2020-11-07T00:00:00"/>
    <d v="2020-11-14T00:00:00"/>
    <s v="RV"/>
    <s v="USD"/>
    <n v="-15599.75"/>
    <s v="83.95000"/>
    <s v="BDT"/>
    <n v="-1309599.01"/>
    <n v="-15599.75"/>
    <s v="15599.75_1"/>
    <s v=""/>
    <s v="C3210UQ20HAK1083"/>
    <s v="20201107"/>
    <s v=""/>
    <s v=""/>
    <s v="0"/>
    <s v=""/>
    <s v=""/>
    <s v=""/>
    <s v=""/>
    <s v="2010100001"/>
    <s v=""/>
    <m/>
    <s v=""/>
    <s v=""/>
    <s v=""/>
    <n v="0"/>
  </r>
  <r>
    <s v=""/>
    <s v="40101001"/>
    <s v="2018001514"/>
    <x v="88"/>
    <d v="2021-06-11T00:00:00"/>
    <d v="2021-06-17T00:00:00"/>
    <s v="RV"/>
    <s v="USD"/>
    <n v="-15589.73"/>
    <s v="83.95000"/>
    <s v="BDT"/>
    <n v="-1308757.83"/>
    <n v="-15589.73"/>
    <s v="15589.73_1"/>
    <s v=""/>
    <s v="C3286LVGR0706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829"/>
    <x v="237"/>
    <d v="2021-01-17T00:00:00"/>
    <d v="2021-01-23T00:00:00"/>
    <s v="RV"/>
    <s v="USD"/>
    <n v="-15580.99"/>
    <s v="83.95000"/>
    <s v="BDT"/>
    <n v="-1308024.1100000001"/>
    <n v="-15580.99"/>
    <s v="15580.99_1"/>
    <s v=""/>
    <s v="C3147LVGR005321"/>
    <s v="20210117"/>
    <s v=""/>
    <s v=""/>
    <s v="0"/>
    <s v=""/>
    <s v=""/>
    <s v=""/>
    <s v=""/>
    <s v="2010100001"/>
    <s v=""/>
    <m/>
    <s v=""/>
    <s v=""/>
    <s v=""/>
    <n v="0"/>
  </r>
  <r>
    <s v=""/>
    <s v="40101001"/>
    <s v="2018000779"/>
    <x v="245"/>
    <d v="2020-12-19T00:00:00"/>
    <d v="2021-01-06T00:00:00"/>
    <s v="RV"/>
    <s v="USD"/>
    <n v="-15578.04"/>
    <s v="83.95000"/>
    <s v="BDT"/>
    <n v="-1307776.46"/>
    <n v="-15578.04"/>
    <s v="15578.04_1"/>
    <s v=""/>
    <s v="C3210UQ20TOK1216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0290"/>
    <x v="184"/>
    <d v="2020-09-30T00:00:00"/>
    <d v="2020-10-04T00:00:00"/>
    <s v="RV"/>
    <s v="USD"/>
    <n v="-15577.53"/>
    <s v="83.95000"/>
    <s v="BDT"/>
    <n v="-1307733.6399999999"/>
    <n v="-15577.53"/>
    <s v="15577.53_1"/>
    <s v=""/>
    <s v="C3081LVMX088720"/>
    <s v="20200930"/>
    <s v=""/>
    <s v=""/>
    <s v="0"/>
    <s v=""/>
    <s v=""/>
    <s v=""/>
    <s v=""/>
    <s v="2010100001"/>
    <s v=""/>
    <m/>
    <s v=""/>
    <s v=""/>
    <s v=""/>
    <n v="0"/>
  </r>
  <r>
    <s v=""/>
    <s v="40101001"/>
    <s v="2018001112"/>
    <x v="89"/>
    <d v="2021-03-21T00:00:00"/>
    <d v="2021-03-28T00:00:00"/>
    <s v="RV"/>
    <s v="USD"/>
    <n v="-15562.97"/>
    <s v="83.95000"/>
    <s v="BDT"/>
    <n v="-1306511.33"/>
    <n v="-15562.97"/>
    <s v="15562.97_1"/>
    <s v=""/>
    <s v="C3223LVUS0308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801"/>
    <x v="74"/>
    <d v="2021-01-12T00:00:00"/>
    <d v="2021-01-18T00:00:00"/>
    <s v="RV"/>
    <s v="USD"/>
    <n v="-15532.43"/>
    <s v="83.95000"/>
    <s v="BDT"/>
    <n v="-1303947.5"/>
    <n v="-15532.43"/>
    <s v="15532.43_1"/>
    <s v=""/>
    <s v="C3253UQ21TH0016"/>
    <s v="20210112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15532"/>
    <s v="83.95000"/>
    <s v="BDT"/>
    <n v="-1303911.3999999999"/>
    <n v="-15532"/>
    <s v="15532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991"/>
    <x v="72"/>
    <d v="2021-02-16T00:00:00"/>
    <d v="2021-02-25T00:00:00"/>
    <s v="RV"/>
    <s v="USD"/>
    <n v="-15524.39"/>
    <s v="83.95000"/>
    <s v="BDT"/>
    <n v="-1303272.54"/>
    <n v="-15524.39"/>
    <s v="15524.39_1"/>
    <s v=""/>
    <s v="C3223LVUS0199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215"/>
    <x v="108"/>
    <d v="2021-04-11T00:00:00"/>
    <d v="2021-04-22T00:00:00"/>
    <s v="RV"/>
    <s v="USD"/>
    <n v="-15515.7"/>
    <s v="83.95000"/>
    <s v="BDT"/>
    <n v="-1302543.02"/>
    <n v="-15515.7"/>
    <s v="15515.7_1"/>
    <s v=""/>
    <s v="C3273NT21US0423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1404"/>
    <x v="157"/>
    <d v="2021-05-19T00:00:00"/>
    <d v="2021-05-24T00:00:00"/>
    <s v="RV"/>
    <s v="USD"/>
    <n v="-15510.63"/>
    <s v="83.95000"/>
    <s v="BDT"/>
    <n v="-1302117.3899999999"/>
    <n v="-15510.63"/>
    <s v="15510.63_1"/>
    <s v=""/>
    <s v="C3343UQ21OSA0651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1460"/>
    <x v="202"/>
    <d v="2021-06-06T00:00:00"/>
    <d v="2021-06-10T00:00:00"/>
    <s v="RV"/>
    <s v="USD"/>
    <n v="-15510.63"/>
    <s v="83.95000"/>
    <s v="BDT"/>
    <n v="-1302117.3899999999"/>
    <n v="-15510.63"/>
    <s v="15510.63_2"/>
    <s v=""/>
    <s v="C3343UQ21YOK0718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659"/>
    <x v="214"/>
    <d v="2020-12-01T00:00:00"/>
    <d v="2020-12-21T00:00:00"/>
    <s v="RV"/>
    <s v="USD"/>
    <n v="-15485.31"/>
    <s v="83.95000"/>
    <s v="BDT"/>
    <n v="-1299991.77"/>
    <n v="-15485.31"/>
    <s v="15485.31_1"/>
    <s v=""/>
    <s v="C3168UQ20SEN1243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15463.53"/>
    <s v="83.95000"/>
    <s v="BDT"/>
    <n v="-1298163.3400000001"/>
    <n v="-15463.53"/>
    <s v="15463.53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516"/>
    <x v="244"/>
    <d v="2021-06-13T00:00:00"/>
    <d v="2021-06-17T00:00:00"/>
    <s v="RV"/>
    <s v="USD"/>
    <n v="-15458.03"/>
    <s v="83.95000"/>
    <s v="BDT"/>
    <n v="-1297701.6200000001"/>
    <n v="-15458.03"/>
    <s v="15458.03_1"/>
    <s v=""/>
    <s v="C3289LVMX0747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1559"/>
    <x v="10"/>
    <d v="2021-06-20T00:00:00"/>
    <d v="2021-06-24T00:00:00"/>
    <s v="RV"/>
    <s v="USD"/>
    <n v="-15429.74"/>
    <s v="83.95000"/>
    <s v="BDT"/>
    <n v="-1295326.67"/>
    <n v="-15429.74"/>
    <s v="15429.74_1"/>
    <s v=""/>
    <s v="C3308UQ21EU0750"/>
    <s v="20210620"/>
    <s v=""/>
    <s v=""/>
    <s v="0"/>
    <s v=""/>
    <s v=""/>
    <s v=""/>
    <s v=""/>
    <s v="2010100001"/>
    <s v=""/>
    <m/>
    <s v=""/>
    <s v=""/>
    <s v=""/>
    <n v="0"/>
  </r>
  <r>
    <s v=""/>
    <s v="40101001"/>
    <s v="2018001162"/>
    <x v="189"/>
    <d v="2021-03-26T00:00:00"/>
    <d v="2021-04-01T00:00:00"/>
    <s v="RV"/>
    <s v="USD"/>
    <n v="-15412.82"/>
    <s v="83.95000"/>
    <s v="BDT"/>
    <n v="-1293906.24"/>
    <n v="-15412.82"/>
    <s v="15412.82_1"/>
    <s v=""/>
    <s v="C3290UQ21NAG0394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852"/>
    <x v="197"/>
    <d v="2021-01-23T00:00:00"/>
    <d v="2021-01-30T00:00:00"/>
    <s v="RV"/>
    <s v="USD"/>
    <n v="-15396.73"/>
    <s v="83.95000"/>
    <s v="BDT"/>
    <n v="-1292555.48"/>
    <n v="-15396.73"/>
    <s v="15396.73_1"/>
    <s v=""/>
    <s v="C3247UQ21HAK0039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534"/>
    <x v="3"/>
    <d v="2020-11-18T00:00:00"/>
    <d v="2020-11-26T00:00:00"/>
    <s v="RV"/>
    <s v="USD"/>
    <n v="-15392.58"/>
    <s v="83.95000"/>
    <s v="BDT"/>
    <n v="-1292207.0900000001"/>
    <n v="-15392.58"/>
    <s v="15392.58_1"/>
    <s v=""/>
    <s v="C3231UQ20SHA1138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592"/>
    <x v="27"/>
    <d v="2020-11-30T00:00:00"/>
    <d v="2020-12-05T00:00:00"/>
    <s v="RV"/>
    <s v="USD"/>
    <n v="-15392.58"/>
    <s v="83.95000"/>
    <s v="BDT"/>
    <n v="-1292207.1000000001"/>
    <n v="-15392.58"/>
    <s v="15392.58_2"/>
    <s v=""/>
    <s v="C3168UQ20TOK1219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0907"/>
    <x v="208"/>
    <d v="2021-02-04T00:00:00"/>
    <d v="2021-02-10T00:00:00"/>
    <s v="RV"/>
    <s v="USD"/>
    <n v="-15386.62"/>
    <s v="83.95000"/>
    <s v="BDT"/>
    <n v="-1291706.75"/>
    <n v="-15386.62"/>
    <s v="15386.62_1"/>
    <s v=""/>
    <s v="C3255UQ21MEL0137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908"/>
    <x v="208"/>
    <d v="2021-02-04T00:00:00"/>
    <d v="2021-02-10T00:00:00"/>
    <s v="RV"/>
    <s v="USD"/>
    <n v="-15386.62"/>
    <s v="83.95000"/>
    <s v="BDT"/>
    <n v="-1291706.75"/>
    <n v="-15386.62"/>
    <s v="15386.62_2"/>
    <s v=""/>
    <s v="C3255UQ21MEL0138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415"/>
    <x v="172"/>
    <d v="2020-11-01T00:00:00"/>
    <d v="2020-11-05T00:00:00"/>
    <s v="RV"/>
    <s v="USD"/>
    <n v="-15358.36"/>
    <s v="83.95000"/>
    <s v="BDT"/>
    <n v="-1289334.32"/>
    <n v="-15358.36"/>
    <s v="15358.36_1"/>
    <s v=""/>
    <s v="C3169UQ20VN1020"/>
    <s v="20201101"/>
    <s v=""/>
    <s v=""/>
    <s v="0"/>
    <s v=""/>
    <s v=""/>
    <s v=""/>
    <s v=""/>
    <s v="2010100001"/>
    <s v=""/>
    <m/>
    <s v=""/>
    <s v=""/>
    <s v=""/>
    <n v="0"/>
  </r>
  <r>
    <s v=""/>
    <s v="40101001"/>
    <s v="2018001620"/>
    <x v="244"/>
    <d v="2021-06-13T00:00:00"/>
    <d v="2021-07-07T00:00:00"/>
    <s v="RV"/>
    <s v="USD"/>
    <n v="-15343.43"/>
    <s v="83.95000"/>
    <s v="BDT"/>
    <n v="-1288080.95"/>
    <n v="-15343.43"/>
    <s v="15343.43_1"/>
    <s v=""/>
    <s v="C3335LVMX0690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1148"/>
    <x v="141"/>
    <d v="2021-03-25T00:00:00"/>
    <d v="2021-03-31T00:00:00"/>
    <s v="RV"/>
    <s v="USD"/>
    <n v="-15329.11"/>
    <s v="83.95000"/>
    <s v="BDT"/>
    <n v="-1286878.78"/>
    <n v="-15329.11"/>
    <s v="15329.11_1"/>
    <s v=""/>
    <s v="C3261C&amp;A21GR0392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0051"/>
    <x v="117"/>
    <d v="2020-07-11T00:00:00"/>
    <d v="2020-07-21T00:00:00"/>
    <s v="RV"/>
    <s v="USD"/>
    <n v="-15289.76"/>
    <s v="83.95000"/>
    <s v="BDT"/>
    <n v="-1283575.3500000001"/>
    <n v="-15289.76"/>
    <s v="15289.76_1"/>
    <s v=""/>
    <s v="C3120UQ20SHA0609"/>
    <s v="20200711"/>
    <s v=""/>
    <s v=""/>
    <s v="0"/>
    <s v=""/>
    <s v=""/>
    <s v=""/>
    <s v=""/>
    <s v="2010100001"/>
    <s v=""/>
    <m/>
    <s v=""/>
    <s v=""/>
    <s v=""/>
    <n v="0"/>
  </r>
  <r>
    <s v=""/>
    <s v="40101001"/>
    <s v="2018000942"/>
    <x v="46"/>
    <d v="2021-02-07T00:00:00"/>
    <d v="2021-02-14T00:00:00"/>
    <s v="RV"/>
    <s v="USD"/>
    <n v="-15280.19"/>
    <s v="83.95000"/>
    <s v="BDT"/>
    <n v="-1282771.95"/>
    <n v="-15280.19"/>
    <s v="15280.19_1"/>
    <s v=""/>
    <s v="C3272UQ21OSA0156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0986"/>
    <x v="72"/>
    <d v="2021-02-16T00:00:00"/>
    <d v="2021-02-24T00:00:00"/>
    <s v="RV"/>
    <s v="USD"/>
    <n v="-15271.02"/>
    <s v="83.95000"/>
    <s v="BDT"/>
    <n v="-1282002.1299999999"/>
    <n v="-15271.02"/>
    <s v="15271.02_1"/>
    <s v=""/>
    <s v="C3100LVMX0205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178"/>
    <x v="120"/>
    <d v="2020-08-26T00:00:00"/>
    <d v="2020-09-02T00:00:00"/>
    <s v="RV"/>
    <s v="USD"/>
    <n v="-15248.59"/>
    <s v="83.95000"/>
    <s v="BDT"/>
    <n v="-1280119.1299999999"/>
    <n v="-15248.59"/>
    <s v="15248.59_1"/>
    <s v=""/>
    <s v="C3068LVCL080120"/>
    <s v="20200826"/>
    <s v=""/>
    <s v=""/>
    <s v="0"/>
    <s v=""/>
    <s v=""/>
    <s v=""/>
    <s v=""/>
    <s v="2010100001"/>
    <s v=""/>
    <m/>
    <s v=""/>
    <s v=""/>
    <s v=""/>
    <n v="0"/>
  </r>
  <r>
    <s v=""/>
    <s v="40101001"/>
    <s v="2018000433"/>
    <x v="18"/>
    <d v="2020-11-05T00:00:00"/>
    <d v="2020-11-10T00:00:00"/>
    <s v="RV"/>
    <s v="USD"/>
    <n v="-15239.84"/>
    <s v="83.95000"/>
    <s v="BDT"/>
    <n v="-1279384.57"/>
    <n v="-15239.84"/>
    <s v="15239.84_1"/>
    <s v=""/>
    <s v="C3159UQ20HAK1057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768"/>
    <x v="224"/>
    <d v="2020-12-30T00:00:00"/>
    <d v="2021-01-06T00:00:00"/>
    <s v="RV"/>
    <s v="USD"/>
    <n v="-15237.57"/>
    <s v="83.95000"/>
    <s v="BDT"/>
    <n v="-1279194"/>
    <n v="-15237.57"/>
    <s v="15237.57_1"/>
    <s v=""/>
    <s v="C3149LVUS1390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1111"/>
    <x v="89"/>
    <d v="2021-03-21T00:00:00"/>
    <d v="2021-03-28T00:00:00"/>
    <s v="RV"/>
    <s v="USD"/>
    <n v="-15225.12"/>
    <s v="83.95000"/>
    <s v="BDT"/>
    <n v="-1278148.82"/>
    <n v="-15225.12"/>
    <s v="15225.12_1"/>
    <s v=""/>
    <s v="C3262LVUS0304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106"/>
    <x v="217"/>
    <d v="2021-03-22T00:00:00"/>
    <d v="2021-03-25T00:00:00"/>
    <s v="RV"/>
    <s v="USD"/>
    <n v="-15204.85"/>
    <s v="83.95000"/>
    <s v="BDT"/>
    <n v="-1276447.1599999999"/>
    <n v="-15204.85"/>
    <s v="15204.85_1"/>
    <s v=""/>
    <s v="C3274UQ21MEL0323"/>
    <s v="20210322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15173.47"/>
    <s v="83.95000"/>
    <s v="BDT"/>
    <n v="-1273812.81"/>
    <n v="-15173.47"/>
    <s v="15173.47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585"/>
    <x v="92"/>
    <d v="2020-11-22T00:00:00"/>
    <d v="2020-12-03T00:00:00"/>
    <s v="RV"/>
    <s v="USD"/>
    <n v="-15168.2"/>
    <s v="83.95000"/>
    <s v="BDT"/>
    <n v="-1273370.3899999999"/>
    <n v="-15168.2"/>
    <s v="15168.2_1"/>
    <s v=""/>
    <s v="C3104LVGR118720"/>
    <s v="20201122"/>
    <s v=""/>
    <s v=""/>
    <s v="0"/>
    <s v=""/>
    <s v=""/>
    <s v=""/>
    <s v=""/>
    <s v="2010100001"/>
    <s v=""/>
    <m/>
    <s v=""/>
    <s v=""/>
    <s v=""/>
    <n v="0"/>
  </r>
  <r>
    <s v=""/>
    <s v="40101001"/>
    <s v="2018000855"/>
    <x v="197"/>
    <d v="2021-01-23T00:00:00"/>
    <d v="2021-01-30T00:00:00"/>
    <s v="RV"/>
    <s v="USD"/>
    <n v="-15159.86"/>
    <s v="83.95000"/>
    <s v="BDT"/>
    <n v="-1272670.25"/>
    <n v="-15159.86"/>
    <s v="15159.86_1"/>
    <s v=""/>
    <s v="C3246UQ21SEN0075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114"/>
    <x v="89"/>
    <d v="2021-03-21T00:00:00"/>
    <d v="2021-03-28T00:00:00"/>
    <s v="RV"/>
    <s v="USD"/>
    <n v="-15158.3"/>
    <s v="83.95000"/>
    <s v="BDT"/>
    <n v="-1272539.29"/>
    <n v="-15158.3"/>
    <s v="15158.3_1"/>
    <s v=""/>
    <s v="C3262LVUS0306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217"/>
    <x v="45"/>
    <d v="2020-09-09T00:00:00"/>
    <d v="2020-09-12T00:00:00"/>
    <s v="RV"/>
    <s v="USD"/>
    <n v="-15153.82"/>
    <s v="83.95000"/>
    <s v="BDT"/>
    <n v="-1272163.19"/>
    <n v="-15153.82"/>
    <s v="15153.82_1"/>
    <s v=""/>
    <s v="C3154UQ20OSA0784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1147"/>
    <x v="141"/>
    <d v="2021-03-25T00:00:00"/>
    <d v="2021-03-31T00:00:00"/>
    <s v="RV"/>
    <s v="USD"/>
    <n v="-15117.25"/>
    <s v="83.95000"/>
    <s v="BDT"/>
    <n v="-1269093.1399999999"/>
    <n v="-15117.25"/>
    <s v="15117.25_1"/>
    <s v=""/>
    <s v="C3261C&amp;A21GR0390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0385"/>
    <x v="67"/>
    <d v="2020-10-27T00:00:00"/>
    <d v="2020-11-01T00:00:00"/>
    <s v="RV"/>
    <s v="USD"/>
    <n v="-15115.97"/>
    <s v="83.95000"/>
    <s v="BDT"/>
    <n v="-1268985.68"/>
    <n v="-15115.97"/>
    <s v="15115.97_1"/>
    <s v=""/>
    <s v="C3207UQ20KR1028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0591"/>
    <x v="214"/>
    <d v="2020-12-01T00:00:00"/>
    <d v="2020-12-05T00:00:00"/>
    <s v="RV"/>
    <s v="USD"/>
    <n v="-15114.4"/>
    <s v="83.95000"/>
    <s v="BDT"/>
    <n v="-1268853.8799999999"/>
    <n v="-15114.4"/>
    <s v="15114.4_1"/>
    <s v=""/>
    <s v="C3168UQ20SEN1222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1307"/>
    <x v="94"/>
    <d v="2021-05-07T00:00:00"/>
    <d v="2021-05-10T00:00:00"/>
    <s v="RV"/>
    <s v="USD"/>
    <n v="-15110.22"/>
    <s v="83.95000"/>
    <s v="BDT"/>
    <n v="-1268502.97"/>
    <n v="-15110.22"/>
    <s v="15110.22_1"/>
    <s v=""/>
    <s v="C3313LVUS0562-21"/>
    <s v="20210507"/>
    <s v=""/>
    <s v=""/>
    <s v="0"/>
    <s v=""/>
    <s v=""/>
    <s v=""/>
    <s v=""/>
    <s v="2010100001"/>
    <s v=""/>
    <m/>
    <s v=""/>
    <s v=""/>
    <s v=""/>
    <n v="0"/>
  </r>
  <r>
    <s v=""/>
    <s v="40101001"/>
    <s v="2018000585"/>
    <x v="92"/>
    <d v="2020-11-22T00:00:00"/>
    <d v="2020-12-03T00:00:00"/>
    <s v="RV"/>
    <s v="USD"/>
    <n v="-15086.31"/>
    <s v="83.95000"/>
    <s v="BDT"/>
    <n v="-1266495.72"/>
    <n v="-15086.31"/>
    <s v="15086.31_1"/>
    <s v=""/>
    <s v="C3104LVGR118720"/>
    <s v="20201122"/>
    <s v=""/>
    <s v=""/>
    <s v="0"/>
    <s v=""/>
    <s v=""/>
    <s v=""/>
    <s v=""/>
    <s v="2010100001"/>
    <s v=""/>
    <m/>
    <s v=""/>
    <s v=""/>
    <s v=""/>
    <n v="0"/>
  </r>
  <r>
    <s v=""/>
    <s v="40101001"/>
    <s v="2018000663"/>
    <x v="19"/>
    <d v="2020-12-16T00:00:00"/>
    <d v="2020-12-22T00:00:00"/>
    <s v="RV"/>
    <s v="USD"/>
    <n v="-15081.52"/>
    <s v="83.95000"/>
    <s v="BDT"/>
    <n v="-1266093.6000000001"/>
    <n v="-15081.52"/>
    <s v="15081.52_1"/>
    <s v=""/>
    <s v="C3100LVGR13122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068"/>
    <x v="53"/>
    <d v="2020-07-22T00:00:00"/>
    <d v="2020-07-28T00:00:00"/>
    <s v="RV"/>
    <s v="USD"/>
    <n v="-15029.51"/>
    <s v="83.95000"/>
    <s v="BDT"/>
    <n v="-1261727.3600000001"/>
    <n v="-15029.51"/>
    <s v="15029.51_1"/>
    <s v=""/>
    <s v="C3122UQ20SHA0666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314"/>
    <x v="25"/>
    <d v="2020-10-07T00:00:00"/>
    <d v="2020-10-13T00:00:00"/>
    <s v="RV"/>
    <s v="USD"/>
    <n v="-15018.57"/>
    <s v="83.95000"/>
    <s v="BDT"/>
    <n v="-1260808.95"/>
    <n v="-15018.57"/>
    <s v="15018.57_1"/>
    <s v=""/>
    <s v="C3099LVUS093020"/>
    <s v="20201007"/>
    <s v=""/>
    <s v=""/>
    <s v="0"/>
    <s v=""/>
    <s v=""/>
    <s v=""/>
    <s v=""/>
    <s v="2010100001"/>
    <s v=""/>
    <m/>
    <s v=""/>
    <s v=""/>
    <s v=""/>
    <n v="0"/>
  </r>
  <r>
    <s v=""/>
    <s v="40101001"/>
    <s v="2018000680"/>
    <x v="155"/>
    <d v="2020-12-17T00:00:00"/>
    <d v="2020-12-23T00:00:00"/>
    <s v="RV"/>
    <s v="USD"/>
    <n v="-14999.36"/>
    <s v="83.95000"/>
    <s v="BDT"/>
    <n v="-1259196.27"/>
    <n v="-14999.36"/>
    <s v="14999.36_1"/>
    <s v=""/>
    <s v="C3149LVUS1306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904"/>
    <x v="174"/>
    <d v="2021-02-03T00:00:00"/>
    <d v="2021-02-09T00:00:00"/>
    <s v="RV"/>
    <s v="USD"/>
    <n v="-14994.47"/>
    <s v="83.95000"/>
    <s v="BDT"/>
    <n v="-1258785.76"/>
    <n v="-14994.47"/>
    <s v="14994.47_1"/>
    <s v=""/>
    <s v="C3236LVUS0131-21"/>
    <s v="20210203"/>
    <s v=""/>
    <s v=""/>
    <s v="0"/>
    <s v=""/>
    <s v=""/>
    <s v=""/>
    <s v=""/>
    <s v="2010100001"/>
    <s v=""/>
    <m/>
    <s v=""/>
    <s v=""/>
    <s v=""/>
    <n v="0"/>
  </r>
  <r>
    <s v=""/>
    <s v="40101001"/>
    <s v="2018000392"/>
    <x v="7"/>
    <d v="2020-10-19T00:00:00"/>
    <d v="2020-11-02T00:00:00"/>
    <s v="RV"/>
    <s v="USD"/>
    <n v="-14991.61"/>
    <s v="83.95000"/>
    <s v="BDT"/>
    <n v="-1258545.6599999999"/>
    <n v="-14991.61"/>
    <s v="14991.61_1"/>
    <s v=""/>
    <s v="C03202US20-0965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963"/>
    <x v="66"/>
    <d v="2021-02-12T00:00:00"/>
    <d v="2021-02-16T00:00:00"/>
    <s v="RV"/>
    <s v="USD"/>
    <n v="-14977.34"/>
    <s v="83.95000"/>
    <s v="BDT"/>
    <n v="-1257347.69"/>
    <n v="-14977.34"/>
    <s v="14977.34_1"/>
    <s v=""/>
    <s v="C3291UQ21TW0194"/>
    <s v="20210212"/>
    <s v=""/>
    <s v=""/>
    <s v="0"/>
    <s v=""/>
    <s v=""/>
    <s v=""/>
    <s v=""/>
    <s v="2010100001"/>
    <s v=""/>
    <m/>
    <s v=""/>
    <s v=""/>
    <s v=""/>
    <n v="0"/>
  </r>
  <r>
    <s v=""/>
    <s v="40101001"/>
    <s v="2018000729"/>
    <x v="178"/>
    <d v="2020-12-23T00:00:00"/>
    <d v="2021-01-02T00:00:00"/>
    <s v="RV"/>
    <s v="USD"/>
    <n v="-14965.21"/>
    <s v="83.95000"/>
    <s v="BDT"/>
    <n v="-1256329.3799999999"/>
    <n v="-14965.21"/>
    <s v="14965.21_1"/>
    <s v=""/>
    <s v="C03139DN20IR1372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1506"/>
    <x v="202"/>
    <d v="2021-06-06T00:00:00"/>
    <d v="2021-06-17T00:00:00"/>
    <s v="RV"/>
    <s v="USD"/>
    <n v="-14962.18"/>
    <s v="83.95000"/>
    <s v="BDT"/>
    <n v="-1256075.01"/>
    <n v="-14962.18"/>
    <s v="14962.18_1"/>
    <s v=""/>
    <s v="C3308UQ21MEL0677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551"/>
    <x v="164"/>
    <d v="2020-11-24T00:00:00"/>
    <d v="2020-11-28T00:00:00"/>
    <s v="RV"/>
    <s v="USD"/>
    <n v="-14955.2"/>
    <s v="83.95000"/>
    <s v="BDT"/>
    <n v="-1255489.04"/>
    <n v="-14955.2"/>
    <s v="14955.2_1"/>
    <s v=""/>
    <s v="C3231UQ20KR1199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1565"/>
    <x v="75"/>
    <d v="2021-06-17T00:00:00"/>
    <d v="2021-06-24T00:00:00"/>
    <s v="RV"/>
    <s v="USD"/>
    <n v="-14947.02"/>
    <s v="83.95000"/>
    <s v="BDT"/>
    <n v="-1254802.33"/>
    <n v="-14947.02"/>
    <s v="14947.02_1"/>
    <s v=""/>
    <s v="C3335LVUS0786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14942.84"/>
    <s v="83.95000"/>
    <s v="BDT"/>
    <n v="-1254451.43"/>
    <n v="-14942.84"/>
    <s v="14942.84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1466"/>
    <x v="152"/>
    <d v="2021-06-07T00:00:00"/>
    <d v="2021-06-10T00:00:00"/>
    <s v="RV"/>
    <s v="USD"/>
    <n v="-14932.13"/>
    <s v="83.95000"/>
    <s v="BDT"/>
    <n v="-1253552.31"/>
    <n v="-14932.13"/>
    <s v="14932.13_1"/>
    <s v=""/>
    <s v="C3308UQ21RU0506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645"/>
    <x v="187"/>
    <d v="2020-12-12T00:00:00"/>
    <d v="2020-12-20T00:00:00"/>
    <s v="RV"/>
    <s v="USD"/>
    <n v="-14928.95"/>
    <s v="83.95000"/>
    <s v="BDT"/>
    <n v="-1253285.3500000001"/>
    <n v="-14928.95"/>
    <s v="14928.95_1"/>
    <s v=""/>
    <s v="C3168UQ20SEN1290"/>
    <s v="20201212"/>
    <s v=""/>
    <s v=""/>
    <s v="0"/>
    <s v=""/>
    <s v=""/>
    <s v=""/>
    <s v=""/>
    <s v="2010100001"/>
    <s v=""/>
    <m/>
    <s v=""/>
    <s v=""/>
    <s v=""/>
    <n v="0"/>
  </r>
  <r>
    <s v=""/>
    <s v="40101001"/>
    <s v="2018000173"/>
    <x v="120"/>
    <d v="2020-08-26T00:00:00"/>
    <d v="2020-08-29T00:00:00"/>
    <s v="RV"/>
    <s v="USD"/>
    <n v="-14882.63"/>
    <s v="83.95000"/>
    <s v="BDT"/>
    <n v="-1249396.79"/>
    <n v="-14882.63"/>
    <s v="14882.63_1"/>
    <s v=""/>
    <s v="C3136UQ20KR0743"/>
    <s v="20200826"/>
    <s v=""/>
    <s v=""/>
    <s v="0"/>
    <s v=""/>
    <s v=""/>
    <s v=""/>
    <s v=""/>
    <s v="2010100001"/>
    <s v=""/>
    <m/>
    <s v=""/>
    <s v=""/>
    <s v=""/>
    <n v="0"/>
  </r>
  <r>
    <s v=""/>
    <s v="40101001"/>
    <s v="2018001589"/>
    <x v="247"/>
    <d v="2021-06-22T00:00:00"/>
    <d v="2021-06-28T00:00:00"/>
    <s v="RV"/>
    <s v="USD"/>
    <n v="-14836.93"/>
    <s v="83.95000"/>
    <s v="BDT"/>
    <n v="-1245560.27"/>
    <n v="-14836.93"/>
    <s v="14836.93_1"/>
    <s v=""/>
    <s v="C3284LVCA0834-21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0583"/>
    <x v="34"/>
    <d v="2020-11-23T00:00:00"/>
    <d v="2020-12-02T00:00:00"/>
    <s v="RV"/>
    <s v="USD"/>
    <n v="-14819.21"/>
    <s v="83.95000"/>
    <s v="BDT"/>
    <n v="-1244072.68"/>
    <n v="-14819.21"/>
    <s v="14819.21_1"/>
    <s v=""/>
    <s v="C3231UQ20YAN114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968"/>
    <x v="73"/>
    <d v="2021-02-08T00:00:00"/>
    <d v="2021-02-17T00:00:00"/>
    <s v="RV"/>
    <s v="USD"/>
    <n v="-14817.6"/>
    <s v="83.95000"/>
    <s v="BDT"/>
    <n v="-1243937.52"/>
    <n v="-14817.6"/>
    <s v="14817.6_1"/>
    <s v=""/>
    <s v="C3291UQ21RU0140"/>
    <s v="20210208"/>
    <s v=""/>
    <s v=""/>
    <s v="0"/>
    <s v=""/>
    <s v=""/>
    <s v=""/>
    <s v=""/>
    <s v="2010100001"/>
    <s v=""/>
    <m/>
    <s v=""/>
    <s v=""/>
    <s v=""/>
    <n v="0"/>
  </r>
  <r>
    <s v=""/>
    <s v="40101001"/>
    <s v="2018000741"/>
    <x v="178"/>
    <d v="2020-12-23T00:00:00"/>
    <d v="2021-01-03T00:00:00"/>
    <s v="RV"/>
    <s v="USD"/>
    <n v="-14814.94"/>
    <s v="83.95000"/>
    <s v="BDT"/>
    <n v="-1243714.22"/>
    <n v="-14814.94"/>
    <s v="14814.94_1"/>
    <s v=""/>
    <s v="C3218LVUS1352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548"/>
    <x v="164"/>
    <d v="2020-11-24T00:00:00"/>
    <d v="2020-11-28T00:00:00"/>
    <s v="RV"/>
    <s v="USD"/>
    <n v="-14814.58"/>
    <s v="83.95000"/>
    <s v="BDT"/>
    <n v="-1243683.99"/>
    <n v="-14814.58"/>
    <s v="14814.58_1"/>
    <s v=""/>
    <s v="C3147LVUS119120"/>
    <s v="20201124"/>
    <s v=""/>
    <s v=""/>
    <s v="0"/>
    <s v=""/>
    <s v=""/>
    <s v=""/>
    <s v=""/>
    <s v="2010100001"/>
    <s v=""/>
    <m/>
    <s v=""/>
    <s v=""/>
    <s v=""/>
    <n v="0"/>
  </r>
  <r>
    <s v=""/>
    <s v="40101011"/>
    <s v="2008000030"/>
    <x v="215"/>
    <d v="2020-08-31T00:00:00"/>
    <d v="2020-09-08T00:00:00"/>
    <s v="DR"/>
    <s v="USD"/>
    <n v="-14806.07"/>
    <s v="83.95000"/>
    <s v="BDT"/>
    <n v="-1242969.58"/>
    <n v="-14806.07"/>
    <s v="14806.07_1"/>
    <s v=""/>
    <s v="CIPL-PGCL276-20"/>
    <s v="CIPL-PGCL276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14785.71"/>
    <s v="83.95000"/>
    <s v="BDT"/>
    <n v="-1241260.3500000001"/>
    <n v="-14785.71"/>
    <s v="14785.71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516"/>
    <x v="244"/>
    <d v="2021-06-13T00:00:00"/>
    <d v="2021-06-17T00:00:00"/>
    <s v="RV"/>
    <s v="USD"/>
    <n v="-14781.43"/>
    <s v="83.95000"/>
    <s v="BDT"/>
    <n v="-1240901.05"/>
    <n v="-14781.43"/>
    <s v="14781.43_1"/>
    <s v=""/>
    <s v="C3289LVMX0747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0792"/>
    <x v="251"/>
    <d v="2021-01-06T00:00:00"/>
    <d v="2021-01-12T00:00:00"/>
    <s v="RV"/>
    <s v="USD"/>
    <n v="-14773.04"/>
    <s v="83.95000"/>
    <s v="BDT"/>
    <n v="-1240196.71"/>
    <n v="-14773.04"/>
    <s v="14773.04_1"/>
    <s v=""/>
    <s v="C3214LVUS141720"/>
    <s v="20210106"/>
    <s v=""/>
    <s v=""/>
    <s v="0"/>
    <s v=""/>
    <s v=""/>
    <s v=""/>
    <s v=""/>
    <s v="2010100001"/>
    <s v=""/>
    <m/>
    <s v=""/>
    <s v=""/>
    <s v=""/>
    <n v="0"/>
  </r>
  <r>
    <s v=""/>
    <s v="40101001"/>
    <s v="2018000514"/>
    <x v="76"/>
    <d v="2020-11-19T00:00:00"/>
    <d v="2020-11-24T00:00:00"/>
    <s v="RV"/>
    <s v="USD"/>
    <n v="-14744.74"/>
    <s v="83.95000"/>
    <s v="BDT"/>
    <n v="-1237820.92"/>
    <n v="-14744.74"/>
    <s v="14744.74_1"/>
    <s v=""/>
    <s v="C3142LVUS114820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1367"/>
    <x v="64"/>
    <d v="2021-05-12T00:00:00"/>
    <d v="2021-05-20T00:00:00"/>
    <s v="RV"/>
    <s v="USD"/>
    <n v="-14728.39"/>
    <s v="83.95000"/>
    <s v="BDT"/>
    <n v="-1236448.3400000001"/>
    <n v="-14728.39"/>
    <s v="14728.39_1"/>
    <s v=""/>
    <s v="C3308UQ21SEN0630"/>
    <s v="20210512"/>
    <s v=""/>
    <s v=""/>
    <s v="0"/>
    <s v=""/>
    <s v=""/>
    <s v=""/>
    <s v=""/>
    <s v="2010100001"/>
    <s v=""/>
    <m/>
    <s v=""/>
    <s v=""/>
    <s v=""/>
    <n v="0"/>
  </r>
  <r>
    <s v=""/>
    <s v="40101001"/>
    <s v="2018000903"/>
    <x v="203"/>
    <d v="2021-02-02T00:00:00"/>
    <d v="2021-02-09T00:00:00"/>
    <s v="RV"/>
    <s v="USD"/>
    <n v="-14728.38"/>
    <s v="83.95000"/>
    <s v="BDT"/>
    <n v="-1236447.5"/>
    <n v="-14728.38"/>
    <s v="14728.38_1"/>
    <s v=""/>
    <s v="C3239LVUS0130-21"/>
    <s v="20210202"/>
    <s v=""/>
    <s v=""/>
    <s v="0"/>
    <s v=""/>
    <s v=""/>
    <s v=""/>
    <s v=""/>
    <s v="2010100001"/>
    <s v=""/>
    <m/>
    <s v=""/>
    <s v=""/>
    <s v=""/>
    <n v="0"/>
  </r>
  <r>
    <s v=""/>
    <s v="40101001"/>
    <s v="2018000916"/>
    <x v="208"/>
    <d v="2021-02-04T00:00:00"/>
    <d v="2021-02-10T00:00:00"/>
    <s v="RV"/>
    <s v="USD"/>
    <n v="-14718.41"/>
    <s v="83.95000"/>
    <s v="BDT"/>
    <n v="-1235610.52"/>
    <n v="-14718.41"/>
    <s v="14718.41_1"/>
    <s v=""/>
    <s v="C3291UQ21TW0145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1469"/>
    <x v="152"/>
    <d v="2021-06-07T00:00:00"/>
    <d v="2021-06-10T00:00:00"/>
    <s v="RV"/>
    <s v="USD"/>
    <n v="-14716.8"/>
    <s v="83.95000"/>
    <s v="BDT"/>
    <n v="-1235475.3600000001"/>
    <n v="-14716.8"/>
    <s v="14716.8_1"/>
    <s v=""/>
    <s v="C3331UQ21RU0446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1618"/>
    <x v="176"/>
    <d v="2021-06-19T00:00:00"/>
    <d v="2021-07-07T00:00:00"/>
    <s v="RV"/>
    <s v="USD"/>
    <n v="-14710.36"/>
    <s v="83.95000"/>
    <s v="BDT"/>
    <n v="-1234934.72"/>
    <n v="-14710.36"/>
    <s v="14710.36_1"/>
    <s v=""/>
    <s v="C3282LVMX0740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1311"/>
    <x v="15"/>
    <d v="2021-05-04T00:00:00"/>
    <d v="2021-05-12T00:00:00"/>
    <s v="RV"/>
    <s v="USD"/>
    <n v="-14671.23"/>
    <s v="83.95000"/>
    <s v="BDT"/>
    <n v="-1231649.76"/>
    <n v="-14671.23"/>
    <s v="14671.23_1"/>
    <s v=""/>
    <s v="C3343UQ21YOK0540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274"/>
    <x v="77"/>
    <d v="2020-09-06T00:00:00"/>
    <d v="2020-09-30T00:00:00"/>
    <s v="RV"/>
    <s v="USD"/>
    <n v="-14661.51"/>
    <s v="83.95000"/>
    <s v="BDT"/>
    <n v="-1230833.78"/>
    <n v="-14661.51"/>
    <s v="14661.51_1"/>
    <s v=""/>
    <s v="C3155UQ20YAN0821"/>
    <s v="20200906"/>
    <s v=""/>
    <s v=""/>
    <s v="0"/>
    <s v=""/>
    <s v=""/>
    <s v=""/>
    <s v=""/>
    <s v="2010100001"/>
    <s v=""/>
    <m/>
    <s v=""/>
    <s v=""/>
    <s v=""/>
    <n v="0"/>
  </r>
  <r>
    <s v=""/>
    <s v="40101001"/>
    <s v="2018000663"/>
    <x v="19"/>
    <d v="2020-12-16T00:00:00"/>
    <d v="2020-12-22T00:00:00"/>
    <s v="RV"/>
    <s v="USD"/>
    <n v="-14623"/>
    <s v="83.95000"/>
    <s v="BDT"/>
    <n v="-1227600.8500000001"/>
    <n v="-14623"/>
    <s v="14623_1"/>
    <s v=""/>
    <s v="C3100LVGR13122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14622.84"/>
    <s v="83.95000"/>
    <s v="BDT"/>
    <n v="-1227587.42"/>
    <n v="-14622.84"/>
    <s v="14622.84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114"/>
    <x v="89"/>
    <d v="2021-03-21T00:00:00"/>
    <d v="2021-03-28T00:00:00"/>
    <s v="RV"/>
    <s v="USD"/>
    <n v="-14621.7"/>
    <s v="83.95000"/>
    <s v="BDT"/>
    <n v="-1227491.72"/>
    <n v="-14621.7"/>
    <s v="14621.7_1"/>
    <s v=""/>
    <s v="C3262LVUS0306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327"/>
    <x v="51"/>
    <d v="2021-05-08T00:00:00"/>
    <d v="2021-05-13T00:00:00"/>
    <s v="RV"/>
    <s v="USD"/>
    <n v="-14616.49"/>
    <s v="83.95000"/>
    <s v="BDT"/>
    <n v="-1227054.3400000001"/>
    <n v="-14616.49"/>
    <s v="14616.49_1"/>
    <s v=""/>
    <s v="C3343UQ21OSA0578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815"/>
    <x v="42"/>
    <d v="2021-01-14T00:00:00"/>
    <d v="2021-01-21T00:00:00"/>
    <s v="RV"/>
    <s v="USD"/>
    <n v="-14604.99"/>
    <s v="83.95000"/>
    <s v="BDT"/>
    <n v="-1226088.9099999999"/>
    <n v="-14604.99"/>
    <s v="14604.99_1"/>
    <s v=""/>
    <s v="C3245UQ21KR0038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589"/>
    <x v="247"/>
    <d v="2021-06-22T00:00:00"/>
    <d v="2021-06-28T00:00:00"/>
    <s v="RV"/>
    <s v="USD"/>
    <n v="-14599.19"/>
    <s v="83.95000"/>
    <s v="BDT"/>
    <n v="-1225602"/>
    <n v="-14599.19"/>
    <s v="14599.19_1"/>
    <s v=""/>
    <s v="C3284LVCA0834-21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1255"/>
    <x v="232"/>
    <d v="2021-04-21T00:00:00"/>
    <d v="2021-04-27T00:00:00"/>
    <s v="RV"/>
    <s v="USD"/>
    <n v="-14597.5"/>
    <s v="83.95000"/>
    <s v="BDT"/>
    <n v="-1225460.1299999999"/>
    <n v="-14597.5"/>
    <s v="14597.5_1"/>
    <s v=""/>
    <s v="C3281LVMX0474-21"/>
    <s v="20210421"/>
    <s v=""/>
    <s v=""/>
    <s v="0"/>
    <s v=""/>
    <s v=""/>
    <s v=""/>
    <s v=""/>
    <s v="2010100001"/>
    <s v=""/>
    <m/>
    <s v=""/>
    <s v=""/>
    <s v=""/>
    <n v="0"/>
  </r>
  <r>
    <s v=""/>
    <s v="40101001"/>
    <s v="2018001103"/>
    <x v="57"/>
    <d v="2021-03-18T00:00:00"/>
    <d v="2021-03-25T00:00:00"/>
    <s v="RV"/>
    <s v="USD"/>
    <n v="-14587"/>
    <s v="83.95000"/>
    <s v="BDT"/>
    <n v="-1224578.6499999999"/>
    <n v="-14587"/>
    <s v="14587_1"/>
    <s v=""/>
    <s v="C3291UQ21PH0317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0261"/>
    <x v="133"/>
    <d v="2020-09-21T00:00:00"/>
    <d v="2020-09-26T00:00:00"/>
    <s v="RV"/>
    <s v="USD"/>
    <n v="-14577.24"/>
    <s v="83.95000"/>
    <s v="BDT"/>
    <n v="-1223759.3"/>
    <n v="-14577.24"/>
    <s v="14577.24_1"/>
    <s v=""/>
    <s v="C3159UQ20TOK0900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1623"/>
    <x v="93"/>
    <d v="2021-06-29T00:00:00"/>
    <d v="2021-07-07T00:00:00"/>
    <s v="RV"/>
    <s v="USD"/>
    <n v="-14556.24"/>
    <s v="83.95000"/>
    <s v="BDT"/>
    <n v="-1221996.3500000001"/>
    <n v="-14556.24"/>
    <s v="14556.24_1"/>
    <s v=""/>
    <s v="C3312LVUS0860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1619"/>
    <x v="244"/>
    <d v="2021-06-13T00:00:00"/>
    <d v="2021-07-07T00:00:00"/>
    <s v="RV"/>
    <s v="USD"/>
    <n v="-14542.59"/>
    <s v="83.95000"/>
    <s v="BDT"/>
    <n v="-1220850.43"/>
    <n v="-14542.59"/>
    <s v="14542.59_1"/>
    <s v=""/>
    <s v="C3285LVMX0689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1152"/>
    <x v="112"/>
    <d v="2021-03-24T00:00:00"/>
    <d v="2021-03-31T00:00:00"/>
    <s v="RV"/>
    <s v="USD"/>
    <n v="-14536.88"/>
    <s v="83.95000"/>
    <s v="BDT"/>
    <n v="-1220371.08"/>
    <n v="-14536.88"/>
    <s v="14536.88_1"/>
    <s v=""/>
    <s v="C3268LVMX0311-21"/>
    <s v="20210324"/>
    <s v=""/>
    <s v=""/>
    <s v="0"/>
    <s v=""/>
    <s v=""/>
    <s v=""/>
    <s v=""/>
    <s v="2010100001"/>
    <s v=""/>
    <m/>
    <s v=""/>
    <s v=""/>
    <s v=""/>
    <n v="0"/>
  </r>
  <r>
    <s v=""/>
    <s v="40101001"/>
    <s v="2018000957"/>
    <x v="99"/>
    <d v="2021-02-11T00:00:00"/>
    <d v="2021-02-16T00:00:00"/>
    <s v="RV"/>
    <s v="USD"/>
    <n v="-14530.41"/>
    <s v="83.95000"/>
    <s v="BDT"/>
    <n v="-1219827.92"/>
    <n v="-14530.41"/>
    <s v="14530.41_1"/>
    <s v=""/>
    <s v="C3260UQ21TOM0178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1280"/>
    <x v="71"/>
    <d v="2021-04-28T00:00:00"/>
    <d v="2021-05-06T00:00:00"/>
    <s v="RV"/>
    <s v="USD"/>
    <n v="-14525.25"/>
    <s v="83.95000"/>
    <s v="BDT"/>
    <n v="-1219394.74"/>
    <n v="-14525.25"/>
    <s v="14525.25_1"/>
    <s v=""/>
    <s v="C3343UQ21YOK0530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050"/>
    <x v="269"/>
    <d v="2020-07-15T00:00:00"/>
    <d v="2020-07-21T00:00:00"/>
    <s v="RV"/>
    <s v="USD"/>
    <n v="-14514.24"/>
    <s v="83.95000"/>
    <s v="BDT"/>
    <n v="-1218470.45"/>
    <n v="-14514.24"/>
    <s v="14514.24_1"/>
    <s v=""/>
    <s v="C3049LVCA062120"/>
    <s v="20200715"/>
    <s v=""/>
    <s v=""/>
    <s v="0"/>
    <s v=""/>
    <s v=""/>
    <s v=""/>
    <s v=""/>
    <s v="2010100001"/>
    <s v=""/>
    <m/>
    <s v=""/>
    <s v=""/>
    <s v=""/>
    <n v="0"/>
  </r>
  <r>
    <s v=""/>
    <s v="40101001"/>
    <s v="2018000073"/>
    <x v="53"/>
    <d v="2020-07-22T00:00:00"/>
    <d v="2020-07-28T00:00:00"/>
    <s v="RV"/>
    <s v="USD"/>
    <n v="-14461.42"/>
    <s v="83.95000"/>
    <s v="BDT"/>
    <n v="-1214036.21"/>
    <n v="-14461.42"/>
    <s v="14461.42_1"/>
    <s v=""/>
    <s v="C3131UQ20SHA0662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14424.48"/>
    <s v="83.95000"/>
    <s v="BDT"/>
    <n v="-1210935.1000000001"/>
    <n v="-14424.48"/>
    <s v="14424.48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246"/>
    <x v="133"/>
    <d v="2020-09-21T00:00:00"/>
    <d v="2020-09-24T00:00:00"/>
    <s v="RV"/>
    <s v="USD"/>
    <n v="-14411.33"/>
    <s v="83.95000"/>
    <s v="BDT"/>
    <n v="-1209831.1499999999"/>
    <n v="-14411.33"/>
    <s v="14411.33_1"/>
    <s v=""/>
    <s v="C3156DC20US0870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663"/>
    <x v="19"/>
    <d v="2020-12-16T00:00:00"/>
    <d v="2020-12-22T00:00:00"/>
    <s v="RV"/>
    <s v="USD"/>
    <n v="-14407.75"/>
    <s v="83.95000"/>
    <s v="BDT"/>
    <n v="-1209530.6100000001"/>
    <n v="-14407.75"/>
    <s v="14407.75_1"/>
    <s v=""/>
    <s v="C3100LVGR13122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700"/>
    <x v="178"/>
    <d v="2020-12-23T00:00:00"/>
    <d v="2020-12-29T00:00:00"/>
    <s v="RV"/>
    <s v="USD"/>
    <n v="-14393.88"/>
    <s v="83.95000"/>
    <s v="BDT"/>
    <n v="-1208366.23"/>
    <n v="-14393.88"/>
    <s v="14393.88_1"/>
    <s v=""/>
    <s v="C3185AC20KT1333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1109"/>
    <x v="89"/>
    <d v="2021-03-21T00:00:00"/>
    <d v="2021-03-25T00:00:00"/>
    <s v="RV"/>
    <s v="USD"/>
    <n v="-14378.36"/>
    <s v="83.95000"/>
    <s v="BDT"/>
    <n v="-1207063.32"/>
    <n v="-14378.36"/>
    <s v="14378.36_1"/>
    <s v=""/>
    <s v="C3262LVUS0309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139"/>
    <x v="141"/>
    <d v="2021-03-25T00:00:00"/>
    <d v="2021-03-31T00:00:00"/>
    <s v="RV"/>
    <s v="USD"/>
    <n v="-14368.53"/>
    <s v="83.95000"/>
    <s v="BDT"/>
    <n v="-1206238.0900000001"/>
    <n v="-14368.53"/>
    <s v="14368.53_1"/>
    <s v=""/>
    <s v="C3261C&amp;A21GR0382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0548"/>
    <x v="164"/>
    <d v="2020-11-24T00:00:00"/>
    <d v="2020-11-28T00:00:00"/>
    <s v="RV"/>
    <s v="USD"/>
    <n v="-14351.6"/>
    <s v="83.95000"/>
    <s v="BDT"/>
    <n v="-1204816.82"/>
    <n v="-14351.6"/>
    <s v="14351.6_1"/>
    <s v=""/>
    <s v="C3147LVUS119120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1344"/>
    <x v="239"/>
    <d v="2021-05-09T00:00:00"/>
    <d v="2021-05-17T00:00:00"/>
    <s v="RV"/>
    <s v="USD"/>
    <n v="-14317.26"/>
    <s v="83.95000"/>
    <s v="BDT"/>
    <n v="-1201933.98"/>
    <n v="-14317.26"/>
    <s v="14317.26_1"/>
    <s v=""/>
    <s v="C3278LVUS0591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0835"/>
    <x v="181"/>
    <d v="2021-01-19T00:00:00"/>
    <d v="2021-01-26T00:00:00"/>
    <s v="RV"/>
    <s v="USD"/>
    <n v="-14281.29"/>
    <s v="83.95000"/>
    <s v="BDT"/>
    <n v="-1198914.3"/>
    <n v="-14281.29"/>
    <s v="14281.29_1"/>
    <s v=""/>
    <s v="C3213LVUS0049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0269"/>
    <x v="270"/>
    <d v="2020-09-14T00:00:00"/>
    <d v="2020-09-29T00:00:00"/>
    <s v="RV"/>
    <s v="USD"/>
    <n v="-14277.16"/>
    <s v="83.95000"/>
    <s v="BDT"/>
    <n v="-1198567.58"/>
    <n v="-14277.16"/>
    <s v="14277.16_1"/>
    <s v=""/>
    <s v="C3135SB20UK0830"/>
    <s v="20200914"/>
    <s v=""/>
    <s v=""/>
    <s v="0"/>
    <s v=""/>
    <s v=""/>
    <s v=""/>
    <s v=""/>
    <s v="2010100001"/>
    <s v=""/>
    <m/>
    <s v=""/>
    <s v=""/>
    <s v=""/>
    <n v="0"/>
  </r>
  <r>
    <s v=""/>
    <s v="40101001"/>
    <s v="2018000331"/>
    <x v="182"/>
    <d v="2020-10-13T00:00:00"/>
    <d v="2020-10-19T00:00:00"/>
    <s v="RV"/>
    <s v="USD"/>
    <n v="-14273.46"/>
    <s v="83.95000"/>
    <s v="BDT"/>
    <n v="-1198256.97"/>
    <n v="-14273.46"/>
    <s v="14273.46_1"/>
    <s v=""/>
    <s v="C3083LVUS093920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1477"/>
    <x v="152"/>
    <d v="2021-06-07T00:00:00"/>
    <d v="2021-06-12T00:00:00"/>
    <s v="RV"/>
    <s v="USD"/>
    <n v="-14260.82"/>
    <s v="83.95000"/>
    <s v="BDT"/>
    <n v="-1197195.8400000001"/>
    <n v="-14260.82"/>
    <s v="14260.82_1"/>
    <s v=""/>
    <s v="C3308UQ21NAG0752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748"/>
    <x v="224"/>
    <d v="2020-12-30T00:00:00"/>
    <d v="2021-01-03T00:00:00"/>
    <s v="RV"/>
    <s v="USD"/>
    <n v="-14252.11"/>
    <s v="83.95000"/>
    <s v="BDT"/>
    <n v="-1196464.6299999999"/>
    <n v="-14252.11"/>
    <s v="14252.11_1"/>
    <s v=""/>
    <s v="C3247UQ20OSA1375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407"/>
    <x v="146"/>
    <d v="2020-11-02T00:00:00"/>
    <d v="2020-11-04T00:00:00"/>
    <s v="RV"/>
    <s v="USD"/>
    <n v="-14244.78"/>
    <s v="83.95000"/>
    <s v="BDT"/>
    <n v="-1195849.27"/>
    <n v="-14244.78"/>
    <s v="14244.78_1"/>
    <s v=""/>
    <s v="C3104LVGR101420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1085"/>
    <x v="57"/>
    <d v="2021-03-18T00:00:00"/>
    <d v="2021-03-24T00:00:00"/>
    <s v="RV"/>
    <s v="USD"/>
    <n v="-14242.6"/>
    <s v="83.95000"/>
    <s v="BDT"/>
    <n v="-1195666.27"/>
    <n v="-14242.6"/>
    <s v="14242.6_1"/>
    <s v=""/>
    <s v="C3318UQ21NAG0361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1168"/>
    <x v="189"/>
    <d v="2021-03-26T00:00:00"/>
    <d v="2021-04-04T00:00:00"/>
    <s v="RV"/>
    <s v="USD"/>
    <n v="-14231.92"/>
    <s v="83.95000"/>
    <s v="BDT"/>
    <n v="-1194769.69"/>
    <n v="-14231.92"/>
    <s v="14231.92_1"/>
    <s v=""/>
    <s v="C3175AMZLB0380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297"/>
    <x v="271"/>
    <d v="2020-09-12T00:00:00"/>
    <d v="2020-10-06T00:00:00"/>
    <s v="RV"/>
    <s v="USD"/>
    <n v="-14223.17"/>
    <s v="83.95000"/>
    <s v="BDT"/>
    <n v="-1194035.1200000001"/>
    <n v="-14223.17"/>
    <s v="14223.17_1"/>
    <s v=""/>
    <s v="C3204UQ20SHA0846"/>
    <s v="20200912"/>
    <s v=""/>
    <s v=""/>
    <s v="0"/>
    <s v=""/>
    <s v=""/>
    <s v=""/>
    <s v=""/>
    <s v="2010100001"/>
    <s v=""/>
    <m/>
    <s v=""/>
    <s v=""/>
    <s v=""/>
    <n v="0"/>
  </r>
  <r>
    <s v=""/>
    <s v="40101001"/>
    <s v="2018000150"/>
    <x v="55"/>
    <d v="2020-08-19T00:00:00"/>
    <d v="2020-08-22T00:00:00"/>
    <s v="RV"/>
    <s v="USD"/>
    <n v="-14214.78"/>
    <s v="83.95000"/>
    <s v="BDT"/>
    <n v="-1193330.78"/>
    <n v="-14214.78"/>
    <s v="14214.78_1"/>
    <s v=""/>
    <s v="C3084LVGR0755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1512"/>
    <x v="88"/>
    <d v="2021-06-11T00:00:00"/>
    <d v="2021-06-17T00:00:00"/>
    <s v="RV"/>
    <s v="USD"/>
    <n v="-14161.19"/>
    <s v="83.95000"/>
    <s v="BDT"/>
    <n v="-1188831.8999999999"/>
    <n v="-14161.19"/>
    <s v="14161.19_1"/>
    <s v=""/>
    <s v="C3284LVUS070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566"/>
    <x v="75"/>
    <d v="2021-06-17T00:00:00"/>
    <d v="2021-06-24T00:00:00"/>
    <s v="RV"/>
    <s v="USD"/>
    <n v="-14132.39"/>
    <s v="83.95000"/>
    <s v="BDT"/>
    <n v="-1186414.1399999999"/>
    <n v="-14132.39"/>
    <s v="14132.39_1"/>
    <s v=""/>
    <s v="C3332LVUS0791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512"/>
    <x v="88"/>
    <d v="2021-06-11T00:00:00"/>
    <d v="2021-06-17T00:00:00"/>
    <s v="RV"/>
    <s v="USD"/>
    <n v="-14132.02"/>
    <s v="83.95000"/>
    <s v="BDT"/>
    <n v="-1186383.08"/>
    <n v="-14132.02"/>
    <s v="14132.02_1"/>
    <s v=""/>
    <s v="C3284LVUS070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232"/>
    <x v="207"/>
    <d v="2020-09-03T00:00:00"/>
    <d v="2020-09-16T00:00:00"/>
    <s v="RV"/>
    <s v="USD"/>
    <n v="-14122.69"/>
    <s v="83.95000"/>
    <s v="BDT"/>
    <n v="-1185599.83"/>
    <n v="-14122.69"/>
    <s v="14122.69_1"/>
    <s v=""/>
    <s v="C3083LVUS081020"/>
    <s v="20200903"/>
    <s v=""/>
    <s v=""/>
    <s v="0"/>
    <s v=""/>
    <s v=""/>
    <s v=""/>
    <s v=""/>
    <s v="2010100001"/>
    <s v=""/>
    <m/>
    <s v=""/>
    <s v=""/>
    <s v=""/>
    <n v="0"/>
  </r>
  <r>
    <s v=""/>
    <s v="40101001"/>
    <s v="2018001608"/>
    <x v="104"/>
    <d v="2021-06-23T00:00:00"/>
    <d v="2021-06-30T00:00:00"/>
    <s v="RV"/>
    <s v="USD"/>
    <n v="-14107.89"/>
    <s v="83.95000"/>
    <s v="BDT"/>
    <n v="-1184357.3700000001"/>
    <n v="-14107.89"/>
    <s v="14107.89_1"/>
    <s v=""/>
    <s v="C3311LVUS082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930"/>
    <x v="46"/>
    <d v="2021-02-07T00:00:00"/>
    <d v="2021-02-14T00:00:00"/>
    <s v="RV"/>
    <s v="USD"/>
    <n v="-14104.19"/>
    <s v="83.95000"/>
    <s v="BDT"/>
    <n v="-1184046.75"/>
    <n v="-14104.19"/>
    <s v="14104.19_1"/>
    <s v=""/>
    <s v="C3260UQ21OSA0155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570"/>
    <x v="104"/>
    <d v="2021-06-23T00:00:00"/>
    <d v="2021-06-24T00:00:00"/>
    <s v="RV"/>
    <s v="USD"/>
    <n v="-14084.61"/>
    <s v="83.95000"/>
    <s v="BDT"/>
    <n v="-1182403.01"/>
    <n v="-14084.61"/>
    <s v="14084.61_1"/>
    <s v=""/>
    <s v="C3270LVGR073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862"/>
    <x v="197"/>
    <d v="2021-01-23T00:00:00"/>
    <d v="2021-01-30T00:00:00"/>
    <s v="RV"/>
    <s v="USD"/>
    <n v="-14080.77"/>
    <s v="83.95000"/>
    <s v="BDT"/>
    <n v="-1182080.6399999999"/>
    <n v="-14080.77"/>
    <s v="14080.77_1"/>
    <s v=""/>
    <s v="C3246UQ21NAG0097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376"/>
    <x v="20"/>
    <d v="2021-05-14T00:00:00"/>
    <d v="2021-05-20T00:00:00"/>
    <s v="RV"/>
    <s v="USD"/>
    <n v="-14069.48"/>
    <s v="83.95000"/>
    <s v="BDT"/>
    <n v="-1181132.8500000001"/>
    <n v="-14069.48"/>
    <s v="14069.48_1"/>
    <s v=""/>
    <s v="C3316UQ21TOK0640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0604"/>
    <x v="65"/>
    <d v="2020-11-11T00:00:00"/>
    <d v="2020-12-09T00:00:00"/>
    <s v="RV"/>
    <s v="USD"/>
    <n v="-14066.99"/>
    <s v="83.95000"/>
    <s v="BDT"/>
    <n v="-1180923.81"/>
    <n v="-14066.99"/>
    <s v="14066.99_1"/>
    <s v=""/>
    <s v="C3205UQ20SHA1097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791"/>
    <x v="137"/>
    <d v="2021-01-05T00:00:00"/>
    <d v="2021-01-12T00:00:00"/>
    <s v="RV"/>
    <s v="USD"/>
    <n v="-14054.75"/>
    <s v="83.95000"/>
    <s v="BDT"/>
    <n v="-1179896.26"/>
    <n v="-14054.75"/>
    <s v="14054.75_1"/>
    <s v=""/>
    <s v="C3168UQ20NY1425"/>
    <s v="20210105"/>
    <s v=""/>
    <s v=""/>
    <s v="0"/>
    <s v=""/>
    <s v=""/>
    <s v=""/>
    <s v=""/>
    <s v="2010100001"/>
    <s v=""/>
    <m/>
    <s v=""/>
    <s v=""/>
    <s v=""/>
    <n v="0"/>
  </r>
  <r>
    <s v=""/>
    <s v="40101001"/>
    <s v="2018000207"/>
    <x v="209"/>
    <d v="2020-08-27T00:00:00"/>
    <d v="2020-09-10T00:00:00"/>
    <s v="RV"/>
    <s v="USD"/>
    <n v="-14051"/>
    <s v="83.95000"/>
    <s v="BDT"/>
    <n v="-1179581.45"/>
    <n v="-14051"/>
    <s v="14051_1"/>
    <s v=""/>
    <s v="C3135SB20UK0780"/>
    <s v="20200827"/>
    <s v=""/>
    <s v=""/>
    <s v="0"/>
    <s v=""/>
    <s v=""/>
    <s v=""/>
    <s v=""/>
    <s v="2010100001"/>
    <s v=""/>
    <m/>
    <s v=""/>
    <s v=""/>
    <s v=""/>
    <n v="0"/>
  </r>
  <r>
    <s v=""/>
    <s v="40101001"/>
    <s v="2018000655"/>
    <x v="19"/>
    <d v="2020-12-16T00:00:00"/>
    <d v="2020-12-20T00:00:00"/>
    <s v="RV"/>
    <s v="USD"/>
    <n v="-14031.55"/>
    <s v="83.95000"/>
    <s v="BDT"/>
    <n v="-1177948.6200000001"/>
    <n v="-14031.55"/>
    <s v="14031.55_1"/>
    <s v=""/>
    <s v="C3247UQ20OSA1318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1270"/>
    <x v="71"/>
    <d v="2021-04-28T00:00:00"/>
    <d v="2021-05-03T00:00:00"/>
    <s v="RV"/>
    <s v="USD"/>
    <n v="-14023.5"/>
    <s v="83.95000"/>
    <s v="BDT"/>
    <n v="-1177272.83"/>
    <n v="-14023.5"/>
    <s v="14023.5_1"/>
    <s v=""/>
    <s v="C3267LVUS0492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14019.06"/>
    <s v="83.95000"/>
    <s v="BDT"/>
    <n v="-1176900.0900000001"/>
    <n v="-14019.06"/>
    <s v="14019.06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14010.9"/>
    <s v="83.95000"/>
    <s v="BDT"/>
    <n v="-1176215.06"/>
    <n v="-14010.9"/>
    <s v="14010.9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924"/>
    <x v="203"/>
    <d v="2021-02-02T00:00:00"/>
    <d v="2021-02-14T00:00:00"/>
    <s v="RV"/>
    <s v="USD"/>
    <n v="-14000.92"/>
    <s v="83.95000"/>
    <s v="BDT"/>
    <n v="-1175377.23"/>
    <n v="-14000.92"/>
    <s v="14000.92_1"/>
    <s v=""/>
    <s v="C3248LVMX0128-21"/>
    <s v="20210202"/>
    <s v=""/>
    <s v=""/>
    <s v="0"/>
    <s v=""/>
    <s v=""/>
    <s v=""/>
    <s v=""/>
    <s v="2010100001"/>
    <s v=""/>
    <m/>
    <s v=""/>
    <s v=""/>
    <s v=""/>
    <n v="0"/>
  </r>
  <r>
    <s v=""/>
    <s v="40101001"/>
    <s v="2018000476"/>
    <x v="90"/>
    <d v="2020-11-12T00:00:00"/>
    <d v="2020-11-15T00:00:00"/>
    <s v="RV"/>
    <s v="USD"/>
    <n v="-13996.17"/>
    <s v="83.95000"/>
    <s v="BDT"/>
    <n v="-1174978.47"/>
    <n v="-13996.17"/>
    <s v="13996.17_1"/>
    <s v=""/>
    <s v="C3146LVUS110920"/>
    <s v="20201112"/>
    <s v=""/>
    <s v=""/>
    <s v="0"/>
    <s v=""/>
    <s v=""/>
    <s v=""/>
    <s v=""/>
    <s v="2010100001"/>
    <s v=""/>
    <m/>
    <s v=""/>
    <s v=""/>
    <s v=""/>
    <n v="0"/>
  </r>
  <r>
    <s v=""/>
    <s v="40101001"/>
    <s v="2018000464"/>
    <x v="54"/>
    <d v="2020-11-09T00:00:00"/>
    <d v="2020-11-14T00:00:00"/>
    <s v="RV"/>
    <s v="USD"/>
    <n v="-13992.92"/>
    <s v="83.95000"/>
    <s v="BDT"/>
    <n v="-1174705.6399999999"/>
    <n v="-13992.92"/>
    <s v="13992.92_1"/>
    <s v=""/>
    <s v="C03170US20-1044"/>
    <s v="20201109"/>
    <s v=""/>
    <s v=""/>
    <s v="0"/>
    <s v=""/>
    <s v=""/>
    <s v=""/>
    <s v=""/>
    <s v="2010100001"/>
    <s v=""/>
    <m/>
    <s v=""/>
    <s v=""/>
    <s v=""/>
    <n v="0"/>
  </r>
  <r>
    <s v=""/>
    <s v="40101012"/>
    <s v="2008000095"/>
    <x v="27"/>
    <d v="2020-11-30T00:00:00"/>
    <d v="2020-12-06T00:00:00"/>
    <s v="DR"/>
    <s v="USD"/>
    <n v="-13990.82"/>
    <s v="83.95000"/>
    <s v="BDT"/>
    <n v="-1174529.3400000001"/>
    <n v="-13990.82"/>
    <s v="13990.82_1"/>
    <s v=""/>
    <s v="CIPL-MSGL-217-20"/>
    <s v="CIPL-MSGL-217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1000"/>
    <x v="272"/>
    <d v="2021-02-23T00:00:00"/>
    <d v="2021-02-27T00:00:00"/>
    <s v="RV"/>
    <s v="USD"/>
    <n v="-13980.2"/>
    <s v="83.95000"/>
    <s v="BDT"/>
    <n v="-1173637.79"/>
    <n v="-13980.2"/>
    <s v="13980.2_1"/>
    <s v=""/>
    <s v="C3220LVUS0230-21"/>
    <s v="20210223"/>
    <s v=""/>
    <s v=""/>
    <s v="0"/>
    <s v=""/>
    <s v=""/>
    <s v=""/>
    <s v=""/>
    <s v="2010100001"/>
    <s v=""/>
    <m/>
    <s v=""/>
    <s v=""/>
    <s v=""/>
    <n v="0"/>
  </r>
  <r>
    <s v=""/>
    <s v="40101001"/>
    <s v="2018001609"/>
    <x v="104"/>
    <d v="2021-06-23T00:00:00"/>
    <d v="2021-06-30T00:00:00"/>
    <s v="RV"/>
    <s v="USD"/>
    <n v="-13959.35"/>
    <s v="83.95000"/>
    <s v="BDT"/>
    <n v="-1171887.43"/>
    <n v="-13959.35"/>
    <s v="13959.35_1"/>
    <s v=""/>
    <s v="C3311LVUS0825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989"/>
    <x v="72"/>
    <d v="2021-02-16T00:00:00"/>
    <d v="2021-02-25T00:00:00"/>
    <s v="RV"/>
    <s v="USD"/>
    <n v="-13944.28"/>
    <s v="83.95000"/>
    <s v="BDT"/>
    <n v="-1170622.31"/>
    <n v="-13944.28"/>
    <s v="13944.28_1"/>
    <s v=""/>
    <s v="C3248LVUS0198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457"/>
    <x v="253"/>
    <d v="2020-11-07T00:00:00"/>
    <d v="2020-11-14T00:00:00"/>
    <s v="RV"/>
    <s v="USD"/>
    <n v="-13899.78"/>
    <s v="83.95000"/>
    <s v="BDT"/>
    <n v="-1166886.53"/>
    <n v="-13899.78"/>
    <s v="13899.78_1"/>
    <s v=""/>
    <s v="C3210UQ20HAK1083"/>
    <s v="20201107"/>
    <s v=""/>
    <s v=""/>
    <s v="0"/>
    <s v=""/>
    <s v=""/>
    <s v=""/>
    <s v=""/>
    <s v="2010100001"/>
    <s v=""/>
    <m/>
    <s v=""/>
    <s v=""/>
    <s v=""/>
    <n v="0"/>
  </r>
  <r>
    <s v=""/>
    <s v="40101001"/>
    <s v="2018001608"/>
    <x v="104"/>
    <d v="2021-06-23T00:00:00"/>
    <d v="2021-06-30T00:00:00"/>
    <s v="RV"/>
    <s v="USD"/>
    <n v="-13870.01"/>
    <s v="83.95000"/>
    <s v="BDT"/>
    <n v="-1164387.3400000001"/>
    <n v="-13870.01"/>
    <s v="13870.01_1"/>
    <s v=""/>
    <s v="C3311LVUS082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1331"/>
    <x v="51"/>
    <d v="2021-05-08T00:00:00"/>
    <d v="2021-05-13T00:00:00"/>
    <s v="RV"/>
    <s v="USD"/>
    <n v="-13868.33"/>
    <s v="83.95000"/>
    <s v="BDT"/>
    <n v="-1164246.3"/>
    <n v="-13868.33"/>
    <s v="13868.33_1"/>
    <s v=""/>
    <s v="C3343UQ21YOK0588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13846.56"/>
    <s v="83.95000"/>
    <s v="BDT"/>
    <n v="-1162418.71"/>
    <n v="-13846.56"/>
    <s v="13846.56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622"/>
    <x v="93"/>
    <d v="2021-06-29T00:00:00"/>
    <d v="2021-07-07T00:00:00"/>
    <s v="RV"/>
    <s v="USD"/>
    <n v="-13832.88"/>
    <s v="83.95000"/>
    <s v="BDT"/>
    <n v="-1161270.28"/>
    <n v="-13832.88"/>
    <s v="13832.88_1"/>
    <s v=""/>
    <s v="C3270LVMX0787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557"/>
    <x v="90"/>
    <d v="2020-11-12T00:00:00"/>
    <d v="2020-11-30T00:00:00"/>
    <s v="RV"/>
    <s v="USD"/>
    <n v="-13804.14"/>
    <s v="83.95000"/>
    <s v="BDT"/>
    <n v="-1158857.55"/>
    <n v="-13804.14"/>
    <s v="13804.14_1"/>
    <s v=""/>
    <s v="C3140LVUS110820"/>
    <s v="20201112"/>
    <s v=""/>
    <s v=""/>
    <s v="0"/>
    <s v=""/>
    <s v=""/>
    <s v=""/>
    <s v=""/>
    <s v="2010100001"/>
    <s v=""/>
    <m/>
    <s v=""/>
    <s v=""/>
    <s v=""/>
    <n v="0"/>
  </r>
  <r>
    <s v=""/>
    <s v="40101001"/>
    <s v="2018001506"/>
    <x v="202"/>
    <d v="2021-06-06T00:00:00"/>
    <d v="2021-06-17T00:00:00"/>
    <s v="RV"/>
    <s v="USD"/>
    <n v="-13793.26"/>
    <s v="83.95000"/>
    <s v="BDT"/>
    <n v="-1157944.18"/>
    <n v="-13793.26"/>
    <s v="13793.26_1"/>
    <s v=""/>
    <s v="C3308UQ21MEL0677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094"/>
    <x v="53"/>
    <d v="2020-07-22T00:00:00"/>
    <d v="2020-08-06T00:00:00"/>
    <s v="RV"/>
    <s v="USD"/>
    <n v="-13765.64"/>
    <s v="83.95000"/>
    <s v="BDT"/>
    <n v="-1155625.48"/>
    <n v="-13765.64"/>
    <s v="13765.64_1"/>
    <s v=""/>
    <s v="C3122UQ20YAN0669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692"/>
    <x v="273"/>
    <d v="2020-12-21T00:00:00"/>
    <d v="2020-12-24T00:00:00"/>
    <s v="RV"/>
    <s v="USD"/>
    <n v="-13747.86"/>
    <s v="83.95000"/>
    <s v="BDT"/>
    <n v="-1154132.8500000001"/>
    <n v="-13747.86"/>
    <s v="13747.86_1"/>
    <s v=""/>
    <s v="C3247UQ20OSA1370"/>
    <s v="20201221"/>
    <s v=""/>
    <s v=""/>
    <s v="0"/>
    <s v=""/>
    <s v=""/>
    <s v=""/>
    <s v=""/>
    <s v="2010100001"/>
    <s v=""/>
    <m/>
    <s v=""/>
    <s v=""/>
    <s v=""/>
    <n v="0"/>
  </r>
  <r>
    <s v=""/>
    <s v="40101001"/>
    <s v="2018001335"/>
    <x v="239"/>
    <d v="2021-05-09T00:00:00"/>
    <d v="2021-05-17T00:00:00"/>
    <s v="RV"/>
    <s v="USD"/>
    <n v="-13727.98"/>
    <s v="83.95000"/>
    <s v="BDT"/>
    <n v="-1152463.92"/>
    <n v="-13727.98"/>
    <s v="13727.98_1"/>
    <s v=""/>
    <s v="C3276LVUS0600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1546"/>
    <x v="103"/>
    <d v="2021-06-18T00:00:00"/>
    <d v="2021-06-21T00:00:00"/>
    <s v="RV"/>
    <s v="USD"/>
    <n v="-13704.82"/>
    <s v="83.95000"/>
    <s v="BDT"/>
    <n v="-1150519.6399999999"/>
    <n v="-13704.82"/>
    <s v="13704.82_1"/>
    <s v=""/>
    <s v="C3333LVUS0785-21"/>
    <s v="20210618"/>
    <s v=""/>
    <s v=""/>
    <s v="0"/>
    <s v=""/>
    <s v=""/>
    <s v=""/>
    <s v=""/>
    <s v="2010100001"/>
    <s v=""/>
    <m/>
    <s v=""/>
    <s v=""/>
    <s v=""/>
    <n v="0"/>
  </r>
  <r>
    <s v=""/>
    <s v="40101001"/>
    <s v="2018000587"/>
    <x v="153"/>
    <d v="2020-11-28T00:00:00"/>
    <d v="2020-12-03T00:00:00"/>
    <s v="RV"/>
    <s v="USD"/>
    <n v="-13683.62"/>
    <s v="83.95000"/>
    <s v="BDT"/>
    <n v="-1148739.8999999999"/>
    <n v="-13683.62"/>
    <s v="13683.62_1"/>
    <s v=""/>
    <s v="C3102LVUS1189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1498"/>
    <x v="127"/>
    <d v="2021-06-04T00:00:00"/>
    <d v="2021-06-17T00:00:00"/>
    <s v="RV"/>
    <s v="USD"/>
    <n v="-13680.21"/>
    <s v="83.95000"/>
    <s v="BDT"/>
    <n v="-1148453.6299999999"/>
    <n v="-13680.21"/>
    <s v="13680.21_1"/>
    <s v=""/>
    <s v="C3284LVCA0704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1306"/>
    <x v="94"/>
    <d v="2021-05-07T00:00:00"/>
    <d v="2021-05-10T00:00:00"/>
    <s v="RV"/>
    <s v="USD"/>
    <n v="-13662.11"/>
    <s v="83.95000"/>
    <s v="BDT"/>
    <n v="-1146934.1299999999"/>
    <n v="-13662.11"/>
    <s v="13662.11_1"/>
    <s v=""/>
    <s v="C3286LVUS0561-21"/>
    <s v="20210507"/>
    <s v=""/>
    <s v=""/>
    <s v="0"/>
    <s v=""/>
    <s v=""/>
    <s v=""/>
    <s v=""/>
    <s v="2010100001"/>
    <s v=""/>
    <m/>
    <s v=""/>
    <s v=""/>
    <s v=""/>
    <n v="0"/>
  </r>
  <r>
    <s v=""/>
    <s v="40101001"/>
    <s v="2018000192"/>
    <x v="207"/>
    <d v="2020-09-03T00:00:00"/>
    <d v="2020-09-08T00:00:00"/>
    <s v="RV"/>
    <s v="USD"/>
    <n v="-13632.68"/>
    <s v="83.95000"/>
    <s v="BDT"/>
    <n v="-1144463.49"/>
    <n v="-13632.68"/>
    <s v="13632.68_1"/>
    <s v=""/>
    <s v="C3083LVUS081120"/>
    <s v="20200903"/>
    <s v=""/>
    <s v=""/>
    <s v="0"/>
    <s v=""/>
    <s v=""/>
    <s v=""/>
    <s v=""/>
    <s v="2010100001"/>
    <s v=""/>
    <m/>
    <s v=""/>
    <s v=""/>
    <s v=""/>
    <n v="0"/>
  </r>
  <r>
    <s v=""/>
    <s v="40101001"/>
    <s v="2018001112"/>
    <x v="89"/>
    <d v="2021-03-21T00:00:00"/>
    <d v="2021-03-28T00:00:00"/>
    <s v="RV"/>
    <s v="USD"/>
    <n v="-13626.28"/>
    <s v="83.95000"/>
    <s v="BDT"/>
    <n v="-1143926.21"/>
    <n v="-13626.28"/>
    <s v="13626.28_1"/>
    <s v=""/>
    <s v="C3223LVUS0308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733"/>
    <x v="178"/>
    <d v="2020-12-23T00:00:00"/>
    <d v="2021-01-02T00:00:00"/>
    <s v="RV"/>
    <s v="USD"/>
    <n v="-13604.85"/>
    <s v="83.95000"/>
    <s v="BDT"/>
    <n v="-1142127.1599999999"/>
    <n v="-13604.85"/>
    <s v="13604.85_1"/>
    <s v=""/>
    <s v="C3143LVGR1298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448"/>
    <x v="110"/>
    <d v="2020-11-08T00:00:00"/>
    <d v="2020-11-11T00:00:00"/>
    <s v="RV"/>
    <s v="USD"/>
    <n v="-13599.78"/>
    <s v="83.95000"/>
    <s v="BDT"/>
    <n v="-1141701.53"/>
    <n v="-13599.78"/>
    <s v="13599.78_1"/>
    <s v=""/>
    <s v="C3207UQ20NAG108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767"/>
    <x v="178"/>
    <d v="2020-12-23T00:00:00"/>
    <d v="2021-01-06T00:00:00"/>
    <s v="RV"/>
    <s v="USD"/>
    <n v="-13599.32"/>
    <s v="83.95000"/>
    <s v="BDT"/>
    <n v="-1141662.9099999999"/>
    <n v="-13599.32"/>
    <s v="13599.32_1"/>
    <s v=""/>
    <s v="C3140LVUS1353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13596.64"/>
    <s v="83.95000"/>
    <s v="BDT"/>
    <n v="-1141437.93"/>
    <n v="-13596.64"/>
    <s v="13596.64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1109"/>
    <x v="89"/>
    <d v="2021-03-21T00:00:00"/>
    <d v="2021-03-25T00:00:00"/>
    <s v="RV"/>
    <s v="USD"/>
    <n v="-13595.44"/>
    <s v="83.95000"/>
    <s v="BDT"/>
    <n v="-1141337.19"/>
    <n v="-13595.44"/>
    <s v="13595.44_1"/>
    <s v=""/>
    <s v="C3262LVUS0309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088"/>
    <x v="139"/>
    <d v="2020-07-27T00:00:00"/>
    <d v="2020-07-30T00:00:00"/>
    <s v="RV"/>
    <s v="USD"/>
    <n v="-13555.05"/>
    <s v="83.95000"/>
    <s v="BDT"/>
    <n v="-1137946.45"/>
    <n v="-13555.05"/>
    <s v="13555.05_1"/>
    <s v=""/>
    <s v="C3064LVUS068020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13550.59"/>
    <s v="83.95000"/>
    <s v="BDT"/>
    <n v="-1137572.03"/>
    <n v="-13550.59"/>
    <s v="13550.59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141"/>
    <x v="141"/>
    <d v="2021-03-25T00:00:00"/>
    <d v="2021-03-31T00:00:00"/>
    <s v="RV"/>
    <s v="USD"/>
    <n v="-13548.6"/>
    <s v="83.95000"/>
    <s v="BDT"/>
    <n v="-1137404.97"/>
    <n v="-13548.6"/>
    <s v="13548.6_1"/>
    <s v=""/>
    <s v="C3261C&amp;A21GR0384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0739"/>
    <x v="155"/>
    <d v="2020-12-17T00:00:00"/>
    <d v="2021-01-03T00:00:00"/>
    <s v="RV"/>
    <s v="USD"/>
    <n v="-13539.5"/>
    <s v="83.95000"/>
    <s v="BDT"/>
    <n v="-1136641.03"/>
    <n v="-13539.5"/>
    <s v="13539.5_1"/>
    <s v=""/>
    <s v="C3218LVUS1308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274"/>
    <x v="77"/>
    <d v="2020-09-06T00:00:00"/>
    <d v="2020-09-30T00:00:00"/>
    <s v="RV"/>
    <s v="USD"/>
    <n v="-13527.89"/>
    <s v="83.95000"/>
    <s v="BDT"/>
    <n v="-1135666.3600000001"/>
    <n v="-13527.89"/>
    <s v="13527.89_1"/>
    <s v=""/>
    <s v="C3155UQ20YAN0821"/>
    <s v="20200906"/>
    <s v=""/>
    <s v=""/>
    <s v="0"/>
    <s v=""/>
    <s v=""/>
    <s v=""/>
    <s v=""/>
    <s v="2010100001"/>
    <s v=""/>
    <m/>
    <s v=""/>
    <s v=""/>
    <s v=""/>
    <n v="0"/>
  </r>
  <r>
    <s v=""/>
    <s v="40101001"/>
    <s v="2018000365"/>
    <x v="98"/>
    <d v="2020-10-21T00:00:00"/>
    <d v="2020-10-28T00:00:00"/>
    <s v="RV"/>
    <s v="USD"/>
    <n v="-13515.48"/>
    <s v="83.95000"/>
    <s v="BDT"/>
    <n v="-1134624.55"/>
    <n v="-13515.48"/>
    <s v="13515.48_1"/>
    <s v=""/>
    <s v="C3102LVUS0989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083"/>
    <x v="41"/>
    <d v="2020-07-26T00:00:00"/>
    <d v="2020-07-29T00:00:00"/>
    <s v="RV"/>
    <s v="USD"/>
    <n v="-13506.6"/>
    <s v="83.95000"/>
    <s v="BDT"/>
    <n v="-1133879.07"/>
    <n v="-13506.6"/>
    <s v="13506.6_1"/>
    <s v=""/>
    <s v="C3117UQ20SYD0659"/>
    <s v="20200726"/>
    <s v=""/>
    <s v=""/>
    <s v="0"/>
    <s v=""/>
    <s v=""/>
    <s v=""/>
    <s v=""/>
    <s v="2010100001"/>
    <s v=""/>
    <m/>
    <s v=""/>
    <s v=""/>
    <s v=""/>
    <n v="0"/>
  </r>
  <r>
    <s v=""/>
    <s v="40101001"/>
    <s v="2018000110"/>
    <x v="1"/>
    <d v="2020-07-30T00:00:00"/>
    <d v="2020-08-10T00:00:00"/>
    <s v="RV"/>
    <s v="USD"/>
    <n v="-13465.4"/>
    <s v="83.95000"/>
    <s v="BDT"/>
    <n v="-1130420.33"/>
    <n v="-13465.4"/>
    <s v="13465.4_1"/>
    <s v=""/>
    <s v="C3128UQ20HAK0710"/>
    <s v="20200730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3458.92"/>
    <s v="83.95000"/>
    <s v="BDT"/>
    <n v="-1129876.33"/>
    <n v="-13458.92"/>
    <s v="13458.92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097"/>
    <x v="53"/>
    <d v="2020-07-22T00:00:00"/>
    <d v="2020-08-06T00:00:00"/>
    <s v="RV"/>
    <s v="USD"/>
    <n v="-13454.24"/>
    <s v="83.95000"/>
    <s v="BDT"/>
    <n v="-1129483.45"/>
    <n v="-13454.24"/>
    <s v="13454.24_1"/>
    <s v=""/>
    <s v="C3064LVUS064820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622"/>
    <x v="225"/>
    <d v="2020-12-08T00:00:00"/>
    <d v="2020-12-13T00:00:00"/>
    <s v="RV"/>
    <s v="USD"/>
    <n v="-13453.8"/>
    <s v="83.95000"/>
    <s v="BDT"/>
    <n v="-1129446.51"/>
    <n v="-13453.8"/>
    <s v="13453.8_1"/>
    <s v=""/>
    <s v="C3218LVUS1265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331"/>
    <x v="182"/>
    <d v="2020-10-13T00:00:00"/>
    <d v="2020-10-19T00:00:00"/>
    <s v="RV"/>
    <s v="USD"/>
    <n v="-13437.67"/>
    <s v="83.95000"/>
    <s v="BDT"/>
    <n v="-1128092.3999999999"/>
    <n v="-13437.67"/>
    <s v="13437.67_1"/>
    <s v=""/>
    <s v="C3083LVUS093920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0461"/>
    <x v="110"/>
    <d v="2020-11-08T00:00:00"/>
    <d v="2020-11-14T00:00:00"/>
    <s v="RV"/>
    <s v="USD"/>
    <n v="-13424.08"/>
    <s v="83.95000"/>
    <s v="BDT"/>
    <n v="-1126951.52"/>
    <n v="-13424.08"/>
    <s v="13424.08_1"/>
    <s v=""/>
    <s v="C3104LVGR10612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13419.4"/>
    <s v="83.95000"/>
    <s v="BDT"/>
    <n v="-1126558.6299999999"/>
    <n v="-13419.4"/>
    <s v="13419.4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3396.49"/>
    <s v="83.95000"/>
    <s v="BDT"/>
    <n v="-1124635.3400000001"/>
    <n v="-13396.49"/>
    <s v="13396.49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455"/>
    <x v="196"/>
    <d v="2021-06-05T00:00:00"/>
    <d v="2021-06-09T00:00:00"/>
    <s v="RV"/>
    <s v="USD"/>
    <n v="-13393.62"/>
    <s v="83.95000"/>
    <s v="BDT"/>
    <n v="-1124394.3999999999"/>
    <n v="-13393.62"/>
    <s v="13393.62_1"/>
    <s v=""/>
    <s v="C3329UQ21MEL0667"/>
    <s v="20210605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13383.67"/>
    <s v="83.95000"/>
    <s v="BDT"/>
    <n v="-1123559.1000000001"/>
    <n v="-13383.67"/>
    <s v="13383.67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034"/>
    <x v="113"/>
    <d v="2020-07-02T00:00:00"/>
    <d v="2020-07-18T00:00:00"/>
    <s v="RV"/>
    <s v="USD"/>
    <n v="-13380.08"/>
    <s v="83.95000"/>
    <s v="BDT"/>
    <n v="-1123257.72"/>
    <n v="-13380.08"/>
    <s v="13380.08_1"/>
    <s v=""/>
    <s v="C3128UQ20SHA0535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0071"/>
    <x v="274"/>
    <d v="2020-07-24T00:00:00"/>
    <d v="2020-07-28T00:00:00"/>
    <s v="RV"/>
    <s v="USD"/>
    <n v="-13349.81"/>
    <s v="83.95000"/>
    <s v="BDT"/>
    <n v="-1120716.55"/>
    <n v="-13349.81"/>
    <s v="13349.81_1"/>
    <s v=""/>
    <s v="C3128UQ20HAK0655"/>
    <s v="20200724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13347.65"/>
    <s v="83.95000"/>
    <s v="BDT"/>
    <n v="-1120535.22"/>
    <n v="-13347.65"/>
    <s v="13347.65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3325.14"/>
    <s v="83.95000"/>
    <s v="BDT"/>
    <n v="-1118645.5"/>
    <n v="-13325.14"/>
    <s v="13325.14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808"/>
    <x v="42"/>
    <d v="2021-01-14T00:00:00"/>
    <d v="2021-01-20T00:00:00"/>
    <s v="RV"/>
    <s v="USD"/>
    <n v="-13320.47"/>
    <s v="83.95000"/>
    <s v="BDT"/>
    <n v="-1118253.46"/>
    <n v="-13320.47"/>
    <s v="13320.47_1"/>
    <s v=""/>
    <s v="C3253UQ21SEN0022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13313.38"/>
    <s v="83.95000"/>
    <s v="BDT"/>
    <n v="-1117658.24"/>
    <n v="-13313.38"/>
    <s v="13313.38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092"/>
    <x v="57"/>
    <d v="2021-03-18T00:00:00"/>
    <d v="2021-03-24T00:00:00"/>
    <s v="RV"/>
    <s v="USD"/>
    <n v="-13308.66"/>
    <s v="83.95000"/>
    <s v="BDT"/>
    <n v="-1117262.01"/>
    <n v="-13308.66"/>
    <s v="13308.66_1"/>
    <s v=""/>
    <s v="C3318UQ21HAK0325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1258"/>
    <x v="192"/>
    <d v="2021-04-25T00:00:00"/>
    <d v="2021-04-29T00:00:00"/>
    <s v="RV"/>
    <s v="USD"/>
    <n v="-13308.14"/>
    <s v="83.95000"/>
    <s v="BDT"/>
    <n v="-1117218.3500000001"/>
    <n v="-13308.14"/>
    <s v="13308.14_1"/>
    <s v=""/>
    <s v="C3279LVUS0475-21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0214"/>
    <x v="40"/>
    <d v="2020-09-08T00:00:00"/>
    <d v="2020-09-12T00:00:00"/>
    <s v="RV"/>
    <s v="USD"/>
    <n v="-13298.25"/>
    <s v="83.95000"/>
    <s v="BDT"/>
    <n v="-1116388.0900000001"/>
    <n v="-13298.25"/>
    <s v="13298.25_1"/>
    <s v=""/>
    <s v="C3154UQ20NAG0779"/>
    <s v="20200908"/>
    <s v=""/>
    <s v=""/>
    <s v="0"/>
    <s v=""/>
    <s v=""/>
    <s v=""/>
    <s v=""/>
    <s v="2010100001"/>
    <s v=""/>
    <m/>
    <s v=""/>
    <s v=""/>
    <s v=""/>
    <n v="0"/>
  </r>
  <r>
    <s v=""/>
    <s v="40101012"/>
    <s v="2008000068"/>
    <x v="23"/>
    <d v="2020-10-31T00:00:00"/>
    <d v="2020-11-08T00:00:00"/>
    <s v="DR"/>
    <s v="USD"/>
    <n v="-13289.72"/>
    <s v="83.95000"/>
    <s v="BDT"/>
    <n v="-1115671.99"/>
    <n v="-13289.72"/>
    <s v="13289.72_1"/>
    <s v=""/>
    <s v="CIPL-MSGL-214-20"/>
    <s v="CIPL-MSGL-214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043"/>
    <x v="275"/>
    <d v="2020-07-14T00:00:00"/>
    <d v="2020-07-20T00:00:00"/>
    <s v="RV"/>
    <s v="USD"/>
    <n v="-13282.35"/>
    <s v="83.95000"/>
    <s v="BDT"/>
    <n v="-1115053.28"/>
    <n v="-13282.35"/>
    <s v="13282.35_1"/>
    <s v=""/>
    <s v="C3064LVUS062020"/>
    <s v="20200714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3262.7"/>
    <s v="83.95000"/>
    <s v="BDT"/>
    <n v="-1113403.67"/>
    <n v="-13262.7"/>
    <s v="13262.7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161"/>
    <x v="189"/>
    <d v="2021-03-26T00:00:00"/>
    <d v="2021-04-01T00:00:00"/>
    <s v="RV"/>
    <s v="USD"/>
    <n v="-13252.54"/>
    <s v="83.95000"/>
    <s v="BDT"/>
    <n v="-1112550.73"/>
    <n v="-13252.54"/>
    <s v="13252.54_1"/>
    <s v=""/>
    <s v="C3290UQ21HAK0395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411"/>
    <x v="157"/>
    <d v="2021-05-19T00:00:00"/>
    <d v="2021-05-25T00:00:00"/>
    <s v="RV"/>
    <s v="USD"/>
    <n v="-13248.61"/>
    <s v="83.95000"/>
    <s v="BDT"/>
    <n v="-1112220.81"/>
    <n v="-13248.61"/>
    <s v="13248.61_1"/>
    <s v=""/>
    <s v="C3195AMZLB068221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0331"/>
    <x v="182"/>
    <d v="2020-10-13T00:00:00"/>
    <d v="2020-10-19T00:00:00"/>
    <s v="RV"/>
    <s v="USD"/>
    <n v="-13245.93"/>
    <s v="83.95000"/>
    <s v="BDT"/>
    <n v="-1111995.82"/>
    <n v="-13245.93"/>
    <s v="13245.93_1"/>
    <s v=""/>
    <s v="C3083LVUS093920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1570"/>
    <x v="104"/>
    <d v="2021-06-23T00:00:00"/>
    <d v="2021-06-24T00:00:00"/>
    <s v="RV"/>
    <s v="USD"/>
    <n v="-13239.31"/>
    <s v="83.95000"/>
    <s v="BDT"/>
    <n v="-1111440.07"/>
    <n v="-13239.31"/>
    <s v="13239.31_1"/>
    <s v=""/>
    <s v="C3270LVGR073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748"/>
    <x v="224"/>
    <d v="2020-12-30T00:00:00"/>
    <d v="2021-01-03T00:00:00"/>
    <s v="RV"/>
    <s v="USD"/>
    <n v="-13234.1"/>
    <s v="83.95000"/>
    <s v="BDT"/>
    <n v="-1111002.7"/>
    <n v="-13234.1"/>
    <s v="13234.1_1"/>
    <s v=""/>
    <s v="C3247UQ20OSA1375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1172"/>
    <x v="189"/>
    <d v="2021-03-26T00:00:00"/>
    <d v="2021-04-04T00:00:00"/>
    <s v="RV"/>
    <s v="USD"/>
    <n v="-13227.74"/>
    <s v="83.95000"/>
    <s v="BDT"/>
    <n v="-1110468.78"/>
    <n v="-13227.74"/>
    <s v="13227.74_1"/>
    <s v=""/>
    <s v="C3173AMZLB0362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247"/>
    <x v="133"/>
    <d v="2020-09-21T00:00:00"/>
    <d v="2020-09-24T00:00:00"/>
    <s v="RV"/>
    <s v="USD"/>
    <n v="-13220.69"/>
    <s v="83.95000"/>
    <s v="BDT"/>
    <n v="-1109876.93"/>
    <n v="-13220.69"/>
    <s v="13220.69_1"/>
    <s v=""/>
    <s v="C3156DC20US0871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178"/>
    <x v="120"/>
    <d v="2020-08-26T00:00:00"/>
    <d v="2020-09-02T00:00:00"/>
    <s v="RV"/>
    <s v="USD"/>
    <n v="-13216.73"/>
    <s v="83.95000"/>
    <s v="BDT"/>
    <n v="-1109544.48"/>
    <n v="-13216.73"/>
    <s v="13216.73_1"/>
    <s v=""/>
    <s v="C3068LVCL080120"/>
    <s v="20200826"/>
    <s v=""/>
    <s v=""/>
    <s v="0"/>
    <s v=""/>
    <s v=""/>
    <s v=""/>
    <s v=""/>
    <s v="2010100001"/>
    <s v=""/>
    <m/>
    <s v=""/>
    <s v=""/>
    <s v=""/>
    <n v="0"/>
  </r>
  <r>
    <s v=""/>
    <s v="40101001"/>
    <s v="2018001245"/>
    <x v="48"/>
    <d v="2021-04-20T00:00:00"/>
    <d v="2021-04-25T00:00:00"/>
    <s v="RV"/>
    <s v="USD"/>
    <n v="-13211.1"/>
    <s v="83.95000"/>
    <s v="BDT"/>
    <n v="-1109071.8500000001"/>
    <n v="-13211.1"/>
    <s v="13211.1_1"/>
    <s v=""/>
    <s v="C3343UQ21OSA0483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0739"/>
    <x v="155"/>
    <d v="2020-12-17T00:00:00"/>
    <d v="2021-01-03T00:00:00"/>
    <s v="RV"/>
    <s v="USD"/>
    <n v="-13185.96"/>
    <s v="83.95000"/>
    <s v="BDT"/>
    <n v="-1106961.33"/>
    <n v="-13185.96"/>
    <s v="13185.96_1"/>
    <s v=""/>
    <s v="C3218LVUS1308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191"/>
    <x v="177"/>
    <d v="2021-03-23T00:00:00"/>
    <d v="2021-04-06T00:00:00"/>
    <s v="RV"/>
    <s v="USD"/>
    <n v="-13183.28"/>
    <s v="83.95000"/>
    <s v="BDT"/>
    <n v="-1106736.3600000001"/>
    <n v="-13183.28"/>
    <s v="13183.28_1"/>
    <s v=""/>
    <s v="C3274UQ21MEL0324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396"/>
    <x v="98"/>
    <d v="2020-10-21T00:00:00"/>
    <d v="2020-11-03T00:00:00"/>
    <s v="RV"/>
    <s v="USD"/>
    <n v="-13162.31"/>
    <s v="83.95000"/>
    <s v="BDT"/>
    <n v="-1104975.92"/>
    <n v="-13162.31"/>
    <s v="13162.31_1"/>
    <s v=""/>
    <s v="C03139DN20IR0979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207"/>
    <x v="209"/>
    <d v="2020-08-27T00:00:00"/>
    <d v="2020-09-10T00:00:00"/>
    <s v="RV"/>
    <s v="USD"/>
    <n v="-13148.35"/>
    <s v="83.95000"/>
    <s v="BDT"/>
    <n v="-1103803.98"/>
    <n v="-13148.35"/>
    <s v="13148.35_1"/>
    <s v=""/>
    <s v="C3135SB20UK0780"/>
    <s v="20200827"/>
    <s v=""/>
    <s v=""/>
    <s v="0"/>
    <s v=""/>
    <s v=""/>
    <s v=""/>
    <s v=""/>
    <s v="2010100001"/>
    <s v=""/>
    <m/>
    <s v=""/>
    <s v=""/>
    <s v=""/>
    <n v="0"/>
  </r>
  <r>
    <s v=""/>
    <s v="40101001"/>
    <s v="2018001551"/>
    <x v="75"/>
    <d v="2021-06-17T00:00:00"/>
    <d v="2021-06-23T00:00:00"/>
    <s v="RV"/>
    <s v="USD"/>
    <n v="-13126.41"/>
    <s v="83.95000"/>
    <s v="BDT"/>
    <n v="-1101962.1200000001"/>
    <n v="-13126.41"/>
    <s v="13126.41_1"/>
    <s v=""/>
    <s v="C3329UQ21NAG0807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516"/>
    <x v="76"/>
    <d v="2020-11-19T00:00:00"/>
    <d v="2020-11-24T00:00:00"/>
    <s v="RV"/>
    <s v="USD"/>
    <n v="-13099.79"/>
    <s v="83.95000"/>
    <s v="BDT"/>
    <n v="-1099727.3700000001"/>
    <n v="-13099.79"/>
    <s v="13099.79_1"/>
    <s v=""/>
    <s v="C3210UQ20OSA1164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1253"/>
    <x v="232"/>
    <d v="2021-04-21T00:00:00"/>
    <d v="2021-04-27T00:00:00"/>
    <s v="RV"/>
    <s v="USD"/>
    <n v="-13084.66"/>
    <s v="83.95000"/>
    <s v="BDT"/>
    <n v="-1098457.21"/>
    <n v="-13084.66"/>
    <s v="13084.66_1"/>
    <s v=""/>
    <s v="C3286LVMX0493-21"/>
    <s v="20210421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13076.59"/>
    <s v="83.95000"/>
    <s v="BDT"/>
    <n v="-1097779.73"/>
    <n v="-13076.59"/>
    <s v="13076.59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014"/>
    <x v="117"/>
    <d v="2020-07-11T00:00:00"/>
    <d v="2020-07-15T00:00:00"/>
    <s v="RV"/>
    <s v="USD"/>
    <n v="-13039.71"/>
    <s v="83.95000"/>
    <s v="BDT"/>
    <n v="-1094683.6499999999"/>
    <n v="-13039.71"/>
    <s v="13039.71_1"/>
    <s v=""/>
    <s v="C3067LVCA059320"/>
    <s v="20200711"/>
    <s v=""/>
    <s v=""/>
    <s v="0"/>
    <s v=""/>
    <s v=""/>
    <s v=""/>
    <s v=""/>
    <s v="2010100001"/>
    <s v=""/>
    <m/>
    <s v=""/>
    <s v=""/>
    <s v=""/>
    <n v="0"/>
  </r>
  <r>
    <s v=""/>
    <s v="40101001"/>
    <s v="2018000615"/>
    <x v="214"/>
    <d v="2020-12-01T00:00:00"/>
    <d v="2020-12-09T00:00:00"/>
    <s v="RV"/>
    <s v="USD"/>
    <n v="-13021.94"/>
    <s v="83.95000"/>
    <s v="BDT"/>
    <n v="-1093191.8600000001"/>
    <n v="-13021.94"/>
    <s v="13021.94_1"/>
    <s v=""/>
    <s v="C3231UQ20SG1247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08000199"/>
    <x v="145"/>
    <d v="2021-03-06T00:00:00"/>
    <d v="2021-03-17T00:00:00"/>
    <s v="DR"/>
    <s v="USD"/>
    <n v="-13002.2"/>
    <s v="83.95000"/>
    <s v="BDT"/>
    <n v="-1091534.69"/>
    <n v="-13002.2"/>
    <s v="13002.2_1"/>
    <s v=""/>
    <s v="CIPLKERA21GR0247"/>
    <s v="CIPLKERA21GR0247"/>
    <s v="Stocklot sales to EDL HK"/>
    <s v=""/>
    <s v="0"/>
    <s v="Stocklot sales to EDL HK"/>
    <s v=""/>
    <s v=""/>
    <s v=""/>
    <s v="2010100001"/>
    <s v=""/>
    <m/>
    <s v=""/>
    <s v=""/>
    <s v=""/>
    <n v="0"/>
  </r>
  <r>
    <s v=""/>
    <s v="40101001"/>
    <s v="2018001351"/>
    <x v="51"/>
    <d v="2021-05-08T00:00:00"/>
    <d v="2021-05-17T00:00:00"/>
    <s v="RV"/>
    <s v="USD"/>
    <n v="-12998.85"/>
    <s v="83.95000"/>
    <s v="BDT"/>
    <n v="-1091253.44"/>
    <n v="-12998.85"/>
    <s v="12998.85_1"/>
    <s v=""/>
    <s v="C3189AMZLB0580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091"/>
    <x v="139"/>
    <d v="2020-07-27T00:00:00"/>
    <d v="2020-07-30T00:00:00"/>
    <s v="RV"/>
    <s v="USD"/>
    <n v="-12988.54"/>
    <s v="83.95000"/>
    <s v="BDT"/>
    <n v="-1090387.93"/>
    <n v="-12988.54"/>
    <s v="12988.54_1"/>
    <s v=""/>
    <s v="C3122UQ20KR0676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1372"/>
    <x v="20"/>
    <d v="2021-05-14T00:00:00"/>
    <d v="2021-05-20T00:00:00"/>
    <s v="RV"/>
    <s v="USD"/>
    <n v="-12987.22"/>
    <s v="83.95000"/>
    <s v="BDT"/>
    <n v="-1090277.1200000001"/>
    <n v="-12987.22"/>
    <s v="12987.22_1"/>
    <s v=""/>
    <s v="C3316UQ21OSA0632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0622"/>
    <x v="225"/>
    <d v="2020-12-08T00:00:00"/>
    <d v="2020-12-13T00:00:00"/>
    <s v="RV"/>
    <s v="USD"/>
    <n v="-12983.85"/>
    <s v="83.95000"/>
    <s v="BDT"/>
    <n v="-1089994.2"/>
    <n v="-12983.85"/>
    <s v="12983.85_1"/>
    <s v=""/>
    <s v="C3218LVUS1265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778"/>
    <x v="245"/>
    <d v="2020-12-19T00:00:00"/>
    <d v="2021-01-06T00:00:00"/>
    <s v="RV"/>
    <s v="USD"/>
    <n v="-12981.7"/>
    <s v="83.95000"/>
    <s v="BDT"/>
    <n v="-1089813.72"/>
    <n v="-12981.7"/>
    <s v="12981.7_1"/>
    <s v=""/>
    <s v="C3168UQ20TOM1256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12955"/>
    <s v="83.95000"/>
    <s v="BDT"/>
    <n v="-1087572.25"/>
    <n v="-12955"/>
    <s v="12955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1116"/>
    <x v="177"/>
    <d v="2021-03-23T00:00:00"/>
    <d v="2021-03-28T00:00:00"/>
    <s v="RV"/>
    <s v="USD"/>
    <n v="-12943.47"/>
    <s v="83.95000"/>
    <s v="BDT"/>
    <n v="-1086604.31"/>
    <n v="-12943.47"/>
    <s v="12943.47_1"/>
    <s v=""/>
    <s v="C3173AMZLB0363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522"/>
    <x v="115"/>
    <d v="2020-11-15T00:00:00"/>
    <d v="2020-11-24T00:00:00"/>
    <s v="RV"/>
    <s v="USD"/>
    <n v="-12922.57"/>
    <s v="83.95000"/>
    <s v="BDT"/>
    <n v="-1084849.76"/>
    <n v="-12922.57"/>
    <s v="12922.57_1"/>
    <s v=""/>
    <s v="C3147LVGR115220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0097"/>
    <x v="53"/>
    <d v="2020-07-22T00:00:00"/>
    <d v="2020-08-06T00:00:00"/>
    <s v="RV"/>
    <s v="USD"/>
    <n v="-12916.61"/>
    <s v="83.95000"/>
    <s v="BDT"/>
    <n v="-1084349.4099999999"/>
    <n v="-12916.61"/>
    <s v="12916.61_1"/>
    <s v=""/>
    <s v="C3064LVUS064820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565"/>
    <x v="75"/>
    <d v="2021-06-17T00:00:00"/>
    <d v="2021-06-24T00:00:00"/>
    <s v="RV"/>
    <s v="USD"/>
    <n v="-12916.57"/>
    <s v="83.95000"/>
    <s v="BDT"/>
    <n v="-1084346.05"/>
    <n v="-12916.57"/>
    <s v="12916.57_1"/>
    <s v=""/>
    <s v="C3335LVUS0786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343"/>
    <x v="239"/>
    <d v="2021-05-09T00:00:00"/>
    <d v="2021-05-17T00:00:00"/>
    <s v="RV"/>
    <s v="USD"/>
    <n v="-12911.22"/>
    <s v="83.95000"/>
    <s v="BDT"/>
    <n v="-1083896.92"/>
    <n v="-12911.22"/>
    <s v="12911.22_1"/>
    <s v=""/>
    <s v="C3278LVUS0592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12905.59"/>
    <s v="83.95000"/>
    <s v="BDT"/>
    <n v="-1083424.28"/>
    <n v="-12905.59"/>
    <s v="12905.59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0979"/>
    <x v="72"/>
    <d v="2021-02-16T00:00:00"/>
    <d v="2021-02-22T00:00:00"/>
    <s v="RV"/>
    <s v="USD"/>
    <n v="-12890.41"/>
    <s v="83.95000"/>
    <s v="BDT"/>
    <n v="-1082149.92"/>
    <n v="-12890.41"/>
    <s v="12890.41_1"/>
    <s v=""/>
    <s v="C3291UQ21TW0209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780"/>
    <x v="245"/>
    <d v="2020-12-19T00:00:00"/>
    <d v="2021-01-06T00:00:00"/>
    <s v="RV"/>
    <s v="USD"/>
    <n v="-12888.96"/>
    <s v="83.95000"/>
    <s v="BDT"/>
    <n v="-1082028.2"/>
    <n v="-12888.96"/>
    <s v="12888.96_1"/>
    <s v=""/>
    <s v="C3207UQ20TOK1315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0461"/>
    <x v="110"/>
    <d v="2020-11-08T00:00:00"/>
    <d v="2020-11-14T00:00:00"/>
    <s v="RV"/>
    <s v="USD"/>
    <n v="-12884.33"/>
    <s v="83.95000"/>
    <s v="BDT"/>
    <n v="-1081639.5"/>
    <n v="-12884.33"/>
    <s v="12884.33_1"/>
    <s v=""/>
    <s v="C3104LVGR10612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345"/>
    <x v="7"/>
    <d v="2020-10-19T00:00:00"/>
    <d v="2020-10-22T00:00:00"/>
    <s v="RV"/>
    <s v="USD"/>
    <n v="-12875.58"/>
    <s v="83.95000"/>
    <s v="BDT"/>
    <n v="-1080904.94"/>
    <n v="-12875.58"/>
    <s v="12875.58_1"/>
    <s v=""/>
    <s v="C03170US20-0960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12853.76"/>
    <s v="83.95000"/>
    <s v="BDT"/>
    <n v="-1079073.1499999999"/>
    <n v="-12853.76"/>
    <s v="12853.76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1245"/>
    <x v="48"/>
    <d v="2021-04-20T00:00:00"/>
    <d v="2021-04-25T00:00:00"/>
    <s v="RV"/>
    <s v="USD"/>
    <n v="-12833.64"/>
    <s v="83.95000"/>
    <s v="BDT"/>
    <n v="-1077384.07"/>
    <n v="-12833.64"/>
    <s v="12833.64_1"/>
    <s v=""/>
    <s v="C3343UQ21OSA0483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0074"/>
    <x v="53"/>
    <d v="2020-07-22T00:00:00"/>
    <d v="2020-07-28T00:00:00"/>
    <s v="RV"/>
    <s v="USD"/>
    <n v="-12821.46"/>
    <s v="83.95000"/>
    <s v="BDT"/>
    <n v="-1076361.57"/>
    <n v="-12821.46"/>
    <s v="12821.46_1"/>
    <s v=""/>
    <s v="C3131UQ20SHA0663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396"/>
    <x v="51"/>
    <d v="2021-05-08T00:00:00"/>
    <d v="2021-05-24T00:00:00"/>
    <s v="RV"/>
    <s v="USD"/>
    <n v="-12817.66"/>
    <s v="83.95000"/>
    <s v="BDT"/>
    <n v="-1076042.56"/>
    <n v="-12817.66"/>
    <s v="12817.66_1"/>
    <s v=""/>
    <s v="C3344UQ21KR061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12816.34"/>
    <s v="83.95000"/>
    <s v="BDT"/>
    <n v="-1075931.74"/>
    <n v="-12816.34"/>
    <s v="12816.34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245"/>
    <x v="159"/>
    <d v="2020-09-20T00:00:00"/>
    <d v="2020-09-24T00:00:00"/>
    <s v="RV"/>
    <s v="USD"/>
    <n v="-12810.87"/>
    <s v="83.95000"/>
    <s v="BDT"/>
    <n v="-1075472.54"/>
    <n v="-12810.87"/>
    <s v="12810.87_1"/>
    <s v=""/>
    <s v="C3204UQ20EU0881"/>
    <s v="20200920"/>
    <s v=""/>
    <s v=""/>
    <s v="0"/>
    <s v=""/>
    <s v=""/>
    <s v=""/>
    <s v=""/>
    <s v="2010100001"/>
    <s v=""/>
    <m/>
    <s v=""/>
    <s v=""/>
    <s v=""/>
    <n v="0"/>
  </r>
  <r>
    <s v=""/>
    <s v="40101001"/>
    <s v="2018001048"/>
    <x v="5"/>
    <d v="2021-03-07T00:00:00"/>
    <d v="2021-03-11T00:00:00"/>
    <s v="RV"/>
    <s v="USD"/>
    <n v="-12802.61"/>
    <s v="83.95000"/>
    <s v="BDT"/>
    <n v="-1074779.1100000001"/>
    <n v="-12802.61"/>
    <s v="12802.61_1"/>
    <s v=""/>
    <s v="C3272UQ21KR0262"/>
    <s v="20210307"/>
    <s v=""/>
    <s v=""/>
    <s v="0"/>
    <s v=""/>
    <s v=""/>
    <s v=""/>
    <s v=""/>
    <s v="2010100001"/>
    <s v=""/>
    <m/>
    <s v=""/>
    <s v=""/>
    <s v=""/>
    <n v="0"/>
  </r>
  <r>
    <s v=""/>
    <s v="40101001"/>
    <s v="2018001064"/>
    <x v="111"/>
    <d v="2021-03-11T00:00:00"/>
    <d v="2021-03-16T00:00:00"/>
    <s v="RV"/>
    <s v="USD"/>
    <n v="-12795.55"/>
    <s v="83.95000"/>
    <s v="BDT"/>
    <n v="-1074186.42"/>
    <n v="-12795.55"/>
    <s v="12795.55_1"/>
    <s v=""/>
    <s v="C3290UQ21HAK0289"/>
    <s v="20210311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2791.46"/>
    <s v="83.95000"/>
    <s v="BDT"/>
    <n v="-1073843.07"/>
    <n v="-12791.46"/>
    <s v="12791.46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365"/>
    <x v="98"/>
    <d v="2020-10-21T00:00:00"/>
    <d v="2020-10-28T00:00:00"/>
    <s v="RV"/>
    <s v="USD"/>
    <n v="-12775.71"/>
    <s v="83.95000"/>
    <s v="BDT"/>
    <n v="-1072520.8500000001"/>
    <n v="-12775.71"/>
    <s v="12775.71_1"/>
    <s v=""/>
    <s v="C3102LVUS0989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653"/>
    <x v="4"/>
    <d v="2020-12-15T00:00:00"/>
    <d v="2020-12-20T00:00:00"/>
    <s v="RV"/>
    <s v="USD"/>
    <n v="-12765.87"/>
    <s v="83.95000"/>
    <s v="BDT"/>
    <n v="-1071694.79"/>
    <n v="-12765.87"/>
    <s v="12765.87_1"/>
    <s v=""/>
    <s v="C3247UQ20OSA1293"/>
    <s v="20201215"/>
    <s v=""/>
    <s v=""/>
    <s v="0"/>
    <s v=""/>
    <s v=""/>
    <s v=""/>
    <s v=""/>
    <s v="2010100001"/>
    <s v=""/>
    <m/>
    <s v=""/>
    <s v=""/>
    <s v=""/>
    <n v="0"/>
  </r>
  <r>
    <s v=""/>
    <s v="40101001"/>
    <s v="2018000674"/>
    <x v="79"/>
    <d v="2020-12-18T00:00:00"/>
    <d v="2020-12-22T00:00:00"/>
    <s v="RV"/>
    <s v="USD"/>
    <n v="-12765.87"/>
    <s v="83.95000"/>
    <s v="BDT"/>
    <n v="-1071694.79"/>
    <n v="-12765.87"/>
    <s v="12765.87_2"/>
    <s v=""/>
    <s v="C3247UQ20OSA1338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456"/>
    <x v="196"/>
    <d v="2021-06-05T00:00:00"/>
    <d v="2021-06-09T00:00:00"/>
    <s v="RV"/>
    <s v="USD"/>
    <n v="-12760.15"/>
    <s v="83.95000"/>
    <s v="BDT"/>
    <n v="-1071214.5900000001"/>
    <n v="-12760.15"/>
    <s v="12760.15_1"/>
    <s v=""/>
    <s v="C3329UQ21MEL0730"/>
    <s v="20210605"/>
    <s v=""/>
    <s v=""/>
    <s v="0"/>
    <s v=""/>
    <s v=""/>
    <s v=""/>
    <s v=""/>
    <s v="2010100001"/>
    <s v=""/>
    <m/>
    <s v=""/>
    <s v=""/>
    <s v=""/>
    <n v="0"/>
  </r>
  <r>
    <s v=""/>
    <s v="40101001"/>
    <s v="2018001030"/>
    <x v="276"/>
    <d v="2021-02-21T00:00:00"/>
    <d v="2021-03-07T00:00:00"/>
    <s v="RV"/>
    <s v="USD"/>
    <n v="-12743.34"/>
    <s v="83.95000"/>
    <s v="BDT"/>
    <n v="-1069803.3899999999"/>
    <n v="-12743.34"/>
    <s v="12743.34_1"/>
    <s v=""/>
    <s v="C3259UQ21YOK0212"/>
    <s v="20210221"/>
    <s v=""/>
    <s v=""/>
    <s v="0"/>
    <s v=""/>
    <s v=""/>
    <s v=""/>
    <s v=""/>
    <s v="2010100001"/>
    <s v=""/>
    <m/>
    <s v=""/>
    <s v=""/>
    <s v=""/>
    <n v="0"/>
  </r>
  <r>
    <s v=""/>
    <s v="40101001"/>
    <s v="2018001594"/>
    <x v="163"/>
    <d v="2021-06-26T00:00:00"/>
    <d v="2021-06-29T00:00:00"/>
    <s v="RV"/>
    <s v="USD"/>
    <n v="-12726.48"/>
    <s v="83.95000"/>
    <s v="BDT"/>
    <n v="-1068388"/>
    <n v="-12726.48"/>
    <s v="12726.48_1"/>
    <s v=""/>
    <s v="C3287LVMX0788-21"/>
    <s v="20210626"/>
    <s v=""/>
    <s v=""/>
    <s v="0"/>
    <s v=""/>
    <s v=""/>
    <s v=""/>
    <s v=""/>
    <s v="2010100001"/>
    <s v=""/>
    <m/>
    <s v=""/>
    <s v=""/>
    <s v=""/>
    <n v="0"/>
  </r>
  <r>
    <s v=""/>
    <s v="40101001"/>
    <s v="2018000434"/>
    <x v="18"/>
    <d v="2020-11-05T00:00:00"/>
    <d v="2020-11-11T00:00:00"/>
    <s v="RV"/>
    <s v="USD"/>
    <n v="-12716.64"/>
    <s v="83.95000"/>
    <s v="BDT"/>
    <n v="-1067561.93"/>
    <n v="-12716.64"/>
    <s v="12716.64_1"/>
    <s v=""/>
    <s v="C3215UQ20NAG1066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605"/>
    <x v="93"/>
    <d v="2021-06-29T00:00:00"/>
    <d v="2021-06-30T00:00:00"/>
    <s v="RV"/>
    <s v="USD"/>
    <n v="-12716.06"/>
    <s v="83.95000"/>
    <s v="BDT"/>
    <n v="-1067513.24"/>
    <n v="-12716.06"/>
    <s v="12716.06_1"/>
    <s v=""/>
    <s v="C3335LVMX0879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040"/>
    <x v="105"/>
    <d v="2020-07-13T00:00:00"/>
    <d v="2020-07-18T00:00:00"/>
    <s v="RV"/>
    <s v="USD"/>
    <n v="-12714.11"/>
    <s v="83.95000"/>
    <s v="BDT"/>
    <n v="-1067349.53"/>
    <n v="-12714.11"/>
    <s v="12714.11_1"/>
    <s v=""/>
    <s v="C3128UQ20TOM0627"/>
    <s v="20200713"/>
    <s v=""/>
    <s v=""/>
    <s v="0"/>
    <s v=""/>
    <s v=""/>
    <s v=""/>
    <s v=""/>
    <s v="2010100001"/>
    <s v=""/>
    <m/>
    <s v=""/>
    <s v=""/>
    <s v=""/>
    <n v="0"/>
  </r>
  <r>
    <s v=""/>
    <s v="40101001"/>
    <s v="2018001256"/>
    <x v="192"/>
    <d v="2021-04-25T00:00:00"/>
    <d v="2021-04-29T00:00:00"/>
    <s v="RV"/>
    <s v="USD"/>
    <n v="-12711.39"/>
    <s v="83.95000"/>
    <s v="BDT"/>
    <n v="-1067121.19"/>
    <n v="-12711.39"/>
    <s v="12711.39_1"/>
    <s v=""/>
    <s v="C3267LVUS0491-21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0467"/>
    <x v="90"/>
    <d v="2020-11-12T00:00:00"/>
    <d v="2020-11-14T00:00:00"/>
    <s v="RV"/>
    <s v="USD"/>
    <n v="-12683.85"/>
    <s v="83.95000"/>
    <s v="BDT"/>
    <n v="-1064809.21"/>
    <n v="-12683.85"/>
    <s v="12683.85_1"/>
    <s v=""/>
    <s v="C3141LVUS111020"/>
    <s v="20201112"/>
    <s v=""/>
    <s v=""/>
    <s v="0"/>
    <s v=""/>
    <s v=""/>
    <s v=""/>
    <s v=""/>
    <s v="2010100001"/>
    <s v=""/>
    <m/>
    <s v=""/>
    <s v=""/>
    <s v=""/>
    <n v="0"/>
  </r>
  <r>
    <s v=""/>
    <s v="40101001"/>
    <s v="2018000074"/>
    <x v="53"/>
    <d v="2020-07-22T00:00:00"/>
    <d v="2020-07-28T00:00:00"/>
    <s v="RV"/>
    <s v="USD"/>
    <n v="-12672.38"/>
    <s v="83.95000"/>
    <s v="BDT"/>
    <n v="-1063846.3"/>
    <n v="-12672.38"/>
    <s v="12672.38_1"/>
    <s v=""/>
    <s v="C3131UQ20SHA0663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034"/>
    <x v="116"/>
    <d v="2021-03-05T00:00:00"/>
    <d v="2021-03-10T00:00:00"/>
    <s v="RV"/>
    <s v="USD"/>
    <n v="-12670.22"/>
    <s v="83.95000"/>
    <s v="BDT"/>
    <n v="-1063664.97"/>
    <n v="-12670.22"/>
    <s v="12670.22_1"/>
    <s v=""/>
    <s v="C3240LVCL0251-2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0478"/>
    <x v="65"/>
    <d v="2020-11-11T00:00:00"/>
    <d v="2020-11-16T00:00:00"/>
    <s v="RV"/>
    <s v="USD"/>
    <n v="-12664.88"/>
    <s v="83.95000"/>
    <s v="BDT"/>
    <n v="-1063216.68"/>
    <n v="-12664.88"/>
    <s v="12664.88_1"/>
    <s v=""/>
    <s v="C3168UQ20TW1105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2664.22"/>
    <s v="83.95000"/>
    <s v="BDT"/>
    <n v="-1063161.27"/>
    <n v="-12664.22"/>
    <s v="12664.22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515"/>
    <x v="243"/>
    <d v="2020-11-17T00:00:00"/>
    <d v="2020-11-24T00:00:00"/>
    <s v="RV"/>
    <s v="USD"/>
    <n v="-12656.48"/>
    <s v="83.95000"/>
    <s v="BDT"/>
    <n v="-1062511.5"/>
    <n v="-12656.48"/>
    <s v="12656.48_1"/>
    <s v=""/>
    <s v="C3147LVUS114920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1478"/>
    <x v="156"/>
    <d v="2021-06-08T00:00:00"/>
    <d v="2021-06-12T00:00:00"/>
    <s v="RV"/>
    <s v="USD"/>
    <n v="-12624.34"/>
    <s v="83.95000"/>
    <s v="BDT"/>
    <n v="-1059813.3400000001"/>
    <n v="-12624.34"/>
    <s v="12624.34_1"/>
    <s v=""/>
    <s v="C3308UQ21OSA0679"/>
    <s v="20210608"/>
    <s v=""/>
    <s v=""/>
    <s v="0"/>
    <s v=""/>
    <s v=""/>
    <s v=""/>
    <s v=""/>
    <s v="2010100001"/>
    <s v=""/>
    <m/>
    <s v=""/>
    <s v=""/>
    <s v=""/>
    <n v="0"/>
  </r>
  <r>
    <s v=""/>
    <s v="40101001"/>
    <s v="2018000407"/>
    <x v="146"/>
    <d v="2020-11-02T00:00:00"/>
    <d v="2020-11-04T00:00:00"/>
    <s v="RV"/>
    <s v="USD"/>
    <n v="-12609.46"/>
    <s v="83.95000"/>
    <s v="BDT"/>
    <n v="-1058564.17"/>
    <n v="-12609.46"/>
    <s v="12609.46_1"/>
    <s v=""/>
    <s v="C3104LVGR101420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306"/>
    <x v="154"/>
    <d v="2020-10-03T00:00:00"/>
    <d v="2020-10-10T00:00:00"/>
    <s v="RV"/>
    <s v="USD"/>
    <n v="-12589.43"/>
    <s v="83.95000"/>
    <s v="BDT"/>
    <n v="-1056882.6499999999"/>
    <n v="-12589.43"/>
    <s v="12589.43_1"/>
    <s v=""/>
    <s v="C3159UQ20SHA0805"/>
    <s v="20201003"/>
    <s v=""/>
    <s v=""/>
    <s v="0"/>
    <s v=""/>
    <s v=""/>
    <s v=""/>
    <s v=""/>
    <s v="2010100001"/>
    <s v=""/>
    <m/>
    <s v=""/>
    <s v=""/>
    <s v=""/>
    <n v="0"/>
  </r>
  <r>
    <s v=""/>
    <s v="40101001"/>
    <s v="2018001587"/>
    <x v="104"/>
    <d v="2021-06-23T00:00:00"/>
    <d v="2021-06-28T00:00:00"/>
    <s v="RV"/>
    <s v="USD"/>
    <n v="-12586.57"/>
    <s v="83.95000"/>
    <s v="BDT"/>
    <n v="-1056642.55"/>
    <n v="-12586.57"/>
    <s v="12586.57_1"/>
    <s v=""/>
    <s v="C3270LVGR0842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12575.99"/>
    <s v="83.95000"/>
    <s v="BDT"/>
    <n v="-1055754.3600000001"/>
    <n v="-12575.99"/>
    <s v="12575.99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0574"/>
    <x v="218"/>
    <d v="2020-11-29T00:00:00"/>
    <d v="2020-12-01T00:00:00"/>
    <s v="RV"/>
    <s v="USD"/>
    <n v="-12544.89"/>
    <s v="83.95000"/>
    <s v="BDT"/>
    <n v="-1053143.52"/>
    <n v="-12544.89"/>
    <s v="12544.89_1"/>
    <s v=""/>
    <s v="C3147LVGR1231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014"/>
    <x v="117"/>
    <d v="2020-07-11T00:00:00"/>
    <d v="2020-07-15T00:00:00"/>
    <s v="RV"/>
    <s v="USD"/>
    <n v="-12496.58"/>
    <s v="83.95000"/>
    <s v="BDT"/>
    <n v="-1049087.8999999999"/>
    <n v="-12496.58"/>
    <s v="12496.58_1"/>
    <s v=""/>
    <s v="C3067LVCA059320"/>
    <s v="20200711"/>
    <s v=""/>
    <s v=""/>
    <s v="0"/>
    <s v=""/>
    <s v=""/>
    <s v=""/>
    <s v=""/>
    <s v="2010100001"/>
    <s v=""/>
    <m/>
    <s v=""/>
    <s v=""/>
    <s v=""/>
    <n v="0"/>
  </r>
  <r>
    <s v=""/>
    <s v="40101001"/>
    <s v="2018000587"/>
    <x v="153"/>
    <d v="2020-11-28T00:00:00"/>
    <d v="2020-12-03T00:00:00"/>
    <s v="RV"/>
    <s v="USD"/>
    <n v="-12486.16"/>
    <s v="83.95000"/>
    <s v="BDT"/>
    <n v="-1048213.13"/>
    <n v="-12486.16"/>
    <s v="12486.16_1"/>
    <s v=""/>
    <s v="C3102LVUS1189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0863"/>
    <x v="197"/>
    <d v="2021-01-23T00:00:00"/>
    <d v="2021-01-30T00:00:00"/>
    <s v="RV"/>
    <s v="USD"/>
    <n v="-12463.22"/>
    <s v="83.95000"/>
    <s v="BDT"/>
    <n v="-1046287.32"/>
    <n v="-12463.22"/>
    <s v="12463.22_1"/>
    <s v=""/>
    <s v="C3272UQ21SEN0100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514"/>
    <x v="76"/>
    <d v="2020-11-19T00:00:00"/>
    <d v="2020-11-24T00:00:00"/>
    <s v="RV"/>
    <s v="USD"/>
    <n v="-12454.29"/>
    <s v="83.95000"/>
    <s v="BDT"/>
    <n v="-1045537.65"/>
    <n v="-12454.29"/>
    <s v="12454.29_1"/>
    <s v=""/>
    <s v="C3142LVUS114820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0844"/>
    <x v="35"/>
    <d v="2021-01-20T00:00:00"/>
    <d v="2021-01-27T00:00:00"/>
    <s v="RV"/>
    <s v="USD"/>
    <n v="-12422.66"/>
    <s v="83.95000"/>
    <s v="BDT"/>
    <n v="-1042882.31"/>
    <n v="-12422.66"/>
    <s v="12422.66_1"/>
    <s v=""/>
    <s v="C3246UQ21OSA0074"/>
    <s v="20210120"/>
    <s v=""/>
    <s v=""/>
    <s v="0"/>
    <s v=""/>
    <s v=""/>
    <s v=""/>
    <s v=""/>
    <s v="2010100001"/>
    <s v=""/>
    <m/>
    <s v=""/>
    <s v=""/>
    <s v=""/>
    <n v="0"/>
  </r>
  <r>
    <s v=""/>
    <s v="40101001"/>
    <s v="2018001355"/>
    <x v="162"/>
    <d v="2021-05-15T00:00:00"/>
    <d v="2021-05-20T00:00:00"/>
    <s v="RV"/>
    <s v="USD"/>
    <n v="-12420.34"/>
    <s v="83.95000"/>
    <s v="BDT"/>
    <n v="-1042687.54"/>
    <n v="-12420.34"/>
    <s v="12420.34_1"/>
    <s v=""/>
    <s v="C3267LVUS0603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1025"/>
    <x v="16"/>
    <d v="2021-02-26T00:00:00"/>
    <d v="2021-03-03T00:00:00"/>
    <s v="RV"/>
    <s v="USD"/>
    <n v="-12400.54"/>
    <s v="83.95000"/>
    <s v="BDT"/>
    <n v="-1041025.34"/>
    <n v="-12400.54"/>
    <s v="12400.54_1"/>
    <s v=""/>
    <s v="C3244LVUS0229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0573"/>
    <x v="218"/>
    <d v="2020-11-29T00:00:00"/>
    <d v="2020-12-01T00:00:00"/>
    <s v="RV"/>
    <s v="USD"/>
    <n v="-12395.31"/>
    <s v="83.95000"/>
    <s v="BDT"/>
    <n v="-1040586.27"/>
    <n v="-12395.31"/>
    <s v="12395.31_1"/>
    <s v=""/>
    <s v="C3143LVGR1236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368"/>
    <x v="13"/>
    <d v="2020-10-22T00:00:00"/>
    <d v="2020-10-29T00:00:00"/>
    <s v="RV"/>
    <s v="USD"/>
    <n v="-12390.2"/>
    <s v="83.95000"/>
    <s v="BDT"/>
    <n v="-1040157.29"/>
    <n v="-12390.2"/>
    <s v="12390.2_1"/>
    <s v=""/>
    <s v="C3104LVMX099020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0041"/>
    <x v="136"/>
    <d v="2020-07-09T00:00:00"/>
    <d v="2020-07-20T00:00:00"/>
    <s v="RV"/>
    <s v="USD"/>
    <n v="-12386.92"/>
    <s v="83.95000"/>
    <s v="BDT"/>
    <n v="-1039881.93"/>
    <n v="-12386.92"/>
    <s v="12386.92_1"/>
    <s v=""/>
    <s v="C3036LVUS0592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12351.04"/>
    <s v="83.95000"/>
    <s v="BDT"/>
    <n v="-1036869.81"/>
    <n v="-12351.04"/>
    <s v="12351.04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174"/>
    <x v="84"/>
    <d v="2020-08-05T00:00:00"/>
    <d v="2020-08-29T00:00:00"/>
    <s v="RV"/>
    <s v="USD"/>
    <n v="-12324.72"/>
    <s v="83.95000"/>
    <s v="BDT"/>
    <n v="-1034660.24"/>
    <n v="-12324.72"/>
    <s v="12324.72_1"/>
    <s v=""/>
    <s v="C3064LVUS070520"/>
    <s v="20200805"/>
    <s v=""/>
    <s v=""/>
    <s v="0"/>
    <s v=""/>
    <s v=""/>
    <s v=""/>
    <s v=""/>
    <s v="2010100001"/>
    <s v=""/>
    <m/>
    <s v=""/>
    <s v=""/>
    <s v=""/>
    <n v="0"/>
  </r>
  <r>
    <s v=""/>
    <s v="40101001"/>
    <s v="2018000993"/>
    <x v="72"/>
    <d v="2021-02-16T00:00:00"/>
    <d v="2021-02-25T00:00:00"/>
    <s v="RV"/>
    <s v="USD"/>
    <n v="-12316.44"/>
    <s v="83.95000"/>
    <s v="BDT"/>
    <n v="-1033965.14"/>
    <n v="-12316.44"/>
    <s v="12316.44_1"/>
    <s v=""/>
    <s v="C3248LVUS0201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640"/>
    <x v="193"/>
    <d v="2020-12-03T00:00:00"/>
    <d v="2020-12-20T00:00:00"/>
    <s v="RV"/>
    <s v="USD"/>
    <n v="-12259.8"/>
    <s v="83.95000"/>
    <s v="BDT"/>
    <n v="-1029210.21"/>
    <n v="-12259.8"/>
    <s v="12259.8_1"/>
    <s v=""/>
    <s v="C3245UQ20RU1082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622"/>
    <x v="225"/>
    <d v="2020-12-08T00:00:00"/>
    <d v="2020-12-13T00:00:00"/>
    <s v="RV"/>
    <s v="USD"/>
    <n v="-12253.44"/>
    <s v="83.95000"/>
    <s v="BDT"/>
    <n v="-1028676.29"/>
    <n v="-12253.44"/>
    <s v="12253.44_1"/>
    <s v=""/>
    <s v="C3218LVUS1265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1619"/>
    <x v="244"/>
    <d v="2021-06-13T00:00:00"/>
    <d v="2021-07-07T00:00:00"/>
    <s v="RV"/>
    <s v="USD"/>
    <n v="-12205.48"/>
    <s v="83.95000"/>
    <s v="BDT"/>
    <n v="-1024650.05"/>
    <n v="-12205.48"/>
    <s v="12205.48_1"/>
    <s v=""/>
    <s v="C3285LVMX0689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0541"/>
    <x v="3"/>
    <d v="2020-11-18T00:00:00"/>
    <d v="2020-11-26T00:00:00"/>
    <s v="RV"/>
    <s v="USD"/>
    <n v="-12185.79"/>
    <s v="83.95000"/>
    <s v="BDT"/>
    <n v="-1022997.07"/>
    <n v="-12185.79"/>
    <s v="12185.79_1"/>
    <s v=""/>
    <s v="C3168UQ20SHA1102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147"/>
    <x v="234"/>
    <d v="2020-08-14T00:00:00"/>
    <d v="2020-08-20T00:00:00"/>
    <s v="RV"/>
    <s v="USD"/>
    <n v="-12180.03"/>
    <s v="83.95000"/>
    <s v="BDT"/>
    <n v="-1022513.52"/>
    <n v="-12180.03"/>
    <s v="12180.03_1"/>
    <s v=""/>
    <s v="C3122UQ20SYD0741"/>
    <s v="20200814"/>
    <s v=""/>
    <s v=""/>
    <s v="0"/>
    <s v=""/>
    <s v=""/>
    <s v=""/>
    <s v=""/>
    <s v="2010100001"/>
    <s v=""/>
    <m/>
    <s v=""/>
    <s v=""/>
    <s v=""/>
    <n v="0"/>
  </r>
  <r>
    <s v=""/>
    <s v="40101001"/>
    <s v="2018001382"/>
    <x v="56"/>
    <d v="2021-05-13T00:00:00"/>
    <d v="2021-05-20T00:00:00"/>
    <s v="RV"/>
    <s v="USD"/>
    <n v="-12166.69"/>
    <s v="83.95000"/>
    <s v="BDT"/>
    <n v="-1021393.63"/>
    <n v="-12166.69"/>
    <s v="12166.69_1"/>
    <s v=""/>
    <s v="C3283LVUS062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088"/>
    <x v="139"/>
    <d v="2020-07-27T00:00:00"/>
    <d v="2020-07-30T00:00:00"/>
    <s v="RV"/>
    <s v="USD"/>
    <n v="-12150.48"/>
    <s v="83.95000"/>
    <s v="BDT"/>
    <n v="-1020032.79"/>
    <n v="-12150.48"/>
    <s v="12150.48_1"/>
    <s v=""/>
    <s v="C3064LVUS068020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1566"/>
    <x v="75"/>
    <d v="2021-06-17T00:00:00"/>
    <d v="2021-06-24T00:00:00"/>
    <s v="RV"/>
    <s v="USD"/>
    <n v="-12147.46"/>
    <s v="83.95000"/>
    <s v="BDT"/>
    <n v="-1019779.27"/>
    <n v="-12147.46"/>
    <s v="12147.46_1"/>
    <s v=""/>
    <s v="C3332LVUS0791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400"/>
    <x v="67"/>
    <d v="2020-10-27T00:00:00"/>
    <d v="2020-11-03T00:00:00"/>
    <s v="RV"/>
    <s v="USD"/>
    <n v="-12140.22"/>
    <s v="83.95000"/>
    <s v="BDT"/>
    <n v="-1019171.47"/>
    <n v="-12140.22"/>
    <s v="12140.22_1"/>
    <s v=""/>
    <s v="C3205UQ20SHA1004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0584"/>
    <x v="277"/>
    <d v="2020-11-27T00:00:00"/>
    <d v="2020-12-02T00:00:00"/>
    <s v="RV"/>
    <s v="USD"/>
    <n v="-12117.82"/>
    <s v="83.95000"/>
    <s v="BDT"/>
    <n v="-1017290.99"/>
    <n v="-12117.82"/>
    <s v="12117.82_1"/>
    <s v=""/>
    <s v="C3233UQ20MY1214"/>
    <s v="20201127"/>
    <s v=""/>
    <s v=""/>
    <s v="0"/>
    <s v=""/>
    <s v=""/>
    <s v=""/>
    <s v=""/>
    <s v="2010100001"/>
    <s v=""/>
    <m/>
    <s v=""/>
    <s v=""/>
    <s v=""/>
    <n v="0"/>
  </r>
  <r>
    <s v=""/>
    <s v="40101001"/>
    <s v="2018001530"/>
    <x v="278"/>
    <d v="2021-06-16T00:00:00"/>
    <d v="2021-06-17T00:00:00"/>
    <s v="RV"/>
    <s v="USD"/>
    <n v="-12108.18"/>
    <s v="83.95000"/>
    <s v="BDT"/>
    <n v="-1016481.71"/>
    <n v="-12108.18"/>
    <s v="12108.18_1"/>
    <s v=""/>
    <s v="C3332LVUS0793-21"/>
    <s v="20210616"/>
    <s v=""/>
    <s v=""/>
    <s v="0"/>
    <s v=""/>
    <s v=""/>
    <s v=""/>
    <s v=""/>
    <s v="2010100001"/>
    <s v=""/>
    <m/>
    <s v=""/>
    <s v=""/>
    <s v=""/>
    <n v="0"/>
  </r>
  <r>
    <s v=""/>
    <s v="40101001"/>
    <s v="2018000576"/>
    <x v="218"/>
    <d v="2020-11-29T00:00:00"/>
    <d v="2020-12-01T00:00:00"/>
    <s v="RV"/>
    <s v="USD"/>
    <n v="-12085.56"/>
    <s v="83.95000"/>
    <s v="BDT"/>
    <n v="-1014582.76"/>
    <n v="-12085.56"/>
    <s v="12085.56_1"/>
    <s v=""/>
    <s v="C3147LVGR1234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614"/>
    <x v="50"/>
    <d v="2020-12-06T00:00:00"/>
    <d v="2020-12-09T00:00:00"/>
    <s v="RV"/>
    <s v="USD"/>
    <n v="-12085.56"/>
    <s v="83.95000"/>
    <s v="BDT"/>
    <n v="-1014582.76"/>
    <n v="-12085.56"/>
    <s v="12085.56_2"/>
    <s v=""/>
    <s v="C3147LVGR127120"/>
    <s v="20201206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12079.21"/>
    <s v="83.95000"/>
    <s v="BDT"/>
    <n v="-1014049.68"/>
    <n v="-12079.21"/>
    <s v="12079.21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239"/>
    <x v="125"/>
    <d v="2021-04-17T00:00:00"/>
    <d v="2021-04-22T00:00:00"/>
    <s v="RV"/>
    <s v="USD"/>
    <n v="-12076.62"/>
    <s v="83.95000"/>
    <s v="BDT"/>
    <n v="-1013832.25"/>
    <n v="-12076.62"/>
    <s v="12076.62_1"/>
    <s v=""/>
    <s v="C3316UQ21TOM0465"/>
    <s v="20210417"/>
    <s v=""/>
    <s v=""/>
    <s v="0"/>
    <s v=""/>
    <s v=""/>
    <s v=""/>
    <s v=""/>
    <s v="2010100001"/>
    <s v=""/>
    <m/>
    <s v=""/>
    <s v=""/>
    <s v=""/>
    <n v="0"/>
  </r>
  <r>
    <s v=""/>
    <s v="40101001"/>
    <s v="2018001566"/>
    <x v="75"/>
    <d v="2021-06-17T00:00:00"/>
    <d v="2021-06-24T00:00:00"/>
    <s v="RV"/>
    <s v="USD"/>
    <n v="-12073.64"/>
    <s v="83.95000"/>
    <s v="BDT"/>
    <n v="-1013582.08"/>
    <n v="-12073.64"/>
    <s v="12073.64_1"/>
    <s v=""/>
    <s v="C3332LVUS0791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733"/>
    <x v="178"/>
    <d v="2020-12-23T00:00:00"/>
    <d v="2021-01-02T00:00:00"/>
    <s v="RV"/>
    <s v="USD"/>
    <n v="-12073.51"/>
    <s v="83.95000"/>
    <s v="BDT"/>
    <n v="-1013571.16"/>
    <n v="-12073.51"/>
    <s v="12073.51_1"/>
    <s v=""/>
    <s v="C3143LVGR1298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1083"/>
    <x v="138"/>
    <d v="2021-03-17T00:00:00"/>
    <d v="2021-03-24T00:00:00"/>
    <s v="RV"/>
    <s v="USD"/>
    <n v="-12069.16"/>
    <s v="83.95000"/>
    <s v="BDT"/>
    <n v="-1013205.98"/>
    <n v="-12069.16"/>
    <s v="12069.16_1"/>
    <s v=""/>
    <s v="C3271UQ21SG0302"/>
    <s v="20210317"/>
    <s v=""/>
    <s v=""/>
    <s v="0"/>
    <s v=""/>
    <s v=""/>
    <s v=""/>
    <s v=""/>
    <s v="2010100001"/>
    <s v=""/>
    <m/>
    <s v=""/>
    <s v=""/>
    <s v=""/>
    <n v="0"/>
  </r>
  <r>
    <s v=""/>
    <s v="40101001"/>
    <s v="2018000991"/>
    <x v="72"/>
    <d v="2021-02-16T00:00:00"/>
    <d v="2021-02-25T00:00:00"/>
    <s v="RV"/>
    <s v="USD"/>
    <n v="-12058.24"/>
    <s v="83.95000"/>
    <s v="BDT"/>
    <n v="-1012289.25"/>
    <n v="-12058.24"/>
    <s v="12058.24_1"/>
    <s v=""/>
    <s v="C3223LVUS0199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12018.21"/>
    <s v="83.95000"/>
    <s v="BDT"/>
    <n v="-1008928.73"/>
    <n v="-12018.21"/>
    <s v="12018.21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110"/>
    <x v="89"/>
    <d v="2021-03-21T00:00:00"/>
    <d v="2021-03-28T00:00:00"/>
    <s v="RV"/>
    <s v="USD"/>
    <n v="-12017.85"/>
    <s v="83.95000"/>
    <s v="BDT"/>
    <n v="-1008898.5"/>
    <n v="-12017.85"/>
    <s v="12017.85_1"/>
    <s v=""/>
    <s v="C3223LVUS0307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441"/>
    <x v="194"/>
    <d v="2021-05-21T00:00:00"/>
    <d v="2021-06-08T00:00:00"/>
    <s v="RV"/>
    <s v="USD"/>
    <n v="-12003"/>
    <s v="83.95000"/>
    <s v="BDT"/>
    <n v="-1007651.85"/>
    <n v="-12003"/>
    <s v="12003_1"/>
    <s v=""/>
    <s v="C3335LVMX0623-21"/>
    <s v="20210521"/>
    <s v=""/>
    <s v=""/>
    <s v="0"/>
    <s v=""/>
    <s v=""/>
    <s v=""/>
    <s v=""/>
    <s v="2010100001"/>
    <s v=""/>
    <m/>
    <s v=""/>
    <s v=""/>
    <s v=""/>
    <n v="0"/>
  </r>
  <r>
    <s v=""/>
    <s v="40101001"/>
    <s v="2018001270"/>
    <x v="71"/>
    <d v="2021-04-28T00:00:00"/>
    <d v="2021-05-03T00:00:00"/>
    <s v="RV"/>
    <s v="USD"/>
    <n v="-11998.89"/>
    <s v="83.95000"/>
    <s v="BDT"/>
    <n v="-1007306.82"/>
    <n v="-11998.89"/>
    <s v="11998.89_1"/>
    <s v=""/>
    <s v="C3267LVUS0492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619"/>
    <x v="244"/>
    <d v="2021-06-13T00:00:00"/>
    <d v="2021-07-07T00:00:00"/>
    <s v="RV"/>
    <s v="USD"/>
    <n v="-11981.97"/>
    <s v="83.95000"/>
    <s v="BDT"/>
    <n v="-1005886.38"/>
    <n v="-11981.97"/>
    <s v="11981.97_1"/>
    <s v=""/>
    <s v="C3285LVMX0689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1270"/>
    <x v="71"/>
    <d v="2021-04-28T00:00:00"/>
    <d v="2021-05-03T00:00:00"/>
    <s v="RV"/>
    <s v="USD"/>
    <n v="-11941.05"/>
    <s v="83.95000"/>
    <s v="BDT"/>
    <n v="-1002451.15"/>
    <n v="-11941.05"/>
    <s v="11941.05_1"/>
    <s v=""/>
    <s v="C3267LVUS0492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355"/>
    <x v="162"/>
    <d v="2021-05-15T00:00:00"/>
    <d v="2021-05-20T00:00:00"/>
    <s v="RV"/>
    <s v="USD"/>
    <n v="-11938.61"/>
    <s v="83.95000"/>
    <s v="BDT"/>
    <n v="-1002246.31"/>
    <n v="-11938.61"/>
    <s v="11938.61_1"/>
    <s v=""/>
    <s v="C3267LVUS0603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594"/>
    <x v="279"/>
    <d v="2020-11-26T00:00:00"/>
    <d v="2020-12-05T00:00:00"/>
    <s v="RV"/>
    <s v="USD"/>
    <n v="-11916.66"/>
    <s v="83.95000"/>
    <s v="BDT"/>
    <n v="-1000403.61"/>
    <n v="-11916.66"/>
    <s v="11916.66_1"/>
    <s v=""/>
    <s v="C3147LVMX115420"/>
    <s v="20201126"/>
    <s v=""/>
    <s v=""/>
    <s v="0"/>
    <s v=""/>
    <s v=""/>
    <s v=""/>
    <s v=""/>
    <s v="2010100001"/>
    <s v=""/>
    <m/>
    <s v=""/>
    <s v=""/>
    <s v=""/>
    <n v="0"/>
  </r>
  <r>
    <s v=""/>
    <s v="40101001"/>
    <s v="2018000135"/>
    <x v="147"/>
    <d v="2020-07-31T00:00:00"/>
    <d v="2020-08-14T00:00:00"/>
    <s v="RV"/>
    <s v="USD"/>
    <n v="-11915.82"/>
    <s v="83.95000"/>
    <s v="BDT"/>
    <n v="-1000333.09"/>
    <n v="-11915.82"/>
    <s v="11915.82_1"/>
    <s v=""/>
    <s v="C3150UQ20YAN0691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1111"/>
    <x v="89"/>
    <d v="2021-03-21T00:00:00"/>
    <d v="2021-03-28T00:00:00"/>
    <s v="RV"/>
    <s v="USD"/>
    <n v="-11910.82"/>
    <s v="83.95000"/>
    <s v="BDT"/>
    <n v="-999913.34"/>
    <n v="-11910.82"/>
    <s v="11910.82_1"/>
    <s v=""/>
    <s v="C3262LVUS0304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234"/>
    <x v="248"/>
    <d v="2020-09-15T00:00:00"/>
    <d v="2020-09-17T00:00:00"/>
    <s v="RV"/>
    <s v="USD"/>
    <n v="-11906.57"/>
    <s v="83.95000"/>
    <s v="BDT"/>
    <n v="-999556.55"/>
    <n v="-11906.57"/>
    <s v="11906.57_1"/>
    <s v=""/>
    <s v="C3154UQ20NAG0857"/>
    <s v="20200915"/>
    <s v=""/>
    <s v=""/>
    <s v="0"/>
    <s v=""/>
    <s v=""/>
    <s v=""/>
    <s v=""/>
    <s v="2010100001"/>
    <s v=""/>
    <m/>
    <s v=""/>
    <s v=""/>
    <s v=""/>
    <n v="0"/>
  </r>
  <r>
    <s v=""/>
    <s v="40101001"/>
    <s v="2018000262"/>
    <x v="133"/>
    <d v="2020-09-21T00:00:00"/>
    <d v="2020-09-26T00:00:00"/>
    <s v="RV"/>
    <s v="USD"/>
    <n v="-11902.69"/>
    <s v="83.95000"/>
    <s v="BDT"/>
    <n v="-999230.83"/>
    <n v="-11902.69"/>
    <s v="11902.69_1"/>
    <s v=""/>
    <s v="C3171UQ20HAK0897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1566"/>
    <x v="75"/>
    <d v="2021-06-17T00:00:00"/>
    <d v="2021-06-24T00:00:00"/>
    <s v="RV"/>
    <s v="USD"/>
    <n v="-11874.86"/>
    <s v="83.95000"/>
    <s v="BDT"/>
    <n v="-996894.5"/>
    <n v="-11874.86"/>
    <s v="11874.86_1"/>
    <s v=""/>
    <s v="C3332LVUS0791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573"/>
    <x v="104"/>
    <d v="2021-06-23T00:00:00"/>
    <d v="2021-06-24T00:00:00"/>
    <s v="RV"/>
    <s v="USD"/>
    <n v="-11847.54"/>
    <s v="83.95000"/>
    <s v="BDT"/>
    <n v="-994600.98"/>
    <n v="-11847.54"/>
    <s v="11847.54_1"/>
    <s v=""/>
    <s v="C3333LVUS0838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503"/>
    <x v="65"/>
    <d v="2020-11-11T00:00:00"/>
    <d v="2020-11-19T00:00:00"/>
    <s v="RV"/>
    <s v="USD"/>
    <n v="-11834.62"/>
    <s v="83.95000"/>
    <s v="BDT"/>
    <n v="-993516.35"/>
    <n v="-11834.62"/>
    <s v="11834.62_1"/>
    <s v=""/>
    <s v="C3103LVUS1111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773"/>
    <x v="211"/>
    <d v="2021-01-03T00:00:00"/>
    <d v="2021-01-06T00:00:00"/>
    <s v="RV"/>
    <s v="USD"/>
    <n v="-11833.1"/>
    <s v="83.95000"/>
    <s v="BDT"/>
    <n v="-993388.75"/>
    <n v="-11833.1"/>
    <s v="11833.1_1"/>
    <s v=""/>
    <s v="C3259UQ20KR1409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11804.88"/>
    <s v="83.95000"/>
    <s v="BDT"/>
    <n v="-991019.68"/>
    <n v="-11804.88"/>
    <s v="11804.88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11791.15"/>
    <s v="83.95000"/>
    <s v="BDT"/>
    <n v="-989867.04"/>
    <n v="-11791.15"/>
    <s v="11791.15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356"/>
    <x v="98"/>
    <d v="2020-10-21T00:00:00"/>
    <d v="2020-10-26T00:00:00"/>
    <s v="RV"/>
    <s v="USD"/>
    <n v="-11768.31"/>
    <s v="83.95000"/>
    <s v="BDT"/>
    <n v="-987949.62"/>
    <n v="-11768.31"/>
    <s v="11768.31_1"/>
    <s v=""/>
    <s v="C3205UQ20EU0976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11760.85"/>
    <s v="83.95000"/>
    <s v="BDT"/>
    <n v="-987323.36"/>
    <n v="-11760.85"/>
    <s v="11760.85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0322"/>
    <x v="25"/>
    <d v="2020-10-07T00:00:00"/>
    <d v="2020-10-14T00:00:00"/>
    <s v="RV"/>
    <s v="USD"/>
    <n v="-11756.64"/>
    <s v="83.95000"/>
    <s v="BDT"/>
    <n v="-986969.93"/>
    <n v="-11756.64"/>
    <s v="11756.64_1"/>
    <s v=""/>
    <s v="C3063LVUS093120"/>
    <s v="20201007"/>
    <s v=""/>
    <s v=""/>
    <s v="0"/>
    <s v=""/>
    <s v=""/>
    <s v=""/>
    <s v=""/>
    <s v="2010100001"/>
    <s v=""/>
    <m/>
    <s v=""/>
    <s v=""/>
    <s v=""/>
    <n v="0"/>
  </r>
  <r>
    <s v=""/>
    <s v="40101001"/>
    <s v="2018001355"/>
    <x v="162"/>
    <d v="2021-05-15T00:00:00"/>
    <d v="2021-05-20T00:00:00"/>
    <s v="RV"/>
    <s v="USD"/>
    <n v="-11734.13"/>
    <s v="83.95000"/>
    <s v="BDT"/>
    <n v="-985080.22"/>
    <n v="-11734.13"/>
    <s v="11734.13_1"/>
    <s v=""/>
    <s v="C3267LVUS0603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687"/>
    <x v="254"/>
    <d v="2020-12-13T00:00:00"/>
    <d v="2020-12-23T00:00:00"/>
    <s v="RV"/>
    <s v="USD"/>
    <n v="-11718.22"/>
    <s v="83.95000"/>
    <s v="BDT"/>
    <n v="-983744.57"/>
    <n v="-11718.22"/>
    <s v="11718.22_1"/>
    <s v=""/>
    <s v="C3103LVUS1303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0299"/>
    <x v="248"/>
    <d v="2020-09-15T00:00:00"/>
    <d v="2020-10-08T00:00:00"/>
    <s v="RV"/>
    <s v="USD"/>
    <n v="-11716.83"/>
    <s v="83.95000"/>
    <s v="BDT"/>
    <n v="-983627.88"/>
    <n v="-11716.83"/>
    <s v="11716.83_1"/>
    <s v=""/>
    <s v="C3204UQ20SHA0854"/>
    <s v="20200915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11697.93"/>
    <s v="83.95000"/>
    <s v="BDT"/>
    <n v="-982041.22"/>
    <n v="-11697.93"/>
    <s v="11697.93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1476"/>
    <x v="152"/>
    <d v="2021-06-07T00:00:00"/>
    <d v="2021-06-12T00:00:00"/>
    <s v="RV"/>
    <s v="USD"/>
    <n v="-11689.2"/>
    <s v="83.95000"/>
    <s v="BDT"/>
    <n v="-981308.34"/>
    <n v="-11689.2"/>
    <s v="11689.2_1"/>
    <s v=""/>
    <s v="C3308UQ21HAK0751"/>
    <s v="20210607"/>
    <s v=""/>
    <s v=""/>
    <s v="0"/>
    <s v=""/>
    <s v=""/>
    <s v=""/>
    <s v=""/>
    <s v="2010100001"/>
    <s v=""/>
    <m/>
    <s v=""/>
    <s v=""/>
    <s v=""/>
    <n v="0"/>
  </r>
  <r>
    <s v=""/>
    <s v="40101002"/>
    <s v="2018000168"/>
    <x v="123"/>
    <d v="2020-08-23T00:00:00"/>
    <d v="2020-08-26T00:00:00"/>
    <s v="RV"/>
    <s v="USD"/>
    <n v="-11684.4"/>
    <s v="83.95000"/>
    <s v="BDT"/>
    <n v="-980905.38"/>
    <n v="-11684.4"/>
    <s v="11684.4_1"/>
    <s v=""/>
    <s v="C3062LVBR073020"/>
    <s v="20200823"/>
    <s v=""/>
    <s v=""/>
    <s v="0"/>
    <s v=""/>
    <s v=""/>
    <s v=""/>
    <s v=""/>
    <s v="2010100001"/>
    <s v=""/>
    <m/>
    <s v=""/>
    <s v=""/>
    <s v=""/>
    <n v="0"/>
  </r>
  <r>
    <s v=""/>
    <s v="40101001"/>
    <s v="2018000636"/>
    <x v="280"/>
    <d v="2020-12-10T00:00:00"/>
    <d v="2020-12-15T00:00:00"/>
    <s v="RV"/>
    <s v="USD"/>
    <n v="-11680.01"/>
    <s v="83.95000"/>
    <s v="BDT"/>
    <n v="-980536.84"/>
    <n v="-11680.01"/>
    <s v="11680.01_1"/>
    <s v=""/>
    <s v="C3145LVUS126620"/>
    <s v="20201210"/>
    <s v=""/>
    <s v=""/>
    <s v="0"/>
    <s v=""/>
    <s v=""/>
    <s v=""/>
    <s v=""/>
    <s v="2010100001"/>
    <s v=""/>
    <m/>
    <s v=""/>
    <s v=""/>
    <s v=""/>
    <n v="0"/>
  </r>
  <r>
    <s v=""/>
    <s v="40101001"/>
    <s v="2018000548"/>
    <x v="164"/>
    <d v="2020-11-24T00:00:00"/>
    <d v="2020-11-28T00:00:00"/>
    <s v="RV"/>
    <s v="USD"/>
    <n v="-11674.79"/>
    <s v="83.95000"/>
    <s v="BDT"/>
    <n v="-980098.62"/>
    <n v="-11674.79"/>
    <s v="11674.79_1"/>
    <s v=""/>
    <s v="C3147LVUS119120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1040"/>
    <x v="171"/>
    <d v="2021-03-01T00:00:00"/>
    <d v="2021-03-10T00:00:00"/>
    <s v="RV"/>
    <s v="USD"/>
    <n v="-11674.3"/>
    <s v="83.95000"/>
    <s v="BDT"/>
    <n v="-980057.49"/>
    <n v="-11674.3"/>
    <s v="11674.3_1"/>
    <s v=""/>
    <s v="C3272UQ21OSA0227"/>
    <s v="20210301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11669.18"/>
    <s v="83.95000"/>
    <s v="BDT"/>
    <n v="-979627.66"/>
    <n v="-11669.18"/>
    <s v="11669.18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623"/>
    <x v="93"/>
    <d v="2021-06-29T00:00:00"/>
    <d v="2021-07-07T00:00:00"/>
    <s v="RV"/>
    <s v="USD"/>
    <n v="-11662.42"/>
    <s v="83.95000"/>
    <s v="BDT"/>
    <n v="-979060.16"/>
    <n v="-11662.42"/>
    <s v="11662.42_1"/>
    <s v=""/>
    <s v="C3312LVUS0860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641"/>
    <x v="225"/>
    <d v="2020-12-08T00:00:00"/>
    <d v="2020-12-20T00:00:00"/>
    <s v="RV"/>
    <s v="USD"/>
    <n v="-11660.97"/>
    <s v="83.95000"/>
    <s v="BDT"/>
    <n v="-978938.43"/>
    <n v="-11660.97"/>
    <s v="11660.97_1"/>
    <s v=""/>
    <s v="C3149LVMX1192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575"/>
    <x v="218"/>
    <d v="2020-11-29T00:00:00"/>
    <d v="2020-12-01T00:00:00"/>
    <s v="RV"/>
    <s v="USD"/>
    <n v="-11656.85"/>
    <s v="83.95000"/>
    <s v="BDT"/>
    <n v="-978592.56"/>
    <n v="-11656.85"/>
    <s v="11656.85_1"/>
    <s v=""/>
    <s v="C3147LVGR1233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1223"/>
    <x v="107"/>
    <d v="2021-04-13T00:00:00"/>
    <d v="2021-04-22T00:00:00"/>
    <s v="RV"/>
    <s v="USD"/>
    <n v="-11644.21"/>
    <s v="83.95000"/>
    <s v="BDT"/>
    <n v="-977531.43"/>
    <n v="-11644.21"/>
    <s v="11644.21_1"/>
    <s v=""/>
    <s v="C3344UQ21NAG0453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1643.29"/>
    <s v="83.95000"/>
    <s v="BDT"/>
    <n v="-977454.2"/>
    <n v="-11643.29"/>
    <s v="11643.29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464"/>
    <x v="127"/>
    <d v="2021-06-04T00:00:00"/>
    <d v="2021-06-10T00:00:00"/>
    <s v="RV"/>
    <s v="USD"/>
    <n v="-11639.76"/>
    <s v="83.95000"/>
    <s v="BDT"/>
    <n v="-977157.85"/>
    <n v="-11639.76"/>
    <s v="11639.76_1"/>
    <s v=""/>
    <s v="C3281LVUS0696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11629.77"/>
    <s v="83.95000"/>
    <s v="BDT"/>
    <n v="-976319.19"/>
    <n v="-11629.77"/>
    <s v="11629.77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11"/>
    <s v="2008000044"/>
    <x v="184"/>
    <d v="2020-09-30T00:00:00"/>
    <d v="2020-10-10T00:00:00"/>
    <s v="DR"/>
    <s v="USD"/>
    <n v="-11620.1"/>
    <s v="83.95000"/>
    <s v="BDT"/>
    <n v="-975507.4"/>
    <n v="-11620.1"/>
    <s v="11620.1_1"/>
    <s v=""/>
    <s v="CIPL-PGC-0277-20"/>
    <s v="CIPL-PGC-0277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0122"/>
    <x v="1"/>
    <d v="2020-07-30T00:00:00"/>
    <d v="2020-08-10T00:00:00"/>
    <s v="RV"/>
    <s v="USD"/>
    <n v="-11611.03"/>
    <s v="83.95000"/>
    <s v="BDT"/>
    <n v="-974745.97"/>
    <n v="-11611.03"/>
    <s v="11611.03_1"/>
    <s v=""/>
    <s v="C3081LVMX068220"/>
    <s v="20200730"/>
    <s v=""/>
    <s v=""/>
    <s v="0"/>
    <s v=""/>
    <s v=""/>
    <s v=""/>
    <s v=""/>
    <s v="2010100001"/>
    <s v=""/>
    <m/>
    <s v=""/>
    <s v=""/>
    <s v=""/>
    <n v="0"/>
  </r>
  <r>
    <s v=""/>
    <s v="40101001"/>
    <s v="2018001058"/>
    <x v="191"/>
    <d v="2021-03-08T00:00:00"/>
    <d v="2021-03-13T00:00:00"/>
    <s v="RV"/>
    <s v="USD"/>
    <n v="-11608.53"/>
    <s v="83.95000"/>
    <s v="BDT"/>
    <n v="-974536.09"/>
    <n v="-11608.53"/>
    <s v="11608.53_1"/>
    <s v=""/>
    <s v="C3254UQ21SEN0284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0365"/>
    <x v="98"/>
    <d v="2020-10-21T00:00:00"/>
    <d v="2020-10-28T00:00:00"/>
    <s v="RV"/>
    <s v="USD"/>
    <n v="-11598.19"/>
    <s v="83.95000"/>
    <s v="BDT"/>
    <n v="-973668.05"/>
    <n v="-11598.19"/>
    <s v="11598.19_1"/>
    <s v=""/>
    <s v="C3102LVUS0989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334"/>
    <x v="12"/>
    <d v="2020-10-10T00:00:00"/>
    <d v="2020-10-22T00:00:00"/>
    <s v="RV"/>
    <s v="USD"/>
    <n v="-11595.55"/>
    <s v="83.95000"/>
    <s v="BDT"/>
    <n v="-973446.42"/>
    <n v="-11595.55"/>
    <s v="11595.55_1"/>
    <s v=""/>
    <s v="C03139DN20IR0929"/>
    <s v="20201010"/>
    <s v=""/>
    <s v=""/>
    <s v="0"/>
    <s v=""/>
    <s v=""/>
    <s v=""/>
    <s v=""/>
    <s v="2010100001"/>
    <s v=""/>
    <m/>
    <s v=""/>
    <s v=""/>
    <s v=""/>
    <n v="0"/>
  </r>
  <r>
    <s v=""/>
    <s v="40101001"/>
    <s v="2018001280"/>
    <x v="71"/>
    <d v="2021-04-28T00:00:00"/>
    <d v="2021-05-06T00:00:00"/>
    <s v="RV"/>
    <s v="USD"/>
    <n v="-11569.11"/>
    <s v="83.95000"/>
    <s v="BDT"/>
    <n v="-971226.78"/>
    <n v="-11569.11"/>
    <s v="11569.11_1"/>
    <s v=""/>
    <s v="C3343UQ21YOK0530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135"/>
    <x v="147"/>
    <d v="2020-07-31T00:00:00"/>
    <d v="2020-08-14T00:00:00"/>
    <s v="RV"/>
    <s v="USD"/>
    <n v="-11563.28"/>
    <s v="83.95000"/>
    <s v="BDT"/>
    <n v="-970737.36"/>
    <n v="-11563.28"/>
    <s v="11563.28_1"/>
    <s v=""/>
    <s v="C3150UQ20YAN0691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364"/>
    <x v="281"/>
    <d v="2020-10-23T00:00:00"/>
    <d v="2020-10-28T00:00:00"/>
    <s v="RV"/>
    <s v="USD"/>
    <n v="-11553.35"/>
    <s v="83.95000"/>
    <s v="BDT"/>
    <n v="-969903.73"/>
    <n v="-11553.35"/>
    <s v="11553.35_1"/>
    <s v=""/>
    <s v="C3204UQ20RU0851"/>
    <s v="20201023"/>
    <s v=""/>
    <s v=""/>
    <s v="0"/>
    <s v=""/>
    <s v=""/>
    <s v=""/>
    <s v=""/>
    <s v="2010100001"/>
    <s v=""/>
    <m/>
    <s v=""/>
    <s v=""/>
    <s v=""/>
    <n v="0"/>
  </r>
  <r>
    <s v=""/>
    <s v="40101001"/>
    <s v="2018000491"/>
    <x v="65"/>
    <d v="2020-11-11T00:00:00"/>
    <d v="2020-11-17T00:00:00"/>
    <s v="RV"/>
    <s v="USD"/>
    <n v="-11540.83"/>
    <s v="83.95000"/>
    <s v="BDT"/>
    <n v="-968852.68"/>
    <n v="-11540.83"/>
    <s v="11540.83_1"/>
    <s v=""/>
    <s v="C3141LVMX1112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643"/>
    <x v="187"/>
    <d v="2020-12-12T00:00:00"/>
    <d v="2020-12-20T00:00:00"/>
    <s v="RV"/>
    <s v="USD"/>
    <n v="-11529.35"/>
    <s v="83.95000"/>
    <s v="BDT"/>
    <n v="-967888.93"/>
    <n v="-11529.35"/>
    <s v="11529.35_1"/>
    <s v=""/>
    <s v="C3147LVGR127020"/>
    <s v="20201212"/>
    <s v=""/>
    <s v=""/>
    <s v="0"/>
    <s v=""/>
    <s v=""/>
    <s v=""/>
    <s v=""/>
    <s v="2010100001"/>
    <s v=""/>
    <m/>
    <s v=""/>
    <s v=""/>
    <s v=""/>
    <n v="0"/>
  </r>
  <r>
    <s v=""/>
    <s v="40101001"/>
    <s v="2018000991"/>
    <x v="72"/>
    <d v="2021-02-16T00:00:00"/>
    <d v="2021-02-25T00:00:00"/>
    <s v="RV"/>
    <s v="USD"/>
    <n v="-11527.55"/>
    <s v="83.95000"/>
    <s v="BDT"/>
    <n v="-967737.82"/>
    <n v="-11527.55"/>
    <s v="11527.55_1"/>
    <s v=""/>
    <s v="C3223LVUS0199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050"/>
    <x v="191"/>
    <d v="2021-03-08T00:00:00"/>
    <d v="2021-03-11T00:00:00"/>
    <s v="RV"/>
    <s v="USD"/>
    <n v="-11507.69"/>
    <s v="83.95000"/>
    <s v="BDT"/>
    <n v="-966070.58"/>
    <n v="-11507.69"/>
    <s v="11507.69_1"/>
    <s v=""/>
    <s v="C3290UQ21TOM0292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0503"/>
    <x v="65"/>
    <d v="2020-11-11T00:00:00"/>
    <d v="2020-11-19T00:00:00"/>
    <s v="RV"/>
    <s v="USD"/>
    <n v="-11495.73"/>
    <s v="83.95000"/>
    <s v="BDT"/>
    <n v="-965066.54"/>
    <n v="-11495.73"/>
    <s v="11495.73_1"/>
    <s v=""/>
    <s v="C3103LVUS1111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230"/>
    <x v="270"/>
    <d v="2020-09-14T00:00:00"/>
    <d v="2020-09-16T00:00:00"/>
    <s v="RV"/>
    <s v="USD"/>
    <n v="-11466.69"/>
    <s v="83.95000"/>
    <s v="BDT"/>
    <n v="-962628.62"/>
    <n v="-11466.69"/>
    <s v="11466.69_1"/>
    <s v=""/>
    <s v="C3159UQ20KR0841"/>
    <s v="20200914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1404.43"/>
    <s v="83.95000"/>
    <s v="BDT"/>
    <n v="-957401.89"/>
    <n v="-11404.43"/>
    <s v="11404.43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993"/>
    <x v="72"/>
    <d v="2021-02-16T00:00:00"/>
    <d v="2021-02-25T00:00:00"/>
    <s v="RV"/>
    <s v="USD"/>
    <n v="-11380.16"/>
    <s v="83.95000"/>
    <s v="BDT"/>
    <n v="-955364.43"/>
    <n v="-11380.16"/>
    <s v="11380.16_1"/>
    <s v=""/>
    <s v="C3248LVUS0201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507"/>
    <x v="152"/>
    <d v="2021-06-07T00:00:00"/>
    <d v="2021-06-17T00:00:00"/>
    <s v="RV"/>
    <s v="USD"/>
    <n v="-11371.44"/>
    <s v="83.95000"/>
    <s v="BDT"/>
    <n v="-954632.39"/>
    <n v="-11371.44"/>
    <s v="11371.44_1"/>
    <s v=""/>
    <s v="C3289LVMX0691-21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983"/>
    <x v="129"/>
    <d v="2021-02-13T00:00:00"/>
    <d v="2021-02-24T00:00:00"/>
    <s v="RV"/>
    <s v="USD"/>
    <n v="-11369.89"/>
    <s v="83.95000"/>
    <s v="BDT"/>
    <n v="-954502.27"/>
    <n v="-11369.89"/>
    <s v="11369.89_1"/>
    <s v=""/>
    <s v="C3246UQ21TOM0124"/>
    <s v="20210213"/>
    <s v=""/>
    <s v=""/>
    <s v="0"/>
    <s v=""/>
    <s v=""/>
    <s v=""/>
    <s v=""/>
    <s v="2010100001"/>
    <s v=""/>
    <m/>
    <s v=""/>
    <s v=""/>
    <s v=""/>
    <n v="0"/>
  </r>
  <r>
    <s v=""/>
    <s v="40101001"/>
    <s v="2018001412"/>
    <x v="266"/>
    <d v="2021-05-22T00:00:00"/>
    <d v="2021-05-25T00:00:00"/>
    <s v="RV"/>
    <s v="USD"/>
    <n v="-11368.22"/>
    <s v="83.95000"/>
    <s v="BDT"/>
    <n v="-954362.07"/>
    <n v="-11368.22"/>
    <s v="11368.22_1"/>
    <s v=""/>
    <s v="C3281LVUS0646-21"/>
    <s v="20210522"/>
    <s v=""/>
    <s v=""/>
    <s v="0"/>
    <s v=""/>
    <s v=""/>
    <s v=""/>
    <s v=""/>
    <s v="2010100001"/>
    <s v=""/>
    <m/>
    <s v=""/>
    <s v=""/>
    <s v=""/>
    <n v="0"/>
  </r>
  <r>
    <s v=""/>
    <s v="40101001"/>
    <s v="2018001530"/>
    <x v="278"/>
    <d v="2021-06-16T00:00:00"/>
    <d v="2021-06-17T00:00:00"/>
    <s v="RV"/>
    <s v="USD"/>
    <n v="-11363.67"/>
    <s v="83.95000"/>
    <s v="BDT"/>
    <n v="-953980.1"/>
    <n v="-11363.67"/>
    <s v="11363.67_1"/>
    <s v=""/>
    <s v="C3332LVUS0793-21"/>
    <s v="20210616"/>
    <s v=""/>
    <s v=""/>
    <s v="0"/>
    <s v=""/>
    <s v=""/>
    <s v=""/>
    <s v=""/>
    <s v="2010100001"/>
    <s v=""/>
    <m/>
    <s v=""/>
    <s v=""/>
    <s v=""/>
    <n v="0"/>
  </r>
  <r>
    <s v=""/>
    <s v="40101001"/>
    <s v="2018001027"/>
    <x v="16"/>
    <d v="2021-02-26T00:00:00"/>
    <d v="2021-03-03T00:00:00"/>
    <s v="RV"/>
    <s v="USD"/>
    <n v="-11357.8"/>
    <s v="83.95000"/>
    <s v="BDT"/>
    <n v="-953487.31"/>
    <n v="-11357.8"/>
    <s v="11357.8_1"/>
    <s v=""/>
    <s v="C3249LVUS0228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0349"/>
    <x v="78"/>
    <d v="2020-10-04T00:00:00"/>
    <d v="2020-10-24T00:00:00"/>
    <s v="RV"/>
    <s v="USD"/>
    <n v="-11342.67"/>
    <s v="83.95000"/>
    <s v="BDT"/>
    <n v="-952217.15"/>
    <n v="-11342.67"/>
    <s v="11342.67_1"/>
    <s v=""/>
    <s v="C3133SB20UK0919"/>
    <s v="20201004"/>
    <s v=""/>
    <s v=""/>
    <s v="0"/>
    <s v=""/>
    <s v=""/>
    <s v=""/>
    <s v=""/>
    <s v="2010100001"/>
    <s v=""/>
    <m/>
    <s v=""/>
    <s v=""/>
    <s v=""/>
    <n v="0"/>
  </r>
  <r>
    <s v=""/>
    <s v="40101001"/>
    <s v="2018000554"/>
    <x v="164"/>
    <d v="2020-11-24T00:00:00"/>
    <d v="2020-11-28T00:00:00"/>
    <s v="RV"/>
    <s v="USD"/>
    <n v="-11336.03"/>
    <s v="83.95000"/>
    <s v="BDT"/>
    <n v="-951659.72"/>
    <n v="-11336.03"/>
    <s v="11336.03_1"/>
    <s v=""/>
    <s v="C3231UQ20KR1209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1110"/>
    <x v="89"/>
    <d v="2021-03-21T00:00:00"/>
    <d v="2021-03-28T00:00:00"/>
    <s v="RV"/>
    <s v="USD"/>
    <n v="-11334.66"/>
    <s v="83.95000"/>
    <s v="BDT"/>
    <n v="-951544.71"/>
    <n v="-11334.66"/>
    <s v="11334.66_1"/>
    <s v=""/>
    <s v="C3223LVUS0307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627"/>
    <x v="225"/>
    <d v="2020-12-08T00:00:00"/>
    <d v="2020-12-13T00:00:00"/>
    <s v="RV"/>
    <s v="USD"/>
    <n v="-11312.77"/>
    <s v="83.95000"/>
    <s v="BDT"/>
    <n v="-949707.04"/>
    <n v="-11312.77"/>
    <s v="11312.77_1"/>
    <s v=""/>
    <s v="C3245UQ20EU1262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474"/>
    <x v="110"/>
    <d v="2020-11-08T00:00:00"/>
    <d v="2020-11-14T00:00:00"/>
    <s v="RV"/>
    <s v="USD"/>
    <n v="-11292.53"/>
    <s v="83.95000"/>
    <s v="BDT"/>
    <n v="-948007.89"/>
    <n v="-11292.53"/>
    <s v="11292.53_1"/>
    <s v=""/>
    <s v="C3231UQ20EU1099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640"/>
    <x v="193"/>
    <d v="2020-12-03T00:00:00"/>
    <d v="2020-12-20T00:00:00"/>
    <s v="RV"/>
    <s v="USD"/>
    <n v="-11289.61"/>
    <s v="83.95000"/>
    <s v="BDT"/>
    <n v="-947762.76"/>
    <n v="-11289.61"/>
    <s v="11289.61_1"/>
    <s v=""/>
    <s v="C3245UQ20RU1082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247"/>
    <x v="133"/>
    <d v="2020-09-21T00:00:00"/>
    <d v="2020-09-24T00:00:00"/>
    <s v="RV"/>
    <s v="USD"/>
    <n v="-11287.84"/>
    <s v="83.95000"/>
    <s v="BDT"/>
    <n v="-947614.17"/>
    <n v="-11287.84"/>
    <s v="11287.84_1"/>
    <s v=""/>
    <s v="C3156DC20US0871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355"/>
    <x v="13"/>
    <d v="2020-10-22T00:00:00"/>
    <d v="2020-10-26T00:00:00"/>
    <s v="RV"/>
    <s v="USD"/>
    <n v="-11281.07"/>
    <s v="83.95000"/>
    <s v="BDT"/>
    <n v="-947045.83"/>
    <n v="-11281.07"/>
    <s v="11281.07_1"/>
    <s v=""/>
    <s v="C03170US20-0962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0238"/>
    <x v="81"/>
    <d v="2020-09-16T00:00:00"/>
    <d v="2020-09-22T00:00:00"/>
    <s v="RV"/>
    <s v="USD"/>
    <n v="-11264.23"/>
    <s v="83.95000"/>
    <s v="BDT"/>
    <n v="-945632.11"/>
    <n v="-11264.23"/>
    <s v="11264.23_1"/>
    <s v=""/>
    <s v="C3154UQ20OSA0858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741"/>
    <x v="178"/>
    <d v="2020-12-23T00:00:00"/>
    <d v="2021-01-03T00:00:00"/>
    <s v="RV"/>
    <s v="USD"/>
    <n v="-11249.52"/>
    <s v="83.95000"/>
    <s v="BDT"/>
    <n v="-944397.2"/>
    <n v="-11249.52"/>
    <s v="11249.52_1"/>
    <s v=""/>
    <s v="C3218LVUS1352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1595"/>
    <x v="163"/>
    <d v="2021-06-26T00:00:00"/>
    <d v="2021-06-29T00:00:00"/>
    <s v="RV"/>
    <s v="USD"/>
    <n v="-11247.91"/>
    <s v="83.95000"/>
    <s v="BDT"/>
    <n v="-944262.04"/>
    <n v="-11247.91"/>
    <s v="11247.91_1"/>
    <s v=""/>
    <s v="C3309UQ21KR0858"/>
    <s v="20210626"/>
    <s v=""/>
    <s v=""/>
    <s v="0"/>
    <s v=""/>
    <s v=""/>
    <s v=""/>
    <s v=""/>
    <s v="2010100001"/>
    <s v=""/>
    <m/>
    <s v=""/>
    <s v=""/>
    <s v=""/>
    <n v="0"/>
  </r>
  <r>
    <s v=""/>
    <s v="40101001"/>
    <s v="2018001619"/>
    <x v="244"/>
    <d v="2021-06-13T00:00:00"/>
    <d v="2021-07-07T00:00:00"/>
    <s v="RV"/>
    <s v="USD"/>
    <n v="-11204.06"/>
    <s v="83.95000"/>
    <s v="BDT"/>
    <n v="-940580.84"/>
    <n v="-11204.06"/>
    <s v="11204.06_1"/>
    <s v=""/>
    <s v="C3285LVMX0689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1258"/>
    <x v="192"/>
    <d v="2021-04-25T00:00:00"/>
    <d v="2021-04-29T00:00:00"/>
    <s v="RV"/>
    <s v="USD"/>
    <n v="-11200.15"/>
    <s v="83.95000"/>
    <s v="BDT"/>
    <n v="-940252.59"/>
    <n v="-11200.15"/>
    <s v="11200.15_1"/>
    <s v=""/>
    <s v="C3279LVUS0475-21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11196.96"/>
    <s v="83.95000"/>
    <s v="BDT"/>
    <n v="-939984.79"/>
    <n v="-11196.96"/>
    <s v="11196.96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041"/>
    <x v="136"/>
    <d v="2020-07-09T00:00:00"/>
    <d v="2020-07-20T00:00:00"/>
    <s v="RV"/>
    <s v="USD"/>
    <n v="-11174.9"/>
    <s v="83.95000"/>
    <s v="BDT"/>
    <n v="-938132.85"/>
    <n v="-11174.9"/>
    <s v="11174.9_1"/>
    <s v=""/>
    <s v="C3036LVUS0592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081"/>
    <x v="41"/>
    <d v="2020-07-26T00:00:00"/>
    <d v="2020-07-29T00:00:00"/>
    <s v="RV"/>
    <s v="USD"/>
    <n v="-11166.88"/>
    <s v="83.95000"/>
    <s v="BDT"/>
    <n v="-937459.58"/>
    <n v="-11166.88"/>
    <s v="11166.88_1"/>
    <s v=""/>
    <s v="C3117UQ20MEL0657"/>
    <s v="20200726"/>
    <s v=""/>
    <s v=""/>
    <s v="0"/>
    <s v=""/>
    <s v=""/>
    <s v=""/>
    <s v=""/>
    <s v="2010100001"/>
    <s v=""/>
    <m/>
    <s v=""/>
    <s v=""/>
    <s v=""/>
    <n v="0"/>
  </r>
  <r>
    <s v=""/>
    <s v="40101001"/>
    <s v="2018001528"/>
    <x v="86"/>
    <d v="2021-06-14T00:00:00"/>
    <d v="2021-06-17T00:00:00"/>
    <s v="RV"/>
    <s v="USD"/>
    <n v="-11158.72"/>
    <s v="83.95000"/>
    <s v="BDT"/>
    <n v="-936774.54"/>
    <n v="-11158.72"/>
    <s v="11158.72_1"/>
    <s v=""/>
    <s v="C3335LVUS0741-21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11140.29"/>
    <s v="83.95000"/>
    <s v="BDT"/>
    <n v="-935227.32"/>
    <n v="-11140.29"/>
    <s v="11140.29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214"/>
    <x v="40"/>
    <d v="2020-09-08T00:00:00"/>
    <d v="2020-09-12T00:00:00"/>
    <s v="RV"/>
    <s v="USD"/>
    <n v="-11133.42"/>
    <s v="83.95000"/>
    <s v="BDT"/>
    <n v="-934650.6"/>
    <n v="-11133.42"/>
    <s v="11133.42_1"/>
    <s v=""/>
    <s v="C3154UQ20NAG0779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216"/>
    <x v="40"/>
    <d v="2020-09-08T00:00:00"/>
    <d v="2020-09-12T00:00:00"/>
    <s v="RV"/>
    <s v="USD"/>
    <n v="-11133.42"/>
    <s v="83.95000"/>
    <s v="BDT"/>
    <n v="-934650.61"/>
    <n v="-11133.42"/>
    <s v="11133.42_2"/>
    <s v=""/>
    <s v="C3154UQ20HAK0778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544"/>
    <x v="14"/>
    <d v="2020-11-25T00:00:00"/>
    <d v="2020-11-28T00:00:00"/>
    <s v="RV"/>
    <s v="USD"/>
    <n v="-11128.2"/>
    <s v="83.95000"/>
    <s v="BDT"/>
    <n v="-934212.39"/>
    <n v="-11128.2"/>
    <s v="11128.2_1"/>
    <s v=""/>
    <s v="C3145LVGR119420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290"/>
    <x v="184"/>
    <d v="2020-09-30T00:00:00"/>
    <d v="2020-10-04T00:00:00"/>
    <s v="RV"/>
    <s v="USD"/>
    <n v="-11099.65"/>
    <s v="83.95000"/>
    <s v="BDT"/>
    <n v="-931815.62"/>
    <n v="-11099.65"/>
    <s v="11099.65_1"/>
    <s v=""/>
    <s v="C3081LVMX088720"/>
    <s v="20200930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11086.17"/>
    <s v="83.95000"/>
    <s v="BDT"/>
    <n v="-930683.99"/>
    <n v="-11086.17"/>
    <s v="11086.17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11078.25"/>
    <s v="83.95000"/>
    <s v="BDT"/>
    <n v="-930019.09"/>
    <n v="-11078.25"/>
    <s v="11078.25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11073.75"/>
    <s v="83.95000"/>
    <s v="BDT"/>
    <n v="-929641.31"/>
    <n v="-11073.75"/>
    <s v="11073.75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626"/>
    <x v="225"/>
    <d v="2020-12-08T00:00:00"/>
    <d v="2020-12-13T00:00:00"/>
    <s v="RV"/>
    <s v="USD"/>
    <n v="-11064.39"/>
    <s v="83.95000"/>
    <s v="BDT"/>
    <n v="-928855.54"/>
    <n v="-11064.39"/>
    <s v="11064.39_1"/>
    <s v=""/>
    <s v="C3245UQ20EU1257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1606"/>
    <x v="93"/>
    <d v="2021-06-29T00:00:00"/>
    <d v="2021-06-30T00:00:00"/>
    <s v="RV"/>
    <s v="USD"/>
    <n v="-11060.34"/>
    <s v="83.95000"/>
    <s v="BDT"/>
    <n v="-928515.54"/>
    <n v="-11060.34"/>
    <s v="11060.34_1"/>
    <s v=""/>
    <s v="C3284LVGR0869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11057.46"/>
    <s v="83.95000"/>
    <s v="BDT"/>
    <n v="-928273.77"/>
    <n v="-11057.46"/>
    <s v="11057.46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1143"/>
    <x v="141"/>
    <d v="2021-03-25T00:00:00"/>
    <d v="2021-03-31T00:00:00"/>
    <s v="RV"/>
    <s v="USD"/>
    <n v="-11054.76"/>
    <s v="83.95000"/>
    <s v="BDT"/>
    <n v="-928047.1"/>
    <n v="-11054.76"/>
    <s v="11054.76_1"/>
    <s v=""/>
    <s v="C3261C&amp;A21GR0386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1528"/>
    <x v="86"/>
    <d v="2021-06-14T00:00:00"/>
    <d v="2021-06-17T00:00:00"/>
    <s v="RV"/>
    <s v="USD"/>
    <n v="-11039.93"/>
    <s v="83.95000"/>
    <s v="BDT"/>
    <n v="-926802.12"/>
    <n v="-11039.93"/>
    <s v="11039.93_1"/>
    <s v=""/>
    <s v="C3335LVUS0741-21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0807"/>
    <x v="42"/>
    <d v="2021-01-14T00:00:00"/>
    <d v="2021-01-20T00:00:00"/>
    <s v="RV"/>
    <s v="USD"/>
    <n v="-11023.83"/>
    <s v="83.95000"/>
    <s v="BDT"/>
    <n v="-925450.53"/>
    <n v="-11023.83"/>
    <s v="11023.83_1"/>
    <s v=""/>
    <s v="C3253UQ21NAG0019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224"/>
    <x v="107"/>
    <d v="2021-04-13T00:00:00"/>
    <d v="2021-04-22T00:00:00"/>
    <s v="RV"/>
    <s v="USD"/>
    <n v="-11012.35"/>
    <s v="83.95000"/>
    <s v="BDT"/>
    <n v="-924486.78"/>
    <n v="-11012.35"/>
    <s v="11012.35_1"/>
    <s v=""/>
    <s v="C3344UQ21HAK0452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0479"/>
    <x v="65"/>
    <d v="2020-11-11T00:00:00"/>
    <d v="2020-11-16T00:00:00"/>
    <s v="RV"/>
    <s v="USD"/>
    <n v="-10999.82"/>
    <s v="83.95000"/>
    <s v="BDT"/>
    <n v="-923434.89"/>
    <n v="-10999.82"/>
    <s v="10999.82_1"/>
    <s v=""/>
    <s v="C3207UQ20HAK110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1527"/>
    <x v="88"/>
    <d v="2021-06-11T00:00:00"/>
    <d v="2021-06-17T00:00:00"/>
    <s v="RV"/>
    <s v="USD"/>
    <n v="-10981.69"/>
    <s v="83.95000"/>
    <s v="BDT"/>
    <n v="-921912.88"/>
    <n v="-10981.69"/>
    <s v="10981.69_1"/>
    <s v=""/>
    <s v="C3311LVUS0748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165"/>
    <x v="189"/>
    <d v="2021-03-26T00:00:00"/>
    <d v="2021-04-01T00:00:00"/>
    <s v="RV"/>
    <s v="USD"/>
    <n v="-10973.8"/>
    <s v="83.95000"/>
    <s v="BDT"/>
    <n v="-921250.51"/>
    <n v="-10973.8"/>
    <s v="10973.8_1"/>
    <s v=""/>
    <s v="C3318UQ21NAG0398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784"/>
    <x v="137"/>
    <d v="2021-01-05T00:00:00"/>
    <d v="2021-01-10T00:00:00"/>
    <s v="RV"/>
    <s v="USD"/>
    <n v="-10950.1"/>
    <s v="83.95000"/>
    <s v="BDT"/>
    <n v="-919260.89"/>
    <n v="-10950.1"/>
    <s v="10950.1_1"/>
    <s v=""/>
    <s v="C3245UQ20SG1412"/>
    <s v="20210105"/>
    <s v=""/>
    <s v=""/>
    <s v="0"/>
    <s v=""/>
    <s v=""/>
    <s v=""/>
    <s v=""/>
    <s v="2010100001"/>
    <s v=""/>
    <m/>
    <s v=""/>
    <s v=""/>
    <s v=""/>
    <n v="0"/>
  </r>
  <r>
    <s v=""/>
    <s v="40101001"/>
    <s v="2018000883"/>
    <x v="258"/>
    <d v="2021-01-22T00:00:00"/>
    <d v="2021-02-02T00:00:00"/>
    <s v="RV"/>
    <s v="USD"/>
    <n v="-10937.26"/>
    <s v="83.95000"/>
    <s v="BDT"/>
    <n v="-918182.98"/>
    <n v="-10937.26"/>
    <s v="10937.26_1"/>
    <s v=""/>
    <s v="C3218LVMX005021"/>
    <s v="20210122"/>
    <s v=""/>
    <s v=""/>
    <s v="0"/>
    <s v=""/>
    <s v=""/>
    <s v=""/>
    <s v=""/>
    <s v="2010100001"/>
    <s v=""/>
    <m/>
    <s v=""/>
    <s v=""/>
    <s v=""/>
    <n v="0"/>
  </r>
  <r>
    <s v=""/>
    <s v="40101001"/>
    <s v="2018000768"/>
    <x v="224"/>
    <d v="2020-12-30T00:00:00"/>
    <d v="2021-01-06T00:00:00"/>
    <s v="RV"/>
    <s v="USD"/>
    <n v="-10936.56"/>
    <s v="83.95000"/>
    <s v="BDT"/>
    <n v="-918124.21"/>
    <n v="-10936.56"/>
    <s v="10936.56_1"/>
    <s v=""/>
    <s v="C3149LVUS1390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273"/>
    <x v="40"/>
    <d v="2020-09-08T00:00:00"/>
    <d v="2020-09-30T00:00:00"/>
    <s v="RV"/>
    <s v="USD"/>
    <n v="-10928.96"/>
    <s v="83.95000"/>
    <s v="BDT"/>
    <n v="-917486.19"/>
    <n v="-10928.96"/>
    <s v="10928.96_1"/>
    <s v=""/>
    <s v="C3155UQ20SHA0820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10883.07"/>
    <s v="83.95000"/>
    <s v="BDT"/>
    <n v="-913633.73"/>
    <n v="-10883.07"/>
    <s v="10883.07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969"/>
    <x v="132"/>
    <d v="2021-02-10T00:00:00"/>
    <d v="2021-02-22T00:00:00"/>
    <s v="RV"/>
    <s v="USD"/>
    <n v="-10880.53"/>
    <s v="83.95000"/>
    <s v="BDT"/>
    <n v="-913420.49"/>
    <n v="-10880.53"/>
    <s v="10880.53_1"/>
    <s v=""/>
    <s v="C3255UQ21NY0163"/>
    <s v="20210210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10871.41"/>
    <s v="83.95000"/>
    <s v="BDT"/>
    <n v="-912654.87"/>
    <n v="-10871.41"/>
    <s v="10871.41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622"/>
    <x v="225"/>
    <d v="2020-12-08T00:00:00"/>
    <d v="2020-12-13T00:00:00"/>
    <s v="RV"/>
    <s v="USD"/>
    <n v="-10851.34"/>
    <s v="83.95000"/>
    <s v="BDT"/>
    <n v="-910969.99"/>
    <n v="-10851.34"/>
    <s v="10851.34_1"/>
    <s v=""/>
    <s v="C3218LVUS1265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082"/>
    <x v="41"/>
    <d v="2020-07-26T00:00:00"/>
    <d v="2020-07-29T00:00:00"/>
    <s v="RV"/>
    <s v="USD"/>
    <n v="-10847.82"/>
    <s v="83.95000"/>
    <s v="BDT"/>
    <n v="-910674.49"/>
    <n v="-10847.82"/>
    <s v="10847.82_1"/>
    <s v=""/>
    <s v="C3117UQ20MEL0658"/>
    <s v="20200726"/>
    <s v=""/>
    <s v=""/>
    <s v="0"/>
    <s v=""/>
    <s v=""/>
    <s v=""/>
    <s v=""/>
    <s v="2010100001"/>
    <s v=""/>
    <m/>
    <s v=""/>
    <s v=""/>
    <s v=""/>
    <n v="0"/>
  </r>
  <r>
    <s v=""/>
    <s v="40101001"/>
    <s v="2018001145"/>
    <x v="141"/>
    <d v="2021-03-25T00:00:00"/>
    <d v="2021-03-31T00:00:00"/>
    <s v="RV"/>
    <s v="USD"/>
    <n v="-10843.19"/>
    <s v="83.95000"/>
    <s v="BDT"/>
    <n v="-910285.8"/>
    <n v="-10843.19"/>
    <s v="10843.19_1"/>
    <s v=""/>
    <s v="C3261C&amp;A21GR0388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1196"/>
    <x v="282"/>
    <d v="2021-04-03T00:00:00"/>
    <d v="2021-04-08T00:00:00"/>
    <s v="RV"/>
    <s v="USD"/>
    <n v="-10831.76"/>
    <s v="83.95000"/>
    <s v="BDT"/>
    <n v="-909326.25"/>
    <n v="-10831.76"/>
    <s v="10831.76_1"/>
    <s v=""/>
    <s v="C3271UQ21TOK0419"/>
    <s v="20210403"/>
    <s v=""/>
    <s v=""/>
    <s v="0"/>
    <s v=""/>
    <s v=""/>
    <s v=""/>
    <s v=""/>
    <s v="2010100001"/>
    <s v=""/>
    <m/>
    <s v=""/>
    <s v=""/>
    <s v=""/>
    <n v="0"/>
  </r>
  <r>
    <s v=""/>
    <s v="40101001"/>
    <s v="2018000873"/>
    <x v="126"/>
    <d v="2021-01-13T00:00:00"/>
    <d v="2021-02-01T00:00:00"/>
    <s v="RV"/>
    <s v="USD"/>
    <n v="-10826.69"/>
    <s v="83.95000"/>
    <s v="BDT"/>
    <n v="-908900.63"/>
    <n v="-10826.69"/>
    <s v="10826.69_1"/>
    <s v=""/>
    <s v="C3104LVMX1350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088"/>
    <x v="139"/>
    <d v="2020-07-27T00:00:00"/>
    <d v="2020-07-30T00:00:00"/>
    <s v="RV"/>
    <s v="USD"/>
    <n v="-10806.4"/>
    <s v="83.95000"/>
    <s v="BDT"/>
    <n v="-907197.28"/>
    <n v="-10806.4"/>
    <s v="10806.4_1"/>
    <s v=""/>
    <s v="C3064LVUS068020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1412"/>
    <x v="266"/>
    <d v="2021-05-22T00:00:00"/>
    <d v="2021-05-25T00:00:00"/>
    <s v="RV"/>
    <s v="USD"/>
    <n v="-10767.17"/>
    <s v="83.95000"/>
    <s v="BDT"/>
    <n v="-903903.92"/>
    <n v="-10767.17"/>
    <s v="10767.17_1"/>
    <s v=""/>
    <s v="C3281LVUS0646-21"/>
    <s v="20210522"/>
    <s v=""/>
    <s v=""/>
    <s v="0"/>
    <s v=""/>
    <s v=""/>
    <s v=""/>
    <s v=""/>
    <s v="2010100001"/>
    <s v=""/>
    <m/>
    <s v=""/>
    <s v=""/>
    <s v=""/>
    <n v="0"/>
  </r>
  <r>
    <s v=""/>
    <s v="40101001"/>
    <s v="2018000531"/>
    <x v="6"/>
    <d v="2020-11-16T00:00:00"/>
    <d v="2020-11-24T00:00:00"/>
    <s v="RV"/>
    <s v="USD"/>
    <n v="-10753.3"/>
    <s v="83.95000"/>
    <s v="BDT"/>
    <n v="-902739.54"/>
    <n v="-10753.3"/>
    <s v="10753.3_1"/>
    <s v=""/>
    <s v="C3234UQ20LA1128"/>
    <s v="20201116"/>
    <s v=""/>
    <s v=""/>
    <s v="0"/>
    <s v=""/>
    <s v=""/>
    <s v=""/>
    <s v=""/>
    <s v="2010100001"/>
    <s v=""/>
    <m/>
    <s v=""/>
    <s v=""/>
    <s v=""/>
    <n v="0"/>
  </r>
  <r>
    <s v=""/>
    <s v="40101001"/>
    <s v="2018001619"/>
    <x v="244"/>
    <d v="2021-06-13T00:00:00"/>
    <d v="2021-07-07T00:00:00"/>
    <s v="RV"/>
    <s v="USD"/>
    <n v="-10750.28"/>
    <s v="83.95000"/>
    <s v="BDT"/>
    <n v="-902486.01"/>
    <n v="-10750.28"/>
    <s v="10750.28_1"/>
    <s v=""/>
    <s v="C3285LVMX0689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1621"/>
    <x v="176"/>
    <d v="2021-06-19T00:00:00"/>
    <d v="2021-07-07T00:00:00"/>
    <s v="RV"/>
    <s v="USD"/>
    <n v="-10744.86"/>
    <s v="83.95000"/>
    <s v="BDT"/>
    <n v="-902031"/>
    <n v="-10744.86"/>
    <s v="10744.86_1"/>
    <s v=""/>
    <s v="C3335LVMX0739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468"/>
    <x v="110"/>
    <d v="2020-11-08T00:00:00"/>
    <d v="2020-11-14T00:00:00"/>
    <s v="RV"/>
    <s v="USD"/>
    <n v="-10737.82"/>
    <s v="83.95000"/>
    <s v="BDT"/>
    <n v="-901439.99"/>
    <n v="-10737.82"/>
    <s v="10737.82_1"/>
    <s v=""/>
    <s v="C3160SB20UK105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1172"/>
    <x v="189"/>
    <d v="2021-03-26T00:00:00"/>
    <d v="2021-04-04T00:00:00"/>
    <s v="RV"/>
    <s v="USD"/>
    <n v="-10728.64"/>
    <s v="83.95000"/>
    <s v="BDT"/>
    <n v="-900669.32"/>
    <n v="-10728.64"/>
    <s v="10728.64_1"/>
    <s v=""/>
    <s v="C3173AMZLB0362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014"/>
    <x v="16"/>
    <d v="2021-02-26T00:00:00"/>
    <d v="2021-03-02T00:00:00"/>
    <s v="RV"/>
    <s v="USD"/>
    <n v="-10721.19"/>
    <s v="83.95000"/>
    <s v="BDT"/>
    <n v="-900043.9"/>
    <n v="-10721.19"/>
    <s v="10721.19_1"/>
    <s v=""/>
    <s v="C3221LVUS0233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0792"/>
    <x v="251"/>
    <d v="2021-01-06T00:00:00"/>
    <d v="2021-01-12T00:00:00"/>
    <s v="RV"/>
    <s v="USD"/>
    <n v="-10718.63"/>
    <s v="83.95000"/>
    <s v="BDT"/>
    <n v="-899828.99"/>
    <n v="-10718.63"/>
    <s v="10718.63_1"/>
    <s v=""/>
    <s v="C3214LVUS141720"/>
    <s v="20210106"/>
    <s v=""/>
    <s v=""/>
    <s v="0"/>
    <s v=""/>
    <s v=""/>
    <s v=""/>
    <s v=""/>
    <s v="2010100001"/>
    <s v=""/>
    <m/>
    <s v=""/>
    <s v=""/>
    <s v=""/>
    <n v="0"/>
  </r>
  <r>
    <s v=""/>
    <s v="40101001"/>
    <s v="2018001031"/>
    <x v="276"/>
    <d v="2021-02-21T00:00:00"/>
    <d v="2021-03-07T00:00:00"/>
    <s v="RV"/>
    <s v="USD"/>
    <n v="-10695.3"/>
    <s v="83.95000"/>
    <s v="BDT"/>
    <n v="-897870.44"/>
    <n v="-10695.3"/>
    <s v="10695.3_1"/>
    <s v=""/>
    <s v="C3259UQ21OSA0211"/>
    <s v="20210221"/>
    <s v=""/>
    <s v=""/>
    <s v="0"/>
    <s v=""/>
    <s v=""/>
    <s v=""/>
    <s v=""/>
    <s v="2010100001"/>
    <s v=""/>
    <m/>
    <s v=""/>
    <s v=""/>
    <s v=""/>
    <n v="0"/>
  </r>
  <r>
    <s v=""/>
    <s v="40101001"/>
    <s v="2018000442"/>
    <x v="283"/>
    <d v="2020-11-04T00:00:00"/>
    <d v="2020-11-11T00:00:00"/>
    <s v="RV"/>
    <s v="USD"/>
    <n v="-10688.47"/>
    <s v="83.95000"/>
    <s v="BDT"/>
    <n v="-897297.06"/>
    <n v="-10688.47"/>
    <s v="10688.47_1"/>
    <s v=""/>
    <s v="C3104LVMX101220"/>
    <s v="20201104"/>
    <s v=""/>
    <s v=""/>
    <s v="0"/>
    <s v=""/>
    <s v=""/>
    <s v=""/>
    <s v=""/>
    <s v="2010100001"/>
    <s v=""/>
    <m/>
    <s v=""/>
    <s v=""/>
    <s v=""/>
    <n v="0"/>
  </r>
  <r>
    <s v=""/>
    <s v="40101001"/>
    <s v="2018001355"/>
    <x v="162"/>
    <d v="2021-05-15T00:00:00"/>
    <d v="2021-05-20T00:00:00"/>
    <s v="RV"/>
    <s v="USD"/>
    <n v="-10680.71"/>
    <s v="83.95000"/>
    <s v="BDT"/>
    <n v="-896645.6"/>
    <n v="-10680.71"/>
    <s v="10680.71_1"/>
    <s v=""/>
    <s v="C3267LVUS0603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0221"/>
    <x v="45"/>
    <d v="2020-09-09T00:00:00"/>
    <d v="2020-09-14T00:00:00"/>
    <s v="RV"/>
    <s v="USD"/>
    <n v="-10671.65"/>
    <s v="83.95000"/>
    <s v="BDT"/>
    <n v="-895885.02"/>
    <n v="-10671.65"/>
    <s v="10671.65_1"/>
    <s v=""/>
    <s v="C3136UQ20KR0837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1546"/>
    <x v="103"/>
    <d v="2021-06-18T00:00:00"/>
    <d v="2021-06-21T00:00:00"/>
    <s v="RV"/>
    <s v="USD"/>
    <n v="-10651.7"/>
    <s v="83.95000"/>
    <s v="BDT"/>
    <n v="-894210.22"/>
    <n v="-10651.7"/>
    <s v="10651.7_1"/>
    <s v=""/>
    <s v="C3333LVUS0785-21"/>
    <s v="20210618"/>
    <s v=""/>
    <s v=""/>
    <s v="0"/>
    <s v=""/>
    <s v=""/>
    <s v=""/>
    <s v=""/>
    <s v="2010100001"/>
    <s v=""/>
    <m/>
    <s v=""/>
    <s v=""/>
    <s v=""/>
    <n v="0"/>
  </r>
  <r>
    <s v=""/>
    <s v="40101001"/>
    <s v="2018000065"/>
    <x v="53"/>
    <d v="2020-07-22T00:00:00"/>
    <d v="2020-07-25T00:00:00"/>
    <s v="RV"/>
    <s v="USD"/>
    <n v="-10640.55"/>
    <s v="83.95000"/>
    <s v="BDT"/>
    <n v="-893274.18"/>
    <n v="-10640.55"/>
    <s v="10640.55_1"/>
    <s v=""/>
    <s v="C3128UQ20TOK0660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318"/>
    <x v="97"/>
    <d v="2020-10-09T00:00:00"/>
    <d v="2020-10-13T00:00:00"/>
    <s v="RV"/>
    <s v="USD"/>
    <n v="-10637.16"/>
    <s v="83.95000"/>
    <s v="BDT"/>
    <n v="-892989.58"/>
    <n v="-10637.16"/>
    <s v="10637.16_1"/>
    <s v=""/>
    <s v="C3208UQ20HK0968"/>
    <s v="20201009"/>
    <s v=""/>
    <s v=""/>
    <s v="0"/>
    <s v=""/>
    <s v=""/>
    <s v=""/>
    <s v=""/>
    <s v="2010100001"/>
    <s v=""/>
    <m/>
    <s v=""/>
    <s v=""/>
    <s v=""/>
    <n v="0"/>
  </r>
  <r>
    <s v=""/>
    <s v="40101001"/>
    <s v="2018000402"/>
    <x v="67"/>
    <d v="2020-10-27T00:00:00"/>
    <d v="2020-11-03T00:00:00"/>
    <s v="RV"/>
    <s v="USD"/>
    <n v="-10636.4"/>
    <s v="83.95000"/>
    <s v="BDT"/>
    <n v="-892925.78"/>
    <n v="-10636.4"/>
    <s v="10636.4_1"/>
    <s v=""/>
    <s v="C3205UQ20SHA1005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1279"/>
    <x v="71"/>
    <d v="2021-04-28T00:00:00"/>
    <d v="2021-05-06T00:00:00"/>
    <s v="RV"/>
    <s v="USD"/>
    <n v="-10626.3"/>
    <s v="83.95000"/>
    <s v="BDT"/>
    <n v="-892077.89"/>
    <n v="-10626.3"/>
    <s v="10626.3_1"/>
    <s v=""/>
    <s v="C3343UQ21OSA0536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342"/>
    <x v="31"/>
    <d v="2020-10-18T00:00:00"/>
    <d v="2020-10-22T00:00:00"/>
    <s v="RV"/>
    <s v="USD"/>
    <n v="-10600.77"/>
    <s v="83.95000"/>
    <s v="BDT"/>
    <n v="-889934.65"/>
    <n v="-10600.77"/>
    <s v="10600.77_1"/>
    <s v=""/>
    <s v="C03202US20-0966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1355"/>
    <x v="162"/>
    <d v="2021-05-15T00:00:00"/>
    <d v="2021-05-20T00:00:00"/>
    <s v="RV"/>
    <s v="USD"/>
    <n v="-10587.37"/>
    <s v="83.95000"/>
    <s v="BDT"/>
    <n v="-888809.71"/>
    <n v="-10587.37"/>
    <s v="10587.37_1"/>
    <s v=""/>
    <s v="C3267LVUS0603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1117"/>
    <x v="177"/>
    <d v="2021-03-23T00:00:00"/>
    <d v="2021-03-28T00:00:00"/>
    <s v="RV"/>
    <s v="USD"/>
    <n v="-10566.49"/>
    <s v="83.95000"/>
    <s v="BDT"/>
    <n v="-887056.84"/>
    <n v="-10566.49"/>
    <s v="10566.49_1"/>
    <s v=""/>
    <s v="C3271UQ21SG0393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758"/>
    <x v="188"/>
    <d v="2021-01-01T00:00:00"/>
    <d v="2021-01-05T00:00:00"/>
    <s v="RV"/>
    <s v="USD"/>
    <n v="-10564.66"/>
    <s v="83.95000"/>
    <s v="BDT"/>
    <n v="-886903.21"/>
    <n v="-10564.66"/>
    <s v="10564.66_1"/>
    <s v=""/>
    <s v="C3245UQ20KR1381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0088"/>
    <x v="139"/>
    <d v="2020-07-27T00:00:00"/>
    <d v="2020-07-30T00:00:00"/>
    <s v="RV"/>
    <s v="USD"/>
    <n v="-10564.47"/>
    <s v="83.95000"/>
    <s v="BDT"/>
    <n v="-886887.26"/>
    <n v="-10564.47"/>
    <s v="10564.47_1"/>
    <s v=""/>
    <s v="C3064LVUS068020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1355"/>
    <x v="162"/>
    <d v="2021-05-15T00:00:00"/>
    <d v="2021-05-20T00:00:00"/>
    <s v="RV"/>
    <s v="USD"/>
    <n v="-10559.23"/>
    <s v="83.95000"/>
    <s v="BDT"/>
    <n v="-886447.36"/>
    <n v="-10559.23"/>
    <s v="10559.23_1"/>
    <s v=""/>
    <s v="C3267LVUS0603-21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1552"/>
    <x v="75"/>
    <d v="2021-06-17T00:00:00"/>
    <d v="2021-06-23T00:00:00"/>
    <s v="RV"/>
    <s v="USD"/>
    <n v="-10557.34"/>
    <s v="83.95000"/>
    <s v="BDT"/>
    <n v="-886288.69"/>
    <n v="-10557.34"/>
    <s v="10557.34_1"/>
    <s v=""/>
    <s v="C3364UQ21TOK0809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320"/>
    <x v="12"/>
    <d v="2020-10-10T00:00:00"/>
    <d v="2020-10-14T00:00:00"/>
    <s v="RV"/>
    <s v="USD"/>
    <n v="-10548.11"/>
    <s v="83.95000"/>
    <s v="BDT"/>
    <n v="-885513.83"/>
    <n v="-10548.11"/>
    <s v="10548.11_1"/>
    <s v=""/>
    <s v="C03170US20-0926"/>
    <s v="20201010"/>
    <s v=""/>
    <s v=""/>
    <s v="0"/>
    <s v=""/>
    <s v=""/>
    <s v=""/>
    <s v=""/>
    <s v="2010100001"/>
    <s v=""/>
    <m/>
    <s v=""/>
    <s v=""/>
    <s v=""/>
    <n v="0"/>
  </r>
  <r>
    <s v=""/>
    <s v="40101001"/>
    <s v="2018000835"/>
    <x v="181"/>
    <d v="2021-01-19T00:00:00"/>
    <d v="2021-01-26T00:00:00"/>
    <s v="RV"/>
    <s v="USD"/>
    <n v="-10537.23"/>
    <s v="83.95000"/>
    <s v="BDT"/>
    <n v="-884600.46"/>
    <n v="-10537.23"/>
    <s v="10537.23_1"/>
    <s v=""/>
    <s v="C3213LVUS0049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10531.1"/>
    <s v="83.95000"/>
    <s v="BDT"/>
    <n v="-884085.85"/>
    <n v="-10531.1"/>
    <s v="10531.1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792"/>
    <x v="251"/>
    <d v="2021-01-06T00:00:00"/>
    <d v="2021-01-12T00:00:00"/>
    <s v="RV"/>
    <s v="USD"/>
    <n v="-10472.91"/>
    <s v="83.95000"/>
    <s v="BDT"/>
    <n v="-879200.79"/>
    <n v="-10472.91"/>
    <s v="10472.91_1"/>
    <s v=""/>
    <s v="C3214LVUS141720"/>
    <s v="20210106"/>
    <s v=""/>
    <s v=""/>
    <s v="0"/>
    <s v=""/>
    <s v=""/>
    <s v=""/>
    <s v=""/>
    <s v="2010100001"/>
    <s v=""/>
    <m/>
    <s v=""/>
    <s v=""/>
    <s v=""/>
    <n v="0"/>
  </r>
  <r>
    <s v=""/>
    <s v="40101011"/>
    <s v="2008000271"/>
    <x v="255"/>
    <d v="2021-05-31T00:00:00"/>
    <d v="2021-06-06T00:00:00"/>
    <s v="DR"/>
    <s v="USD"/>
    <n v="-10472.91"/>
    <s v="83.94992"/>
    <s v="BDT"/>
    <n v="-879199.96"/>
    <n v="-10472.91"/>
    <s v="10472.91_2"/>
    <s v=""/>
    <s v="CIPL-PGCL-300-21"/>
    <s v="CIPL-PGCL-300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1215"/>
    <x v="108"/>
    <d v="2021-04-11T00:00:00"/>
    <d v="2021-04-22T00:00:00"/>
    <s v="RV"/>
    <s v="USD"/>
    <n v="-10472.76"/>
    <s v="83.95000"/>
    <s v="BDT"/>
    <n v="-879188.2"/>
    <n v="-10472.76"/>
    <s v="10472.76_1"/>
    <s v=""/>
    <s v="C3273NT21US0423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0690"/>
    <x v="254"/>
    <d v="2020-12-13T00:00:00"/>
    <d v="2020-12-23T00:00:00"/>
    <s v="RV"/>
    <s v="USD"/>
    <n v="-10465.469999999999"/>
    <s v="83.95000"/>
    <s v="BDT"/>
    <n v="-878576.21"/>
    <n v="-10465.469999999999"/>
    <s v="10465.47_1"/>
    <s v=""/>
    <s v="C3143LVGR1296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10448.77"/>
    <s v="83.95000"/>
    <s v="BDT"/>
    <n v="-877174.24"/>
    <n v="-10448.77"/>
    <s v="10448.77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607"/>
    <x v="93"/>
    <d v="2021-06-29T00:00:00"/>
    <d v="2021-06-30T00:00:00"/>
    <s v="RV"/>
    <s v="USD"/>
    <n v="-10445.41"/>
    <s v="83.95000"/>
    <s v="BDT"/>
    <n v="-876892.17"/>
    <n v="-10445.41"/>
    <s v="10445.41_1"/>
    <s v=""/>
    <s v="C3341LVGR0868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1211"/>
    <x v="257"/>
    <d v="2021-04-06T00:00:00"/>
    <d v="2021-04-20T00:00:00"/>
    <s v="RV"/>
    <s v="USD"/>
    <n v="-10429.17"/>
    <s v="83.95000"/>
    <s v="BDT"/>
    <n v="-875528.82"/>
    <n v="-10429.17"/>
    <s v="10429.17_1"/>
    <s v=""/>
    <s v="C3262LVMX0427-21"/>
    <s v="20210406"/>
    <s v=""/>
    <s v=""/>
    <s v="0"/>
    <s v=""/>
    <s v=""/>
    <s v=""/>
    <s v=""/>
    <s v="2010100001"/>
    <s v=""/>
    <m/>
    <s v=""/>
    <s v=""/>
    <s v=""/>
    <n v="0"/>
  </r>
  <r>
    <s v=""/>
    <s v="40101001"/>
    <s v="2018000276"/>
    <x v="161"/>
    <d v="2020-09-26T00:00:00"/>
    <d v="2020-09-30T00:00:00"/>
    <s v="RV"/>
    <s v="USD"/>
    <n v="-10422.42"/>
    <s v="83.95000"/>
    <s v="BDT"/>
    <n v="-874962.16"/>
    <n v="-10422.42"/>
    <s v="10422.42_1"/>
    <s v=""/>
    <s v="C3161UQ20KR0905"/>
    <s v="20200926"/>
    <s v=""/>
    <s v=""/>
    <s v="0"/>
    <s v=""/>
    <s v=""/>
    <s v=""/>
    <s v=""/>
    <s v="2010100001"/>
    <s v=""/>
    <m/>
    <s v=""/>
    <s v=""/>
    <s v=""/>
    <n v="0"/>
  </r>
  <r>
    <s v=""/>
    <s v="40101001"/>
    <s v="2018000229"/>
    <x v="121"/>
    <d v="2020-09-11T00:00:00"/>
    <d v="2020-09-16T00:00:00"/>
    <s v="RV"/>
    <s v="USD"/>
    <n v="-10412"/>
    <s v="83.95000"/>
    <s v="BDT"/>
    <n v="-874087.4"/>
    <n v="-10412"/>
    <s v="10412_1"/>
    <s v=""/>
    <s v="C3204UQ20EU0848"/>
    <s v="20200911"/>
    <s v=""/>
    <s v=""/>
    <s v="0"/>
    <s v=""/>
    <s v=""/>
    <s v=""/>
    <s v=""/>
    <s v="2010100001"/>
    <s v=""/>
    <m/>
    <s v=""/>
    <s v=""/>
    <s v=""/>
    <n v="0"/>
  </r>
  <r>
    <s v=""/>
    <s v="40101001"/>
    <s v="2018001366"/>
    <x v="64"/>
    <d v="2021-05-12T00:00:00"/>
    <d v="2021-05-20T00:00:00"/>
    <s v="RV"/>
    <s v="USD"/>
    <n v="-10403.39"/>
    <s v="83.95000"/>
    <s v="BDT"/>
    <n v="-873364.59"/>
    <n v="-10403.39"/>
    <s v="10403.39_1"/>
    <s v=""/>
    <s v="C3308UQ21TOM0629"/>
    <s v="20210512"/>
    <s v=""/>
    <s v=""/>
    <s v="0"/>
    <s v=""/>
    <s v=""/>
    <s v=""/>
    <s v=""/>
    <s v="2010100001"/>
    <s v=""/>
    <m/>
    <s v=""/>
    <s v=""/>
    <s v=""/>
    <n v="0"/>
  </r>
  <r>
    <s v=""/>
    <s v="40101001"/>
    <s v="2018000605"/>
    <x v="193"/>
    <d v="2020-12-03T00:00:00"/>
    <d v="2020-12-09T00:00:00"/>
    <s v="RV"/>
    <s v="USD"/>
    <n v="-10384.82"/>
    <s v="83.95000"/>
    <s v="BDT"/>
    <n v="-871805.64"/>
    <n v="-10384.82"/>
    <s v="10384.82_1"/>
    <s v=""/>
    <s v="C3102LVUS1224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523"/>
    <x v="265"/>
    <d v="2020-11-21T00:00:00"/>
    <d v="2020-11-24T00:00:00"/>
    <s v="RV"/>
    <s v="USD"/>
    <n v="-10361.83"/>
    <s v="83.95000"/>
    <s v="BDT"/>
    <n v="-869875.63"/>
    <n v="-10361.83"/>
    <s v="10361.83_1"/>
    <s v=""/>
    <s v="C3147LVMY115820"/>
    <s v="20201121"/>
    <s v=""/>
    <s v=""/>
    <s v="0"/>
    <s v=""/>
    <s v=""/>
    <s v=""/>
    <s v=""/>
    <s v="2010100001"/>
    <s v=""/>
    <m/>
    <s v=""/>
    <s v=""/>
    <s v=""/>
    <n v="0"/>
  </r>
  <r>
    <s v=""/>
    <s v="40101001"/>
    <s v="2018000590"/>
    <x v="76"/>
    <d v="2020-11-19T00:00:00"/>
    <d v="2020-12-05T00:00:00"/>
    <s v="RV"/>
    <s v="USD"/>
    <n v="-10351.219999999999"/>
    <s v="83.95000"/>
    <s v="BDT"/>
    <n v="-868984.92"/>
    <n v="-10351.219999999999"/>
    <s v="10351.22_1"/>
    <s v=""/>
    <s v="C3160SB20UK1143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0146"/>
    <x v="234"/>
    <d v="2020-08-14T00:00:00"/>
    <d v="2020-08-20T00:00:00"/>
    <s v="RV"/>
    <s v="USD"/>
    <n v="-10341.540000000001"/>
    <s v="83.95000"/>
    <s v="BDT"/>
    <n v="-868172.28"/>
    <n v="-10341.540000000001"/>
    <s v="10341.54_1"/>
    <s v=""/>
    <s v="C3122UQ20MEL0740"/>
    <s v="20200814"/>
    <s v=""/>
    <s v=""/>
    <s v="0"/>
    <s v=""/>
    <s v=""/>
    <s v=""/>
    <s v=""/>
    <s v="2010100001"/>
    <s v=""/>
    <m/>
    <s v=""/>
    <s v=""/>
    <s v=""/>
    <n v="0"/>
  </r>
  <r>
    <s v=""/>
    <s v="40101001"/>
    <s v="2018000689"/>
    <x v="254"/>
    <d v="2020-12-13T00:00:00"/>
    <d v="2020-12-23T00:00:00"/>
    <s v="RV"/>
    <s v="USD"/>
    <n v="-10321.06"/>
    <s v="83.95000"/>
    <s v="BDT"/>
    <n v="-866452.98"/>
    <n v="-10321.06"/>
    <s v="10321.06_1"/>
    <s v=""/>
    <s v="C3143LVGR1295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1454"/>
    <x v="202"/>
    <d v="2021-06-06T00:00:00"/>
    <d v="2021-06-09T00:00:00"/>
    <s v="RV"/>
    <s v="USD"/>
    <n v="-10272.200000000001"/>
    <s v="83.95000"/>
    <s v="BDT"/>
    <n v="-862351.19"/>
    <n v="-10272.200000000001"/>
    <s v="10272.2_1"/>
    <s v=""/>
    <s v="C3308UQ21SEN0753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481"/>
    <x v="240"/>
    <d v="2020-11-13T00:00:00"/>
    <d v="2020-11-16T00:00:00"/>
    <s v="RV"/>
    <s v="USD"/>
    <n v="-10269.299999999999"/>
    <s v="83.95000"/>
    <s v="BDT"/>
    <n v="-862107.74"/>
    <n v="-10269.299999999999"/>
    <s v="10269.3_1"/>
    <s v=""/>
    <s v="C3215UQ20SEN1134"/>
    <s v="20201113"/>
    <s v=""/>
    <s v=""/>
    <s v="0"/>
    <s v=""/>
    <s v=""/>
    <s v=""/>
    <s v=""/>
    <s v="2010100001"/>
    <s v=""/>
    <m/>
    <s v=""/>
    <s v=""/>
    <s v=""/>
    <n v="0"/>
  </r>
  <r>
    <s v=""/>
    <s v="40101001"/>
    <s v="2018000741"/>
    <x v="178"/>
    <d v="2020-12-23T00:00:00"/>
    <d v="2021-01-03T00:00:00"/>
    <s v="RV"/>
    <s v="USD"/>
    <n v="-10266.98"/>
    <s v="83.95000"/>
    <s v="BDT"/>
    <n v="-861912.97"/>
    <n v="-10266.98"/>
    <s v="10266.98_1"/>
    <s v=""/>
    <s v="C3218LVUS1352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353"/>
    <x v="7"/>
    <d v="2020-10-19T00:00:00"/>
    <d v="2020-10-24T00:00:00"/>
    <s v="RV"/>
    <s v="USD"/>
    <n v="-10265.31"/>
    <s v="83.95000"/>
    <s v="BDT"/>
    <n v="-861772.77"/>
    <n v="-10265.31"/>
    <s v="10265.31_1"/>
    <s v=""/>
    <s v="C3156DC20US0985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792"/>
    <x v="251"/>
    <d v="2021-01-06T00:00:00"/>
    <d v="2021-01-12T00:00:00"/>
    <s v="RV"/>
    <s v="USD"/>
    <n v="-10250.959999999999"/>
    <s v="83.95000"/>
    <s v="BDT"/>
    <n v="-860568.09"/>
    <n v="-10250.959999999999"/>
    <s v="10250.96_1"/>
    <s v=""/>
    <s v="C3214LVUS141720"/>
    <s v="20210106"/>
    <s v=""/>
    <s v=""/>
    <s v="0"/>
    <s v=""/>
    <s v=""/>
    <s v=""/>
    <s v=""/>
    <s v="2010100001"/>
    <s v=""/>
    <m/>
    <s v=""/>
    <s v=""/>
    <s v=""/>
    <n v="0"/>
  </r>
  <r>
    <s v=""/>
    <s v="40101001"/>
    <s v="2018000185"/>
    <x v="55"/>
    <d v="2020-08-19T00:00:00"/>
    <d v="2020-09-05T00:00:00"/>
    <s v="RV"/>
    <s v="USD"/>
    <n v="-10250.16"/>
    <s v="83.95000"/>
    <s v="BDT"/>
    <n v="-860500.94"/>
    <n v="-10250.16"/>
    <s v="10250.16_1"/>
    <s v=""/>
    <s v="C3099LVUS0750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0686"/>
    <x v="268"/>
    <d v="2020-12-11T00:00:00"/>
    <d v="2020-12-23T00:00:00"/>
    <s v="RV"/>
    <s v="USD"/>
    <n v="-10248.85"/>
    <s v="83.95000"/>
    <s v="BDT"/>
    <n v="-860390.96"/>
    <n v="-10248.85"/>
    <s v="10248.85_1"/>
    <s v=""/>
    <s v="C3165DC20US1241"/>
    <s v="20201211"/>
    <s v=""/>
    <s v=""/>
    <s v="0"/>
    <s v=""/>
    <s v=""/>
    <s v=""/>
    <s v=""/>
    <s v="2010100001"/>
    <s v=""/>
    <m/>
    <s v=""/>
    <s v=""/>
    <s v=""/>
    <n v="0"/>
  </r>
  <r>
    <s v=""/>
    <s v="40101001"/>
    <s v="2018000887"/>
    <x v="284"/>
    <d v="2021-01-27T00:00:00"/>
    <d v="2021-02-04T00:00:00"/>
    <s v="RV"/>
    <s v="USD"/>
    <n v="-10227.94"/>
    <s v="83.95000"/>
    <s v="BDT"/>
    <n v="-858635.56"/>
    <n v="-10227.94"/>
    <s v="10227.94_1"/>
    <s v=""/>
    <s v="C3218LVMX009021"/>
    <s v="20210127"/>
    <s v=""/>
    <s v=""/>
    <s v="0"/>
    <s v=""/>
    <s v=""/>
    <s v=""/>
    <s v=""/>
    <s v="2010100001"/>
    <s v=""/>
    <m/>
    <s v=""/>
    <s v=""/>
    <s v=""/>
    <n v="0"/>
  </r>
  <r>
    <s v=""/>
    <s v="40101001"/>
    <s v="2018000574"/>
    <x v="218"/>
    <d v="2020-11-29T00:00:00"/>
    <d v="2020-12-01T00:00:00"/>
    <s v="RV"/>
    <s v="USD"/>
    <n v="-10207.4"/>
    <s v="83.95000"/>
    <s v="BDT"/>
    <n v="-856911.23"/>
    <n v="-10207.4"/>
    <s v="10207.4_1"/>
    <s v=""/>
    <s v="C3147LVGR1231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1391"/>
    <x v="194"/>
    <d v="2021-05-21T00:00:00"/>
    <d v="2021-05-24T00:00:00"/>
    <s v="RV"/>
    <s v="USD"/>
    <n v="-10205.52"/>
    <s v="83.95000"/>
    <s v="BDT"/>
    <n v="-856753.4"/>
    <n v="-10205.52"/>
    <s v="10205.52_1"/>
    <s v=""/>
    <s v="C3283LVUS0647-21"/>
    <s v="20210521"/>
    <s v=""/>
    <s v=""/>
    <s v="0"/>
    <s v=""/>
    <s v=""/>
    <s v=""/>
    <s v=""/>
    <s v="2010100001"/>
    <s v=""/>
    <m/>
    <s v=""/>
    <s v=""/>
    <s v=""/>
    <n v="0"/>
  </r>
  <r>
    <s v=""/>
    <s v="40101001"/>
    <s v="2018000993"/>
    <x v="72"/>
    <d v="2021-02-16T00:00:00"/>
    <d v="2021-02-25T00:00:00"/>
    <s v="RV"/>
    <s v="USD"/>
    <n v="-10170.719999999999"/>
    <s v="83.95000"/>
    <s v="BDT"/>
    <n v="-853831.94"/>
    <n v="-10170.719999999999"/>
    <s v="10170.72_1"/>
    <s v=""/>
    <s v="C3248LVUS0201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0163.93"/>
    <s v="83.95000"/>
    <s v="BDT"/>
    <n v="-853261.92"/>
    <n v="-10163.93"/>
    <s v="10163.93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621"/>
    <x v="176"/>
    <d v="2021-06-19T00:00:00"/>
    <d v="2021-07-07T00:00:00"/>
    <s v="RV"/>
    <s v="USD"/>
    <n v="-10161.65"/>
    <s v="83.95000"/>
    <s v="BDT"/>
    <n v="-853070.53"/>
    <n v="-10161.65"/>
    <s v="10161.65_1"/>
    <s v=""/>
    <s v="C3335LVMX0739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1255"/>
    <x v="232"/>
    <d v="2021-04-21T00:00:00"/>
    <d v="2021-04-27T00:00:00"/>
    <s v="RV"/>
    <s v="USD"/>
    <n v="-10141.16"/>
    <s v="83.95000"/>
    <s v="BDT"/>
    <n v="-851350.38"/>
    <n v="-10141.16"/>
    <s v="10141.16_1"/>
    <s v=""/>
    <s v="C3281LVMX0474-21"/>
    <s v="20210421"/>
    <s v=""/>
    <s v=""/>
    <s v="0"/>
    <s v=""/>
    <s v=""/>
    <s v=""/>
    <s v=""/>
    <s v="2010100001"/>
    <s v=""/>
    <m/>
    <s v=""/>
    <s v=""/>
    <s v=""/>
    <n v="0"/>
  </r>
  <r>
    <s v=""/>
    <s v="40101001"/>
    <s v="2018001548"/>
    <x v="75"/>
    <d v="2021-06-17T00:00:00"/>
    <d v="2021-06-23T00:00:00"/>
    <s v="RV"/>
    <s v="USD"/>
    <n v="-10127.030000000001"/>
    <s v="83.95000"/>
    <s v="BDT"/>
    <n v="-850164.17"/>
    <n v="-10127.030000000001"/>
    <s v="10127.03_1"/>
    <s v=""/>
    <s v="C3329UQ21SEN0783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456"/>
    <x v="18"/>
    <d v="2020-11-05T00:00:00"/>
    <d v="2020-11-14T00:00:00"/>
    <s v="RV"/>
    <s v="USD"/>
    <n v="-10122.049999999999"/>
    <s v="83.95000"/>
    <s v="BDT"/>
    <n v="-849746.1"/>
    <n v="-10122.049999999999"/>
    <s v="10122.05_1"/>
    <s v=""/>
    <s v="C3231UQ20PH1079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222"/>
    <x v="45"/>
    <d v="2020-09-09T00:00:00"/>
    <d v="2020-09-14T00:00:00"/>
    <s v="RV"/>
    <s v="USD"/>
    <n v="-10104.67"/>
    <s v="83.95000"/>
    <s v="BDT"/>
    <n v="-848287.05"/>
    <n v="-10104.67"/>
    <s v="10104.67_1"/>
    <s v=""/>
    <s v="C3151UQ20NAG0791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1546"/>
    <x v="103"/>
    <d v="2021-06-18T00:00:00"/>
    <d v="2021-06-21T00:00:00"/>
    <s v="RV"/>
    <s v="USD"/>
    <n v="-10103.379999999999"/>
    <s v="83.95000"/>
    <s v="BDT"/>
    <n v="-848178.75"/>
    <n v="-10103.379999999999"/>
    <s v="10103.38_1"/>
    <s v=""/>
    <s v="C3333LVUS0785-21"/>
    <s v="20210618"/>
    <s v=""/>
    <s v=""/>
    <s v="0"/>
    <s v=""/>
    <s v=""/>
    <s v=""/>
    <s v=""/>
    <s v="2010100001"/>
    <s v=""/>
    <m/>
    <s v=""/>
    <s v=""/>
    <s v=""/>
    <n v="0"/>
  </r>
  <r>
    <s v=""/>
    <s v="40101001"/>
    <s v="2018000661"/>
    <x v="50"/>
    <d v="2020-12-06T00:00:00"/>
    <d v="2020-12-21T00:00:00"/>
    <s v="RV"/>
    <s v="USD"/>
    <n v="-10088.879999999999"/>
    <s v="83.95000"/>
    <s v="BDT"/>
    <n v="-846961.48"/>
    <n v="-10088.879999999999"/>
    <s v="10088.88_1"/>
    <s v=""/>
    <s v="C3145LVMY122620"/>
    <s v="20201206"/>
    <s v=""/>
    <s v=""/>
    <s v="0"/>
    <s v=""/>
    <s v=""/>
    <s v=""/>
    <s v=""/>
    <s v="2010100001"/>
    <s v=""/>
    <m/>
    <s v=""/>
    <s v=""/>
    <s v=""/>
    <n v="0"/>
  </r>
  <r>
    <s v=""/>
    <s v="40101001"/>
    <s v="2018001439"/>
    <x v="255"/>
    <d v="2021-05-31T00:00:00"/>
    <d v="2021-06-03T00:00:00"/>
    <s v="RV"/>
    <s v="USD"/>
    <n v="-10086.92"/>
    <s v="83.95000"/>
    <s v="BDT"/>
    <n v="-846796.93"/>
    <n v="-10086.92"/>
    <s v="10086.92_1"/>
    <s v=""/>
    <s v="C3289LVGR0708-21"/>
    <s v="20210531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10067.93"/>
    <s v="83.95000"/>
    <s v="BDT"/>
    <n v="-845202.72"/>
    <n v="-10067.93"/>
    <s v="10067.93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368"/>
    <x v="13"/>
    <d v="2020-10-22T00:00:00"/>
    <d v="2020-10-29T00:00:00"/>
    <s v="RV"/>
    <s v="USD"/>
    <n v="-10027.950000000001"/>
    <s v="83.95000"/>
    <s v="BDT"/>
    <n v="-841846.4"/>
    <n v="-10027.950000000001"/>
    <s v="10027.95_1"/>
    <s v=""/>
    <s v="C3104LVMX099020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0207"/>
    <x v="209"/>
    <d v="2020-08-27T00:00:00"/>
    <d v="2020-09-10T00:00:00"/>
    <s v="RV"/>
    <s v="USD"/>
    <n v="-10017.790000000001"/>
    <s v="83.95000"/>
    <s v="BDT"/>
    <n v="-840993.48"/>
    <n v="-10017.790000000001"/>
    <s v="10017.79_1"/>
    <s v=""/>
    <s v="C3135SB20UK0780"/>
    <s v="20200827"/>
    <s v=""/>
    <s v=""/>
    <s v="0"/>
    <s v=""/>
    <s v=""/>
    <s v=""/>
    <s v=""/>
    <s v="2010100001"/>
    <s v=""/>
    <m/>
    <s v=""/>
    <s v=""/>
    <s v=""/>
    <n v="0"/>
  </r>
  <r>
    <s v=""/>
    <s v="40101001"/>
    <s v="2018000089"/>
    <x v="139"/>
    <d v="2020-07-27T00:00:00"/>
    <d v="2020-07-30T00:00:00"/>
    <s v="RV"/>
    <s v="USD"/>
    <n v="-10016.040000000001"/>
    <s v="83.95000"/>
    <s v="BDT"/>
    <n v="-840846.55"/>
    <n v="-10016.040000000001"/>
    <s v="10016.04_1"/>
    <s v=""/>
    <s v="C3125UQ20KR0678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0623"/>
    <x v="26"/>
    <d v="2020-12-07T00:00:00"/>
    <d v="2020-12-13T00:00:00"/>
    <s v="RV"/>
    <s v="USD"/>
    <n v="-10014.450000000001"/>
    <s v="83.95000"/>
    <s v="BDT"/>
    <n v="-840713.08"/>
    <n v="-10014.450000000001"/>
    <s v="10014.45_1"/>
    <s v=""/>
    <s v="C3168UQ20TOM1261"/>
    <s v="20201207"/>
    <s v=""/>
    <s v=""/>
    <s v="0"/>
    <s v=""/>
    <s v=""/>
    <s v=""/>
    <s v=""/>
    <s v="2010100001"/>
    <s v=""/>
    <m/>
    <s v=""/>
    <s v=""/>
    <s v=""/>
    <n v="0"/>
  </r>
  <r>
    <s v=""/>
    <s v="40101001"/>
    <s v="2018000646"/>
    <x v="187"/>
    <d v="2020-12-12T00:00:00"/>
    <d v="2020-12-20T00:00:00"/>
    <s v="RV"/>
    <s v="USD"/>
    <n v="-10014.450000000001"/>
    <s v="83.95000"/>
    <s v="BDT"/>
    <n v="-840713.08"/>
    <n v="-10014.450000000001"/>
    <s v="10014.45_2"/>
    <s v=""/>
    <s v="C3168UQ20TOM1292"/>
    <s v="20201212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10009.58"/>
    <s v="83.95000"/>
    <s v="BDT"/>
    <n v="-840304.24"/>
    <n v="-10009.58"/>
    <s v="10009.58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928"/>
    <x v="46"/>
    <d v="2021-02-07T00:00:00"/>
    <d v="2021-02-14T00:00:00"/>
    <s v="RV"/>
    <s v="USD"/>
    <n v="-9991.33"/>
    <s v="83.95000"/>
    <s v="BDT"/>
    <n v="-838772.15"/>
    <n v="-9991.33"/>
    <s v="9991.33_1"/>
    <s v=""/>
    <s v="C3260UQ21NAG0157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0476"/>
    <x v="90"/>
    <d v="2020-11-12T00:00:00"/>
    <d v="2020-11-15T00:00:00"/>
    <s v="RV"/>
    <s v="USD"/>
    <n v="-9978.6200000000008"/>
    <s v="83.95000"/>
    <s v="BDT"/>
    <n v="-837705.15"/>
    <n v="-9978.6200000000008"/>
    <s v="9978.62_1"/>
    <s v=""/>
    <s v="C3146LVUS110920"/>
    <s v="20201112"/>
    <s v=""/>
    <s v=""/>
    <s v="0"/>
    <s v=""/>
    <s v=""/>
    <s v=""/>
    <s v=""/>
    <s v="2010100001"/>
    <s v=""/>
    <m/>
    <s v=""/>
    <s v=""/>
    <s v=""/>
    <n v="0"/>
  </r>
  <r>
    <s v=""/>
    <s v="40101001"/>
    <s v="2018000994"/>
    <x v="72"/>
    <d v="2021-02-16T00:00:00"/>
    <d v="2021-02-25T00:00:00"/>
    <s v="RV"/>
    <s v="USD"/>
    <n v="-9969.67"/>
    <s v="83.95000"/>
    <s v="BDT"/>
    <n v="-836953.8"/>
    <n v="-9969.67"/>
    <s v="9969.67_1"/>
    <s v=""/>
    <s v="C3223LVUS0202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9968.2099999999991"/>
    <s v="83.95000"/>
    <s v="BDT"/>
    <n v="-836831.23"/>
    <n v="-9968.2099999999991"/>
    <s v="9968.21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9936.1200000000008"/>
    <s v="83.95000"/>
    <s v="BDT"/>
    <n v="-834137.27"/>
    <n v="-9936.1200000000008"/>
    <s v="9936.12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9935.7199999999993"/>
    <s v="83.95000"/>
    <s v="BDT"/>
    <n v="-834103.69"/>
    <n v="-9935.7199999999993"/>
    <s v="9935.72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1350"/>
    <x v="51"/>
    <d v="2021-05-08T00:00:00"/>
    <d v="2021-05-17T00:00:00"/>
    <s v="RV"/>
    <s v="USD"/>
    <n v="-9935.24"/>
    <s v="83.95000"/>
    <s v="BDT"/>
    <n v="-834063.4"/>
    <n v="-9935.24"/>
    <s v="9935.24_1"/>
    <s v=""/>
    <s v="C3194AMZLB0464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867"/>
    <x v="85"/>
    <d v="2021-01-25T00:00:00"/>
    <d v="2021-01-30T00:00:00"/>
    <s v="RV"/>
    <s v="USD"/>
    <n v="-9934.4500000000007"/>
    <s v="83.95000"/>
    <s v="BDT"/>
    <n v="-833997.08"/>
    <n v="-9934.4500000000007"/>
    <s v="9934.45_1"/>
    <s v=""/>
    <s v="C3272UQ21TOK0102"/>
    <s v="20210125"/>
    <s v=""/>
    <s v=""/>
    <s v="0"/>
    <s v=""/>
    <s v=""/>
    <s v=""/>
    <s v=""/>
    <s v="2010100001"/>
    <s v=""/>
    <m/>
    <s v=""/>
    <s v=""/>
    <s v=""/>
    <n v="0"/>
  </r>
  <r>
    <s v=""/>
    <s v="40101001"/>
    <s v="2018000248"/>
    <x v="133"/>
    <d v="2020-09-21T00:00:00"/>
    <d v="2020-09-24T00:00:00"/>
    <s v="RV"/>
    <s v="USD"/>
    <n v="-9929.48"/>
    <s v="83.95000"/>
    <s v="BDT"/>
    <n v="-833579.84"/>
    <n v="-9929.48"/>
    <s v="9929.48_1"/>
    <s v=""/>
    <s v="C3156DC20US0874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890"/>
    <x v="44"/>
    <d v="2021-01-28T00:00:00"/>
    <d v="2021-02-04T00:00:00"/>
    <s v="RV"/>
    <s v="USD"/>
    <n v="-9900.76"/>
    <s v="83.95000"/>
    <s v="BDT"/>
    <n v="-831168.8"/>
    <n v="-9900.76"/>
    <s v="9900.76_1"/>
    <s v=""/>
    <s v="C3218LVUS0085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191"/>
    <x v="60"/>
    <d v="2020-08-25T00:00:00"/>
    <d v="2020-09-07T00:00:00"/>
    <s v="RV"/>
    <s v="USD"/>
    <n v="-9872.69"/>
    <s v="83.95000"/>
    <s v="BDT"/>
    <n v="-828812.33"/>
    <n v="-9872.69"/>
    <s v="9872.69_1"/>
    <s v=""/>
    <s v="C3152TS20UK0781"/>
    <s v="20200825"/>
    <s v=""/>
    <s v=""/>
    <s v="0"/>
    <s v=""/>
    <s v=""/>
    <s v=""/>
    <s v=""/>
    <s v="2010100001"/>
    <s v=""/>
    <m/>
    <s v=""/>
    <s v=""/>
    <s v=""/>
    <n v="0"/>
  </r>
  <r>
    <s v=""/>
    <s v="40101001"/>
    <s v="2018000041"/>
    <x v="136"/>
    <d v="2020-07-09T00:00:00"/>
    <d v="2020-07-20T00:00:00"/>
    <s v="RV"/>
    <s v="USD"/>
    <n v="-9854.58"/>
    <s v="83.95000"/>
    <s v="BDT"/>
    <n v="-827291.99"/>
    <n v="-9854.58"/>
    <s v="9854.58_1"/>
    <s v=""/>
    <s v="C3036LVUS0592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330"/>
    <x v="58"/>
    <d v="2020-10-12T00:00:00"/>
    <d v="2020-10-18T00:00:00"/>
    <s v="RV"/>
    <s v="USD"/>
    <n v="-9854.5"/>
    <s v="83.95000"/>
    <s v="BDT"/>
    <n v="-827285.28"/>
    <n v="-9854.5"/>
    <s v="9854.5_1"/>
    <s v=""/>
    <s v="C3095QTUS095920"/>
    <s v="20201012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9850.58"/>
    <s v="83.95000"/>
    <s v="BDT"/>
    <n v="-826956.19"/>
    <n v="-9850.58"/>
    <s v="9850.58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290"/>
    <x v="184"/>
    <d v="2020-09-30T00:00:00"/>
    <d v="2020-10-04T00:00:00"/>
    <s v="RV"/>
    <s v="USD"/>
    <n v="-9840.86"/>
    <s v="83.95000"/>
    <s v="BDT"/>
    <n v="-826140.2"/>
    <n v="-9840.86"/>
    <s v="9840.86_1"/>
    <s v=""/>
    <s v="C3081LVMX088720"/>
    <s v="20200930"/>
    <s v=""/>
    <s v=""/>
    <s v="0"/>
    <s v=""/>
    <s v=""/>
    <s v=""/>
    <s v=""/>
    <s v="2010100001"/>
    <s v=""/>
    <m/>
    <s v=""/>
    <s v=""/>
    <s v=""/>
    <n v="0"/>
  </r>
  <r>
    <s v=""/>
    <s v="40101001"/>
    <s v="2018000732"/>
    <x v="267"/>
    <d v="2020-12-22T00:00:00"/>
    <d v="2021-01-02T00:00:00"/>
    <s v="RV"/>
    <s v="USD"/>
    <n v="-9836.8700000000008"/>
    <s v="83.95000"/>
    <s v="BDT"/>
    <n v="-825805.24"/>
    <n v="-9836.8700000000008"/>
    <s v="9836.87_1"/>
    <s v=""/>
    <s v="C3145LVCA134920"/>
    <s v="20201222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9828.43"/>
    <s v="83.95000"/>
    <s v="BDT"/>
    <n v="-825096.7"/>
    <n v="-9828.43"/>
    <s v="9828.43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967"/>
    <x v="285"/>
    <d v="2021-02-09T00:00:00"/>
    <d v="2021-02-16T00:00:00"/>
    <s v="RV"/>
    <s v="USD"/>
    <n v="-9824.77"/>
    <s v="83.95000"/>
    <s v="BDT"/>
    <n v="-824789.44"/>
    <n v="-9824.77"/>
    <s v="9824.77_1"/>
    <s v=""/>
    <s v="C3275LVMX0173-21"/>
    <s v="20210209"/>
    <s v=""/>
    <s v=""/>
    <s v="0"/>
    <s v=""/>
    <s v=""/>
    <s v=""/>
    <s v=""/>
    <s v="2010100001"/>
    <s v=""/>
    <m/>
    <s v=""/>
    <s v=""/>
    <s v=""/>
    <n v="0"/>
  </r>
  <r>
    <s v=""/>
    <s v="40101001"/>
    <s v="2018001027"/>
    <x v="16"/>
    <d v="2021-02-26T00:00:00"/>
    <d v="2021-03-03T00:00:00"/>
    <s v="RV"/>
    <s v="USD"/>
    <n v="-9820.32"/>
    <s v="83.95000"/>
    <s v="BDT"/>
    <n v="-824415.86"/>
    <n v="-9820.32"/>
    <s v="9820.32_1"/>
    <s v=""/>
    <s v="C3249LVUS0228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204"/>
    <x v="220"/>
    <d v="2021-04-08T00:00:00"/>
    <d v="2021-04-12T00:00:00"/>
    <s v="RV"/>
    <s v="USD"/>
    <n v="-9809.52"/>
    <s v="83.95000"/>
    <s v="BDT"/>
    <n v="-823509.2"/>
    <n v="-9809.52"/>
    <s v="9809.52_1"/>
    <s v=""/>
    <s v="C3271UQ21KR0429"/>
    <s v="20210408"/>
    <s v=""/>
    <s v=""/>
    <s v="0"/>
    <s v=""/>
    <s v=""/>
    <s v=""/>
    <s v=""/>
    <s v="2010100001"/>
    <s v=""/>
    <m/>
    <s v=""/>
    <s v=""/>
    <s v=""/>
    <n v="0"/>
  </r>
  <r>
    <s v=""/>
    <s v="40101001"/>
    <s v="2018000577"/>
    <x v="218"/>
    <d v="2020-11-29T00:00:00"/>
    <d v="2020-12-01T00:00:00"/>
    <s v="RV"/>
    <s v="USD"/>
    <n v="-9807.5"/>
    <s v="83.95000"/>
    <s v="BDT"/>
    <n v="-823339.63"/>
    <n v="-9807.5"/>
    <s v="9807.5_1"/>
    <s v=""/>
    <s v="C3147LVGR1235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549"/>
    <x v="265"/>
    <d v="2020-11-21T00:00:00"/>
    <d v="2020-11-28T00:00:00"/>
    <s v="RV"/>
    <s v="USD"/>
    <n v="-9798.9"/>
    <s v="83.95000"/>
    <s v="BDT"/>
    <n v="-822617.66"/>
    <n v="-9798.9"/>
    <s v="9798.9_1"/>
    <s v=""/>
    <s v="C3165DC20US1174"/>
    <s v="20201121"/>
    <s v=""/>
    <s v=""/>
    <s v="0"/>
    <s v=""/>
    <s v=""/>
    <s v=""/>
    <s v=""/>
    <s v="2010100001"/>
    <s v=""/>
    <m/>
    <s v=""/>
    <s v=""/>
    <s v=""/>
    <n v="0"/>
  </r>
  <r>
    <s v=""/>
    <s v="40101001"/>
    <s v="2018000226"/>
    <x v="77"/>
    <d v="2020-09-06T00:00:00"/>
    <d v="2020-09-15T00:00:00"/>
    <s v="RV"/>
    <s v="USD"/>
    <n v="-9798.1299999999992"/>
    <s v="83.95000"/>
    <s v="BDT"/>
    <n v="-822553.01"/>
    <n v="-9798.1299999999992"/>
    <s v="9798.13_1"/>
    <s v=""/>
    <s v="C3125UQ20KR0777"/>
    <s v="20200906"/>
    <s v=""/>
    <s v=""/>
    <s v="0"/>
    <s v=""/>
    <s v=""/>
    <s v=""/>
    <s v=""/>
    <s v="2010100001"/>
    <s v=""/>
    <m/>
    <s v=""/>
    <s v=""/>
    <s v=""/>
    <n v="0"/>
  </r>
  <r>
    <s v=""/>
    <s v="40101001"/>
    <s v="2018000879"/>
    <x v="250"/>
    <d v="2021-01-24T00:00:00"/>
    <d v="2021-02-02T00:00:00"/>
    <s v="RV"/>
    <s v="USD"/>
    <n v="-9790.2099999999991"/>
    <s v="83.95000"/>
    <s v="BDT"/>
    <n v="-821888.13"/>
    <n v="-9790.2099999999991"/>
    <s v="9790.21_1"/>
    <s v=""/>
    <s v="C3291UQ21RU0035"/>
    <s v="20210124"/>
    <s v=""/>
    <s v=""/>
    <s v="0"/>
    <s v=""/>
    <s v=""/>
    <s v=""/>
    <s v=""/>
    <s v="2010100001"/>
    <s v=""/>
    <m/>
    <s v=""/>
    <s v=""/>
    <s v=""/>
    <n v="0"/>
  </r>
  <r>
    <s v=""/>
    <s v="40101001"/>
    <s v="2018000380"/>
    <x v="13"/>
    <d v="2020-10-22T00:00:00"/>
    <d v="2020-11-01T00:00:00"/>
    <s v="RV"/>
    <s v="USD"/>
    <n v="-9790.2000000000007"/>
    <s v="83.95000"/>
    <s v="BDT"/>
    <n v="-821887.29"/>
    <n v="-9790.2000000000007"/>
    <s v="9790.2_1"/>
    <s v=""/>
    <s v="C3205UQ20RU0916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1601"/>
    <x v="170"/>
    <d v="2021-06-24T00:00:00"/>
    <d v="2021-06-30T00:00:00"/>
    <s v="RV"/>
    <s v="USD"/>
    <n v="-9784.2000000000007"/>
    <s v="83.95000"/>
    <s v="BDT"/>
    <n v="-821383.59"/>
    <n v="-9784.2000000000007"/>
    <s v="9784.2_1"/>
    <s v=""/>
    <s v="C3311LVUS0832-21"/>
    <s v="20210624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9773.02"/>
    <s v="83.95000"/>
    <s v="BDT"/>
    <n v="-820445.03"/>
    <n v="-9773.02"/>
    <s v="9773.02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109"/>
    <x v="89"/>
    <d v="2021-03-21T00:00:00"/>
    <d v="2021-03-25T00:00:00"/>
    <s v="RV"/>
    <s v="USD"/>
    <n v="-9766.7999999999993"/>
    <s v="83.95000"/>
    <s v="BDT"/>
    <n v="-819922.86"/>
    <n v="-9766.7999999999993"/>
    <s v="9766.8_1"/>
    <s v=""/>
    <s v="C3262LVUS0309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641"/>
    <x v="225"/>
    <d v="2020-12-08T00:00:00"/>
    <d v="2020-12-20T00:00:00"/>
    <s v="RV"/>
    <s v="USD"/>
    <n v="-9760.8799999999992"/>
    <s v="83.95000"/>
    <s v="BDT"/>
    <n v="-819425.88"/>
    <n v="-9760.8799999999992"/>
    <s v="9760.88_1"/>
    <s v=""/>
    <s v="C3149LVMX1192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887"/>
    <x v="284"/>
    <d v="2021-01-27T00:00:00"/>
    <d v="2021-02-04T00:00:00"/>
    <s v="RV"/>
    <s v="USD"/>
    <n v="-9732.66"/>
    <s v="83.95000"/>
    <s v="BDT"/>
    <n v="-817056.8"/>
    <n v="-9732.66"/>
    <s v="9732.66_1"/>
    <s v=""/>
    <s v="C3218LVMX009021"/>
    <s v="20210127"/>
    <s v=""/>
    <s v=""/>
    <s v="0"/>
    <s v=""/>
    <s v=""/>
    <s v=""/>
    <s v=""/>
    <s v="2010100001"/>
    <s v=""/>
    <m/>
    <s v=""/>
    <s v=""/>
    <s v=""/>
    <n v="0"/>
  </r>
  <r>
    <s v=""/>
    <s v="40101001"/>
    <s v="2018000127"/>
    <x v="8"/>
    <d v="2020-07-29T00:00:00"/>
    <d v="2020-08-14T00:00:00"/>
    <s v="RV"/>
    <s v="USD"/>
    <n v="-9730.08"/>
    <s v="83.95000"/>
    <s v="BDT"/>
    <n v="-816840.22"/>
    <n v="-9730.08"/>
    <s v="9730.08_1"/>
    <s v=""/>
    <s v="C3150UQ20YAN0726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0577"/>
    <x v="218"/>
    <d v="2020-11-29T00:00:00"/>
    <d v="2020-12-01T00:00:00"/>
    <s v="RV"/>
    <s v="USD"/>
    <n v="-9716.8700000000008"/>
    <s v="83.95000"/>
    <s v="BDT"/>
    <n v="-815731.24"/>
    <n v="-9716.8700000000008"/>
    <s v="9716.87_1"/>
    <s v=""/>
    <s v="C3147LVGR1235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407"/>
    <x v="146"/>
    <d v="2020-11-02T00:00:00"/>
    <d v="2020-11-04T00:00:00"/>
    <s v="RV"/>
    <s v="USD"/>
    <n v="-9716.82"/>
    <s v="83.95000"/>
    <s v="BDT"/>
    <n v="-815727.04"/>
    <n v="-9716.82"/>
    <s v="9716.82_1"/>
    <s v=""/>
    <s v="C3104LVGR101420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1593"/>
    <x v="61"/>
    <d v="2021-06-25T00:00:00"/>
    <d v="2021-06-29T00:00:00"/>
    <s v="RV"/>
    <s v="USD"/>
    <n v="-9702.0400000000009"/>
    <s v="83.95000"/>
    <s v="BDT"/>
    <n v="-814486.26"/>
    <n v="-9702.0400000000009"/>
    <s v="9702.04_1"/>
    <s v=""/>
    <s v="C3308UQ21TOK0804"/>
    <s v="20210625"/>
    <s v=""/>
    <s v=""/>
    <s v="0"/>
    <s v=""/>
    <s v=""/>
    <s v=""/>
    <s v=""/>
    <s v="2010100001"/>
    <s v=""/>
    <m/>
    <s v=""/>
    <s v=""/>
    <s v=""/>
    <n v="0"/>
  </r>
  <r>
    <s v=""/>
    <s v="40101001"/>
    <s v="2018001008"/>
    <x v="233"/>
    <d v="2021-02-20T00:00:00"/>
    <d v="2021-03-02T00:00:00"/>
    <s v="RV"/>
    <s v="USD"/>
    <n v="-9702.02"/>
    <s v="83.95000"/>
    <s v="BDT"/>
    <n v="-814484.58"/>
    <n v="-9702.02"/>
    <s v="9702.02_1"/>
    <s v=""/>
    <s v="C3291UQ21RU0148"/>
    <s v="20210220"/>
    <s v=""/>
    <s v=""/>
    <s v="0"/>
    <s v=""/>
    <s v=""/>
    <s v=""/>
    <s v=""/>
    <s v="2010100001"/>
    <s v=""/>
    <m/>
    <s v=""/>
    <s v=""/>
    <s v=""/>
    <n v="0"/>
  </r>
  <r>
    <s v=""/>
    <s v="40101001"/>
    <s v="2018000403"/>
    <x v="286"/>
    <d v="2020-10-30T00:00:00"/>
    <d v="2020-11-03T00:00:00"/>
    <s v="RV"/>
    <s v="USD"/>
    <n v="-9699.84"/>
    <s v="83.95000"/>
    <s v="BDT"/>
    <n v="-814301.57"/>
    <n v="-9699.84"/>
    <s v="9699.84_1"/>
    <s v=""/>
    <s v="C3210UQ20HAK1031"/>
    <s v="20201030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9695.18"/>
    <s v="83.95000"/>
    <s v="BDT"/>
    <n v="-813910.36"/>
    <n v="-9695.18"/>
    <s v="9695.18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0075"/>
    <x v="53"/>
    <d v="2020-07-22T00:00:00"/>
    <d v="2020-07-28T00:00:00"/>
    <s v="RV"/>
    <s v="USD"/>
    <n v="-9690.64"/>
    <s v="83.95000"/>
    <s v="BDT"/>
    <n v="-813529.23"/>
    <n v="-9690.64"/>
    <s v="9690.64_1"/>
    <s v=""/>
    <s v="C3131UQ20YAN0665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740"/>
    <x v="155"/>
    <d v="2020-12-17T00:00:00"/>
    <d v="2021-01-03T00:00:00"/>
    <s v="RV"/>
    <s v="USD"/>
    <n v="-9688.82"/>
    <s v="83.95000"/>
    <s v="BDT"/>
    <n v="-813376.43"/>
    <n v="-9688.82"/>
    <s v="9688.82_1"/>
    <s v=""/>
    <s v="C3218LVUS1310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383"/>
    <x v="56"/>
    <d v="2021-05-13T00:00:00"/>
    <d v="2021-05-20T00:00:00"/>
    <s v="RV"/>
    <s v="USD"/>
    <n v="-9682.68"/>
    <s v="83.95000"/>
    <s v="BDT"/>
    <n v="-812860.99"/>
    <n v="-9682.68"/>
    <s v="9682.68_1"/>
    <s v=""/>
    <s v="C3286LVUS060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576"/>
    <x v="218"/>
    <d v="2020-11-29T00:00:00"/>
    <d v="2020-12-01T00:00:00"/>
    <s v="RV"/>
    <s v="USD"/>
    <n v="-9666.5300000000007"/>
    <s v="83.95000"/>
    <s v="BDT"/>
    <n v="-811505.2"/>
    <n v="-9666.5300000000007"/>
    <s v="9666.53_1"/>
    <s v=""/>
    <s v="C3147LVGR1234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898"/>
    <x v="143"/>
    <d v="2021-01-31T00:00:00"/>
    <d v="2021-02-04T00:00:00"/>
    <s v="RV"/>
    <s v="USD"/>
    <n v="-9663.51"/>
    <s v="83.95000"/>
    <s v="BDT"/>
    <n v="-811251.66"/>
    <n v="-9663.51"/>
    <s v="9663.51_1"/>
    <s v=""/>
    <s v="C3272UQ21OSA0118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0295"/>
    <x v="227"/>
    <d v="2020-09-13T00:00:00"/>
    <d v="2020-10-06T00:00:00"/>
    <s v="RV"/>
    <s v="USD"/>
    <n v="-9659.1200000000008"/>
    <s v="83.95000"/>
    <s v="BDT"/>
    <n v="-810883.12"/>
    <n v="-9659.1200000000008"/>
    <s v="9659.12_1"/>
    <s v=""/>
    <s v="C3120UQ20YAN0817"/>
    <s v="20200913"/>
    <s v=""/>
    <s v=""/>
    <s v="0"/>
    <s v=""/>
    <s v=""/>
    <s v=""/>
    <s v=""/>
    <s v="2010100001"/>
    <s v=""/>
    <m/>
    <s v=""/>
    <s v=""/>
    <s v=""/>
    <n v="0"/>
  </r>
  <r>
    <s v=""/>
    <s v="40101001"/>
    <s v="2018000490"/>
    <x v="65"/>
    <d v="2020-11-11T00:00:00"/>
    <d v="2020-11-17T00:00:00"/>
    <s v="RV"/>
    <s v="USD"/>
    <n v="-9650.98"/>
    <s v="83.95000"/>
    <s v="BDT"/>
    <n v="-810199.77"/>
    <n v="-9650.98"/>
    <s v="9650.98_1"/>
    <s v=""/>
    <s v="C3141LVMX1060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924"/>
    <x v="203"/>
    <d v="2021-02-02T00:00:00"/>
    <d v="2021-02-14T00:00:00"/>
    <s v="RV"/>
    <s v="USD"/>
    <n v="-9647.27"/>
    <s v="83.95000"/>
    <s v="BDT"/>
    <n v="-809888.32"/>
    <n v="-9647.27"/>
    <s v="9647.27_1"/>
    <s v=""/>
    <s v="C3248LVMX0128-21"/>
    <s v="20210202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9646.56"/>
    <s v="83.95000"/>
    <s v="BDT"/>
    <n v="-809828.71"/>
    <n v="-9646.56"/>
    <s v="9646.56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890"/>
    <x v="44"/>
    <d v="2021-01-28T00:00:00"/>
    <d v="2021-02-04T00:00:00"/>
    <s v="RV"/>
    <s v="USD"/>
    <n v="-9640.19"/>
    <s v="83.95000"/>
    <s v="BDT"/>
    <n v="-809293.95"/>
    <n v="-9640.19"/>
    <s v="9640.19_1"/>
    <s v=""/>
    <s v="C3218LVUS0085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890"/>
    <x v="44"/>
    <d v="2021-01-28T00:00:00"/>
    <d v="2021-02-04T00:00:00"/>
    <s v="RV"/>
    <s v="USD"/>
    <n v="-9639.09"/>
    <s v="83.95000"/>
    <s v="BDT"/>
    <n v="-809201.61"/>
    <n v="-9639.09"/>
    <s v="9639.09_1"/>
    <s v=""/>
    <s v="C3218LVUS0085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1283"/>
    <x v="71"/>
    <d v="2021-04-28T00:00:00"/>
    <d v="2021-05-07T00:00:00"/>
    <s v="RV"/>
    <s v="USD"/>
    <n v="-9625.23"/>
    <s v="83.95000"/>
    <s v="BDT"/>
    <n v="-808038.06"/>
    <n v="-9625.23"/>
    <s v="9625.23_1"/>
    <s v=""/>
    <s v="C3343UQ21YOK0509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150"/>
    <x v="55"/>
    <d v="2020-08-19T00:00:00"/>
    <d v="2020-08-22T00:00:00"/>
    <s v="RV"/>
    <s v="USD"/>
    <n v="-9624.18"/>
    <s v="83.95000"/>
    <s v="BDT"/>
    <n v="-807949.92"/>
    <n v="-9624.18"/>
    <s v="9624.18_1"/>
    <s v=""/>
    <s v="C3084LVGR0755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1258"/>
    <x v="192"/>
    <d v="2021-04-25T00:00:00"/>
    <d v="2021-04-29T00:00:00"/>
    <s v="RV"/>
    <s v="USD"/>
    <n v="-9600.5"/>
    <s v="83.95000"/>
    <s v="BDT"/>
    <n v="-805961.98"/>
    <n v="-9600.5"/>
    <s v="9600.5_1"/>
    <s v=""/>
    <s v="C3279LVUS0475-21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0132"/>
    <x v="147"/>
    <d v="2020-07-31T00:00:00"/>
    <d v="2020-08-14T00:00:00"/>
    <s v="RV"/>
    <s v="USD"/>
    <n v="-9589.06"/>
    <s v="83.95000"/>
    <s v="BDT"/>
    <n v="-805001.59"/>
    <n v="-9589.06"/>
    <s v="9589.06_1"/>
    <s v=""/>
    <s v="C3150UQ20SHA0689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1385"/>
    <x v="287"/>
    <d v="2021-05-18T00:00:00"/>
    <d v="2021-05-20T00:00:00"/>
    <s v="RV"/>
    <s v="USD"/>
    <n v="-9576.0400000000009"/>
    <s v="83.95000"/>
    <s v="BDT"/>
    <n v="-803908.56"/>
    <n v="-9576.0400000000009"/>
    <s v="9576.04_1"/>
    <s v=""/>
    <s v="C3286LVTR0621-21"/>
    <s v="20210518"/>
    <s v=""/>
    <s v=""/>
    <s v="0"/>
    <s v=""/>
    <s v=""/>
    <s v=""/>
    <s v=""/>
    <s v="2010100001"/>
    <s v=""/>
    <m/>
    <s v=""/>
    <s v=""/>
    <s v=""/>
    <n v="0"/>
  </r>
  <r>
    <s v=""/>
    <s v="40101001"/>
    <s v="2018000219"/>
    <x v="45"/>
    <d v="2020-09-09T00:00:00"/>
    <d v="2020-09-14T00:00:00"/>
    <s v="RV"/>
    <s v="USD"/>
    <n v="-9557.35"/>
    <s v="83.95000"/>
    <s v="BDT"/>
    <n v="-802339.53"/>
    <n v="-9557.35"/>
    <s v="9557.35_1"/>
    <s v=""/>
    <s v="C3093UQ20NAG0787"/>
    <s v="20200909"/>
    <s v=""/>
    <s v=""/>
    <s v="0"/>
    <s v=""/>
    <s v=""/>
    <s v=""/>
    <s v=""/>
    <s v="2010100001"/>
    <s v=""/>
    <m/>
    <s v=""/>
    <s v=""/>
    <s v=""/>
    <n v="0"/>
  </r>
  <r>
    <s v=""/>
    <s v="40101001"/>
    <s v="2018000597"/>
    <x v="27"/>
    <d v="2020-11-30T00:00:00"/>
    <d v="2020-12-07T00:00:00"/>
    <s v="RV"/>
    <s v="USD"/>
    <n v="-9554.4699999999993"/>
    <s v="83.95000"/>
    <s v="BDT"/>
    <n v="-802097.75"/>
    <n v="-9554.4699999999993"/>
    <s v="9554.47_1"/>
    <s v=""/>
    <s v="C3145LVCA122320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0370"/>
    <x v="7"/>
    <d v="2020-10-19T00:00:00"/>
    <d v="2020-11-01T00:00:00"/>
    <s v="RV"/>
    <s v="USD"/>
    <n v="-9540.27"/>
    <s v="83.95000"/>
    <s v="BDT"/>
    <n v="-800905.67"/>
    <n v="-9540.27"/>
    <s v="9540.27_1"/>
    <s v=""/>
    <s v="C3133SB20UK0973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441"/>
    <x v="18"/>
    <d v="2020-11-05T00:00:00"/>
    <d v="2020-11-11T00:00:00"/>
    <s v="RV"/>
    <s v="USD"/>
    <n v="-9537.48"/>
    <s v="83.95000"/>
    <s v="BDT"/>
    <n v="-800671.45"/>
    <n v="-9537.48"/>
    <s v="9537.48_1"/>
    <s v=""/>
    <s v="C3215UQ20HAK1088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9534.7099999999991"/>
    <s v="83.95000"/>
    <s v="BDT"/>
    <n v="-800438.9"/>
    <n v="-9534.7099999999991"/>
    <s v="9534.71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486"/>
    <x v="65"/>
    <d v="2020-11-11T00:00:00"/>
    <d v="2020-11-16T00:00:00"/>
    <s v="RV"/>
    <s v="USD"/>
    <n v="-9525.6"/>
    <s v="83.95000"/>
    <s v="BDT"/>
    <n v="-799674.12"/>
    <n v="-9525.6"/>
    <s v="9525.6_1"/>
    <s v=""/>
    <s v="C3231UQ20IN1076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1312"/>
    <x v="15"/>
    <d v="2021-05-04T00:00:00"/>
    <d v="2021-05-12T00:00:00"/>
    <s v="RV"/>
    <s v="USD"/>
    <n v="-9507.1"/>
    <s v="83.95000"/>
    <s v="BDT"/>
    <n v="-798121.05"/>
    <n v="-9507.1"/>
    <s v="9507.1_1"/>
    <s v=""/>
    <s v="C3343UQ21OSA0542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9504.08"/>
    <s v="83.95000"/>
    <s v="BDT"/>
    <n v="-797867.52000000002"/>
    <n v="-9504.08"/>
    <s v="9504.08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109"/>
    <x v="89"/>
    <d v="2021-03-21T00:00:00"/>
    <d v="2021-03-25T00:00:00"/>
    <s v="RV"/>
    <s v="USD"/>
    <n v="-9504.08"/>
    <s v="83.95000"/>
    <s v="BDT"/>
    <n v="-797867.52000000002"/>
    <n v="-9504.08"/>
    <s v="9504.08_2"/>
    <s v=""/>
    <s v="C3262LVUS0309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587"/>
    <x v="104"/>
    <d v="2021-06-23T00:00:00"/>
    <d v="2021-06-28T00:00:00"/>
    <s v="RV"/>
    <s v="USD"/>
    <n v="-9479.09"/>
    <s v="83.95000"/>
    <s v="BDT"/>
    <n v="-795769.61"/>
    <n v="-9479.09"/>
    <s v="9479.09_1"/>
    <s v=""/>
    <s v="C3270LVGR0842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9471.61"/>
    <s v="83.95000"/>
    <s v="BDT"/>
    <n v="-795141.67"/>
    <n v="-9471.61"/>
    <s v="9471.61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159"/>
    <x v="141"/>
    <d v="2021-03-25T00:00:00"/>
    <d v="2021-04-01T00:00:00"/>
    <s v="RV"/>
    <s v="USD"/>
    <n v="-9468.69"/>
    <s v="83.95000"/>
    <s v="BDT"/>
    <n v="-794896.52"/>
    <n v="-9468.69"/>
    <s v="9468.69_1"/>
    <s v=""/>
    <s v="C3317SB21UK0370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1159"/>
    <x v="141"/>
    <d v="2021-03-25T00:00:00"/>
    <d v="2021-04-01T00:00:00"/>
    <s v="RV"/>
    <s v="USD"/>
    <n v="-9468.69"/>
    <s v="83.95000"/>
    <s v="BDT"/>
    <n v="-794896.53"/>
    <n v="-9468.69"/>
    <s v="9468.69_2"/>
    <s v=""/>
    <s v="C3317SB21UK0370"/>
    <s v="20210325"/>
    <s v=""/>
    <s v=""/>
    <s v="0"/>
    <s v=""/>
    <s v=""/>
    <s v=""/>
    <s v=""/>
    <s v="2010100001"/>
    <s v=""/>
    <m/>
    <s v=""/>
    <s v=""/>
    <s v=""/>
    <n v="0"/>
  </r>
  <r>
    <s v=""/>
    <s v="40101001"/>
    <s v="2018000471"/>
    <x v="110"/>
    <d v="2020-11-08T00:00:00"/>
    <d v="2020-11-14T00:00:00"/>
    <s v="RV"/>
    <s v="USD"/>
    <n v="-9460.39"/>
    <s v="83.95000"/>
    <s v="BDT"/>
    <n v="-794199.74"/>
    <n v="-9460.39"/>
    <s v="9460.39_1"/>
    <s v=""/>
    <s v="C3205UQ20EU1092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1420"/>
    <x v="17"/>
    <d v="2021-05-23T00:00:00"/>
    <d v="2021-05-29T00:00:00"/>
    <s v="RV"/>
    <s v="USD"/>
    <n v="-9456.2199999999993"/>
    <s v="83.95000"/>
    <s v="BDT"/>
    <n v="-793849.67"/>
    <n v="-9456.2199999999993"/>
    <s v="9456.22_1"/>
    <s v=""/>
    <s v="C3316UQ21TOK0648"/>
    <s v="20210523"/>
    <s v=""/>
    <s v=""/>
    <s v="0"/>
    <s v=""/>
    <s v=""/>
    <s v=""/>
    <s v=""/>
    <s v="2010100001"/>
    <s v=""/>
    <m/>
    <s v=""/>
    <s v=""/>
    <s v=""/>
    <n v="0"/>
  </r>
  <r>
    <s v=""/>
    <s v="40101001"/>
    <s v="2018001187"/>
    <x v="183"/>
    <d v="2021-03-29T00:00:00"/>
    <d v="2021-04-04T00:00:00"/>
    <s v="RV"/>
    <s v="USD"/>
    <n v="-9431.77"/>
    <s v="83.95000"/>
    <s v="BDT"/>
    <n v="-791797.09"/>
    <n v="-9431.77"/>
    <s v="9431.77_1"/>
    <s v=""/>
    <s v="C3177AMZPL0408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601"/>
    <x v="218"/>
    <d v="2020-11-29T00:00:00"/>
    <d v="2020-12-09T00:00:00"/>
    <s v="RV"/>
    <s v="USD"/>
    <n v="-9394.32"/>
    <s v="83.95000"/>
    <s v="BDT"/>
    <n v="-788653.16"/>
    <n v="-9394.32"/>
    <s v="9394.32_1"/>
    <s v=""/>
    <s v="C3231UQ20YAN1183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742"/>
    <x v="224"/>
    <d v="2020-12-30T00:00:00"/>
    <d v="2021-01-03T00:00:00"/>
    <s v="RV"/>
    <s v="USD"/>
    <n v="-9381.4500000000007"/>
    <s v="83.95000"/>
    <s v="BDT"/>
    <n v="-787572.73"/>
    <n v="-9381.4500000000007"/>
    <s v="9381.45_1"/>
    <s v=""/>
    <s v="C3222LVGR1388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133"/>
    <x v="147"/>
    <d v="2020-07-31T00:00:00"/>
    <d v="2020-08-14T00:00:00"/>
    <s v="RV"/>
    <s v="USD"/>
    <n v="-9377.5400000000009"/>
    <s v="83.95000"/>
    <s v="BDT"/>
    <n v="-787244.49"/>
    <n v="-9377.5400000000009"/>
    <s v="9377.54_1"/>
    <s v=""/>
    <s v="C3150UQ20SHA0692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9369.17"/>
    <s v="83.95000"/>
    <s v="BDT"/>
    <n v="-786541.82"/>
    <n v="-9369.17"/>
    <s v="9369.17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543"/>
    <x v="75"/>
    <d v="2021-06-17T00:00:00"/>
    <d v="2021-06-21T00:00:00"/>
    <s v="RV"/>
    <s v="USD"/>
    <n v="-9364.25"/>
    <s v="83.95000"/>
    <s v="BDT"/>
    <n v="-786128.79"/>
    <n v="-9364.25"/>
    <s v="9364.25_1"/>
    <s v=""/>
    <s v="C3270LVGR0789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514"/>
    <x v="76"/>
    <d v="2020-11-19T00:00:00"/>
    <d v="2020-11-24T00:00:00"/>
    <s v="RV"/>
    <s v="USD"/>
    <n v="-9356.1299999999992"/>
    <s v="83.95000"/>
    <s v="BDT"/>
    <n v="-785447.11"/>
    <n v="-9356.1299999999992"/>
    <s v="9356.13_1"/>
    <s v=""/>
    <s v="C3142LVUS114820"/>
    <s v="20201119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9352.66"/>
    <s v="83.95000"/>
    <s v="BDT"/>
    <n v="-785155.81"/>
    <n v="-9352.66"/>
    <s v="9352.66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061"/>
    <x v="210"/>
    <d v="2020-07-08T00:00:00"/>
    <d v="2020-07-25T00:00:00"/>
    <s v="RV"/>
    <s v="USD"/>
    <n v="-9350.34"/>
    <s v="83.95000"/>
    <s v="BDT"/>
    <n v="-784961.04"/>
    <n v="-9350.34"/>
    <s v="9350.34_1"/>
    <s v=""/>
    <s v="C3060LVUS0604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9341.84"/>
    <s v="83.95000"/>
    <s v="BDT"/>
    <n v="-784247.47"/>
    <n v="-9341.84"/>
    <s v="9341.84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752"/>
    <x v="134"/>
    <d v="2020-12-31T00:00:00"/>
    <d v="2021-01-05T00:00:00"/>
    <s v="RV"/>
    <s v="USD"/>
    <n v="-9328.99"/>
    <s v="83.95000"/>
    <s v="BDT"/>
    <n v="-783168.71"/>
    <n v="-9328.99"/>
    <s v="9328.99_1"/>
    <s v=""/>
    <s v="C3235UQ20SYD1364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1011"/>
    <x v="233"/>
    <d v="2021-02-20T00:00:00"/>
    <d v="2021-03-02T00:00:00"/>
    <s v="RV"/>
    <s v="USD"/>
    <n v="-9313.7999999999993"/>
    <s v="83.95000"/>
    <s v="BDT"/>
    <n v="-781893.51"/>
    <n v="-9313.7999999999993"/>
    <s v="9313.8_1"/>
    <s v=""/>
    <s v="C3217UQ21RU0026"/>
    <s v="20210220"/>
    <s v=""/>
    <s v=""/>
    <s v="0"/>
    <s v=""/>
    <s v=""/>
    <s v=""/>
    <s v=""/>
    <s v="2010100001"/>
    <s v=""/>
    <m/>
    <s v=""/>
    <s v=""/>
    <s v=""/>
    <n v="0"/>
  </r>
  <r>
    <s v=""/>
    <s v="40101001"/>
    <s v="2018001172"/>
    <x v="189"/>
    <d v="2021-03-26T00:00:00"/>
    <d v="2021-04-04T00:00:00"/>
    <s v="RV"/>
    <s v="USD"/>
    <n v="-9311.15"/>
    <s v="83.95000"/>
    <s v="BDT"/>
    <n v="-781671.06"/>
    <n v="-9311.15"/>
    <s v="9311.15_1"/>
    <s v=""/>
    <s v="C3173AMZLB0362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540"/>
    <x v="278"/>
    <d v="2021-06-16T00:00:00"/>
    <d v="2021-06-20T00:00:00"/>
    <s v="RV"/>
    <s v="USD"/>
    <n v="-9306.3799999999992"/>
    <s v="83.95000"/>
    <s v="BDT"/>
    <n v="-781270.6"/>
    <n v="-9306.3799999999992"/>
    <s v="9306.38_1"/>
    <s v=""/>
    <s v="C3343UQ21OSA0668"/>
    <s v="20210616"/>
    <s v=""/>
    <s v=""/>
    <s v="0"/>
    <s v=""/>
    <s v=""/>
    <s v=""/>
    <s v=""/>
    <s v="2010100001"/>
    <s v=""/>
    <m/>
    <s v=""/>
    <s v=""/>
    <s v=""/>
    <n v="0"/>
  </r>
  <r>
    <s v=""/>
    <s v="40101001"/>
    <s v="2018000285"/>
    <x v="36"/>
    <d v="2020-09-29T00:00:00"/>
    <d v="2020-10-03T00:00:00"/>
    <s v="RV"/>
    <s v="USD"/>
    <n v="-9289.32"/>
    <s v="83.95000"/>
    <s v="BDT"/>
    <n v="-779838.41"/>
    <n v="-9289.32"/>
    <s v="9289.32_1"/>
    <s v=""/>
    <s v="C03170US20-0892"/>
    <s v="20200929"/>
    <s v=""/>
    <s v=""/>
    <s v="0"/>
    <s v=""/>
    <s v=""/>
    <s v=""/>
    <s v=""/>
    <s v="2010100001"/>
    <s v=""/>
    <m/>
    <s v=""/>
    <s v=""/>
    <s v=""/>
    <n v="0"/>
  </r>
  <r>
    <s v=""/>
    <s v="40101001"/>
    <s v="2018000558"/>
    <x v="153"/>
    <d v="2020-11-28T00:00:00"/>
    <d v="2020-11-30T00:00:00"/>
    <s v="RV"/>
    <s v="USD"/>
    <n v="-9274.3700000000008"/>
    <s v="83.95000"/>
    <s v="BDT"/>
    <n v="-778583.36"/>
    <n v="-9274.3700000000008"/>
    <s v="9274.37_1"/>
    <s v=""/>
    <s v="C3140LVUS1190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0836"/>
    <x v="181"/>
    <d v="2021-01-19T00:00:00"/>
    <d v="2021-01-26T00:00:00"/>
    <s v="RV"/>
    <s v="USD"/>
    <n v="-9263.57"/>
    <s v="83.95000"/>
    <s v="BDT"/>
    <n v="-777676.7"/>
    <n v="-9263.57"/>
    <s v="9263.57_1"/>
    <s v=""/>
    <s v="C3223LVUS004821"/>
    <s v="20210119"/>
    <s v=""/>
    <s v=""/>
    <s v="0"/>
    <s v=""/>
    <s v=""/>
    <s v=""/>
    <s v=""/>
    <s v="2010100001"/>
    <s v=""/>
    <m/>
    <s v=""/>
    <s v=""/>
    <s v=""/>
    <n v="0"/>
  </r>
  <r>
    <s v=""/>
    <s v="40101001"/>
    <s v="2018000782"/>
    <x v="188"/>
    <d v="2021-01-01T00:00:00"/>
    <d v="2021-01-07T00:00:00"/>
    <s v="RV"/>
    <s v="USD"/>
    <n v="-9225.52"/>
    <s v="83.95000"/>
    <s v="BDT"/>
    <n v="-774482.4"/>
    <n v="-9225.52"/>
    <s v="9225.52_1"/>
    <s v=""/>
    <s v="C3236LVUS138920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0430"/>
    <x v="18"/>
    <d v="2020-11-05T00:00:00"/>
    <d v="2020-11-10T00:00:00"/>
    <s v="RV"/>
    <s v="USD"/>
    <n v="-9202.7999999999993"/>
    <s v="83.95000"/>
    <s v="BDT"/>
    <n v="-772575.06"/>
    <n v="-9202.7999999999993"/>
    <s v="9202.8_1"/>
    <s v=""/>
    <s v="C3159UQ20TOK0955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351"/>
    <x v="51"/>
    <d v="2021-05-08T00:00:00"/>
    <d v="2021-05-17T00:00:00"/>
    <s v="RV"/>
    <s v="USD"/>
    <n v="-9198.33"/>
    <s v="83.95000"/>
    <s v="BDT"/>
    <n v="-772199.81"/>
    <n v="-9198.33"/>
    <s v="9198.33_1"/>
    <s v=""/>
    <s v="C3189AMZLB0580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554"/>
    <x v="164"/>
    <d v="2020-11-24T00:00:00"/>
    <d v="2020-11-28T00:00:00"/>
    <s v="RV"/>
    <s v="USD"/>
    <n v="-9195.85"/>
    <s v="83.95000"/>
    <s v="BDT"/>
    <n v="-771991.61"/>
    <n v="-9195.85"/>
    <s v="9195.85_1"/>
    <s v=""/>
    <s v="C3231UQ20KR1209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0018"/>
    <x v="113"/>
    <d v="2020-07-02T00:00:00"/>
    <d v="2020-07-16T00:00:00"/>
    <s v="RV"/>
    <s v="USD"/>
    <n v="-9193.58"/>
    <s v="83.95000"/>
    <s v="BDT"/>
    <n v="-771801.04"/>
    <n v="-9193.58"/>
    <s v="9193.58_1"/>
    <s v=""/>
    <s v="C3067LVCA058120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1621"/>
    <x v="176"/>
    <d v="2021-06-19T00:00:00"/>
    <d v="2021-07-07T00:00:00"/>
    <s v="RV"/>
    <s v="USD"/>
    <n v="-9176.39"/>
    <s v="83.95000"/>
    <s v="BDT"/>
    <n v="-770357.94"/>
    <n v="-9176.39"/>
    <s v="9176.39_1"/>
    <s v=""/>
    <s v="C3335LVMX0739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604"/>
    <x v="65"/>
    <d v="2020-11-11T00:00:00"/>
    <d v="2020-12-09T00:00:00"/>
    <s v="RV"/>
    <s v="USD"/>
    <n v="-9175.66"/>
    <s v="83.95000"/>
    <s v="BDT"/>
    <n v="-770296.66"/>
    <n v="-9175.66"/>
    <s v="9175.66_1"/>
    <s v=""/>
    <s v="C3205UQ20SHA1097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1160"/>
    <x v="118"/>
    <d v="2021-03-27T00:00:00"/>
    <d v="2021-04-01T00:00:00"/>
    <s v="RV"/>
    <s v="USD"/>
    <n v="-9139.68"/>
    <s v="83.95000"/>
    <s v="BDT"/>
    <n v="-767276.14"/>
    <n v="-9139.68"/>
    <s v="9139.68_1"/>
    <s v=""/>
    <s v="C3290UQ21SEN0396"/>
    <s v="20210327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9126.66"/>
    <s v="83.95000"/>
    <s v="BDT"/>
    <n v="-766183.11"/>
    <n v="-9126.66"/>
    <s v="9126.66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0409"/>
    <x v="146"/>
    <d v="2020-11-02T00:00:00"/>
    <d v="2020-11-04T00:00:00"/>
    <s v="RV"/>
    <s v="USD"/>
    <n v="-9099.85"/>
    <s v="83.95000"/>
    <s v="BDT"/>
    <n v="-763932.41"/>
    <n v="-9099.85"/>
    <s v="9099.85_1"/>
    <s v=""/>
    <s v="C3210UQ20OSA1024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359"/>
    <x v="98"/>
    <d v="2020-10-21T00:00:00"/>
    <d v="2020-10-28T00:00:00"/>
    <s v="RV"/>
    <s v="USD"/>
    <n v="-9076.99"/>
    <s v="83.95000"/>
    <s v="BDT"/>
    <n v="-762013.31"/>
    <n v="-9076.99"/>
    <s v="9076.99_1"/>
    <s v=""/>
    <s v="C3104LVGR0991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9074.3799999999992"/>
    <s v="83.95000"/>
    <s v="BDT"/>
    <n v="-761794.2"/>
    <n v="-9074.3799999999992"/>
    <s v="9074.38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419"/>
    <x v="235"/>
    <d v="2020-10-29T00:00:00"/>
    <d v="2020-11-07T00:00:00"/>
    <s v="RV"/>
    <s v="USD"/>
    <n v="-9050.81"/>
    <s v="83.95000"/>
    <s v="BDT"/>
    <n v="-759815.5"/>
    <n v="-9050.81"/>
    <s v="9050.81_1"/>
    <s v=""/>
    <s v="C3169UQ20VAN0938"/>
    <s v="20201029"/>
    <s v=""/>
    <s v=""/>
    <s v="0"/>
    <s v=""/>
    <s v=""/>
    <s v=""/>
    <s v=""/>
    <s v="2010100001"/>
    <s v=""/>
    <m/>
    <s v=""/>
    <s v=""/>
    <s v=""/>
    <n v="0"/>
  </r>
  <r>
    <s v=""/>
    <s v="40101001"/>
    <s v="2018000971"/>
    <x v="288"/>
    <d v="2021-02-15T00:00:00"/>
    <d v="2021-02-22T00:00:00"/>
    <s v="RV"/>
    <s v="USD"/>
    <n v="-9013.39"/>
    <s v="83.95000"/>
    <s v="BDT"/>
    <n v="-756674.09"/>
    <n v="-9013.39"/>
    <s v="9013.39_1"/>
    <s v=""/>
    <s v="C3291UQ21SG0190"/>
    <s v="20210215"/>
    <s v=""/>
    <s v=""/>
    <s v="0"/>
    <s v=""/>
    <s v=""/>
    <s v=""/>
    <s v=""/>
    <s v="2010100001"/>
    <s v=""/>
    <m/>
    <s v=""/>
    <s v=""/>
    <s v=""/>
    <n v="0"/>
  </r>
  <r>
    <s v=""/>
    <s v="40101001"/>
    <s v="2018001132"/>
    <x v="89"/>
    <d v="2021-03-21T00:00:00"/>
    <d v="2021-03-31T00:00:00"/>
    <s v="RV"/>
    <s v="USD"/>
    <n v="-9012.56"/>
    <s v="83.95000"/>
    <s v="BDT"/>
    <n v="-756604.41"/>
    <n v="-9012.56"/>
    <s v="9012.56_1"/>
    <s v=""/>
    <s v="C3261C&amp;A21GR0357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766"/>
    <x v="165"/>
    <d v="2021-01-02T00:00:00"/>
    <d v="2021-01-05T00:00:00"/>
    <s v="RV"/>
    <s v="USD"/>
    <n v="-9008.11"/>
    <s v="83.95000"/>
    <s v="BDT"/>
    <n v="-756230.84"/>
    <n v="-9008.11"/>
    <s v="9008.11_1"/>
    <s v=""/>
    <s v="C3245UQ20HK1399"/>
    <s v="20210102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8993.07"/>
    <s v="83.95000"/>
    <s v="BDT"/>
    <n v="-754968.23"/>
    <n v="-8993.07"/>
    <s v="8993.07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100"/>
    <x v="185"/>
    <d v="2020-07-28T00:00:00"/>
    <d v="2020-08-06T00:00:00"/>
    <s v="RV"/>
    <s v="USD"/>
    <n v="-8977.18"/>
    <s v="83.95000"/>
    <s v="BDT"/>
    <n v="-753634.26"/>
    <n v="-8977.18"/>
    <s v="8977.18_1"/>
    <s v=""/>
    <s v="C3085LVCA068320"/>
    <s v="20200728"/>
    <s v=""/>
    <s v=""/>
    <s v="0"/>
    <s v=""/>
    <s v=""/>
    <s v=""/>
    <s v=""/>
    <s v="2010100001"/>
    <s v=""/>
    <m/>
    <s v=""/>
    <s v=""/>
    <s v=""/>
    <n v="0"/>
  </r>
  <r>
    <s v=""/>
    <s v="40101001"/>
    <s v="2018001067"/>
    <x v="106"/>
    <d v="2021-03-10T00:00:00"/>
    <d v="2021-03-17T00:00:00"/>
    <s v="RV"/>
    <s v="USD"/>
    <n v="-8972.91"/>
    <s v="83.95000"/>
    <s v="BDT"/>
    <n v="-753275.79"/>
    <n v="-8972.91"/>
    <s v="8972.91_1"/>
    <s v=""/>
    <s v="C3262LVMX0280-21"/>
    <s v="20210310"/>
    <s v=""/>
    <s v=""/>
    <s v="0"/>
    <s v=""/>
    <s v=""/>
    <s v=""/>
    <s v=""/>
    <s v="2010100001"/>
    <s v=""/>
    <m/>
    <s v=""/>
    <s v=""/>
    <s v=""/>
    <n v="0"/>
  </r>
  <r>
    <s v=""/>
    <s v="40101001"/>
    <s v="2018001134"/>
    <x v="89"/>
    <d v="2021-03-21T00:00:00"/>
    <d v="2021-03-31T00:00:00"/>
    <s v="RV"/>
    <s v="USD"/>
    <n v="-8972.89"/>
    <s v="83.95000"/>
    <s v="BDT"/>
    <n v="-753274.12"/>
    <n v="-8972.89"/>
    <s v="8972.89_1"/>
    <s v=""/>
    <s v="C3261C&amp;A21GR0359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120"/>
    <x v="229"/>
    <d v="2020-08-03T00:00:00"/>
    <d v="2020-08-10T00:00:00"/>
    <s v="RV"/>
    <s v="USD"/>
    <n v="-8957.67"/>
    <s v="83.95000"/>
    <s v="BDT"/>
    <n v="-751996.4"/>
    <n v="-8957.67"/>
    <s v="8957.67_1"/>
    <s v=""/>
    <s v="C3128UQ20NAG0711"/>
    <s v="20200803"/>
    <s v=""/>
    <s v=""/>
    <s v="0"/>
    <s v=""/>
    <s v=""/>
    <s v=""/>
    <s v=""/>
    <s v="2010100001"/>
    <s v=""/>
    <m/>
    <s v=""/>
    <s v=""/>
    <s v=""/>
    <n v="0"/>
  </r>
  <r>
    <s v=""/>
    <s v="40101001"/>
    <s v="2018001498"/>
    <x v="127"/>
    <d v="2021-06-04T00:00:00"/>
    <d v="2021-06-17T00:00:00"/>
    <s v="RV"/>
    <s v="USD"/>
    <n v="-8957.39"/>
    <s v="83.95000"/>
    <s v="BDT"/>
    <n v="-751972.89"/>
    <n v="-8957.39"/>
    <s v="8957.39_1"/>
    <s v=""/>
    <s v="C3284LVCA0704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0369"/>
    <x v="12"/>
    <d v="2020-10-10T00:00:00"/>
    <d v="2020-11-01T00:00:00"/>
    <s v="RV"/>
    <s v="USD"/>
    <n v="-8953.42"/>
    <s v="83.95000"/>
    <s v="BDT"/>
    <n v="-751639.61"/>
    <n v="-8953.42"/>
    <s v="8953.42_1"/>
    <s v=""/>
    <s v="C3133SB20UK0950"/>
    <s v="20201010"/>
    <s v=""/>
    <s v=""/>
    <s v="0"/>
    <s v=""/>
    <s v=""/>
    <s v=""/>
    <s v=""/>
    <s v="2010100001"/>
    <s v=""/>
    <m/>
    <s v=""/>
    <s v=""/>
    <s v=""/>
    <n v="0"/>
  </r>
  <r>
    <s v=""/>
    <s v="40101001"/>
    <s v="2018000850"/>
    <x v="250"/>
    <d v="2021-01-24T00:00:00"/>
    <d v="2021-01-28T00:00:00"/>
    <s v="RV"/>
    <s v="USD"/>
    <n v="-8951.61"/>
    <s v="83.95000"/>
    <s v="BDT"/>
    <n v="-751487.66"/>
    <n v="-8951.61"/>
    <s v="8951.61_1"/>
    <s v=""/>
    <s v="C3221LVGR009121"/>
    <s v="20210124"/>
    <s v=""/>
    <s v=""/>
    <s v="0"/>
    <s v=""/>
    <s v=""/>
    <s v=""/>
    <s v=""/>
    <s v="2010100001"/>
    <s v=""/>
    <m/>
    <s v=""/>
    <s v=""/>
    <s v=""/>
    <n v="0"/>
  </r>
  <r>
    <s v=""/>
    <s v="40101001"/>
    <s v="2018001569"/>
    <x v="75"/>
    <d v="2021-06-17T00:00:00"/>
    <d v="2021-06-24T00:00:00"/>
    <s v="RV"/>
    <s v="USD"/>
    <n v="-8946.18"/>
    <s v="83.95000"/>
    <s v="BDT"/>
    <n v="-751031.81"/>
    <n v="-8946.18"/>
    <s v="8946.18_1"/>
    <s v=""/>
    <s v="C3335LVUS0792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133"/>
    <x v="89"/>
    <d v="2021-03-21T00:00:00"/>
    <d v="2021-03-31T00:00:00"/>
    <s v="RV"/>
    <s v="USD"/>
    <n v="-8933.2199999999993"/>
    <s v="83.95000"/>
    <s v="BDT"/>
    <n v="-749943.82"/>
    <n v="-8933.2199999999993"/>
    <s v="8933.22_1"/>
    <s v=""/>
    <s v="C3261C&amp;A21GR0358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198"/>
    <x v="289"/>
    <d v="2020-08-29T00:00:00"/>
    <d v="2020-09-08T00:00:00"/>
    <s v="RV"/>
    <s v="USD"/>
    <n v="-8917.83"/>
    <s v="83.95000"/>
    <s v="BDT"/>
    <n v="-748651.83"/>
    <n v="-8917.83"/>
    <s v="8917.83_1"/>
    <s v=""/>
    <s v="C3155UQ20SHA0802"/>
    <s v="20200829"/>
    <s v=""/>
    <s v=""/>
    <s v="0"/>
    <s v=""/>
    <s v=""/>
    <s v=""/>
    <s v=""/>
    <s v="2010100001"/>
    <s v=""/>
    <m/>
    <s v=""/>
    <s v=""/>
    <s v=""/>
    <n v="0"/>
  </r>
  <r>
    <s v=""/>
    <s v="40101001"/>
    <s v="2018001534"/>
    <x v="206"/>
    <d v="2021-06-12T00:00:00"/>
    <d v="2021-06-19T00:00:00"/>
    <s v="RV"/>
    <s v="USD"/>
    <n v="-8908.5"/>
    <s v="83.95000"/>
    <s v="BDT"/>
    <n v="-747868.58"/>
    <n v="-8908.5"/>
    <s v="8908.5_1"/>
    <s v=""/>
    <s v="C3284LVMY0738-21"/>
    <s v="20210612"/>
    <s v=""/>
    <s v=""/>
    <s v="0"/>
    <s v=""/>
    <s v=""/>
    <s v=""/>
    <s v=""/>
    <s v="2010100001"/>
    <s v=""/>
    <m/>
    <s v=""/>
    <s v=""/>
    <s v=""/>
    <n v="0"/>
  </r>
  <r>
    <s v=""/>
    <s v="40101001"/>
    <s v="2018000741"/>
    <x v="178"/>
    <d v="2020-12-23T00:00:00"/>
    <d v="2021-01-03T00:00:00"/>
    <s v="RV"/>
    <s v="USD"/>
    <n v="-8908.0400000000009"/>
    <s v="83.95000"/>
    <s v="BDT"/>
    <n v="-747829.96"/>
    <n v="-8908.0400000000009"/>
    <s v="8908.04_1"/>
    <s v=""/>
    <s v="C3218LVUS1352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612"/>
    <x v="22"/>
    <d v="2020-12-02T00:00:00"/>
    <d v="2020-12-09T00:00:00"/>
    <s v="RV"/>
    <s v="USD"/>
    <n v="-8901.52"/>
    <s v="83.95000"/>
    <s v="BDT"/>
    <n v="-747282.6"/>
    <n v="-8901.52"/>
    <s v="8901.52_1"/>
    <s v=""/>
    <s v="C3205UQ20SG1217"/>
    <s v="20201202"/>
    <s v=""/>
    <s v=""/>
    <s v="0"/>
    <s v=""/>
    <s v=""/>
    <s v=""/>
    <s v=""/>
    <s v="2010100001"/>
    <s v=""/>
    <m/>
    <s v=""/>
    <s v=""/>
    <s v=""/>
    <n v="0"/>
  </r>
  <r>
    <s v=""/>
    <s v="40101001"/>
    <s v="2018000195"/>
    <x v="290"/>
    <d v="2020-09-02T00:00:00"/>
    <d v="2020-09-08T00:00:00"/>
    <s v="RV"/>
    <s v="USD"/>
    <n v="-8895.06"/>
    <s v="83.95000"/>
    <s v="BDT"/>
    <n v="-746740.29"/>
    <n v="-8895.06"/>
    <s v="8895.06_1"/>
    <s v=""/>
    <s v="C3151UQ20HAK0815"/>
    <s v="20200902"/>
    <s v=""/>
    <s v=""/>
    <s v="0"/>
    <s v=""/>
    <s v=""/>
    <s v=""/>
    <s v=""/>
    <s v="2010100001"/>
    <s v=""/>
    <m/>
    <s v=""/>
    <s v=""/>
    <s v=""/>
    <n v="0"/>
  </r>
  <r>
    <s v=""/>
    <s v="40101001"/>
    <s v="2018000515"/>
    <x v="243"/>
    <d v="2020-11-17T00:00:00"/>
    <d v="2020-11-24T00:00:00"/>
    <s v="RV"/>
    <s v="USD"/>
    <n v="-8890.61"/>
    <s v="83.95000"/>
    <s v="BDT"/>
    <n v="-746366.71"/>
    <n v="-8890.61"/>
    <s v="8890.61_1"/>
    <s v=""/>
    <s v="C3147LVUS114920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0484"/>
    <x v="18"/>
    <d v="2020-11-05T00:00:00"/>
    <d v="2020-11-16T00:00:00"/>
    <s v="RV"/>
    <s v="USD"/>
    <n v="-8889.16"/>
    <s v="83.95000"/>
    <s v="BDT"/>
    <n v="-746244.98"/>
    <n v="-8889.16"/>
    <s v="8889.16_1"/>
    <s v=""/>
    <s v="C3142LVUS0945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050"/>
    <x v="269"/>
    <d v="2020-07-15T00:00:00"/>
    <d v="2020-07-21T00:00:00"/>
    <s v="RV"/>
    <s v="USD"/>
    <n v="-8885.6"/>
    <s v="83.95000"/>
    <s v="BDT"/>
    <n v="-745946.12"/>
    <n v="-8885.6"/>
    <s v="8885.6_1"/>
    <s v=""/>
    <s v="C3049LVCA062120"/>
    <s v="20200715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8881.7900000000009"/>
    <s v="83.95000"/>
    <s v="BDT"/>
    <n v="-745626.27"/>
    <n v="-8881.7900000000009"/>
    <s v="8881.79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135"/>
    <x v="89"/>
    <d v="2021-03-21T00:00:00"/>
    <d v="2021-03-31T00:00:00"/>
    <s v="RV"/>
    <s v="USD"/>
    <n v="-8867.09"/>
    <s v="83.95000"/>
    <s v="BDT"/>
    <n v="-744392.21"/>
    <n v="-8867.09"/>
    <s v="8867.09_1"/>
    <s v=""/>
    <s v="C3261C&amp;A21GR0360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629"/>
    <x v="26"/>
    <d v="2020-12-07T00:00:00"/>
    <d v="2020-12-13T00:00:00"/>
    <s v="RV"/>
    <s v="USD"/>
    <n v="-8866.76"/>
    <s v="83.95000"/>
    <s v="BDT"/>
    <n v="-744364.5"/>
    <n v="-8866.76"/>
    <s v="8866.76_1"/>
    <s v=""/>
    <s v="C3234UQ20LA1273"/>
    <s v="20201207"/>
    <s v=""/>
    <s v=""/>
    <s v="0"/>
    <s v=""/>
    <s v=""/>
    <s v=""/>
    <s v=""/>
    <s v="2010100001"/>
    <s v=""/>
    <m/>
    <s v=""/>
    <s v=""/>
    <s v=""/>
    <n v="0"/>
  </r>
  <r>
    <s v=""/>
    <s v="40101001"/>
    <s v="2018000300"/>
    <x v="81"/>
    <d v="2020-09-16T00:00:00"/>
    <d v="2020-10-08T00:00:00"/>
    <s v="RV"/>
    <s v="USD"/>
    <n v="-8860.67"/>
    <s v="83.95000"/>
    <s v="BDT"/>
    <n v="-743853.25"/>
    <n v="-8860.67"/>
    <s v="8860.67_1"/>
    <s v=""/>
    <s v="C3204UQ20YAN0855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762"/>
    <x v="134"/>
    <d v="2020-12-31T00:00:00"/>
    <d v="2021-01-05T00:00:00"/>
    <s v="RV"/>
    <s v="USD"/>
    <n v="-8856.6299999999992"/>
    <s v="83.95000"/>
    <s v="BDT"/>
    <n v="-743514.09"/>
    <n v="-8856.6299999999992"/>
    <s v="8856.63_1"/>
    <s v=""/>
    <s v="C3235UQ20MEL1362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0207"/>
    <x v="209"/>
    <d v="2020-08-27T00:00:00"/>
    <d v="2020-09-10T00:00:00"/>
    <s v="RV"/>
    <s v="USD"/>
    <n v="-8843.83"/>
    <s v="83.95000"/>
    <s v="BDT"/>
    <n v="-742439.53"/>
    <n v="-8843.83"/>
    <s v="8843.83_1"/>
    <s v=""/>
    <s v="C3135SB20UK0780"/>
    <s v="20200827"/>
    <s v=""/>
    <s v=""/>
    <s v="0"/>
    <s v=""/>
    <s v=""/>
    <s v=""/>
    <s v=""/>
    <s v="2010100001"/>
    <s v=""/>
    <m/>
    <s v=""/>
    <s v=""/>
    <s v=""/>
    <n v="0"/>
  </r>
  <r>
    <s v=""/>
    <s v="40101001"/>
    <s v="2018000967"/>
    <x v="285"/>
    <d v="2021-02-09T00:00:00"/>
    <d v="2021-02-16T00:00:00"/>
    <s v="RV"/>
    <s v="USD"/>
    <n v="-8839.67"/>
    <s v="83.95000"/>
    <s v="BDT"/>
    <n v="-742090.29"/>
    <n v="-8839.67"/>
    <s v="8839.67_1"/>
    <s v=""/>
    <s v="C3275LVMX0173-21"/>
    <s v="20210209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8828.89"/>
    <s v="83.95000"/>
    <s v="BDT"/>
    <n v="-741185.32"/>
    <n v="-8828.89"/>
    <s v="8828.89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132"/>
    <x v="147"/>
    <d v="2020-07-31T00:00:00"/>
    <d v="2020-08-14T00:00:00"/>
    <s v="RV"/>
    <s v="USD"/>
    <n v="-8813.48"/>
    <s v="83.95000"/>
    <s v="BDT"/>
    <n v="-739891.64"/>
    <n v="-8813.48"/>
    <s v="8813.48_1"/>
    <s v=""/>
    <s v="C3150UQ20SHA0689"/>
    <s v="20200731"/>
    <s v=""/>
    <s v=""/>
    <s v="0"/>
    <s v=""/>
    <s v=""/>
    <s v=""/>
    <s v=""/>
    <s v="2010100001"/>
    <s v=""/>
    <m/>
    <s v=""/>
    <s v=""/>
    <s v=""/>
    <n v="0"/>
  </r>
  <r>
    <s v=""/>
    <s v="40101011"/>
    <s v="2008000183"/>
    <x v="143"/>
    <d v="2021-01-31T00:00:00"/>
    <d v="2021-02-07T00:00:00"/>
    <s v="DR"/>
    <s v="USD"/>
    <n v="-8799.89"/>
    <s v="83.95000"/>
    <s v="BDT"/>
    <n v="-738750.77"/>
    <n v="-8799.89"/>
    <s v="8799.89_1"/>
    <s v=""/>
    <s v="CIPL-GTL0019-21"/>
    <s v="CIPL-GTL0019-21"/>
    <s v="Inter-Company wash sales to GTL"/>
    <s v=""/>
    <s v="0"/>
    <s v="Intercompany Wash Sales"/>
    <s v=""/>
    <s v=""/>
    <s v=""/>
    <s v="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8788.9"/>
    <s v="83.95000"/>
    <s v="BDT"/>
    <n v="-737828.16"/>
    <n v="-8788.9"/>
    <s v="8788.9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032"/>
    <x v="135"/>
    <d v="2020-07-03T00:00:00"/>
    <d v="2020-07-18T00:00:00"/>
    <s v="RV"/>
    <s v="USD"/>
    <n v="-8770.0400000000009"/>
    <s v="83.95000"/>
    <s v="BDT"/>
    <n v="-736244.86"/>
    <n v="-8770.0400000000009"/>
    <s v="8770.04_1"/>
    <s v=""/>
    <s v="C3122UQ20YAN0562"/>
    <s v="20200703"/>
    <s v=""/>
    <s v=""/>
    <s v="0"/>
    <s v=""/>
    <s v=""/>
    <s v=""/>
    <s v=""/>
    <s v="2010100001"/>
    <s v=""/>
    <m/>
    <s v=""/>
    <s v=""/>
    <s v=""/>
    <n v="0"/>
  </r>
  <r>
    <s v=""/>
    <s v="40101001"/>
    <s v="2018001555"/>
    <x v="75"/>
    <d v="2021-06-17T00:00:00"/>
    <d v="2021-06-23T00:00:00"/>
    <s v="RV"/>
    <s v="USD"/>
    <n v="-8763"/>
    <s v="83.95000"/>
    <s v="BDT"/>
    <n v="-735653.85"/>
    <n v="-8763"/>
    <s v="8763_1"/>
    <s v=""/>
    <s v="C3329UQ21SEN0800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622"/>
    <x v="93"/>
    <d v="2021-06-29T00:00:00"/>
    <d v="2021-07-07T00:00:00"/>
    <s v="RV"/>
    <s v="USD"/>
    <n v="-8755.6299999999992"/>
    <s v="83.95000"/>
    <s v="BDT"/>
    <n v="-735035.13"/>
    <n v="-8755.6299999999992"/>
    <s v="8755.63_1"/>
    <s v=""/>
    <s v="C3270LVMX0787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1362"/>
    <x v="56"/>
    <d v="2021-05-13T00:00:00"/>
    <d v="2021-05-20T00:00:00"/>
    <s v="RV"/>
    <s v="USD"/>
    <n v="-8755.0400000000009"/>
    <s v="83.95000"/>
    <s v="BDT"/>
    <n v="-734985.61"/>
    <n v="-8755.0400000000009"/>
    <s v="8755.04_1"/>
    <s v=""/>
    <s v="C3282LVMY0617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0856"/>
    <x v="197"/>
    <d v="2021-01-23T00:00:00"/>
    <d v="2021-01-30T00:00:00"/>
    <s v="RV"/>
    <s v="USD"/>
    <n v="-8754.8700000000008"/>
    <s v="83.95000"/>
    <s v="BDT"/>
    <n v="-734971.34"/>
    <n v="-8754.8700000000008"/>
    <s v="8754.87_1"/>
    <s v=""/>
    <s v="C3259UQ21HAK0078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831"/>
    <x v="126"/>
    <d v="2021-01-13T00:00:00"/>
    <d v="2021-01-23T00:00:00"/>
    <s v="RV"/>
    <s v="USD"/>
    <n v="-8750.9500000000007"/>
    <s v="83.95000"/>
    <s v="BDT"/>
    <n v="-734642.25"/>
    <n v="-8750.9500000000007"/>
    <s v="8750.95_1"/>
    <s v=""/>
    <s v="C3236LVUS0009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000"/>
    <x v="113"/>
    <d v="2020-07-02T00:00:00"/>
    <d v="2020-07-06T00:00:00"/>
    <s v="RV"/>
    <s v="USD"/>
    <n v="-8749.25"/>
    <s v="83.95000"/>
    <s v="BDT"/>
    <n v="-734499.53"/>
    <n v="-8749.25"/>
    <s v="8749.25_1"/>
    <s v=""/>
    <s v="C3084LVGR058220"/>
    <s v="20200702"/>
    <s v=""/>
    <s v=""/>
    <s v="0"/>
    <s v=""/>
    <s v=""/>
    <s v=""/>
    <s v=""/>
    <s v="2010100001"/>
    <s v=""/>
    <m/>
    <s v=""/>
    <s v=""/>
    <s v=""/>
    <n v="0"/>
  </r>
  <r>
    <s v=""/>
    <s v="40101011"/>
    <s v="2012009168"/>
    <x v="144"/>
    <d v="2021-04-01T00:00:00"/>
    <d v="2021-05-05T00:00:00"/>
    <s v="KR"/>
    <s v="USD"/>
    <n v="-8741.4500000000007"/>
    <s v="83.95000"/>
    <s v="BDT"/>
    <n v="-733844.73"/>
    <n v="-8741.4500000000007"/>
    <s v="8741.45_1"/>
    <s v=""/>
    <s v="CIPL-MEDLAR-004-"/>
    <s v="CIPL-MEDLAR-004-20"/>
    <s v="N.INT.COM WASH SALES TO Medlar"/>
    <s v=""/>
    <s v="0"/>
    <s v="N.INTER COMPANY WASH SALE"/>
    <s v=""/>
    <s v=""/>
    <s v=""/>
    <s v=""/>
    <s v=""/>
    <m/>
    <s v=""/>
    <s v=""/>
    <s v=""/>
    <n v="0"/>
  </r>
  <r>
    <s v=""/>
    <s v="40101001"/>
    <s v="2018001564"/>
    <x v="10"/>
    <d v="2021-06-20T00:00:00"/>
    <d v="2021-06-24T00:00:00"/>
    <s v="RV"/>
    <s v="USD"/>
    <n v="-8739.32"/>
    <s v="83.95000"/>
    <s v="BDT"/>
    <n v="-733665.91"/>
    <n v="-8739.32"/>
    <s v="8739.32_1"/>
    <s v=""/>
    <s v="C3270LVGR0796-21"/>
    <s v="20210620"/>
    <s v=""/>
    <s v=""/>
    <s v="0"/>
    <s v=""/>
    <s v=""/>
    <s v=""/>
    <s v=""/>
    <s v="2010100001"/>
    <s v=""/>
    <m/>
    <s v=""/>
    <s v=""/>
    <s v=""/>
    <n v="0"/>
  </r>
  <r>
    <s v=""/>
    <s v="40101001"/>
    <s v="2018001260"/>
    <x v="192"/>
    <d v="2021-04-25T00:00:00"/>
    <d v="2021-04-29T00:00:00"/>
    <s v="RV"/>
    <s v="USD"/>
    <n v="-8724.24"/>
    <s v="83.95000"/>
    <s v="BDT"/>
    <n v="-732399.95"/>
    <n v="-8724.24"/>
    <s v="8724.24_1"/>
    <s v=""/>
    <s v="C3290UQ21YOK0485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0609"/>
    <x v="193"/>
    <d v="2020-12-03T00:00:00"/>
    <d v="2020-12-09T00:00:00"/>
    <s v="RV"/>
    <s v="USD"/>
    <n v="-8694.19"/>
    <s v="83.95000"/>
    <s v="BDT"/>
    <n v="-729877.25"/>
    <n v="-8694.19"/>
    <s v="8694.19_1"/>
    <s v=""/>
    <s v="C3233UQ20TOK125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453"/>
    <x v="18"/>
    <d v="2020-11-05T00:00:00"/>
    <d v="2020-11-11T00:00:00"/>
    <s v="RV"/>
    <s v="USD"/>
    <n v="-8678.1"/>
    <s v="83.95000"/>
    <s v="BDT"/>
    <n v="-728526.5"/>
    <n v="-8678.1"/>
    <s v="8678.1_1"/>
    <s v=""/>
    <s v="C3234UQ20TOR1067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544"/>
    <x v="14"/>
    <d v="2020-11-25T00:00:00"/>
    <d v="2020-11-28T00:00:00"/>
    <s v="RV"/>
    <s v="USD"/>
    <n v="-8624"/>
    <s v="83.95000"/>
    <s v="BDT"/>
    <n v="-723984.8"/>
    <n v="-8624"/>
    <s v="8624_1"/>
    <s v=""/>
    <s v="C3145LVGR119420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437"/>
    <x v="18"/>
    <d v="2020-11-05T00:00:00"/>
    <d v="2020-11-11T00:00:00"/>
    <s v="RV"/>
    <s v="USD"/>
    <n v="-8611.1299999999992"/>
    <s v="83.95000"/>
    <s v="BDT"/>
    <n v="-722904.36"/>
    <n v="-8611.1299999999992"/>
    <s v="8611.13_1"/>
    <s v=""/>
    <s v="C3146LVUS0946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8595.5400000000009"/>
    <s v="83.95000"/>
    <s v="BDT"/>
    <n v="-721595.58"/>
    <n v="-8595.5400000000009"/>
    <s v="8595.54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723"/>
    <x v="70"/>
    <d v="2020-12-27T00:00:00"/>
    <d v="2020-12-31T00:00:00"/>
    <s v="RV"/>
    <s v="USD"/>
    <n v="-8537.85"/>
    <s v="83.95000"/>
    <s v="BDT"/>
    <n v="-716752.51"/>
    <n v="-8537.85"/>
    <s v="8537.85_1"/>
    <s v=""/>
    <s v="C3214LVUS1386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724"/>
    <x v="70"/>
    <d v="2020-12-27T00:00:00"/>
    <d v="2020-12-31T00:00:00"/>
    <s v="RV"/>
    <s v="USD"/>
    <n v="-8530.91"/>
    <s v="83.95000"/>
    <s v="BDT"/>
    <n v="-716169.89"/>
    <n v="-8530.91"/>
    <s v="8530.91_1"/>
    <s v=""/>
    <s v="C3214LVUS1397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854"/>
    <x v="197"/>
    <d v="2021-01-23T00:00:00"/>
    <d v="2021-01-30T00:00:00"/>
    <s v="RV"/>
    <s v="USD"/>
    <n v="-8527.42"/>
    <s v="83.95000"/>
    <s v="BDT"/>
    <n v="-715876.91"/>
    <n v="-8527.42"/>
    <s v="8527.42_1"/>
    <s v=""/>
    <s v="C3247UQ21SEN0042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8522.9699999999993"/>
    <s v="83.95000"/>
    <s v="BDT"/>
    <n v="-715503.33"/>
    <n v="-8522.9699999999993"/>
    <s v="8522.97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567"/>
    <x v="14"/>
    <d v="2020-11-25T00:00:00"/>
    <d v="2020-11-30T00:00:00"/>
    <s v="RV"/>
    <s v="USD"/>
    <n v="-8499.86"/>
    <s v="83.95000"/>
    <s v="BDT"/>
    <n v="-713563.25"/>
    <n v="-8499.86"/>
    <s v="8499.86_1"/>
    <s v=""/>
    <s v="C3210UQ20HAK1161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150"/>
    <x v="55"/>
    <d v="2020-08-19T00:00:00"/>
    <d v="2020-08-22T00:00:00"/>
    <s v="RV"/>
    <s v="USD"/>
    <n v="-8498.58"/>
    <s v="83.95000"/>
    <s v="BDT"/>
    <n v="-713455.79"/>
    <n v="-8498.58"/>
    <s v="8498.58_1"/>
    <s v=""/>
    <s v="C3084LVGR0755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0817"/>
    <x v="291"/>
    <d v="2021-01-11T00:00:00"/>
    <d v="2021-01-21T00:00:00"/>
    <s v="RV"/>
    <s v="USD"/>
    <n v="-8495.56"/>
    <s v="83.95000"/>
    <s v="BDT"/>
    <n v="-713202.27"/>
    <n v="-8495.56"/>
    <s v="8495.56_1"/>
    <s v=""/>
    <s v="C3259UQ21NY0004"/>
    <s v="20210111"/>
    <s v=""/>
    <s v=""/>
    <s v="0"/>
    <s v=""/>
    <s v=""/>
    <s v=""/>
    <s v=""/>
    <s v="2010100001"/>
    <s v=""/>
    <m/>
    <s v=""/>
    <s v=""/>
    <s v=""/>
    <n v="0"/>
  </r>
  <r>
    <s v=""/>
    <s v="40101001"/>
    <s v="2018000581"/>
    <x v="14"/>
    <d v="2020-11-25T00:00:00"/>
    <d v="2020-12-02T00:00:00"/>
    <s v="RV"/>
    <s v="USD"/>
    <n v="-8476.4500000000007"/>
    <s v="83.95000"/>
    <s v="BDT"/>
    <n v="-711597.98"/>
    <n v="-8476.4500000000007"/>
    <s v="8476.45_1"/>
    <s v=""/>
    <s v="C3145LVCA119320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1440"/>
    <x v="255"/>
    <d v="2021-05-31T00:00:00"/>
    <d v="2021-06-03T00:00:00"/>
    <s v="RV"/>
    <s v="USD"/>
    <n v="-8470.02"/>
    <s v="83.95000"/>
    <s v="BDT"/>
    <n v="-711058.18"/>
    <n v="-8470.02"/>
    <s v="8470.02_1"/>
    <s v=""/>
    <s v="C3284LVGR0709-21"/>
    <s v="20210531"/>
    <s v=""/>
    <s v=""/>
    <s v="0"/>
    <s v=""/>
    <s v=""/>
    <s v=""/>
    <s v=""/>
    <s v="2010100001"/>
    <s v=""/>
    <m/>
    <s v=""/>
    <s v=""/>
    <s v=""/>
    <n v="0"/>
  </r>
  <r>
    <s v=""/>
    <s v="40101001"/>
    <s v="2018001195"/>
    <x v="282"/>
    <d v="2021-04-03T00:00:00"/>
    <d v="2021-04-08T00:00:00"/>
    <s v="RV"/>
    <s v="USD"/>
    <n v="-8468.65"/>
    <s v="83.95000"/>
    <s v="BDT"/>
    <n v="-710943.17"/>
    <n v="-8468.65"/>
    <s v="8468.65_1"/>
    <s v=""/>
    <s v="C3271UQ21OSA0418"/>
    <s v="20210403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8463.7800000000007"/>
    <s v="83.95000"/>
    <s v="BDT"/>
    <n v="-710534.33"/>
    <n v="-8463.7800000000007"/>
    <s v="8463.78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133"/>
    <x v="147"/>
    <d v="2020-07-31T00:00:00"/>
    <d v="2020-08-14T00:00:00"/>
    <s v="RV"/>
    <s v="USD"/>
    <n v="-8460.94"/>
    <s v="83.95000"/>
    <s v="BDT"/>
    <n v="-710295.91"/>
    <n v="-8460.94"/>
    <s v="8460.94_1"/>
    <s v=""/>
    <s v="C3150UQ20SHA0692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018"/>
    <x v="113"/>
    <d v="2020-07-02T00:00:00"/>
    <d v="2020-07-16T00:00:00"/>
    <s v="RV"/>
    <s v="USD"/>
    <n v="-8440.26"/>
    <s v="83.95000"/>
    <s v="BDT"/>
    <n v="-708559.83"/>
    <n v="-8440.26"/>
    <s v="8440.26_1"/>
    <s v=""/>
    <s v="C3067LVCA058120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0515"/>
    <x v="243"/>
    <d v="2020-11-17T00:00:00"/>
    <d v="2020-11-24T00:00:00"/>
    <s v="RV"/>
    <s v="USD"/>
    <n v="-8434.56"/>
    <s v="83.95000"/>
    <s v="BDT"/>
    <n v="-708081.31"/>
    <n v="-8434.56"/>
    <s v="8434.56_1"/>
    <s v=""/>
    <s v="C3147LVUS114920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0437"/>
    <x v="18"/>
    <d v="2020-11-05T00:00:00"/>
    <d v="2020-11-11T00:00:00"/>
    <s v="RV"/>
    <s v="USD"/>
    <n v="-8428.42"/>
    <s v="83.95000"/>
    <s v="BDT"/>
    <n v="-707565.86"/>
    <n v="-8428.42"/>
    <s v="8428.42_1"/>
    <s v=""/>
    <s v="C3146LVUS0946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305"/>
    <x v="241"/>
    <d v="2021-05-05T00:00:00"/>
    <d v="2021-05-10T00:00:00"/>
    <s v="RV"/>
    <s v="USD"/>
    <n v="-8427.41"/>
    <s v="83.95000"/>
    <s v="BDT"/>
    <n v="-707481.07"/>
    <n v="-8427.41"/>
    <s v="8427.41_1"/>
    <s v=""/>
    <s v="C3283LVMY0567-21"/>
    <s v="20210505"/>
    <s v=""/>
    <s v=""/>
    <s v="0"/>
    <s v=""/>
    <s v=""/>
    <s v=""/>
    <s v=""/>
    <s v="2010100001"/>
    <s v=""/>
    <m/>
    <s v=""/>
    <s v=""/>
    <s v=""/>
    <n v="0"/>
  </r>
  <r>
    <s v=""/>
    <s v="40101001"/>
    <s v="2018000564"/>
    <x v="14"/>
    <d v="2020-11-25T00:00:00"/>
    <d v="2020-11-30T00:00:00"/>
    <s v="RV"/>
    <s v="USD"/>
    <n v="-8407.19"/>
    <s v="83.95000"/>
    <s v="BDT"/>
    <n v="-705783.6"/>
    <n v="-8407.19"/>
    <s v="8407.19_1"/>
    <s v=""/>
    <s v="C3168UQ20TOK1202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487"/>
    <x v="65"/>
    <d v="2020-11-11T00:00:00"/>
    <d v="2020-11-16T00:00:00"/>
    <s v="RV"/>
    <s v="USD"/>
    <n v="-8401.9599999999991"/>
    <s v="83.95000"/>
    <s v="BDT"/>
    <n v="-705344.54"/>
    <n v="-8401.9599999999991"/>
    <s v="8401.96_1"/>
    <s v=""/>
    <s v="C3233UQ20IN1094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681"/>
    <x v="155"/>
    <d v="2020-12-17T00:00:00"/>
    <d v="2020-12-23T00:00:00"/>
    <s v="RV"/>
    <s v="USD"/>
    <n v="-8398.9500000000007"/>
    <s v="83.95000"/>
    <s v="BDT"/>
    <n v="-705091.85"/>
    <n v="-8398.9500000000007"/>
    <s v="8398.95_1"/>
    <s v=""/>
    <s v="C3218LVUS1305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0237"/>
    <x v="81"/>
    <d v="2020-09-16T00:00:00"/>
    <d v="2020-09-22T00:00:00"/>
    <s v="RV"/>
    <s v="USD"/>
    <n v="-8391.9"/>
    <s v="83.95000"/>
    <s v="BDT"/>
    <n v="-704500"/>
    <n v="-8391.9"/>
    <s v="8391.9_1"/>
    <s v=""/>
    <s v="C3154UQ20HAK0861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1585"/>
    <x v="247"/>
    <d v="2021-06-22T00:00:00"/>
    <d v="2021-06-26T00:00:00"/>
    <s v="RV"/>
    <s v="USD"/>
    <n v="-8375.74"/>
    <s v="83.95000"/>
    <s v="BDT"/>
    <n v="-703143.37"/>
    <n v="-8375.74"/>
    <s v="8375.74_1"/>
    <s v=""/>
    <s v="C3343UQ21MY0823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1580"/>
    <x v="247"/>
    <d v="2021-06-22T00:00:00"/>
    <d v="2021-06-24T00:00:00"/>
    <s v="RV"/>
    <s v="USD"/>
    <n v="-8357.49"/>
    <s v="83.95000"/>
    <s v="BDT"/>
    <n v="-701611.29"/>
    <n v="-8357.49"/>
    <s v="8357.49_1"/>
    <s v=""/>
    <s v="C3343UQ21YOK0819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0515"/>
    <x v="243"/>
    <d v="2020-11-17T00:00:00"/>
    <d v="2020-11-24T00:00:00"/>
    <s v="RV"/>
    <s v="USD"/>
    <n v="-8350.5"/>
    <s v="83.95000"/>
    <s v="BDT"/>
    <n v="-701024.48"/>
    <n v="-8350.5"/>
    <s v="8350.5_1"/>
    <s v=""/>
    <s v="C3147LVUS114920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0443"/>
    <x v="18"/>
    <d v="2020-11-05T00:00:00"/>
    <d v="2020-11-11T00:00:00"/>
    <s v="RV"/>
    <s v="USD"/>
    <n v="-8349.94"/>
    <s v="83.95000"/>
    <s v="BDT"/>
    <n v="-700977.46"/>
    <n v="-8349.94"/>
    <s v="8349.94_1"/>
    <s v=""/>
    <s v="C03170US20-1042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643"/>
    <x v="187"/>
    <d v="2020-12-12T00:00:00"/>
    <d v="2020-12-20T00:00:00"/>
    <s v="RV"/>
    <s v="USD"/>
    <n v="-8339.4500000000007"/>
    <s v="83.95000"/>
    <s v="BDT"/>
    <n v="-700096.83"/>
    <n v="-8339.4500000000007"/>
    <s v="8339.45_1"/>
    <s v=""/>
    <s v="C3147LVGR127020"/>
    <s v="20201212"/>
    <s v=""/>
    <s v=""/>
    <s v="0"/>
    <s v=""/>
    <s v=""/>
    <s v=""/>
    <s v=""/>
    <s v="2010100001"/>
    <s v=""/>
    <m/>
    <s v=""/>
    <s v=""/>
    <s v=""/>
    <n v="0"/>
  </r>
  <r>
    <s v=""/>
    <s v="40101001"/>
    <s v="2018000466"/>
    <x v="65"/>
    <d v="2020-11-11T00:00:00"/>
    <d v="2020-11-14T00:00:00"/>
    <s v="RV"/>
    <s v="USD"/>
    <n v="-8335.85"/>
    <s v="83.95000"/>
    <s v="BDT"/>
    <n v="-699794.61"/>
    <n v="-8335.85"/>
    <s v="8335.85_1"/>
    <s v=""/>
    <s v="C3141LVCL1062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741"/>
    <x v="178"/>
    <d v="2020-12-23T00:00:00"/>
    <d v="2021-01-03T00:00:00"/>
    <s v="RV"/>
    <s v="USD"/>
    <n v="-8329.56"/>
    <s v="83.95000"/>
    <s v="BDT"/>
    <n v="-699266.56000000006"/>
    <n v="-8329.56"/>
    <s v="8329.56_1"/>
    <s v=""/>
    <s v="C3218LVUS1352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1164"/>
    <x v="189"/>
    <d v="2021-03-26T00:00:00"/>
    <d v="2021-04-01T00:00:00"/>
    <s v="RV"/>
    <s v="USD"/>
    <n v="-8327.64"/>
    <s v="83.95000"/>
    <s v="BDT"/>
    <n v="-699105.38"/>
    <n v="-8327.64"/>
    <s v="8327.64_1"/>
    <s v=""/>
    <s v="C3318UQ21HAK0399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080"/>
    <x v="292"/>
    <d v="2021-03-16T00:00:00"/>
    <d v="2021-03-21T00:00:00"/>
    <s v="RV"/>
    <s v="USD"/>
    <n v="-8326.2800000000007"/>
    <s v="83.95000"/>
    <s v="BDT"/>
    <n v="-698991.21"/>
    <n v="-8326.2800000000007"/>
    <s v="8326.28_1"/>
    <s v=""/>
    <s v="C3274UQ21MEL0296"/>
    <s v="20210316"/>
    <s v=""/>
    <s v=""/>
    <s v="0"/>
    <s v=""/>
    <s v=""/>
    <s v=""/>
    <s v=""/>
    <s v="2010100001"/>
    <s v=""/>
    <m/>
    <s v=""/>
    <s v=""/>
    <s v=""/>
    <n v="0"/>
  </r>
  <r>
    <s v=""/>
    <s v="40101001"/>
    <s v="2018000243"/>
    <x v="159"/>
    <d v="2020-09-20T00:00:00"/>
    <d v="2020-09-24T00:00:00"/>
    <s v="RV"/>
    <s v="USD"/>
    <n v="-8326.2099999999991"/>
    <s v="83.95000"/>
    <s v="BDT"/>
    <n v="-698985.33"/>
    <n v="-8326.2099999999991"/>
    <s v="8326.21_1"/>
    <s v=""/>
    <s v="C3204UQ20EU0866"/>
    <s v="20200920"/>
    <s v=""/>
    <s v=""/>
    <s v="0"/>
    <s v=""/>
    <s v=""/>
    <s v=""/>
    <s v=""/>
    <s v="2010100001"/>
    <s v=""/>
    <m/>
    <s v=""/>
    <s v=""/>
    <s v=""/>
    <n v="0"/>
  </r>
  <r>
    <s v=""/>
    <s v="40101001"/>
    <s v="2018001210"/>
    <x v="108"/>
    <d v="2021-04-11T00:00:00"/>
    <d v="2021-04-20T00:00:00"/>
    <s v="RV"/>
    <s v="USD"/>
    <n v="-8296.73"/>
    <s v="83.95000"/>
    <s v="BDT"/>
    <n v="-696510.48"/>
    <n v="-8296.73"/>
    <s v="8296.73_1"/>
    <s v=""/>
    <s v="C3194AMZPL044121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0955"/>
    <x v="99"/>
    <d v="2021-02-11T00:00:00"/>
    <d v="2021-02-16T00:00:00"/>
    <s v="RV"/>
    <s v="USD"/>
    <n v="-8288.0300000000007"/>
    <s v="83.95000"/>
    <s v="BDT"/>
    <n v="-695780.12"/>
    <n v="-8288.0300000000007"/>
    <s v="8288.03_1"/>
    <s v=""/>
    <s v="C3260UQ21NAG0179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924"/>
    <x v="203"/>
    <d v="2021-02-02T00:00:00"/>
    <d v="2021-02-14T00:00:00"/>
    <s v="RV"/>
    <s v="USD"/>
    <n v="-8274.74"/>
    <s v="83.95000"/>
    <s v="BDT"/>
    <n v="-694664.42"/>
    <n v="-8274.74"/>
    <s v="8274.74_1"/>
    <s v=""/>
    <s v="C3248LVMX0128-21"/>
    <s v="20210202"/>
    <s v=""/>
    <s v=""/>
    <s v="0"/>
    <s v=""/>
    <s v=""/>
    <s v=""/>
    <s v=""/>
    <s v="2010100001"/>
    <s v=""/>
    <m/>
    <s v=""/>
    <s v=""/>
    <s v=""/>
    <n v="0"/>
  </r>
  <r>
    <s v=""/>
    <s v="40101001"/>
    <s v="2018000799"/>
    <x v="262"/>
    <d v="2021-01-09T00:00:00"/>
    <d v="2021-01-18T00:00:00"/>
    <s v="RV"/>
    <s v="USD"/>
    <n v="-8272.9599999999991"/>
    <s v="83.95000"/>
    <s v="BDT"/>
    <n v="-694514.99"/>
    <n v="-8272.9599999999991"/>
    <s v="8272.96_1"/>
    <s v=""/>
    <s v="C3233UQ21SG0006"/>
    <s v="20210109"/>
    <s v=""/>
    <s v=""/>
    <s v="0"/>
    <s v=""/>
    <s v=""/>
    <s v=""/>
    <s v=""/>
    <s v="2010100001"/>
    <s v=""/>
    <m/>
    <s v=""/>
    <s v=""/>
    <s v=""/>
    <n v="0"/>
  </r>
  <r>
    <s v=""/>
    <s v="40101001"/>
    <s v="2018000344"/>
    <x v="31"/>
    <d v="2020-10-18T00:00:00"/>
    <d v="2020-10-22T00:00:00"/>
    <s v="RV"/>
    <s v="USD"/>
    <n v="-8261.74"/>
    <s v="83.95000"/>
    <s v="BDT"/>
    <n v="-693573.07"/>
    <n v="-8261.74"/>
    <s v="8261.74_1"/>
    <s v=""/>
    <s v="C03170US20-0961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1054"/>
    <x v="191"/>
    <d v="2021-03-08T00:00:00"/>
    <d v="2021-03-13T00:00:00"/>
    <s v="RV"/>
    <s v="USD"/>
    <n v="-8213.98"/>
    <s v="83.95000"/>
    <s v="BDT"/>
    <n v="-689563.62"/>
    <n v="-8213.98"/>
    <s v="8213.98_1"/>
    <s v=""/>
    <s v="C3233UQ21MY0288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0647"/>
    <x v="268"/>
    <d v="2020-12-11T00:00:00"/>
    <d v="2020-12-20T00:00:00"/>
    <s v="RV"/>
    <s v="USD"/>
    <n v="-8205.56"/>
    <s v="83.95000"/>
    <s v="BDT"/>
    <n v="-688856.76"/>
    <n v="-8205.56"/>
    <s v="8205.56_1"/>
    <s v=""/>
    <s v="C3233UQ20SG1286"/>
    <s v="20201211"/>
    <s v=""/>
    <s v=""/>
    <s v="0"/>
    <s v=""/>
    <s v=""/>
    <s v=""/>
    <s v=""/>
    <s v="2010100001"/>
    <s v=""/>
    <m/>
    <s v=""/>
    <s v=""/>
    <s v=""/>
    <n v="0"/>
  </r>
  <r>
    <s v=""/>
    <s v="40101001"/>
    <s v="2018000683"/>
    <x v="293"/>
    <d v="2020-12-20T00:00:00"/>
    <d v="2020-12-23T00:00:00"/>
    <s v="RV"/>
    <s v="USD"/>
    <n v="-8180.4"/>
    <s v="83.95000"/>
    <s v="BDT"/>
    <n v="-686744.58"/>
    <n v="-8180.4"/>
    <s v="8180.4_1"/>
    <s v=""/>
    <s v="C3143LVGR134620"/>
    <s v="20201220"/>
    <s v=""/>
    <s v=""/>
    <s v="0"/>
    <s v=""/>
    <s v=""/>
    <s v=""/>
    <s v=""/>
    <s v="2010100001"/>
    <s v=""/>
    <m/>
    <s v=""/>
    <s v=""/>
    <s v=""/>
    <n v="0"/>
  </r>
  <r>
    <s v=""/>
    <s v="40101001"/>
    <s v="2018000751"/>
    <x v="134"/>
    <d v="2020-12-31T00:00:00"/>
    <d v="2021-01-05T00:00:00"/>
    <s v="RV"/>
    <s v="USD"/>
    <n v="-8148.1"/>
    <s v="83.95000"/>
    <s v="BDT"/>
    <n v="-684033"/>
    <n v="-8148.1"/>
    <s v="8148.1_1"/>
    <s v=""/>
    <s v="C3235UQ20MEL1363"/>
    <s v="20201231"/>
    <s v=""/>
    <s v=""/>
    <s v="0"/>
    <s v=""/>
    <s v=""/>
    <s v=""/>
    <s v=""/>
    <s v="2010100001"/>
    <s v=""/>
    <m/>
    <s v=""/>
    <s v=""/>
    <s v=""/>
    <n v="0"/>
  </r>
  <r>
    <s v=""/>
    <s v="40101001"/>
    <s v="2018001059"/>
    <x v="191"/>
    <d v="2021-03-08T00:00:00"/>
    <d v="2021-03-13T00:00:00"/>
    <s v="RV"/>
    <s v="USD"/>
    <n v="-8142.62"/>
    <s v="83.95000"/>
    <s v="BDT"/>
    <n v="-683572.95"/>
    <n v="-8142.62"/>
    <s v="8142.62_1"/>
    <s v=""/>
    <s v="C3290UQ21SEN0273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1237"/>
    <x v="294"/>
    <d v="2021-04-14T00:00:00"/>
    <d v="2021-04-22T00:00:00"/>
    <s v="RV"/>
    <s v="USD"/>
    <n v="-8137.32"/>
    <s v="83.95000"/>
    <s v="BDT"/>
    <n v="-683128.01"/>
    <n v="-8137.32"/>
    <s v="8137.32_1"/>
    <s v=""/>
    <s v="C3315UQ21RU0406"/>
    <s v="20210414"/>
    <s v=""/>
    <s v=""/>
    <s v="0"/>
    <s v=""/>
    <s v=""/>
    <s v=""/>
    <s v=""/>
    <s v="2010100001"/>
    <s v=""/>
    <m/>
    <s v=""/>
    <s v=""/>
    <s v=""/>
    <n v="0"/>
  </r>
  <r>
    <s v=""/>
    <s v="40101001"/>
    <s v="2018001034"/>
    <x v="116"/>
    <d v="2021-03-05T00:00:00"/>
    <d v="2021-03-10T00:00:00"/>
    <s v="RV"/>
    <s v="USD"/>
    <n v="-8134.95"/>
    <s v="83.95000"/>
    <s v="BDT"/>
    <n v="-682929.05"/>
    <n v="-8134.95"/>
    <s v="8134.95_1"/>
    <s v=""/>
    <s v="C3240LVCL0251-2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0001"/>
    <x v="113"/>
    <d v="2020-07-02T00:00:00"/>
    <d v="2020-07-06T00:00:00"/>
    <s v="RV"/>
    <s v="USD"/>
    <n v="-8123.15"/>
    <s v="83.95000"/>
    <s v="BDT"/>
    <n v="-681938.45"/>
    <n v="-8123.15"/>
    <s v="8123.15_1"/>
    <s v=""/>
    <s v="C3089UQ20OSA0547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1060"/>
    <x v="191"/>
    <d v="2021-03-08T00:00:00"/>
    <d v="2021-03-13T00:00:00"/>
    <s v="RV"/>
    <s v="USD"/>
    <n v="-8101.08"/>
    <s v="83.95000"/>
    <s v="BDT"/>
    <n v="-680085.67"/>
    <n v="-8101.08"/>
    <s v="8101.08_1"/>
    <s v=""/>
    <s v="C3290UQ21SEN0291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1182"/>
    <x v="83"/>
    <d v="2021-03-30T00:00:00"/>
    <d v="2021-04-04T00:00:00"/>
    <s v="RV"/>
    <s v="USD"/>
    <n v="-8076.6"/>
    <s v="83.95000"/>
    <s v="BDT"/>
    <n v="-678030.57"/>
    <n v="-8076.6"/>
    <s v="8076.6_1"/>
    <s v=""/>
    <s v="C3252LVUS0436-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0924"/>
    <x v="203"/>
    <d v="2021-02-02T00:00:00"/>
    <d v="2021-02-14T00:00:00"/>
    <s v="RV"/>
    <s v="USD"/>
    <n v="-8049.49"/>
    <s v="83.95000"/>
    <s v="BDT"/>
    <n v="-675754.69"/>
    <n v="-8049.49"/>
    <s v="8049.49_1"/>
    <s v=""/>
    <s v="C3248LVMX0128-21"/>
    <s v="20210202"/>
    <s v=""/>
    <s v=""/>
    <s v="0"/>
    <s v=""/>
    <s v=""/>
    <s v=""/>
    <s v=""/>
    <s v="2010100001"/>
    <s v=""/>
    <m/>
    <s v=""/>
    <s v=""/>
    <s v=""/>
    <n v="0"/>
  </r>
  <r>
    <s v=""/>
    <s v="40101001"/>
    <s v="2018001534"/>
    <x v="206"/>
    <d v="2021-06-12T00:00:00"/>
    <d v="2021-06-19T00:00:00"/>
    <s v="RV"/>
    <s v="USD"/>
    <n v="-8048.02"/>
    <s v="83.95000"/>
    <s v="BDT"/>
    <n v="-675631.28"/>
    <n v="-8048.02"/>
    <s v="8048.02_1"/>
    <s v=""/>
    <s v="C3284LVMY0738-21"/>
    <s v="20210612"/>
    <s v=""/>
    <s v=""/>
    <s v="0"/>
    <s v=""/>
    <s v=""/>
    <s v=""/>
    <s v=""/>
    <s v="2010100001"/>
    <s v=""/>
    <m/>
    <s v=""/>
    <s v=""/>
    <s v=""/>
    <n v="0"/>
  </r>
  <r>
    <s v=""/>
    <s v="40101001"/>
    <s v="2018000924"/>
    <x v="203"/>
    <d v="2021-02-02T00:00:00"/>
    <d v="2021-02-14T00:00:00"/>
    <s v="RV"/>
    <s v="USD"/>
    <n v="-8045.47"/>
    <s v="83.95000"/>
    <s v="BDT"/>
    <n v="-675417.21"/>
    <n v="-8045.47"/>
    <s v="8045.47_1"/>
    <s v=""/>
    <s v="C3248LVMX0128-21"/>
    <s v="20210202"/>
    <s v=""/>
    <s v=""/>
    <s v="0"/>
    <s v=""/>
    <s v=""/>
    <s v=""/>
    <s v=""/>
    <s v="2010100001"/>
    <s v=""/>
    <m/>
    <s v=""/>
    <s v=""/>
    <s v=""/>
    <n v="0"/>
  </r>
  <r>
    <s v=""/>
    <s v="40101001"/>
    <s v="2018000858"/>
    <x v="197"/>
    <d v="2021-01-23T00:00:00"/>
    <d v="2021-01-30T00:00:00"/>
    <s v="RV"/>
    <s v="USD"/>
    <n v="-8015.15"/>
    <s v="83.95000"/>
    <s v="BDT"/>
    <n v="-672871.84"/>
    <n v="-8015.15"/>
    <s v="8015.15_1"/>
    <s v=""/>
    <s v="C3259UQ21OSA0081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077"/>
    <x v="295"/>
    <d v="2020-07-21T00:00:00"/>
    <d v="2020-07-29T00:00:00"/>
    <s v="RV"/>
    <s v="USD"/>
    <n v="-8008.55"/>
    <s v="83.95000"/>
    <s v="BDT"/>
    <n v="-672317.77"/>
    <n v="-8008.55"/>
    <s v="8008.55_1"/>
    <s v=""/>
    <s v="C3060LVCA065120"/>
    <s v="20200721"/>
    <s v=""/>
    <s v=""/>
    <s v="0"/>
    <s v=""/>
    <s v=""/>
    <s v=""/>
    <s v=""/>
    <s v="2010100001"/>
    <s v=""/>
    <m/>
    <s v=""/>
    <s v=""/>
    <s v=""/>
    <n v="0"/>
  </r>
  <r>
    <s v=""/>
    <s v="40101001"/>
    <s v="2018000568"/>
    <x v="14"/>
    <d v="2020-11-25T00:00:00"/>
    <d v="2020-11-30T00:00:00"/>
    <s v="RV"/>
    <s v="USD"/>
    <n v="-7999.87"/>
    <s v="83.95000"/>
    <s v="BDT"/>
    <n v="-671589.09"/>
    <n v="-7999.87"/>
    <s v="7999.87_1"/>
    <s v=""/>
    <s v="C3210UQ20NAG1162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1488"/>
    <x v="88"/>
    <d v="2021-06-11T00:00:00"/>
    <d v="2021-06-16T00:00:00"/>
    <s v="RV"/>
    <s v="USD"/>
    <n v="-7994.31"/>
    <s v="83.95000"/>
    <s v="BDT"/>
    <n v="-671122.32"/>
    <n v="-7994.31"/>
    <s v="7994.31_1"/>
    <s v=""/>
    <s v="C3329UQ21SEN0776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924"/>
    <x v="203"/>
    <d v="2021-02-02T00:00:00"/>
    <d v="2021-02-14T00:00:00"/>
    <s v="RV"/>
    <s v="USD"/>
    <n v="-7992.06"/>
    <s v="83.95000"/>
    <s v="BDT"/>
    <n v="-670933.43000000005"/>
    <n v="-7992.06"/>
    <s v="7992.06_1"/>
    <s v=""/>
    <s v="C3248LVMX0128-21"/>
    <s v="20210202"/>
    <s v=""/>
    <s v=""/>
    <s v="0"/>
    <s v=""/>
    <s v=""/>
    <s v=""/>
    <s v=""/>
    <s v="2010100001"/>
    <s v=""/>
    <m/>
    <s v=""/>
    <s v=""/>
    <s v=""/>
    <n v="0"/>
  </r>
  <r>
    <s v=""/>
    <s v="40101001"/>
    <s v="2018001032"/>
    <x v="5"/>
    <d v="2021-03-07T00:00:00"/>
    <d v="2021-03-10T00:00:00"/>
    <s v="RV"/>
    <s v="USD"/>
    <n v="-7983.47"/>
    <s v="83.95000"/>
    <s v="BDT"/>
    <n v="-670212.31000000006"/>
    <n v="-7983.47"/>
    <s v="7983.47_1"/>
    <s v=""/>
    <s v="C3221LVGR0255-21"/>
    <s v="20210307"/>
    <s v=""/>
    <s v=""/>
    <s v="0"/>
    <s v=""/>
    <s v=""/>
    <s v=""/>
    <s v=""/>
    <s v="2010100001"/>
    <s v=""/>
    <m/>
    <s v=""/>
    <s v=""/>
    <s v=""/>
    <n v="0"/>
  </r>
  <r>
    <s v=""/>
    <s v="40101001"/>
    <s v="2018001587"/>
    <x v="104"/>
    <d v="2021-06-23T00:00:00"/>
    <d v="2021-06-28T00:00:00"/>
    <s v="RV"/>
    <s v="USD"/>
    <n v="-7981.6"/>
    <s v="83.95000"/>
    <s v="BDT"/>
    <n v="-670055.31999999995"/>
    <n v="-7981.6"/>
    <s v="7981.6_1"/>
    <s v=""/>
    <s v="C3270LVGR0842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1184"/>
    <x v="83"/>
    <d v="2021-03-30T00:00:00"/>
    <d v="2021-04-04T00:00:00"/>
    <s v="RV"/>
    <s v="USD"/>
    <n v="-7974.02"/>
    <s v="83.95000"/>
    <s v="BDT"/>
    <n v="-669418.98"/>
    <n v="-7974.02"/>
    <s v="7974.02_1"/>
    <s v=""/>
    <s v="C3177AMZJP0409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0076"/>
    <x v="53"/>
    <d v="2020-07-22T00:00:00"/>
    <d v="2020-07-28T00:00:00"/>
    <s v="RV"/>
    <s v="USD"/>
    <n v="-7967.38"/>
    <s v="83.95000"/>
    <s v="BDT"/>
    <n v="-668861.55000000005"/>
    <n v="-7967.38"/>
    <s v="7967.38_1"/>
    <s v=""/>
    <s v="C3150UQ20SHA0670"/>
    <s v="20200722"/>
    <s v=""/>
    <s v=""/>
    <s v="0"/>
    <s v=""/>
    <s v=""/>
    <s v=""/>
    <s v=""/>
    <s v="2010100001"/>
    <s v=""/>
    <m/>
    <s v=""/>
    <s v=""/>
    <s v=""/>
    <n v="0"/>
  </r>
  <r>
    <s v=""/>
    <s v="40101011"/>
    <s v="2008000349"/>
    <x v="296"/>
    <d v="2021-06-30T00:00:00"/>
    <d v="2021-07-05T00:00:00"/>
    <s v="DR"/>
    <s v="USD"/>
    <n v="-7945.42"/>
    <s v="83.95000"/>
    <s v="BDT"/>
    <n v="-667018.01"/>
    <n v="-7945.42"/>
    <s v="7945.42_1"/>
    <s v=""/>
    <s v="CIPL-PGCL-302-21"/>
    <s v="CIPL-PGCL-302-21"/>
    <s v="INTER COMPANY WASH SALES TO PGCL"/>
    <s v=""/>
    <s v="0"/>
    <s v=""/>
    <s v=""/>
    <s v=""/>
    <s v=""/>
    <s v=""/>
    <s v=""/>
    <m/>
    <s v=""/>
    <s v=""/>
    <s v=""/>
    <n v="0"/>
  </r>
  <r>
    <s v=""/>
    <s v="40101001"/>
    <s v="2018000269"/>
    <x v="270"/>
    <d v="2020-09-14T00:00:00"/>
    <d v="2020-09-29T00:00:00"/>
    <s v="RV"/>
    <s v="USD"/>
    <n v="-7935.84"/>
    <s v="83.95000"/>
    <s v="BDT"/>
    <n v="-666213.77"/>
    <n v="-7935.84"/>
    <s v="7935.84_1"/>
    <s v=""/>
    <s v="C3135SB20UK0830"/>
    <s v="20200914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7931.17"/>
    <s v="83.95000"/>
    <s v="BDT"/>
    <n v="-665821.72"/>
    <n v="-7931.17"/>
    <s v="7931.17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114"/>
    <x v="8"/>
    <d v="2020-07-29T00:00:00"/>
    <d v="2020-08-10T00:00:00"/>
    <s v="RV"/>
    <s v="USD"/>
    <n v="-7896.87"/>
    <s v="83.95000"/>
    <s v="BDT"/>
    <n v="-662942.24"/>
    <n v="-7896.87"/>
    <s v="7896.87_1"/>
    <s v=""/>
    <s v="C3150UQ20TW0727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0124"/>
    <x v="100"/>
    <d v="2020-08-07T00:00:00"/>
    <d v="2020-08-12T00:00:00"/>
    <s v="RV"/>
    <s v="USD"/>
    <n v="-7895.53"/>
    <s v="83.95000"/>
    <s v="BDT"/>
    <n v="-662829.74"/>
    <n v="-7895.53"/>
    <s v="7895.53_1"/>
    <s v=""/>
    <s v="C3128UQ20OSA0732"/>
    <s v="20200807"/>
    <s v=""/>
    <s v=""/>
    <s v="0"/>
    <s v=""/>
    <s v=""/>
    <s v=""/>
    <s v=""/>
    <s v="2010100001"/>
    <s v=""/>
    <m/>
    <s v=""/>
    <s v=""/>
    <s v=""/>
    <n v="0"/>
  </r>
  <r>
    <s v=""/>
    <s v="40101001"/>
    <s v="2018000972"/>
    <x v="288"/>
    <d v="2021-02-15T00:00:00"/>
    <d v="2021-02-22T00:00:00"/>
    <s v="RV"/>
    <s v="USD"/>
    <n v="-7879.96"/>
    <s v="83.95000"/>
    <s v="BDT"/>
    <n v="-661522.64"/>
    <n v="-7879.96"/>
    <s v="7879.96_1"/>
    <s v=""/>
    <s v="C3291UQ21SG0193"/>
    <s v="20210215"/>
    <s v=""/>
    <s v=""/>
    <s v="0"/>
    <s v=""/>
    <s v=""/>
    <s v=""/>
    <s v=""/>
    <s v="2010100001"/>
    <s v=""/>
    <m/>
    <s v=""/>
    <s v=""/>
    <s v=""/>
    <n v="0"/>
  </r>
  <r>
    <s v=""/>
    <s v="40101001"/>
    <s v="2018001397"/>
    <x v="51"/>
    <d v="2021-05-08T00:00:00"/>
    <d v="2021-05-24T00:00:00"/>
    <s v="RV"/>
    <s v="USD"/>
    <n v="-7871.84"/>
    <s v="83.95000"/>
    <s v="BDT"/>
    <n v="-660840.97"/>
    <n v="-7871.84"/>
    <s v="7871.84_1"/>
    <s v=""/>
    <s v="C3271UQ21KR0620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7866.13"/>
    <s v="83.95000"/>
    <s v="BDT"/>
    <n v="-660361.61"/>
    <n v="-7866.13"/>
    <s v="7866.13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207"/>
    <x v="209"/>
    <d v="2020-08-27T00:00:00"/>
    <d v="2020-09-10T00:00:00"/>
    <s v="RV"/>
    <s v="USD"/>
    <n v="-7862.92"/>
    <s v="83.95000"/>
    <s v="BDT"/>
    <n v="-660092.13"/>
    <n v="-7862.92"/>
    <s v="7862.92_1"/>
    <s v=""/>
    <s v="C3135SB20UK0780"/>
    <s v="20200827"/>
    <s v=""/>
    <s v=""/>
    <s v="0"/>
    <s v=""/>
    <s v=""/>
    <s v=""/>
    <s v=""/>
    <s v="2010100001"/>
    <s v=""/>
    <m/>
    <s v=""/>
    <s v=""/>
    <s v=""/>
    <n v="0"/>
  </r>
  <r>
    <s v=""/>
    <s v="40101001"/>
    <s v="2018000160"/>
    <x v="130"/>
    <d v="2020-08-20T00:00:00"/>
    <d v="2020-08-26T00:00:00"/>
    <s v="RV"/>
    <s v="USD"/>
    <n v="-7857.39"/>
    <s v="83.95000"/>
    <s v="BDT"/>
    <n v="-659627.89"/>
    <n v="-7857.39"/>
    <s v="7857.39_1"/>
    <s v=""/>
    <s v="C3130C&amp;A20GR0758"/>
    <s v="20200820"/>
    <s v=""/>
    <s v=""/>
    <s v="0"/>
    <s v=""/>
    <s v=""/>
    <s v=""/>
    <s v=""/>
    <s v="2010100001"/>
    <s v=""/>
    <m/>
    <s v=""/>
    <s v=""/>
    <s v=""/>
    <n v="0"/>
  </r>
  <r>
    <s v=""/>
    <s v="40101001"/>
    <s v="2018000163"/>
    <x v="130"/>
    <d v="2020-08-20T00:00:00"/>
    <d v="2020-08-26T00:00:00"/>
    <s v="RV"/>
    <s v="USD"/>
    <n v="-7857.39"/>
    <s v="83.95000"/>
    <s v="BDT"/>
    <n v="-659627.89"/>
    <n v="-7857.39"/>
    <s v="7857.39_2"/>
    <s v=""/>
    <s v="C3130C&amp;A20GR0768"/>
    <s v="20200820"/>
    <s v=""/>
    <s v=""/>
    <s v="0"/>
    <s v=""/>
    <s v=""/>
    <s v=""/>
    <s v=""/>
    <s v="2010100001"/>
    <s v=""/>
    <m/>
    <s v=""/>
    <s v=""/>
    <s v=""/>
    <n v="0"/>
  </r>
  <r>
    <s v=""/>
    <s v="40101001"/>
    <s v="2018000166"/>
    <x v="130"/>
    <d v="2020-08-20T00:00:00"/>
    <d v="2020-08-26T00:00:00"/>
    <s v="RV"/>
    <s v="USD"/>
    <n v="-7857.39"/>
    <s v="83.95000"/>
    <s v="BDT"/>
    <n v="-659627.89"/>
    <n v="-7857.39"/>
    <s v="7857.39_3"/>
    <s v=""/>
    <s v="C3130C&amp;A20GR0771"/>
    <s v="20200820"/>
    <s v=""/>
    <s v=""/>
    <s v="0"/>
    <s v=""/>
    <s v=""/>
    <s v=""/>
    <s v=""/>
    <s v="2010100001"/>
    <s v=""/>
    <m/>
    <s v=""/>
    <s v=""/>
    <s v=""/>
    <n v="0"/>
  </r>
  <r>
    <s v=""/>
    <s v="40101001"/>
    <s v="2018000162"/>
    <x v="130"/>
    <d v="2020-08-20T00:00:00"/>
    <d v="2020-08-26T00:00:00"/>
    <s v="RV"/>
    <s v="USD"/>
    <n v="-7826.43"/>
    <s v="83.95000"/>
    <s v="BDT"/>
    <n v="-657028.80000000005"/>
    <n v="-7826.43"/>
    <s v="7826.43_1"/>
    <s v=""/>
    <s v="C3130C&amp;A20GR0760"/>
    <s v="20200820"/>
    <s v=""/>
    <s v=""/>
    <s v="0"/>
    <s v=""/>
    <s v=""/>
    <s v=""/>
    <s v=""/>
    <s v="2010100001"/>
    <s v=""/>
    <m/>
    <s v=""/>
    <s v=""/>
    <s v=""/>
    <n v="0"/>
  </r>
  <r>
    <s v=""/>
    <s v="40101001"/>
    <s v="2018000100"/>
    <x v="185"/>
    <d v="2020-07-28T00:00:00"/>
    <d v="2020-08-06T00:00:00"/>
    <s v="RV"/>
    <s v="USD"/>
    <n v="-7813.47"/>
    <s v="83.95000"/>
    <s v="BDT"/>
    <n v="-655940.81000000006"/>
    <n v="-7813.47"/>
    <s v="7813.47_1"/>
    <s v=""/>
    <s v="C3085LVCA068320"/>
    <s v="20200728"/>
    <s v=""/>
    <s v=""/>
    <s v="0"/>
    <s v=""/>
    <s v=""/>
    <s v=""/>
    <s v=""/>
    <s v="2010100001"/>
    <s v=""/>
    <m/>
    <s v=""/>
    <s v=""/>
    <s v=""/>
    <n v="0"/>
  </r>
  <r>
    <s v=""/>
    <s v="40101001"/>
    <s v="2018000953"/>
    <x v="99"/>
    <d v="2021-02-11T00:00:00"/>
    <d v="2021-02-16T00:00:00"/>
    <s v="RV"/>
    <s v="USD"/>
    <n v="-7810.27"/>
    <s v="83.95000"/>
    <s v="BDT"/>
    <n v="-655672.17000000004"/>
    <n v="-7810.27"/>
    <s v="7810.27_1"/>
    <s v=""/>
    <s v="C3260UQ21HAK0176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484"/>
    <x v="18"/>
    <d v="2020-11-05T00:00:00"/>
    <d v="2020-11-16T00:00:00"/>
    <s v="RV"/>
    <s v="USD"/>
    <n v="-7807.89"/>
    <s v="83.95000"/>
    <s v="BDT"/>
    <n v="-655472.37"/>
    <n v="-7807.89"/>
    <s v="7807.89_1"/>
    <s v=""/>
    <s v="C3142LVUS0945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951"/>
    <x v="285"/>
    <d v="2021-02-09T00:00:00"/>
    <d v="2021-02-16T00:00:00"/>
    <s v="RV"/>
    <s v="USD"/>
    <n v="-7803.22"/>
    <s v="83.95000"/>
    <s v="BDT"/>
    <n v="-655080.31999999995"/>
    <n v="-7803.22"/>
    <s v="7803.22_1"/>
    <s v=""/>
    <s v="C3255UQ21LA0164"/>
    <s v="20210209"/>
    <s v=""/>
    <s v=""/>
    <s v="0"/>
    <s v=""/>
    <s v=""/>
    <s v=""/>
    <s v=""/>
    <s v="2010100001"/>
    <s v=""/>
    <m/>
    <s v=""/>
    <s v=""/>
    <s v=""/>
    <n v="0"/>
  </r>
  <r>
    <s v=""/>
    <s v="40101001"/>
    <s v="2018000710"/>
    <x v="79"/>
    <d v="2020-12-18T00:00:00"/>
    <d v="2020-12-30T00:00:00"/>
    <s v="RV"/>
    <s v="USD"/>
    <n v="-7790.45"/>
    <s v="83.95000"/>
    <s v="BDT"/>
    <n v="-654008.28"/>
    <n v="-7790.45"/>
    <s v="7790.45_1"/>
    <s v=""/>
    <s v="C3247UQ20NAG1321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710"/>
    <x v="79"/>
    <d v="2020-12-18T00:00:00"/>
    <d v="2020-12-30T00:00:00"/>
    <s v="RV"/>
    <s v="USD"/>
    <n v="-7790.45"/>
    <s v="83.95000"/>
    <s v="BDT"/>
    <n v="-654008.28"/>
    <n v="-7790.45"/>
    <s v="7790.45_2"/>
    <s v=""/>
    <s v="C3247UQ20NAG1321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7778.02"/>
    <s v="83.95000"/>
    <s v="BDT"/>
    <n v="-652964.78"/>
    <n v="-7778.02"/>
    <s v="7778.02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0852"/>
    <x v="197"/>
    <d v="2021-01-23T00:00:00"/>
    <d v="2021-01-30T00:00:00"/>
    <s v="RV"/>
    <s v="USD"/>
    <n v="-7736.86"/>
    <s v="83.95000"/>
    <s v="BDT"/>
    <n v="-649509.4"/>
    <n v="-7736.86"/>
    <s v="7736.86_1"/>
    <s v=""/>
    <s v="C3247UQ21HAK0039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396"/>
    <x v="98"/>
    <d v="2020-10-21T00:00:00"/>
    <d v="2020-11-03T00:00:00"/>
    <s v="RV"/>
    <s v="USD"/>
    <n v="-7716.02"/>
    <s v="83.95000"/>
    <s v="BDT"/>
    <n v="-647759.88"/>
    <n v="-7716.02"/>
    <s v="7716.02_1"/>
    <s v=""/>
    <s v="C03139DN20IR0979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1255"/>
    <x v="232"/>
    <d v="2021-04-21T00:00:00"/>
    <d v="2021-04-27T00:00:00"/>
    <s v="RV"/>
    <s v="USD"/>
    <n v="-7706.36"/>
    <s v="83.95000"/>
    <s v="BDT"/>
    <n v="-646948.92000000004"/>
    <n v="-7706.36"/>
    <s v="7706.36_1"/>
    <s v=""/>
    <s v="C3281LVMX0474-21"/>
    <s v="20210421"/>
    <s v=""/>
    <s v=""/>
    <s v="0"/>
    <s v=""/>
    <s v=""/>
    <s v=""/>
    <s v=""/>
    <s v="2010100001"/>
    <s v=""/>
    <m/>
    <s v=""/>
    <s v=""/>
    <s v=""/>
    <n v="0"/>
  </r>
  <r>
    <s v=""/>
    <s v="40101001"/>
    <s v="2018000865"/>
    <x v="85"/>
    <d v="2021-01-25T00:00:00"/>
    <d v="2021-01-30T00:00:00"/>
    <s v="RV"/>
    <s v="USD"/>
    <n v="-7699.18"/>
    <s v="83.95000"/>
    <s v="BDT"/>
    <n v="-646346.16"/>
    <n v="-7699.18"/>
    <s v="7699.18_1"/>
    <s v=""/>
    <s v="C3253UQ21KR0083"/>
    <s v="20210125"/>
    <s v=""/>
    <s v=""/>
    <s v="0"/>
    <s v=""/>
    <s v=""/>
    <s v=""/>
    <s v=""/>
    <s v="2010100001"/>
    <s v=""/>
    <m/>
    <s v=""/>
    <s v=""/>
    <s v=""/>
    <n v="0"/>
  </r>
  <r>
    <s v=""/>
    <s v="40101001"/>
    <s v="2008000261"/>
    <x v="17"/>
    <d v="2021-05-23T00:00:00"/>
    <d v="2021-05-30T00:00:00"/>
    <s v="DR"/>
    <s v="USD"/>
    <n v="-7680"/>
    <s v="83.95000"/>
    <s v="BDT"/>
    <n v="-644736"/>
    <n v="-7680"/>
    <s v="7680_1"/>
    <s v=""/>
    <s v="CIPLKERA21GR0537"/>
    <s v="CIPLKERA21GR0537"/>
    <s v="Stocklot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139"/>
    <x v="8"/>
    <d v="2020-07-29T00:00:00"/>
    <d v="2020-08-14T00:00:00"/>
    <s v="RV"/>
    <s v="USD"/>
    <n v="-7677.41"/>
    <s v="83.95000"/>
    <s v="BDT"/>
    <n v="-644518.56999999995"/>
    <n v="-7677.41"/>
    <s v="7677.41_1"/>
    <s v=""/>
    <s v="C3120UQ20YAN0686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0605"/>
    <x v="193"/>
    <d v="2020-12-03T00:00:00"/>
    <d v="2020-12-09T00:00:00"/>
    <s v="RV"/>
    <s v="USD"/>
    <n v="-7676.42"/>
    <s v="83.95000"/>
    <s v="BDT"/>
    <n v="-644435.46"/>
    <n v="-7676.42"/>
    <s v="7676.42_1"/>
    <s v=""/>
    <s v="C3102LVUS1224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1302"/>
    <x v="241"/>
    <d v="2021-05-05T00:00:00"/>
    <d v="2021-05-09T00:00:00"/>
    <s v="RV"/>
    <s v="USD"/>
    <n v="-7676.24"/>
    <s v="83.95000"/>
    <s v="BDT"/>
    <n v="-644420.35"/>
    <n v="-7676.24"/>
    <s v="7676.24_1"/>
    <s v=""/>
    <s v="C3343UQ21MY0572"/>
    <s v="20210505"/>
    <s v=""/>
    <s v=""/>
    <s v="0"/>
    <s v=""/>
    <s v=""/>
    <s v=""/>
    <s v=""/>
    <s v="2010100001"/>
    <s v=""/>
    <m/>
    <s v=""/>
    <s v=""/>
    <s v=""/>
    <n v="0"/>
  </r>
  <r>
    <s v=""/>
    <s v="40101001"/>
    <s v="2018000800"/>
    <x v="291"/>
    <d v="2021-01-11T00:00:00"/>
    <d v="2021-01-18T00:00:00"/>
    <s v="RV"/>
    <s v="USD"/>
    <n v="-7662.28"/>
    <s v="83.95000"/>
    <s v="BDT"/>
    <n v="-643248.4"/>
    <n v="-7662.28"/>
    <s v="7662.28_1"/>
    <s v=""/>
    <s v="C3245UQ21EU0003"/>
    <s v="20210111"/>
    <s v=""/>
    <s v=""/>
    <s v="0"/>
    <s v=""/>
    <s v=""/>
    <s v=""/>
    <s v=""/>
    <s v="2010100001"/>
    <s v=""/>
    <m/>
    <s v=""/>
    <s v=""/>
    <s v=""/>
    <n v="0"/>
  </r>
  <r>
    <s v=""/>
    <s v="40101001"/>
    <s v="2018000462"/>
    <x v="18"/>
    <d v="2020-11-05T00:00:00"/>
    <d v="2020-11-14T00:00:00"/>
    <s v="RV"/>
    <s v="USD"/>
    <n v="-7649.48"/>
    <s v="83.95000"/>
    <s v="BDT"/>
    <n v="-642173.85"/>
    <n v="-7649.48"/>
    <s v="7649.48_1"/>
    <s v=""/>
    <s v="C03139DN20IR100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768"/>
    <x v="224"/>
    <d v="2020-12-30T00:00:00"/>
    <d v="2021-01-06T00:00:00"/>
    <s v="RV"/>
    <s v="USD"/>
    <n v="-7635.14"/>
    <s v="83.95000"/>
    <s v="BDT"/>
    <n v="-640970"/>
    <n v="-7635.14"/>
    <s v="7635.14_1"/>
    <s v=""/>
    <s v="C3149LVUS1390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7634.62"/>
    <s v="83.95000"/>
    <s v="BDT"/>
    <n v="-640926.35"/>
    <n v="-7634.62"/>
    <s v="7634.62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728"/>
    <x v="293"/>
    <d v="2020-12-20T00:00:00"/>
    <d v="2021-01-02T00:00:00"/>
    <s v="RV"/>
    <s v="USD"/>
    <n v="-7593.8"/>
    <s v="83.95000"/>
    <s v="BDT"/>
    <n v="-637499.51"/>
    <n v="-7593.8"/>
    <s v="7593.8_1"/>
    <s v=""/>
    <s v="C03138DN20IR1285"/>
    <s v="20201220"/>
    <s v=""/>
    <s v=""/>
    <s v="0"/>
    <s v=""/>
    <s v=""/>
    <s v=""/>
    <s v=""/>
    <s v="2010100001"/>
    <s v=""/>
    <m/>
    <s v=""/>
    <s v=""/>
    <s v=""/>
    <n v="0"/>
  </r>
  <r>
    <s v=""/>
    <s v="40101001"/>
    <s v="2018000813"/>
    <x v="42"/>
    <d v="2021-01-14T00:00:00"/>
    <d v="2021-01-21T00:00:00"/>
    <s v="RV"/>
    <s v="USD"/>
    <n v="-7587.32"/>
    <s v="83.95000"/>
    <s v="BDT"/>
    <n v="-636955.51"/>
    <n v="-7587.32"/>
    <s v="7587.32_1"/>
    <s v=""/>
    <s v="C3232UQ21SEN0032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724"/>
    <x v="70"/>
    <d v="2020-12-27T00:00:00"/>
    <d v="2020-12-31T00:00:00"/>
    <s v="RV"/>
    <s v="USD"/>
    <n v="-7580.72"/>
    <s v="83.95000"/>
    <s v="BDT"/>
    <n v="-636401.43999999994"/>
    <n v="-7580.72"/>
    <s v="7580.72_1"/>
    <s v=""/>
    <s v="C3214LVUS1397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982"/>
    <x v="129"/>
    <d v="2021-02-13T00:00:00"/>
    <d v="2021-02-24T00:00:00"/>
    <s v="RV"/>
    <s v="USD"/>
    <n v="-7579.93"/>
    <s v="83.95000"/>
    <s v="BDT"/>
    <n v="-636335.12"/>
    <n v="-7579.93"/>
    <s v="7579.93_1"/>
    <s v=""/>
    <s v="C3246UQ21SEN0123"/>
    <s v="20210213"/>
    <s v=""/>
    <s v=""/>
    <s v="0"/>
    <s v=""/>
    <s v=""/>
    <s v=""/>
    <s v=""/>
    <s v="2010100001"/>
    <s v=""/>
    <m/>
    <s v=""/>
    <s v=""/>
    <s v=""/>
    <n v="0"/>
  </r>
  <r>
    <s v=""/>
    <s v="40101001"/>
    <s v="2018000322"/>
    <x v="25"/>
    <d v="2020-10-07T00:00:00"/>
    <d v="2020-10-14T00:00:00"/>
    <s v="RV"/>
    <s v="USD"/>
    <n v="-7552.17"/>
    <s v="83.95000"/>
    <s v="BDT"/>
    <n v="-634004.67000000004"/>
    <n v="-7552.17"/>
    <s v="7552.17_1"/>
    <s v=""/>
    <s v="C3063LVUS093120"/>
    <s v="20201007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7535.35"/>
    <s v="83.95000"/>
    <s v="BDT"/>
    <n v="-632592.63"/>
    <n v="-7535.35"/>
    <s v="7535.35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7525.36"/>
    <s v="83.95000"/>
    <s v="BDT"/>
    <n v="-631753.97"/>
    <n v="-7525.36"/>
    <s v="7525.36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556"/>
    <x v="176"/>
    <d v="2021-06-19T00:00:00"/>
    <d v="2021-06-24T00:00:00"/>
    <s v="RV"/>
    <s v="USD"/>
    <n v="-7519.41"/>
    <s v="83.95000"/>
    <s v="BDT"/>
    <n v="-631254.47"/>
    <n v="-7519.41"/>
    <s v="7519.41_1"/>
    <s v=""/>
    <s v="C3316UQ21TOK0802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7517.59"/>
    <s v="83.95000"/>
    <s v="BDT"/>
    <n v="-631101.68000000005"/>
    <n v="-7517.59"/>
    <s v="7517.59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913"/>
    <x v="208"/>
    <d v="2021-02-04T00:00:00"/>
    <d v="2021-02-10T00:00:00"/>
    <s v="RV"/>
    <s v="USD"/>
    <n v="-7496"/>
    <s v="83.95000"/>
    <s v="BDT"/>
    <n v="-629289.19999999995"/>
    <n v="-7496"/>
    <s v="7496_1"/>
    <s v=""/>
    <s v="C3272UQ21SEN0121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1514"/>
    <x v="88"/>
    <d v="2021-06-11T00:00:00"/>
    <d v="2021-06-17T00:00:00"/>
    <s v="RV"/>
    <s v="USD"/>
    <n v="-7485.74"/>
    <s v="83.95000"/>
    <s v="BDT"/>
    <n v="-628427.87"/>
    <n v="-7485.74"/>
    <s v="7485.74_1"/>
    <s v=""/>
    <s v="C3286LVGR0706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795"/>
    <x v="179"/>
    <d v="2021-01-07T00:00:00"/>
    <d v="2021-01-18T00:00:00"/>
    <s v="RV"/>
    <s v="USD"/>
    <n v="-7485.06"/>
    <s v="83.95000"/>
    <s v="BDT"/>
    <n v="-628370.79"/>
    <n v="-7485.06"/>
    <s v="7485.06_1"/>
    <s v=""/>
    <s v="C3253UQ21IN0002"/>
    <s v="20210107"/>
    <s v=""/>
    <s v=""/>
    <s v="0"/>
    <s v=""/>
    <s v=""/>
    <s v=""/>
    <s v=""/>
    <s v="2010100001"/>
    <s v=""/>
    <m/>
    <s v=""/>
    <s v=""/>
    <s v=""/>
    <n v="0"/>
  </r>
  <r>
    <s v=""/>
    <s v="40101001"/>
    <s v="2018001405"/>
    <x v="157"/>
    <d v="2021-05-19T00:00:00"/>
    <d v="2021-05-24T00:00:00"/>
    <s v="RV"/>
    <s v="USD"/>
    <n v="-7481.09"/>
    <s v="83.95000"/>
    <s v="BDT"/>
    <n v="-628037.51"/>
    <n v="-7481.09"/>
    <s v="7481.09_1"/>
    <s v=""/>
    <s v="C3308UQ21NAG0654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0053"/>
    <x v="37"/>
    <d v="2020-07-17T00:00:00"/>
    <d v="2020-07-21T00:00:00"/>
    <s v="RV"/>
    <s v="USD"/>
    <n v="-7475.28"/>
    <s v="83.95000"/>
    <s v="BDT"/>
    <n v="-627549.76"/>
    <n v="-7475.28"/>
    <s v="7475.28_1"/>
    <s v=""/>
    <s v="C3063LVGR062220"/>
    <s v="20200717"/>
    <s v=""/>
    <s v=""/>
    <s v="0"/>
    <s v=""/>
    <s v=""/>
    <s v=""/>
    <s v=""/>
    <s v="2010100001"/>
    <s v=""/>
    <m/>
    <s v=""/>
    <s v=""/>
    <s v=""/>
    <n v="0"/>
  </r>
  <r>
    <s v=""/>
    <s v="40101001"/>
    <s v="2018000243"/>
    <x v="159"/>
    <d v="2020-09-20T00:00:00"/>
    <d v="2020-09-24T00:00:00"/>
    <s v="RV"/>
    <s v="USD"/>
    <n v="-7467.36"/>
    <s v="83.95000"/>
    <s v="BDT"/>
    <n v="-626884.87"/>
    <n v="-7467.36"/>
    <s v="7467.36_1"/>
    <s v=""/>
    <s v="C3204UQ20EU0866"/>
    <s v="20200920"/>
    <s v=""/>
    <s v=""/>
    <s v="0"/>
    <s v=""/>
    <s v=""/>
    <s v=""/>
    <s v=""/>
    <s v="2010100001"/>
    <s v=""/>
    <m/>
    <s v=""/>
    <s v=""/>
    <s v=""/>
    <n v="0"/>
  </r>
  <r>
    <s v=""/>
    <s v="40101001"/>
    <s v="2018001455"/>
    <x v="196"/>
    <d v="2021-06-05T00:00:00"/>
    <d v="2021-06-09T00:00:00"/>
    <s v="RV"/>
    <s v="USD"/>
    <n v="-7456.23"/>
    <s v="83.95000"/>
    <s v="BDT"/>
    <n v="-625950.51"/>
    <n v="-7456.23"/>
    <s v="7456.23_1"/>
    <s v=""/>
    <s v="C3329UQ21MEL0667"/>
    <s v="20210605"/>
    <s v=""/>
    <s v=""/>
    <s v="0"/>
    <s v=""/>
    <s v=""/>
    <s v=""/>
    <s v=""/>
    <s v="2010100001"/>
    <s v=""/>
    <m/>
    <s v=""/>
    <s v=""/>
    <s v=""/>
    <n v="0"/>
  </r>
  <r>
    <s v=""/>
    <s v="40101001"/>
    <s v="2018001215"/>
    <x v="108"/>
    <d v="2021-04-11T00:00:00"/>
    <d v="2021-04-22T00:00:00"/>
    <s v="RV"/>
    <s v="USD"/>
    <n v="-7447.54"/>
    <s v="83.95000"/>
    <s v="BDT"/>
    <n v="-625220.96"/>
    <n v="-7447.54"/>
    <s v="7447.54_1"/>
    <s v=""/>
    <s v="C3273NT21US0423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0724"/>
    <x v="70"/>
    <d v="2020-12-27T00:00:00"/>
    <d v="2020-12-31T00:00:00"/>
    <s v="RV"/>
    <s v="USD"/>
    <n v="-7442.01"/>
    <s v="83.95000"/>
    <s v="BDT"/>
    <n v="-624756.75"/>
    <n v="-7442.01"/>
    <s v="7442.01_1"/>
    <s v=""/>
    <s v="C3214LVUS1397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504"/>
    <x v="115"/>
    <d v="2020-11-15T00:00:00"/>
    <d v="2020-11-19T00:00:00"/>
    <s v="RV"/>
    <s v="USD"/>
    <n v="-7437.11"/>
    <s v="83.95000"/>
    <s v="BDT"/>
    <n v="-624345.38"/>
    <n v="-7437.11"/>
    <s v="7437.11_1"/>
    <s v=""/>
    <s v="C3231UQ20EU1115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0955"/>
    <x v="99"/>
    <d v="2021-02-11T00:00:00"/>
    <d v="2021-02-16T00:00:00"/>
    <s v="RV"/>
    <s v="USD"/>
    <n v="-7415.6"/>
    <s v="83.95000"/>
    <s v="BDT"/>
    <n v="-622539.62"/>
    <n v="-7415.6"/>
    <s v="7415.6_1"/>
    <s v=""/>
    <s v="C3260UQ21NAG0179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1566"/>
    <x v="75"/>
    <d v="2021-06-17T00:00:00"/>
    <d v="2021-06-24T00:00:00"/>
    <s v="RV"/>
    <s v="USD"/>
    <n v="-7412.35"/>
    <s v="83.95000"/>
    <s v="BDT"/>
    <n v="-622266.78"/>
    <n v="-7412.35"/>
    <s v="7412.35_1"/>
    <s v=""/>
    <s v="C3332LVUS0791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705"/>
    <x v="9"/>
    <d v="2020-12-24T00:00:00"/>
    <d v="2020-12-29T00:00:00"/>
    <s v="RV"/>
    <s v="USD"/>
    <n v="-7406.67"/>
    <s v="83.95000"/>
    <s v="BDT"/>
    <n v="-621789.94999999995"/>
    <n v="-7406.67"/>
    <s v="7406.67_1"/>
    <s v=""/>
    <s v="C3232UQ20KR138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638"/>
    <x v="204"/>
    <d v="2020-12-09T00:00:00"/>
    <d v="2020-12-20T00:00:00"/>
    <s v="RV"/>
    <s v="USD"/>
    <n v="-7405.68"/>
    <s v="83.95000"/>
    <s v="BDT"/>
    <n v="-621706.84"/>
    <n v="-7405.68"/>
    <s v="7405.68_1"/>
    <s v=""/>
    <s v="C3232UQ20KR1275"/>
    <s v="20201209"/>
    <s v=""/>
    <s v=""/>
    <s v="0"/>
    <s v=""/>
    <s v=""/>
    <s v=""/>
    <s v=""/>
    <s v="2010100001"/>
    <s v=""/>
    <m/>
    <s v=""/>
    <s v=""/>
    <s v=""/>
    <n v="0"/>
  </r>
  <r>
    <s v=""/>
    <s v="40101001"/>
    <s v="2018001279"/>
    <x v="71"/>
    <d v="2021-04-28T00:00:00"/>
    <d v="2021-05-06T00:00:00"/>
    <s v="RV"/>
    <s v="USD"/>
    <n v="-7390.36"/>
    <s v="83.95000"/>
    <s v="BDT"/>
    <n v="-620420.72"/>
    <n v="-7390.36"/>
    <s v="7390.36_1"/>
    <s v=""/>
    <s v="C3343UQ21OSA0536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456"/>
    <x v="196"/>
    <d v="2021-06-05T00:00:00"/>
    <d v="2021-06-09T00:00:00"/>
    <s v="RV"/>
    <s v="USD"/>
    <n v="-7379.37"/>
    <s v="83.95000"/>
    <s v="BDT"/>
    <n v="-619498.11"/>
    <n v="-7379.37"/>
    <s v="7379.37_1"/>
    <s v=""/>
    <s v="C3329UQ21MEL0730"/>
    <s v="20210605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7376.74"/>
    <s v="83.95000"/>
    <s v="BDT"/>
    <n v="-619277.31999999995"/>
    <n v="-7376.74"/>
    <s v="7376.74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7365.71"/>
    <s v="83.95000"/>
    <s v="BDT"/>
    <n v="-618351.35"/>
    <n v="-7365.71"/>
    <s v="7365.71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7362.87"/>
    <s v="83.95000"/>
    <s v="BDT"/>
    <n v="-618112.93999999994"/>
    <n v="-7362.87"/>
    <s v="7362.87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7361.65"/>
    <s v="83.95000"/>
    <s v="BDT"/>
    <n v="-618010.52"/>
    <n v="-7361.65"/>
    <s v="7361.65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453"/>
    <x v="18"/>
    <d v="2020-11-05T00:00:00"/>
    <d v="2020-11-11T00:00:00"/>
    <s v="RV"/>
    <s v="USD"/>
    <n v="-7357.52"/>
    <s v="83.95000"/>
    <s v="BDT"/>
    <n v="-617663.80000000005"/>
    <n v="-7357.52"/>
    <s v="7357.52_1"/>
    <s v=""/>
    <s v="C3234UQ20TOR1067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456"/>
    <x v="18"/>
    <d v="2020-11-05T00:00:00"/>
    <d v="2020-11-14T00:00:00"/>
    <s v="RV"/>
    <s v="USD"/>
    <n v="-7343.45"/>
    <s v="83.95000"/>
    <s v="BDT"/>
    <n v="-616482.63"/>
    <n v="-7343.45"/>
    <s v="7343.45_1"/>
    <s v=""/>
    <s v="C3231UQ20PH1079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203"/>
    <x v="123"/>
    <d v="2020-08-23T00:00:00"/>
    <d v="2020-09-10T00:00:00"/>
    <s v="RV"/>
    <s v="USD"/>
    <n v="-7342.97"/>
    <s v="83.95000"/>
    <s v="BDT"/>
    <n v="-616442.32999999996"/>
    <n v="-7342.97"/>
    <s v="7342.97_1"/>
    <s v=""/>
    <s v="C03138DN20IR0761"/>
    <s v="20200823"/>
    <s v=""/>
    <s v=""/>
    <s v="0"/>
    <s v=""/>
    <s v=""/>
    <s v=""/>
    <s v=""/>
    <s v="2010100001"/>
    <s v=""/>
    <m/>
    <s v=""/>
    <s v=""/>
    <s v=""/>
    <n v="0"/>
  </r>
  <r>
    <s v=""/>
    <s v="40101001"/>
    <s v="2018000544"/>
    <x v="14"/>
    <d v="2020-11-25T00:00:00"/>
    <d v="2020-11-28T00:00:00"/>
    <s v="RV"/>
    <s v="USD"/>
    <n v="-7330"/>
    <s v="83.95000"/>
    <s v="BDT"/>
    <n v="-615353.5"/>
    <n v="-7330"/>
    <s v="7330_1"/>
    <s v=""/>
    <s v="C3145LVGR119420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843"/>
    <x v="35"/>
    <d v="2021-01-20T00:00:00"/>
    <d v="2021-01-27T00:00:00"/>
    <s v="RV"/>
    <s v="USD"/>
    <n v="-7329.66"/>
    <s v="83.95000"/>
    <s v="BDT"/>
    <n v="-615324.96"/>
    <n v="-7329.66"/>
    <s v="7329.66_1"/>
    <s v=""/>
    <s v="C3247UQ21YOK0044"/>
    <s v="20210120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7324"/>
    <s v="83.95000"/>
    <s v="BDT"/>
    <n v="-614849.80000000005"/>
    <n v="-7324"/>
    <s v="7324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1199"/>
    <x v="297"/>
    <d v="2021-04-05T00:00:00"/>
    <d v="2021-04-11T00:00:00"/>
    <s v="RV"/>
    <s v="USD"/>
    <n v="-7320.59"/>
    <s v="83.95000"/>
    <s v="BDT"/>
    <n v="-614563.53"/>
    <n v="-7320.59"/>
    <s v="7320.59_1"/>
    <s v=""/>
    <s v="C3291UQ21IN0371"/>
    <s v="20210405"/>
    <s v=""/>
    <s v=""/>
    <s v="0"/>
    <s v=""/>
    <s v=""/>
    <s v=""/>
    <s v=""/>
    <s v="2010100001"/>
    <s v=""/>
    <m/>
    <s v=""/>
    <s v=""/>
    <s v=""/>
    <n v="0"/>
  </r>
  <r>
    <s v=""/>
    <s v="40101001"/>
    <s v="2018000784"/>
    <x v="137"/>
    <d v="2021-01-05T00:00:00"/>
    <d v="2021-01-10T00:00:00"/>
    <s v="RV"/>
    <s v="USD"/>
    <n v="-7291.58"/>
    <s v="83.95000"/>
    <s v="BDT"/>
    <n v="-612128.15"/>
    <n v="-7291.58"/>
    <s v="7291.58_1"/>
    <s v=""/>
    <s v="C3245UQ20SG1412"/>
    <s v="20210105"/>
    <s v=""/>
    <s v=""/>
    <s v="0"/>
    <s v=""/>
    <s v=""/>
    <s v=""/>
    <s v=""/>
    <s v="2010100001"/>
    <s v=""/>
    <m/>
    <s v=""/>
    <s v=""/>
    <s v=""/>
    <n v="0"/>
  </r>
  <r>
    <s v=""/>
    <s v="40101001"/>
    <s v="2018000802"/>
    <x v="74"/>
    <d v="2021-01-12T00:00:00"/>
    <d v="2021-01-20T00:00:00"/>
    <s v="RV"/>
    <s v="USD"/>
    <n v="-7281.91"/>
    <s v="83.95000"/>
    <s v="BDT"/>
    <n v="-611316.34"/>
    <n v="-7281.91"/>
    <s v="7281.91_1"/>
    <s v=""/>
    <s v="C3259UQ21LA0005"/>
    <s v="20210112"/>
    <s v=""/>
    <s v=""/>
    <s v="0"/>
    <s v=""/>
    <s v=""/>
    <s v=""/>
    <s v=""/>
    <s v="2010100001"/>
    <s v=""/>
    <m/>
    <s v=""/>
    <s v=""/>
    <s v=""/>
    <n v="0"/>
  </r>
  <r>
    <s v=""/>
    <s v="40101001"/>
    <s v="2018000202"/>
    <x v="109"/>
    <d v="2020-09-05T00:00:00"/>
    <d v="2020-09-08T00:00:00"/>
    <s v="RV"/>
    <s v="USD"/>
    <n v="-7267.65"/>
    <s v="83.95000"/>
    <s v="BDT"/>
    <n v="-610119.21"/>
    <n v="-7267.65"/>
    <s v="7267.65_1"/>
    <s v=""/>
    <s v="C3154UQ20TOK0785"/>
    <s v="20200905"/>
    <s v=""/>
    <s v=""/>
    <s v="0"/>
    <s v=""/>
    <s v=""/>
    <s v=""/>
    <s v=""/>
    <s v="2010100001"/>
    <s v=""/>
    <m/>
    <s v=""/>
    <s v=""/>
    <s v=""/>
    <n v="0"/>
  </r>
  <r>
    <s v=""/>
    <s v="40101001"/>
    <s v="2018000774"/>
    <x v="211"/>
    <d v="2021-01-03T00:00:00"/>
    <d v="2021-01-06T00:00:00"/>
    <s v="RV"/>
    <s v="USD"/>
    <n v="-7266.13"/>
    <s v="83.95000"/>
    <s v="BDT"/>
    <n v="-609991.62"/>
    <n v="-7266.13"/>
    <s v="7266.13_1"/>
    <s v=""/>
    <s v="C3259UQ20KR141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321"/>
    <x v="25"/>
    <d v="2020-10-07T00:00:00"/>
    <d v="2020-10-14T00:00:00"/>
    <s v="RV"/>
    <s v="USD"/>
    <n v="-7233.65"/>
    <s v="83.95000"/>
    <s v="BDT"/>
    <n v="-607264.92000000004"/>
    <n v="-7233.65"/>
    <s v="7233.65_1"/>
    <s v=""/>
    <s v="C3205UQ20PH0953"/>
    <s v="20201007"/>
    <s v=""/>
    <s v=""/>
    <s v="0"/>
    <s v=""/>
    <s v=""/>
    <s v=""/>
    <s v=""/>
    <s v="2010100001"/>
    <s v=""/>
    <m/>
    <s v=""/>
    <s v=""/>
    <s v=""/>
    <n v="0"/>
  </r>
  <r>
    <s v=""/>
    <s v="40101001"/>
    <s v="2018000393"/>
    <x v="7"/>
    <d v="2020-10-19T00:00:00"/>
    <d v="2020-11-02T00:00:00"/>
    <s v="RV"/>
    <s v="USD"/>
    <n v="-7213.61"/>
    <s v="83.95000"/>
    <s v="BDT"/>
    <n v="-605582.56000000006"/>
    <n v="-7213.61"/>
    <s v="7213.61_1"/>
    <s v=""/>
    <s v="C03170US20-0963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7203.63"/>
    <s v="83.95000"/>
    <s v="BDT"/>
    <n v="-604744.74"/>
    <n v="-7203.63"/>
    <s v="7203.63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7199.55"/>
    <s v="83.95000"/>
    <s v="BDT"/>
    <n v="-604402.22"/>
    <n v="-7199.55"/>
    <s v="7199.55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354"/>
    <x v="7"/>
    <d v="2020-10-19T00:00:00"/>
    <d v="2020-10-24T00:00:00"/>
    <s v="RV"/>
    <s v="USD"/>
    <n v="-7186.15"/>
    <s v="83.95000"/>
    <s v="BDT"/>
    <n v="-603277.29"/>
    <n v="-7186.15"/>
    <s v="7186.15_1"/>
    <s v=""/>
    <s v="C3231UQ20NY0996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309"/>
    <x v="25"/>
    <d v="2020-10-07T00:00:00"/>
    <d v="2020-10-10T00:00:00"/>
    <s v="RV"/>
    <s v="USD"/>
    <n v="-7158.51"/>
    <s v="83.95000"/>
    <s v="BDT"/>
    <n v="-600956.91"/>
    <n v="-7158.51"/>
    <s v="7158.51_1"/>
    <s v=""/>
    <s v="C3204UQ20EU0952"/>
    <s v="20201007"/>
    <s v=""/>
    <s v=""/>
    <s v="0"/>
    <s v=""/>
    <s v=""/>
    <s v=""/>
    <s v=""/>
    <s v="2010100001"/>
    <s v=""/>
    <m/>
    <s v=""/>
    <s v=""/>
    <s v=""/>
    <n v="0"/>
  </r>
  <r>
    <s v=""/>
    <s v="40101001"/>
    <s v="2018000780"/>
    <x v="245"/>
    <d v="2020-12-19T00:00:00"/>
    <d v="2021-01-06T00:00:00"/>
    <s v="RV"/>
    <s v="USD"/>
    <n v="-7150.67"/>
    <s v="83.95000"/>
    <s v="BDT"/>
    <n v="-600298.74"/>
    <n v="-7150.67"/>
    <s v="7150.67_1"/>
    <s v=""/>
    <s v="C3207UQ20TOK1315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1208"/>
    <x v="108"/>
    <d v="2021-04-11T00:00:00"/>
    <d v="2021-04-20T00:00:00"/>
    <s v="RV"/>
    <s v="USD"/>
    <n v="-7149.98"/>
    <s v="83.95000"/>
    <s v="BDT"/>
    <n v="-600240.81999999995"/>
    <n v="-7149.98"/>
    <s v="7149.98_1"/>
    <s v=""/>
    <s v="C3194AMZJP044221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1457"/>
    <x v="202"/>
    <d v="2021-06-06T00:00:00"/>
    <d v="2021-06-09T00:00:00"/>
    <s v="RV"/>
    <s v="USD"/>
    <n v="-7136.47"/>
    <s v="83.95000"/>
    <s v="BDT"/>
    <n v="-599106.66"/>
    <n v="-7136.47"/>
    <s v="7136.47_1"/>
    <s v=""/>
    <s v="C3308UQ21TOM0754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804"/>
    <x v="126"/>
    <d v="2021-01-13T00:00:00"/>
    <d v="2021-01-20T00:00:00"/>
    <s v="RV"/>
    <s v="USD"/>
    <n v="-7135.69"/>
    <s v="83.95000"/>
    <s v="BDT"/>
    <n v="-599041.18000000005"/>
    <n v="-7135.69"/>
    <s v="7135.69_1"/>
    <s v=""/>
    <s v="C3232UQ21KR0014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800"/>
    <x v="291"/>
    <d v="2021-01-11T00:00:00"/>
    <d v="2021-01-18T00:00:00"/>
    <s v="RV"/>
    <s v="USD"/>
    <n v="-7105.3"/>
    <s v="83.95000"/>
    <s v="BDT"/>
    <n v="-596489.93999999994"/>
    <n v="-7105.3"/>
    <s v="7105.3_1"/>
    <s v=""/>
    <s v="C3245UQ21EU0003"/>
    <s v="20210111"/>
    <s v=""/>
    <s v=""/>
    <s v="0"/>
    <s v=""/>
    <s v=""/>
    <s v=""/>
    <s v=""/>
    <s v="2010100001"/>
    <s v=""/>
    <m/>
    <s v=""/>
    <s v=""/>
    <s v=""/>
    <n v="0"/>
  </r>
  <r>
    <s v=""/>
    <s v="40101001"/>
    <s v="2018000484"/>
    <x v="18"/>
    <d v="2020-11-05T00:00:00"/>
    <d v="2020-11-16T00:00:00"/>
    <s v="RV"/>
    <s v="USD"/>
    <n v="-7091.02"/>
    <s v="83.95000"/>
    <s v="BDT"/>
    <n v="-595291.13"/>
    <n v="-7091.02"/>
    <s v="7091.02_1"/>
    <s v=""/>
    <s v="C3142LVUS0945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781"/>
    <x v="245"/>
    <d v="2020-12-19T00:00:00"/>
    <d v="2021-01-06T00:00:00"/>
    <s v="RV"/>
    <s v="USD"/>
    <n v="-7086.17"/>
    <s v="83.95000"/>
    <s v="BDT"/>
    <n v="-594883.97"/>
    <n v="-7086.17"/>
    <s v="7086.17_1"/>
    <s v=""/>
    <s v="C3231UQ20SHA1252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0978"/>
    <x v="72"/>
    <d v="2021-02-16T00:00:00"/>
    <d v="2021-02-22T00:00:00"/>
    <s v="RV"/>
    <s v="USD"/>
    <n v="-7062.48"/>
    <s v="83.95000"/>
    <s v="BDT"/>
    <n v="-592895.19999999995"/>
    <n v="-7062.48"/>
    <s v="7062.48_1"/>
    <s v=""/>
    <s v="C3290UQ21HAK0220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217"/>
    <x v="263"/>
    <d v="2021-04-12T00:00:00"/>
    <d v="2021-04-22T00:00:00"/>
    <s v="RV"/>
    <s v="USD"/>
    <n v="-7062.48"/>
    <s v="83.95000"/>
    <s v="BDT"/>
    <n v="-592895.19999999995"/>
    <n v="-7062.48"/>
    <s v="7062.48_2"/>
    <s v=""/>
    <s v="C3290UQ21SEN0434"/>
    <s v="20210412"/>
    <s v=""/>
    <s v=""/>
    <s v="0"/>
    <s v=""/>
    <s v=""/>
    <s v=""/>
    <s v=""/>
    <s v="2010100001"/>
    <s v=""/>
    <m/>
    <s v=""/>
    <s v=""/>
    <s v=""/>
    <n v="0"/>
  </r>
  <r>
    <s v=""/>
    <s v="40101001"/>
    <s v="2018000717"/>
    <x v="245"/>
    <d v="2020-12-19T00:00:00"/>
    <d v="2020-12-31T00:00:00"/>
    <s v="RV"/>
    <s v="USD"/>
    <n v="-7060.15"/>
    <s v="83.95000"/>
    <s v="BDT"/>
    <n v="-592699.59"/>
    <n v="-7060.15"/>
    <s v="7060.15_1"/>
    <s v=""/>
    <s v="C3207UQ20NAG1316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0812"/>
    <x v="42"/>
    <d v="2021-01-14T00:00:00"/>
    <d v="2021-01-21T00:00:00"/>
    <s v="RV"/>
    <s v="USD"/>
    <n v="-7045.37"/>
    <s v="83.95000"/>
    <s v="BDT"/>
    <n v="-591458.81000000006"/>
    <n v="-7045.37"/>
    <s v="7045.37_1"/>
    <s v=""/>
    <s v="C3232UQ21NAG0031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191"/>
    <x v="177"/>
    <d v="2021-03-23T00:00:00"/>
    <d v="2021-04-06T00:00:00"/>
    <s v="RV"/>
    <s v="USD"/>
    <n v="-7037.69"/>
    <s v="83.95000"/>
    <s v="BDT"/>
    <n v="-590814.06999999995"/>
    <n v="-7037.69"/>
    <s v="7037.69_1"/>
    <s v=""/>
    <s v="C3274UQ21MEL0324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061"/>
    <x v="210"/>
    <d v="2020-07-08T00:00:00"/>
    <d v="2020-07-25T00:00:00"/>
    <s v="RV"/>
    <s v="USD"/>
    <n v="-7036.58"/>
    <s v="83.95000"/>
    <s v="BDT"/>
    <n v="-590720.89"/>
    <n v="-7036.58"/>
    <s v="7036.58_1"/>
    <s v=""/>
    <s v="C3060LVUS0604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1249"/>
    <x v="259"/>
    <d v="2021-04-22T00:00:00"/>
    <d v="2021-04-26T00:00:00"/>
    <s v="RV"/>
    <s v="USD"/>
    <n v="-7034.61"/>
    <s v="83.95000"/>
    <s v="BDT"/>
    <n v="-590555.51"/>
    <n v="-7034.61"/>
    <s v="7034.61_1"/>
    <s v=""/>
    <s v="C3281LVMY0476-21"/>
    <s v="20210422"/>
    <s v=""/>
    <s v=""/>
    <s v="0"/>
    <s v=""/>
    <s v=""/>
    <s v=""/>
    <s v=""/>
    <s v="2010100001"/>
    <s v=""/>
    <m/>
    <s v=""/>
    <s v=""/>
    <s v=""/>
    <n v="0"/>
  </r>
  <r>
    <s v=""/>
    <s v="40101001"/>
    <s v="2018000746"/>
    <x v="224"/>
    <d v="2020-12-30T00:00:00"/>
    <d v="2021-01-03T00:00:00"/>
    <s v="RV"/>
    <s v="USD"/>
    <n v="-7031.48"/>
    <s v="83.95000"/>
    <s v="BDT"/>
    <n v="-590292.75"/>
    <n v="-7031.48"/>
    <s v="7031.48_1"/>
    <s v=""/>
    <s v="C3245UQ20IN1359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7022.58"/>
    <s v="83.95000"/>
    <s v="BDT"/>
    <n v="-589545.59"/>
    <n v="-7022.58"/>
    <s v="7022.58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109"/>
    <x v="1"/>
    <d v="2020-07-30T00:00:00"/>
    <d v="2020-08-10T00:00:00"/>
    <s v="RV"/>
    <s v="USD"/>
    <n v="-7019.18"/>
    <s v="83.95000"/>
    <s v="BDT"/>
    <n v="-589260.16"/>
    <n v="-7019.18"/>
    <s v="7019.18_1"/>
    <s v=""/>
    <s v="C3117UQ20KR0724"/>
    <s v="20200730"/>
    <s v=""/>
    <s v=""/>
    <s v="0"/>
    <s v=""/>
    <s v=""/>
    <s v=""/>
    <s v=""/>
    <s v="2010100001"/>
    <s v=""/>
    <m/>
    <s v=""/>
    <s v=""/>
    <s v=""/>
    <n v="0"/>
  </r>
  <r>
    <s v=""/>
    <s v="40101001"/>
    <s v="2018001587"/>
    <x v="104"/>
    <d v="2021-06-23T00:00:00"/>
    <d v="2021-06-28T00:00:00"/>
    <s v="RV"/>
    <s v="USD"/>
    <n v="-7018.75"/>
    <s v="83.95000"/>
    <s v="BDT"/>
    <n v="-589224.06000000006"/>
    <n v="-7018.75"/>
    <s v="7018.75_1"/>
    <s v=""/>
    <s v="C3270LVGR0842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887"/>
    <x v="284"/>
    <d v="2021-01-27T00:00:00"/>
    <d v="2021-02-04T00:00:00"/>
    <s v="RV"/>
    <s v="USD"/>
    <n v="-7017.26"/>
    <s v="83.95000"/>
    <s v="BDT"/>
    <n v="-589098.98"/>
    <n v="-7017.26"/>
    <s v="7017.26_1"/>
    <s v=""/>
    <s v="C3218LVMX009021"/>
    <s v="20210127"/>
    <s v=""/>
    <s v=""/>
    <s v="0"/>
    <s v=""/>
    <s v=""/>
    <s v=""/>
    <s v=""/>
    <s v="2010100001"/>
    <s v=""/>
    <m/>
    <s v=""/>
    <s v=""/>
    <s v=""/>
    <n v="0"/>
  </r>
  <r>
    <s v=""/>
    <s v="40101001"/>
    <s v="2018000118"/>
    <x v="229"/>
    <d v="2020-08-03T00:00:00"/>
    <d v="2020-08-10T00:00:00"/>
    <s v="RV"/>
    <s v="USD"/>
    <n v="-7001.32"/>
    <s v="83.95000"/>
    <s v="BDT"/>
    <n v="-587760.81000000006"/>
    <n v="-7001.32"/>
    <s v="7001.32_1"/>
    <s v=""/>
    <s v="C3093UQ20SEN0715"/>
    <s v="20200803"/>
    <s v=""/>
    <s v=""/>
    <s v="0"/>
    <s v=""/>
    <s v=""/>
    <s v=""/>
    <s v=""/>
    <s v="2010100001"/>
    <s v=""/>
    <m/>
    <s v=""/>
    <s v=""/>
    <s v=""/>
    <n v="0"/>
  </r>
  <r>
    <s v=""/>
    <s v="40101001"/>
    <s v="2018001533"/>
    <x v="88"/>
    <d v="2021-06-11T00:00:00"/>
    <d v="2021-06-19T00:00:00"/>
    <s v="RV"/>
    <s v="USD"/>
    <n v="-6999.22"/>
    <s v="83.95000"/>
    <s v="BDT"/>
    <n v="-587584.52"/>
    <n v="-6999.22"/>
    <s v="6999.22_1"/>
    <s v=""/>
    <s v="C3277LVCN073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215"/>
    <x v="108"/>
    <d v="2021-04-11T00:00:00"/>
    <d v="2021-04-22T00:00:00"/>
    <s v="RV"/>
    <s v="USD"/>
    <n v="-6981.84"/>
    <s v="83.95000"/>
    <s v="BDT"/>
    <n v="-586125.47"/>
    <n v="-6981.84"/>
    <s v="6981.84_1"/>
    <s v=""/>
    <s v="C3273NT21US0423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0236"/>
    <x v="81"/>
    <d v="2020-09-16T00:00:00"/>
    <d v="2020-09-22T00:00:00"/>
    <s v="RV"/>
    <s v="USD"/>
    <n v="-6957.32"/>
    <s v="83.95000"/>
    <s v="BDT"/>
    <n v="-584067.01"/>
    <n v="-6957.32"/>
    <s v="6957.32_1"/>
    <s v=""/>
    <s v="C3154UQ20HAK0856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273"/>
    <x v="40"/>
    <d v="2020-09-08T00:00:00"/>
    <d v="2020-09-30T00:00:00"/>
    <s v="RV"/>
    <s v="USD"/>
    <n v="-6952.88"/>
    <s v="83.95000"/>
    <s v="BDT"/>
    <n v="-583694.28"/>
    <n v="-6952.88"/>
    <s v="6952.88_1"/>
    <s v=""/>
    <s v="C3155UQ20SHA0820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1111"/>
    <x v="89"/>
    <d v="2021-03-21T00:00:00"/>
    <d v="2021-03-28T00:00:00"/>
    <s v="RV"/>
    <s v="USD"/>
    <n v="-6949.53"/>
    <s v="83.95000"/>
    <s v="BDT"/>
    <n v="-583413.04"/>
    <n v="-6949.53"/>
    <s v="6949.53_1"/>
    <s v=""/>
    <s v="C3262LVUS0304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374"/>
    <x v="64"/>
    <d v="2021-05-12T00:00:00"/>
    <d v="2021-05-20T00:00:00"/>
    <s v="RV"/>
    <s v="USD"/>
    <n v="-6946.9"/>
    <s v="83.95000"/>
    <s v="BDT"/>
    <n v="-583192.26"/>
    <n v="-6946.9"/>
    <s v="6946.9_1"/>
    <s v=""/>
    <s v="C3343UQ21NAG0638"/>
    <s v="20210512"/>
    <s v=""/>
    <s v=""/>
    <s v="0"/>
    <s v=""/>
    <s v=""/>
    <s v=""/>
    <s v=""/>
    <s v="2010100001"/>
    <s v=""/>
    <m/>
    <s v=""/>
    <s v=""/>
    <s v=""/>
    <n v="0"/>
  </r>
  <r>
    <s v=""/>
    <s v="40101001"/>
    <s v="2018001036"/>
    <x v="116"/>
    <d v="2021-03-05T00:00:00"/>
    <d v="2021-03-10T00:00:00"/>
    <s v="RV"/>
    <s v="USD"/>
    <n v="-6946.67"/>
    <s v="83.95000"/>
    <s v="BDT"/>
    <n v="-583172.94999999995"/>
    <n v="-6946.67"/>
    <s v="6946.67_1"/>
    <s v=""/>
    <s v="C3248LVUS0254-2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0194"/>
    <x v="298"/>
    <d v="2020-09-01T00:00:00"/>
    <d v="2020-09-08T00:00:00"/>
    <s v="RV"/>
    <s v="USD"/>
    <n v="-6922.15"/>
    <s v="83.95000"/>
    <s v="BDT"/>
    <n v="-581114.49"/>
    <n v="-6922.15"/>
    <s v="6922.15_1"/>
    <s v=""/>
    <s v="C3136UQ20TOM0765"/>
    <s v="20200901"/>
    <s v=""/>
    <s v=""/>
    <s v="0"/>
    <s v=""/>
    <s v=""/>
    <s v=""/>
    <s v=""/>
    <s v="2010100001"/>
    <s v=""/>
    <m/>
    <s v=""/>
    <s v=""/>
    <s v=""/>
    <n v="0"/>
  </r>
  <r>
    <s v=""/>
    <s v="40101001"/>
    <s v="2018000235"/>
    <x v="248"/>
    <d v="2020-09-15T00:00:00"/>
    <d v="2020-09-17T00:00:00"/>
    <s v="RV"/>
    <s v="USD"/>
    <n v="-6910.97"/>
    <s v="83.95000"/>
    <s v="BDT"/>
    <n v="-580175.93000000005"/>
    <n v="-6910.97"/>
    <s v="6910.97_1"/>
    <s v=""/>
    <s v="C3154UQ20NAG0862"/>
    <s v="20200915"/>
    <s v=""/>
    <s v=""/>
    <s v="0"/>
    <s v=""/>
    <s v=""/>
    <s v=""/>
    <s v=""/>
    <s v="2010100001"/>
    <s v=""/>
    <m/>
    <s v=""/>
    <s v=""/>
    <s v=""/>
    <n v="0"/>
  </r>
  <r>
    <s v=""/>
    <s v="40101001"/>
    <s v="2018001203"/>
    <x v="220"/>
    <d v="2021-04-08T00:00:00"/>
    <d v="2021-04-12T00:00:00"/>
    <s v="RV"/>
    <s v="USD"/>
    <n v="-6903.1"/>
    <s v="83.95000"/>
    <s v="BDT"/>
    <n v="-579515.24"/>
    <n v="-6903.1"/>
    <s v="6903.1_1"/>
    <s v=""/>
    <s v="C3265LVCL0424-21"/>
    <s v="20210408"/>
    <s v=""/>
    <s v=""/>
    <s v="0"/>
    <s v=""/>
    <s v=""/>
    <s v=""/>
    <s v=""/>
    <s v="2010100001"/>
    <s v=""/>
    <m/>
    <s v=""/>
    <s v=""/>
    <s v=""/>
    <n v="0"/>
  </r>
  <r>
    <s v=""/>
    <s v="40101001"/>
    <s v="2018000463"/>
    <x v="54"/>
    <d v="2020-11-09T00:00:00"/>
    <d v="2020-11-14T00:00:00"/>
    <s v="RV"/>
    <s v="USD"/>
    <n v="-6899.72"/>
    <s v="83.95000"/>
    <s v="BDT"/>
    <n v="-579231.49"/>
    <n v="-6899.72"/>
    <s v="6899.72_1"/>
    <s v=""/>
    <s v="C03170US20-1041"/>
    <s v="20201109"/>
    <s v=""/>
    <s v=""/>
    <s v="0"/>
    <s v=""/>
    <s v=""/>
    <s v=""/>
    <s v=""/>
    <s v="2010100001"/>
    <s v=""/>
    <m/>
    <s v=""/>
    <s v=""/>
    <s v=""/>
    <n v="0"/>
  </r>
  <r>
    <s v=""/>
    <s v="40101001"/>
    <s v="2018000029"/>
    <x v="275"/>
    <d v="2020-07-14T00:00:00"/>
    <d v="2020-07-18T00:00:00"/>
    <s v="RV"/>
    <s v="USD"/>
    <n v="-6894.36"/>
    <s v="83.95000"/>
    <s v="BDT"/>
    <n v="-578781.52"/>
    <n v="-6894.36"/>
    <s v="6894.36_1"/>
    <s v=""/>
    <s v="C3122UQ20TOR0619"/>
    <s v="20200714"/>
    <s v=""/>
    <s v=""/>
    <s v="0"/>
    <s v=""/>
    <s v=""/>
    <s v=""/>
    <s v=""/>
    <s v="2010100001"/>
    <s v=""/>
    <m/>
    <s v=""/>
    <s v=""/>
    <s v=""/>
    <n v="0"/>
  </r>
  <r>
    <s v=""/>
    <s v="40101001"/>
    <s v="2018000586"/>
    <x v="92"/>
    <d v="2020-11-22T00:00:00"/>
    <d v="2020-12-03T00:00:00"/>
    <s v="RV"/>
    <s v="USD"/>
    <n v="-6891.15"/>
    <s v="83.95000"/>
    <s v="BDT"/>
    <n v="-578512.04"/>
    <n v="-6891.15"/>
    <s v="6891.15_1"/>
    <s v=""/>
    <s v="C3147LVTR118820"/>
    <s v="20201122"/>
    <s v=""/>
    <s v=""/>
    <s v="0"/>
    <s v=""/>
    <s v=""/>
    <s v=""/>
    <s v=""/>
    <s v="2010100001"/>
    <s v=""/>
    <m/>
    <s v=""/>
    <s v=""/>
    <s v=""/>
    <n v="0"/>
  </r>
  <r>
    <s v=""/>
    <s v="40101001"/>
    <s v="2018001501"/>
    <x v="202"/>
    <d v="2021-06-06T00:00:00"/>
    <d v="2021-06-17T00:00:00"/>
    <s v="RV"/>
    <s v="USD"/>
    <n v="-6882.72"/>
    <s v="83.95000"/>
    <s v="BDT"/>
    <n v="-577804.34"/>
    <n v="-6882.72"/>
    <s v="6882.72_1"/>
    <s v=""/>
    <s v="C3315UQ21MEL0676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1109"/>
    <x v="89"/>
    <d v="2021-03-21T00:00:00"/>
    <d v="2021-03-25T00:00:00"/>
    <s v="RV"/>
    <s v="USD"/>
    <n v="-6869.32"/>
    <s v="83.95000"/>
    <s v="BDT"/>
    <n v="-576679.41"/>
    <n v="-6869.32"/>
    <s v="6869.32_1"/>
    <s v=""/>
    <s v="C3262LVUS0309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6858.54"/>
    <s v="83.95000"/>
    <s v="BDT"/>
    <n v="-575774.43000000005"/>
    <n v="-6858.54"/>
    <s v="6858.54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954"/>
    <x v="99"/>
    <d v="2021-02-11T00:00:00"/>
    <d v="2021-02-16T00:00:00"/>
    <s v="RV"/>
    <s v="USD"/>
    <n v="-6854.76"/>
    <s v="83.95000"/>
    <s v="BDT"/>
    <n v="-575457.1"/>
    <n v="-6854.76"/>
    <s v="6854.76_1"/>
    <s v=""/>
    <s v="C3260UQ21NAG0171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962"/>
    <x v="66"/>
    <d v="2021-02-12T00:00:00"/>
    <d v="2021-02-16T00:00:00"/>
    <s v="RV"/>
    <s v="USD"/>
    <n v="-6827.51"/>
    <s v="83.95000"/>
    <s v="BDT"/>
    <n v="-573169.46"/>
    <n v="-6827.51"/>
    <s v="6827.51_1"/>
    <s v=""/>
    <s v="C3291UQ21TW0184"/>
    <s v="20210212"/>
    <s v=""/>
    <s v=""/>
    <s v="0"/>
    <s v=""/>
    <s v=""/>
    <s v=""/>
    <s v=""/>
    <s v="2010100001"/>
    <s v=""/>
    <m/>
    <s v=""/>
    <s v=""/>
    <s v=""/>
    <n v="0"/>
  </r>
  <r>
    <s v=""/>
    <s v="40101001"/>
    <s v="2018000043"/>
    <x v="275"/>
    <d v="2020-07-14T00:00:00"/>
    <d v="2020-07-20T00:00:00"/>
    <s v="RV"/>
    <s v="USD"/>
    <n v="-6814.49"/>
    <s v="83.95000"/>
    <s v="BDT"/>
    <n v="-572076.43999999994"/>
    <n v="-6814.49"/>
    <s v="6814.49_1"/>
    <s v=""/>
    <s v="C3064LVUS062020"/>
    <s v="20200714"/>
    <s v=""/>
    <s v=""/>
    <s v="0"/>
    <s v=""/>
    <s v=""/>
    <s v=""/>
    <s v=""/>
    <s v="2010100001"/>
    <s v=""/>
    <m/>
    <s v=""/>
    <s v=""/>
    <s v=""/>
    <n v="0"/>
  </r>
  <r>
    <s v=""/>
    <s v="40101001"/>
    <s v="2018000976"/>
    <x v="72"/>
    <d v="2021-02-16T00:00:00"/>
    <d v="2021-02-22T00:00:00"/>
    <s v="RV"/>
    <s v="USD"/>
    <n v="-6813.22"/>
    <s v="83.95000"/>
    <s v="BDT"/>
    <n v="-571969.81999999995"/>
    <n v="-6813.22"/>
    <s v="6813.22_1"/>
    <s v=""/>
    <s v="C3290UQ21NAG0219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236"/>
    <x v="81"/>
    <d v="2020-09-16T00:00:00"/>
    <d v="2020-09-22T00:00:00"/>
    <s v="RV"/>
    <s v="USD"/>
    <n v="-6803.76"/>
    <s v="83.95000"/>
    <s v="BDT"/>
    <n v="-571175.66"/>
    <n v="-6803.76"/>
    <s v="6803.76_1"/>
    <s v=""/>
    <s v="C3154UQ20HAK0856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290"/>
    <x v="184"/>
    <d v="2020-09-30T00:00:00"/>
    <d v="2020-10-04T00:00:00"/>
    <s v="RV"/>
    <s v="USD"/>
    <n v="-6798.78"/>
    <s v="83.95000"/>
    <s v="BDT"/>
    <n v="-570757.57999999996"/>
    <n v="-6798.78"/>
    <s v="6798.78_1"/>
    <s v=""/>
    <s v="C3081LVMX088720"/>
    <s v="20200930"/>
    <s v=""/>
    <s v=""/>
    <s v="0"/>
    <s v=""/>
    <s v=""/>
    <s v=""/>
    <s v=""/>
    <s v="2010100001"/>
    <s v=""/>
    <m/>
    <s v=""/>
    <s v=""/>
    <s v=""/>
    <n v="0"/>
  </r>
  <r>
    <s v=""/>
    <s v="40101001"/>
    <s v="2018001234"/>
    <x v="222"/>
    <d v="2021-04-16T00:00:00"/>
    <d v="2021-04-22T00:00:00"/>
    <s v="RV"/>
    <s v="USD"/>
    <n v="-6794.28"/>
    <s v="83.95000"/>
    <s v="BDT"/>
    <n v="-570379.81000000006"/>
    <n v="-6794.28"/>
    <s v="6794.28_1"/>
    <s v=""/>
    <s v="C3343UQ21YOK0458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0887"/>
    <x v="284"/>
    <d v="2021-01-27T00:00:00"/>
    <d v="2021-02-04T00:00:00"/>
    <s v="RV"/>
    <s v="USD"/>
    <n v="-6789.36"/>
    <s v="83.95000"/>
    <s v="BDT"/>
    <n v="-569966.77"/>
    <n v="-6789.36"/>
    <s v="6789.36_1"/>
    <s v=""/>
    <s v="C3218LVMX009021"/>
    <s v="20210127"/>
    <s v=""/>
    <s v=""/>
    <s v="0"/>
    <s v=""/>
    <s v=""/>
    <s v=""/>
    <s v=""/>
    <s v="2010100001"/>
    <s v=""/>
    <m/>
    <s v=""/>
    <s v=""/>
    <s v=""/>
    <n v="0"/>
  </r>
  <r>
    <s v=""/>
    <s v="40101001"/>
    <s v="2018000587"/>
    <x v="153"/>
    <d v="2020-11-28T00:00:00"/>
    <d v="2020-12-03T00:00:00"/>
    <s v="RV"/>
    <s v="USD"/>
    <n v="-6785.89"/>
    <s v="83.95000"/>
    <s v="BDT"/>
    <n v="-569675.47"/>
    <n v="-6785.89"/>
    <s v="6785.89_1"/>
    <s v=""/>
    <s v="C3102LVUS118920"/>
    <s v="20201128"/>
    <s v=""/>
    <s v=""/>
    <s v="0"/>
    <s v=""/>
    <s v=""/>
    <s v=""/>
    <s v=""/>
    <s v="2010100001"/>
    <s v=""/>
    <m/>
    <s v=""/>
    <s v=""/>
    <s v=""/>
    <n v="0"/>
  </r>
  <r>
    <s v=""/>
    <s v="40101001"/>
    <s v="2018000043"/>
    <x v="275"/>
    <d v="2020-07-14T00:00:00"/>
    <d v="2020-07-20T00:00:00"/>
    <s v="RV"/>
    <s v="USD"/>
    <n v="-6774.16"/>
    <s v="83.95000"/>
    <s v="BDT"/>
    <n v="-568690.73"/>
    <n v="-6774.16"/>
    <s v="6774.16_1"/>
    <s v=""/>
    <s v="C3064LVUS062020"/>
    <s v="20200714"/>
    <s v=""/>
    <s v=""/>
    <s v="0"/>
    <s v=""/>
    <s v=""/>
    <s v=""/>
    <s v=""/>
    <s v="2010100001"/>
    <s v=""/>
    <m/>
    <s v=""/>
    <s v=""/>
    <s v=""/>
    <n v="0"/>
  </r>
  <r>
    <s v=""/>
    <s v="40101001"/>
    <s v="2018001305"/>
    <x v="241"/>
    <d v="2021-05-05T00:00:00"/>
    <d v="2021-05-10T00:00:00"/>
    <s v="RV"/>
    <s v="USD"/>
    <n v="-6770.34"/>
    <s v="83.95000"/>
    <s v="BDT"/>
    <n v="-568370.04"/>
    <n v="-6770.34"/>
    <s v="6770.34_1"/>
    <s v=""/>
    <s v="C3283LVMY0567-21"/>
    <s v="20210505"/>
    <s v=""/>
    <s v=""/>
    <s v="0"/>
    <s v=""/>
    <s v=""/>
    <s v=""/>
    <s v=""/>
    <s v="2010100001"/>
    <s v=""/>
    <m/>
    <s v=""/>
    <s v=""/>
    <s v=""/>
    <n v="0"/>
  </r>
  <r>
    <s v=""/>
    <s v="40101001"/>
    <s v="2018001330"/>
    <x v="51"/>
    <d v="2021-05-08T00:00:00"/>
    <d v="2021-05-13T00:00:00"/>
    <s v="RV"/>
    <s v="USD"/>
    <n v="-6751.69"/>
    <s v="83.95000"/>
    <s v="BDT"/>
    <n v="-566804.38"/>
    <n v="-6751.69"/>
    <s v="6751.69_1"/>
    <s v=""/>
    <s v="C3343UQ21OSA0587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459"/>
    <x v="202"/>
    <d v="2021-06-06T00:00:00"/>
    <d v="2021-06-10T00:00:00"/>
    <s v="RV"/>
    <s v="USD"/>
    <n v="-6751.69"/>
    <s v="83.95000"/>
    <s v="BDT"/>
    <n v="-566804.38"/>
    <n v="-6751.69"/>
    <s v="6751.69_2"/>
    <s v=""/>
    <s v="C3343UQ21OSA0717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533"/>
    <x v="3"/>
    <d v="2020-11-18T00:00:00"/>
    <d v="2020-11-25T00:00:00"/>
    <s v="RV"/>
    <s v="USD"/>
    <n v="-6739.3"/>
    <s v="83.95000"/>
    <s v="BDT"/>
    <n v="-565764.24"/>
    <n v="-6739.3"/>
    <s v="6739.3_1"/>
    <s v=""/>
    <s v="C3145LVCA115520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967"/>
    <x v="285"/>
    <d v="2021-02-09T00:00:00"/>
    <d v="2021-02-16T00:00:00"/>
    <s v="RV"/>
    <s v="USD"/>
    <n v="-6721.28"/>
    <s v="83.95000"/>
    <s v="BDT"/>
    <n v="-564251.46"/>
    <n v="-6721.28"/>
    <s v="6721.28_1"/>
    <s v=""/>
    <s v="C3275LVMX0173-21"/>
    <s v="20210209"/>
    <s v=""/>
    <s v=""/>
    <s v="0"/>
    <s v=""/>
    <s v=""/>
    <s v=""/>
    <s v=""/>
    <s v="2010100001"/>
    <s v=""/>
    <m/>
    <s v=""/>
    <s v=""/>
    <s v=""/>
    <n v="0"/>
  </r>
  <r>
    <s v=""/>
    <s v="40101001"/>
    <s v="2018000428"/>
    <x v="18"/>
    <d v="2020-11-05T00:00:00"/>
    <d v="2020-11-10T00:00:00"/>
    <s v="RV"/>
    <s v="USD"/>
    <n v="-6712.42"/>
    <s v="83.95000"/>
    <s v="BDT"/>
    <n v="-563507.66"/>
    <n v="-6712.42"/>
    <s v="6712.42_1"/>
    <s v=""/>
    <s v="C3141LVCL0915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051"/>
    <x v="191"/>
    <d v="2021-03-08T00:00:00"/>
    <d v="2021-03-11T00:00:00"/>
    <s v="RV"/>
    <s v="USD"/>
    <n v="-6712.42"/>
    <s v="83.95000"/>
    <s v="BDT"/>
    <n v="-563507.66"/>
    <n v="-6712.42"/>
    <s v="6712.42_2"/>
    <s v=""/>
    <s v="C3254UQ21TOM0285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0095"/>
    <x v="53"/>
    <d v="2020-07-22T00:00:00"/>
    <d v="2020-08-06T00:00:00"/>
    <s v="RV"/>
    <s v="USD"/>
    <n v="-6708.91"/>
    <s v="83.95000"/>
    <s v="BDT"/>
    <n v="-563212.99"/>
    <n v="-6708.91"/>
    <s v="6708.91_1"/>
    <s v=""/>
    <s v="C3131UQ20YAN0664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840"/>
    <x v="35"/>
    <d v="2021-01-20T00:00:00"/>
    <d v="2021-01-27T00:00:00"/>
    <s v="RV"/>
    <s v="USD"/>
    <n v="-6702.78"/>
    <s v="83.95000"/>
    <s v="BDT"/>
    <n v="-562698.38"/>
    <n v="-6702.78"/>
    <s v="6702.78_1"/>
    <s v=""/>
    <s v="C3217UQ21EU0045"/>
    <s v="20210120"/>
    <s v=""/>
    <s v=""/>
    <s v="0"/>
    <s v=""/>
    <s v=""/>
    <s v=""/>
    <s v=""/>
    <s v="2010100001"/>
    <s v=""/>
    <m/>
    <s v=""/>
    <s v=""/>
    <s v=""/>
    <n v="0"/>
  </r>
  <r>
    <s v=""/>
    <s v="40101001"/>
    <s v="2018001613"/>
    <x v="93"/>
    <d v="2021-06-29T00:00:00"/>
    <d v="2021-07-04T00:00:00"/>
    <s v="RV"/>
    <s v="USD"/>
    <n v="-6688.17"/>
    <s v="83.95000"/>
    <s v="BDT"/>
    <n v="-561471.87"/>
    <n v="-6688.17"/>
    <s v="6688.17_1"/>
    <s v=""/>
    <s v="C3331UQ21IN0885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008"/>
    <x v="0"/>
    <d v="2020-07-04T00:00:00"/>
    <d v="2020-07-07T00:00:00"/>
    <s v="RV"/>
    <s v="USD"/>
    <n v="-6664.55"/>
    <s v="83.95000"/>
    <s v="BDT"/>
    <n v="-559488.97"/>
    <n v="-6664.55"/>
    <s v="6664.55_1"/>
    <s v=""/>
    <s v="C3122UQ20VAN0590"/>
    <s v="20200704"/>
    <s v=""/>
    <s v=""/>
    <s v="0"/>
    <s v=""/>
    <s v=""/>
    <s v=""/>
    <s v=""/>
    <s v="2010100001"/>
    <s v=""/>
    <m/>
    <s v=""/>
    <s v=""/>
    <s v=""/>
    <n v="0"/>
  </r>
  <r>
    <s v=""/>
    <s v="40101001"/>
    <s v="2018000827"/>
    <x v="62"/>
    <d v="2021-01-18T00:00:00"/>
    <d v="2021-01-23T00:00:00"/>
    <s v="RV"/>
    <s v="USD"/>
    <n v="-6660.23"/>
    <s v="83.95000"/>
    <s v="BDT"/>
    <n v="-559126.31000000006"/>
    <n v="-6660.23"/>
    <s v="6660.23_1"/>
    <s v=""/>
    <s v="C3253UQ21TOK0024"/>
    <s v="20210118"/>
    <s v=""/>
    <s v=""/>
    <s v="0"/>
    <s v=""/>
    <s v=""/>
    <s v=""/>
    <s v=""/>
    <s v="2010100001"/>
    <s v=""/>
    <m/>
    <s v=""/>
    <s v=""/>
    <s v=""/>
    <n v="0"/>
  </r>
  <r>
    <s v=""/>
    <s v="40101001"/>
    <s v="2018000141"/>
    <x v="100"/>
    <d v="2020-08-07T00:00:00"/>
    <d v="2020-08-16T00:00:00"/>
    <s v="RV"/>
    <s v="USD"/>
    <n v="-6653.12"/>
    <s v="83.95000"/>
    <s v="BDT"/>
    <n v="-558529.42000000004"/>
    <n v="-6653.12"/>
    <s v="6653.12_1"/>
    <s v=""/>
    <s v="C3084LVGR070820"/>
    <s v="20200807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6637"/>
    <s v="83.95000"/>
    <s v="BDT"/>
    <n v="-557176.15"/>
    <n v="-6637"/>
    <s v="6637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12"/>
    <s v="2008000205"/>
    <x v="242"/>
    <d v="2021-03-31T00:00:00"/>
    <d v="2021-04-06T00:00:00"/>
    <s v="DR"/>
    <s v="USD"/>
    <n v="-6635.3"/>
    <s v="83.95000"/>
    <s v="BDT"/>
    <n v="-557033.43999999994"/>
    <n v="-6635.3"/>
    <s v="6635.3_1"/>
    <s v=""/>
    <s v="CIPL-MSGL-227-21"/>
    <s v="CIPL-MSGL-227-21"/>
    <s v="N.INT.COM WASH SALES TO MASCOT GARMENTS LTD"/>
    <s v=""/>
    <s v="0"/>
    <s v="N.INTER COMPANY WASH SALE"/>
    <s v=""/>
    <s v=""/>
    <s v=""/>
    <s v=""/>
    <s v=""/>
    <m/>
    <s v=""/>
    <s v=""/>
    <s v=""/>
    <n v="0"/>
  </r>
  <r>
    <s v=""/>
    <s v="40101001"/>
    <s v="2018000744"/>
    <x v="69"/>
    <d v="2020-12-29T00:00:00"/>
    <d v="2021-01-03T00:00:00"/>
    <s v="RV"/>
    <s v="USD"/>
    <n v="-6629.14"/>
    <s v="83.95000"/>
    <s v="BDT"/>
    <n v="-556516.30000000005"/>
    <n v="-6629.14"/>
    <s v="6629.14_1"/>
    <s v=""/>
    <s v="C3234UQ20VAN1366"/>
    <s v="20201229"/>
    <s v=""/>
    <s v=""/>
    <s v="0"/>
    <s v=""/>
    <s v=""/>
    <s v=""/>
    <s v=""/>
    <s v="2010100001"/>
    <s v=""/>
    <m/>
    <s v=""/>
    <s v=""/>
    <s v=""/>
    <n v="0"/>
  </r>
  <r>
    <s v=""/>
    <s v="40101001"/>
    <s v="2018000787"/>
    <x v="211"/>
    <d v="2021-01-03T00:00:00"/>
    <d v="2021-01-12T00:00:00"/>
    <s v="RV"/>
    <s v="USD"/>
    <n v="-6629.14"/>
    <s v="83.95000"/>
    <s v="BDT"/>
    <n v="-556516.30000000005"/>
    <n v="-6629.14"/>
    <s v="6629.14_2"/>
    <s v=""/>
    <s v="C3233UQ20NY1406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6625.06"/>
    <s v="83.95000"/>
    <s v="BDT"/>
    <n v="-556173.79"/>
    <n v="-6625.06"/>
    <s v="6625.06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0379"/>
    <x v="13"/>
    <d v="2020-10-22T00:00:00"/>
    <d v="2020-11-01T00:00:00"/>
    <s v="RV"/>
    <s v="USD"/>
    <n v="-6615.01"/>
    <s v="83.95000"/>
    <s v="BDT"/>
    <n v="-555330.09"/>
    <n v="-6615.01"/>
    <s v="6615.01_1"/>
    <s v=""/>
    <s v="C3205UQ20RU0883"/>
    <s v="20201022"/>
    <s v=""/>
    <s v=""/>
    <s v="0"/>
    <s v=""/>
    <s v=""/>
    <s v=""/>
    <s v=""/>
    <s v="2010100001"/>
    <s v=""/>
    <m/>
    <s v=""/>
    <s v=""/>
    <s v=""/>
    <n v="0"/>
  </r>
  <r>
    <s v=""/>
    <s v="40101001"/>
    <s v="2018001583"/>
    <x v="247"/>
    <d v="2021-06-22T00:00:00"/>
    <d v="2021-06-24T00:00:00"/>
    <s v="RV"/>
    <s v="USD"/>
    <n v="-6605.7"/>
    <s v="83.95000"/>
    <s v="BDT"/>
    <n v="-554548.52"/>
    <n v="-6605.7"/>
    <s v="6605.7_1"/>
    <s v=""/>
    <s v="C3343UQ21OSA0814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1231"/>
    <x v="222"/>
    <d v="2021-04-16T00:00:00"/>
    <d v="2021-04-22T00:00:00"/>
    <s v="RV"/>
    <s v="USD"/>
    <n v="-6605.55"/>
    <s v="83.95000"/>
    <s v="BDT"/>
    <n v="-554535.92000000004"/>
    <n v="-6605.55"/>
    <s v="6605.55_1"/>
    <s v=""/>
    <s v="C3343UQ21OSA0459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1291"/>
    <x v="71"/>
    <d v="2021-04-28T00:00:00"/>
    <d v="2021-05-07T00:00:00"/>
    <s v="RV"/>
    <s v="USD"/>
    <n v="-6605.55"/>
    <s v="83.95000"/>
    <s v="BDT"/>
    <n v="-554535.92000000004"/>
    <n v="-6605.55"/>
    <s v="6605.55_2"/>
    <s v=""/>
    <s v="C3343UQ21YOK051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6600.5"/>
    <s v="83.95000"/>
    <s v="BDT"/>
    <n v="-554111.98"/>
    <n v="-6600.5"/>
    <s v="6600.5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352"/>
    <x v="51"/>
    <d v="2021-05-08T00:00:00"/>
    <d v="2021-05-17T00:00:00"/>
    <s v="RV"/>
    <s v="USD"/>
    <n v="-6572.01"/>
    <s v="83.95000"/>
    <s v="BDT"/>
    <n v="-551720.24"/>
    <n v="-6572.01"/>
    <s v="6572.01_1"/>
    <s v=""/>
    <s v="C3195AMZPL05762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075"/>
    <x v="53"/>
    <d v="2020-07-22T00:00:00"/>
    <d v="2020-07-28T00:00:00"/>
    <s v="RV"/>
    <s v="USD"/>
    <n v="-6559.82"/>
    <s v="83.95000"/>
    <s v="BDT"/>
    <n v="-550696.89"/>
    <n v="-6559.82"/>
    <s v="6559.82_1"/>
    <s v=""/>
    <s v="C3131UQ20YAN0665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181"/>
    <x v="183"/>
    <d v="2021-03-29T00:00:00"/>
    <d v="2021-04-04T00:00:00"/>
    <s v="RV"/>
    <s v="USD"/>
    <n v="-6546.63"/>
    <s v="83.95000"/>
    <s v="BDT"/>
    <n v="-549589.59"/>
    <n v="-6546.63"/>
    <s v="6546.63_1"/>
    <s v=""/>
    <s v="C3271UQ21TH0410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395"/>
    <x v="51"/>
    <d v="2021-05-08T00:00:00"/>
    <d v="2021-05-24T00:00:00"/>
    <s v="RV"/>
    <s v="USD"/>
    <n v="-6545.95"/>
    <s v="83.95000"/>
    <s v="BDT"/>
    <n v="-549532.5"/>
    <n v="-6545.95"/>
    <s v="6545.95_1"/>
    <s v=""/>
    <s v="C3308UQ21KR0526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207"/>
    <x v="107"/>
    <d v="2021-04-13T00:00:00"/>
    <d v="2021-04-20T00:00:00"/>
    <s v="RV"/>
    <s v="USD"/>
    <n v="-6541.19"/>
    <s v="83.95000"/>
    <s v="BDT"/>
    <n v="-549132.9"/>
    <n v="-6541.19"/>
    <s v="6541.19_1"/>
    <s v=""/>
    <s v="C3177AMZLB040721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0770"/>
    <x v="188"/>
    <d v="2021-01-01T00:00:00"/>
    <d v="2021-01-06T00:00:00"/>
    <s v="RV"/>
    <s v="USD"/>
    <n v="-6537.76"/>
    <s v="83.95000"/>
    <s v="BDT"/>
    <n v="-548844.94999999995"/>
    <n v="-6537.76"/>
    <s v="6537.76_1"/>
    <s v=""/>
    <s v="C3219LVUS139120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6511.2"/>
    <s v="83.95000"/>
    <s v="BDT"/>
    <n v="-546615.24"/>
    <n v="-6511.2"/>
    <s v="6511.2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066"/>
    <x v="106"/>
    <d v="2021-03-10T00:00:00"/>
    <d v="2021-03-17T00:00:00"/>
    <s v="RV"/>
    <s v="USD"/>
    <n v="-6502.95"/>
    <s v="83.95000"/>
    <s v="BDT"/>
    <n v="-545922.65"/>
    <n v="-6502.95"/>
    <s v="6502.95_1"/>
    <s v=""/>
    <s v="C3248LVMX0282-21"/>
    <s v="20210310"/>
    <s v=""/>
    <s v=""/>
    <s v="0"/>
    <s v=""/>
    <s v=""/>
    <s v=""/>
    <s v=""/>
    <s v="2010100001"/>
    <s v=""/>
    <m/>
    <s v=""/>
    <s v=""/>
    <s v=""/>
    <n v="0"/>
  </r>
  <r>
    <s v=""/>
    <s v="40101001"/>
    <s v="2018000199"/>
    <x v="124"/>
    <d v="2020-08-30T00:00:00"/>
    <d v="2020-09-08T00:00:00"/>
    <s v="RV"/>
    <s v="USD"/>
    <n v="-6499.43"/>
    <s v="83.95000"/>
    <s v="BDT"/>
    <n v="-545627.15"/>
    <n v="-6499.43"/>
    <s v="6499.43_1"/>
    <s v=""/>
    <s v="C3155UQ20YAN0803"/>
    <s v="20200830"/>
    <s v=""/>
    <s v=""/>
    <s v="0"/>
    <s v=""/>
    <s v=""/>
    <s v=""/>
    <s v=""/>
    <s v="2010100001"/>
    <s v=""/>
    <m/>
    <s v=""/>
    <s v=""/>
    <s v=""/>
    <n v="0"/>
  </r>
  <r>
    <s v=""/>
    <s v="40101001"/>
    <s v="2018000850"/>
    <x v="250"/>
    <d v="2021-01-24T00:00:00"/>
    <d v="2021-01-28T00:00:00"/>
    <s v="RV"/>
    <s v="USD"/>
    <n v="-6493.73"/>
    <s v="83.95000"/>
    <s v="BDT"/>
    <n v="-545148.63"/>
    <n v="-6493.73"/>
    <s v="6493.73_1"/>
    <s v=""/>
    <s v="C3221LVGR009121"/>
    <s v="20210124"/>
    <s v=""/>
    <s v=""/>
    <s v="0"/>
    <s v=""/>
    <s v=""/>
    <s v=""/>
    <s v=""/>
    <s v="2010100001"/>
    <s v=""/>
    <m/>
    <s v=""/>
    <s v=""/>
    <s v=""/>
    <n v="0"/>
  </r>
  <r>
    <s v=""/>
    <s v="40101001"/>
    <s v="2018001026"/>
    <x v="16"/>
    <d v="2021-02-26T00:00:00"/>
    <d v="2021-03-03T00:00:00"/>
    <s v="RV"/>
    <s v="USD"/>
    <n v="-6483.54"/>
    <s v="83.95000"/>
    <s v="BDT"/>
    <n v="-544293.18000000005"/>
    <n v="-6483.54"/>
    <s v="6483.54_1"/>
    <s v=""/>
    <s v="C3248LVMX0231-21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0234"/>
    <x v="248"/>
    <d v="2020-09-15T00:00:00"/>
    <d v="2020-09-17T00:00:00"/>
    <s v="RV"/>
    <s v="USD"/>
    <n v="-6460.37"/>
    <s v="83.95000"/>
    <s v="BDT"/>
    <n v="-542348.06000000006"/>
    <n v="-6460.37"/>
    <s v="6460.37_1"/>
    <s v=""/>
    <s v="C3154UQ20NAG0857"/>
    <s v="20200915"/>
    <s v=""/>
    <s v=""/>
    <s v="0"/>
    <s v=""/>
    <s v=""/>
    <s v=""/>
    <s v=""/>
    <s v="2010100001"/>
    <s v=""/>
    <m/>
    <s v=""/>
    <s v=""/>
    <s v=""/>
    <n v="0"/>
  </r>
  <r>
    <s v=""/>
    <s v="40101001"/>
    <s v="2018000362"/>
    <x v="223"/>
    <d v="2020-10-14T00:00:00"/>
    <d v="2020-10-28T00:00:00"/>
    <s v="RV"/>
    <s v="USD"/>
    <n v="-6460.37"/>
    <s v="83.95000"/>
    <s v="BDT"/>
    <n v="-542348.06000000006"/>
    <n v="-6460.37"/>
    <s v="6460.37_2"/>
    <s v=""/>
    <s v="C3159UQ20KR0969"/>
    <s v="20201014"/>
    <s v=""/>
    <s v=""/>
    <s v="0"/>
    <s v=""/>
    <s v=""/>
    <s v=""/>
    <s v=""/>
    <s v="2010100001"/>
    <s v=""/>
    <m/>
    <s v=""/>
    <s v=""/>
    <s v=""/>
    <n v="0"/>
  </r>
  <r>
    <s v=""/>
    <s v="40101001"/>
    <s v="2018001553"/>
    <x v="75"/>
    <d v="2021-06-17T00:00:00"/>
    <d v="2021-06-23T00:00:00"/>
    <s v="RV"/>
    <s v="USD"/>
    <n v="-6451.71"/>
    <s v="83.95000"/>
    <s v="BDT"/>
    <n v="-541621.05000000005"/>
    <n v="-6451.71"/>
    <s v="6451.71_1"/>
    <s v=""/>
    <s v="C3364UQ21OSA0812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617"/>
    <x v="22"/>
    <d v="2020-12-02T00:00:00"/>
    <d v="2020-12-09T00:00:00"/>
    <s v="RV"/>
    <s v="USD"/>
    <n v="-6449.81"/>
    <s v="83.95000"/>
    <s v="BDT"/>
    <n v="-541461.55000000005"/>
    <n v="-6449.81"/>
    <s v="6449.81_1"/>
    <s v=""/>
    <s v="C3233UQ20HK1215"/>
    <s v="20201202"/>
    <s v=""/>
    <s v=""/>
    <s v="0"/>
    <s v=""/>
    <s v=""/>
    <s v=""/>
    <s v=""/>
    <s v="2010100001"/>
    <s v=""/>
    <m/>
    <s v=""/>
    <s v=""/>
    <s v=""/>
    <n v="0"/>
  </r>
  <r>
    <s v=""/>
    <s v="40101001"/>
    <s v="2018000999"/>
    <x v="30"/>
    <d v="2021-02-18T00:00:00"/>
    <d v="2021-02-27T00:00:00"/>
    <s v="RV"/>
    <s v="USD"/>
    <n v="-6447.92"/>
    <s v="83.95000"/>
    <s v="BDT"/>
    <n v="-541302.88"/>
    <n v="-6447.92"/>
    <s v="6447.92_1"/>
    <s v=""/>
    <s v="C3169UQ21TW0213"/>
    <s v="20210218"/>
    <s v=""/>
    <s v=""/>
    <s v="0"/>
    <s v=""/>
    <s v=""/>
    <s v=""/>
    <s v=""/>
    <s v="2010100001"/>
    <s v=""/>
    <m/>
    <s v=""/>
    <s v=""/>
    <s v=""/>
    <n v="0"/>
  </r>
  <r>
    <s v=""/>
    <s v="40101001"/>
    <s v="2018000486"/>
    <x v="65"/>
    <d v="2020-11-11T00:00:00"/>
    <d v="2020-11-16T00:00:00"/>
    <s v="RV"/>
    <s v="USD"/>
    <n v="-6438.61"/>
    <s v="83.95000"/>
    <s v="BDT"/>
    <n v="-540521.31000000006"/>
    <n v="-6438.61"/>
    <s v="6438.61_1"/>
    <s v=""/>
    <s v="C3231UQ20IN1076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1086"/>
    <x v="57"/>
    <d v="2021-03-18T00:00:00"/>
    <d v="2021-03-24T00:00:00"/>
    <s v="RV"/>
    <s v="USD"/>
    <n v="-6431.78"/>
    <s v="83.95000"/>
    <s v="BDT"/>
    <n v="-539947.93000000005"/>
    <n v="-6431.78"/>
    <s v="6431.78_1"/>
    <s v=""/>
    <s v="C3271UQ21TW0329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0798"/>
    <x v="262"/>
    <d v="2021-01-09T00:00:00"/>
    <d v="2021-01-18T00:00:00"/>
    <s v="RV"/>
    <s v="USD"/>
    <n v="-6424.21"/>
    <s v="83.95000"/>
    <s v="BDT"/>
    <n v="-539312.43000000005"/>
    <n v="-6424.21"/>
    <s v="6424.21_1"/>
    <s v=""/>
    <s v="C3221LVGR142120"/>
    <s v="20210109"/>
    <s v=""/>
    <s v=""/>
    <s v="0"/>
    <s v=""/>
    <s v=""/>
    <s v=""/>
    <s v=""/>
    <s v="2010100001"/>
    <s v=""/>
    <m/>
    <s v=""/>
    <s v=""/>
    <s v=""/>
    <n v="0"/>
  </r>
  <r>
    <s v=""/>
    <s v="40101001"/>
    <s v="2018001152"/>
    <x v="112"/>
    <d v="2021-03-24T00:00:00"/>
    <d v="2021-03-31T00:00:00"/>
    <s v="RV"/>
    <s v="USD"/>
    <n v="-6419.17"/>
    <s v="83.95000"/>
    <s v="BDT"/>
    <n v="-538889.31999999995"/>
    <n v="-6419.17"/>
    <s v="6419.17_1"/>
    <s v=""/>
    <s v="C3268LVMX0311-21"/>
    <s v="20210324"/>
    <s v=""/>
    <s v=""/>
    <s v="0"/>
    <s v=""/>
    <s v=""/>
    <s v=""/>
    <s v=""/>
    <s v="2010100001"/>
    <s v=""/>
    <m/>
    <s v=""/>
    <s v=""/>
    <s v=""/>
    <n v="0"/>
  </r>
  <r>
    <s v=""/>
    <s v="40101001"/>
    <s v="2018000883"/>
    <x v="258"/>
    <d v="2021-01-22T00:00:00"/>
    <d v="2021-02-02T00:00:00"/>
    <s v="RV"/>
    <s v="USD"/>
    <n v="-6415.72"/>
    <s v="83.95000"/>
    <s v="BDT"/>
    <n v="-538599.68999999994"/>
    <n v="-6415.72"/>
    <s v="6415.72_1"/>
    <s v=""/>
    <s v="C3218LVMX005021"/>
    <s v="20210122"/>
    <s v=""/>
    <s v=""/>
    <s v="0"/>
    <s v=""/>
    <s v=""/>
    <s v=""/>
    <s v=""/>
    <s v="2010100001"/>
    <s v=""/>
    <m/>
    <s v=""/>
    <s v=""/>
    <s v=""/>
    <n v="0"/>
  </r>
  <r>
    <s v=""/>
    <s v="40101001"/>
    <s v="2018000072"/>
    <x v="274"/>
    <d v="2020-07-24T00:00:00"/>
    <d v="2020-07-28T00:00:00"/>
    <s v="RV"/>
    <s v="USD"/>
    <n v="-6414.85"/>
    <s v="83.95000"/>
    <s v="BDT"/>
    <n v="-538526.66"/>
    <n v="-6414.85"/>
    <s v="6414.85_1"/>
    <s v=""/>
    <s v="C3128UQ20NAG0656"/>
    <s v="20200724"/>
    <s v=""/>
    <s v=""/>
    <s v="0"/>
    <s v=""/>
    <s v=""/>
    <s v=""/>
    <s v=""/>
    <s v="2010100001"/>
    <s v=""/>
    <m/>
    <s v=""/>
    <s v=""/>
    <s v=""/>
    <n v="0"/>
  </r>
  <r>
    <s v=""/>
    <s v="40101001"/>
    <s v="2018001190"/>
    <x v="183"/>
    <d v="2021-03-29T00:00:00"/>
    <d v="2021-04-05T00:00:00"/>
    <s v="RV"/>
    <s v="USD"/>
    <n v="-6373.09"/>
    <s v="83.95000"/>
    <s v="BDT"/>
    <n v="-535020.91"/>
    <n v="-6373.09"/>
    <s v="6373.09_1"/>
    <s v=""/>
    <s v="C3275LVPE0365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030"/>
    <x v="276"/>
    <d v="2021-02-21T00:00:00"/>
    <d v="2021-03-07T00:00:00"/>
    <s v="RV"/>
    <s v="USD"/>
    <n v="-6371.67"/>
    <s v="83.95000"/>
    <s v="BDT"/>
    <n v="-534901.69999999995"/>
    <n v="-6371.67"/>
    <s v="6371.67_1"/>
    <s v=""/>
    <s v="C3259UQ21YOK0212"/>
    <s v="20210221"/>
    <s v=""/>
    <s v=""/>
    <s v="0"/>
    <s v=""/>
    <s v=""/>
    <s v=""/>
    <s v=""/>
    <s v="2010100001"/>
    <s v=""/>
    <m/>
    <s v=""/>
    <s v=""/>
    <s v=""/>
    <n v="0"/>
  </r>
  <r>
    <s v=""/>
    <s v="40101001"/>
    <s v="2018001607"/>
    <x v="93"/>
    <d v="2021-06-29T00:00:00"/>
    <d v="2021-06-30T00:00:00"/>
    <s v="RV"/>
    <s v="USD"/>
    <n v="-6365.45"/>
    <s v="83.95000"/>
    <s v="BDT"/>
    <n v="-534379.53"/>
    <n v="-6365.45"/>
    <s v="6365.45_1"/>
    <s v=""/>
    <s v="C3341LVGR0868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921"/>
    <x v="299"/>
    <d v="2021-02-01T00:00:00"/>
    <d v="2021-02-11T00:00:00"/>
    <s v="RV"/>
    <s v="USD"/>
    <n v="-6362.53"/>
    <s v="83.95000"/>
    <s v="BDT"/>
    <n v="-534134.4"/>
    <n v="-6362.53"/>
    <s v="6362.53_1"/>
    <s v=""/>
    <s v="C3143LVGR0133-21"/>
    <s v="20210201"/>
    <s v=""/>
    <s v=""/>
    <s v="0"/>
    <s v=""/>
    <s v=""/>
    <s v=""/>
    <s v=""/>
    <s v="2010100001"/>
    <s v=""/>
    <m/>
    <s v=""/>
    <s v=""/>
    <s v=""/>
    <n v="0"/>
  </r>
  <r>
    <s v=""/>
    <s v="40101001"/>
    <s v="2018000485"/>
    <x v="6"/>
    <d v="2020-11-16T00:00:00"/>
    <d v="2020-11-16T00:00:00"/>
    <s v="RV"/>
    <s v="USD"/>
    <n v="-6357.19"/>
    <s v="83.95000"/>
    <s v="BDT"/>
    <n v="-533686.1"/>
    <n v="-6357.19"/>
    <s v="6357.19_1"/>
    <s v=""/>
    <s v="C3215UQ20TOM1135"/>
    <s v="20201116"/>
    <s v=""/>
    <s v=""/>
    <s v="0"/>
    <s v=""/>
    <s v=""/>
    <s v=""/>
    <s v=""/>
    <s v="2010100001"/>
    <s v=""/>
    <m/>
    <s v=""/>
    <s v=""/>
    <s v=""/>
    <n v="0"/>
  </r>
  <r>
    <s v=""/>
    <s v="40101001"/>
    <s v="2018001620"/>
    <x v="244"/>
    <d v="2021-06-13T00:00:00"/>
    <d v="2021-07-07T00:00:00"/>
    <s v="RV"/>
    <s v="USD"/>
    <n v="-6352.47"/>
    <s v="83.95000"/>
    <s v="BDT"/>
    <n v="-533289.86"/>
    <n v="-6352.47"/>
    <s v="6352.47_1"/>
    <s v=""/>
    <s v="C3335LVMX0690-21"/>
    <s v="20210613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6343.19"/>
    <s v="83.95000"/>
    <s v="BDT"/>
    <n v="-532510.80000000005"/>
    <n v="-6343.19"/>
    <s v="6343.19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829"/>
    <x v="237"/>
    <d v="2021-01-17T00:00:00"/>
    <d v="2021-01-23T00:00:00"/>
    <s v="RV"/>
    <s v="USD"/>
    <n v="-6338.8"/>
    <s v="83.95000"/>
    <s v="BDT"/>
    <n v="-532142.26"/>
    <n v="-6338.8"/>
    <s v="6338.8_1"/>
    <s v=""/>
    <s v="C3147LVGR005321"/>
    <s v="20210117"/>
    <s v=""/>
    <s v=""/>
    <s v="0"/>
    <s v=""/>
    <s v=""/>
    <s v=""/>
    <s v=""/>
    <s v="2010100001"/>
    <s v=""/>
    <m/>
    <s v=""/>
    <s v=""/>
    <s v=""/>
    <n v="0"/>
  </r>
  <r>
    <s v=""/>
    <s v="40101001"/>
    <s v="2018000334"/>
    <x v="12"/>
    <d v="2020-10-10T00:00:00"/>
    <d v="2020-10-22T00:00:00"/>
    <s v="RV"/>
    <s v="USD"/>
    <n v="-6330.6"/>
    <s v="83.95000"/>
    <s v="BDT"/>
    <n v="-531453.87"/>
    <n v="-6330.6"/>
    <s v="6330.6_1"/>
    <s v=""/>
    <s v="C03139DN20IR0929"/>
    <s v="20201010"/>
    <s v=""/>
    <s v=""/>
    <s v="0"/>
    <s v=""/>
    <s v=""/>
    <s v=""/>
    <s v=""/>
    <s v="2010100001"/>
    <s v=""/>
    <m/>
    <s v=""/>
    <s v=""/>
    <s v=""/>
    <n v="0"/>
  </r>
  <r>
    <s v=""/>
    <s v="40101001"/>
    <s v="2018001172"/>
    <x v="189"/>
    <d v="2021-03-26T00:00:00"/>
    <d v="2021-04-04T00:00:00"/>
    <s v="RV"/>
    <s v="USD"/>
    <n v="-6321.64"/>
    <s v="83.95000"/>
    <s v="BDT"/>
    <n v="-530701.67000000004"/>
    <n v="-6321.64"/>
    <s v="6321.64_1"/>
    <s v=""/>
    <s v="C3173AMZLB0362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454"/>
    <x v="202"/>
    <d v="2021-06-06T00:00:00"/>
    <d v="2021-06-09T00:00:00"/>
    <s v="RV"/>
    <s v="USD"/>
    <n v="-6312.17"/>
    <s v="83.95000"/>
    <s v="BDT"/>
    <n v="-529906.67000000004"/>
    <n v="-6312.17"/>
    <s v="6312.17_1"/>
    <s v=""/>
    <s v="C3308UQ21SEN0753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215"/>
    <x v="40"/>
    <d v="2020-09-08T00:00:00"/>
    <d v="2020-09-12T00:00:00"/>
    <s v="RV"/>
    <s v="USD"/>
    <n v="-6294.72"/>
    <s v="83.95000"/>
    <s v="BDT"/>
    <n v="-528441.74"/>
    <n v="-6294.72"/>
    <s v="6294.72_1"/>
    <s v=""/>
    <s v="C3159UQ20HAK0790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6268.07"/>
    <s v="83.95000"/>
    <s v="BDT"/>
    <n v="-526204.48"/>
    <n v="-6268.07"/>
    <s v="6268.07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1207"/>
    <x v="107"/>
    <d v="2021-04-13T00:00:00"/>
    <d v="2021-04-20T00:00:00"/>
    <s v="RV"/>
    <s v="USD"/>
    <n v="-6260.85"/>
    <s v="83.95000"/>
    <s v="BDT"/>
    <n v="-525598.35"/>
    <n v="-6260.85"/>
    <s v="6260.85_1"/>
    <s v=""/>
    <s v="C3177AMZLB040721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0278"/>
    <x v="161"/>
    <d v="2020-09-26T00:00:00"/>
    <d v="2020-09-30T00:00:00"/>
    <s v="RV"/>
    <s v="USD"/>
    <n v="-6248.66"/>
    <s v="83.95000"/>
    <s v="BDT"/>
    <n v="-524575.01"/>
    <n v="-6248.66"/>
    <s v="6248.66_1"/>
    <s v=""/>
    <s v="C3209UQ20KR0918"/>
    <s v="20200926"/>
    <s v=""/>
    <s v=""/>
    <s v="0"/>
    <s v=""/>
    <s v=""/>
    <s v=""/>
    <s v=""/>
    <s v="2010100001"/>
    <s v=""/>
    <m/>
    <s v=""/>
    <s v=""/>
    <s v=""/>
    <n v="0"/>
  </r>
  <r>
    <s v=""/>
    <s v="40101001"/>
    <s v="2018001622"/>
    <x v="93"/>
    <d v="2021-06-29T00:00:00"/>
    <d v="2021-07-07T00:00:00"/>
    <s v="RV"/>
    <s v="USD"/>
    <n v="-6247.18"/>
    <s v="83.95000"/>
    <s v="BDT"/>
    <n v="-524450.76"/>
    <n v="-6247.18"/>
    <s v="6247.18_1"/>
    <s v=""/>
    <s v="C3270LVMX0787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6240.17"/>
    <s v="83.95000"/>
    <s v="BDT"/>
    <n v="-523862.27"/>
    <n v="-6240.17"/>
    <s v="6240.17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1528"/>
    <x v="86"/>
    <d v="2021-06-14T00:00:00"/>
    <d v="2021-06-17T00:00:00"/>
    <s v="RV"/>
    <s v="USD"/>
    <n v="-6224.35"/>
    <s v="83.95000"/>
    <s v="BDT"/>
    <n v="-522534.2"/>
    <n v="-6224.35"/>
    <s v="6224.35_1"/>
    <s v=""/>
    <s v="C3335LVUS0741-21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0043"/>
    <x v="275"/>
    <d v="2020-07-14T00:00:00"/>
    <d v="2020-07-20T00:00:00"/>
    <s v="RV"/>
    <s v="USD"/>
    <n v="-6223.14"/>
    <s v="83.95000"/>
    <s v="BDT"/>
    <n v="-522432.6"/>
    <n v="-6223.14"/>
    <s v="6223.14_1"/>
    <s v=""/>
    <s v="C3064LVUS062020"/>
    <s v="20200714"/>
    <s v=""/>
    <s v=""/>
    <s v="0"/>
    <s v=""/>
    <s v=""/>
    <s v=""/>
    <s v=""/>
    <s v="2010100001"/>
    <s v=""/>
    <m/>
    <s v=""/>
    <s v=""/>
    <s v=""/>
    <n v="0"/>
  </r>
  <r>
    <s v=""/>
    <s v="40101001"/>
    <s v="2018000401"/>
    <x v="95"/>
    <d v="2020-10-26T00:00:00"/>
    <d v="2020-11-03T00:00:00"/>
    <s v="RV"/>
    <s v="USD"/>
    <n v="-6222.64"/>
    <s v="83.95000"/>
    <s v="BDT"/>
    <n v="-522390.63"/>
    <n v="-6222.64"/>
    <s v="6222.64_1"/>
    <s v=""/>
    <s v="C3205UQ20YAN1006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1036"/>
    <x v="116"/>
    <d v="2021-03-05T00:00:00"/>
    <d v="2021-03-10T00:00:00"/>
    <s v="RV"/>
    <s v="USD"/>
    <n v="-6217.18"/>
    <s v="83.95000"/>
    <s v="BDT"/>
    <n v="-521932.26"/>
    <n v="-6217.18"/>
    <s v="6217.18_1"/>
    <s v=""/>
    <s v="C3248LVUS0254-2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0015"/>
    <x v="105"/>
    <d v="2020-07-13T00:00:00"/>
    <d v="2020-07-15T00:00:00"/>
    <s v="RV"/>
    <s v="USD"/>
    <n v="-6211.15"/>
    <s v="83.95000"/>
    <s v="BDT"/>
    <n v="-521426.04"/>
    <n v="-6211.15"/>
    <s v="6211.15_1"/>
    <s v=""/>
    <s v="C3077LVTR060620"/>
    <s v="20200713"/>
    <s v=""/>
    <s v=""/>
    <s v="0"/>
    <s v=""/>
    <s v=""/>
    <s v=""/>
    <s v=""/>
    <s v="2010100001"/>
    <s v=""/>
    <m/>
    <s v=""/>
    <s v=""/>
    <s v=""/>
    <n v="0"/>
  </r>
  <r>
    <s v=""/>
    <s v="40101001"/>
    <s v="2018000997"/>
    <x v="30"/>
    <d v="2021-02-18T00:00:00"/>
    <d v="2021-02-27T00:00:00"/>
    <s v="RV"/>
    <s v="USD"/>
    <n v="-6202.07"/>
    <s v="83.95000"/>
    <s v="BDT"/>
    <n v="-520663.78"/>
    <n v="-6202.07"/>
    <s v="6202.07_1"/>
    <s v=""/>
    <s v="C3271UQ21KR0215"/>
    <s v="20210218"/>
    <s v=""/>
    <s v=""/>
    <s v="0"/>
    <s v=""/>
    <s v=""/>
    <s v=""/>
    <s v=""/>
    <s v="2010100001"/>
    <s v=""/>
    <m/>
    <s v=""/>
    <s v=""/>
    <s v=""/>
    <n v="0"/>
  </r>
  <r>
    <s v=""/>
    <s v="40101001"/>
    <s v="2018001532"/>
    <x v="88"/>
    <d v="2021-06-11T00:00:00"/>
    <d v="2021-06-19T00:00:00"/>
    <s v="RV"/>
    <s v="USD"/>
    <n v="-6194"/>
    <s v="83.95000"/>
    <s v="BDT"/>
    <n v="-519986.3"/>
    <n v="-6194"/>
    <s v="6194_1"/>
    <s v=""/>
    <s v="C3077LVTW0743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544"/>
    <x v="14"/>
    <d v="2020-11-25T00:00:00"/>
    <d v="2020-11-28T00:00:00"/>
    <s v="RV"/>
    <s v="USD"/>
    <n v="-6149.94"/>
    <s v="83.95000"/>
    <s v="BDT"/>
    <n v="-516287.46"/>
    <n v="-6149.94"/>
    <s v="6149.94_1"/>
    <s v=""/>
    <s v="C3145LVGR119420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923"/>
    <x v="46"/>
    <d v="2021-02-07T00:00:00"/>
    <d v="2021-02-14T00:00:00"/>
    <s v="RV"/>
    <s v="USD"/>
    <n v="-6142.11"/>
    <s v="83.95000"/>
    <s v="BDT"/>
    <n v="-515630.13"/>
    <n v="-6142.11"/>
    <s v="6142.11_1"/>
    <s v=""/>
    <s v="C3232UQ21KR0136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0591"/>
    <x v="214"/>
    <d v="2020-12-01T00:00:00"/>
    <d v="2020-12-05T00:00:00"/>
    <s v="RV"/>
    <s v="USD"/>
    <n v="-6141.3"/>
    <s v="83.95000"/>
    <s v="BDT"/>
    <n v="-515562.14"/>
    <n v="-6141.3"/>
    <s v="6141.3_1"/>
    <s v=""/>
    <s v="C3168UQ20SEN1222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586"/>
    <x v="92"/>
    <d v="2020-11-22T00:00:00"/>
    <d v="2020-12-03T00:00:00"/>
    <s v="RV"/>
    <s v="USD"/>
    <n v="-6137.87"/>
    <s v="83.95000"/>
    <s v="BDT"/>
    <n v="-515274.19"/>
    <n v="-6137.87"/>
    <s v="6137.87_1"/>
    <s v=""/>
    <s v="C3147LVTR118820"/>
    <s v="20201122"/>
    <s v=""/>
    <s v=""/>
    <s v="0"/>
    <s v=""/>
    <s v=""/>
    <s v=""/>
    <s v=""/>
    <s v="2010100001"/>
    <s v=""/>
    <m/>
    <s v=""/>
    <s v=""/>
    <s v=""/>
    <n v="0"/>
  </r>
  <r>
    <s v=""/>
    <s v="40101001"/>
    <s v="2018000777"/>
    <x v="211"/>
    <d v="2021-01-03T00:00:00"/>
    <d v="2021-01-06T00:00:00"/>
    <s v="RV"/>
    <s v="USD"/>
    <n v="-6133.92"/>
    <s v="83.95000"/>
    <s v="BDT"/>
    <n v="-514942.59"/>
    <n v="-6133.92"/>
    <s v="6133.92_1"/>
    <s v=""/>
    <s v="C3243LVUS1423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777"/>
    <x v="211"/>
    <d v="2021-01-03T00:00:00"/>
    <d v="2021-01-06T00:00:00"/>
    <s v="RV"/>
    <s v="USD"/>
    <n v="-6133.92"/>
    <s v="83.95000"/>
    <s v="BDT"/>
    <n v="-514942.58"/>
    <n v="-6133.92"/>
    <s v="6133.92_2"/>
    <s v=""/>
    <s v="C3243LVUS1423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215"/>
    <x v="40"/>
    <d v="2020-09-08T00:00:00"/>
    <d v="2020-09-12T00:00:00"/>
    <s v="RV"/>
    <s v="USD"/>
    <n v="-6129.06"/>
    <s v="83.95000"/>
    <s v="BDT"/>
    <n v="-514534.59"/>
    <n v="-6129.06"/>
    <s v="6129.06_1"/>
    <s v=""/>
    <s v="C3159UQ20HAK0790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1434"/>
    <x v="205"/>
    <d v="2021-05-28T00:00:00"/>
    <d v="2021-06-01T00:00:00"/>
    <s v="RV"/>
    <s v="USD"/>
    <n v="-6128.84"/>
    <s v="83.95000"/>
    <s v="BDT"/>
    <n v="-514516.12"/>
    <n v="-6128.84"/>
    <s v="6128.84_1"/>
    <s v=""/>
    <s v="C3329UQ21TOR0607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18001235"/>
    <x v="125"/>
    <d v="2021-04-17T00:00:00"/>
    <d v="2021-04-22T00:00:00"/>
    <s v="RV"/>
    <s v="USD"/>
    <n v="-6113.12"/>
    <s v="83.95000"/>
    <s v="BDT"/>
    <n v="-513196.42"/>
    <n v="-6113.12"/>
    <s v="6113.12_1"/>
    <s v=""/>
    <s v="C3192AMZPL044421"/>
    <s v="20210417"/>
    <s v=""/>
    <s v=""/>
    <s v="0"/>
    <s v=""/>
    <s v=""/>
    <s v=""/>
    <s v=""/>
    <s v="2010100001"/>
    <s v=""/>
    <m/>
    <s v=""/>
    <s v=""/>
    <s v=""/>
    <n v="0"/>
  </r>
  <r>
    <s v=""/>
    <s v="40101001"/>
    <s v="2018000428"/>
    <x v="18"/>
    <d v="2020-11-05T00:00:00"/>
    <d v="2020-11-10T00:00:00"/>
    <s v="RV"/>
    <s v="USD"/>
    <n v="-6102.2"/>
    <s v="83.95000"/>
    <s v="BDT"/>
    <n v="-512279.69"/>
    <n v="-6102.2"/>
    <s v="6102.2_1"/>
    <s v=""/>
    <s v="C3141LVCL0915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6090.88"/>
    <s v="83.95000"/>
    <s v="BDT"/>
    <n v="-511329.38"/>
    <n v="-6090.88"/>
    <s v="6090.88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928"/>
    <x v="46"/>
    <d v="2021-02-07T00:00:00"/>
    <d v="2021-02-14T00:00:00"/>
    <s v="RV"/>
    <s v="USD"/>
    <n v="-6086.2"/>
    <s v="83.95000"/>
    <s v="BDT"/>
    <n v="-510936.49"/>
    <n v="-6086.2"/>
    <s v="6086.2_1"/>
    <s v=""/>
    <s v="C3260UQ21NAG0157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08000210"/>
    <x v="198"/>
    <d v="2021-04-02T00:00:00"/>
    <d v="2021-04-19T00:00:00"/>
    <s v="DR"/>
    <s v="USD"/>
    <n v="-6077.97"/>
    <s v="83.95000"/>
    <s v="BDT"/>
    <n v="-510245.58"/>
    <n v="-6077.97"/>
    <s v="6077.97_1"/>
    <s v=""/>
    <s v="CIPLKERA21GR0295"/>
    <s v="CIPLKERA21GR0295"/>
    <s v="Stocklot sales to EDL HK"/>
    <s v=""/>
    <s v="0"/>
    <s v="Stocklot sales to EDL HK"/>
    <s v=""/>
    <s v=""/>
    <s v=""/>
    <s v="2010100001"/>
    <s v=""/>
    <m/>
    <s v=""/>
    <s v=""/>
    <s v=""/>
    <n v="0"/>
  </r>
  <r>
    <s v=""/>
    <s v="40101011"/>
    <s v="2008000272"/>
    <x v="255"/>
    <d v="2021-05-31T00:00:00"/>
    <d v="2021-06-06T00:00:00"/>
    <s v="DR"/>
    <s v="USD"/>
    <n v="-6071.4"/>
    <s v="83.95000"/>
    <s v="BDT"/>
    <n v="-509694.03"/>
    <n v="-6071.4"/>
    <s v="6071.4_1"/>
    <s v=""/>
    <s v="CIPL-PGCL-301-21"/>
    <s v="CIPL-PGCL-301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12"/>
    <s v="2008000099"/>
    <x v="27"/>
    <d v="2020-11-30T00:00:00"/>
    <d v="2020-12-06T00:00:00"/>
    <s v="DR"/>
    <s v="USD"/>
    <n v="-6058.53"/>
    <s v="83.95000"/>
    <s v="BDT"/>
    <n v="-508613.59"/>
    <n v="-6058.53"/>
    <s v="6058.53_1"/>
    <s v=""/>
    <s v="CIPL-MSGL-221-20"/>
    <s v="CIPL-MSGL-221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092"/>
    <x v="139"/>
    <d v="2020-07-27T00:00:00"/>
    <d v="2020-07-30T00:00:00"/>
    <s v="RV"/>
    <s v="USD"/>
    <n v="-6057.03"/>
    <s v="83.95000"/>
    <s v="BDT"/>
    <n v="-508487.67"/>
    <n v="-6057.03"/>
    <s v="6057.03_1"/>
    <s v=""/>
    <s v="C3125UQ20KR0679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0317"/>
    <x v="97"/>
    <d v="2020-10-09T00:00:00"/>
    <d v="2020-10-13T00:00:00"/>
    <s v="RV"/>
    <s v="USD"/>
    <n v="-6052.31"/>
    <s v="83.95000"/>
    <s v="BDT"/>
    <n v="-508091.42"/>
    <n v="-6052.31"/>
    <s v="6052.31_1"/>
    <s v=""/>
    <s v="C3208UQ20HK0956"/>
    <s v="20201009"/>
    <s v=""/>
    <s v=""/>
    <s v="0"/>
    <s v=""/>
    <s v=""/>
    <s v=""/>
    <s v=""/>
    <s v="2010100001"/>
    <s v=""/>
    <m/>
    <s v=""/>
    <s v=""/>
    <s v=""/>
    <n v="0"/>
  </r>
  <r>
    <s v=""/>
    <s v="40101001"/>
    <s v="2018001072"/>
    <x v="228"/>
    <d v="2021-03-12T00:00:00"/>
    <d v="2021-03-17T00:00:00"/>
    <s v="RV"/>
    <s v="USD"/>
    <n v="-6047.39"/>
    <s v="83.95000"/>
    <s v="BDT"/>
    <n v="-507678.39"/>
    <n v="-6047.39"/>
    <s v="6047.39_1"/>
    <s v=""/>
    <s v="C3263LVUS0278-21"/>
    <s v="20210312"/>
    <s v=""/>
    <s v=""/>
    <s v="0"/>
    <s v=""/>
    <s v=""/>
    <s v=""/>
    <s v=""/>
    <s v="2010100001"/>
    <s v=""/>
    <m/>
    <s v=""/>
    <s v=""/>
    <s v=""/>
    <n v="0"/>
  </r>
  <r>
    <s v=""/>
    <s v="40101001"/>
    <s v="2018000243"/>
    <x v="159"/>
    <d v="2020-09-20T00:00:00"/>
    <d v="2020-09-24T00:00:00"/>
    <s v="RV"/>
    <s v="USD"/>
    <n v="-6024.66"/>
    <s v="83.95000"/>
    <s v="BDT"/>
    <n v="-505770.21"/>
    <n v="-6024.66"/>
    <s v="6024.66_1"/>
    <s v=""/>
    <s v="C3204UQ20EU0866"/>
    <s v="20200920"/>
    <s v=""/>
    <s v=""/>
    <s v="0"/>
    <s v=""/>
    <s v=""/>
    <s v=""/>
    <s v=""/>
    <s v="2010100001"/>
    <s v=""/>
    <m/>
    <s v=""/>
    <s v=""/>
    <s v=""/>
    <n v="0"/>
  </r>
  <r>
    <s v=""/>
    <s v="40101001"/>
    <s v="2018000747"/>
    <x v="224"/>
    <d v="2020-12-30T00:00:00"/>
    <d v="2021-01-03T00:00:00"/>
    <s v="RV"/>
    <s v="USD"/>
    <n v="-6020.63"/>
    <s v="83.95000"/>
    <s v="BDT"/>
    <n v="-505431.89"/>
    <n v="-6020.63"/>
    <s v="6020.63_1"/>
    <s v=""/>
    <s v="C3247UQ20IN1281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779"/>
    <x v="245"/>
    <d v="2020-12-19T00:00:00"/>
    <d v="2021-01-06T00:00:00"/>
    <s v="RV"/>
    <s v="USD"/>
    <n v="-5999.9"/>
    <s v="83.95000"/>
    <s v="BDT"/>
    <n v="-503691.6"/>
    <n v="-5999.9"/>
    <s v="5999.9_1"/>
    <s v=""/>
    <s v="C3210UQ20TOK1216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5997.17"/>
    <s v="83.95000"/>
    <s v="BDT"/>
    <n v="-503462.42"/>
    <n v="-5997.17"/>
    <s v="5997.17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0663"/>
    <x v="19"/>
    <d v="2020-12-16T00:00:00"/>
    <d v="2020-12-22T00:00:00"/>
    <s v="RV"/>
    <s v="USD"/>
    <n v="-5988.76"/>
    <s v="83.95000"/>
    <s v="BDT"/>
    <n v="-502756.41"/>
    <n v="-5988.76"/>
    <s v="5988.76_1"/>
    <s v=""/>
    <s v="C3100LVGR13122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389"/>
    <x v="235"/>
    <d v="2020-10-29T00:00:00"/>
    <d v="2020-11-02T00:00:00"/>
    <s v="RV"/>
    <s v="USD"/>
    <n v="-5978.1"/>
    <s v="83.95000"/>
    <s v="BDT"/>
    <n v="-501861.5"/>
    <n v="-5978.1"/>
    <s v="5978.1_1"/>
    <s v=""/>
    <s v="C3169UQ20TH1021"/>
    <s v="20201029"/>
    <s v=""/>
    <s v=""/>
    <s v="0"/>
    <s v=""/>
    <s v=""/>
    <s v=""/>
    <s v=""/>
    <s v="2010100001"/>
    <s v=""/>
    <m/>
    <s v=""/>
    <s v=""/>
    <s v=""/>
    <n v="0"/>
  </r>
  <r>
    <s v=""/>
    <s v="40101001"/>
    <s v="2018000920"/>
    <x v="208"/>
    <d v="2021-02-04T00:00:00"/>
    <d v="2021-02-10T00:00:00"/>
    <s v="RV"/>
    <s v="USD"/>
    <n v="-5976.1"/>
    <s v="83.95000"/>
    <s v="BDT"/>
    <n v="-501693.6"/>
    <n v="-5976.1"/>
    <s v="5976.1_1"/>
    <s v=""/>
    <s v="C3305UQ21SYD0109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876"/>
    <x v="44"/>
    <d v="2021-01-28T00:00:00"/>
    <d v="2021-02-01T00:00:00"/>
    <s v="RV"/>
    <s v="USD"/>
    <n v="-5968.2"/>
    <s v="83.95000"/>
    <s v="BDT"/>
    <n v="-501030.39"/>
    <n v="-5968.2"/>
    <s v="5968.2_1"/>
    <s v=""/>
    <s v="C3218LVCL0104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1584"/>
    <x v="10"/>
    <d v="2021-06-20T00:00:00"/>
    <d v="2021-06-26T00:00:00"/>
    <s v="RV"/>
    <s v="USD"/>
    <n v="-5947.06"/>
    <s v="83.95000"/>
    <s v="BDT"/>
    <n v="-499255.69"/>
    <n v="-5947.06"/>
    <s v="5947.06_1"/>
    <s v=""/>
    <s v="C3309UQ21EU0850"/>
    <s v="20210620"/>
    <s v=""/>
    <s v=""/>
    <s v="0"/>
    <s v=""/>
    <s v=""/>
    <s v=""/>
    <s v=""/>
    <s v="2010100001"/>
    <s v=""/>
    <m/>
    <s v=""/>
    <s v=""/>
    <s v=""/>
    <n v="0"/>
  </r>
  <r>
    <s v=""/>
    <s v="40101001"/>
    <s v="2018000519"/>
    <x v="3"/>
    <d v="2020-11-18T00:00:00"/>
    <d v="2020-11-24T00:00:00"/>
    <s v="RV"/>
    <s v="USD"/>
    <n v="-5935.21"/>
    <s v="83.95000"/>
    <s v="BDT"/>
    <n v="-498260.88"/>
    <n v="-5935.21"/>
    <s v="5935.21_1"/>
    <s v=""/>
    <s v="C3145LVGR115620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260"/>
    <x v="133"/>
    <d v="2020-09-21T00:00:00"/>
    <d v="2020-09-26T00:00:00"/>
    <s v="RV"/>
    <s v="USD"/>
    <n v="-5926.6"/>
    <s v="83.95000"/>
    <s v="BDT"/>
    <n v="-497538.07"/>
    <n v="-5926.6"/>
    <s v="5926.6_1"/>
    <s v=""/>
    <s v="C3159UQ20OSA0899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243"/>
    <x v="159"/>
    <d v="2020-09-20T00:00:00"/>
    <d v="2020-09-24T00:00:00"/>
    <s v="RV"/>
    <s v="USD"/>
    <n v="-5914.66"/>
    <s v="83.95000"/>
    <s v="BDT"/>
    <n v="-496535.71"/>
    <n v="-5914.66"/>
    <s v="5914.66_1"/>
    <s v=""/>
    <s v="C3204UQ20EU0866"/>
    <s v="20200920"/>
    <s v=""/>
    <s v=""/>
    <s v="0"/>
    <s v=""/>
    <s v=""/>
    <s v=""/>
    <s v=""/>
    <s v="2010100001"/>
    <s v=""/>
    <m/>
    <s v=""/>
    <s v=""/>
    <s v=""/>
    <n v="0"/>
  </r>
  <r>
    <s v=""/>
    <s v="40101001"/>
    <s v="2018001514"/>
    <x v="88"/>
    <d v="2021-06-11T00:00:00"/>
    <d v="2021-06-17T00:00:00"/>
    <s v="RV"/>
    <s v="USD"/>
    <n v="-5912.9"/>
    <s v="83.95000"/>
    <s v="BDT"/>
    <n v="-496387.96"/>
    <n v="-5912.9"/>
    <s v="5912.9_1"/>
    <s v=""/>
    <s v="C3286LVGR0706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528"/>
    <x v="3"/>
    <d v="2020-11-18T00:00:00"/>
    <d v="2020-11-24T00:00:00"/>
    <s v="RV"/>
    <s v="USD"/>
    <n v="-5910.04"/>
    <s v="83.95000"/>
    <s v="BDT"/>
    <n v="-496147.86"/>
    <n v="-5910.04"/>
    <s v="5910.04_1"/>
    <s v=""/>
    <s v="C3231UQ20KR1118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750"/>
    <x v="224"/>
    <d v="2020-12-30T00:00:00"/>
    <d v="2021-01-05T00:00:00"/>
    <s v="RV"/>
    <s v="USD"/>
    <n v="-5904.45"/>
    <s v="83.95000"/>
    <s v="BDT"/>
    <n v="-495678.58"/>
    <n v="-5904.45"/>
    <s v="5904.45_1"/>
    <s v=""/>
    <s v="C3247UQ20NAG1376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5903.76"/>
    <s v="83.95000"/>
    <s v="BDT"/>
    <n v="-495620.65"/>
    <n v="-5903.76"/>
    <s v="5903.76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08000346"/>
    <x v="176"/>
    <d v="2021-06-19T00:00:00"/>
    <d v="2021-06-29T00:00:00"/>
    <s v="DR"/>
    <s v="USD"/>
    <n v="-5896"/>
    <s v="83.95000"/>
    <s v="BDT"/>
    <n v="-494969.2"/>
    <n v="-5896"/>
    <s v="5896_1"/>
    <s v=""/>
    <s v="CIPLDASH21US0777"/>
    <s v="CIPLDASH21US0777"/>
    <s v="Stocklot sales to EDL HK"/>
    <s v=""/>
    <s v="0"/>
    <s v="Stocklot sales to EDL HK"/>
    <s v=""/>
    <s v=""/>
    <s v=""/>
    <s v="2010100001"/>
    <s v=""/>
    <m/>
    <s v=""/>
    <s v=""/>
    <s v=""/>
    <n v="0"/>
  </r>
  <r>
    <s v=""/>
    <s v="40101001"/>
    <s v="2018001541"/>
    <x v="278"/>
    <d v="2021-06-16T00:00:00"/>
    <d v="2021-06-20T00:00:00"/>
    <s v="RV"/>
    <s v="USD"/>
    <n v="-5880.21"/>
    <s v="83.95000"/>
    <s v="BDT"/>
    <n v="-493643.63"/>
    <n v="-5880.21"/>
    <s v="5880.21_1"/>
    <s v=""/>
    <s v="C3329UQ21TOM0784"/>
    <s v="20210616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5873.32"/>
    <s v="83.95000"/>
    <s v="BDT"/>
    <n v="-493065.21"/>
    <n v="-5873.32"/>
    <s v="5873.32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814"/>
    <x v="42"/>
    <d v="2021-01-14T00:00:00"/>
    <d v="2021-01-21T00:00:00"/>
    <s v="RV"/>
    <s v="USD"/>
    <n v="-5871.14"/>
    <s v="83.95000"/>
    <s v="BDT"/>
    <n v="-492882.2"/>
    <n v="-5871.14"/>
    <s v="5871.14_1"/>
    <s v=""/>
    <s v="C3232UQ21TOM0033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0949"/>
    <x v="132"/>
    <d v="2021-02-10T00:00:00"/>
    <d v="2021-02-16T00:00:00"/>
    <s v="RV"/>
    <s v="USD"/>
    <n v="-5871.14"/>
    <s v="83.95000"/>
    <s v="BDT"/>
    <n v="-492882.2"/>
    <n v="-5871.14"/>
    <s v="5871.14_2"/>
    <s v=""/>
    <s v="C3232UQ21KR0186"/>
    <s v="20210210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5865.1"/>
    <s v="83.95000"/>
    <s v="BDT"/>
    <n v="-492375.15"/>
    <n v="-5865.1"/>
    <s v="5865.1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823"/>
    <x v="237"/>
    <d v="2021-01-17T00:00:00"/>
    <d v="2021-01-23T00:00:00"/>
    <s v="RV"/>
    <s v="USD"/>
    <n v="-5863.52"/>
    <s v="83.95000"/>
    <s v="BDT"/>
    <n v="-492242.5"/>
    <n v="-5863.52"/>
    <s v="5863.52_1"/>
    <s v=""/>
    <s v="C3233UQ21HAK0057"/>
    <s v="20210117"/>
    <s v=""/>
    <s v=""/>
    <s v="0"/>
    <s v=""/>
    <s v=""/>
    <s v=""/>
    <s v=""/>
    <s v="2010100001"/>
    <s v=""/>
    <m/>
    <s v=""/>
    <s v=""/>
    <s v=""/>
    <n v="0"/>
  </r>
  <r>
    <s v=""/>
    <s v="40101001"/>
    <s v="2018000140"/>
    <x v="8"/>
    <d v="2020-07-29T00:00:00"/>
    <d v="2020-08-14T00:00:00"/>
    <s v="RV"/>
    <s v="USD"/>
    <n v="-5848.64"/>
    <s v="83.95000"/>
    <s v="BDT"/>
    <n v="-490993.33"/>
    <n v="-5848.64"/>
    <s v="5848.64_1"/>
    <s v=""/>
    <s v="C3120UQ20YAN0688"/>
    <s v="20200729"/>
    <s v=""/>
    <s v=""/>
    <s v="0"/>
    <s v=""/>
    <s v=""/>
    <s v=""/>
    <s v=""/>
    <s v="2010100001"/>
    <s v=""/>
    <m/>
    <s v=""/>
    <s v=""/>
    <s v=""/>
    <n v="0"/>
  </r>
  <r>
    <s v=""/>
    <s v="40101001"/>
    <s v="2018001079"/>
    <x v="292"/>
    <d v="2021-03-16T00:00:00"/>
    <d v="2021-03-20T00:00:00"/>
    <s v="RV"/>
    <s v="USD"/>
    <n v="-5807.62"/>
    <s v="83.95000"/>
    <s v="BDT"/>
    <n v="-487549.7"/>
    <n v="-5807.62"/>
    <s v="5807.62_1"/>
    <s v=""/>
    <s v="C3251LVCL0314-21"/>
    <s v="20210316"/>
    <s v=""/>
    <s v=""/>
    <s v="0"/>
    <s v=""/>
    <s v=""/>
    <s v=""/>
    <s v=""/>
    <s v="2010100001"/>
    <s v=""/>
    <m/>
    <s v=""/>
    <s v=""/>
    <s v=""/>
    <n v="0"/>
  </r>
  <r>
    <s v=""/>
    <s v="40101001"/>
    <s v="2018000017"/>
    <x v="210"/>
    <d v="2020-07-08T00:00:00"/>
    <d v="2020-07-15T00:00:00"/>
    <s v="RV"/>
    <s v="USD"/>
    <n v="-5797.41"/>
    <s v="83.95000"/>
    <s v="BDT"/>
    <n v="-486692.57"/>
    <n v="-5797.41"/>
    <s v="5797.41_1"/>
    <s v=""/>
    <s v="C3067LVGR0594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0707"/>
    <x v="300"/>
    <d v="2020-12-26T00:00:00"/>
    <d v="2020-12-29T00:00:00"/>
    <s v="RV"/>
    <s v="USD"/>
    <n v="-5796.9"/>
    <s v="83.95000"/>
    <s v="BDT"/>
    <n v="-486649.76"/>
    <n v="-5796.9"/>
    <s v="5796.9_1"/>
    <s v=""/>
    <s v="C3245UQ20TW1377"/>
    <s v="20201226"/>
    <s v=""/>
    <s v=""/>
    <s v="0"/>
    <s v=""/>
    <s v=""/>
    <s v=""/>
    <s v=""/>
    <s v="2010100001"/>
    <s v=""/>
    <m/>
    <s v=""/>
    <s v=""/>
    <s v=""/>
    <n v="0"/>
  </r>
  <r>
    <s v=""/>
    <s v="40101001"/>
    <s v="2018000400"/>
    <x v="67"/>
    <d v="2020-10-27T00:00:00"/>
    <d v="2020-11-03T00:00:00"/>
    <s v="RV"/>
    <s v="USD"/>
    <n v="-5778.16"/>
    <s v="83.95000"/>
    <s v="BDT"/>
    <n v="-485076.53"/>
    <n v="-5778.16"/>
    <s v="5778.16_1"/>
    <s v=""/>
    <s v="C3205UQ20SHA1004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1396"/>
    <x v="51"/>
    <d v="2021-05-08T00:00:00"/>
    <d v="2021-05-24T00:00:00"/>
    <s v="RV"/>
    <s v="USD"/>
    <n v="-5776.97"/>
    <s v="83.95000"/>
    <s v="BDT"/>
    <n v="-484976.63"/>
    <n v="-5776.97"/>
    <s v="5776.97_1"/>
    <s v=""/>
    <s v="C3344UQ21KR0611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747"/>
    <x v="224"/>
    <d v="2020-12-30T00:00:00"/>
    <d v="2021-01-03T00:00:00"/>
    <s v="RV"/>
    <s v="USD"/>
    <n v="-5776.57"/>
    <s v="83.95000"/>
    <s v="BDT"/>
    <n v="-484943.05"/>
    <n v="-5776.57"/>
    <s v="5776.57_1"/>
    <s v=""/>
    <s v="C3247UQ20IN1281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1166"/>
    <x v="118"/>
    <d v="2021-03-27T00:00:00"/>
    <d v="2021-04-01T00:00:00"/>
    <s v="RV"/>
    <s v="USD"/>
    <n v="-5774.62"/>
    <s v="83.95000"/>
    <s v="BDT"/>
    <n v="-484779.35"/>
    <n v="-5774.62"/>
    <s v="5774.62_1"/>
    <s v=""/>
    <s v="C3290UQ21TOM0397"/>
    <s v="20210327"/>
    <s v=""/>
    <s v=""/>
    <s v="0"/>
    <s v=""/>
    <s v=""/>
    <s v=""/>
    <s v=""/>
    <s v="2010100001"/>
    <s v=""/>
    <m/>
    <s v=""/>
    <s v=""/>
    <s v=""/>
    <n v="0"/>
  </r>
  <r>
    <s v=""/>
    <s v="40101001"/>
    <s v="2018000878"/>
    <x v="44"/>
    <d v="2021-01-28T00:00:00"/>
    <d v="2021-02-01T00:00:00"/>
    <s v="RV"/>
    <s v="USD"/>
    <n v="-5763.77"/>
    <s v="83.95000"/>
    <s v="BDT"/>
    <n v="-483868.49"/>
    <n v="-5763.77"/>
    <s v="5763.77_1"/>
    <s v=""/>
    <s v="C3242LVUS0089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407"/>
    <x v="146"/>
    <d v="2020-11-02T00:00:00"/>
    <d v="2020-11-04T00:00:00"/>
    <s v="RV"/>
    <s v="USD"/>
    <n v="-5744.59"/>
    <s v="83.95000"/>
    <s v="BDT"/>
    <n v="-482258.33"/>
    <n v="-5744.59"/>
    <s v="5744.59_1"/>
    <s v=""/>
    <s v="C3104LVGR101420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5735.82"/>
    <s v="83.95000"/>
    <s v="BDT"/>
    <n v="-481522.09"/>
    <n v="-5735.82"/>
    <s v="5735.82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535"/>
    <x v="68"/>
    <d v="2021-06-15T00:00:00"/>
    <d v="2021-06-19T00:00:00"/>
    <s v="RV"/>
    <s v="USD"/>
    <n v="-5730.85"/>
    <s v="83.95000"/>
    <s v="BDT"/>
    <n v="-481104.86"/>
    <n v="-5730.85"/>
    <s v="5730.85_1"/>
    <s v=""/>
    <s v="C3285LVTR0737-21"/>
    <s v="20210615"/>
    <s v=""/>
    <s v=""/>
    <s v="0"/>
    <s v=""/>
    <s v=""/>
    <s v=""/>
    <s v=""/>
    <s v="2010100001"/>
    <s v=""/>
    <m/>
    <s v=""/>
    <s v=""/>
    <s v=""/>
    <n v="0"/>
  </r>
  <r>
    <s v=""/>
    <s v="40101001"/>
    <s v="2018000732"/>
    <x v="267"/>
    <d v="2020-12-22T00:00:00"/>
    <d v="2021-01-02T00:00:00"/>
    <s v="RV"/>
    <s v="USD"/>
    <n v="-5722.06"/>
    <s v="83.95000"/>
    <s v="BDT"/>
    <n v="-480366.94"/>
    <n v="-5722.06"/>
    <s v="5722.06_1"/>
    <s v=""/>
    <s v="C3145LVCA134920"/>
    <s v="20201222"/>
    <s v=""/>
    <s v=""/>
    <s v="0"/>
    <s v=""/>
    <s v=""/>
    <s v=""/>
    <s v=""/>
    <s v="2010100001"/>
    <s v=""/>
    <m/>
    <s v=""/>
    <s v=""/>
    <s v=""/>
    <n v="0"/>
  </r>
  <r>
    <s v=""/>
    <s v="40101001"/>
    <s v="2018001124"/>
    <x v="301"/>
    <d v="2021-03-20T00:00:00"/>
    <d v="2021-03-31T00:00:00"/>
    <s v="RV"/>
    <s v="USD"/>
    <n v="-5699.8"/>
    <s v="83.95000"/>
    <s v="BDT"/>
    <n v="-478498.21"/>
    <n v="-5699.8"/>
    <s v="5699.8_1"/>
    <s v=""/>
    <s v="C3261C&amp;A21GR0347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0691"/>
    <x v="273"/>
    <d v="2020-12-21T00:00:00"/>
    <d v="2020-12-24T00:00:00"/>
    <s v="RV"/>
    <s v="USD"/>
    <n v="-5695.54"/>
    <s v="83.95000"/>
    <s v="BDT"/>
    <n v="-478140.58"/>
    <n v="-5695.54"/>
    <s v="5695.54_1"/>
    <s v=""/>
    <s v="C3247UQ20NAG1371"/>
    <s v="20201221"/>
    <s v=""/>
    <s v=""/>
    <s v="0"/>
    <s v=""/>
    <s v=""/>
    <s v=""/>
    <s v=""/>
    <s v="2010100001"/>
    <s v=""/>
    <m/>
    <s v=""/>
    <s v=""/>
    <s v=""/>
    <n v="0"/>
  </r>
  <r>
    <s v=""/>
    <s v="40101001"/>
    <s v="2018000870"/>
    <x v="302"/>
    <d v="2021-01-26T00:00:00"/>
    <d v="2021-01-31T00:00:00"/>
    <s v="RV"/>
    <s v="USD"/>
    <n v="-5685.27"/>
    <s v="83.95000"/>
    <s v="BDT"/>
    <n v="-477278.42"/>
    <n v="-5685.27"/>
    <s v="5685.27_1"/>
    <s v=""/>
    <s v="C3274UQ21TOR0046"/>
    <s v="20210126"/>
    <s v=""/>
    <s v=""/>
    <s v="0"/>
    <s v=""/>
    <s v=""/>
    <s v=""/>
    <s v=""/>
    <s v="2010100001"/>
    <s v=""/>
    <m/>
    <s v=""/>
    <s v=""/>
    <s v=""/>
    <n v="0"/>
  </r>
  <r>
    <s v=""/>
    <s v="40101001"/>
    <s v="2018000011"/>
    <x v="128"/>
    <d v="2020-07-06T00:00:00"/>
    <d v="2020-07-13T00:00:00"/>
    <s v="RV"/>
    <s v="USD"/>
    <n v="-5675.54"/>
    <s v="83.95000"/>
    <s v="BDT"/>
    <n v="-476461.58"/>
    <n v="-5675.54"/>
    <s v="5675.54_1"/>
    <s v=""/>
    <s v="C3060LVGR059620"/>
    <s v="20200706"/>
    <s v=""/>
    <s v=""/>
    <s v="0"/>
    <s v=""/>
    <s v=""/>
    <s v=""/>
    <s v=""/>
    <s v="2010100001"/>
    <s v=""/>
    <m/>
    <s v=""/>
    <s v=""/>
    <s v=""/>
    <n v="0"/>
  </r>
  <r>
    <s v=""/>
    <s v="40101001"/>
    <s v="2018000775"/>
    <x v="211"/>
    <d v="2021-01-03T00:00:00"/>
    <d v="2021-01-06T00:00:00"/>
    <s v="RV"/>
    <s v="USD"/>
    <n v="-5658.95"/>
    <s v="83.95000"/>
    <s v="BDT"/>
    <n v="-475068.85"/>
    <n v="-5658.95"/>
    <s v="5658.95_1"/>
    <s v=""/>
    <s v="C3221LVGR1422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5644.69"/>
    <s v="83.95000"/>
    <s v="BDT"/>
    <n v="-473871.73"/>
    <n v="-5644.69"/>
    <s v="5644.69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786"/>
    <x v="211"/>
    <d v="2021-01-03T00:00:00"/>
    <d v="2021-01-12T00:00:00"/>
    <s v="RV"/>
    <s v="USD"/>
    <n v="-5639.72"/>
    <s v="83.95000"/>
    <s v="BDT"/>
    <n v="-473454.49"/>
    <n v="-5639.72"/>
    <s v="5639.72_1"/>
    <s v=""/>
    <s v="C3233UQ20LA1407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1320"/>
    <x v="15"/>
    <d v="2021-05-04T00:00:00"/>
    <d v="2021-05-12T00:00:00"/>
    <s v="RV"/>
    <s v="USD"/>
    <n v="-5638.57"/>
    <s v="83.95000"/>
    <s v="BDT"/>
    <n v="-473357.95"/>
    <n v="-5638.57"/>
    <s v="5638.57_1"/>
    <s v=""/>
    <s v="C3343UQ21NAG0553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776"/>
    <x v="211"/>
    <d v="2021-01-03T00:00:00"/>
    <d v="2021-01-06T00:00:00"/>
    <s v="RV"/>
    <s v="USD"/>
    <n v="-5634.78"/>
    <s v="83.95000"/>
    <s v="BDT"/>
    <n v="-473039.78"/>
    <n v="-5634.78"/>
    <s v="5634.78_1"/>
    <s v=""/>
    <s v="C3243LVUS1420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776"/>
    <x v="211"/>
    <d v="2021-01-03T00:00:00"/>
    <d v="2021-01-06T00:00:00"/>
    <s v="RV"/>
    <s v="USD"/>
    <n v="-5634.78"/>
    <s v="83.95000"/>
    <s v="BDT"/>
    <n v="-473039.78"/>
    <n v="-5634.78"/>
    <s v="5634.78_2"/>
    <s v=""/>
    <s v="C3243LVUS1420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274"/>
    <x v="77"/>
    <d v="2020-09-06T00:00:00"/>
    <d v="2020-09-30T00:00:00"/>
    <s v="RV"/>
    <s v="USD"/>
    <n v="-5634.52"/>
    <s v="83.95000"/>
    <s v="BDT"/>
    <n v="-473017.95"/>
    <n v="-5634.52"/>
    <s v="5634.52_1"/>
    <s v=""/>
    <s v="C3155UQ20YAN0821"/>
    <s v="20200906"/>
    <s v=""/>
    <s v=""/>
    <s v="0"/>
    <s v=""/>
    <s v=""/>
    <s v=""/>
    <s v=""/>
    <s v="2010100001"/>
    <s v=""/>
    <m/>
    <s v=""/>
    <s v=""/>
    <s v=""/>
    <n v="0"/>
  </r>
  <r>
    <s v=""/>
    <s v="40101001"/>
    <s v="2018000359"/>
    <x v="98"/>
    <d v="2020-10-21T00:00:00"/>
    <d v="2020-10-28T00:00:00"/>
    <s v="RV"/>
    <s v="USD"/>
    <n v="-5616.46"/>
    <s v="83.95000"/>
    <s v="BDT"/>
    <n v="-471501.82"/>
    <n v="-5616.46"/>
    <s v="5616.46_1"/>
    <s v=""/>
    <s v="C3104LVGR0991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1429"/>
    <x v="114"/>
    <d v="2021-05-25T00:00:00"/>
    <d v="2021-06-01T00:00:00"/>
    <s v="RV"/>
    <s v="USD"/>
    <n v="-5598.44"/>
    <s v="83.95000"/>
    <s v="BDT"/>
    <n v="-469989.04"/>
    <n v="-5598.44"/>
    <s v="5598.44_1"/>
    <s v=""/>
    <s v="C3271UQ21TOK0571"/>
    <s v="20210525"/>
    <s v=""/>
    <s v=""/>
    <s v="0"/>
    <s v=""/>
    <s v=""/>
    <s v=""/>
    <s v=""/>
    <s v="2010100001"/>
    <s v=""/>
    <m/>
    <s v=""/>
    <s v=""/>
    <s v=""/>
    <n v="0"/>
  </r>
  <r>
    <s v=""/>
    <s v="40101001"/>
    <s v="2018000274"/>
    <x v="77"/>
    <d v="2020-09-06T00:00:00"/>
    <d v="2020-09-30T00:00:00"/>
    <s v="RV"/>
    <s v="USD"/>
    <n v="-5592.54"/>
    <s v="83.95000"/>
    <s v="BDT"/>
    <n v="-469493.73"/>
    <n v="-5592.54"/>
    <s v="5592.54_1"/>
    <s v=""/>
    <s v="C3155UQ20YAN0821"/>
    <s v="20200906"/>
    <s v=""/>
    <s v=""/>
    <s v="0"/>
    <s v=""/>
    <s v=""/>
    <s v=""/>
    <s v=""/>
    <s v="2010100001"/>
    <s v=""/>
    <m/>
    <s v=""/>
    <s v=""/>
    <s v=""/>
    <n v="0"/>
  </r>
  <r>
    <s v=""/>
    <s v="40101001"/>
    <s v="2018001122"/>
    <x v="301"/>
    <d v="2021-03-20T00:00:00"/>
    <d v="2021-03-31T00:00:00"/>
    <s v="RV"/>
    <s v="USD"/>
    <n v="-5574.17"/>
    <s v="83.95000"/>
    <s v="BDT"/>
    <n v="-467951.57"/>
    <n v="-5574.17"/>
    <s v="5574.17_1"/>
    <s v=""/>
    <s v="C3261C&amp;A21GR0345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123"/>
    <x v="301"/>
    <d v="2021-03-20T00:00:00"/>
    <d v="2021-03-31T00:00:00"/>
    <s v="RV"/>
    <s v="USD"/>
    <n v="-5574.17"/>
    <s v="83.95000"/>
    <s v="BDT"/>
    <n v="-467951.57"/>
    <n v="-5574.17"/>
    <s v="5574.17_2"/>
    <s v=""/>
    <s v="C3261C&amp;A21GR0346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125"/>
    <x v="301"/>
    <d v="2021-03-20T00:00:00"/>
    <d v="2021-03-31T00:00:00"/>
    <s v="RV"/>
    <s v="USD"/>
    <n v="-5574.17"/>
    <s v="83.95000"/>
    <s v="BDT"/>
    <n v="-467951.57"/>
    <n v="-5574.17"/>
    <s v="5574.17_3"/>
    <s v=""/>
    <s v="C3261C&amp;A21GR0348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0696"/>
    <x v="79"/>
    <d v="2020-12-18T00:00:00"/>
    <d v="2020-12-24T00:00:00"/>
    <s v="RV"/>
    <s v="USD"/>
    <n v="-5564.61"/>
    <s v="83.95000"/>
    <s v="BDT"/>
    <n v="-467149.01"/>
    <n v="-5564.61"/>
    <s v="5564.61_1"/>
    <s v=""/>
    <s v="C3247UQ20HAK13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757"/>
    <x v="188"/>
    <d v="2021-01-01T00:00:00"/>
    <d v="2021-01-05T00:00:00"/>
    <s v="RV"/>
    <s v="USD"/>
    <n v="-5560.24"/>
    <s v="83.95000"/>
    <s v="BDT"/>
    <n v="-466782.15"/>
    <n v="-5560.24"/>
    <s v="5560.24_1"/>
    <s v=""/>
    <s v="C3233UQ20KR1384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0445"/>
    <x v="110"/>
    <d v="2020-11-08T00:00:00"/>
    <d v="2020-11-11T00:00:00"/>
    <s v="RV"/>
    <s v="USD"/>
    <n v="-5558.85"/>
    <s v="83.95000"/>
    <s v="BDT"/>
    <n v="-466665.46"/>
    <n v="-5558.85"/>
    <s v="5558.85_1"/>
    <s v=""/>
    <s v="C3142LVMY10152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1109"/>
    <x v="89"/>
    <d v="2021-03-21T00:00:00"/>
    <d v="2021-03-25T00:00:00"/>
    <s v="RV"/>
    <s v="USD"/>
    <n v="-5555.6"/>
    <s v="83.95000"/>
    <s v="BDT"/>
    <n v="-466392.62"/>
    <n v="-5555.6"/>
    <s v="5555.6_1"/>
    <s v=""/>
    <s v="C3262LVUS0309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407"/>
    <x v="146"/>
    <d v="2020-11-02T00:00:00"/>
    <d v="2020-11-04T00:00:00"/>
    <s v="RV"/>
    <s v="USD"/>
    <n v="-5550.6"/>
    <s v="83.95000"/>
    <s v="BDT"/>
    <n v="-465972.87"/>
    <n v="-5550.6"/>
    <s v="5550.6_1"/>
    <s v=""/>
    <s v="C3104LVGR101420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548"/>
    <x v="164"/>
    <d v="2020-11-24T00:00:00"/>
    <d v="2020-11-28T00:00:00"/>
    <s v="RV"/>
    <s v="USD"/>
    <n v="-5541.19"/>
    <s v="83.95000"/>
    <s v="BDT"/>
    <n v="-465182.9"/>
    <n v="-5541.19"/>
    <s v="5541.19_1"/>
    <s v=""/>
    <s v="C3147LVUS119120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1542"/>
    <x v="278"/>
    <d v="2021-06-16T00:00:00"/>
    <d v="2021-06-20T00:00:00"/>
    <s v="RV"/>
    <s v="USD"/>
    <n v="-5534.52"/>
    <s v="83.95000"/>
    <s v="BDT"/>
    <n v="-464622.95"/>
    <n v="-5534.52"/>
    <s v="5534.52_1"/>
    <s v=""/>
    <s v="C3329UQ21TOM0801"/>
    <s v="20210616"/>
    <s v=""/>
    <s v=""/>
    <s v="0"/>
    <s v=""/>
    <s v=""/>
    <s v=""/>
    <s v=""/>
    <s v="2010100001"/>
    <s v=""/>
    <m/>
    <s v=""/>
    <s v=""/>
    <s v=""/>
    <n v="0"/>
  </r>
  <r>
    <s v=""/>
    <s v="40101001"/>
    <s v="2018000548"/>
    <x v="164"/>
    <d v="2020-11-24T00:00:00"/>
    <d v="2020-11-28T00:00:00"/>
    <s v="RV"/>
    <s v="USD"/>
    <n v="-5532.41"/>
    <s v="83.95000"/>
    <s v="BDT"/>
    <n v="-464445.82"/>
    <n v="-5532.41"/>
    <s v="5532.41_1"/>
    <s v=""/>
    <s v="C3147LVUS119120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0524"/>
    <x v="115"/>
    <d v="2020-11-15T00:00:00"/>
    <d v="2020-11-24T00:00:00"/>
    <s v="RV"/>
    <s v="USD"/>
    <n v="-5520.29"/>
    <s v="83.95000"/>
    <s v="BDT"/>
    <n v="-463428.35"/>
    <n v="-5520.29"/>
    <s v="5520.29_1"/>
    <s v=""/>
    <s v="C3147LVTR115320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1439"/>
    <x v="255"/>
    <d v="2021-05-31T00:00:00"/>
    <d v="2021-06-03T00:00:00"/>
    <s v="RV"/>
    <s v="USD"/>
    <n v="-5517.87"/>
    <s v="83.95000"/>
    <s v="BDT"/>
    <n v="-463225.19"/>
    <n v="-5517.87"/>
    <s v="5517.87_1"/>
    <s v=""/>
    <s v="C3289LVGR0708-21"/>
    <s v="20210531"/>
    <s v=""/>
    <s v=""/>
    <s v="0"/>
    <s v=""/>
    <s v=""/>
    <s v=""/>
    <s v=""/>
    <s v="2010100001"/>
    <s v=""/>
    <m/>
    <s v=""/>
    <s v=""/>
    <s v=""/>
    <n v="0"/>
  </r>
  <r>
    <s v=""/>
    <s v="40101001"/>
    <s v="2018000095"/>
    <x v="53"/>
    <d v="2020-07-22T00:00:00"/>
    <d v="2020-08-06T00:00:00"/>
    <s v="RV"/>
    <s v="USD"/>
    <n v="-5516.21"/>
    <s v="83.95000"/>
    <s v="BDT"/>
    <n v="-463085.83"/>
    <n v="-5516.21"/>
    <s v="5516.21_1"/>
    <s v=""/>
    <s v="C3131UQ20YAN0664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390"/>
    <x v="287"/>
    <d v="2021-05-18T00:00:00"/>
    <d v="2021-05-24T00:00:00"/>
    <s v="RV"/>
    <s v="USD"/>
    <n v="-5510.69"/>
    <s v="83.95000"/>
    <s v="BDT"/>
    <n v="-462622.43"/>
    <n v="-5510.69"/>
    <s v="5510.69_1"/>
    <s v=""/>
    <s v="C3286LVGR0616-21"/>
    <s v="20210518"/>
    <s v=""/>
    <s v=""/>
    <s v="0"/>
    <s v=""/>
    <s v=""/>
    <s v=""/>
    <s v=""/>
    <s v="2010100001"/>
    <s v=""/>
    <m/>
    <s v=""/>
    <s v=""/>
    <s v=""/>
    <n v="0"/>
  </r>
  <r>
    <s v=""/>
    <s v="40101001"/>
    <s v="2018000551"/>
    <x v="164"/>
    <d v="2020-11-24T00:00:00"/>
    <d v="2020-11-28T00:00:00"/>
    <s v="RV"/>
    <s v="USD"/>
    <n v="-5509.42"/>
    <s v="83.95000"/>
    <s v="BDT"/>
    <n v="-462515.81"/>
    <n v="-5509.42"/>
    <s v="5509.42_1"/>
    <s v=""/>
    <s v="C3231UQ20KR1199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0709"/>
    <x v="79"/>
    <d v="2020-12-18T00:00:00"/>
    <d v="2020-12-30T00:00:00"/>
    <s v="RV"/>
    <s v="USD"/>
    <n v="-5499.14"/>
    <s v="83.95000"/>
    <s v="BDT"/>
    <n v="-461652.8"/>
    <n v="-5499.14"/>
    <s v="5499.14_1"/>
    <s v=""/>
    <s v="C3247UQ20HAK1334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750"/>
    <x v="224"/>
    <d v="2020-12-30T00:00:00"/>
    <d v="2021-01-05T00:00:00"/>
    <s v="RV"/>
    <s v="USD"/>
    <n v="-5497.24"/>
    <s v="83.95000"/>
    <s v="BDT"/>
    <n v="-461493.3"/>
    <n v="-5497.24"/>
    <s v="5497.24_1"/>
    <s v=""/>
    <s v="C3247UQ20NAG1376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837"/>
    <x v="258"/>
    <d v="2021-01-22T00:00:00"/>
    <d v="2021-01-26T00:00:00"/>
    <s v="RV"/>
    <s v="USD"/>
    <n v="-5481.37"/>
    <s v="83.95000"/>
    <s v="BDT"/>
    <n v="-460161.02"/>
    <n v="-5481.37"/>
    <s v="5481.37_1"/>
    <s v=""/>
    <s v="C3222LVGR005221"/>
    <s v="20210122"/>
    <s v=""/>
    <s v=""/>
    <s v="0"/>
    <s v=""/>
    <s v=""/>
    <s v=""/>
    <s v=""/>
    <s v="2010100001"/>
    <s v=""/>
    <m/>
    <s v=""/>
    <s v=""/>
    <s v=""/>
    <n v="0"/>
  </r>
  <r>
    <s v=""/>
    <s v="40101001"/>
    <s v="2018001596"/>
    <x v="163"/>
    <d v="2021-06-26T00:00:00"/>
    <d v="2021-06-29T00:00:00"/>
    <s v="RV"/>
    <s v="USD"/>
    <n v="-5476.68"/>
    <s v="83.95000"/>
    <s v="BDT"/>
    <n v="-459767.29"/>
    <n v="-5476.68"/>
    <s v="5476.68_1"/>
    <s v=""/>
    <s v="C3309UQ21KR0857"/>
    <s v="20210626"/>
    <s v=""/>
    <s v=""/>
    <s v="0"/>
    <s v=""/>
    <s v=""/>
    <s v=""/>
    <s v=""/>
    <s v="2010100001"/>
    <s v=""/>
    <m/>
    <s v=""/>
    <s v=""/>
    <s v=""/>
    <n v="0"/>
  </r>
  <r>
    <s v=""/>
    <s v="40101001"/>
    <s v="2018001067"/>
    <x v="106"/>
    <d v="2021-03-10T00:00:00"/>
    <d v="2021-03-17T00:00:00"/>
    <s v="RV"/>
    <s v="USD"/>
    <n v="-5475.6"/>
    <s v="83.95000"/>
    <s v="BDT"/>
    <n v="-459676.62"/>
    <n v="-5475.6"/>
    <s v="5475.6_1"/>
    <s v=""/>
    <s v="C3262LVMX0280-21"/>
    <s v="20210310"/>
    <s v=""/>
    <s v=""/>
    <s v="0"/>
    <s v=""/>
    <s v=""/>
    <s v=""/>
    <s v=""/>
    <s v="2010100001"/>
    <s v=""/>
    <m/>
    <s v=""/>
    <s v=""/>
    <s v=""/>
    <n v="0"/>
  </r>
  <r>
    <s v=""/>
    <s v="40101001"/>
    <s v="2018001226"/>
    <x v="107"/>
    <d v="2021-04-13T00:00:00"/>
    <d v="2021-04-22T00:00:00"/>
    <s v="RV"/>
    <s v="USD"/>
    <n v="-5473.17"/>
    <s v="83.95000"/>
    <s v="BDT"/>
    <n v="-459472.62"/>
    <n v="-5473.17"/>
    <s v="5473.17_1"/>
    <s v=""/>
    <s v="C3343UQ21YOK0451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1496"/>
    <x v="206"/>
    <d v="2021-06-12T00:00:00"/>
    <d v="2021-06-16T00:00:00"/>
    <s v="RV"/>
    <s v="USD"/>
    <n v="-5468.66"/>
    <s v="83.95000"/>
    <s v="BDT"/>
    <n v="-459094.01"/>
    <n v="-5468.66"/>
    <s v="5468.66_1"/>
    <s v=""/>
    <s v="C3316UQ21OSA0758"/>
    <s v="20210612"/>
    <s v=""/>
    <s v=""/>
    <s v="0"/>
    <s v=""/>
    <s v=""/>
    <s v=""/>
    <s v=""/>
    <s v="2010100001"/>
    <s v=""/>
    <m/>
    <s v=""/>
    <s v=""/>
    <s v=""/>
    <n v="0"/>
  </r>
  <r>
    <s v=""/>
    <s v="40101001"/>
    <s v="2018001022"/>
    <x v="158"/>
    <d v="2021-02-28T00:00:00"/>
    <d v="2021-03-02T00:00:00"/>
    <s v="RV"/>
    <s v="USD"/>
    <n v="-5462.37"/>
    <s v="83.95000"/>
    <s v="BDT"/>
    <n v="-458565.96"/>
    <n v="-5462.37"/>
    <s v="5462.37_1"/>
    <s v=""/>
    <s v="C3221LVGR0252-21"/>
    <s v="20210228"/>
    <s v=""/>
    <s v=""/>
    <s v="0"/>
    <s v=""/>
    <s v=""/>
    <s v=""/>
    <s v=""/>
    <s v="2010100001"/>
    <s v=""/>
    <m/>
    <s v=""/>
    <s v=""/>
    <s v=""/>
    <n v="0"/>
  </r>
  <r>
    <s v=""/>
    <s v="40101001"/>
    <s v="2018000761"/>
    <x v="224"/>
    <d v="2020-12-30T00:00:00"/>
    <d v="2021-01-05T00:00:00"/>
    <s v="RV"/>
    <s v="USD"/>
    <n v="-5462.31"/>
    <s v="83.95000"/>
    <s v="BDT"/>
    <n v="-458560.92"/>
    <n v="-5462.31"/>
    <s v="5462.31_1"/>
    <s v=""/>
    <s v="C3245UQ20SG1392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570"/>
    <x v="14"/>
    <d v="2020-11-25T00:00:00"/>
    <d v="2020-11-30T00:00:00"/>
    <s v="RV"/>
    <s v="USD"/>
    <n v="-5454.3"/>
    <s v="83.95000"/>
    <s v="BDT"/>
    <n v="-457888.48"/>
    <n v="-5454.3"/>
    <s v="5454.3_1"/>
    <s v=""/>
    <s v="C3233UQ20TW1185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871"/>
    <x v="197"/>
    <d v="2021-01-23T00:00:00"/>
    <d v="2021-02-01T00:00:00"/>
    <s v="RV"/>
    <s v="USD"/>
    <n v="-5448.07"/>
    <s v="83.95000"/>
    <s v="BDT"/>
    <n v="-457365.48"/>
    <n v="-5448.07"/>
    <s v="5448.07_1"/>
    <s v=""/>
    <s v="C3247UQ21TOM0043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892"/>
    <x v="44"/>
    <d v="2021-01-28T00:00:00"/>
    <d v="2021-02-04T00:00:00"/>
    <s v="RV"/>
    <s v="USD"/>
    <n v="-5444.14"/>
    <s v="83.95000"/>
    <s v="BDT"/>
    <n v="-457035.55"/>
    <n v="-5444.14"/>
    <s v="5444.14_1"/>
    <s v=""/>
    <s v="C3245UQ21SG0099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5443.8"/>
    <s v="83.95000"/>
    <s v="BDT"/>
    <n v="-457007.01"/>
    <n v="-5443.8"/>
    <s v="5443.8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053"/>
    <x v="37"/>
    <d v="2020-07-17T00:00:00"/>
    <d v="2020-07-21T00:00:00"/>
    <s v="RV"/>
    <s v="USD"/>
    <n v="-5416.94"/>
    <s v="83.95000"/>
    <s v="BDT"/>
    <n v="-454752.11"/>
    <n v="-5416.94"/>
    <s v="5416.94_1"/>
    <s v=""/>
    <s v="C3063LVGR062220"/>
    <s v="20200717"/>
    <s v=""/>
    <s v=""/>
    <s v="0"/>
    <s v=""/>
    <s v=""/>
    <s v=""/>
    <s v=""/>
    <s v="2010100001"/>
    <s v=""/>
    <m/>
    <s v=""/>
    <s v=""/>
    <s v=""/>
    <n v="0"/>
  </r>
  <r>
    <s v=""/>
    <s v="40101001"/>
    <s v="2018001621"/>
    <x v="176"/>
    <d v="2021-06-19T00:00:00"/>
    <d v="2021-07-07T00:00:00"/>
    <s v="RV"/>
    <s v="USD"/>
    <n v="-5412.12"/>
    <s v="83.95000"/>
    <s v="BDT"/>
    <n v="-454347.47"/>
    <n v="-5412.12"/>
    <s v="5412.12_1"/>
    <s v=""/>
    <s v="C3335LVMX0739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1270"/>
    <x v="71"/>
    <d v="2021-04-28T00:00:00"/>
    <d v="2021-05-03T00:00:00"/>
    <s v="RV"/>
    <s v="USD"/>
    <n v="-5408.73"/>
    <s v="83.95000"/>
    <s v="BDT"/>
    <n v="-454062.88"/>
    <n v="-5408.73"/>
    <s v="5408.73_1"/>
    <s v=""/>
    <s v="C3267LVUS0492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572"/>
    <x v="65"/>
    <d v="2020-11-11T00:00:00"/>
    <d v="2020-12-01T00:00:00"/>
    <s v="RV"/>
    <s v="USD"/>
    <n v="-5404.36"/>
    <s v="83.95000"/>
    <s v="BDT"/>
    <n v="-453696.02"/>
    <n v="-5404.36"/>
    <s v="5404.36_1"/>
    <s v=""/>
    <s v="C3205UQ20YAN1098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1214"/>
    <x v="263"/>
    <d v="2021-04-12T00:00:00"/>
    <d v="2021-04-22T00:00:00"/>
    <s v="RV"/>
    <s v="USD"/>
    <n v="-5400.72"/>
    <s v="83.95000"/>
    <s v="BDT"/>
    <n v="-453390.44"/>
    <n v="-5400.72"/>
    <s v="5400.72_1"/>
    <s v=""/>
    <s v="C3290UQ21TOM0437"/>
    <s v="20210412"/>
    <s v=""/>
    <s v=""/>
    <s v="0"/>
    <s v=""/>
    <s v=""/>
    <s v=""/>
    <s v=""/>
    <s v="2010100001"/>
    <s v=""/>
    <m/>
    <s v=""/>
    <s v=""/>
    <s v=""/>
    <n v="0"/>
  </r>
  <r>
    <s v=""/>
    <s v="40101001"/>
    <s v="2018000483"/>
    <x v="91"/>
    <d v="2020-11-10T00:00:00"/>
    <d v="2020-11-16T00:00:00"/>
    <s v="RV"/>
    <s v="USD"/>
    <n v="-5398"/>
    <s v="83.95000"/>
    <s v="BDT"/>
    <n v="-453162.1"/>
    <n v="-5398"/>
    <s v="5398_1"/>
    <s v=""/>
    <s v="C03170US20-1043"/>
    <s v="20201110"/>
    <s v=""/>
    <s v=""/>
    <s v="0"/>
    <s v=""/>
    <s v=""/>
    <s v=""/>
    <s v=""/>
    <s v="2010100001"/>
    <s v=""/>
    <m/>
    <s v=""/>
    <s v=""/>
    <s v=""/>
    <n v="0"/>
  </r>
  <r>
    <s v=""/>
    <s v="40101001"/>
    <s v="2018001153"/>
    <x v="112"/>
    <d v="2021-03-24T00:00:00"/>
    <d v="2021-03-31T00:00:00"/>
    <s v="RV"/>
    <s v="USD"/>
    <n v="-5396.77"/>
    <s v="83.95000"/>
    <s v="BDT"/>
    <n v="-453058.84"/>
    <n v="-5396.77"/>
    <s v="5396.77_1"/>
    <s v=""/>
    <s v="C3275LVMX0310-21"/>
    <s v="20210324"/>
    <s v=""/>
    <s v=""/>
    <s v="0"/>
    <s v=""/>
    <s v=""/>
    <s v=""/>
    <s v=""/>
    <s v="2010100001"/>
    <s v=""/>
    <m/>
    <s v=""/>
    <s v=""/>
    <s v=""/>
    <n v="0"/>
  </r>
  <r>
    <s v=""/>
    <s v="40101001"/>
    <s v="2018000878"/>
    <x v="44"/>
    <d v="2021-01-28T00:00:00"/>
    <d v="2021-02-01T00:00:00"/>
    <s v="RV"/>
    <s v="USD"/>
    <n v="-5390.88"/>
    <s v="83.95000"/>
    <s v="BDT"/>
    <n v="-452564.38"/>
    <n v="-5390.88"/>
    <s v="5390.88_1"/>
    <s v=""/>
    <s v="C3242LVUS0089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1168"/>
    <x v="189"/>
    <d v="2021-03-26T00:00:00"/>
    <d v="2021-04-04T00:00:00"/>
    <s v="RV"/>
    <s v="USD"/>
    <n v="-5379.28"/>
    <s v="83.95000"/>
    <s v="BDT"/>
    <n v="-451590.56"/>
    <n v="-5379.28"/>
    <s v="5379.28_1"/>
    <s v=""/>
    <s v="C3175AMZLB0380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394"/>
    <x v="51"/>
    <d v="2021-05-08T00:00:00"/>
    <d v="2021-05-24T00:00:00"/>
    <s v="RV"/>
    <s v="USD"/>
    <n v="-5377.03"/>
    <s v="83.95000"/>
    <s v="BDT"/>
    <n v="-451401.67"/>
    <n v="-5377.03"/>
    <s v="5377.03_1"/>
    <s v=""/>
    <s v="C3308UQ21KR0527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1388"/>
    <x v="15"/>
    <d v="2021-05-04T00:00:00"/>
    <d v="2021-05-23T00:00:00"/>
    <s v="RV"/>
    <s v="USD"/>
    <n v="-5364.85"/>
    <s v="83.95000"/>
    <s v="BDT"/>
    <n v="-450379.16"/>
    <n v="-5364.85"/>
    <s v="5364.85_1"/>
    <s v=""/>
    <s v="C3343UQ21HAK0554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017"/>
    <x v="16"/>
    <d v="2021-02-26T00:00:00"/>
    <d v="2021-03-02T00:00:00"/>
    <s v="RV"/>
    <s v="USD"/>
    <n v="-5359.18"/>
    <s v="83.95000"/>
    <s v="BDT"/>
    <n v="-449903.16"/>
    <n v="-5359.18"/>
    <s v="5359.18_1"/>
    <s v=""/>
    <s v="C3290UQ21NAG0238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1051"/>
    <x v="191"/>
    <d v="2021-03-08T00:00:00"/>
    <d v="2021-03-11T00:00:00"/>
    <s v="RV"/>
    <s v="USD"/>
    <n v="-5359.18"/>
    <s v="83.95000"/>
    <s v="BDT"/>
    <n v="-449903.16"/>
    <n v="-5359.18"/>
    <s v="5359.18_2"/>
    <s v=""/>
    <s v="C3254UQ21TOM0285"/>
    <s v="20210308"/>
    <s v=""/>
    <s v=""/>
    <s v="0"/>
    <s v=""/>
    <s v=""/>
    <s v=""/>
    <s v=""/>
    <s v="2010100001"/>
    <s v=""/>
    <m/>
    <s v=""/>
    <s v=""/>
    <s v=""/>
    <n v="0"/>
  </r>
  <r>
    <s v=""/>
    <s v="40101001"/>
    <s v="2018000933"/>
    <x v="46"/>
    <d v="2021-02-07T00:00:00"/>
    <d v="2021-02-14T00:00:00"/>
    <s v="RV"/>
    <s v="USD"/>
    <n v="-5338.4"/>
    <s v="83.95000"/>
    <s v="BDT"/>
    <n v="-448158.68"/>
    <n v="-5338.4"/>
    <s v="5338.4_1"/>
    <s v=""/>
    <s v="C3260UQ21SEN0159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0364"/>
    <x v="281"/>
    <d v="2020-10-23T00:00:00"/>
    <d v="2020-10-28T00:00:00"/>
    <s v="RV"/>
    <s v="USD"/>
    <n v="-5332.32"/>
    <s v="83.95000"/>
    <s v="BDT"/>
    <n v="-447648.27"/>
    <n v="-5332.32"/>
    <s v="5332.32_1"/>
    <s v=""/>
    <s v="C3204UQ20RU0851"/>
    <s v="20201023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5326.62"/>
    <s v="83.95000"/>
    <s v="BDT"/>
    <n v="-447169.75"/>
    <n v="-5326.62"/>
    <s v="5326.62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573"/>
    <x v="218"/>
    <d v="2020-11-29T00:00:00"/>
    <d v="2020-12-01T00:00:00"/>
    <s v="RV"/>
    <s v="USD"/>
    <n v="-5316.59"/>
    <s v="83.95000"/>
    <s v="BDT"/>
    <n v="-446327.73"/>
    <n v="-5316.59"/>
    <s v="5316.59_1"/>
    <s v=""/>
    <s v="C3143LVGR1236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673"/>
    <x v="79"/>
    <d v="2020-12-18T00:00:00"/>
    <d v="2020-12-22T00:00:00"/>
    <s v="RV"/>
    <s v="USD"/>
    <n v="-5302.75"/>
    <s v="83.95000"/>
    <s v="BDT"/>
    <n v="-445165.86"/>
    <n v="-5302.75"/>
    <s v="5302.75_1"/>
    <s v=""/>
    <s v="C3247UQ20NAG1337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013"/>
    <x v="16"/>
    <d v="2021-02-26T00:00:00"/>
    <d v="2021-03-02T00:00:00"/>
    <s v="RV"/>
    <s v="USD"/>
    <n v="-5296.86"/>
    <s v="83.95000"/>
    <s v="BDT"/>
    <n v="-444671.4"/>
    <n v="-5296.86"/>
    <s v="5296.86_1"/>
    <s v=""/>
    <s v="C3290UQ21HAK0239"/>
    <s v="20210226"/>
    <s v=""/>
    <s v=""/>
    <s v="0"/>
    <s v=""/>
    <s v=""/>
    <s v=""/>
    <s v=""/>
    <s v="2010100001"/>
    <s v=""/>
    <m/>
    <s v=""/>
    <s v=""/>
    <s v=""/>
    <n v="0"/>
  </r>
  <r>
    <s v=""/>
    <s v="40101001"/>
    <s v="2018000229"/>
    <x v="121"/>
    <d v="2020-09-11T00:00:00"/>
    <d v="2020-09-16T00:00:00"/>
    <s v="RV"/>
    <s v="USD"/>
    <n v="-5292.73"/>
    <s v="83.95000"/>
    <s v="BDT"/>
    <n v="-444324.68"/>
    <n v="-5292.73"/>
    <s v="5292.73_1"/>
    <s v=""/>
    <s v="C3204UQ20EU0848"/>
    <s v="20200911"/>
    <s v=""/>
    <s v=""/>
    <s v="0"/>
    <s v=""/>
    <s v=""/>
    <s v=""/>
    <s v=""/>
    <s v="2010100001"/>
    <s v=""/>
    <m/>
    <s v=""/>
    <s v=""/>
    <s v=""/>
    <n v="0"/>
  </r>
  <r>
    <s v=""/>
    <s v="40101001"/>
    <s v="2018000530"/>
    <x v="3"/>
    <d v="2020-11-18T00:00:00"/>
    <d v="2020-11-24T00:00:00"/>
    <s v="RV"/>
    <s v="USD"/>
    <n v="-5292.58"/>
    <s v="83.95000"/>
    <s v="BDT"/>
    <n v="-444312.09"/>
    <n v="-5292.58"/>
    <s v="5292.58_1"/>
    <s v=""/>
    <s v="C3231UQ20KR1127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1378"/>
    <x v="43"/>
    <d v="2021-05-17T00:00:00"/>
    <d v="2021-05-20T00:00:00"/>
    <s v="RV"/>
    <s v="USD"/>
    <n v="-5291.09"/>
    <s v="83.95000"/>
    <s v="BDT"/>
    <n v="-444187.01"/>
    <n v="-5291.09"/>
    <s v="5291.09_1"/>
    <s v=""/>
    <s v="C3316UQ21TOK0642"/>
    <s v="20210517"/>
    <s v=""/>
    <s v=""/>
    <s v="0"/>
    <s v=""/>
    <s v=""/>
    <s v=""/>
    <s v=""/>
    <s v="2010100001"/>
    <s v=""/>
    <m/>
    <s v=""/>
    <s v=""/>
    <s v=""/>
    <n v="0"/>
  </r>
  <r>
    <s v=""/>
    <s v="40101001"/>
    <s v="2018001278"/>
    <x v="71"/>
    <d v="2021-04-28T00:00:00"/>
    <d v="2021-05-06T00:00:00"/>
    <s v="RV"/>
    <s v="USD"/>
    <n v="-5284.44"/>
    <s v="83.95000"/>
    <s v="BDT"/>
    <n v="-443628.74"/>
    <n v="-5284.44"/>
    <s v="5284.44_1"/>
    <s v=""/>
    <s v="C3343UQ21OSA0510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025"/>
    <x v="135"/>
    <d v="2020-07-03T00:00:00"/>
    <d v="2020-07-18T00:00:00"/>
    <s v="RV"/>
    <s v="USD"/>
    <n v="-5270.09"/>
    <s v="83.95000"/>
    <s v="BDT"/>
    <n v="-442424.06"/>
    <n v="-5270.09"/>
    <s v="5270.09_1"/>
    <s v=""/>
    <s v="C3120UQ20YAN0587"/>
    <s v="20200703"/>
    <s v=""/>
    <s v=""/>
    <s v="0"/>
    <s v=""/>
    <s v=""/>
    <s v=""/>
    <s v=""/>
    <s v="2010100001"/>
    <s v=""/>
    <m/>
    <s v=""/>
    <s v=""/>
    <s v=""/>
    <n v="0"/>
  </r>
  <r>
    <s v=""/>
    <s v="40101001"/>
    <s v="2018001267"/>
    <x v="107"/>
    <d v="2021-04-13T00:00:00"/>
    <d v="2021-05-02T00:00:00"/>
    <s v="RV"/>
    <s v="USD"/>
    <n v="-5266.82"/>
    <s v="83.95000"/>
    <s v="BDT"/>
    <n v="-442149.54"/>
    <n v="-5266.82"/>
    <s v="5266.82_1"/>
    <s v=""/>
    <s v="C3305UQ21TH0420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1070"/>
    <x v="111"/>
    <d v="2021-03-11T00:00:00"/>
    <d v="2021-03-17T00:00:00"/>
    <s v="RV"/>
    <s v="USD"/>
    <n v="-5264.64"/>
    <s v="83.95000"/>
    <s v="BDT"/>
    <n v="-441966.53"/>
    <n v="-5264.64"/>
    <s v="5264.64_1"/>
    <s v=""/>
    <s v="C3254UQ21OSA0294"/>
    <s v="20210311"/>
    <s v=""/>
    <s v=""/>
    <s v="0"/>
    <s v=""/>
    <s v=""/>
    <s v=""/>
    <s v=""/>
    <s v="2010100001"/>
    <s v=""/>
    <m/>
    <s v=""/>
    <s v=""/>
    <s v=""/>
    <n v="0"/>
  </r>
  <r>
    <s v=""/>
    <s v="40101001"/>
    <s v="2018000948"/>
    <x v="99"/>
    <d v="2021-02-11T00:00:00"/>
    <d v="2021-02-16T00:00:00"/>
    <s v="RV"/>
    <s v="USD"/>
    <n v="-5260.89"/>
    <s v="83.95000"/>
    <s v="BDT"/>
    <n v="-441651.72"/>
    <n v="-5260.89"/>
    <s v="5260.89_1"/>
    <s v=""/>
    <s v="C3238LVGR0172-21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1385"/>
    <x v="287"/>
    <d v="2021-05-18T00:00:00"/>
    <d v="2021-05-20T00:00:00"/>
    <s v="RV"/>
    <s v="USD"/>
    <n v="-5244.78"/>
    <s v="83.95000"/>
    <s v="BDT"/>
    <n v="-440299.28"/>
    <n v="-5244.78"/>
    <s v="5244.78_1"/>
    <s v=""/>
    <s v="C3286LVTR0621-21"/>
    <s v="20210518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5244.45"/>
    <s v="83.95000"/>
    <s v="BDT"/>
    <n v="-440271.58"/>
    <n v="-5244.45"/>
    <s v="5244.45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229"/>
    <x v="121"/>
    <d v="2020-09-11T00:00:00"/>
    <d v="2020-09-16T00:00:00"/>
    <s v="RV"/>
    <s v="USD"/>
    <n v="-5233.5"/>
    <s v="83.95000"/>
    <s v="BDT"/>
    <n v="-439352.33"/>
    <n v="-5233.5"/>
    <s v="5233.5_1"/>
    <s v=""/>
    <s v="C3204UQ20EU0848"/>
    <s v="20200911"/>
    <s v=""/>
    <s v=""/>
    <s v="0"/>
    <s v=""/>
    <s v=""/>
    <s v=""/>
    <s v=""/>
    <s v="2010100001"/>
    <s v=""/>
    <m/>
    <s v=""/>
    <s v=""/>
    <s v=""/>
    <n v="0"/>
  </r>
  <r>
    <s v=""/>
    <s v="40101001"/>
    <s v="2018000326"/>
    <x v="200"/>
    <d v="2020-09-25T00:00:00"/>
    <d v="2020-10-15T00:00:00"/>
    <s v="RV"/>
    <s v="USD"/>
    <n v="-5187.3999999999996"/>
    <s v="83.95000"/>
    <s v="BDT"/>
    <n v="-435482.23"/>
    <n v="-5187.3999999999996"/>
    <s v="5187.4_1"/>
    <s v=""/>
    <s v="C3135SB20UK0894"/>
    <s v="20200925"/>
    <s v=""/>
    <s v=""/>
    <s v="0"/>
    <s v=""/>
    <s v=""/>
    <s v=""/>
    <s v=""/>
    <s v="2010100001"/>
    <s v=""/>
    <m/>
    <s v=""/>
    <s v=""/>
    <s v=""/>
    <n v="0"/>
  </r>
  <r>
    <s v=""/>
    <s v="40101001"/>
    <s v="2018000282"/>
    <x v="166"/>
    <d v="2020-09-27T00:00:00"/>
    <d v="2020-10-01T00:00:00"/>
    <s v="RV"/>
    <s v="USD"/>
    <n v="-5178.88"/>
    <s v="83.95000"/>
    <s v="BDT"/>
    <n v="-434766.98"/>
    <n v="-5178.88"/>
    <s v="5178.88_1"/>
    <s v=""/>
    <s v="C3162DC20US0912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18000547"/>
    <x v="14"/>
    <d v="2020-11-25T00:00:00"/>
    <d v="2020-11-28T00:00:00"/>
    <s v="RV"/>
    <s v="USD"/>
    <n v="-5170.6899999999996"/>
    <s v="83.95000"/>
    <s v="BDT"/>
    <n v="-434079.43"/>
    <n v="-5170.6899999999996"/>
    <s v="5170.69_1"/>
    <s v=""/>
    <s v="C3147LVTR111420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1049"/>
    <x v="5"/>
    <d v="2021-03-07T00:00:00"/>
    <d v="2021-03-11T00:00:00"/>
    <s v="RV"/>
    <s v="USD"/>
    <n v="-5165.16"/>
    <s v="83.95000"/>
    <s v="BDT"/>
    <n v="-433615.18"/>
    <n v="-5165.16"/>
    <s v="5165.16_1"/>
    <s v=""/>
    <s v="C3272UQ21KR0263"/>
    <s v="20210307"/>
    <s v=""/>
    <s v=""/>
    <s v="0"/>
    <s v=""/>
    <s v=""/>
    <s v=""/>
    <s v=""/>
    <s v="2010100001"/>
    <s v=""/>
    <m/>
    <s v=""/>
    <s v=""/>
    <s v=""/>
    <n v="0"/>
  </r>
  <r>
    <s v=""/>
    <s v="40101001"/>
    <s v="2018000543"/>
    <x v="34"/>
    <d v="2020-11-23T00:00:00"/>
    <d v="2020-11-28T00:00:00"/>
    <s v="RV"/>
    <s v="USD"/>
    <n v="-5160.8999999999996"/>
    <s v="83.95000"/>
    <s v="BDT"/>
    <n v="-433257.56"/>
    <n v="-5160.8999999999996"/>
    <s v="5160.9_1"/>
    <s v=""/>
    <s v="C3142LVPE10632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566"/>
    <x v="14"/>
    <d v="2020-11-25T00:00:00"/>
    <d v="2020-11-30T00:00:00"/>
    <s v="RV"/>
    <s v="USD"/>
    <n v="-5151.8500000000004"/>
    <s v="83.95000"/>
    <s v="BDT"/>
    <n v="-432497.81"/>
    <n v="-5151.8500000000004"/>
    <s v="5151.85_1"/>
    <s v=""/>
    <s v="C3169UQ20TOK1184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1586"/>
    <x v="247"/>
    <d v="2021-06-22T00:00:00"/>
    <d v="2021-06-26T00:00:00"/>
    <s v="RV"/>
    <s v="USD"/>
    <n v="-5150.18"/>
    <s v="83.95000"/>
    <s v="BDT"/>
    <n v="-432357.61"/>
    <n v="-5150.18"/>
    <s v="5150.18_1"/>
    <s v=""/>
    <s v="C3329UQ21VN0820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0335"/>
    <x v="182"/>
    <d v="2020-10-13T00:00:00"/>
    <d v="2020-10-22T00:00:00"/>
    <s v="RV"/>
    <s v="USD"/>
    <n v="-5143.57"/>
    <s v="83.95000"/>
    <s v="BDT"/>
    <n v="-431802.7"/>
    <n v="-5143.57"/>
    <s v="5143.57_1"/>
    <s v=""/>
    <s v="C03202US20-0927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5122.0200000000004"/>
    <s v="83.95000"/>
    <s v="BDT"/>
    <n v="-429993.58"/>
    <n v="-5122.0200000000004"/>
    <s v="5122.02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432"/>
    <x v="205"/>
    <d v="2021-05-28T00:00:00"/>
    <d v="2021-06-01T00:00:00"/>
    <s v="RV"/>
    <s v="USD"/>
    <n v="-5109.38"/>
    <s v="83.95000"/>
    <s v="BDT"/>
    <n v="-428932.45"/>
    <n v="-5109.38"/>
    <s v="5109.38_1"/>
    <s v=""/>
    <s v="C3343UQ21HAK0687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18001437"/>
    <x v="28"/>
    <d v="2021-05-30T00:00:00"/>
    <d v="2021-06-01T00:00:00"/>
    <s v="RV"/>
    <s v="USD"/>
    <n v="-5109.38"/>
    <s v="83.95000"/>
    <s v="BDT"/>
    <n v="-428932.45"/>
    <n v="-5109.38"/>
    <s v="5109.38_2"/>
    <s v=""/>
    <s v="C3343UQ21NAG0688"/>
    <s v="20210530"/>
    <s v=""/>
    <s v=""/>
    <s v="0"/>
    <s v=""/>
    <s v=""/>
    <s v=""/>
    <s v=""/>
    <s v="2010100001"/>
    <s v=""/>
    <m/>
    <s v=""/>
    <s v=""/>
    <s v=""/>
    <n v="0"/>
  </r>
  <r>
    <s v=""/>
    <s v="40101001"/>
    <s v="2018000919"/>
    <x v="208"/>
    <d v="2021-02-04T00:00:00"/>
    <d v="2021-02-10T00:00:00"/>
    <s v="RV"/>
    <s v="USD"/>
    <n v="-5106.8500000000004"/>
    <s v="83.95000"/>
    <s v="BDT"/>
    <n v="-428720.06"/>
    <n v="-5106.8500000000004"/>
    <s v="5106.85_1"/>
    <s v=""/>
    <s v="C3305UQ21MEL0108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262"/>
    <x v="133"/>
    <d v="2020-09-21T00:00:00"/>
    <d v="2020-09-26T00:00:00"/>
    <s v="RV"/>
    <s v="USD"/>
    <n v="-5100.96"/>
    <s v="83.95000"/>
    <s v="BDT"/>
    <n v="-428225.59"/>
    <n v="-5100.96"/>
    <s v="5100.96_1"/>
    <s v=""/>
    <s v="C3171UQ20HAK0897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573"/>
    <x v="218"/>
    <d v="2020-11-29T00:00:00"/>
    <d v="2020-12-01T00:00:00"/>
    <s v="RV"/>
    <s v="USD"/>
    <n v="-5095.07"/>
    <s v="83.95000"/>
    <s v="BDT"/>
    <n v="-427731.13"/>
    <n v="-5095.07"/>
    <s v="5095.07_1"/>
    <s v=""/>
    <s v="C3143LVGR1236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273"/>
    <x v="40"/>
    <d v="2020-09-08T00:00:00"/>
    <d v="2020-09-30T00:00:00"/>
    <s v="RV"/>
    <s v="USD"/>
    <n v="-5092.8999999999996"/>
    <s v="83.95000"/>
    <s v="BDT"/>
    <n v="-427548.96"/>
    <n v="-5092.8999999999996"/>
    <s v="5092.9_1"/>
    <s v=""/>
    <s v="C3155UQ20SHA0820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450"/>
    <x v="110"/>
    <d v="2020-11-08T00:00:00"/>
    <d v="2020-11-11T00:00:00"/>
    <s v="RV"/>
    <s v="USD"/>
    <n v="-5086.66"/>
    <s v="83.95000"/>
    <s v="BDT"/>
    <n v="-427025.11"/>
    <n v="-5086.66"/>
    <s v="5086.66_1"/>
    <s v=""/>
    <s v="C3215UQ20SEN1089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074"/>
    <x v="53"/>
    <d v="2020-07-22T00:00:00"/>
    <d v="2020-07-28T00:00:00"/>
    <s v="RV"/>
    <s v="USD"/>
    <n v="-5068.95"/>
    <s v="83.95000"/>
    <s v="BDT"/>
    <n v="-425538.35"/>
    <n v="-5068.95"/>
    <s v="5068.95_1"/>
    <s v=""/>
    <s v="C3131UQ20SHA0663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166"/>
    <x v="118"/>
    <d v="2021-03-27T00:00:00"/>
    <d v="2021-04-01T00:00:00"/>
    <s v="RV"/>
    <s v="USD"/>
    <n v="-5068.37"/>
    <s v="83.95000"/>
    <s v="BDT"/>
    <n v="-425489.66"/>
    <n v="-5068.37"/>
    <s v="5068.37_1"/>
    <s v=""/>
    <s v="C3290UQ21TOM0397"/>
    <s v="20210327"/>
    <s v=""/>
    <s v=""/>
    <s v="0"/>
    <s v=""/>
    <s v=""/>
    <s v=""/>
    <s v=""/>
    <s v="2010100001"/>
    <s v=""/>
    <m/>
    <s v=""/>
    <s v=""/>
    <s v=""/>
    <n v="0"/>
  </r>
  <r>
    <s v=""/>
    <s v="40101001"/>
    <s v="2018000893"/>
    <x v="143"/>
    <d v="2021-01-31T00:00:00"/>
    <d v="2021-02-04T00:00:00"/>
    <s v="RV"/>
    <s v="USD"/>
    <n v="-5057.54"/>
    <s v="83.95000"/>
    <s v="BDT"/>
    <n v="-424580.48"/>
    <n v="-5057.54"/>
    <s v="5057.54_1"/>
    <s v=""/>
    <s v="C3272UQ21HAK0120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1149"/>
    <x v="177"/>
    <d v="2021-03-23T00:00:00"/>
    <d v="2021-03-31T00:00:00"/>
    <s v="RV"/>
    <s v="USD"/>
    <n v="-5052.57"/>
    <s v="83.95000"/>
    <s v="BDT"/>
    <n v="-424163.25"/>
    <n v="-5052.57"/>
    <s v="5052.57_1"/>
    <s v=""/>
    <s v="C3266LVTR037321"/>
    <s v="20210323"/>
    <s v=""/>
    <s v=""/>
    <s v="0"/>
    <s v=""/>
    <s v=""/>
    <s v=""/>
    <s v=""/>
    <s v="2010100001"/>
    <s v=""/>
    <m/>
    <s v=""/>
    <s v=""/>
    <s v=""/>
    <n v="0"/>
  </r>
  <r>
    <s v=""/>
    <s v="40101011"/>
    <s v="2008000214"/>
    <x v="175"/>
    <d v="2021-04-30T00:00:00"/>
    <d v="2021-05-06T00:00:00"/>
    <s v="DR"/>
    <s v="USD"/>
    <n v="-5042.6499999999996"/>
    <s v="83.95000"/>
    <s v="BDT"/>
    <n v="-423330.47"/>
    <n v="-5042.6499999999996"/>
    <s v="5042.65_1"/>
    <s v=""/>
    <s v="CIPL-PGCL-0296-2"/>
    <s v="CIPL-PGCL-0296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0737"/>
    <x v="9"/>
    <d v="2020-12-24T00:00:00"/>
    <d v="2021-01-02T00:00:00"/>
    <s v="RV"/>
    <s v="USD"/>
    <n v="-5025.8"/>
    <s v="83.95000"/>
    <s v="BDT"/>
    <n v="-421915.91"/>
    <n v="-5025.8"/>
    <s v="5025.8_1"/>
    <s v=""/>
    <s v="C3160SB20UK1358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885"/>
    <x v="44"/>
    <d v="2021-01-28T00:00:00"/>
    <d v="2021-02-02T00:00:00"/>
    <s v="RV"/>
    <s v="USD"/>
    <n v="-5025.8"/>
    <s v="83.95000"/>
    <s v="BDT"/>
    <n v="-421915.91"/>
    <n v="-5025.8"/>
    <s v="5025.8_2"/>
    <s v=""/>
    <s v="C3160SB21UK0096"/>
    <s v="20210128"/>
    <s v=""/>
    <s v=""/>
    <s v="0"/>
    <s v=""/>
    <s v=""/>
    <s v=""/>
    <s v=""/>
    <s v="2010100001"/>
    <s v=""/>
    <m/>
    <s v=""/>
    <s v=""/>
    <s v=""/>
    <n v="0"/>
  </r>
  <r>
    <s v=""/>
    <s v="40101011"/>
    <s v="2008000064"/>
    <x v="23"/>
    <d v="2020-10-31T00:00:00"/>
    <d v="2020-11-08T00:00:00"/>
    <s v="DR"/>
    <s v="USD"/>
    <n v="-5011.32"/>
    <s v="83.95000"/>
    <s v="BDT"/>
    <n v="-420700.31"/>
    <n v="-5011.32"/>
    <s v="5011.32_1"/>
    <s v=""/>
    <s v="CIPL-PGC-0280-20"/>
    <s v="CIPL-PGC-0280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4996.63"/>
    <s v="83.95000"/>
    <s v="BDT"/>
    <n v="-419467.09"/>
    <n v="-4996.63"/>
    <s v="4996.63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434"/>
    <x v="205"/>
    <d v="2021-05-28T00:00:00"/>
    <d v="2021-06-01T00:00:00"/>
    <s v="RV"/>
    <s v="USD"/>
    <n v="-4996.45"/>
    <s v="83.95000"/>
    <s v="BDT"/>
    <n v="-419451.98"/>
    <n v="-4996.45"/>
    <s v="4996.45_1"/>
    <s v=""/>
    <s v="C3329UQ21TOR0607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18000354"/>
    <x v="7"/>
    <d v="2020-10-19T00:00:00"/>
    <d v="2020-10-24T00:00:00"/>
    <s v="RV"/>
    <s v="USD"/>
    <n v="-4996.09"/>
    <s v="83.95000"/>
    <s v="BDT"/>
    <n v="-419421.76"/>
    <n v="-4996.09"/>
    <s v="4996.09_1"/>
    <s v=""/>
    <s v="C3231UQ20NY0996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4994.62"/>
    <s v="83.95000"/>
    <s v="BDT"/>
    <n v="-419298.35"/>
    <n v="-4994.62"/>
    <s v="4994.62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552"/>
    <x v="164"/>
    <d v="2020-11-24T00:00:00"/>
    <d v="2020-11-28T00:00:00"/>
    <s v="RV"/>
    <s v="USD"/>
    <n v="-4983.84"/>
    <s v="83.95000"/>
    <s v="BDT"/>
    <n v="-418393.37"/>
    <n v="-4983.84"/>
    <s v="4983.84_1"/>
    <s v=""/>
    <s v="C3231UQ20KR1200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0339"/>
    <x v="182"/>
    <d v="2020-10-13T00:00:00"/>
    <d v="2020-10-22T00:00:00"/>
    <s v="RV"/>
    <s v="USD"/>
    <n v="-4980.12"/>
    <s v="83.95000"/>
    <s v="BDT"/>
    <n v="-418081.07"/>
    <n v="-4980.12"/>
    <s v="4980.12_1"/>
    <s v=""/>
    <s v="C3141LVMX093220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1594"/>
    <x v="163"/>
    <d v="2021-06-26T00:00:00"/>
    <d v="2021-06-29T00:00:00"/>
    <s v="RV"/>
    <s v="USD"/>
    <n v="-4970.51"/>
    <s v="83.95000"/>
    <s v="BDT"/>
    <n v="-417274.31"/>
    <n v="-4970.51"/>
    <s v="4970.51_1"/>
    <s v=""/>
    <s v="C3287LVMX0788-21"/>
    <s v="20210626"/>
    <s v=""/>
    <s v=""/>
    <s v="0"/>
    <s v=""/>
    <s v=""/>
    <s v=""/>
    <s v=""/>
    <s v="2010100001"/>
    <s v=""/>
    <m/>
    <s v=""/>
    <s v=""/>
    <s v=""/>
    <n v="0"/>
  </r>
  <r>
    <s v=""/>
    <s v="40101001"/>
    <s v="2018001215"/>
    <x v="108"/>
    <d v="2021-04-11T00:00:00"/>
    <d v="2021-04-22T00:00:00"/>
    <s v="RV"/>
    <s v="USD"/>
    <n v="-4965.0200000000004"/>
    <s v="83.95000"/>
    <s v="BDT"/>
    <n v="-416813.43"/>
    <n v="-4965.0200000000004"/>
    <s v="4965.02_1"/>
    <s v=""/>
    <s v="C3273NT21US0423"/>
    <s v="20210411"/>
    <s v=""/>
    <s v=""/>
    <s v="0"/>
    <s v=""/>
    <s v=""/>
    <s v=""/>
    <s v=""/>
    <s v="2010100001"/>
    <s v=""/>
    <m/>
    <s v=""/>
    <s v=""/>
    <s v=""/>
    <n v="0"/>
  </r>
  <r>
    <s v=""/>
    <s v="40101001"/>
    <s v="2018001554"/>
    <x v="75"/>
    <d v="2021-06-17T00:00:00"/>
    <d v="2021-06-23T00:00:00"/>
    <s v="RV"/>
    <s v="USD"/>
    <n v="-4963.3999999999996"/>
    <s v="83.95000"/>
    <s v="BDT"/>
    <n v="-416677.43"/>
    <n v="-4963.3999999999996"/>
    <s v="4963.4_1"/>
    <s v=""/>
    <s v="C3343UQ21HAK0806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746"/>
    <x v="224"/>
    <d v="2020-12-30T00:00:00"/>
    <d v="2021-01-03T00:00:00"/>
    <s v="RV"/>
    <s v="USD"/>
    <n v="-4939.2"/>
    <s v="83.95000"/>
    <s v="BDT"/>
    <n v="-414645.84"/>
    <n v="-4939.2"/>
    <s v="4939.2_1"/>
    <s v=""/>
    <s v="C3245UQ20IN1359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1218"/>
    <x v="107"/>
    <d v="2021-04-13T00:00:00"/>
    <d v="2021-04-22T00:00:00"/>
    <s v="RV"/>
    <s v="USD"/>
    <n v="-4906.9799999999996"/>
    <s v="83.95000"/>
    <s v="BDT"/>
    <n v="-411940.97"/>
    <n v="-4906.9799999999996"/>
    <s v="4906.98_1"/>
    <s v=""/>
    <s v="C3343UQ21OSA0450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1586"/>
    <x v="247"/>
    <d v="2021-06-22T00:00:00"/>
    <d v="2021-06-26T00:00:00"/>
    <s v="RV"/>
    <s v="USD"/>
    <n v="-4900.18"/>
    <s v="83.95000"/>
    <s v="BDT"/>
    <n v="-411370.11"/>
    <n v="-4900.18"/>
    <s v="4900.18_1"/>
    <s v=""/>
    <s v="C3329UQ21VN0820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1551"/>
    <x v="75"/>
    <d v="2021-06-17T00:00:00"/>
    <d v="2021-06-23T00:00:00"/>
    <s v="RV"/>
    <s v="USD"/>
    <n v="-4890.41"/>
    <s v="83.95000"/>
    <s v="BDT"/>
    <n v="-410549.92"/>
    <n v="-4890.41"/>
    <s v="4890.41_1"/>
    <s v=""/>
    <s v="C3329UQ21NAG0807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428"/>
    <x v="18"/>
    <d v="2020-11-05T00:00:00"/>
    <d v="2020-11-10T00:00:00"/>
    <s v="RV"/>
    <s v="USD"/>
    <n v="-4881.76"/>
    <s v="83.95000"/>
    <s v="BDT"/>
    <n v="-409823.75"/>
    <n v="-4881.76"/>
    <s v="4881.76_1"/>
    <s v=""/>
    <s v="C3141LVCL0915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614"/>
    <x v="50"/>
    <d v="2020-12-06T00:00:00"/>
    <d v="2020-12-09T00:00:00"/>
    <s v="RV"/>
    <s v="USD"/>
    <n v="-4858.72"/>
    <s v="83.95000"/>
    <s v="BDT"/>
    <n v="-407889.55"/>
    <n v="-4858.72"/>
    <s v="4858.72_1"/>
    <s v=""/>
    <s v="C3147LVGR127120"/>
    <s v="20201206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4854.8"/>
    <s v="83.95000"/>
    <s v="BDT"/>
    <n v="-407560.46"/>
    <n v="-4854.8"/>
    <s v="4854.8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248"/>
    <x v="133"/>
    <d v="2020-09-21T00:00:00"/>
    <d v="2020-09-24T00:00:00"/>
    <s v="RV"/>
    <s v="USD"/>
    <n v="-4854.08"/>
    <s v="83.95000"/>
    <s v="BDT"/>
    <n v="-407500.03"/>
    <n v="-4854.08"/>
    <s v="4854.08_1"/>
    <s v=""/>
    <s v="C3156DC20US0874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886"/>
    <x v="303"/>
    <d v="2021-01-29T00:00:00"/>
    <d v="2021-02-02T00:00:00"/>
    <s v="RV"/>
    <s v="USD"/>
    <n v="-4852.54"/>
    <s v="83.95000"/>
    <s v="BDT"/>
    <n v="-407370.73"/>
    <n v="-4852.54"/>
    <s v="4852.54_1"/>
    <s v=""/>
    <s v="C3221LVGR009421"/>
    <s v="20210129"/>
    <s v=""/>
    <s v=""/>
    <s v="0"/>
    <s v=""/>
    <s v=""/>
    <s v=""/>
    <s v=""/>
    <s v="2010100001"/>
    <s v=""/>
    <m/>
    <s v=""/>
    <s v=""/>
    <s v=""/>
    <n v="0"/>
  </r>
  <r>
    <s v=""/>
    <s v="40101001"/>
    <s v="2018000180"/>
    <x v="215"/>
    <d v="2020-08-31T00:00:00"/>
    <d v="2020-09-03T00:00:00"/>
    <s v="RV"/>
    <s v="USD"/>
    <n v="-4850.8100000000004"/>
    <s v="83.95000"/>
    <s v="BDT"/>
    <n v="-407225.5"/>
    <n v="-4850.8100000000004"/>
    <s v="4850.81_1"/>
    <s v=""/>
    <s v="C3093UQ20OSA0818"/>
    <s v="20200831"/>
    <s v=""/>
    <s v=""/>
    <s v="0"/>
    <s v=""/>
    <s v=""/>
    <s v=""/>
    <s v=""/>
    <s v="2010100001"/>
    <s v=""/>
    <m/>
    <s v=""/>
    <s v=""/>
    <s v=""/>
    <n v="0"/>
  </r>
  <r>
    <s v=""/>
    <s v="40101001"/>
    <s v="2018001433"/>
    <x v="205"/>
    <d v="2021-05-28T00:00:00"/>
    <d v="2021-06-01T00:00:00"/>
    <s v="RV"/>
    <s v="USD"/>
    <n v="-4818.4399999999996"/>
    <s v="83.95000"/>
    <s v="BDT"/>
    <n v="-404508.04"/>
    <n v="-4818.4399999999996"/>
    <s v="4818.44_1"/>
    <s v=""/>
    <s v="C3329UQ21TOR0659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4808.63"/>
    <s v="83.95000"/>
    <s v="BDT"/>
    <n v="-403684.49"/>
    <n v="-4808.63"/>
    <s v="4808.63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628"/>
    <x v="204"/>
    <d v="2020-12-09T00:00:00"/>
    <d v="2020-12-13T00:00:00"/>
    <s v="RV"/>
    <s v="USD"/>
    <n v="-4806.4399999999996"/>
    <s v="83.95000"/>
    <s v="BDT"/>
    <n v="-403500.64"/>
    <n v="-4806.4399999999996"/>
    <s v="4806.44_1"/>
    <s v=""/>
    <s v="C3145LVTR126820"/>
    <s v="20201209"/>
    <s v=""/>
    <s v=""/>
    <s v="0"/>
    <s v=""/>
    <s v=""/>
    <s v=""/>
    <s v=""/>
    <s v="2010100001"/>
    <s v=""/>
    <m/>
    <s v=""/>
    <s v=""/>
    <s v=""/>
    <n v="0"/>
  </r>
  <r>
    <s v=""/>
    <s v="40101001"/>
    <s v="2018001385"/>
    <x v="287"/>
    <d v="2021-05-18T00:00:00"/>
    <d v="2021-05-20T00:00:00"/>
    <s v="RV"/>
    <s v="USD"/>
    <n v="-4804.66"/>
    <s v="83.95000"/>
    <s v="BDT"/>
    <n v="-403351.21"/>
    <n v="-4804.66"/>
    <s v="4804.66_1"/>
    <s v=""/>
    <s v="C3286LVTR0621-21"/>
    <s v="20210518"/>
    <s v=""/>
    <s v=""/>
    <s v="0"/>
    <s v=""/>
    <s v=""/>
    <s v=""/>
    <s v=""/>
    <s v="2010100001"/>
    <s v=""/>
    <m/>
    <s v=""/>
    <s v=""/>
    <s v=""/>
    <n v="0"/>
  </r>
  <r>
    <s v=""/>
    <s v="40101001"/>
    <s v="2018001570"/>
    <x v="104"/>
    <d v="2021-06-23T00:00:00"/>
    <d v="2021-06-24T00:00:00"/>
    <s v="RV"/>
    <s v="USD"/>
    <n v="-4800.82"/>
    <s v="83.95000"/>
    <s v="BDT"/>
    <n v="-403028.84"/>
    <n v="-4800.82"/>
    <s v="4800.82_1"/>
    <s v=""/>
    <s v="C3270LVGR073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851"/>
    <x v="250"/>
    <d v="2021-01-24T00:00:00"/>
    <d v="2021-01-28T00:00:00"/>
    <s v="RV"/>
    <s v="USD"/>
    <n v="-4796.33"/>
    <s v="83.95000"/>
    <s v="BDT"/>
    <n v="-402651.9"/>
    <n v="-4796.33"/>
    <s v="4796.33_1"/>
    <s v=""/>
    <s v="C3218LVCL005421"/>
    <s v="20210124"/>
    <s v=""/>
    <s v=""/>
    <s v="0"/>
    <s v=""/>
    <s v=""/>
    <s v=""/>
    <s v=""/>
    <s v="2010100001"/>
    <s v=""/>
    <m/>
    <s v=""/>
    <s v=""/>
    <s v=""/>
    <n v="0"/>
  </r>
  <r>
    <s v=""/>
    <s v="40101001"/>
    <s v="2018000774"/>
    <x v="211"/>
    <d v="2021-01-03T00:00:00"/>
    <d v="2021-01-06T00:00:00"/>
    <s v="RV"/>
    <s v="USD"/>
    <n v="-4778.75"/>
    <s v="83.95000"/>
    <s v="BDT"/>
    <n v="-401176.06"/>
    <n v="-4778.75"/>
    <s v="4778.75_1"/>
    <s v=""/>
    <s v="C3259UQ20KR141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1492"/>
    <x v="88"/>
    <d v="2021-06-11T00:00:00"/>
    <d v="2021-06-16T00:00:00"/>
    <s v="RV"/>
    <s v="USD"/>
    <n v="-4765.84"/>
    <s v="83.95000"/>
    <s v="BDT"/>
    <n v="-400092.27"/>
    <n v="-4765.84"/>
    <s v="4765.84_1"/>
    <s v=""/>
    <s v="C3329UQ21TOM0773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586"/>
    <x v="247"/>
    <d v="2021-06-22T00:00:00"/>
    <d v="2021-06-26T00:00:00"/>
    <s v="RV"/>
    <s v="USD"/>
    <n v="-4765.84"/>
    <s v="83.95000"/>
    <s v="BDT"/>
    <n v="-400092.27"/>
    <n v="-4765.84"/>
    <s v="4765.84_2"/>
    <s v=""/>
    <s v="C3329UQ21VN0820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0006"/>
    <x v="135"/>
    <d v="2020-07-03T00:00:00"/>
    <d v="2020-07-07T00:00:00"/>
    <s v="RV"/>
    <s v="USD"/>
    <n v="-4760.83"/>
    <s v="83.95000"/>
    <s v="BDT"/>
    <n v="-399671.68"/>
    <n v="-4760.83"/>
    <s v="4760.83_1"/>
    <s v=""/>
    <s v="C3091UQ20MY0579"/>
    <s v="20200703"/>
    <s v=""/>
    <s v=""/>
    <s v="0"/>
    <s v=""/>
    <s v=""/>
    <s v=""/>
    <s v=""/>
    <s v="2010100001"/>
    <s v=""/>
    <m/>
    <s v=""/>
    <s v=""/>
    <s v=""/>
    <n v="0"/>
  </r>
  <r>
    <s v=""/>
    <s v="40101001"/>
    <s v="2018000543"/>
    <x v="34"/>
    <d v="2020-11-23T00:00:00"/>
    <d v="2020-11-28T00:00:00"/>
    <s v="RV"/>
    <s v="USD"/>
    <n v="-4748.03"/>
    <s v="83.95000"/>
    <s v="BDT"/>
    <n v="-398597.12"/>
    <n v="-4748.03"/>
    <s v="4748.03_1"/>
    <s v=""/>
    <s v="C3142LVPE10632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889"/>
    <x v="44"/>
    <d v="2021-01-28T00:00:00"/>
    <d v="2021-02-04T00:00:00"/>
    <s v="RV"/>
    <s v="USD"/>
    <n v="-4746.1499999999996"/>
    <s v="83.95000"/>
    <s v="BDT"/>
    <n v="-398439.29"/>
    <n v="-4746.1499999999996"/>
    <s v="4746.15_1"/>
    <s v=""/>
    <s v="C3242LVUS0088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819"/>
    <x v="42"/>
    <d v="2021-01-14T00:00:00"/>
    <d v="2021-01-21T00:00:00"/>
    <s v="RV"/>
    <s v="USD"/>
    <n v="-4735.2"/>
    <s v="83.95000"/>
    <s v="BDT"/>
    <n v="-397520.04"/>
    <n v="-4735.2"/>
    <s v="4735.2_1"/>
    <s v=""/>
    <s v="C3214LVUS001121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393"/>
    <x v="51"/>
    <d v="2021-05-08T00:00:00"/>
    <d v="2021-05-24T00:00:00"/>
    <s v="RV"/>
    <s v="USD"/>
    <n v="-4723.1000000000004"/>
    <s v="83.95000"/>
    <s v="BDT"/>
    <n v="-396504.25"/>
    <n v="-4723.1000000000004"/>
    <s v="4723.1_1"/>
    <s v=""/>
    <s v="C3352UQ21KR0538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102"/>
    <x v="229"/>
    <d v="2020-08-03T00:00:00"/>
    <d v="2020-08-08T00:00:00"/>
    <s v="RV"/>
    <s v="USD"/>
    <n v="-4720.57"/>
    <s v="83.95000"/>
    <s v="BDT"/>
    <n v="-396291.85"/>
    <n v="-4720.57"/>
    <s v="4720.57_1"/>
    <s v=""/>
    <s v="C3063LVTR070620"/>
    <s v="20200803"/>
    <s v=""/>
    <s v=""/>
    <s v="0"/>
    <s v=""/>
    <s v=""/>
    <s v=""/>
    <s v=""/>
    <s v="2010100001"/>
    <s v=""/>
    <m/>
    <s v=""/>
    <s v=""/>
    <s v=""/>
    <n v="0"/>
  </r>
  <r>
    <s v=""/>
    <s v="40101001"/>
    <s v="2018000777"/>
    <x v="211"/>
    <d v="2021-01-03T00:00:00"/>
    <d v="2021-01-06T00:00:00"/>
    <s v="RV"/>
    <s v="USD"/>
    <n v="-4718.3999999999996"/>
    <s v="83.95000"/>
    <s v="BDT"/>
    <n v="-396109.68"/>
    <n v="-4718.3999999999996"/>
    <s v="4718.4_1"/>
    <s v=""/>
    <s v="C3243LVUS1423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777"/>
    <x v="211"/>
    <d v="2021-01-03T00:00:00"/>
    <d v="2021-01-06T00:00:00"/>
    <s v="RV"/>
    <s v="USD"/>
    <n v="-4718.3999999999996"/>
    <s v="83.95000"/>
    <s v="BDT"/>
    <n v="-396109.68"/>
    <n v="-4718.3999999999996"/>
    <s v="4718.4_2"/>
    <s v=""/>
    <s v="C3243LVUS1423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4702.3599999999997"/>
    <s v="83.95000"/>
    <s v="BDT"/>
    <n v="-394763.12"/>
    <n v="-4702.3599999999997"/>
    <s v="4702.36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425"/>
    <x v="304"/>
    <d v="2020-11-03T00:00:00"/>
    <d v="2020-11-10T00:00:00"/>
    <s v="RV"/>
    <s v="USD"/>
    <n v="-4699.92"/>
    <s v="83.95000"/>
    <s v="BDT"/>
    <n v="-394558.28"/>
    <n v="-4699.92"/>
    <s v="4699.92_1"/>
    <s v=""/>
    <s v="C3210UQ20NAG1023"/>
    <s v="20201103"/>
    <s v=""/>
    <s v=""/>
    <s v="0"/>
    <s v=""/>
    <s v=""/>
    <s v=""/>
    <s v=""/>
    <s v="2010100001"/>
    <s v=""/>
    <m/>
    <s v=""/>
    <s v=""/>
    <s v=""/>
    <n v="0"/>
  </r>
  <r>
    <s v=""/>
    <s v="40101001"/>
    <s v="2018000301"/>
    <x v="168"/>
    <d v="2020-09-17T00:00:00"/>
    <d v="2020-10-08T00:00:00"/>
    <s v="RV"/>
    <s v="USD"/>
    <n v="-4693.43"/>
    <s v="83.95000"/>
    <s v="BDT"/>
    <n v="-394013.45"/>
    <n v="-4693.43"/>
    <s v="4693.43_1"/>
    <s v=""/>
    <s v="C3159UQ20SHA0872"/>
    <s v="20200917"/>
    <s v=""/>
    <s v=""/>
    <s v="0"/>
    <s v=""/>
    <s v=""/>
    <s v=""/>
    <s v=""/>
    <s v="2010100001"/>
    <s v=""/>
    <m/>
    <s v=""/>
    <s v=""/>
    <s v=""/>
    <n v="0"/>
  </r>
  <r>
    <s v=""/>
    <s v="40101001"/>
    <s v="2018000663"/>
    <x v="19"/>
    <d v="2020-12-16T00:00:00"/>
    <d v="2020-12-22T00:00:00"/>
    <s v="RV"/>
    <s v="USD"/>
    <n v="-4686.04"/>
    <s v="83.95000"/>
    <s v="BDT"/>
    <n v="-393393.06"/>
    <n v="-4686.04"/>
    <s v="4686.04_1"/>
    <s v=""/>
    <s v="C3100LVGR13122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660"/>
    <x v="50"/>
    <d v="2020-12-06T00:00:00"/>
    <d v="2020-12-21T00:00:00"/>
    <s v="RV"/>
    <s v="USD"/>
    <n v="-4684.1899999999996"/>
    <s v="83.95000"/>
    <s v="BDT"/>
    <n v="-393237.75"/>
    <n v="-4684.1899999999996"/>
    <s v="4684.19_1"/>
    <s v=""/>
    <s v="C3145LVMY119620"/>
    <s v="20201206"/>
    <s v=""/>
    <s v=""/>
    <s v="0"/>
    <s v=""/>
    <s v=""/>
    <s v=""/>
    <s v=""/>
    <s v="2010100001"/>
    <s v=""/>
    <m/>
    <s v=""/>
    <s v=""/>
    <s v=""/>
    <n v="0"/>
  </r>
  <r>
    <s v=""/>
    <s v="40101001"/>
    <s v="2018001504"/>
    <x v="202"/>
    <d v="2021-06-06T00:00:00"/>
    <d v="2021-06-17T00:00:00"/>
    <s v="RV"/>
    <s v="USD"/>
    <n v="-4680"/>
    <s v="83.95000"/>
    <s v="BDT"/>
    <n v="-392886"/>
    <n v="-4680"/>
    <s v="4680_1"/>
    <s v=""/>
    <s v="C3289LVMX0694-21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1535"/>
    <x v="68"/>
    <d v="2021-06-15T00:00:00"/>
    <d v="2021-06-19T00:00:00"/>
    <s v="RV"/>
    <s v="USD"/>
    <n v="-4675.71"/>
    <s v="83.95000"/>
    <s v="BDT"/>
    <n v="-392525.85"/>
    <n v="-4675.71"/>
    <s v="4675.71_1"/>
    <s v=""/>
    <s v="C3285LVTR0737-21"/>
    <s v="20210615"/>
    <s v=""/>
    <s v=""/>
    <s v="0"/>
    <s v=""/>
    <s v=""/>
    <s v=""/>
    <s v=""/>
    <s v="2010100001"/>
    <s v=""/>
    <m/>
    <s v=""/>
    <s v=""/>
    <s v=""/>
    <n v="0"/>
  </r>
  <r>
    <s v=""/>
    <s v="40101001"/>
    <s v="2018001087"/>
    <x v="57"/>
    <d v="2021-03-18T00:00:00"/>
    <d v="2021-03-24T00:00:00"/>
    <s v="RV"/>
    <s v="USD"/>
    <n v="-4672.37"/>
    <s v="83.95000"/>
    <s v="BDT"/>
    <n v="-392245.46"/>
    <n v="-4672.37"/>
    <s v="4672.37_1"/>
    <s v=""/>
    <s v="C3272UQ21TOK0328"/>
    <s v="20210318"/>
    <s v=""/>
    <s v=""/>
    <s v="0"/>
    <s v=""/>
    <s v=""/>
    <s v=""/>
    <s v=""/>
    <s v="2010100001"/>
    <s v=""/>
    <m/>
    <s v=""/>
    <s v=""/>
    <s v=""/>
    <n v="0"/>
  </r>
  <r>
    <s v=""/>
    <s v="40101001"/>
    <s v="2018000088"/>
    <x v="139"/>
    <d v="2020-07-27T00:00:00"/>
    <d v="2020-07-30T00:00:00"/>
    <s v="RV"/>
    <s v="USD"/>
    <n v="-4667.3"/>
    <s v="83.95000"/>
    <s v="BDT"/>
    <n v="-391819.84"/>
    <n v="-4667.3"/>
    <s v="4667.3_1"/>
    <s v=""/>
    <s v="C3064LVUS068020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1183"/>
    <x v="83"/>
    <d v="2021-03-30T00:00:00"/>
    <d v="2021-04-04T00:00:00"/>
    <s v="RV"/>
    <s v="USD"/>
    <n v="-4658.78"/>
    <s v="83.95000"/>
    <s v="BDT"/>
    <n v="-391104.58"/>
    <n v="-4658.78"/>
    <s v="4658.78_1"/>
    <s v=""/>
    <s v="C3173AMZJP0374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0543"/>
    <x v="34"/>
    <d v="2020-11-23T00:00:00"/>
    <d v="2020-11-28T00:00:00"/>
    <s v="RV"/>
    <s v="USD"/>
    <n v="-4655.13"/>
    <s v="83.95000"/>
    <s v="BDT"/>
    <n v="-390798.16"/>
    <n v="-4655.13"/>
    <s v="4655.13_1"/>
    <s v=""/>
    <s v="C3142LVPE10632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1081"/>
    <x v="138"/>
    <d v="2021-03-17T00:00:00"/>
    <d v="2021-03-23T00:00:00"/>
    <s v="RV"/>
    <s v="USD"/>
    <n v="-4654.5600000000004"/>
    <s v="83.95000"/>
    <s v="BDT"/>
    <n v="-390750.31"/>
    <n v="-4654.5600000000004"/>
    <s v="4654.56_1"/>
    <s v=""/>
    <s v="C3251LVKR0313-21"/>
    <s v="20210317"/>
    <s v=""/>
    <s v=""/>
    <s v="0"/>
    <s v=""/>
    <s v=""/>
    <s v=""/>
    <s v=""/>
    <s v="2010100001"/>
    <s v=""/>
    <m/>
    <s v=""/>
    <s v=""/>
    <s v=""/>
    <n v="0"/>
  </r>
  <r>
    <s v=""/>
    <s v="40101001"/>
    <s v="2018000770"/>
    <x v="188"/>
    <d v="2021-01-01T00:00:00"/>
    <d v="2021-01-06T00:00:00"/>
    <s v="RV"/>
    <s v="USD"/>
    <n v="-4653.3599999999997"/>
    <s v="83.95000"/>
    <s v="BDT"/>
    <n v="-390649.58"/>
    <n v="-4653.3599999999997"/>
    <s v="4653.36_1"/>
    <s v=""/>
    <s v="C3219LVUS139120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0523"/>
    <x v="265"/>
    <d v="2020-11-21T00:00:00"/>
    <d v="2020-11-24T00:00:00"/>
    <s v="RV"/>
    <s v="USD"/>
    <n v="-4641.6000000000004"/>
    <s v="83.95000"/>
    <s v="BDT"/>
    <n v="-389662.32"/>
    <n v="-4641.6000000000004"/>
    <s v="4641.6_1"/>
    <s v=""/>
    <s v="C3147LVMY115820"/>
    <s v="20201121"/>
    <s v=""/>
    <s v=""/>
    <s v="0"/>
    <s v=""/>
    <s v=""/>
    <s v=""/>
    <s v=""/>
    <s v="2010100001"/>
    <s v=""/>
    <m/>
    <s v=""/>
    <s v=""/>
    <s v=""/>
    <n v="0"/>
  </r>
  <r>
    <s v=""/>
    <s v="40101001"/>
    <s v="2018001300"/>
    <x v="15"/>
    <d v="2021-05-04T00:00:00"/>
    <d v="2021-05-09T00:00:00"/>
    <s v="RV"/>
    <s v="USD"/>
    <n v="-4639.62"/>
    <s v="83.95000"/>
    <s v="BDT"/>
    <n v="-389496.1"/>
    <n v="-4639.62"/>
    <s v="4639.62_1"/>
    <s v=""/>
    <s v="C3286LVTR0566-21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693"/>
    <x v="214"/>
    <d v="2020-12-01T00:00:00"/>
    <d v="2020-12-24T00:00:00"/>
    <s v="RV"/>
    <s v="USD"/>
    <n v="-4636.32"/>
    <s v="83.95000"/>
    <s v="BDT"/>
    <n v="-389219.06"/>
    <n v="-4636.32"/>
    <s v="4636.32_1"/>
    <s v=""/>
    <s v="C3168UQ20TOM1223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1449"/>
    <x v="252"/>
    <d v="2021-06-03T00:00:00"/>
    <d v="2021-06-09T00:00:00"/>
    <s v="RV"/>
    <s v="USD"/>
    <n v="-4633.42"/>
    <s v="83.95000"/>
    <s v="BDT"/>
    <n v="-388975.61"/>
    <n v="-4633.42"/>
    <s v="4633.42_1"/>
    <s v=""/>
    <s v="C3308UQ21EU0663"/>
    <s v="20210603"/>
    <s v=""/>
    <s v=""/>
    <s v="0"/>
    <s v=""/>
    <s v=""/>
    <s v=""/>
    <s v=""/>
    <s v="2010100001"/>
    <s v=""/>
    <m/>
    <s v=""/>
    <s v=""/>
    <s v=""/>
    <n v="0"/>
  </r>
  <r>
    <s v=""/>
    <s v="40101012"/>
    <s v="2008000050"/>
    <x v="184"/>
    <d v="2020-09-30T00:00:00"/>
    <d v="2020-10-10T00:00:00"/>
    <s v="DR"/>
    <s v="USD"/>
    <n v="-4632.3999999999996"/>
    <s v="83.95000"/>
    <s v="BDT"/>
    <n v="-388889.98"/>
    <n v="-4632.3999999999996"/>
    <s v="4632.4_1"/>
    <s v=""/>
    <s v="CIPL-MSGL-212-20"/>
    <s v="CIPL-MSGL-212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011"/>
    <x v="128"/>
    <d v="2020-07-06T00:00:00"/>
    <d v="2020-07-13T00:00:00"/>
    <s v="RV"/>
    <s v="USD"/>
    <n v="-4627.54"/>
    <s v="83.95000"/>
    <s v="BDT"/>
    <n v="-388481.98"/>
    <n v="-4627.54"/>
    <s v="4627.54_1"/>
    <s v=""/>
    <s v="C3060LVGR059620"/>
    <s v="20200706"/>
    <s v=""/>
    <s v=""/>
    <s v="0"/>
    <s v=""/>
    <s v=""/>
    <s v=""/>
    <s v=""/>
    <s v="2010100001"/>
    <s v=""/>
    <m/>
    <s v=""/>
    <s v=""/>
    <s v=""/>
    <n v="0"/>
  </r>
  <r>
    <s v=""/>
    <s v="40101001"/>
    <s v="2018001586"/>
    <x v="247"/>
    <d v="2021-06-22T00:00:00"/>
    <d v="2021-06-26T00:00:00"/>
    <s v="RV"/>
    <s v="USD"/>
    <n v="-4612.1000000000004"/>
    <s v="83.95000"/>
    <s v="BDT"/>
    <n v="-387185.8"/>
    <n v="-4612.1000000000004"/>
    <s v="4612.1_1"/>
    <s v=""/>
    <s v="C3329UQ21VN0820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1255"/>
    <x v="232"/>
    <d v="2021-04-21T00:00:00"/>
    <d v="2021-04-27T00:00:00"/>
    <s v="RV"/>
    <s v="USD"/>
    <n v="-4609.9799999999996"/>
    <s v="83.95000"/>
    <s v="BDT"/>
    <n v="-387007.82"/>
    <n v="-4609.9799999999996"/>
    <s v="4609.98_1"/>
    <s v=""/>
    <s v="C3281LVMX0474-21"/>
    <s v="20210421"/>
    <s v=""/>
    <s v=""/>
    <s v="0"/>
    <s v=""/>
    <s v=""/>
    <s v=""/>
    <s v=""/>
    <s v="2010100001"/>
    <s v=""/>
    <m/>
    <s v=""/>
    <s v=""/>
    <s v=""/>
    <n v="0"/>
  </r>
  <r>
    <s v=""/>
    <s v="40101001"/>
    <s v="2018000153"/>
    <x v="305"/>
    <d v="2020-08-18T00:00:00"/>
    <d v="2020-08-25T00:00:00"/>
    <s v="RV"/>
    <s v="USD"/>
    <n v="-4608.75"/>
    <s v="83.95000"/>
    <s v="BDT"/>
    <n v="-386904.56"/>
    <n v="-4608.75"/>
    <s v="4608.75_1"/>
    <s v=""/>
    <s v="C3132UQ20SHA0736"/>
    <s v="20200818"/>
    <s v=""/>
    <s v=""/>
    <s v="0"/>
    <s v=""/>
    <s v=""/>
    <s v=""/>
    <s v=""/>
    <s v="2010100001"/>
    <s v=""/>
    <m/>
    <s v=""/>
    <s v=""/>
    <s v=""/>
    <n v="0"/>
  </r>
  <r>
    <s v=""/>
    <s v="40101001"/>
    <s v="2008000274"/>
    <x v="150"/>
    <d v="2021-06-01T00:00:00"/>
    <d v="2021-06-23T00:00:00"/>
    <s v="DR"/>
    <s v="USD"/>
    <n v="-4605"/>
    <s v="83.95000"/>
    <s v="BDT"/>
    <n v="-386589.75"/>
    <n v="-4605"/>
    <s v="4605_1"/>
    <s v=""/>
    <s v="SC3327LVUS05321"/>
    <s v="SC3327LVUS05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413"/>
    <x v="194"/>
    <d v="2021-05-21T00:00:00"/>
    <d v="2021-05-26T00:00:00"/>
    <s v="RV"/>
    <s v="USD"/>
    <n v="-4593.7700000000004"/>
    <s v="83.95000"/>
    <s v="BDT"/>
    <n v="-385646.99"/>
    <n v="-4593.7700000000004"/>
    <s v="4593.77_1"/>
    <s v=""/>
    <s v="C3286LVGR0564-21"/>
    <s v="20210521"/>
    <s v=""/>
    <s v=""/>
    <s v="0"/>
    <s v=""/>
    <s v=""/>
    <s v=""/>
    <s v=""/>
    <s v="2010100001"/>
    <s v=""/>
    <m/>
    <s v=""/>
    <s v=""/>
    <s v=""/>
    <n v="0"/>
  </r>
  <r>
    <s v=""/>
    <s v="40101001"/>
    <s v="2018001605"/>
    <x v="93"/>
    <d v="2021-06-29T00:00:00"/>
    <d v="2021-06-30T00:00:00"/>
    <s v="RV"/>
    <s v="USD"/>
    <n v="-4581.8"/>
    <s v="83.95000"/>
    <s v="BDT"/>
    <n v="-384642.11"/>
    <n v="-4581.8"/>
    <s v="4581.8_1"/>
    <s v=""/>
    <s v="C3335LVMX0879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1565"/>
    <x v="75"/>
    <d v="2021-06-17T00:00:00"/>
    <d v="2021-06-24T00:00:00"/>
    <s v="RV"/>
    <s v="USD"/>
    <n v="-4581.0200000000004"/>
    <s v="83.95000"/>
    <s v="BDT"/>
    <n v="-384576.63"/>
    <n v="-4581.0200000000004"/>
    <s v="4581.02_1"/>
    <s v=""/>
    <s v="C3335LVUS0786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1385"/>
    <x v="287"/>
    <d v="2021-05-18T00:00:00"/>
    <d v="2021-05-20T00:00:00"/>
    <s v="RV"/>
    <s v="USD"/>
    <n v="-4554.58"/>
    <s v="83.95000"/>
    <s v="BDT"/>
    <n v="-382356.99"/>
    <n v="-4554.58"/>
    <s v="4554.58_1"/>
    <s v=""/>
    <s v="C3286LVTR0621-21"/>
    <s v="20210518"/>
    <s v=""/>
    <s v=""/>
    <s v="0"/>
    <s v=""/>
    <s v=""/>
    <s v=""/>
    <s v=""/>
    <s v="2010100001"/>
    <s v=""/>
    <m/>
    <s v=""/>
    <s v=""/>
    <s v=""/>
    <n v="0"/>
  </r>
  <r>
    <s v=""/>
    <s v="40101001"/>
    <s v="2018001612"/>
    <x v="93"/>
    <d v="2021-06-29T00:00:00"/>
    <d v="2021-07-04T00:00:00"/>
    <s v="RV"/>
    <s v="USD"/>
    <n v="-4554.16"/>
    <s v="83.95000"/>
    <s v="BDT"/>
    <n v="-382321.73"/>
    <n v="-4554.16"/>
    <s v="4554.16_1"/>
    <s v=""/>
    <s v="C3335LVPE0851-21"/>
    <s v="20210629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4549.82"/>
    <s v="83.95000"/>
    <s v="BDT"/>
    <n v="-381957.39"/>
    <n v="-4549.82"/>
    <s v="4549.82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433"/>
    <x v="205"/>
    <d v="2021-05-28T00:00:00"/>
    <d v="2021-06-01T00:00:00"/>
    <s v="RV"/>
    <s v="USD"/>
    <n v="-4535.24"/>
    <s v="83.95000"/>
    <s v="BDT"/>
    <n v="-380733.4"/>
    <n v="-4535.24"/>
    <s v="4535.24_1"/>
    <s v=""/>
    <s v="C3329UQ21TOR0659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18000917"/>
    <x v="208"/>
    <d v="2021-02-04T00:00:00"/>
    <d v="2021-02-10T00:00:00"/>
    <s v="RV"/>
    <s v="USD"/>
    <n v="-4533.68"/>
    <s v="83.95000"/>
    <s v="BDT"/>
    <n v="-380602.44"/>
    <n v="-4533.68"/>
    <s v="4533.68_1"/>
    <s v=""/>
    <s v="C3291UQ21TW0153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921"/>
    <x v="299"/>
    <d v="2021-02-01T00:00:00"/>
    <d v="2021-02-11T00:00:00"/>
    <s v="RV"/>
    <s v="USD"/>
    <n v="-4528.1499999999996"/>
    <s v="83.95000"/>
    <s v="BDT"/>
    <n v="-380138.19"/>
    <n v="-4528.1499999999996"/>
    <s v="4528.15_1"/>
    <s v=""/>
    <s v="C3143LVGR0133-21"/>
    <s v="20210201"/>
    <s v=""/>
    <s v=""/>
    <s v="0"/>
    <s v=""/>
    <s v=""/>
    <s v=""/>
    <s v=""/>
    <s v="2010100001"/>
    <s v=""/>
    <m/>
    <s v=""/>
    <s v=""/>
    <s v=""/>
    <n v="0"/>
  </r>
  <r>
    <s v=""/>
    <s v="40101001"/>
    <s v="2018000556"/>
    <x v="164"/>
    <d v="2020-11-24T00:00:00"/>
    <d v="2020-11-28T00:00:00"/>
    <s v="RV"/>
    <s v="USD"/>
    <n v="-4515.66"/>
    <s v="83.95000"/>
    <s v="BDT"/>
    <n v="-379089.66"/>
    <n v="-4515.66"/>
    <s v="4515.66_1"/>
    <s v=""/>
    <s v="C3232UQ20KR1213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4497.78"/>
    <s v="83.95000"/>
    <s v="BDT"/>
    <n v="-377588.63"/>
    <n v="-4497.78"/>
    <s v="4497.78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735"/>
    <x v="178"/>
    <d v="2020-12-23T00:00:00"/>
    <d v="2021-01-02T00:00:00"/>
    <s v="RV"/>
    <s v="USD"/>
    <n v="-4495.32"/>
    <s v="83.95000"/>
    <s v="BDT"/>
    <n v="-377382.11"/>
    <n v="-4495.32"/>
    <s v="4495.32_1"/>
    <s v=""/>
    <s v="C3233UQ20KR1356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215"/>
    <x v="40"/>
    <d v="2020-09-08T00:00:00"/>
    <d v="2020-09-12T00:00:00"/>
    <s v="RV"/>
    <s v="USD"/>
    <n v="-4491.1899999999996"/>
    <s v="83.95000"/>
    <s v="BDT"/>
    <n v="-377035.4"/>
    <n v="-4491.1899999999996"/>
    <s v="4491.19_1"/>
    <s v=""/>
    <s v="C3159UQ20HAK0790"/>
    <s v="20200908"/>
    <s v=""/>
    <s v=""/>
    <s v="0"/>
    <s v=""/>
    <s v=""/>
    <s v=""/>
    <s v=""/>
    <s v="2010100001"/>
    <s v=""/>
    <m/>
    <s v=""/>
    <s v=""/>
    <s v=""/>
    <n v="0"/>
  </r>
  <r>
    <s v=""/>
    <s v="40101001"/>
    <s v="2018000002"/>
    <x v="0"/>
    <d v="2020-07-04T00:00:00"/>
    <d v="2020-07-06T00:00:00"/>
    <s v="RV"/>
    <s v="USD"/>
    <n v="-4489.95"/>
    <s v="83.95000"/>
    <s v="BDT"/>
    <n v="-376931.3"/>
    <n v="-4489.95"/>
    <s v="4489.95_1"/>
    <s v=""/>
    <s v="C3093UQ20OSA0588"/>
    <s v="20200704"/>
    <s v=""/>
    <s v=""/>
    <s v="0"/>
    <s v=""/>
    <s v=""/>
    <s v=""/>
    <s v=""/>
    <s v="2010100001"/>
    <s v=""/>
    <m/>
    <s v=""/>
    <s v=""/>
    <s v=""/>
    <n v="0"/>
  </r>
  <r>
    <s v=""/>
    <s v="40101001"/>
    <s v="2018001449"/>
    <x v="252"/>
    <d v="2021-06-03T00:00:00"/>
    <d v="2021-06-09T00:00:00"/>
    <s v="RV"/>
    <s v="USD"/>
    <n v="-4473.93"/>
    <s v="83.95000"/>
    <s v="BDT"/>
    <n v="-375586.42"/>
    <n v="-4473.93"/>
    <s v="4473.93_1"/>
    <s v=""/>
    <s v="C3308UQ21EU0663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0000"/>
    <x v="113"/>
    <d v="2020-07-02T00:00:00"/>
    <d v="2020-07-06T00:00:00"/>
    <s v="RV"/>
    <s v="USD"/>
    <n v="-4468.1000000000004"/>
    <s v="83.95000"/>
    <s v="BDT"/>
    <n v="-375097"/>
    <n v="-4468.1000000000004"/>
    <s v="4468.1_1"/>
    <s v=""/>
    <s v="C3084LVGR058220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0559"/>
    <x v="279"/>
    <d v="2020-11-26T00:00:00"/>
    <d v="2020-11-30T00:00:00"/>
    <s v="RV"/>
    <s v="USD"/>
    <n v="-4463.8999999999996"/>
    <s v="83.95000"/>
    <s v="BDT"/>
    <n v="-374744.41"/>
    <n v="-4463.8999999999996"/>
    <s v="4463.9_1"/>
    <s v=""/>
    <s v="C3147LVCL117120"/>
    <s v="20201126"/>
    <s v=""/>
    <s v=""/>
    <s v="0"/>
    <s v=""/>
    <s v=""/>
    <s v=""/>
    <s v=""/>
    <s v="2010100001"/>
    <s v=""/>
    <m/>
    <s v=""/>
    <s v=""/>
    <s v=""/>
    <n v="0"/>
  </r>
  <r>
    <s v=""/>
    <s v="40101001"/>
    <s v="2018001480"/>
    <x v="152"/>
    <d v="2021-06-07T00:00:00"/>
    <d v="2021-06-12T00:00:00"/>
    <s v="RV"/>
    <s v="USD"/>
    <n v="-4441.8999999999996"/>
    <s v="83.95000"/>
    <s v="BDT"/>
    <n v="-372897.5"/>
    <n v="-4441.8999999999996"/>
    <s v="4441.9_1"/>
    <s v=""/>
    <s v="C3308UQ21TOR0666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597"/>
    <x v="27"/>
    <d v="2020-11-30T00:00:00"/>
    <d v="2020-12-07T00:00:00"/>
    <s v="RV"/>
    <s v="USD"/>
    <n v="-4432.3999999999996"/>
    <s v="83.95000"/>
    <s v="BDT"/>
    <n v="-372099.98"/>
    <n v="-4432.3999999999996"/>
    <s v="4432.4_1"/>
    <s v=""/>
    <s v="C3145LVCA122320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4427.45"/>
    <s v="83.95000"/>
    <s v="BDT"/>
    <n v="-371684.43"/>
    <n v="-4427.45"/>
    <s v="4427.45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597"/>
    <x v="27"/>
    <d v="2020-11-30T00:00:00"/>
    <d v="2020-12-07T00:00:00"/>
    <s v="RV"/>
    <s v="USD"/>
    <n v="-4426.09"/>
    <s v="83.95000"/>
    <s v="BDT"/>
    <n v="-371570.26"/>
    <n v="-4426.09"/>
    <s v="4426.09_1"/>
    <s v=""/>
    <s v="C3145LVCA122320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1385"/>
    <x v="287"/>
    <d v="2021-05-18T00:00:00"/>
    <d v="2021-05-20T00:00:00"/>
    <s v="RV"/>
    <s v="USD"/>
    <n v="-4393.91"/>
    <s v="83.95000"/>
    <s v="BDT"/>
    <n v="-368868.74"/>
    <n v="-4393.91"/>
    <s v="4393.91_1"/>
    <s v=""/>
    <s v="C3286LVTR0621-21"/>
    <s v="20210518"/>
    <s v=""/>
    <s v=""/>
    <s v="0"/>
    <s v=""/>
    <s v=""/>
    <s v=""/>
    <s v=""/>
    <s v="2010100001"/>
    <s v=""/>
    <m/>
    <s v=""/>
    <s v=""/>
    <s v=""/>
    <n v="0"/>
  </r>
  <r>
    <s v=""/>
    <s v="40101001"/>
    <s v="2018001406"/>
    <x v="157"/>
    <d v="2021-05-19T00:00:00"/>
    <d v="2021-05-24T00:00:00"/>
    <s v="RV"/>
    <s v="USD"/>
    <n v="-4379.47"/>
    <s v="83.95000"/>
    <s v="BDT"/>
    <n v="-367656.51"/>
    <n v="-4379.47"/>
    <s v="4379.47_1"/>
    <s v=""/>
    <s v="C3343UQ21NAG0650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0956"/>
    <x v="99"/>
    <d v="2021-02-11T00:00:00"/>
    <d v="2021-02-16T00:00:00"/>
    <s v="RV"/>
    <s v="USD"/>
    <n v="-4362.12"/>
    <s v="83.95000"/>
    <s v="BDT"/>
    <n v="-366199.98"/>
    <n v="-4362.12"/>
    <s v="4362.12_1"/>
    <s v=""/>
    <s v="C3260UQ21SEN0177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776"/>
    <x v="211"/>
    <d v="2021-01-03T00:00:00"/>
    <d v="2021-01-06T00:00:00"/>
    <s v="RV"/>
    <s v="USD"/>
    <n v="-4334.45"/>
    <s v="83.95000"/>
    <s v="BDT"/>
    <n v="-363877.08"/>
    <n v="-4334.45"/>
    <s v="4334.45_1"/>
    <s v=""/>
    <s v="C3243LVUS1420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776"/>
    <x v="211"/>
    <d v="2021-01-03T00:00:00"/>
    <d v="2021-01-06T00:00:00"/>
    <s v="RV"/>
    <s v="USD"/>
    <n v="-4334.45"/>
    <s v="83.95000"/>
    <s v="BDT"/>
    <n v="-363877.08"/>
    <n v="-4334.45"/>
    <s v="4334.45_2"/>
    <s v=""/>
    <s v="C3243LVUS1420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4326.68"/>
    <s v="83.95000"/>
    <s v="BDT"/>
    <n v="-363224.77"/>
    <n v="-4326.68"/>
    <s v="4326.68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1203"/>
    <x v="220"/>
    <d v="2021-04-08T00:00:00"/>
    <d v="2021-04-12T00:00:00"/>
    <s v="RV"/>
    <s v="USD"/>
    <n v="-4323.62"/>
    <s v="83.95000"/>
    <s v="BDT"/>
    <n v="-362967.9"/>
    <n v="-4323.62"/>
    <s v="4323.62_1"/>
    <s v=""/>
    <s v="C3265LVCL0424-21"/>
    <s v="20210408"/>
    <s v=""/>
    <s v=""/>
    <s v="0"/>
    <s v=""/>
    <s v=""/>
    <s v=""/>
    <s v=""/>
    <s v="2010100001"/>
    <s v=""/>
    <m/>
    <s v=""/>
    <s v=""/>
    <s v=""/>
    <n v="0"/>
  </r>
  <r>
    <s v=""/>
    <s v="40101001"/>
    <s v="2018000628"/>
    <x v="204"/>
    <d v="2020-12-09T00:00:00"/>
    <d v="2020-12-13T00:00:00"/>
    <s v="RV"/>
    <s v="USD"/>
    <n v="-4313.7299999999996"/>
    <s v="83.95000"/>
    <s v="BDT"/>
    <n v="-362137.63"/>
    <n v="-4313.7299999999996"/>
    <s v="4313.73_1"/>
    <s v=""/>
    <s v="C3145LVTR126820"/>
    <s v="20201209"/>
    <s v=""/>
    <s v=""/>
    <s v="0"/>
    <s v=""/>
    <s v=""/>
    <s v=""/>
    <s v=""/>
    <s v="2010100001"/>
    <s v=""/>
    <m/>
    <s v=""/>
    <s v=""/>
    <s v=""/>
    <n v="0"/>
  </r>
  <r>
    <s v=""/>
    <s v="40101001"/>
    <s v="2018000006"/>
    <x v="135"/>
    <d v="2020-07-03T00:00:00"/>
    <d v="2020-07-07T00:00:00"/>
    <s v="RV"/>
    <s v="USD"/>
    <n v="-4284.75"/>
    <s v="83.95000"/>
    <s v="BDT"/>
    <n v="-359704.76"/>
    <n v="-4284.75"/>
    <s v="4284.75_1"/>
    <s v=""/>
    <s v="C3091UQ20MY0579"/>
    <s v="20200703"/>
    <s v=""/>
    <s v=""/>
    <s v="0"/>
    <s v=""/>
    <s v=""/>
    <s v=""/>
    <s v=""/>
    <s v="2010100001"/>
    <s v=""/>
    <m/>
    <s v=""/>
    <s v=""/>
    <s v=""/>
    <n v="0"/>
  </r>
  <r>
    <s v=""/>
    <s v="40101001"/>
    <s v="2018000980"/>
    <x v="72"/>
    <d v="2021-02-16T00:00:00"/>
    <d v="2021-02-22T00:00:00"/>
    <s v="RV"/>
    <s v="USD"/>
    <n v="-4280.7"/>
    <s v="83.95000"/>
    <s v="BDT"/>
    <n v="-359364.77"/>
    <n v="-4280.7"/>
    <s v="4280.7_1"/>
    <s v=""/>
    <s v="C3242LVUS0207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430"/>
    <x v="114"/>
    <d v="2021-05-25T00:00:00"/>
    <d v="2021-06-01T00:00:00"/>
    <s v="RV"/>
    <s v="USD"/>
    <n v="-4279.97"/>
    <s v="83.95000"/>
    <s v="BDT"/>
    <n v="-359303.48"/>
    <n v="-4279.97"/>
    <s v="4279.97_1"/>
    <s v=""/>
    <s v="C3271UQ21OSA0662"/>
    <s v="20210525"/>
    <s v=""/>
    <s v=""/>
    <s v="0"/>
    <s v=""/>
    <s v=""/>
    <s v=""/>
    <s v=""/>
    <s v="2010100001"/>
    <s v=""/>
    <m/>
    <s v=""/>
    <s v=""/>
    <s v=""/>
    <n v="0"/>
  </r>
  <r>
    <s v=""/>
    <s v="40101001"/>
    <s v="2018000934"/>
    <x v="46"/>
    <d v="2021-02-07T00:00:00"/>
    <d v="2021-02-14T00:00:00"/>
    <s v="RV"/>
    <s v="USD"/>
    <n v="-4279.03"/>
    <s v="83.95000"/>
    <s v="BDT"/>
    <n v="-359224.57"/>
    <n v="-4279.03"/>
    <s v="4279.03_1"/>
    <s v=""/>
    <s v="C3260UQ21SEN0167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08000239"/>
    <x v="15"/>
    <d v="2021-05-04T00:00:00"/>
    <d v="2021-05-23T00:00:00"/>
    <s v="DR"/>
    <s v="USD"/>
    <n v="-4273.5"/>
    <s v="83.95000"/>
    <s v="BDT"/>
    <n v="-358760.33"/>
    <n v="-4273.5"/>
    <s v="4273.5_1"/>
    <s v=""/>
    <s v="C3327RSUS0502-21"/>
    <s v="C3327RSUS0502-21"/>
    <s v="Stocklot sales to EDL HK"/>
    <s v=""/>
    <s v="0"/>
    <s v="Stocklot sales to EDL HK"/>
    <s v=""/>
    <s v=""/>
    <s v=""/>
    <s v="2010100001"/>
    <s v=""/>
    <m/>
    <s v=""/>
    <s v=""/>
    <s v=""/>
    <n v="0"/>
  </r>
  <r>
    <s v=""/>
    <s v="40101001"/>
    <s v="2018000337"/>
    <x v="31"/>
    <d v="2020-10-18T00:00:00"/>
    <d v="2020-10-22T00:00:00"/>
    <s v="RV"/>
    <s v="USD"/>
    <n v="-4270.28"/>
    <s v="83.95000"/>
    <s v="BDT"/>
    <n v="-358490.01"/>
    <n v="-4270.28"/>
    <s v="4270.28_1"/>
    <s v=""/>
    <s v="C3131UQ20MEL0981"/>
    <s v="20201018"/>
    <s v=""/>
    <s v=""/>
    <s v="0"/>
    <s v=""/>
    <s v=""/>
    <s v=""/>
    <s v=""/>
    <s v="2010100001"/>
    <s v=""/>
    <m/>
    <s v=""/>
    <s v=""/>
    <s v=""/>
    <n v="0"/>
  </r>
  <r>
    <s v=""/>
    <s v="40101012"/>
    <s v="2008000184"/>
    <x v="143"/>
    <d v="2021-01-31T00:00:00"/>
    <d v="2021-02-08T00:00:00"/>
    <s v="DR"/>
    <s v="USD"/>
    <n v="-4268.25"/>
    <s v="83.95000"/>
    <s v="BDT"/>
    <n v="-358319.59"/>
    <n v="-4268.25"/>
    <s v="4268.25_1"/>
    <s v=""/>
    <s v="CIPL-LAI-001-21"/>
    <s v="CIPL-LAI-001-21"/>
    <s v="Outside wash sales to laila"/>
    <s v=""/>
    <s v="0"/>
    <s v="Outside Wash Rev Jan'21"/>
    <s v=""/>
    <s v=""/>
    <s v=""/>
    <s v=""/>
    <s v=""/>
    <m/>
    <s v=""/>
    <s v=""/>
    <s v=""/>
    <n v="0"/>
  </r>
  <r>
    <s v=""/>
    <s v="40101001"/>
    <s v="2018000577"/>
    <x v="218"/>
    <d v="2020-11-29T00:00:00"/>
    <d v="2020-12-01T00:00:00"/>
    <s v="RV"/>
    <s v="USD"/>
    <n v="-4259.3100000000004"/>
    <s v="83.95000"/>
    <s v="BDT"/>
    <n v="-357569.07"/>
    <n v="-4259.3100000000004"/>
    <s v="4259.31_1"/>
    <s v=""/>
    <s v="C3147LVGR1235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416"/>
    <x v="264"/>
    <d v="2020-10-25T00:00:00"/>
    <d v="2020-11-07T00:00:00"/>
    <s v="RV"/>
    <s v="USD"/>
    <n v="-4252.05"/>
    <s v="83.95000"/>
    <s v="BDT"/>
    <n v="-356959.6"/>
    <n v="-4252.05"/>
    <s v="4252.05_1"/>
    <s v=""/>
    <s v="C03139DN20IR0998"/>
    <s v="20201025"/>
    <s v=""/>
    <s v=""/>
    <s v="0"/>
    <s v=""/>
    <s v=""/>
    <s v=""/>
    <s v=""/>
    <s v="2010100001"/>
    <s v=""/>
    <m/>
    <s v=""/>
    <s v=""/>
    <s v=""/>
    <n v="0"/>
  </r>
  <r>
    <s v=""/>
    <s v="40101001"/>
    <s v="2018000628"/>
    <x v="204"/>
    <d v="2020-12-09T00:00:00"/>
    <d v="2020-12-13T00:00:00"/>
    <s v="RV"/>
    <s v="USD"/>
    <n v="-4246.3"/>
    <s v="83.95000"/>
    <s v="BDT"/>
    <n v="-356476.89"/>
    <n v="-4246.3"/>
    <s v="4246.3_1"/>
    <s v=""/>
    <s v="C3145LVTR126820"/>
    <s v="20201209"/>
    <s v=""/>
    <s v=""/>
    <s v="0"/>
    <s v=""/>
    <s v=""/>
    <s v=""/>
    <s v=""/>
    <s v="2010100001"/>
    <s v=""/>
    <m/>
    <s v=""/>
    <s v=""/>
    <s v=""/>
    <n v="0"/>
  </r>
  <r>
    <s v=""/>
    <s v="40101001"/>
    <s v="2018000543"/>
    <x v="34"/>
    <d v="2020-11-23T00:00:00"/>
    <d v="2020-11-28T00:00:00"/>
    <s v="RV"/>
    <s v="USD"/>
    <n v="-4232.05"/>
    <s v="83.95000"/>
    <s v="BDT"/>
    <n v="-355280.6"/>
    <n v="-4232.05"/>
    <s v="4232.05_1"/>
    <s v=""/>
    <s v="C3142LVPE10632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559"/>
    <x v="279"/>
    <d v="2020-11-26T00:00:00"/>
    <d v="2020-11-30T00:00:00"/>
    <s v="RV"/>
    <s v="USD"/>
    <n v="-4226.25"/>
    <s v="83.95000"/>
    <s v="BDT"/>
    <n v="-354793.69"/>
    <n v="-4226.25"/>
    <s v="4226.25_1"/>
    <s v=""/>
    <s v="C3147LVCL117120"/>
    <s v="20201126"/>
    <s v=""/>
    <s v=""/>
    <s v="0"/>
    <s v=""/>
    <s v=""/>
    <s v=""/>
    <s v=""/>
    <s v="2010100001"/>
    <s v=""/>
    <m/>
    <s v=""/>
    <s v=""/>
    <s v=""/>
    <n v="0"/>
  </r>
  <r>
    <s v=""/>
    <s v="40101001"/>
    <s v="2018000333"/>
    <x v="154"/>
    <d v="2020-10-03T00:00:00"/>
    <d v="2020-10-22T00:00:00"/>
    <s v="RV"/>
    <s v="USD"/>
    <n v="-4220.3999999999996"/>
    <s v="83.95000"/>
    <s v="BDT"/>
    <n v="-354302.57"/>
    <n v="-4220.3999999999996"/>
    <s v="4220.4_1"/>
    <s v=""/>
    <s v="C03139DN20IR0925"/>
    <s v="20201003"/>
    <s v=""/>
    <s v=""/>
    <s v="0"/>
    <s v=""/>
    <s v=""/>
    <s v=""/>
    <s v=""/>
    <s v="2010100001"/>
    <s v=""/>
    <m/>
    <s v=""/>
    <s v=""/>
    <s v=""/>
    <n v="0"/>
  </r>
  <r>
    <s v=""/>
    <s v="40101001"/>
    <s v="2018001403"/>
    <x v="157"/>
    <d v="2021-05-19T00:00:00"/>
    <d v="2021-05-24T00:00:00"/>
    <s v="RV"/>
    <s v="USD"/>
    <n v="-4208.1099999999997"/>
    <s v="83.95000"/>
    <s v="BDT"/>
    <n v="-353270.83"/>
    <n v="-4208.1099999999997"/>
    <s v="4208.11_1"/>
    <s v=""/>
    <s v="C3309UQ21KR0658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0876"/>
    <x v="44"/>
    <d v="2021-01-28T00:00:00"/>
    <d v="2021-02-01T00:00:00"/>
    <s v="RV"/>
    <s v="USD"/>
    <n v="-4204.42"/>
    <s v="83.95000"/>
    <s v="BDT"/>
    <n v="-352961.06"/>
    <n v="-4204.42"/>
    <s v="4204.42_1"/>
    <s v=""/>
    <s v="C3218LVCL0104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1324"/>
    <x v="241"/>
    <d v="2021-05-05T00:00:00"/>
    <d v="2021-05-13T00:00:00"/>
    <s v="RV"/>
    <s v="USD"/>
    <n v="-4196.99"/>
    <s v="83.95000"/>
    <s v="BDT"/>
    <n v="-352337.31"/>
    <n v="-4196.99"/>
    <s v="4196.99_1"/>
    <s v=""/>
    <s v="C3343UQ21NAG0569"/>
    <s v="20210505"/>
    <s v=""/>
    <s v=""/>
    <s v="0"/>
    <s v=""/>
    <s v=""/>
    <s v=""/>
    <s v=""/>
    <s v="2010100001"/>
    <s v=""/>
    <m/>
    <s v=""/>
    <s v=""/>
    <s v=""/>
    <n v="0"/>
  </r>
  <r>
    <s v=""/>
    <s v="40101001"/>
    <s v="2018001408"/>
    <x v="157"/>
    <d v="2021-05-19T00:00:00"/>
    <d v="2021-05-24T00:00:00"/>
    <s v="RV"/>
    <s v="USD"/>
    <n v="-4196.99"/>
    <s v="83.95000"/>
    <s v="BDT"/>
    <n v="-352337.31"/>
    <n v="-4196.99"/>
    <s v="4196.99_2"/>
    <s v=""/>
    <s v="C3343UQ21HAK0649"/>
    <s v="20210519"/>
    <s v=""/>
    <s v=""/>
    <s v="0"/>
    <s v=""/>
    <s v=""/>
    <s v=""/>
    <s v=""/>
    <s v="2010100001"/>
    <s v=""/>
    <m/>
    <s v=""/>
    <s v=""/>
    <s v=""/>
    <n v="0"/>
  </r>
  <r>
    <s v=""/>
    <s v="40101001"/>
    <s v="2018001379"/>
    <x v="162"/>
    <d v="2021-05-15T00:00:00"/>
    <d v="2021-05-20T00:00:00"/>
    <s v="RV"/>
    <s v="USD"/>
    <n v="-4188.78"/>
    <s v="83.95000"/>
    <s v="BDT"/>
    <n v="-351648.08"/>
    <n v="-4188.78"/>
    <s v="4188.78_1"/>
    <s v=""/>
    <s v="C3308UQ21OSA0643"/>
    <s v="20210515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4178.24"/>
    <s v="83.95000"/>
    <s v="BDT"/>
    <n v="-350763.25"/>
    <n v="-4178.24"/>
    <s v="4178.24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073"/>
    <x v="53"/>
    <d v="2020-07-22T00:00:00"/>
    <d v="2020-07-28T00:00:00"/>
    <s v="RV"/>
    <s v="USD"/>
    <n v="-4174.43"/>
    <s v="83.95000"/>
    <s v="BDT"/>
    <n v="-350443.4"/>
    <n v="-4174.43"/>
    <s v="4174.43_1"/>
    <s v=""/>
    <s v="C3131UQ20SHA0662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203"/>
    <x v="220"/>
    <d v="2021-04-08T00:00:00"/>
    <d v="2021-04-12T00:00:00"/>
    <s v="RV"/>
    <s v="USD"/>
    <n v="-4141.62"/>
    <s v="83.95000"/>
    <s v="BDT"/>
    <n v="-347689"/>
    <n v="-4141.62"/>
    <s v="4141.62_1"/>
    <s v=""/>
    <s v="C3265LVCL0424-21"/>
    <s v="20210408"/>
    <s v=""/>
    <s v=""/>
    <s v="0"/>
    <s v=""/>
    <s v=""/>
    <s v=""/>
    <s v=""/>
    <s v="2010100001"/>
    <s v=""/>
    <m/>
    <s v=""/>
    <s v=""/>
    <s v=""/>
    <n v="0"/>
  </r>
  <r>
    <s v=""/>
    <s v="40101001"/>
    <s v="2018000400"/>
    <x v="67"/>
    <d v="2020-10-27T00:00:00"/>
    <d v="2020-11-03T00:00:00"/>
    <s v="RV"/>
    <s v="USD"/>
    <n v="-4135.51"/>
    <s v="83.95000"/>
    <s v="BDT"/>
    <n v="-347176.06"/>
    <n v="-4135.51"/>
    <s v="4135.51_1"/>
    <s v=""/>
    <s v="C3205UQ20SHA1004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1446"/>
    <x v="252"/>
    <d v="2021-06-03T00:00:00"/>
    <d v="2021-06-09T00:00:00"/>
    <s v="RV"/>
    <s v="USD"/>
    <n v="-4134"/>
    <s v="83.95000"/>
    <s v="BDT"/>
    <n v="-347049.3"/>
    <n v="-4134"/>
    <s v="4134_1"/>
    <s v=""/>
    <s v="C3329UQ21IN0724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0628"/>
    <x v="204"/>
    <d v="2020-12-09T00:00:00"/>
    <d v="2020-12-13T00:00:00"/>
    <s v="RV"/>
    <s v="USD"/>
    <n v="-4133.79"/>
    <s v="83.95000"/>
    <s v="BDT"/>
    <n v="-347031.67"/>
    <n v="-4133.79"/>
    <s v="4133.79_1"/>
    <s v=""/>
    <s v="C3145LVTR126820"/>
    <s v="20201209"/>
    <s v=""/>
    <s v=""/>
    <s v="0"/>
    <s v=""/>
    <s v=""/>
    <s v=""/>
    <s v=""/>
    <s v="2010100001"/>
    <s v=""/>
    <m/>
    <s v=""/>
    <s v=""/>
    <s v=""/>
    <n v="0"/>
  </r>
  <r>
    <s v=""/>
    <s v="40101001"/>
    <s v="2018001126"/>
    <x v="301"/>
    <d v="2021-03-20T00:00:00"/>
    <d v="2021-03-31T00:00:00"/>
    <s v="RV"/>
    <s v="USD"/>
    <n v="-4100.5200000000004"/>
    <s v="83.95000"/>
    <s v="BDT"/>
    <n v="-344238.65"/>
    <n v="-4100.5200000000004"/>
    <s v="4100.52_1"/>
    <s v=""/>
    <s v="C3261C&amp;A21GR0349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128"/>
    <x v="301"/>
    <d v="2021-03-20T00:00:00"/>
    <d v="2021-03-31T00:00:00"/>
    <s v="RV"/>
    <s v="USD"/>
    <n v="-4100.5200000000004"/>
    <s v="83.95000"/>
    <s v="BDT"/>
    <n v="-344238.65"/>
    <n v="-4100.5200000000004"/>
    <s v="4100.52_2"/>
    <s v=""/>
    <s v="C3261C&amp;A21GR0351"/>
    <s v="20210320"/>
    <s v=""/>
    <s v=""/>
    <s v="0"/>
    <s v=""/>
    <s v=""/>
    <s v=""/>
    <s v=""/>
    <s v="2010100001"/>
    <s v=""/>
    <m/>
    <s v=""/>
    <s v=""/>
    <s v=""/>
    <n v="0"/>
  </r>
  <r>
    <s v=""/>
    <s v="40101012"/>
    <s v="2008000048"/>
    <x v="184"/>
    <d v="2020-09-30T00:00:00"/>
    <d v="2020-10-10T00:00:00"/>
    <s v="DR"/>
    <s v="USD"/>
    <n v="-4094.48"/>
    <s v="83.95000"/>
    <s v="BDT"/>
    <n v="-343731.6"/>
    <n v="-4094.48"/>
    <s v="4094.48_1"/>
    <s v=""/>
    <s v="CIPL-MSGL-210-20"/>
    <s v="CIPL-MSGL-210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076"/>
    <x v="53"/>
    <d v="2020-07-22T00:00:00"/>
    <d v="2020-07-28T00:00:00"/>
    <s v="RV"/>
    <s v="USD"/>
    <n v="-4089.45"/>
    <s v="83.95000"/>
    <s v="BDT"/>
    <n v="-343309.33"/>
    <n v="-4089.45"/>
    <s v="4089.45_1"/>
    <s v=""/>
    <s v="C3150UQ20SHA0670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254"/>
    <x v="81"/>
    <d v="2020-09-16T00:00:00"/>
    <d v="2020-09-24T00:00:00"/>
    <s v="RV"/>
    <s v="USD"/>
    <n v="-4087.29"/>
    <s v="83.95000"/>
    <s v="BDT"/>
    <n v="-343127.99"/>
    <n v="-4087.29"/>
    <s v="4087.29_1"/>
    <s v=""/>
    <s v="C3099LVUS085320"/>
    <s v="20200916"/>
    <s v=""/>
    <s v=""/>
    <s v="0"/>
    <s v=""/>
    <s v=""/>
    <s v=""/>
    <s v=""/>
    <s v="2010100001"/>
    <s v=""/>
    <m/>
    <s v=""/>
    <s v=""/>
    <s v=""/>
    <n v="0"/>
  </r>
  <r>
    <s v=""/>
    <s v="40101001"/>
    <s v="2018000561"/>
    <x v="14"/>
    <d v="2020-11-25T00:00:00"/>
    <d v="2020-11-30T00:00:00"/>
    <s v="RV"/>
    <s v="USD"/>
    <n v="-4079.96"/>
    <s v="83.95000"/>
    <s v="BDT"/>
    <n v="-342512.64000000001"/>
    <n v="-4079.96"/>
    <s v="4079.96_1"/>
    <s v=""/>
    <s v="C3168UQ20OSA1201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1382"/>
    <x v="56"/>
    <d v="2021-05-13T00:00:00"/>
    <d v="2021-05-20T00:00:00"/>
    <s v="RV"/>
    <s v="USD"/>
    <n v="-4077.13"/>
    <s v="83.95000"/>
    <s v="BDT"/>
    <n v="-342275.06"/>
    <n v="-4077.13"/>
    <s v="4077.13_1"/>
    <s v=""/>
    <s v="C3283LVUS062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434"/>
    <x v="205"/>
    <d v="2021-05-28T00:00:00"/>
    <d v="2021-06-01T00:00:00"/>
    <s v="RV"/>
    <s v="USD"/>
    <n v="-4074.03"/>
    <s v="83.95000"/>
    <s v="BDT"/>
    <n v="-342014.81"/>
    <n v="-4074.03"/>
    <s v="4074.03_1"/>
    <s v=""/>
    <s v="C3329UQ21TOR0607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18001296"/>
    <x v="48"/>
    <d v="2021-04-20T00:00:00"/>
    <d v="2021-05-07T00:00:00"/>
    <s v="RV"/>
    <s v="USD"/>
    <n v="-4052.26"/>
    <s v="83.95000"/>
    <s v="BDT"/>
    <n v="-340187.23"/>
    <n v="-4052.26"/>
    <s v="4052.26_1"/>
    <s v=""/>
    <s v="C3308UQ21KR0471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0037"/>
    <x v="105"/>
    <d v="2020-07-13T00:00:00"/>
    <d v="2020-07-18T00:00:00"/>
    <s v="RV"/>
    <s v="USD"/>
    <n v="-4045.4"/>
    <s v="83.95000"/>
    <s v="BDT"/>
    <n v="-339611.33"/>
    <n v="-4045.4"/>
    <s v="4045.4_1"/>
    <s v=""/>
    <s v="C3128UQ20SEN0616"/>
    <s v="20200713"/>
    <s v=""/>
    <s v=""/>
    <s v="0"/>
    <s v=""/>
    <s v=""/>
    <s v=""/>
    <s v=""/>
    <s v="2010100001"/>
    <s v=""/>
    <m/>
    <s v=""/>
    <s v=""/>
    <s v=""/>
    <n v="0"/>
  </r>
  <r>
    <s v=""/>
    <s v="40101001"/>
    <s v="2018001183"/>
    <x v="83"/>
    <d v="2021-03-30T00:00:00"/>
    <d v="2021-04-04T00:00:00"/>
    <s v="RV"/>
    <s v="USD"/>
    <n v="-4034.82"/>
    <s v="83.95000"/>
    <s v="BDT"/>
    <n v="-338723.14"/>
    <n v="-4034.82"/>
    <s v="4034.82_1"/>
    <s v=""/>
    <s v="C3173AMZJP0374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0783"/>
    <x v="211"/>
    <d v="2021-01-03T00:00:00"/>
    <d v="2021-01-07T00:00:00"/>
    <s v="RV"/>
    <s v="USD"/>
    <n v="-4028.94"/>
    <s v="83.95000"/>
    <s v="BDT"/>
    <n v="-338229.51"/>
    <n v="-4028.94"/>
    <s v="4028.94_1"/>
    <s v=""/>
    <s v="C3141LVPE1394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605"/>
    <x v="193"/>
    <d v="2020-12-03T00:00:00"/>
    <d v="2020-12-09T00:00:00"/>
    <s v="RV"/>
    <s v="USD"/>
    <n v="-4023.74"/>
    <s v="83.95000"/>
    <s v="BDT"/>
    <n v="-337792.97"/>
    <n v="-4023.74"/>
    <s v="4023.74_1"/>
    <s v=""/>
    <s v="C3102LVUS1224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154"/>
    <x v="305"/>
    <d v="2020-08-18T00:00:00"/>
    <d v="2020-08-25T00:00:00"/>
    <s v="RV"/>
    <s v="USD"/>
    <n v="-4014.07"/>
    <s v="83.95000"/>
    <s v="BDT"/>
    <n v="-336981.18"/>
    <n v="-4014.07"/>
    <s v="4014.07_1"/>
    <s v=""/>
    <s v="C3132UQ20SHA0737"/>
    <s v="20200818"/>
    <s v=""/>
    <s v=""/>
    <s v="0"/>
    <s v=""/>
    <s v=""/>
    <s v=""/>
    <s v=""/>
    <s v="2010100001"/>
    <s v=""/>
    <m/>
    <s v=""/>
    <s v=""/>
    <s v=""/>
    <n v="0"/>
  </r>
  <r>
    <s v=""/>
    <s v="40101001"/>
    <s v="2018001183"/>
    <x v="83"/>
    <d v="2021-03-30T00:00:00"/>
    <d v="2021-04-04T00:00:00"/>
    <s v="RV"/>
    <s v="USD"/>
    <n v="-4012.6"/>
    <s v="83.95000"/>
    <s v="BDT"/>
    <n v="-336857.77"/>
    <n v="-4012.6"/>
    <s v="4012.6_1"/>
    <s v=""/>
    <s v="C3173AMZJP0374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1303"/>
    <x v="241"/>
    <d v="2021-05-05T00:00:00"/>
    <d v="2021-05-09T00:00:00"/>
    <s v="RV"/>
    <s v="USD"/>
    <n v="-3996.27"/>
    <s v="83.95000"/>
    <s v="BDT"/>
    <n v="-335486.87"/>
    <n v="-3996.27"/>
    <s v="3996.27_1"/>
    <s v=""/>
    <s v="C3343UQ21MY0579"/>
    <s v="20210505"/>
    <s v=""/>
    <s v=""/>
    <s v="0"/>
    <s v=""/>
    <s v=""/>
    <s v=""/>
    <s v=""/>
    <s v="2010100001"/>
    <s v=""/>
    <m/>
    <s v=""/>
    <s v=""/>
    <s v=""/>
    <n v="0"/>
  </r>
  <r>
    <s v=""/>
    <s v="40101001"/>
    <s v="2018000200"/>
    <x v="298"/>
    <d v="2020-09-01T00:00:00"/>
    <d v="2020-09-08T00:00:00"/>
    <s v="RV"/>
    <s v="USD"/>
    <n v="-3980.24"/>
    <s v="83.95000"/>
    <s v="BDT"/>
    <n v="-334141.15000000002"/>
    <n v="-3980.24"/>
    <s v="3980.24_1"/>
    <s v=""/>
    <s v="C3136UQ20SEN0764"/>
    <s v="20200901"/>
    <s v=""/>
    <s v=""/>
    <s v="0"/>
    <s v=""/>
    <s v=""/>
    <s v=""/>
    <s v=""/>
    <s v="2010100001"/>
    <s v=""/>
    <m/>
    <s v=""/>
    <s v=""/>
    <s v=""/>
    <n v="0"/>
  </r>
  <r>
    <s v=""/>
    <s v="40101001"/>
    <s v="2018001457"/>
    <x v="202"/>
    <d v="2021-06-06T00:00:00"/>
    <d v="2021-06-09T00:00:00"/>
    <s v="RV"/>
    <s v="USD"/>
    <n v="-3974.33"/>
    <s v="83.95000"/>
    <s v="BDT"/>
    <n v="-333645"/>
    <n v="-3974.33"/>
    <s v="3974.33_1"/>
    <s v=""/>
    <s v="C3308UQ21TOM0754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1097"/>
    <x v="301"/>
    <d v="2021-03-20T00:00:00"/>
    <d v="2021-03-24T00:00:00"/>
    <s v="RV"/>
    <s v="USD"/>
    <n v="-3967.38"/>
    <s v="83.95000"/>
    <s v="BDT"/>
    <n v="-333061.55"/>
    <n v="-3967.38"/>
    <s v="3967.38_1"/>
    <s v=""/>
    <s v="C3261C&amp;A21GR0337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099"/>
    <x v="301"/>
    <d v="2021-03-20T00:00:00"/>
    <d v="2021-03-24T00:00:00"/>
    <s v="RV"/>
    <s v="USD"/>
    <n v="-3967.38"/>
    <s v="83.95000"/>
    <s v="BDT"/>
    <n v="-333061.55"/>
    <n v="-3967.38"/>
    <s v="3967.38_2"/>
    <s v=""/>
    <s v="C3261C&amp;A21GR0339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120"/>
    <x v="301"/>
    <d v="2021-03-20T00:00:00"/>
    <d v="2021-03-31T00:00:00"/>
    <s v="RV"/>
    <s v="USD"/>
    <n v="-3967.38"/>
    <s v="83.95000"/>
    <s v="BDT"/>
    <n v="-333061.55"/>
    <n v="-3967.38"/>
    <s v="3967.38_3"/>
    <s v=""/>
    <s v="C3261C&amp;A21GR0343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093"/>
    <x v="301"/>
    <d v="2021-03-20T00:00:00"/>
    <d v="2021-03-24T00:00:00"/>
    <s v="RV"/>
    <s v="USD"/>
    <n v="-3967.02"/>
    <s v="83.95000"/>
    <s v="BDT"/>
    <n v="-333031.33"/>
    <n v="-3967.02"/>
    <s v="3967.02_1"/>
    <s v=""/>
    <s v="C3261C&amp;A21GR0333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095"/>
    <x v="301"/>
    <d v="2021-03-20T00:00:00"/>
    <d v="2021-03-24T00:00:00"/>
    <s v="RV"/>
    <s v="USD"/>
    <n v="-3967.02"/>
    <s v="83.95000"/>
    <s v="BDT"/>
    <n v="-333031.33"/>
    <n v="-3967.02"/>
    <s v="3967.02_2"/>
    <s v=""/>
    <s v="C3261C&amp;A21GR0335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118"/>
    <x v="301"/>
    <d v="2021-03-20T00:00:00"/>
    <d v="2021-03-31T00:00:00"/>
    <s v="RV"/>
    <s v="USD"/>
    <n v="-3967.02"/>
    <s v="83.95000"/>
    <s v="BDT"/>
    <n v="-333031.33"/>
    <n v="-3967.02"/>
    <s v="3967.02_3"/>
    <s v=""/>
    <s v="C3261C&amp;A21GR0341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277"/>
    <x v="71"/>
    <d v="2021-04-28T00:00:00"/>
    <d v="2021-05-06T00:00:00"/>
    <s v="RV"/>
    <s v="USD"/>
    <n v="-3963.33"/>
    <s v="83.95000"/>
    <s v="BDT"/>
    <n v="-332721.55"/>
    <n v="-3963.33"/>
    <s v="3963.33_1"/>
    <s v=""/>
    <s v="C3343UQ21OSA0512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3961.12"/>
    <s v="83.95000"/>
    <s v="BDT"/>
    <n v="-332536.02"/>
    <n v="-3961.12"/>
    <s v="3961.12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3950.61"/>
    <s v="83.95000"/>
    <s v="BDT"/>
    <n v="-331653.71000000002"/>
    <n v="-3950.61"/>
    <s v="3950.61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017"/>
    <x v="210"/>
    <d v="2020-07-08T00:00:00"/>
    <d v="2020-07-15T00:00:00"/>
    <s v="RV"/>
    <s v="USD"/>
    <n v="-3944.24"/>
    <s v="83.95000"/>
    <s v="BDT"/>
    <n v="-331118.95"/>
    <n v="-3944.24"/>
    <s v="3944.24_1"/>
    <s v=""/>
    <s v="C3067LVGR0594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1235"/>
    <x v="125"/>
    <d v="2021-04-17T00:00:00"/>
    <d v="2021-04-22T00:00:00"/>
    <s v="RV"/>
    <s v="USD"/>
    <n v="-3938.19"/>
    <s v="83.95000"/>
    <s v="BDT"/>
    <n v="-330611.03999999998"/>
    <n v="-3938.19"/>
    <s v="3938.19_1"/>
    <s v=""/>
    <s v="C3192AMZPL044421"/>
    <s v="20210417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3930.91"/>
    <s v="83.95000"/>
    <s v="BDT"/>
    <n v="-329999.89"/>
    <n v="-3930.91"/>
    <s v="3930.91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672"/>
    <x v="79"/>
    <d v="2020-12-18T00:00:00"/>
    <d v="2020-12-22T00:00:00"/>
    <s v="RV"/>
    <s v="USD"/>
    <n v="-3927.96"/>
    <s v="83.95000"/>
    <s v="BDT"/>
    <n v="-329752.24"/>
    <n v="-3927.96"/>
    <s v="3927.96_1"/>
    <s v=""/>
    <s v="C3247UQ20HAK1342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72"/>
    <x v="79"/>
    <d v="2020-12-18T00:00:00"/>
    <d v="2020-12-22T00:00:00"/>
    <s v="RV"/>
    <s v="USD"/>
    <n v="-3927.96"/>
    <s v="83.95000"/>
    <s v="BDT"/>
    <n v="-329752.24"/>
    <n v="-3927.96"/>
    <s v="3927.96_2"/>
    <s v=""/>
    <s v="C3247UQ20HAK1342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043"/>
    <x v="275"/>
    <d v="2020-07-14T00:00:00"/>
    <d v="2020-07-20T00:00:00"/>
    <s v="RV"/>
    <s v="USD"/>
    <n v="-3924.32"/>
    <s v="83.95000"/>
    <s v="BDT"/>
    <n v="-329446.67"/>
    <n v="-3924.32"/>
    <s v="3924.32_1"/>
    <s v=""/>
    <s v="C3064LVUS062020"/>
    <s v="20200714"/>
    <s v=""/>
    <s v=""/>
    <s v="0"/>
    <s v=""/>
    <s v=""/>
    <s v=""/>
    <s v=""/>
    <s v="2010100001"/>
    <s v=""/>
    <m/>
    <s v=""/>
    <s v=""/>
    <s v=""/>
    <n v="0"/>
  </r>
  <r>
    <s v=""/>
    <s v="40101001"/>
    <s v="2018000986"/>
    <x v="72"/>
    <d v="2021-02-16T00:00:00"/>
    <d v="2021-02-24T00:00:00"/>
    <s v="RV"/>
    <s v="USD"/>
    <n v="-3908.24"/>
    <s v="83.95000"/>
    <s v="BDT"/>
    <n v="-328096.75"/>
    <n v="-3908.24"/>
    <s v="3908.24_1"/>
    <s v=""/>
    <s v="C3100LVMX0205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711"/>
    <x v="9"/>
    <d v="2020-12-24T00:00:00"/>
    <d v="2020-12-30T00:00:00"/>
    <s v="RV"/>
    <s v="USD"/>
    <n v="-3880.78"/>
    <s v="83.95000"/>
    <s v="BDT"/>
    <n v="-325791.48"/>
    <n v="-3880.78"/>
    <s v="3880.78_1"/>
    <s v=""/>
    <s v="C3145LVTR1299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712"/>
    <x v="9"/>
    <d v="2020-12-24T00:00:00"/>
    <d v="2020-12-30T00:00:00"/>
    <s v="RV"/>
    <s v="USD"/>
    <n v="-3880.78"/>
    <s v="83.95000"/>
    <s v="BDT"/>
    <n v="-325791.48"/>
    <n v="-3880.78"/>
    <s v="3880.78_2"/>
    <s v=""/>
    <s v="C3143LVTR1355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3879.62"/>
    <s v="83.95000"/>
    <s v="BDT"/>
    <n v="-325694.09999999998"/>
    <n v="-3879.62"/>
    <s v="3879.62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1238"/>
    <x v="222"/>
    <d v="2021-04-16T00:00:00"/>
    <d v="2021-04-22T00:00:00"/>
    <s v="RV"/>
    <s v="USD"/>
    <n v="-3876.31"/>
    <s v="83.95000"/>
    <s v="BDT"/>
    <n v="-325416.21999999997"/>
    <n v="-3876.31"/>
    <s v="3876.31_1"/>
    <s v=""/>
    <s v="C3217UQ21EU0457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0095"/>
    <x v="53"/>
    <d v="2020-07-22T00:00:00"/>
    <d v="2020-08-06T00:00:00"/>
    <s v="RV"/>
    <s v="USD"/>
    <n v="-3876.26"/>
    <s v="83.95000"/>
    <s v="BDT"/>
    <n v="-325412.03000000003"/>
    <n v="-3876.26"/>
    <s v="3876.26_1"/>
    <s v=""/>
    <s v="C3131UQ20YAN0664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508"/>
    <x v="156"/>
    <d v="2021-06-08T00:00:00"/>
    <d v="2021-06-17T00:00:00"/>
    <s v="RV"/>
    <s v="USD"/>
    <n v="-3872.48"/>
    <s v="83.95000"/>
    <s v="BDT"/>
    <n v="-325094.7"/>
    <n v="-3872.48"/>
    <s v="3872.48_1"/>
    <s v=""/>
    <s v="C3289LVMX0746-21"/>
    <s v="20210608"/>
    <s v=""/>
    <s v=""/>
    <s v="0"/>
    <s v=""/>
    <s v=""/>
    <s v=""/>
    <s v=""/>
    <s v="2010100001"/>
    <s v=""/>
    <m/>
    <s v=""/>
    <s v=""/>
    <s v=""/>
    <n v="0"/>
  </r>
  <r>
    <s v=""/>
    <s v="40101001"/>
    <s v="2018000011"/>
    <x v="128"/>
    <d v="2020-07-06T00:00:00"/>
    <d v="2020-07-13T00:00:00"/>
    <s v="RV"/>
    <s v="USD"/>
    <n v="-3865.35"/>
    <s v="83.95000"/>
    <s v="BDT"/>
    <n v="-324496.13"/>
    <n v="-3865.35"/>
    <s v="3865.35_1"/>
    <s v=""/>
    <s v="C3060LVGR059620"/>
    <s v="20200706"/>
    <s v=""/>
    <s v=""/>
    <s v="0"/>
    <s v=""/>
    <s v=""/>
    <s v=""/>
    <s v=""/>
    <s v="2010100001"/>
    <s v=""/>
    <m/>
    <s v=""/>
    <s v=""/>
    <s v=""/>
    <n v="0"/>
  </r>
  <r>
    <s v=""/>
    <s v="40101001"/>
    <s v="2018000956"/>
    <x v="99"/>
    <d v="2021-02-11T00:00:00"/>
    <d v="2021-02-16T00:00:00"/>
    <s v="RV"/>
    <s v="USD"/>
    <n v="-3863.59"/>
    <s v="83.95000"/>
    <s v="BDT"/>
    <n v="-324348.38"/>
    <n v="-3863.59"/>
    <s v="3863.59_1"/>
    <s v=""/>
    <s v="C3260UQ21SEN0177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634"/>
    <x v="225"/>
    <d v="2020-12-08T00:00:00"/>
    <d v="2020-12-13T00:00:00"/>
    <s v="RV"/>
    <s v="USD"/>
    <n v="-3861.34"/>
    <s v="83.95000"/>
    <s v="BDT"/>
    <n v="-324159.49"/>
    <n v="-3861.34"/>
    <s v="3861.34_1"/>
    <s v=""/>
    <s v="C3247UQ20NY1277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576"/>
    <x v="218"/>
    <d v="2020-11-29T00:00:00"/>
    <d v="2020-12-01T00:00:00"/>
    <s v="RV"/>
    <s v="USD"/>
    <n v="-3858.4"/>
    <s v="83.95000"/>
    <s v="BDT"/>
    <n v="-323912.68"/>
    <n v="-3858.4"/>
    <s v="3858.4_1"/>
    <s v=""/>
    <s v="C3147LVGR1234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1211"/>
    <x v="257"/>
    <d v="2021-04-06T00:00:00"/>
    <d v="2021-04-20T00:00:00"/>
    <s v="RV"/>
    <s v="USD"/>
    <n v="-3852.6"/>
    <s v="83.95000"/>
    <s v="BDT"/>
    <n v="-323425.77"/>
    <n v="-3852.6"/>
    <s v="3852.6_1"/>
    <s v=""/>
    <s v="C3262LVMX0427-21"/>
    <s v="20210406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3849.41"/>
    <s v="83.95000"/>
    <s v="BDT"/>
    <n v="-323157.96999999997"/>
    <n v="-3849.41"/>
    <s v="3849.41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3817.57"/>
    <s v="83.95000"/>
    <s v="BDT"/>
    <n v="-320485"/>
    <n v="-3817.57"/>
    <s v="3817.57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274"/>
    <x v="77"/>
    <d v="2020-09-06T00:00:00"/>
    <d v="2020-09-30T00:00:00"/>
    <s v="RV"/>
    <s v="USD"/>
    <n v="-3803.93"/>
    <s v="83.95000"/>
    <s v="BDT"/>
    <n v="-319339.92"/>
    <n v="-3803.93"/>
    <s v="3803.93_1"/>
    <s v=""/>
    <s v="C3155UQ20YAN0821"/>
    <s v="20200906"/>
    <s v=""/>
    <s v=""/>
    <s v="0"/>
    <s v=""/>
    <s v=""/>
    <s v=""/>
    <s v=""/>
    <s v="2010100001"/>
    <s v=""/>
    <m/>
    <s v=""/>
    <s v=""/>
    <s v=""/>
    <n v="0"/>
  </r>
  <r>
    <s v=""/>
    <s v="40101011"/>
    <s v="2008000190"/>
    <x v="158"/>
    <d v="2021-02-28T00:00:00"/>
    <d v="2021-03-07T00:00:00"/>
    <s v="DR"/>
    <s v="USD"/>
    <n v="-3791.78"/>
    <s v="83.95000"/>
    <s v="BDT"/>
    <n v="-318319.93"/>
    <n v="-3791.78"/>
    <s v="3791.78_1"/>
    <s v=""/>
    <s v="CIPL-PGCL-0292-2"/>
    <s v="CIPL-PGCL-0292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0542"/>
    <x v="3"/>
    <d v="2020-11-18T00:00:00"/>
    <d v="2020-11-26T00:00:00"/>
    <s v="RV"/>
    <s v="USD"/>
    <n v="-3790.99"/>
    <s v="83.95000"/>
    <s v="BDT"/>
    <n v="-318253.61"/>
    <n v="-3790.99"/>
    <s v="3790.99_1"/>
    <s v=""/>
    <s v="C3169UQ20KR1172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1315"/>
    <x v="15"/>
    <d v="2021-05-04T00:00:00"/>
    <d v="2021-05-12T00:00:00"/>
    <s v="RV"/>
    <s v="USD"/>
    <n v="-3777.29"/>
    <s v="83.95000"/>
    <s v="BDT"/>
    <n v="-317103.5"/>
    <n v="-3777.29"/>
    <s v="3777.29_1"/>
    <s v=""/>
    <s v="C3343UQ21HAK0541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233"/>
    <x v="222"/>
    <d v="2021-04-16T00:00:00"/>
    <d v="2021-04-22T00:00:00"/>
    <s v="RV"/>
    <s v="USD"/>
    <n v="-3774.6"/>
    <s v="83.95000"/>
    <s v="BDT"/>
    <n v="-316877.67"/>
    <n v="-3774.6"/>
    <s v="3774.6_1"/>
    <s v=""/>
    <s v="C3343UQ21HAK0460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0150"/>
    <x v="55"/>
    <d v="2020-08-19T00:00:00"/>
    <d v="2020-08-22T00:00:00"/>
    <s v="RV"/>
    <s v="USD"/>
    <n v="-3772.53"/>
    <s v="83.95000"/>
    <s v="BDT"/>
    <n v="-316703.89"/>
    <n v="-3772.53"/>
    <s v="3772.53_1"/>
    <s v=""/>
    <s v="C3084LVGR0755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0946"/>
    <x v="285"/>
    <d v="2021-02-09T00:00:00"/>
    <d v="2021-02-16T00:00:00"/>
    <s v="RV"/>
    <s v="USD"/>
    <n v="-3766.42"/>
    <s v="83.95000"/>
    <s v="BDT"/>
    <n v="-316190.96000000002"/>
    <n v="-3766.42"/>
    <s v="3766.42_1"/>
    <s v=""/>
    <s v="C3211LVUS0174-21"/>
    <s v="20210209"/>
    <s v=""/>
    <s v=""/>
    <s v="0"/>
    <s v=""/>
    <s v=""/>
    <s v=""/>
    <s v=""/>
    <s v="2010100001"/>
    <s v=""/>
    <m/>
    <s v=""/>
    <s v=""/>
    <s v=""/>
    <n v="0"/>
  </r>
  <r>
    <s v=""/>
    <s v="40101001"/>
    <s v="2018001556"/>
    <x v="176"/>
    <d v="2021-06-19T00:00:00"/>
    <d v="2021-06-24T00:00:00"/>
    <s v="RV"/>
    <s v="USD"/>
    <n v="-3762.05"/>
    <s v="83.95000"/>
    <s v="BDT"/>
    <n v="-315824.09999999998"/>
    <n v="-3762.05"/>
    <s v="3762.05_1"/>
    <s v=""/>
    <s v="C3316UQ21TOK0802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1512"/>
    <x v="88"/>
    <d v="2021-06-11T00:00:00"/>
    <d v="2021-06-17T00:00:00"/>
    <s v="RV"/>
    <s v="USD"/>
    <n v="-3737.89"/>
    <s v="83.95000"/>
    <s v="BDT"/>
    <n v="-313795.87"/>
    <n v="-3737.89"/>
    <s v="3737.89_1"/>
    <s v=""/>
    <s v="C3284LVUS070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672"/>
    <x v="79"/>
    <d v="2020-12-18T00:00:00"/>
    <d v="2020-12-22T00:00:00"/>
    <s v="RV"/>
    <s v="USD"/>
    <n v="-3731.56"/>
    <s v="83.95000"/>
    <s v="BDT"/>
    <n v="-313264.46999999997"/>
    <n v="-3731.56"/>
    <s v="3731.56_1"/>
    <s v=""/>
    <s v="C3247UQ20HAK1342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386"/>
    <x v="67"/>
    <d v="2020-10-27T00:00:00"/>
    <d v="2020-11-01T00:00:00"/>
    <s v="RV"/>
    <s v="USD"/>
    <n v="-3728.93"/>
    <s v="83.95000"/>
    <s v="BDT"/>
    <n v="-313043.67"/>
    <n v="-3728.93"/>
    <s v="3728.93_1"/>
    <s v=""/>
    <s v="C3207UQ20KR1029"/>
    <s v="20201027"/>
    <s v=""/>
    <s v=""/>
    <s v="0"/>
    <s v=""/>
    <s v=""/>
    <s v=""/>
    <s v=""/>
    <s v="2010100001"/>
    <s v=""/>
    <m/>
    <s v=""/>
    <s v=""/>
    <s v=""/>
    <n v="0"/>
  </r>
  <r>
    <s v=""/>
    <s v="40101001"/>
    <s v="2018000635"/>
    <x v="254"/>
    <d v="2020-12-13T00:00:00"/>
    <d v="2020-12-15T00:00:00"/>
    <s v="RV"/>
    <s v="USD"/>
    <n v="-3726.27"/>
    <s v="83.95000"/>
    <s v="BDT"/>
    <n v="-312820.37"/>
    <n v="-3726.27"/>
    <s v="3726.27_1"/>
    <s v=""/>
    <s v="C3145LVUS1266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1041"/>
    <x v="116"/>
    <d v="2021-03-05T00:00:00"/>
    <d v="2021-03-10T00:00:00"/>
    <s v="RV"/>
    <s v="USD"/>
    <n v="-3724.02"/>
    <s v="83.95000"/>
    <s v="BDT"/>
    <n v="-312631.48"/>
    <n v="-3724.02"/>
    <s v="3724.02_1"/>
    <s v=""/>
    <s v="C3275LVCL0246-2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0802"/>
    <x v="74"/>
    <d v="2021-01-12T00:00:00"/>
    <d v="2021-01-20T00:00:00"/>
    <s v="RV"/>
    <s v="USD"/>
    <n v="-3716.81"/>
    <s v="83.95000"/>
    <s v="BDT"/>
    <n v="-312026.2"/>
    <n v="-3716.81"/>
    <s v="3716.81_1"/>
    <s v=""/>
    <s v="C3259UQ21LA0005"/>
    <s v="20210112"/>
    <s v=""/>
    <s v=""/>
    <s v="0"/>
    <s v=""/>
    <s v=""/>
    <s v=""/>
    <s v=""/>
    <s v="2010100001"/>
    <s v=""/>
    <m/>
    <s v=""/>
    <s v=""/>
    <s v=""/>
    <n v="0"/>
  </r>
  <r>
    <s v=""/>
    <s v="40101001"/>
    <s v="2018000153"/>
    <x v="305"/>
    <d v="2020-08-18T00:00:00"/>
    <d v="2020-08-25T00:00:00"/>
    <s v="RV"/>
    <s v="USD"/>
    <n v="-3716.73"/>
    <s v="83.95000"/>
    <s v="BDT"/>
    <n v="-312019.48"/>
    <n v="-3716.73"/>
    <s v="3716.73_1"/>
    <s v=""/>
    <s v="C3132UQ20SHA0736"/>
    <s v="20200818"/>
    <s v=""/>
    <s v=""/>
    <s v="0"/>
    <s v=""/>
    <s v=""/>
    <s v=""/>
    <s v=""/>
    <s v="2010100001"/>
    <s v=""/>
    <m/>
    <s v=""/>
    <s v=""/>
    <s v=""/>
    <n v="0"/>
  </r>
  <r>
    <s v=""/>
    <s v="40101001"/>
    <s v="2018001308"/>
    <x v="306"/>
    <d v="2021-05-02T00:00:00"/>
    <d v="2021-05-11T00:00:00"/>
    <s v="RV"/>
    <s v="USD"/>
    <n v="-3714.79"/>
    <s v="83.95000"/>
    <s v="BDT"/>
    <n v="-311856.62"/>
    <n v="-3714.79"/>
    <s v="3714.79_1"/>
    <s v=""/>
    <s v="C3217UQ21EU0514"/>
    <s v="20210502"/>
    <s v=""/>
    <s v=""/>
    <s v="0"/>
    <s v=""/>
    <s v=""/>
    <s v=""/>
    <s v=""/>
    <s v="2010100001"/>
    <s v=""/>
    <m/>
    <s v=""/>
    <s v=""/>
    <s v=""/>
    <n v="0"/>
  </r>
  <r>
    <s v=""/>
    <s v="40101001"/>
    <s v="2018001434"/>
    <x v="205"/>
    <d v="2021-05-28T00:00:00"/>
    <d v="2021-06-01T00:00:00"/>
    <s v="RV"/>
    <s v="USD"/>
    <n v="-3706.66"/>
    <s v="83.95000"/>
    <s v="BDT"/>
    <n v="-311174.11"/>
    <n v="-3706.66"/>
    <s v="3706.66_1"/>
    <s v=""/>
    <s v="C3329UQ21TOR0607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08000198"/>
    <x v="180"/>
    <d v="2021-03-02T00:00:00"/>
    <d v="2021-03-17T00:00:00"/>
    <s v="DR"/>
    <s v="USD"/>
    <n v="-3685.5"/>
    <s v="83.95000"/>
    <s v="BDT"/>
    <n v="-309397.73"/>
    <n v="-3685.5"/>
    <s v="3685.5_1"/>
    <s v=""/>
    <s v="CIPLBTC21US0192"/>
    <s v="CIPLBTC21US0192"/>
    <s v="Stocklot sales to EDL HK"/>
    <s v=""/>
    <s v="0"/>
    <s v="Stocklot sales to EDL HK"/>
    <s v=""/>
    <s v=""/>
    <s v=""/>
    <s v="2010100001"/>
    <s v=""/>
    <m/>
    <s v=""/>
    <s v=""/>
    <s v=""/>
    <n v="0"/>
  </r>
  <r>
    <s v=""/>
    <s v="40101001"/>
    <s v="2018001511"/>
    <x v="88"/>
    <d v="2021-06-11T00:00:00"/>
    <d v="2021-06-17T00:00:00"/>
    <s v="RV"/>
    <s v="USD"/>
    <n v="-3672.3"/>
    <s v="83.95000"/>
    <s v="BDT"/>
    <n v="-308289.58"/>
    <n v="-3672.3"/>
    <s v="3672.3_1"/>
    <s v=""/>
    <s v="C3286LVTR071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258"/>
    <x v="133"/>
    <d v="2020-09-21T00:00:00"/>
    <d v="2020-09-26T00:00:00"/>
    <s v="RV"/>
    <s v="USD"/>
    <n v="-3667.36"/>
    <s v="83.95000"/>
    <s v="BDT"/>
    <n v="-307874.87"/>
    <n v="-3667.36"/>
    <s v="3667.36_1"/>
    <s v=""/>
    <s v="C3093UQ20OSA0877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230"/>
    <x v="270"/>
    <d v="2020-09-14T00:00:00"/>
    <d v="2020-09-16T00:00:00"/>
    <s v="RV"/>
    <s v="USD"/>
    <n v="-3665.95"/>
    <s v="83.95000"/>
    <s v="BDT"/>
    <n v="-307756.51"/>
    <n v="-3665.95"/>
    <s v="3665.95_1"/>
    <s v=""/>
    <s v="C3159UQ20KR0841"/>
    <s v="20200914"/>
    <s v=""/>
    <s v=""/>
    <s v="0"/>
    <s v=""/>
    <s v=""/>
    <s v=""/>
    <s v=""/>
    <s v="2010100001"/>
    <s v=""/>
    <m/>
    <s v=""/>
    <s v=""/>
    <s v=""/>
    <n v="0"/>
  </r>
  <r>
    <s v=""/>
    <s v="40101001"/>
    <s v="2018000847"/>
    <x v="35"/>
    <d v="2021-01-20T00:00:00"/>
    <d v="2021-01-28T00:00:00"/>
    <s v="RV"/>
    <s v="USD"/>
    <n v="-3664.83"/>
    <s v="83.95000"/>
    <s v="BDT"/>
    <n v="-307662.48"/>
    <n v="-3664.83"/>
    <s v="3664.83_1"/>
    <s v=""/>
    <s v="C3247UQ21OSA0059"/>
    <s v="20210120"/>
    <s v=""/>
    <s v=""/>
    <s v="0"/>
    <s v=""/>
    <s v=""/>
    <s v=""/>
    <s v=""/>
    <s v="2010100001"/>
    <s v=""/>
    <m/>
    <s v=""/>
    <s v=""/>
    <s v=""/>
    <n v="0"/>
  </r>
  <r>
    <s v=""/>
    <s v="40101001"/>
    <s v="2018001183"/>
    <x v="83"/>
    <d v="2021-03-30T00:00:00"/>
    <d v="2021-04-04T00:00:00"/>
    <s v="RV"/>
    <s v="USD"/>
    <n v="-3661.31"/>
    <s v="83.95000"/>
    <s v="BDT"/>
    <n v="-307366.96999999997"/>
    <n v="-3661.31"/>
    <s v="3661.31_1"/>
    <s v=""/>
    <s v="C3173AMZJP0374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1508"/>
    <x v="156"/>
    <d v="2021-06-08T00:00:00"/>
    <d v="2021-06-17T00:00:00"/>
    <s v="RV"/>
    <s v="USD"/>
    <n v="-3641.43"/>
    <s v="83.95000"/>
    <s v="BDT"/>
    <n v="-305698.05"/>
    <n v="-3641.43"/>
    <s v="3641.43_1"/>
    <s v=""/>
    <s v="C3289LVMX0746-21"/>
    <s v="20210608"/>
    <s v=""/>
    <s v=""/>
    <s v="0"/>
    <s v=""/>
    <s v=""/>
    <s v=""/>
    <s v=""/>
    <s v="2010100001"/>
    <s v=""/>
    <m/>
    <s v=""/>
    <s v=""/>
    <s v=""/>
    <n v="0"/>
  </r>
  <r>
    <s v=""/>
    <s v="40101001"/>
    <s v="2018000078"/>
    <x v="274"/>
    <d v="2020-07-24T00:00:00"/>
    <d v="2020-07-29T00:00:00"/>
    <s v="RV"/>
    <s v="USD"/>
    <n v="-3634.3"/>
    <s v="83.95000"/>
    <s v="BDT"/>
    <n v="-305099.49"/>
    <n v="-3634.3"/>
    <s v="3634.3_1"/>
    <s v=""/>
    <s v="C3060LVTH065320"/>
    <s v="20200724"/>
    <s v=""/>
    <s v=""/>
    <s v="0"/>
    <s v=""/>
    <s v=""/>
    <s v=""/>
    <s v=""/>
    <s v="2010100001"/>
    <s v=""/>
    <m/>
    <s v=""/>
    <s v=""/>
    <s v=""/>
    <n v="0"/>
  </r>
  <r>
    <s v=""/>
    <s v="40101001"/>
    <s v="2018000876"/>
    <x v="44"/>
    <d v="2021-01-28T00:00:00"/>
    <d v="2021-02-01T00:00:00"/>
    <s v="RV"/>
    <s v="USD"/>
    <n v="-3630.73"/>
    <s v="83.95000"/>
    <s v="BDT"/>
    <n v="-304799.78000000003"/>
    <n v="-3630.73"/>
    <s v="3630.73_1"/>
    <s v=""/>
    <s v="C3218LVCL0104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769"/>
    <x v="224"/>
    <d v="2020-12-30T00:00:00"/>
    <d v="2021-01-06T00:00:00"/>
    <s v="RV"/>
    <s v="USD"/>
    <n v="-3622.15"/>
    <s v="83.95000"/>
    <s v="BDT"/>
    <n v="-304079.49"/>
    <n v="-3622.15"/>
    <s v="3622.15_1"/>
    <s v=""/>
    <s v="C3245UQ20SG1404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849"/>
    <x v="250"/>
    <d v="2021-01-24T00:00:00"/>
    <d v="2021-01-28T00:00:00"/>
    <s v="RV"/>
    <s v="USD"/>
    <n v="-3615.51"/>
    <s v="83.95000"/>
    <s v="BDT"/>
    <n v="-303522.06"/>
    <n v="-3615.51"/>
    <s v="3615.51_1"/>
    <s v=""/>
    <s v="C3213LVCL001321"/>
    <s v="20210124"/>
    <s v=""/>
    <s v=""/>
    <s v="0"/>
    <s v=""/>
    <s v=""/>
    <s v=""/>
    <s v=""/>
    <s v="2010100001"/>
    <s v=""/>
    <m/>
    <s v=""/>
    <s v=""/>
    <s v=""/>
    <n v="0"/>
  </r>
  <r>
    <s v=""/>
    <s v="40101001"/>
    <s v="2018001154"/>
    <x v="189"/>
    <d v="2021-03-26T00:00:00"/>
    <d v="2021-04-01T00:00:00"/>
    <s v="RV"/>
    <s v="USD"/>
    <n v="-3613.9"/>
    <s v="83.95000"/>
    <s v="BDT"/>
    <n v="-303386.90999999997"/>
    <n v="-3613.9"/>
    <s v="3613.9_1"/>
    <s v=""/>
    <s v="C3291UQ21PH0405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543"/>
    <x v="34"/>
    <d v="2020-11-23T00:00:00"/>
    <d v="2020-11-28T00:00:00"/>
    <s v="RV"/>
    <s v="USD"/>
    <n v="-3612.63"/>
    <s v="83.95000"/>
    <s v="BDT"/>
    <n v="-303280.28999999998"/>
    <n v="-3612.63"/>
    <s v="3612.63_1"/>
    <s v=""/>
    <s v="C3142LVPE10632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897"/>
    <x v="143"/>
    <d v="2021-01-31T00:00:00"/>
    <d v="2021-02-04T00:00:00"/>
    <s v="RV"/>
    <s v="USD"/>
    <n v="-3612.53"/>
    <s v="83.95000"/>
    <s v="BDT"/>
    <n v="-303271.89"/>
    <n v="-3612.53"/>
    <s v="3612.53_1"/>
    <s v=""/>
    <s v="C3272UQ21NAG0119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0207"/>
    <x v="209"/>
    <d v="2020-08-27T00:00:00"/>
    <d v="2020-09-10T00:00:00"/>
    <s v="RV"/>
    <s v="USD"/>
    <n v="-3600.14"/>
    <s v="83.95000"/>
    <s v="BDT"/>
    <n v="-302231.75"/>
    <n v="-3600.14"/>
    <s v="3600.14_1"/>
    <s v=""/>
    <s v="C3135SB20UK0780"/>
    <s v="20200827"/>
    <s v=""/>
    <s v=""/>
    <s v="0"/>
    <s v=""/>
    <s v=""/>
    <s v=""/>
    <s v=""/>
    <s v="2010100001"/>
    <s v=""/>
    <m/>
    <s v=""/>
    <s v=""/>
    <s v=""/>
    <n v="0"/>
  </r>
  <r>
    <s v=""/>
    <s v="40101001"/>
    <s v="2018001002"/>
    <x v="276"/>
    <d v="2021-02-21T00:00:00"/>
    <d v="2021-02-28T00:00:00"/>
    <s v="RV"/>
    <s v="USD"/>
    <n v="-3593.56"/>
    <s v="83.95000"/>
    <s v="BDT"/>
    <n v="-301679.35999999999"/>
    <n v="-3593.56"/>
    <s v="3593.56_1"/>
    <s v=""/>
    <s v="C3290UQ21SEN0221"/>
    <s v="20210221"/>
    <s v=""/>
    <s v=""/>
    <s v="0"/>
    <s v=""/>
    <s v=""/>
    <s v=""/>
    <s v=""/>
    <s v="2010100001"/>
    <s v=""/>
    <m/>
    <s v=""/>
    <s v=""/>
    <s v=""/>
    <n v="0"/>
  </r>
  <r>
    <s v=""/>
    <s v="40101001"/>
    <s v="2018000572"/>
    <x v="65"/>
    <d v="2020-11-11T00:00:00"/>
    <d v="2020-12-01T00:00:00"/>
    <s v="RV"/>
    <s v="USD"/>
    <n v="-3587.24"/>
    <s v="83.95000"/>
    <s v="BDT"/>
    <n v="-301148.79999999999"/>
    <n v="-3587.24"/>
    <s v="3587.24_1"/>
    <s v=""/>
    <s v="C3205UQ20YAN1098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248"/>
    <x v="133"/>
    <d v="2020-09-21T00:00:00"/>
    <d v="2020-09-24T00:00:00"/>
    <s v="RV"/>
    <s v="USD"/>
    <n v="-3587.14"/>
    <s v="83.95000"/>
    <s v="BDT"/>
    <n v="-301140.40000000002"/>
    <n v="-3587.14"/>
    <s v="3587.14_1"/>
    <s v=""/>
    <s v="C3156DC20US0874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011"/>
    <x v="128"/>
    <d v="2020-07-06T00:00:00"/>
    <d v="2020-07-13T00:00:00"/>
    <s v="RV"/>
    <s v="USD"/>
    <n v="-3579.54"/>
    <s v="83.95000"/>
    <s v="BDT"/>
    <n v="-300502.38"/>
    <n v="-3579.54"/>
    <s v="3579.54_1"/>
    <s v=""/>
    <s v="C3060LVGR059620"/>
    <s v="20200706"/>
    <s v=""/>
    <s v=""/>
    <s v="0"/>
    <s v=""/>
    <s v=""/>
    <s v=""/>
    <s v=""/>
    <s v="2010100001"/>
    <s v=""/>
    <m/>
    <s v=""/>
    <s v=""/>
    <s v=""/>
    <n v="0"/>
  </r>
  <r>
    <s v=""/>
    <s v="40101001"/>
    <s v="2018000548"/>
    <x v="164"/>
    <d v="2020-11-24T00:00:00"/>
    <d v="2020-11-28T00:00:00"/>
    <s v="RV"/>
    <s v="USD"/>
    <n v="-3577.93"/>
    <s v="83.95000"/>
    <s v="BDT"/>
    <n v="-300367.21999999997"/>
    <n v="-3577.93"/>
    <s v="3577.93_1"/>
    <s v=""/>
    <s v="C3147LVUS119120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0153"/>
    <x v="305"/>
    <d v="2020-08-18T00:00:00"/>
    <d v="2020-08-25T00:00:00"/>
    <s v="RV"/>
    <s v="USD"/>
    <n v="-3568.06"/>
    <s v="83.95000"/>
    <s v="BDT"/>
    <n v="-299538.64"/>
    <n v="-3568.06"/>
    <s v="3568.06_1"/>
    <s v=""/>
    <s v="C3132UQ20SHA0736"/>
    <s v="20200818"/>
    <s v=""/>
    <s v=""/>
    <s v="0"/>
    <s v=""/>
    <s v=""/>
    <s v=""/>
    <s v=""/>
    <s v="2010100001"/>
    <s v=""/>
    <m/>
    <s v=""/>
    <s v=""/>
    <s v=""/>
    <n v="0"/>
  </r>
  <r>
    <s v=""/>
    <s v="40101001"/>
    <s v="2018001306"/>
    <x v="94"/>
    <d v="2021-05-07T00:00:00"/>
    <d v="2021-05-10T00:00:00"/>
    <s v="RV"/>
    <s v="USD"/>
    <n v="-3566.82"/>
    <s v="83.95000"/>
    <s v="BDT"/>
    <n v="-299434.55"/>
    <n v="-3566.82"/>
    <s v="3566.82_1"/>
    <s v=""/>
    <s v="C3286LVUS0561-21"/>
    <s v="20210507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3552.95"/>
    <s v="83.95000"/>
    <s v="BDT"/>
    <n v="-298270.14"/>
    <n v="-3552.95"/>
    <s v="3552.95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706"/>
    <x v="300"/>
    <d v="2020-12-26T00:00:00"/>
    <d v="2020-12-29T00:00:00"/>
    <s v="RV"/>
    <s v="USD"/>
    <n v="-3549.41"/>
    <s v="83.95000"/>
    <s v="BDT"/>
    <n v="-297972.96999999997"/>
    <n v="-3549.41"/>
    <s v="3549.41_1"/>
    <s v=""/>
    <s v="C3245UQ20TW1361"/>
    <s v="20201226"/>
    <s v=""/>
    <s v=""/>
    <s v="0"/>
    <s v=""/>
    <s v=""/>
    <s v=""/>
    <s v=""/>
    <s v="2010100001"/>
    <s v=""/>
    <m/>
    <s v=""/>
    <s v=""/>
    <s v=""/>
    <n v="0"/>
  </r>
  <r>
    <s v=""/>
    <s v="40101001"/>
    <s v="2018000684"/>
    <x v="268"/>
    <d v="2020-12-11T00:00:00"/>
    <d v="2020-12-23T00:00:00"/>
    <s v="RV"/>
    <s v="USD"/>
    <n v="-3548.75"/>
    <s v="83.95000"/>
    <s v="BDT"/>
    <n v="-297917.56"/>
    <n v="-3548.75"/>
    <s v="3548.75_1"/>
    <s v=""/>
    <s v="C3165DC20US1240"/>
    <s v="20201211"/>
    <s v=""/>
    <s v=""/>
    <s v="0"/>
    <s v=""/>
    <s v=""/>
    <s v=""/>
    <s v=""/>
    <s v="2010100001"/>
    <s v=""/>
    <m/>
    <s v=""/>
    <s v=""/>
    <s v=""/>
    <n v="0"/>
  </r>
  <r>
    <s v=""/>
    <s v="40101001"/>
    <s v="2018000635"/>
    <x v="254"/>
    <d v="2020-12-13T00:00:00"/>
    <d v="2020-12-15T00:00:00"/>
    <s v="RV"/>
    <s v="USD"/>
    <n v="-3544.14"/>
    <s v="83.95000"/>
    <s v="BDT"/>
    <n v="-297530.55"/>
    <n v="-3544.14"/>
    <s v="3544.14_1"/>
    <s v=""/>
    <s v="C3145LVUS1266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1390"/>
    <x v="287"/>
    <d v="2021-05-18T00:00:00"/>
    <d v="2021-05-24T00:00:00"/>
    <s v="RV"/>
    <s v="USD"/>
    <n v="-3539.31"/>
    <s v="83.95000"/>
    <s v="BDT"/>
    <n v="-297125.07"/>
    <n v="-3539.31"/>
    <s v="3539.31_1"/>
    <s v=""/>
    <s v="C3286LVGR0616-21"/>
    <s v="20210518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3536.81"/>
    <s v="83.95000"/>
    <s v="BDT"/>
    <n v="-296915.20000000001"/>
    <n v="-3536.81"/>
    <s v="3536.81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443"/>
    <x v="18"/>
    <d v="2020-11-05T00:00:00"/>
    <d v="2020-11-11T00:00:00"/>
    <s v="RV"/>
    <s v="USD"/>
    <n v="-3535.01"/>
    <s v="83.95000"/>
    <s v="BDT"/>
    <n v="-296764.09000000003"/>
    <n v="-3535.01"/>
    <s v="3535.01_1"/>
    <s v=""/>
    <s v="C03170US20-1042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833"/>
    <x v="87"/>
    <d v="2021-01-16T00:00:00"/>
    <d v="2021-01-24T00:00:00"/>
    <s v="RV"/>
    <s v="USD"/>
    <n v="-3534.87"/>
    <s v="83.95000"/>
    <s v="BDT"/>
    <n v="-296752.34000000003"/>
    <n v="-3534.87"/>
    <s v="3534.87_1"/>
    <s v=""/>
    <s v="C3245UQ21KR0037"/>
    <s v="20210116"/>
    <s v=""/>
    <s v=""/>
    <s v="0"/>
    <s v=""/>
    <s v=""/>
    <s v=""/>
    <s v=""/>
    <s v="2010100001"/>
    <s v=""/>
    <m/>
    <s v=""/>
    <s v=""/>
    <s v=""/>
    <n v="0"/>
  </r>
  <r>
    <s v=""/>
    <s v="40101001"/>
    <s v="2018000289"/>
    <x v="184"/>
    <d v="2020-09-30T00:00:00"/>
    <d v="2020-10-04T00:00:00"/>
    <s v="RV"/>
    <s v="USD"/>
    <n v="-3531.82"/>
    <s v="83.95000"/>
    <s v="BDT"/>
    <n v="-296496.28999999998"/>
    <n v="-3531.82"/>
    <s v="3531.82_1"/>
    <s v=""/>
    <s v="C3141LVMX091420"/>
    <s v="20200930"/>
    <s v=""/>
    <s v=""/>
    <s v="0"/>
    <s v=""/>
    <s v=""/>
    <s v=""/>
    <s v=""/>
    <s v="2010100001"/>
    <s v=""/>
    <m/>
    <s v=""/>
    <s v=""/>
    <s v=""/>
    <n v="0"/>
  </r>
  <r>
    <s v=""/>
    <s v="40101001"/>
    <s v="2018000013"/>
    <x v="210"/>
    <d v="2020-07-08T00:00:00"/>
    <d v="2020-07-13T00:00:00"/>
    <s v="RV"/>
    <s v="USD"/>
    <n v="-3506.88"/>
    <s v="83.95000"/>
    <s v="BDT"/>
    <n v="-294402.58"/>
    <n v="-3506.88"/>
    <s v="3506.88_1"/>
    <s v=""/>
    <s v="C3121UQ20IN0564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08000079"/>
    <x v="18"/>
    <d v="2020-11-05T00:00:00"/>
    <d v="2020-11-28T00:00:00"/>
    <s v="DR"/>
    <s v="USD"/>
    <n v="-3503.99"/>
    <s v="83.95000"/>
    <s v="BDT"/>
    <n v="-294159.96000000002"/>
    <n v="-3503.99"/>
    <s v="3503.99_1"/>
    <s v=""/>
    <s v="SC3216LVUS011520"/>
    <s v="SC3216LVUS0115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3502.96"/>
    <s v="83.95000"/>
    <s v="BDT"/>
    <n v="-294073.49"/>
    <n v="-3502.96"/>
    <s v="3502.96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070"/>
    <x v="111"/>
    <d v="2021-03-11T00:00:00"/>
    <d v="2021-03-17T00:00:00"/>
    <s v="RV"/>
    <s v="USD"/>
    <n v="-3500.99"/>
    <s v="83.95000"/>
    <s v="BDT"/>
    <n v="-293908.11"/>
    <n v="-3500.99"/>
    <s v="3500.99_1"/>
    <s v=""/>
    <s v="C3254UQ21OSA0294"/>
    <s v="20210311"/>
    <s v=""/>
    <s v=""/>
    <s v="0"/>
    <s v=""/>
    <s v=""/>
    <s v=""/>
    <s v=""/>
    <s v="2010100001"/>
    <s v=""/>
    <m/>
    <s v=""/>
    <s v=""/>
    <s v=""/>
    <n v="0"/>
  </r>
  <r>
    <s v=""/>
    <s v="40101001"/>
    <s v="2018000119"/>
    <x v="229"/>
    <d v="2020-08-03T00:00:00"/>
    <d v="2020-08-10T00:00:00"/>
    <s v="RV"/>
    <s v="USD"/>
    <n v="-3497.1"/>
    <s v="83.95000"/>
    <s v="BDT"/>
    <n v="-293581.55"/>
    <n v="-3497.1"/>
    <s v="3497.1_1"/>
    <s v=""/>
    <s v="C3093UQ20TOM0700"/>
    <s v="20200803"/>
    <s v=""/>
    <s v=""/>
    <s v="0"/>
    <s v=""/>
    <s v=""/>
    <s v=""/>
    <s v=""/>
    <s v="2010100001"/>
    <s v=""/>
    <m/>
    <s v=""/>
    <s v=""/>
    <s v=""/>
    <n v="0"/>
  </r>
  <r>
    <s v=""/>
    <s v="40101001"/>
    <s v="2018001169"/>
    <x v="189"/>
    <d v="2021-03-26T00:00:00"/>
    <d v="2021-04-04T00:00:00"/>
    <s v="RV"/>
    <s v="USD"/>
    <n v="-3496.89"/>
    <s v="83.95000"/>
    <s v="BDT"/>
    <n v="-293563.92"/>
    <n v="-3496.89"/>
    <s v="3496.89_1"/>
    <s v=""/>
    <s v="C3187AMZLB0378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528"/>
    <x v="86"/>
    <d v="2021-06-14T00:00:00"/>
    <d v="2021-06-17T00:00:00"/>
    <s v="RV"/>
    <s v="USD"/>
    <n v="-3485.91"/>
    <s v="83.95000"/>
    <s v="BDT"/>
    <n v="-292642.14"/>
    <n v="-3485.91"/>
    <s v="3485.91_1"/>
    <s v=""/>
    <s v="C3335LVUS0741-21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1508"/>
    <x v="156"/>
    <d v="2021-06-08T00:00:00"/>
    <d v="2021-06-17T00:00:00"/>
    <s v="RV"/>
    <s v="USD"/>
    <n v="-3484.31"/>
    <s v="83.95000"/>
    <s v="BDT"/>
    <n v="-292507.82"/>
    <n v="-3484.31"/>
    <s v="3484.31_1"/>
    <s v=""/>
    <s v="C3289LVMX0746-21"/>
    <s v="20210608"/>
    <s v=""/>
    <s v=""/>
    <s v="0"/>
    <s v=""/>
    <s v=""/>
    <s v=""/>
    <s v=""/>
    <s v="2010100001"/>
    <s v=""/>
    <m/>
    <s v=""/>
    <s v=""/>
    <s v=""/>
    <n v="0"/>
  </r>
  <r>
    <s v=""/>
    <s v="40101001"/>
    <s v="2018000548"/>
    <x v="164"/>
    <d v="2020-11-24T00:00:00"/>
    <d v="2020-11-28T00:00:00"/>
    <s v="RV"/>
    <s v="USD"/>
    <n v="-3480.9"/>
    <s v="83.95000"/>
    <s v="BDT"/>
    <n v="-292221.56"/>
    <n v="-3480.9"/>
    <s v="3480.9_1"/>
    <s v=""/>
    <s v="C3147LVUS119120"/>
    <s v="20201124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3476.99"/>
    <s v="83.95000"/>
    <s v="BDT"/>
    <n v="-291893.31"/>
    <n v="-3476.99"/>
    <s v="3476.99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310"/>
    <x v="241"/>
    <d v="2021-05-05T00:00:00"/>
    <d v="2021-05-12T00:00:00"/>
    <s v="RV"/>
    <s v="USD"/>
    <n v="-3467.08"/>
    <s v="83.95000"/>
    <s v="BDT"/>
    <n v="-291061.37"/>
    <n v="-3467.08"/>
    <s v="3467.08_1"/>
    <s v=""/>
    <s v="C3343UQ21HAK0568"/>
    <s v="20210505"/>
    <s v=""/>
    <s v=""/>
    <s v="0"/>
    <s v=""/>
    <s v=""/>
    <s v=""/>
    <s v=""/>
    <s v="2010100001"/>
    <s v=""/>
    <m/>
    <s v=""/>
    <s v=""/>
    <s v=""/>
    <n v="0"/>
  </r>
  <r>
    <s v=""/>
    <s v="40101001"/>
    <s v="2018001474"/>
    <x v="152"/>
    <d v="2021-06-07T00:00:00"/>
    <d v="2021-06-10T00:00:00"/>
    <s v="RV"/>
    <s v="USD"/>
    <n v="-3467.08"/>
    <s v="83.95000"/>
    <s v="BDT"/>
    <n v="-291061.37"/>
    <n v="-3467.08"/>
    <s v="3467.08_2"/>
    <s v=""/>
    <s v="C3343UQ21HAK0725"/>
    <s v="20210607"/>
    <s v=""/>
    <s v=""/>
    <s v="0"/>
    <s v=""/>
    <s v=""/>
    <s v=""/>
    <s v=""/>
    <s v="2010100001"/>
    <s v=""/>
    <m/>
    <s v=""/>
    <s v=""/>
    <s v=""/>
    <n v="0"/>
  </r>
  <r>
    <s v=""/>
    <s v="40101012"/>
    <s v="2006000038"/>
    <x v="27"/>
    <d v="2020-11-30T00:00:00"/>
    <d v="2020-12-06T00:00:00"/>
    <s v="DA"/>
    <s v="USD"/>
    <n v="-3461.65"/>
    <s v="83.95000"/>
    <s v="BDT"/>
    <n v="-290605.52"/>
    <n v="-3461.65"/>
    <s v="3461.65_1"/>
    <s v=""/>
    <s v="CIPL-GA-003-20"/>
    <s v="CIPL-GA-003-20"/>
    <s v="Outside wash sales to GLOBAL ATTIRE LIMITED"/>
    <s v=""/>
    <s v="0"/>
    <s v="Outside Wash Rev Nov'20"/>
    <s v=""/>
    <s v=""/>
    <s v=""/>
    <s v=""/>
    <s v=""/>
    <m/>
    <s v=""/>
    <s v=""/>
    <s v=""/>
    <n v="0"/>
  </r>
  <r>
    <s v=""/>
    <s v="40101001"/>
    <s v="2018000859"/>
    <x v="197"/>
    <d v="2021-01-23T00:00:00"/>
    <d v="2021-01-30T00:00:00"/>
    <s v="RV"/>
    <s v="USD"/>
    <n v="-3461.23"/>
    <s v="83.95000"/>
    <s v="BDT"/>
    <n v="-290570.26"/>
    <n v="-3461.23"/>
    <s v="3461.23_1"/>
    <s v=""/>
    <s v="C3259UQ21SEN0079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608"/>
    <x v="193"/>
    <d v="2020-12-03T00:00:00"/>
    <d v="2020-12-09T00:00:00"/>
    <s v="RV"/>
    <s v="USD"/>
    <n v="-3460.69"/>
    <s v="83.95000"/>
    <s v="BDT"/>
    <n v="-290524.93"/>
    <n v="-3460.69"/>
    <s v="3460.69_1"/>
    <s v=""/>
    <s v="C3145LVTR1229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1259"/>
    <x v="192"/>
    <d v="2021-04-25T00:00:00"/>
    <d v="2021-04-29T00:00:00"/>
    <s v="RV"/>
    <s v="USD"/>
    <n v="-3451.55"/>
    <s v="83.95000"/>
    <s v="BDT"/>
    <n v="-289757.62"/>
    <n v="-3451.55"/>
    <s v="3451.55_1"/>
    <s v=""/>
    <s v="C3265LVPE0479-21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1512"/>
    <x v="88"/>
    <d v="2021-06-11T00:00:00"/>
    <d v="2021-06-17T00:00:00"/>
    <s v="RV"/>
    <s v="USD"/>
    <n v="-3444.72"/>
    <s v="83.95000"/>
    <s v="BDT"/>
    <n v="-289184.24"/>
    <n v="-3444.72"/>
    <s v="3444.72_1"/>
    <s v=""/>
    <s v="C3284LVUS0701-21"/>
    <s v="20210611"/>
    <s v=""/>
    <s v=""/>
    <s v="0"/>
    <s v=""/>
    <s v=""/>
    <s v=""/>
    <s v=""/>
    <s v="2010100001"/>
    <s v=""/>
    <m/>
    <s v=""/>
    <s v=""/>
    <s v=""/>
    <n v="0"/>
  </r>
  <r>
    <s v=""/>
    <s v="40101012"/>
    <s v="2008000097"/>
    <x v="27"/>
    <d v="2020-11-30T00:00:00"/>
    <d v="2020-12-06T00:00:00"/>
    <s v="DR"/>
    <s v="USD"/>
    <n v="-3444"/>
    <s v="83.95000"/>
    <s v="BDT"/>
    <n v="-289123.8"/>
    <n v="-3444"/>
    <s v="3444_1"/>
    <s v=""/>
    <s v="CIPL-MSGL-219-20"/>
    <s v="CIPL-MSGL-219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3436.22"/>
    <s v="83.95000"/>
    <s v="BDT"/>
    <n v="-288470.67"/>
    <n v="-3436.22"/>
    <s v="3436.22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915"/>
    <x v="208"/>
    <d v="2021-02-04T00:00:00"/>
    <d v="2021-02-10T00:00:00"/>
    <s v="RV"/>
    <s v="USD"/>
    <n v="-3431.9"/>
    <s v="83.95000"/>
    <s v="BDT"/>
    <n v="-288108.01"/>
    <n v="-3431.9"/>
    <s v="3431.9_1"/>
    <s v=""/>
    <s v="C3272UQ21TOM0122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1452"/>
    <x v="252"/>
    <d v="2021-06-03T00:00:00"/>
    <d v="2021-06-09T00:00:00"/>
    <s v="RV"/>
    <s v="USD"/>
    <n v="-3431.04"/>
    <s v="83.95000"/>
    <s v="BDT"/>
    <n v="-288035.81"/>
    <n v="-3431.04"/>
    <s v="3431.04_1"/>
    <s v=""/>
    <s v="C3329UQ21IN0674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1313"/>
    <x v="15"/>
    <d v="2021-05-04T00:00:00"/>
    <d v="2021-05-12T00:00:00"/>
    <s v="RV"/>
    <s v="USD"/>
    <n v="-3430.59"/>
    <s v="83.95000"/>
    <s v="BDT"/>
    <n v="-287998.03000000003"/>
    <n v="-3430.59"/>
    <s v="3430.59_1"/>
    <s v=""/>
    <s v="C3343UQ21NAG0539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3427.66"/>
    <s v="83.95000"/>
    <s v="BDT"/>
    <n v="-287752.06"/>
    <n v="-3427.66"/>
    <s v="3427.66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206"/>
    <x v="238"/>
    <d v="2021-04-10T00:00:00"/>
    <d v="2021-04-13T00:00:00"/>
    <s v="RV"/>
    <s v="USD"/>
    <n v="-3408.36"/>
    <s v="83.95000"/>
    <s v="BDT"/>
    <n v="-286131.82"/>
    <n v="-3408.36"/>
    <s v="3408.36_1"/>
    <s v=""/>
    <s v="C3223LVUS0428-21"/>
    <s v="20210410"/>
    <s v=""/>
    <s v=""/>
    <s v="0"/>
    <s v=""/>
    <s v=""/>
    <s v=""/>
    <s v=""/>
    <s v="2010100001"/>
    <s v=""/>
    <m/>
    <s v=""/>
    <s v=""/>
    <s v=""/>
    <n v="0"/>
  </r>
  <r>
    <s v=""/>
    <s v="40101001"/>
    <s v="2018000101"/>
    <x v="147"/>
    <d v="2020-07-31T00:00:00"/>
    <d v="2020-08-08T00:00:00"/>
    <s v="RV"/>
    <s v="USD"/>
    <n v="-3402.6"/>
    <s v="83.95000"/>
    <s v="BDT"/>
    <n v="-285648.27"/>
    <n v="-3402.6"/>
    <s v="3402.6_1"/>
    <s v=""/>
    <s v="C3060LVGR070720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1228"/>
    <x v="222"/>
    <d v="2021-04-16T00:00:00"/>
    <d v="2021-04-22T00:00:00"/>
    <s v="RV"/>
    <s v="USD"/>
    <n v="-3397.14"/>
    <s v="83.95000"/>
    <s v="BDT"/>
    <n v="-285189.90000000002"/>
    <n v="-3397.14"/>
    <s v="3397.14_1"/>
    <s v=""/>
    <s v="C3343UQ21NAG0461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1243"/>
    <x v="48"/>
    <d v="2021-04-20T00:00:00"/>
    <d v="2021-04-25T00:00:00"/>
    <s v="RV"/>
    <s v="USD"/>
    <n v="-3397.14"/>
    <s v="83.95000"/>
    <s v="BDT"/>
    <n v="-285189.90000000002"/>
    <n v="-3397.14"/>
    <s v="3397.14_2"/>
    <s v=""/>
    <s v="C3343UQ21HAK0481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1244"/>
    <x v="48"/>
    <d v="2021-04-20T00:00:00"/>
    <d v="2021-04-25T00:00:00"/>
    <s v="RV"/>
    <s v="USD"/>
    <n v="-3397.14"/>
    <s v="83.95000"/>
    <s v="BDT"/>
    <n v="-285189.90000000002"/>
    <n v="-3397.14"/>
    <s v="3397.14_3"/>
    <s v=""/>
    <s v="C3343UQ21NAG0482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0451"/>
    <x v="110"/>
    <d v="2020-11-08T00:00:00"/>
    <d v="2020-11-11T00:00:00"/>
    <s v="RV"/>
    <s v="USD"/>
    <n v="-3391.1"/>
    <s v="83.95000"/>
    <s v="BDT"/>
    <n v="-284682.84999999998"/>
    <n v="-3391.1"/>
    <s v="3391.1_1"/>
    <s v=""/>
    <s v="C3215UQ20TOM109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1375"/>
    <x v="64"/>
    <d v="2021-05-12T00:00:00"/>
    <d v="2021-05-20T00:00:00"/>
    <s v="RV"/>
    <s v="USD"/>
    <n v="-3370.46"/>
    <s v="83.95000"/>
    <s v="BDT"/>
    <n v="-282950.12"/>
    <n v="-3370.46"/>
    <s v="3370.46_1"/>
    <s v=""/>
    <s v="C3343UQ21HAK0639"/>
    <s v="20210512"/>
    <s v=""/>
    <s v=""/>
    <s v="0"/>
    <s v=""/>
    <s v=""/>
    <s v=""/>
    <s v=""/>
    <s v="2010100001"/>
    <s v=""/>
    <m/>
    <s v=""/>
    <s v=""/>
    <s v=""/>
    <n v="0"/>
  </r>
  <r>
    <s v=""/>
    <s v="40101001"/>
    <s v="2018000543"/>
    <x v="34"/>
    <d v="2020-11-23T00:00:00"/>
    <d v="2020-11-28T00:00:00"/>
    <s v="RV"/>
    <s v="USD"/>
    <n v="-3355.05"/>
    <s v="83.95000"/>
    <s v="BDT"/>
    <n v="-281656.45"/>
    <n v="-3355.05"/>
    <s v="3355.05_1"/>
    <s v=""/>
    <s v="C3142LVPE10632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3351.13"/>
    <s v="83.95000"/>
    <s v="BDT"/>
    <n v="-281327.35999999999"/>
    <n v="-3351.13"/>
    <s v="3351.13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1571"/>
    <x v="170"/>
    <d v="2021-06-24T00:00:00"/>
    <d v="2021-06-24T00:00:00"/>
    <s v="RV"/>
    <s v="USD"/>
    <n v="-3334.67"/>
    <s v="83.95000"/>
    <s v="BDT"/>
    <n v="-279945.55"/>
    <n v="-3334.67"/>
    <s v="3334.67_1"/>
    <s v=""/>
    <s v="C3270LVGR0736-21"/>
    <s v="20210624"/>
    <s v=""/>
    <s v=""/>
    <s v="0"/>
    <s v=""/>
    <s v=""/>
    <s v=""/>
    <s v=""/>
    <s v="2010100001"/>
    <s v=""/>
    <m/>
    <s v=""/>
    <s v=""/>
    <s v=""/>
    <n v="0"/>
  </r>
  <r>
    <s v=""/>
    <s v="40101001"/>
    <s v="2018000711"/>
    <x v="9"/>
    <d v="2020-12-24T00:00:00"/>
    <d v="2020-12-30T00:00:00"/>
    <s v="RV"/>
    <s v="USD"/>
    <n v="-3320.06"/>
    <s v="83.95000"/>
    <s v="BDT"/>
    <n v="-278719.03999999998"/>
    <n v="-3320.06"/>
    <s v="3320.06_1"/>
    <s v=""/>
    <s v="C3145LVTR1299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329"/>
    <x v="182"/>
    <d v="2020-10-13T00:00:00"/>
    <d v="2020-10-17T00:00:00"/>
    <s v="RV"/>
    <s v="USD"/>
    <n v="-3313.01"/>
    <s v="83.95000"/>
    <s v="BDT"/>
    <n v="-278127.19"/>
    <n v="-3313.01"/>
    <s v="3313.01_1"/>
    <s v=""/>
    <s v="C3171UQ20HAK0972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3306.42"/>
    <s v="83.95000"/>
    <s v="BDT"/>
    <n v="-277573.96000000002"/>
    <n v="-3306.42"/>
    <s v="3306.42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739"/>
    <x v="155"/>
    <d v="2020-12-17T00:00:00"/>
    <d v="2021-01-03T00:00:00"/>
    <s v="RV"/>
    <s v="USD"/>
    <n v="-3302.21"/>
    <s v="83.95000"/>
    <s v="BDT"/>
    <n v="-277220.53000000003"/>
    <n v="-3302.21"/>
    <s v="3302.21_1"/>
    <s v=""/>
    <s v="C3218LVUS1308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152"/>
    <x v="112"/>
    <d v="2021-03-24T00:00:00"/>
    <d v="2021-03-31T00:00:00"/>
    <s v="RV"/>
    <s v="USD"/>
    <n v="-3293.43"/>
    <s v="83.95000"/>
    <s v="BDT"/>
    <n v="-276483.45"/>
    <n v="-3293.43"/>
    <s v="3293.43_1"/>
    <s v=""/>
    <s v="C3268LVMX0311-21"/>
    <s v="20210324"/>
    <s v=""/>
    <s v=""/>
    <s v="0"/>
    <s v=""/>
    <s v=""/>
    <s v=""/>
    <s v=""/>
    <s v="2010100001"/>
    <s v=""/>
    <m/>
    <s v=""/>
    <s v=""/>
    <s v=""/>
    <n v="0"/>
  </r>
  <r>
    <s v=""/>
    <s v="40101002"/>
    <s v="2018001251"/>
    <x v="259"/>
    <d v="2021-04-22T00:00:00"/>
    <d v="2021-04-26T00:00:00"/>
    <s v="RV"/>
    <s v="USD"/>
    <n v="-3291.16"/>
    <s v="83.95000"/>
    <s v="BDT"/>
    <n v="-276292.88"/>
    <n v="-3291.16"/>
    <s v="3291.16_1"/>
    <s v=""/>
    <s v="C3266LVPK0472-21"/>
    <s v="20210422"/>
    <s v=""/>
    <s v=""/>
    <s v="0"/>
    <s v=""/>
    <s v=""/>
    <s v=""/>
    <s v=""/>
    <s v="2010100001"/>
    <s v=""/>
    <m/>
    <s v=""/>
    <s v=""/>
    <s v=""/>
    <n v="0"/>
  </r>
  <r>
    <s v=""/>
    <s v="40101001"/>
    <s v="2018000743"/>
    <x v="69"/>
    <d v="2020-12-29T00:00:00"/>
    <d v="2021-01-03T00:00:00"/>
    <s v="RV"/>
    <s v="USD"/>
    <n v="-3290.56"/>
    <s v="83.95000"/>
    <s v="BDT"/>
    <n v="-276242.51"/>
    <n v="-3290.56"/>
    <s v="3290.56_1"/>
    <s v=""/>
    <s v="C3234UQ20TOR1365"/>
    <s v="20201229"/>
    <s v=""/>
    <s v=""/>
    <s v="0"/>
    <s v=""/>
    <s v=""/>
    <s v=""/>
    <s v=""/>
    <s v="2010100001"/>
    <s v=""/>
    <m/>
    <s v=""/>
    <s v=""/>
    <s v=""/>
    <n v="0"/>
  </r>
  <r>
    <s v=""/>
    <s v="40101001"/>
    <s v="2018000740"/>
    <x v="155"/>
    <d v="2020-12-17T00:00:00"/>
    <d v="2021-01-03T00:00:00"/>
    <s v="RV"/>
    <s v="USD"/>
    <n v="-3285.27"/>
    <s v="83.95000"/>
    <s v="BDT"/>
    <n v="-275798.42"/>
    <n v="-3285.27"/>
    <s v="3285.27_1"/>
    <s v=""/>
    <s v="C3218LVUS131020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543"/>
    <x v="75"/>
    <d v="2021-06-17T00:00:00"/>
    <d v="2021-06-21T00:00:00"/>
    <s v="RV"/>
    <s v="USD"/>
    <n v="-3284.94"/>
    <s v="83.95000"/>
    <s v="BDT"/>
    <n v="-275770.71000000002"/>
    <n v="-3284.94"/>
    <s v="3284.94_1"/>
    <s v=""/>
    <s v="C3270LVGR0789-21"/>
    <s v="20210617"/>
    <s v=""/>
    <s v=""/>
    <s v="0"/>
    <s v=""/>
    <s v=""/>
    <s v=""/>
    <s v=""/>
    <s v="2010100001"/>
    <s v=""/>
    <m/>
    <s v=""/>
    <s v=""/>
    <s v=""/>
    <n v="0"/>
  </r>
  <r>
    <s v=""/>
    <s v="40101002"/>
    <s v="2018001537"/>
    <x v="88"/>
    <d v="2021-06-11T00:00:00"/>
    <d v="2021-06-19T00:00:00"/>
    <s v="RV"/>
    <s v="USD"/>
    <n v="-3279"/>
    <s v="83.95000"/>
    <s v="BDT"/>
    <n v="-275272.05"/>
    <n v="-3279"/>
    <s v="3279_1"/>
    <s v=""/>
    <s v="C3285LVPK0742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622"/>
    <x v="225"/>
    <d v="2020-12-08T00:00:00"/>
    <d v="2020-12-13T00:00:00"/>
    <s v="RV"/>
    <s v="USD"/>
    <n v="-3272.89"/>
    <s v="83.95000"/>
    <s v="BDT"/>
    <n v="-274759.12"/>
    <n v="-3272.89"/>
    <s v="3272.89_1"/>
    <s v=""/>
    <s v="C3218LVUS1265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622"/>
    <x v="225"/>
    <d v="2020-12-08T00:00:00"/>
    <d v="2020-12-13T00:00:00"/>
    <s v="RV"/>
    <s v="USD"/>
    <n v="-3272.89"/>
    <s v="83.95000"/>
    <s v="BDT"/>
    <n v="-274759.12"/>
    <n v="-3272.89"/>
    <s v="3272.89_2"/>
    <s v=""/>
    <s v="C3218LVUS1265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945"/>
    <x v="46"/>
    <d v="2021-02-07T00:00:00"/>
    <d v="2021-02-14T00:00:00"/>
    <s v="RV"/>
    <s v="USD"/>
    <n v="-3263.4"/>
    <s v="83.95000"/>
    <s v="BDT"/>
    <n v="-273962.43"/>
    <n v="-3263.4"/>
    <s v="3263.4_1"/>
    <s v=""/>
    <s v="C3291UQ21IN0147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509"/>
    <x v="88"/>
    <d v="2021-06-11T00:00:00"/>
    <d v="2021-06-17T00:00:00"/>
    <s v="RV"/>
    <s v="USD"/>
    <n v="-3260.98"/>
    <s v="83.95000"/>
    <s v="BDT"/>
    <n v="-273759.27"/>
    <n v="-3260.98"/>
    <s v="3260.98_1"/>
    <s v=""/>
    <s v="C3280LVUS0699-21"/>
    <s v="20210611"/>
    <s v=""/>
    <s v=""/>
    <s v="0"/>
    <s v=""/>
    <s v=""/>
    <s v=""/>
    <s v=""/>
    <s v="2010100001"/>
    <s v=""/>
    <m/>
    <s v=""/>
    <s v=""/>
    <s v=""/>
    <n v="0"/>
  </r>
  <r>
    <s v=""/>
    <s v="40101011"/>
    <s v="2008000180"/>
    <x v="143"/>
    <d v="2021-01-31T00:00:00"/>
    <d v="2021-02-07T00:00:00"/>
    <s v="DR"/>
    <s v="USD"/>
    <n v="-3244.43"/>
    <s v="83.95000"/>
    <s v="BDT"/>
    <n v="-272369.90000000002"/>
    <n v="-3244.43"/>
    <s v="3244.43_1"/>
    <s v=""/>
    <s v="CIPL-PGC-0287-20"/>
    <s v="CIPL-PGC-0287-20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11"/>
    <s v="2008000066"/>
    <x v="23"/>
    <d v="2020-10-31T00:00:00"/>
    <d v="2020-11-08T00:00:00"/>
    <s v="DR"/>
    <s v="USD"/>
    <n v="-3240.52"/>
    <s v="83.95000"/>
    <s v="BDT"/>
    <n v="-272041.65000000002"/>
    <n v="-3240.52"/>
    <s v="3240.52_1"/>
    <s v=""/>
    <s v="CIPL-PGC-0282-20"/>
    <s v="CIPL-PGC-0282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0346"/>
    <x v="199"/>
    <d v="2020-10-15T00:00:00"/>
    <d v="2020-10-22T00:00:00"/>
    <s v="RV"/>
    <s v="USD"/>
    <n v="-3229.72"/>
    <s v="83.95000"/>
    <s v="BDT"/>
    <n v="-271134.99"/>
    <n v="-3229.72"/>
    <s v="3229.72_1"/>
    <s v=""/>
    <s v="C3142LVMY094120"/>
    <s v="20201015"/>
    <s v=""/>
    <s v=""/>
    <s v="0"/>
    <s v=""/>
    <s v=""/>
    <s v=""/>
    <s v=""/>
    <s v="2010100001"/>
    <s v=""/>
    <m/>
    <s v=""/>
    <s v=""/>
    <s v=""/>
    <n v="0"/>
  </r>
  <r>
    <s v=""/>
    <s v="40101001"/>
    <s v="2018001509"/>
    <x v="88"/>
    <d v="2021-06-11T00:00:00"/>
    <d v="2021-06-17T00:00:00"/>
    <s v="RV"/>
    <s v="USD"/>
    <n v="-3225.2"/>
    <s v="83.95000"/>
    <s v="BDT"/>
    <n v="-270755.53999999998"/>
    <n v="-3225.2"/>
    <s v="3225.2_1"/>
    <s v=""/>
    <s v="C3280LVUS0699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3220.11"/>
    <s v="83.95000"/>
    <s v="BDT"/>
    <n v="-270328.23"/>
    <n v="-3220.11"/>
    <s v="3220.11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466"/>
    <x v="65"/>
    <d v="2020-11-11T00:00:00"/>
    <d v="2020-11-14T00:00:00"/>
    <s v="RV"/>
    <s v="USD"/>
    <n v="-3219.71"/>
    <s v="83.95000"/>
    <s v="BDT"/>
    <n v="-270294.65000000002"/>
    <n v="-3219.71"/>
    <s v="3219.71_1"/>
    <s v=""/>
    <s v="C3141LVCL1062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331"/>
    <x v="182"/>
    <d v="2020-10-13T00:00:00"/>
    <d v="2020-10-19T00:00:00"/>
    <s v="RV"/>
    <s v="USD"/>
    <n v="-3208.64"/>
    <s v="83.95000"/>
    <s v="BDT"/>
    <n v="-269365.33"/>
    <n v="-3208.64"/>
    <s v="3208.64_1"/>
    <s v=""/>
    <s v="C3083LVUS093920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0454"/>
    <x v="221"/>
    <d v="2020-11-06T00:00:00"/>
    <d v="2020-11-11T00:00:00"/>
    <s v="RV"/>
    <s v="USD"/>
    <n v="-3207.12"/>
    <s v="83.95000"/>
    <s v="BDT"/>
    <n v="-269237.71999999997"/>
    <n v="-3207.12"/>
    <s v="3207.12_1"/>
    <s v=""/>
    <s v="C3234UQ20VAN1068"/>
    <s v="20201106"/>
    <s v=""/>
    <s v=""/>
    <s v="0"/>
    <s v=""/>
    <s v=""/>
    <s v=""/>
    <s v=""/>
    <s v="2010100001"/>
    <s v=""/>
    <m/>
    <s v=""/>
    <s v=""/>
    <s v=""/>
    <n v="0"/>
  </r>
  <r>
    <s v=""/>
    <s v="40101001"/>
    <s v="2018001512"/>
    <x v="88"/>
    <d v="2021-06-11T00:00:00"/>
    <d v="2021-06-17T00:00:00"/>
    <s v="RV"/>
    <s v="USD"/>
    <n v="-3206.5"/>
    <s v="83.95000"/>
    <s v="BDT"/>
    <n v="-269185.68"/>
    <n v="-3206.5"/>
    <s v="3206.5_1"/>
    <s v=""/>
    <s v="C3284LVUS070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512"/>
    <x v="88"/>
    <d v="2021-06-11T00:00:00"/>
    <d v="2021-06-17T00:00:00"/>
    <s v="RV"/>
    <s v="USD"/>
    <n v="-3197.15"/>
    <s v="83.95000"/>
    <s v="BDT"/>
    <n v="-268400.74"/>
    <n v="-3197.15"/>
    <s v="3197.15_1"/>
    <s v=""/>
    <s v="C3284LVUS070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512"/>
    <x v="88"/>
    <d v="2021-06-11T00:00:00"/>
    <d v="2021-06-17T00:00:00"/>
    <s v="RV"/>
    <s v="USD"/>
    <n v="-3196.45"/>
    <s v="83.95000"/>
    <s v="BDT"/>
    <n v="-268341.98"/>
    <n v="-3196.45"/>
    <s v="3196.45_1"/>
    <s v=""/>
    <s v="C3284LVUS070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577"/>
    <x v="247"/>
    <d v="2021-06-22T00:00:00"/>
    <d v="2021-06-24T00:00:00"/>
    <s v="RV"/>
    <s v="USD"/>
    <n v="-3192.87"/>
    <s v="83.95000"/>
    <s v="BDT"/>
    <n v="-268041.44"/>
    <n v="-3192.87"/>
    <s v="3192.87_1"/>
    <s v=""/>
    <s v="C3329UQ21MEL0779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0874"/>
    <x v="126"/>
    <d v="2021-01-13T00:00:00"/>
    <d v="2021-02-01T00:00:00"/>
    <s v="RV"/>
    <s v="USD"/>
    <n v="-3191.81"/>
    <s v="83.95000"/>
    <s v="BDT"/>
    <n v="-267952.45"/>
    <n v="-3191.81"/>
    <s v="3191.81_1"/>
    <s v=""/>
    <s v="C3213LVMX0012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292"/>
    <x v="82"/>
    <d v="2020-09-22T00:00:00"/>
    <d v="2020-10-04T00:00:00"/>
    <s v="RV"/>
    <s v="USD"/>
    <n v="-3189.35"/>
    <s v="83.95000"/>
    <s v="BDT"/>
    <n v="-267745.93"/>
    <n v="-3189.35"/>
    <s v="3189.35_1"/>
    <s v=""/>
    <s v="C3081LVUS088520"/>
    <s v="20200922"/>
    <s v=""/>
    <s v=""/>
    <s v="0"/>
    <s v=""/>
    <s v=""/>
    <s v=""/>
    <s v=""/>
    <s v="2010100001"/>
    <s v=""/>
    <m/>
    <s v=""/>
    <s v=""/>
    <s v=""/>
    <n v="0"/>
  </r>
  <r>
    <s v=""/>
    <s v="40101001"/>
    <s v="2018000542"/>
    <x v="3"/>
    <d v="2020-11-18T00:00:00"/>
    <d v="2020-11-26T00:00:00"/>
    <s v="RV"/>
    <s v="USD"/>
    <n v="-3183.1"/>
    <s v="83.95000"/>
    <s v="BDT"/>
    <n v="-267221.25"/>
    <n v="-3183.1"/>
    <s v="3183.1_1"/>
    <s v=""/>
    <s v="C3169UQ20KR1172"/>
    <s v="20201118"/>
    <s v=""/>
    <s v=""/>
    <s v="0"/>
    <s v=""/>
    <s v=""/>
    <s v=""/>
    <s v=""/>
    <s v="2010100001"/>
    <s v=""/>
    <m/>
    <s v=""/>
    <s v=""/>
    <s v=""/>
    <n v="0"/>
  </r>
  <r>
    <s v=""/>
    <s v="40101001"/>
    <s v="2018000887"/>
    <x v="284"/>
    <d v="2021-01-27T00:00:00"/>
    <d v="2021-02-04T00:00:00"/>
    <s v="RV"/>
    <s v="USD"/>
    <n v="-3176.09"/>
    <s v="83.95000"/>
    <s v="BDT"/>
    <n v="-266632.76"/>
    <n v="-3176.09"/>
    <s v="3176.09_1"/>
    <s v=""/>
    <s v="C3218LVMX009021"/>
    <s v="20210127"/>
    <s v=""/>
    <s v=""/>
    <s v="0"/>
    <s v=""/>
    <s v=""/>
    <s v=""/>
    <s v=""/>
    <s v="2010100001"/>
    <s v=""/>
    <m/>
    <s v=""/>
    <s v=""/>
    <s v=""/>
    <n v="0"/>
  </r>
  <r>
    <s v=""/>
    <s v="40101001"/>
    <s v="2018001295"/>
    <x v="71"/>
    <d v="2021-04-28T00:00:00"/>
    <d v="2021-05-07T00:00:00"/>
    <s v="RV"/>
    <s v="USD"/>
    <n v="-3175.12"/>
    <s v="83.95000"/>
    <s v="BDT"/>
    <n v="-266551.32"/>
    <n v="-3175.12"/>
    <s v="3175.12_1"/>
    <s v=""/>
    <s v="C3343UQ21HAK0528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585"/>
    <x v="247"/>
    <d v="2021-06-22T00:00:00"/>
    <d v="2021-06-26T00:00:00"/>
    <s v="RV"/>
    <s v="USD"/>
    <n v="-3175.12"/>
    <s v="83.95000"/>
    <s v="BDT"/>
    <n v="-266551.32"/>
    <n v="-3175.12"/>
    <s v="3175.12_2"/>
    <s v=""/>
    <s v="C3343UQ21MY0823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0134"/>
    <x v="147"/>
    <d v="2020-07-31T00:00:00"/>
    <d v="2020-08-14T00:00:00"/>
    <s v="RV"/>
    <s v="USD"/>
    <n v="-3172.85"/>
    <s v="83.95000"/>
    <s v="BDT"/>
    <n v="-266360.76"/>
    <n v="-3172.85"/>
    <s v="3172.85_1"/>
    <s v=""/>
    <s v="C3150UQ20YAN0690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890"/>
    <x v="44"/>
    <d v="2021-01-28T00:00:00"/>
    <d v="2021-02-04T00:00:00"/>
    <s v="RV"/>
    <s v="USD"/>
    <n v="-3172.43"/>
    <s v="83.95000"/>
    <s v="BDT"/>
    <n v="-266325.5"/>
    <n v="-3172.43"/>
    <s v="3172.43_1"/>
    <s v=""/>
    <s v="C3218LVUS0085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727"/>
    <x v="70"/>
    <d v="2020-12-27T00:00:00"/>
    <d v="2020-12-31T00:00:00"/>
    <s v="RV"/>
    <s v="USD"/>
    <n v="-3170.44"/>
    <s v="83.95000"/>
    <s v="BDT"/>
    <n v="-266158.44"/>
    <n v="-3170.44"/>
    <s v="3170.44_1"/>
    <s v=""/>
    <s v="C3145LVMY1300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1385"/>
    <x v="287"/>
    <d v="2021-05-18T00:00:00"/>
    <d v="2021-05-20T00:00:00"/>
    <s v="RV"/>
    <s v="USD"/>
    <n v="-3163.43"/>
    <s v="83.95000"/>
    <s v="BDT"/>
    <n v="-265569.95"/>
    <n v="-3163.43"/>
    <s v="3163.43_1"/>
    <s v=""/>
    <s v="C3286LVTR0621-21"/>
    <s v="20210518"/>
    <s v=""/>
    <s v=""/>
    <s v="0"/>
    <s v=""/>
    <s v=""/>
    <s v=""/>
    <s v=""/>
    <s v="2010100001"/>
    <s v=""/>
    <m/>
    <s v=""/>
    <s v=""/>
    <s v=""/>
    <n v="0"/>
  </r>
  <r>
    <s v=""/>
    <s v="40101001"/>
    <s v="2018001049"/>
    <x v="5"/>
    <d v="2021-03-07T00:00:00"/>
    <d v="2021-03-11T00:00:00"/>
    <s v="RV"/>
    <s v="USD"/>
    <n v="-3159.28"/>
    <s v="83.95000"/>
    <s v="BDT"/>
    <n v="-265221.56"/>
    <n v="-3159.28"/>
    <s v="3159.28_1"/>
    <s v=""/>
    <s v="C3272UQ21KR0263"/>
    <s v="20210307"/>
    <s v=""/>
    <s v=""/>
    <s v="0"/>
    <s v=""/>
    <s v=""/>
    <s v=""/>
    <s v=""/>
    <s v="2010100001"/>
    <s v=""/>
    <m/>
    <s v=""/>
    <s v=""/>
    <s v=""/>
    <n v="0"/>
  </r>
  <r>
    <s v=""/>
    <s v="40101001"/>
    <s v="2018000672"/>
    <x v="79"/>
    <d v="2020-12-18T00:00:00"/>
    <d v="2020-12-22T00:00:00"/>
    <s v="RV"/>
    <s v="USD"/>
    <n v="-3142.37"/>
    <s v="83.95000"/>
    <s v="BDT"/>
    <n v="-263801.96000000002"/>
    <n v="-3142.37"/>
    <s v="3142.37_1"/>
    <s v=""/>
    <s v="C3247UQ20HAK1342"/>
    <s v="20201218"/>
    <s v=""/>
    <s v=""/>
    <s v="0"/>
    <s v=""/>
    <s v=""/>
    <s v=""/>
    <s v=""/>
    <s v="2010100001"/>
    <s v=""/>
    <m/>
    <s v=""/>
    <s v=""/>
    <s v=""/>
    <n v="0"/>
  </r>
  <r>
    <s v=""/>
    <s v="40101002"/>
    <s v="2018001198"/>
    <x v="307"/>
    <d v="2021-04-07T00:00:00"/>
    <d v="2021-04-10T00:00:00"/>
    <s v="RV"/>
    <s v="USD"/>
    <n v="-3137.4"/>
    <s v="83.95000"/>
    <s v="BDT"/>
    <n v="-263384.73"/>
    <n v="-3137.4"/>
    <s v="3137.4_1"/>
    <s v=""/>
    <s v="C3265LVPK0426-21"/>
    <s v="20210407"/>
    <s v=""/>
    <s v=""/>
    <s v="0"/>
    <s v=""/>
    <s v=""/>
    <s v=""/>
    <s v=""/>
    <s v="2010100001"/>
    <s v=""/>
    <m/>
    <s v=""/>
    <s v=""/>
    <s v=""/>
    <n v="0"/>
  </r>
  <r>
    <s v=""/>
    <s v="40101002"/>
    <s v="2018001537"/>
    <x v="88"/>
    <d v="2021-06-11T00:00:00"/>
    <d v="2021-06-19T00:00:00"/>
    <s v="RV"/>
    <s v="USD"/>
    <n v="-3137.4"/>
    <s v="83.95000"/>
    <s v="BDT"/>
    <n v="-263384.73"/>
    <n v="-3137.4"/>
    <s v="3137.4_2"/>
    <s v=""/>
    <s v="C3285LVPK0742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149"/>
    <x v="177"/>
    <d v="2021-03-23T00:00:00"/>
    <d v="2021-03-31T00:00:00"/>
    <s v="RV"/>
    <s v="USD"/>
    <n v="-3129.26"/>
    <s v="83.95000"/>
    <s v="BDT"/>
    <n v="-262701.38"/>
    <n v="-3129.26"/>
    <s v="3129.26_1"/>
    <s v=""/>
    <s v="C3266LVTR0373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559"/>
    <x v="279"/>
    <d v="2020-11-26T00:00:00"/>
    <d v="2020-11-30T00:00:00"/>
    <s v="RV"/>
    <s v="USD"/>
    <n v="-3123.71"/>
    <s v="83.95000"/>
    <s v="BDT"/>
    <n v="-262235.45"/>
    <n v="-3123.71"/>
    <s v="3123.71_1"/>
    <s v=""/>
    <s v="C3147LVCL117120"/>
    <s v="20201126"/>
    <s v=""/>
    <s v=""/>
    <s v="0"/>
    <s v=""/>
    <s v=""/>
    <s v=""/>
    <s v=""/>
    <s v="2010100001"/>
    <s v=""/>
    <m/>
    <s v=""/>
    <s v=""/>
    <s v=""/>
    <n v="0"/>
  </r>
  <r>
    <s v=""/>
    <s v="40101001"/>
    <s v="2018001163"/>
    <x v="118"/>
    <d v="2021-03-27T00:00:00"/>
    <d v="2021-04-01T00:00:00"/>
    <s v="RV"/>
    <s v="USD"/>
    <n v="-3113.14"/>
    <s v="83.95000"/>
    <s v="BDT"/>
    <n v="-261348.1"/>
    <n v="-3113.14"/>
    <s v="3113.14_1"/>
    <s v=""/>
    <s v="C3318UQ21SEN0400"/>
    <s v="20210327"/>
    <s v=""/>
    <s v=""/>
    <s v="0"/>
    <s v=""/>
    <s v=""/>
    <s v=""/>
    <s v=""/>
    <s v="2010100001"/>
    <s v=""/>
    <m/>
    <s v=""/>
    <s v=""/>
    <s v=""/>
    <n v="0"/>
  </r>
  <r>
    <s v=""/>
    <s v="40101001"/>
    <s v="2018000454"/>
    <x v="221"/>
    <d v="2020-11-06T00:00:00"/>
    <d v="2020-11-11T00:00:00"/>
    <s v="RV"/>
    <s v="USD"/>
    <n v="-3112.8"/>
    <s v="83.95000"/>
    <s v="BDT"/>
    <n v="-261319.56"/>
    <n v="-3112.8"/>
    <s v="3112.8_1"/>
    <s v=""/>
    <s v="C3234UQ20VAN1068"/>
    <s v="20201106"/>
    <s v=""/>
    <s v=""/>
    <s v="0"/>
    <s v=""/>
    <s v=""/>
    <s v=""/>
    <s v=""/>
    <s v="2010100001"/>
    <s v=""/>
    <m/>
    <s v=""/>
    <s v=""/>
    <s v=""/>
    <n v="0"/>
  </r>
  <r>
    <s v=""/>
    <s v="40101001"/>
    <s v="2018001462"/>
    <x v="196"/>
    <d v="2021-06-05T00:00:00"/>
    <d v="2021-06-10T00:00:00"/>
    <s v="RV"/>
    <s v="USD"/>
    <n v="-3107.85"/>
    <s v="83.95000"/>
    <s v="BDT"/>
    <n v="-260904.01"/>
    <n v="-3107.85"/>
    <s v="3107.85_1"/>
    <s v=""/>
    <s v="C3284LVMY0710-21"/>
    <s v="20210605"/>
    <s v=""/>
    <s v=""/>
    <s v="0"/>
    <s v=""/>
    <s v=""/>
    <s v=""/>
    <s v=""/>
    <s v="2010100001"/>
    <s v=""/>
    <m/>
    <s v=""/>
    <s v=""/>
    <s v=""/>
    <n v="0"/>
  </r>
  <r>
    <s v=""/>
    <s v="40101001"/>
    <s v="2018000017"/>
    <x v="210"/>
    <d v="2020-07-08T00:00:00"/>
    <d v="2020-07-15T00:00:00"/>
    <s v="RV"/>
    <s v="USD"/>
    <n v="-3105.31"/>
    <s v="83.95000"/>
    <s v="BDT"/>
    <n v="-260690.77"/>
    <n v="-3105.31"/>
    <s v="3105.31_1"/>
    <s v=""/>
    <s v="C3067LVGR0594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1190"/>
    <x v="183"/>
    <d v="2021-03-29T00:00:00"/>
    <d v="2021-04-05T00:00:00"/>
    <s v="RV"/>
    <s v="USD"/>
    <n v="-3103.35"/>
    <s v="83.95000"/>
    <s v="BDT"/>
    <n v="-260526.23"/>
    <n v="-3103.35"/>
    <s v="3103.35_1"/>
    <s v=""/>
    <s v="C3275LVPE0365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475"/>
    <x v="152"/>
    <d v="2021-06-07T00:00:00"/>
    <d v="2021-06-10T00:00:00"/>
    <s v="RV"/>
    <s v="USD"/>
    <n v="-3102.13"/>
    <s v="83.95000"/>
    <s v="BDT"/>
    <n v="-260423.81"/>
    <n v="-3102.13"/>
    <s v="3102.13_1"/>
    <s v=""/>
    <s v="C3343UQ21NAG0726"/>
    <s v="20210607"/>
    <s v=""/>
    <s v=""/>
    <s v="0"/>
    <s v=""/>
    <s v=""/>
    <s v=""/>
    <s v=""/>
    <s v="2010100001"/>
    <s v=""/>
    <m/>
    <s v=""/>
    <s v=""/>
    <s v=""/>
    <n v="0"/>
  </r>
  <r>
    <s v=""/>
    <s v="40101002"/>
    <s v="2018001386"/>
    <x v="56"/>
    <d v="2021-05-13T00:00:00"/>
    <d v="2021-05-22T00:00:00"/>
    <s v="RV"/>
    <s v="USD"/>
    <n v="-3078"/>
    <s v="83.95000"/>
    <s v="BDT"/>
    <n v="-258398.1"/>
    <n v="-3078"/>
    <s v="3078_1"/>
    <s v=""/>
    <s v="C3282LVPK0618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482"/>
    <x v="202"/>
    <d v="2021-06-06T00:00:00"/>
    <d v="2021-06-14T00:00:00"/>
    <s v="RV"/>
    <s v="USD"/>
    <n v="-3067.53"/>
    <s v="83.95000"/>
    <s v="BDT"/>
    <n v="-257519.14"/>
    <n v="-3067.53"/>
    <s v="3067.53_1"/>
    <s v=""/>
    <s v="C3284LVGR0745-21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1294"/>
    <x v="71"/>
    <d v="2021-04-28T00:00:00"/>
    <d v="2021-05-07T00:00:00"/>
    <s v="RV"/>
    <s v="USD"/>
    <n v="-3065.63"/>
    <s v="83.95000"/>
    <s v="BDT"/>
    <n v="-257359.64"/>
    <n v="-3065.63"/>
    <s v="3065.63_1"/>
    <s v=""/>
    <s v="C3343UQ21NAG0529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579"/>
    <x v="218"/>
    <d v="2020-11-29T00:00:00"/>
    <d v="2020-12-01T00:00:00"/>
    <s v="RV"/>
    <s v="USD"/>
    <n v="-3062.22"/>
    <s v="83.95000"/>
    <s v="BDT"/>
    <n v="-257073.37"/>
    <n v="-3062.22"/>
    <s v="3062.22_1"/>
    <s v=""/>
    <s v="C3147LVUS1230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579"/>
    <x v="218"/>
    <d v="2020-11-29T00:00:00"/>
    <d v="2020-12-01T00:00:00"/>
    <s v="RV"/>
    <s v="USD"/>
    <n v="-3062.22"/>
    <s v="83.95000"/>
    <s v="BDT"/>
    <n v="-257073.37"/>
    <n v="-3062.22"/>
    <s v="3062.22_2"/>
    <s v=""/>
    <s v="C3147LVUS1230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1190"/>
    <x v="183"/>
    <d v="2021-03-29T00:00:00"/>
    <d v="2021-04-05T00:00:00"/>
    <s v="RV"/>
    <s v="USD"/>
    <n v="-3056.64"/>
    <s v="83.95000"/>
    <s v="BDT"/>
    <n v="-256604.93"/>
    <n v="-3056.64"/>
    <s v="3056.64_1"/>
    <s v=""/>
    <s v="C3275LVPE0365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935"/>
    <x v="46"/>
    <d v="2021-02-07T00:00:00"/>
    <d v="2021-02-14T00:00:00"/>
    <s v="RV"/>
    <s v="USD"/>
    <n v="-3053.48"/>
    <s v="83.95000"/>
    <s v="BDT"/>
    <n v="-256339.65"/>
    <n v="-3053.48"/>
    <s v="3053.48_1"/>
    <s v=""/>
    <s v="C3260UQ21TOM0160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0543"/>
    <x v="34"/>
    <d v="2020-11-23T00:00:00"/>
    <d v="2020-11-28T00:00:00"/>
    <s v="RV"/>
    <s v="USD"/>
    <n v="-3051.1"/>
    <s v="83.95000"/>
    <s v="BDT"/>
    <n v="-256139.83"/>
    <n v="-3051.1"/>
    <s v="3051.1_1"/>
    <s v=""/>
    <s v="C3142LVPE10632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578"/>
    <x v="218"/>
    <d v="2020-11-29T00:00:00"/>
    <d v="2020-12-01T00:00:00"/>
    <s v="RV"/>
    <s v="USD"/>
    <n v="-3045.04"/>
    <s v="83.95000"/>
    <s v="BDT"/>
    <n v="-255631.11"/>
    <n v="-3045.04"/>
    <s v="3045.04_1"/>
    <s v=""/>
    <s v="C3147LVTR1237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783"/>
    <x v="211"/>
    <d v="2021-01-03T00:00:00"/>
    <d v="2021-01-07T00:00:00"/>
    <s v="RV"/>
    <s v="USD"/>
    <n v="-3044.64"/>
    <s v="83.95000"/>
    <s v="BDT"/>
    <n v="-255597.53"/>
    <n v="-3044.64"/>
    <s v="3044.64_1"/>
    <s v=""/>
    <s v="C3141LVPE1394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876"/>
    <x v="44"/>
    <d v="2021-01-28T00:00:00"/>
    <d v="2021-02-01T00:00:00"/>
    <s v="RV"/>
    <s v="USD"/>
    <n v="-3044.64"/>
    <s v="83.95000"/>
    <s v="BDT"/>
    <n v="-255597.53"/>
    <n v="-3044.64"/>
    <s v="3044.64_2"/>
    <s v=""/>
    <s v="C3218LVCL0104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421"/>
    <x v="98"/>
    <d v="2020-10-21T00:00:00"/>
    <d v="2020-11-07T00:00:00"/>
    <s v="RV"/>
    <s v="USD"/>
    <n v="-3044.4"/>
    <s v="83.95000"/>
    <s v="BDT"/>
    <n v="-255577.38"/>
    <n v="-3044.4"/>
    <s v="3044.4_1"/>
    <s v=""/>
    <s v="C3140LVUS0988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1363"/>
    <x v="56"/>
    <d v="2021-05-13T00:00:00"/>
    <d v="2021-05-20T00:00:00"/>
    <s v="RV"/>
    <s v="USD"/>
    <n v="-3039.41"/>
    <s v="83.95000"/>
    <s v="BDT"/>
    <n v="-255158.47"/>
    <n v="-3039.41"/>
    <s v="3039.41_1"/>
    <s v=""/>
    <s v="C3282LVID0547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529"/>
    <x v="86"/>
    <d v="2021-06-14T00:00:00"/>
    <d v="2021-06-17T00:00:00"/>
    <s v="RV"/>
    <s v="USD"/>
    <n v="-3038.08"/>
    <s v="83.95000"/>
    <s v="BDT"/>
    <n v="-255046.82"/>
    <n v="-3038.08"/>
    <s v="3038.08_1"/>
    <s v=""/>
    <s v="C3270LVGR0797-21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1569"/>
    <x v="75"/>
    <d v="2021-06-17T00:00:00"/>
    <d v="2021-06-24T00:00:00"/>
    <s v="RV"/>
    <s v="USD"/>
    <n v="-3036.98"/>
    <s v="83.95000"/>
    <s v="BDT"/>
    <n v="-254954.47"/>
    <n v="-3036.98"/>
    <s v="3036.98_1"/>
    <s v=""/>
    <s v="C3335LVUS0792-21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817"/>
    <x v="291"/>
    <d v="2021-01-11T00:00:00"/>
    <d v="2021-01-21T00:00:00"/>
    <s v="RV"/>
    <s v="USD"/>
    <n v="-3034.13"/>
    <s v="83.95000"/>
    <s v="BDT"/>
    <n v="-254715.21"/>
    <n v="-3034.13"/>
    <s v="3034.13_1"/>
    <s v=""/>
    <s v="C3259UQ21NY0004"/>
    <s v="20210111"/>
    <s v=""/>
    <s v=""/>
    <s v="0"/>
    <s v=""/>
    <s v=""/>
    <s v=""/>
    <s v=""/>
    <s v="2010100001"/>
    <s v=""/>
    <m/>
    <s v=""/>
    <s v=""/>
    <s v=""/>
    <n v="0"/>
  </r>
  <r>
    <s v=""/>
    <s v="40101001"/>
    <s v="2018001006"/>
    <x v="231"/>
    <d v="2021-02-22T00:00:00"/>
    <d v="2021-02-28T00:00:00"/>
    <s v="RV"/>
    <s v="USD"/>
    <n v="-3032.71"/>
    <s v="83.95000"/>
    <s v="BDT"/>
    <n v="-254596"/>
    <n v="-3032.71"/>
    <s v="3032.71_1"/>
    <s v=""/>
    <s v="C3290UQ21SEN0240"/>
    <s v="20210222"/>
    <s v=""/>
    <s v=""/>
    <s v="0"/>
    <s v=""/>
    <s v=""/>
    <s v=""/>
    <s v=""/>
    <s v="2010100001"/>
    <s v=""/>
    <m/>
    <s v=""/>
    <s v=""/>
    <s v=""/>
    <n v="0"/>
  </r>
  <r>
    <s v=""/>
    <s v="40101001"/>
    <s v="2018001160"/>
    <x v="118"/>
    <d v="2021-03-27T00:00:00"/>
    <d v="2021-04-01T00:00:00"/>
    <s v="RV"/>
    <s v="USD"/>
    <n v="-3032.71"/>
    <s v="83.95000"/>
    <s v="BDT"/>
    <n v="-254596"/>
    <n v="-3032.71"/>
    <s v="3032.71_2"/>
    <s v=""/>
    <s v="C3290UQ21SEN0396"/>
    <s v="20210327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3020.79"/>
    <s v="83.95000"/>
    <s v="BDT"/>
    <n v="-253595.32"/>
    <n v="-3020.79"/>
    <s v="3020.79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365"/>
    <x v="98"/>
    <d v="2020-10-21T00:00:00"/>
    <d v="2020-10-28T00:00:00"/>
    <s v="RV"/>
    <s v="USD"/>
    <n v="-3013.52"/>
    <s v="83.95000"/>
    <s v="BDT"/>
    <n v="-252985"/>
    <n v="-3013.52"/>
    <s v="3013.52_1"/>
    <s v=""/>
    <s v="C3102LVUS098920"/>
    <s v="20201021"/>
    <s v=""/>
    <s v=""/>
    <s v="0"/>
    <s v=""/>
    <s v=""/>
    <s v=""/>
    <s v=""/>
    <s v="2010100001"/>
    <s v=""/>
    <m/>
    <s v=""/>
    <s v=""/>
    <s v=""/>
    <n v="0"/>
  </r>
  <r>
    <s v=""/>
    <s v="40101001"/>
    <s v="2018001607"/>
    <x v="93"/>
    <d v="2021-06-29T00:00:00"/>
    <d v="2021-06-30T00:00:00"/>
    <s v="RV"/>
    <s v="USD"/>
    <n v="-3001.37"/>
    <s v="83.95000"/>
    <s v="BDT"/>
    <n v="-251965.01"/>
    <n v="-3001.37"/>
    <s v="3001.37_1"/>
    <s v=""/>
    <s v="C3341LVGR0868-21"/>
    <s v="20210629"/>
    <s v=""/>
    <s v=""/>
    <s v="0"/>
    <s v=""/>
    <s v=""/>
    <s v=""/>
    <s v=""/>
    <s v="2010100001"/>
    <s v=""/>
    <m/>
    <s v=""/>
    <s v=""/>
    <s v=""/>
    <n v="0"/>
  </r>
  <r>
    <s v=""/>
    <s v="40101012"/>
    <s v="2008000179"/>
    <x v="143"/>
    <d v="2021-01-31T00:00:00"/>
    <d v="2021-02-07T00:00:00"/>
    <s v="DR"/>
    <s v="USD"/>
    <n v="-3001.33"/>
    <s v="83.95000"/>
    <s v="BDT"/>
    <n v="-251961.65"/>
    <n v="-3001.33"/>
    <s v="3001.33_1"/>
    <s v=""/>
    <s v="CIPL-MSGL-225-20"/>
    <s v="CIPL-MSGL-225-20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01"/>
    <s v="2018000632"/>
    <x v="26"/>
    <d v="2020-12-07T00:00:00"/>
    <d v="2020-12-13T00:00:00"/>
    <s v="RV"/>
    <s v="USD"/>
    <n v="-2995.87"/>
    <s v="83.95000"/>
    <s v="BDT"/>
    <n v="-251503.29"/>
    <n v="-2995.87"/>
    <s v="2995.87_1"/>
    <s v=""/>
    <s v="C3247UQ20LA1278"/>
    <s v="20201207"/>
    <s v=""/>
    <s v=""/>
    <s v="0"/>
    <s v=""/>
    <s v=""/>
    <s v=""/>
    <s v=""/>
    <s v="2010100001"/>
    <s v=""/>
    <m/>
    <s v=""/>
    <s v=""/>
    <s v=""/>
    <n v="0"/>
  </r>
  <r>
    <s v=""/>
    <s v="40101001"/>
    <s v="2018001072"/>
    <x v="228"/>
    <d v="2021-03-12T00:00:00"/>
    <d v="2021-03-17T00:00:00"/>
    <s v="RV"/>
    <s v="USD"/>
    <n v="-2995.03"/>
    <s v="83.95000"/>
    <s v="BDT"/>
    <n v="-251432.77"/>
    <n v="-2995.03"/>
    <s v="2995.03_1"/>
    <s v=""/>
    <s v="C3263LVUS0278-21"/>
    <s v="20210312"/>
    <s v=""/>
    <s v=""/>
    <s v="0"/>
    <s v=""/>
    <s v=""/>
    <s v=""/>
    <s v=""/>
    <s v="2010100001"/>
    <s v=""/>
    <m/>
    <s v=""/>
    <s v=""/>
    <s v=""/>
    <n v="0"/>
  </r>
  <r>
    <s v=""/>
    <s v="40101001"/>
    <s v="2018000874"/>
    <x v="126"/>
    <d v="2021-01-13T00:00:00"/>
    <d v="2021-02-01T00:00:00"/>
    <s v="RV"/>
    <s v="USD"/>
    <n v="-2985.91"/>
    <s v="83.95000"/>
    <s v="BDT"/>
    <n v="-250667.14"/>
    <n v="-2985.91"/>
    <s v="2985.91_1"/>
    <s v=""/>
    <s v="C3213LVMX001221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886"/>
    <x v="303"/>
    <d v="2021-01-29T00:00:00"/>
    <d v="2021-02-02T00:00:00"/>
    <s v="RV"/>
    <s v="USD"/>
    <n v="-2970.44"/>
    <s v="83.95000"/>
    <s v="BDT"/>
    <n v="-249368.44"/>
    <n v="-2970.44"/>
    <s v="2970.44_1"/>
    <s v=""/>
    <s v="C3221LVGR009421"/>
    <s v="20210129"/>
    <s v=""/>
    <s v=""/>
    <s v="0"/>
    <s v=""/>
    <s v=""/>
    <s v=""/>
    <s v=""/>
    <s v="2010100001"/>
    <s v=""/>
    <m/>
    <s v=""/>
    <s v=""/>
    <s v=""/>
    <n v="0"/>
  </r>
  <r>
    <s v=""/>
    <s v="40101002"/>
    <s v="2018001536"/>
    <x v="252"/>
    <d v="2021-06-03T00:00:00"/>
    <d v="2021-06-19T00:00:00"/>
    <s v="RV"/>
    <s v="USD"/>
    <n v="-2970.04"/>
    <s v="83.95000"/>
    <s v="BDT"/>
    <n v="-249334.86"/>
    <n v="-2970.04"/>
    <s v="2970.04_1"/>
    <s v=""/>
    <s v="C3283LVPK0707-21"/>
    <s v="20210603"/>
    <s v=""/>
    <s v=""/>
    <s v="0"/>
    <s v=""/>
    <s v=""/>
    <s v=""/>
    <s v=""/>
    <s v="2010100001"/>
    <s v=""/>
    <m/>
    <s v=""/>
    <s v=""/>
    <s v=""/>
    <n v="0"/>
  </r>
  <r>
    <s v=""/>
    <s v="40101002"/>
    <s v="2018001536"/>
    <x v="252"/>
    <d v="2021-06-03T00:00:00"/>
    <d v="2021-06-19T00:00:00"/>
    <s v="RV"/>
    <s v="USD"/>
    <n v="-2970.04"/>
    <s v="83.95000"/>
    <s v="BDT"/>
    <n v="-249334.86"/>
    <n v="-2970.04"/>
    <s v="2970.04_2"/>
    <s v=""/>
    <s v="C3283LVPK0707-21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0857"/>
    <x v="197"/>
    <d v="2021-01-23T00:00:00"/>
    <d v="2021-01-30T00:00:00"/>
    <s v="RV"/>
    <s v="USD"/>
    <n v="-2958.27"/>
    <s v="83.95000"/>
    <s v="BDT"/>
    <n v="-248346.77"/>
    <n v="-2958.27"/>
    <s v="2958.27_1"/>
    <s v=""/>
    <s v="C3259UQ21NAG0076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2949.11"/>
    <s v="83.95000"/>
    <s v="BDT"/>
    <n v="-247577.78"/>
    <n v="-2949.11"/>
    <s v="2949.11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828"/>
    <x v="62"/>
    <d v="2021-01-18T00:00:00"/>
    <d v="2021-01-23T00:00:00"/>
    <s v="RV"/>
    <s v="USD"/>
    <n v="-2937.39"/>
    <s v="83.95000"/>
    <s v="BDT"/>
    <n v="-246593.89"/>
    <n v="-2937.39"/>
    <s v="2937.39_1"/>
    <s v=""/>
    <s v="C3274UQ21VAN0047"/>
    <s v="20210118"/>
    <s v=""/>
    <s v=""/>
    <s v="0"/>
    <s v=""/>
    <s v=""/>
    <s v=""/>
    <s v=""/>
    <s v="2010100001"/>
    <s v=""/>
    <m/>
    <s v=""/>
    <s v=""/>
    <s v=""/>
    <n v="0"/>
  </r>
  <r>
    <s v=""/>
    <s v="40101001"/>
    <s v="2018001189"/>
    <x v="183"/>
    <d v="2021-03-29T00:00:00"/>
    <d v="2021-04-05T00:00:00"/>
    <s v="RV"/>
    <s v="USD"/>
    <n v="-2936.66"/>
    <s v="83.95000"/>
    <s v="BDT"/>
    <n v="-246532.61"/>
    <n v="-2936.66"/>
    <s v="2936.66_1"/>
    <s v=""/>
    <s v="C3147LVPE0250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189"/>
    <x v="183"/>
    <d v="2021-03-29T00:00:00"/>
    <d v="2021-04-05T00:00:00"/>
    <s v="RV"/>
    <s v="USD"/>
    <n v="-2936.66"/>
    <s v="83.95000"/>
    <s v="BDT"/>
    <n v="-246532.61"/>
    <n v="-2936.66"/>
    <s v="2936.66_2"/>
    <s v=""/>
    <s v="C3147LVPE0250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414"/>
    <x v="17"/>
    <d v="2021-05-23T00:00:00"/>
    <d v="2021-05-26T00:00:00"/>
    <s v="RV"/>
    <s v="USD"/>
    <n v="-2935.97"/>
    <s v="83.95000"/>
    <s v="BDT"/>
    <n v="-246474.68"/>
    <n v="-2935.97"/>
    <s v="2935.97_1"/>
    <s v=""/>
    <s v="C3329UQ21VAN0628"/>
    <s v="20210523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2931.14"/>
    <s v="83.95000"/>
    <s v="BDT"/>
    <n v="-246069.2"/>
    <n v="-2931.14"/>
    <s v="2931.14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460"/>
    <x v="221"/>
    <d v="2020-11-06T00:00:00"/>
    <d v="2020-11-14T00:00:00"/>
    <s v="RV"/>
    <s v="USD"/>
    <n v="-2912"/>
    <s v="83.95000"/>
    <s v="BDT"/>
    <n v="-244462.4"/>
    <n v="-2912"/>
    <s v="2912_1"/>
    <s v=""/>
    <s v="C3141LVUS094720"/>
    <s v="20201106"/>
    <s v=""/>
    <s v=""/>
    <s v="0"/>
    <s v=""/>
    <s v=""/>
    <s v=""/>
    <s v=""/>
    <s v="2010100001"/>
    <s v=""/>
    <m/>
    <s v=""/>
    <s v=""/>
    <s v=""/>
    <n v="0"/>
  </r>
  <r>
    <s v=""/>
    <s v="40101001"/>
    <s v="2018000525"/>
    <x v="115"/>
    <d v="2020-11-15T00:00:00"/>
    <d v="2020-11-24T00:00:00"/>
    <s v="RV"/>
    <s v="USD"/>
    <n v="-2909.11"/>
    <s v="83.95000"/>
    <s v="BDT"/>
    <n v="-244219.78"/>
    <n v="-2909.11"/>
    <s v="2909.11_1"/>
    <s v=""/>
    <s v="C3147LVUS115020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0957"/>
    <x v="99"/>
    <d v="2021-02-11T00:00:00"/>
    <d v="2021-02-16T00:00:00"/>
    <s v="RV"/>
    <s v="USD"/>
    <n v="-2908.08"/>
    <s v="83.95000"/>
    <s v="BDT"/>
    <n v="-244133.32"/>
    <n v="-2908.08"/>
    <s v="2908.08_1"/>
    <s v=""/>
    <s v="C3260UQ21TOM0178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408"/>
    <x v="146"/>
    <d v="2020-11-02T00:00:00"/>
    <d v="2020-11-04T00:00:00"/>
    <s v="RV"/>
    <s v="USD"/>
    <n v="-2905.42"/>
    <s v="83.95000"/>
    <s v="BDT"/>
    <n v="-243910.01"/>
    <n v="-2905.42"/>
    <s v="2905.42_1"/>
    <s v=""/>
    <s v="C03170US20-0986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2899.96"/>
    <s v="83.95000"/>
    <s v="BDT"/>
    <n v="-243451.64"/>
    <n v="-2899.96"/>
    <s v="2899.96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1177"/>
    <x v="101"/>
    <d v="2021-03-28T00:00:00"/>
    <d v="2021-04-04T00:00:00"/>
    <s v="RV"/>
    <s v="USD"/>
    <n v="-2888.49"/>
    <s v="83.95000"/>
    <s v="BDT"/>
    <n v="-242488.74"/>
    <n v="-2888.49"/>
    <s v="2888.49_1"/>
    <s v=""/>
    <s v="C3318UQ21TOK0412"/>
    <s v="20210328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2882.02"/>
    <s v="83.95000"/>
    <s v="BDT"/>
    <n v="-241945.58"/>
    <n v="-2882.02"/>
    <s v="2882.02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012"/>
    <x v="231"/>
    <d v="2021-02-22T00:00:00"/>
    <d v="2021-03-02T00:00:00"/>
    <s v="RV"/>
    <s v="USD"/>
    <n v="-2874.4"/>
    <s v="83.95000"/>
    <s v="BDT"/>
    <n v="-241305.88"/>
    <n v="-2874.4"/>
    <s v="2874.4_1"/>
    <s v=""/>
    <s v="C3248LVPE0134-21"/>
    <s v="20210222"/>
    <s v=""/>
    <s v=""/>
    <s v="0"/>
    <s v=""/>
    <s v=""/>
    <s v=""/>
    <s v=""/>
    <s v="2010100001"/>
    <s v=""/>
    <m/>
    <s v=""/>
    <s v=""/>
    <s v=""/>
    <n v="0"/>
  </r>
  <r>
    <s v=""/>
    <s v="40101001"/>
    <s v="2018001439"/>
    <x v="255"/>
    <d v="2021-05-31T00:00:00"/>
    <d v="2021-06-03T00:00:00"/>
    <s v="RV"/>
    <s v="USD"/>
    <n v="-2874.08"/>
    <s v="83.95000"/>
    <s v="BDT"/>
    <n v="-241279.02"/>
    <n v="-2874.08"/>
    <s v="2874.08_1"/>
    <s v=""/>
    <s v="C3289LVGR0708-21"/>
    <s v="20210531"/>
    <s v=""/>
    <s v=""/>
    <s v="0"/>
    <s v=""/>
    <s v=""/>
    <s v=""/>
    <s v=""/>
    <s v="2010100001"/>
    <s v=""/>
    <m/>
    <s v=""/>
    <s v=""/>
    <s v=""/>
    <n v="0"/>
  </r>
  <r>
    <s v=""/>
    <s v="40101001"/>
    <s v="2018000663"/>
    <x v="19"/>
    <d v="2020-12-16T00:00:00"/>
    <d v="2020-12-22T00:00:00"/>
    <s v="RV"/>
    <s v="USD"/>
    <n v="-2865.16"/>
    <s v="83.95000"/>
    <s v="BDT"/>
    <n v="-240530.18"/>
    <n v="-2865.16"/>
    <s v="2865.16_1"/>
    <s v=""/>
    <s v="C3100LVGR13122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442"/>
    <x v="283"/>
    <d v="2020-11-04T00:00:00"/>
    <d v="2020-11-11T00:00:00"/>
    <s v="RV"/>
    <s v="USD"/>
    <n v="-2864.84"/>
    <s v="83.95000"/>
    <s v="BDT"/>
    <n v="-240503.32"/>
    <n v="-2864.84"/>
    <s v="2864.84_1"/>
    <s v=""/>
    <s v="C3104LVMX101220"/>
    <s v="20201104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2863.84"/>
    <s v="83.95000"/>
    <s v="BDT"/>
    <n v="-240419.37"/>
    <n v="-2863.84"/>
    <s v="2863.84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2849.88"/>
    <s v="83.95000"/>
    <s v="BDT"/>
    <n v="-239247.43"/>
    <n v="-2849.88"/>
    <s v="2849.88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2849.88"/>
    <s v="83.95000"/>
    <s v="BDT"/>
    <n v="-239247.43"/>
    <n v="-2849.88"/>
    <s v="2849.88_2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2849.88"/>
    <s v="83.95000"/>
    <s v="BDT"/>
    <n v="-239247.43"/>
    <n v="-2849.88"/>
    <s v="2849.88_3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2837.08"/>
    <s v="83.95000"/>
    <s v="BDT"/>
    <n v="-238172.87"/>
    <n v="-2837.08"/>
    <s v="2837.08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543"/>
    <x v="34"/>
    <d v="2020-11-23T00:00:00"/>
    <d v="2020-11-28T00:00:00"/>
    <s v="RV"/>
    <s v="USD"/>
    <n v="-2836.44"/>
    <s v="83.95000"/>
    <s v="BDT"/>
    <n v="-238119.14"/>
    <n v="-2836.44"/>
    <s v="2836.44_1"/>
    <s v=""/>
    <s v="C3142LVPE10632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826"/>
    <x v="62"/>
    <d v="2021-01-18T00:00:00"/>
    <d v="2021-01-23T00:00:00"/>
    <s v="RV"/>
    <s v="USD"/>
    <n v="-2830.67"/>
    <s v="83.95000"/>
    <s v="BDT"/>
    <n v="-237634.75"/>
    <n v="-2830.67"/>
    <s v="2830.67_1"/>
    <s v=""/>
    <s v="C3233UQ21TOM0058"/>
    <s v="20210118"/>
    <s v=""/>
    <s v=""/>
    <s v="0"/>
    <s v=""/>
    <s v=""/>
    <s v=""/>
    <s v=""/>
    <s v="2010100001"/>
    <s v=""/>
    <m/>
    <s v=""/>
    <s v=""/>
    <s v=""/>
    <n v="0"/>
  </r>
  <r>
    <s v=""/>
    <s v="40101001"/>
    <s v="2018000743"/>
    <x v="69"/>
    <d v="2020-12-29T00:00:00"/>
    <d v="2021-01-03T00:00:00"/>
    <s v="RV"/>
    <s v="USD"/>
    <n v="-2829.82"/>
    <s v="83.95000"/>
    <s v="BDT"/>
    <n v="-237563.39"/>
    <n v="-2829.82"/>
    <s v="2829.82_1"/>
    <s v=""/>
    <s v="C3234UQ20TOR1365"/>
    <s v="20201229"/>
    <s v=""/>
    <s v=""/>
    <s v="0"/>
    <s v=""/>
    <s v=""/>
    <s v=""/>
    <s v=""/>
    <s v="2010100001"/>
    <s v=""/>
    <m/>
    <s v=""/>
    <s v=""/>
    <s v=""/>
    <n v="0"/>
  </r>
  <r>
    <s v=""/>
    <s v="40101001"/>
    <s v="2018000789"/>
    <x v="211"/>
    <d v="2021-01-03T00:00:00"/>
    <d v="2021-01-12T00:00:00"/>
    <s v="RV"/>
    <s v="USD"/>
    <n v="-2828.02"/>
    <s v="83.95000"/>
    <s v="BDT"/>
    <n v="-237412.28"/>
    <n v="-2828.02"/>
    <s v="2828.02_1"/>
    <s v=""/>
    <s v="C3247UQ20NY1413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066"/>
    <x v="295"/>
    <d v="2020-07-21T00:00:00"/>
    <d v="2020-07-25T00:00:00"/>
    <s v="RV"/>
    <s v="USD"/>
    <n v="-2824.72"/>
    <s v="83.95000"/>
    <s v="BDT"/>
    <n v="-237135.25"/>
    <n v="-2824.72"/>
    <s v="2824.72_1"/>
    <s v=""/>
    <s v="C3132UQ20EU0644"/>
    <s v="20200721"/>
    <s v=""/>
    <s v=""/>
    <s v="0"/>
    <s v=""/>
    <s v=""/>
    <s v=""/>
    <s v=""/>
    <s v="2010100001"/>
    <s v=""/>
    <m/>
    <s v=""/>
    <s v=""/>
    <s v=""/>
    <n v="0"/>
  </r>
  <r>
    <s v=""/>
    <s v="40101001"/>
    <s v="2018000154"/>
    <x v="305"/>
    <d v="2020-08-18T00:00:00"/>
    <d v="2020-08-25T00:00:00"/>
    <s v="RV"/>
    <s v="USD"/>
    <n v="-2824.71"/>
    <s v="83.95000"/>
    <s v="BDT"/>
    <n v="-237134.4"/>
    <n v="-2824.71"/>
    <s v="2824.71_1"/>
    <s v=""/>
    <s v="C3132UQ20SHA0737"/>
    <s v="20200818"/>
    <s v=""/>
    <s v=""/>
    <s v="0"/>
    <s v=""/>
    <s v=""/>
    <s v=""/>
    <s v=""/>
    <s v="2010100001"/>
    <s v=""/>
    <m/>
    <s v=""/>
    <s v=""/>
    <s v=""/>
    <n v="0"/>
  </r>
  <r>
    <s v=""/>
    <s v="40101001"/>
    <s v="2018000154"/>
    <x v="305"/>
    <d v="2020-08-18T00:00:00"/>
    <d v="2020-08-25T00:00:00"/>
    <s v="RV"/>
    <s v="USD"/>
    <n v="-2824.71"/>
    <s v="83.95000"/>
    <s v="BDT"/>
    <n v="-237134.4"/>
    <n v="-2824.71"/>
    <s v="2824.71_2"/>
    <s v=""/>
    <s v="C3132UQ20SHA0737"/>
    <s v="20200818"/>
    <s v=""/>
    <s v=""/>
    <s v="0"/>
    <s v=""/>
    <s v=""/>
    <s v=""/>
    <s v=""/>
    <s v="2010100001"/>
    <s v=""/>
    <m/>
    <s v=""/>
    <s v=""/>
    <s v=""/>
    <n v="0"/>
  </r>
  <r>
    <s v=""/>
    <s v="40101001"/>
    <s v="2018000825"/>
    <x v="237"/>
    <d v="2021-01-17T00:00:00"/>
    <d v="2021-01-23T00:00:00"/>
    <s v="RV"/>
    <s v="USD"/>
    <n v="-2822.24"/>
    <s v="83.95000"/>
    <s v="BDT"/>
    <n v="-236927.05"/>
    <n v="-2822.24"/>
    <s v="2822.24_1"/>
    <s v=""/>
    <s v="C3233UQ21OSA0055"/>
    <s v="20210117"/>
    <s v=""/>
    <s v=""/>
    <s v="0"/>
    <s v=""/>
    <s v=""/>
    <s v=""/>
    <s v=""/>
    <s v="2010100001"/>
    <s v=""/>
    <m/>
    <s v=""/>
    <s v=""/>
    <s v=""/>
    <n v="0"/>
  </r>
  <r>
    <s v=""/>
    <s v="40101001"/>
    <s v="2018001439"/>
    <x v="255"/>
    <d v="2021-05-31T00:00:00"/>
    <d v="2021-06-03T00:00:00"/>
    <s v="RV"/>
    <s v="USD"/>
    <n v="-2818.81"/>
    <s v="83.95000"/>
    <s v="BDT"/>
    <n v="-236639.1"/>
    <n v="-2818.81"/>
    <s v="2818.81_1"/>
    <s v=""/>
    <s v="C3289LVGR0708-21"/>
    <s v="20210531"/>
    <s v=""/>
    <s v=""/>
    <s v="0"/>
    <s v=""/>
    <s v=""/>
    <s v=""/>
    <s v=""/>
    <s v="2010100001"/>
    <s v=""/>
    <m/>
    <s v=""/>
    <s v=""/>
    <s v=""/>
    <n v="0"/>
  </r>
  <r>
    <s v=""/>
    <s v="40101001"/>
    <s v="2018001449"/>
    <x v="252"/>
    <d v="2021-06-03T00:00:00"/>
    <d v="2021-06-09T00:00:00"/>
    <s v="RV"/>
    <s v="USD"/>
    <n v="-2804.44"/>
    <s v="83.95000"/>
    <s v="BDT"/>
    <n v="-235432.74"/>
    <n v="-2804.44"/>
    <s v="2804.44_1"/>
    <s v=""/>
    <s v="C3308UQ21EU0663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0965"/>
    <x v="99"/>
    <d v="2021-02-11T00:00:00"/>
    <d v="2021-02-16T00:00:00"/>
    <s v="RV"/>
    <s v="USD"/>
    <n v="-2799.29"/>
    <s v="83.95000"/>
    <s v="BDT"/>
    <n v="-235000.4"/>
    <n v="-2799.29"/>
    <s v="2799.29_1"/>
    <s v=""/>
    <s v="C3307UQ21MEL0142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713"/>
    <x v="4"/>
    <d v="2020-12-15T00:00:00"/>
    <d v="2020-12-31T00:00:00"/>
    <s v="RV"/>
    <s v="USD"/>
    <n v="-2796.14"/>
    <s v="83.95000"/>
    <s v="BDT"/>
    <n v="-234735.95"/>
    <n v="-2796.14"/>
    <s v="2796.14_1"/>
    <s v=""/>
    <s v="C3247UQ20TOR1180"/>
    <s v="20201215"/>
    <s v=""/>
    <s v=""/>
    <s v="0"/>
    <s v=""/>
    <s v=""/>
    <s v=""/>
    <s v=""/>
    <s v="2010100001"/>
    <s v=""/>
    <m/>
    <s v=""/>
    <s v=""/>
    <s v=""/>
    <n v="0"/>
  </r>
  <r>
    <s v=""/>
    <s v="40101001"/>
    <s v="2018000343"/>
    <x v="31"/>
    <d v="2020-10-18T00:00:00"/>
    <d v="2020-10-22T00:00:00"/>
    <s v="RV"/>
    <s v="USD"/>
    <n v="-2786.72"/>
    <s v="83.95000"/>
    <s v="BDT"/>
    <n v="-233945.14"/>
    <n v="-2786.72"/>
    <s v="2786.72_1"/>
    <s v=""/>
    <s v="C03170US20-0964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560"/>
    <x v="14"/>
    <d v="2020-11-25T00:00:00"/>
    <d v="2020-11-30T00:00:00"/>
    <s v="RV"/>
    <s v="USD"/>
    <n v="-2781.79"/>
    <s v="83.95000"/>
    <s v="BDT"/>
    <n v="-233531.27"/>
    <n v="-2781.79"/>
    <s v="2781.79_1"/>
    <s v=""/>
    <s v="C3168UQ20NAG1203"/>
    <s v="20201125"/>
    <s v=""/>
    <s v=""/>
    <s v="0"/>
    <s v=""/>
    <s v=""/>
    <s v=""/>
    <s v=""/>
    <s v="2010100001"/>
    <s v=""/>
    <m/>
    <s v=""/>
    <s v=""/>
    <s v=""/>
    <n v="0"/>
  </r>
  <r>
    <s v=""/>
    <s v="40101012"/>
    <s v="2008000049"/>
    <x v="184"/>
    <d v="2020-09-30T00:00:00"/>
    <d v="2020-10-10T00:00:00"/>
    <s v="DR"/>
    <s v="USD"/>
    <n v="-2777.46"/>
    <s v="83.95000"/>
    <s v="BDT"/>
    <n v="-233167.77"/>
    <n v="-2777.46"/>
    <s v="2777.46_1"/>
    <s v=""/>
    <s v="CIPL-MSGL-211-20"/>
    <s v="CIPL-MSGL-211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1613"/>
    <x v="93"/>
    <d v="2021-06-29T00:00:00"/>
    <d v="2021-07-04T00:00:00"/>
    <s v="RV"/>
    <s v="USD"/>
    <n v="-2775.87"/>
    <s v="83.95000"/>
    <s v="BDT"/>
    <n v="-233034.29"/>
    <n v="-2775.87"/>
    <s v="2775.87_1"/>
    <s v=""/>
    <s v="C3331UQ21IN0885"/>
    <s v="20210629"/>
    <s v=""/>
    <s v=""/>
    <s v="0"/>
    <s v=""/>
    <s v=""/>
    <s v=""/>
    <s v=""/>
    <s v="2010100001"/>
    <s v=""/>
    <m/>
    <s v=""/>
    <s v=""/>
    <s v=""/>
    <n v="0"/>
  </r>
  <r>
    <s v=""/>
    <s v="40101012"/>
    <s v="2008000126"/>
    <x v="134"/>
    <d v="2020-12-31T00:00:00"/>
    <d v="2021-01-07T00:00:00"/>
    <s v="DR"/>
    <s v="USD"/>
    <n v="-2773.9"/>
    <s v="83.95000"/>
    <s v="BDT"/>
    <n v="-232868.91"/>
    <n v="-2773.9"/>
    <s v="2773.9_1"/>
    <s v=""/>
    <s v="CIPL-MSGL-222-20"/>
    <s v="CIPL-MSGL-222-20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01"/>
    <s v="2018000725"/>
    <x v="70"/>
    <d v="2020-12-27T00:00:00"/>
    <d v="2020-12-31T00:00:00"/>
    <s v="RV"/>
    <s v="USD"/>
    <n v="-2773.65"/>
    <s v="83.95000"/>
    <s v="BDT"/>
    <n v="-232847.92"/>
    <n v="-2773.65"/>
    <s v="2773.65_1"/>
    <s v=""/>
    <s v="C3104LVGR138720"/>
    <s v="20201227"/>
    <s v=""/>
    <s v=""/>
    <s v="0"/>
    <s v=""/>
    <s v=""/>
    <s v=""/>
    <s v=""/>
    <s v="2010100001"/>
    <s v=""/>
    <m/>
    <s v=""/>
    <s v=""/>
    <s v=""/>
    <n v="0"/>
  </r>
  <r>
    <s v=""/>
    <s v="40101002"/>
    <s v="2018000877"/>
    <x v="44"/>
    <d v="2021-01-28T00:00:00"/>
    <d v="2021-02-01T00:00:00"/>
    <s v="RV"/>
    <s v="USD"/>
    <n v="-2771.19"/>
    <s v="83.95000"/>
    <s v="BDT"/>
    <n v="-232641.4"/>
    <n v="-2771.19"/>
    <s v="2771.19_1"/>
    <s v=""/>
    <s v="C3218LVPK0093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661"/>
    <x v="50"/>
    <d v="2020-12-06T00:00:00"/>
    <d v="2020-12-21T00:00:00"/>
    <s v="RV"/>
    <s v="USD"/>
    <n v="-2770.88"/>
    <s v="83.95000"/>
    <s v="BDT"/>
    <n v="-232615.37"/>
    <n v="-2770.88"/>
    <s v="2770.88_1"/>
    <s v=""/>
    <s v="C3145LVMY122620"/>
    <s v="20201206"/>
    <s v=""/>
    <s v=""/>
    <s v="0"/>
    <s v=""/>
    <s v=""/>
    <s v=""/>
    <s v=""/>
    <s v="2010100001"/>
    <s v=""/>
    <m/>
    <s v=""/>
    <s v=""/>
    <s v=""/>
    <n v="0"/>
  </r>
  <r>
    <s v=""/>
    <s v="40101001"/>
    <s v="2018001417"/>
    <x v="266"/>
    <d v="2021-05-22T00:00:00"/>
    <d v="2021-05-28T00:00:00"/>
    <s v="RV"/>
    <s v="USD"/>
    <n v="-2761.24"/>
    <s v="83.95000"/>
    <s v="BDT"/>
    <n v="-231806.1"/>
    <n v="-2761.24"/>
    <s v="2761.24_1"/>
    <s v=""/>
    <s v="C3265LVPE0575-21"/>
    <s v="20210522"/>
    <s v=""/>
    <s v=""/>
    <s v="0"/>
    <s v=""/>
    <s v=""/>
    <s v=""/>
    <s v=""/>
    <s v="2010100001"/>
    <s v=""/>
    <m/>
    <s v=""/>
    <s v=""/>
    <s v=""/>
    <n v="0"/>
  </r>
  <r>
    <s v=""/>
    <s v="40101001"/>
    <s v="2018000030"/>
    <x v="105"/>
    <d v="2020-07-13T00:00:00"/>
    <d v="2020-07-18T00:00:00"/>
    <s v="RV"/>
    <s v="USD"/>
    <n v="-2757.74"/>
    <s v="83.95000"/>
    <s v="BDT"/>
    <n v="-231512.27"/>
    <n v="-2757.74"/>
    <s v="2757.74_1"/>
    <s v=""/>
    <s v="C3122UQ20VAN0618"/>
    <s v="20200713"/>
    <s v=""/>
    <s v=""/>
    <s v="0"/>
    <s v=""/>
    <s v=""/>
    <s v=""/>
    <s v=""/>
    <s v="2010100001"/>
    <s v=""/>
    <m/>
    <s v=""/>
    <s v=""/>
    <s v=""/>
    <n v="0"/>
  </r>
  <r>
    <s v=""/>
    <s v="40101001"/>
    <s v="2018001544"/>
    <x v="278"/>
    <d v="2021-06-16T00:00:00"/>
    <d v="2021-06-21T00:00:00"/>
    <s v="RV"/>
    <s v="USD"/>
    <n v="-2750.79"/>
    <s v="83.95000"/>
    <s v="BDT"/>
    <n v="-230928.82"/>
    <n v="-2750.79"/>
    <s v="2750.79_1"/>
    <s v=""/>
    <s v="C3284LVCL0744-21"/>
    <s v="20210616"/>
    <s v=""/>
    <s v=""/>
    <s v="0"/>
    <s v=""/>
    <s v=""/>
    <s v=""/>
    <s v=""/>
    <s v="2010100001"/>
    <s v=""/>
    <m/>
    <s v=""/>
    <s v=""/>
    <s v=""/>
    <n v="0"/>
  </r>
  <r>
    <s v=""/>
    <s v="40101001"/>
    <s v="2018000675"/>
    <x v="79"/>
    <d v="2020-12-18T00:00:00"/>
    <d v="2020-12-22T00:00:00"/>
    <s v="RV"/>
    <s v="USD"/>
    <n v="-2749.57"/>
    <s v="83.95000"/>
    <s v="BDT"/>
    <n v="-230826.4"/>
    <n v="-2749.57"/>
    <s v="2749.57_1"/>
    <s v=""/>
    <s v="C3247UQ20SEN1343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75"/>
    <x v="79"/>
    <d v="2020-12-18T00:00:00"/>
    <d v="2020-12-22T00:00:00"/>
    <s v="RV"/>
    <s v="USD"/>
    <n v="-2749.57"/>
    <s v="83.95000"/>
    <s v="BDT"/>
    <n v="-230826.4"/>
    <n v="-2749.57"/>
    <s v="2749.57_2"/>
    <s v=""/>
    <s v="C3247UQ20SEN1343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515"/>
    <x v="243"/>
    <d v="2020-11-17T00:00:00"/>
    <d v="2020-11-24T00:00:00"/>
    <s v="RV"/>
    <s v="USD"/>
    <n v="-2747.93"/>
    <s v="83.95000"/>
    <s v="BDT"/>
    <n v="-230688.72"/>
    <n v="-2747.93"/>
    <s v="2747.93_1"/>
    <s v=""/>
    <s v="C3147LVUS114920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0387"/>
    <x v="264"/>
    <d v="2020-10-25T00:00:00"/>
    <d v="2020-11-01T00:00:00"/>
    <s v="RV"/>
    <s v="USD"/>
    <n v="-2737.58"/>
    <s v="83.95000"/>
    <s v="BDT"/>
    <n v="-229819.84"/>
    <n v="-2737.58"/>
    <s v="2737.58_1"/>
    <s v=""/>
    <s v="C3231UQ20LA0997"/>
    <s v="20201025"/>
    <s v=""/>
    <s v=""/>
    <s v="0"/>
    <s v=""/>
    <s v=""/>
    <s v=""/>
    <s v=""/>
    <s v="2010100001"/>
    <s v=""/>
    <m/>
    <s v=""/>
    <s v=""/>
    <s v=""/>
    <n v="0"/>
  </r>
  <r>
    <s v=""/>
    <s v="40101001"/>
    <s v="2018001444"/>
    <x v="252"/>
    <d v="2021-06-03T00:00:00"/>
    <d v="2021-06-09T00:00:00"/>
    <s v="RV"/>
    <s v="USD"/>
    <n v="-2737.17"/>
    <s v="83.95000"/>
    <s v="BDT"/>
    <n v="-229785.42"/>
    <n v="-2737.17"/>
    <s v="2737.17_1"/>
    <s v=""/>
    <s v="C3343UQ21NAG0720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1470"/>
    <x v="152"/>
    <d v="2021-06-07T00:00:00"/>
    <d v="2021-06-10T00:00:00"/>
    <s v="RV"/>
    <s v="USD"/>
    <n v="-2737.17"/>
    <s v="83.95000"/>
    <s v="BDT"/>
    <n v="-229785.42"/>
    <n v="-2737.17"/>
    <s v="2737.17_2"/>
    <s v=""/>
    <s v="C3343UQ21HAK0719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0731"/>
    <x v="70"/>
    <d v="2020-12-27T00:00:00"/>
    <d v="2021-01-02T00:00:00"/>
    <s v="RV"/>
    <s v="USD"/>
    <n v="-2716.5"/>
    <s v="83.95000"/>
    <s v="BDT"/>
    <n v="-228050.18"/>
    <n v="-2716.5"/>
    <s v="2716.5_1"/>
    <s v=""/>
    <s v="C3145LVCL1347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039"/>
    <x v="105"/>
    <d v="2020-07-13T00:00:00"/>
    <d v="2020-07-18T00:00:00"/>
    <s v="RV"/>
    <s v="USD"/>
    <n v="-2716.2"/>
    <s v="83.95000"/>
    <s v="BDT"/>
    <n v="-228024.99"/>
    <n v="-2716.2"/>
    <s v="2716.2_1"/>
    <s v=""/>
    <s v="C3128UQ20TOM0617"/>
    <s v="20200713"/>
    <s v=""/>
    <s v=""/>
    <s v="0"/>
    <s v=""/>
    <s v=""/>
    <s v=""/>
    <s v=""/>
    <s v="2010100001"/>
    <s v=""/>
    <m/>
    <s v=""/>
    <s v=""/>
    <s v=""/>
    <n v="0"/>
  </r>
  <r>
    <s v=""/>
    <s v="40101001"/>
    <s v="2018000890"/>
    <x v="44"/>
    <d v="2021-01-28T00:00:00"/>
    <d v="2021-02-04T00:00:00"/>
    <s v="RV"/>
    <s v="USD"/>
    <n v="-2715.61"/>
    <s v="83.95000"/>
    <s v="BDT"/>
    <n v="-227975.46"/>
    <n v="-2715.61"/>
    <s v="2715.61_1"/>
    <s v=""/>
    <s v="C3218LVUS008521"/>
    <s v="20210128"/>
    <s v=""/>
    <s v=""/>
    <s v="0"/>
    <s v=""/>
    <s v=""/>
    <s v=""/>
    <s v=""/>
    <s v="2010100001"/>
    <s v=""/>
    <m/>
    <s v=""/>
    <s v=""/>
    <s v=""/>
    <n v="0"/>
  </r>
  <r>
    <s v=""/>
    <s v="40101002"/>
    <s v="2018000394"/>
    <x v="286"/>
    <d v="2020-10-30T00:00:00"/>
    <d v="2020-11-02T00:00:00"/>
    <s v="RV"/>
    <s v="USD"/>
    <n v="-2711.11"/>
    <s v="83.95000"/>
    <s v="BDT"/>
    <n v="-227597.68"/>
    <n v="-2711.11"/>
    <s v="2711.11_1"/>
    <s v=""/>
    <s v="C3142LVPK101620"/>
    <s v="20201030"/>
    <s v=""/>
    <s v=""/>
    <s v="0"/>
    <s v=""/>
    <s v=""/>
    <s v=""/>
    <s v=""/>
    <s v="2010100001"/>
    <s v=""/>
    <m/>
    <s v=""/>
    <s v=""/>
    <s v=""/>
    <n v="0"/>
  </r>
  <r>
    <s v=""/>
    <s v="40101001"/>
    <s v="2018000693"/>
    <x v="214"/>
    <d v="2020-12-01T00:00:00"/>
    <d v="2020-12-24T00:00:00"/>
    <s v="RV"/>
    <s v="USD"/>
    <n v="-2709.4"/>
    <s v="83.95000"/>
    <s v="BDT"/>
    <n v="-227454.13"/>
    <n v="-2709.4"/>
    <s v="2709.4_1"/>
    <s v=""/>
    <s v="C3168UQ20TOM1223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144"/>
    <x v="234"/>
    <d v="2020-08-14T00:00:00"/>
    <d v="2020-08-20T00:00:00"/>
    <s v="RV"/>
    <s v="USD"/>
    <n v="-2707.43"/>
    <s v="83.95000"/>
    <s v="BDT"/>
    <n v="-227288.75"/>
    <n v="-2707.43"/>
    <s v="2707.43_1"/>
    <s v=""/>
    <s v="C3093UQ20HAK0744"/>
    <s v="20200814"/>
    <s v=""/>
    <s v=""/>
    <s v="0"/>
    <s v=""/>
    <s v=""/>
    <s v=""/>
    <s v=""/>
    <s v="2010100001"/>
    <s v=""/>
    <m/>
    <s v=""/>
    <s v=""/>
    <s v=""/>
    <n v="0"/>
  </r>
  <r>
    <s v=""/>
    <s v="40101012"/>
    <s v="2008000206"/>
    <x v="242"/>
    <d v="2021-03-31T00:00:00"/>
    <d v="2021-04-06T00:00:00"/>
    <s v="DR"/>
    <s v="USD"/>
    <n v="-2700.4"/>
    <s v="83.95000"/>
    <s v="BDT"/>
    <n v="-226698.58"/>
    <n v="-2700.4"/>
    <s v="2700.4_1"/>
    <s v=""/>
    <s v="CIPL-MSGL-228-21"/>
    <s v="CIPL-MSGL-228-21"/>
    <s v="N.INT.COM WASH SALES TO MASCOT GARMENTS LTD"/>
    <s v=""/>
    <s v="0"/>
    <s v="N.INTER COMPANY WASH SALE"/>
    <s v=""/>
    <s v=""/>
    <s v=""/>
    <s v=""/>
    <s v=""/>
    <m/>
    <s v=""/>
    <s v=""/>
    <s v=""/>
    <n v="0"/>
  </r>
  <r>
    <s v=""/>
    <s v="40101001"/>
    <s v="2018000582"/>
    <x v="34"/>
    <d v="2020-11-23T00:00:00"/>
    <d v="2020-12-02T00:00:00"/>
    <s v="RV"/>
    <s v="USD"/>
    <n v="-2689.07"/>
    <s v="83.95000"/>
    <s v="BDT"/>
    <n v="-225747.43"/>
    <n v="-2689.07"/>
    <s v="2689.07_1"/>
    <s v=""/>
    <s v="C3168UQ20YAN1103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0440"/>
    <x v="18"/>
    <d v="2020-11-05T00:00:00"/>
    <d v="2020-11-11T00:00:00"/>
    <s v="RV"/>
    <s v="USD"/>
    <n v="-2688.59"/>
    <s v="83.95000"/>
    <s v="BDT"/>
    <n v="-225707.13"/>
    <n v="-2688.59"/>
    <s v="2688.59_1"/>
    <s v=""/>
    <s v="C3169UQ20TW1093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701"/>
    <x v="9"/>
    <d v="2020-12-24T00:00:00"/>
    <d v="2020-12-29T00:00:00"/>
    <s v="RV"/>
    <s v="USD"/>
    <n v="-2661.45"/>
    <s v="83.95000"/>
    <s v="BDT"/>
    <n v="-223428.72"/>
    <n v="-2661.45"/>
    <s v="2661.45_1"/>
    <s v=""/>
    <s v="C3145LVUS135120"/>
    <s v="20201224"/>
    <s v=""/>
    <s v=""/>
    <s v="0"/>
    <s v=""/>
    <s v=""/>
    <s v=""/>
    <s v=""/>
    <s v="2010100001"/>
    <s v=""/>
    <m/>
    <s v=""/>
    <s v=""/>
    <s v=""/>
    <n v="0"/>
  </r>
  <r>
    <s v=""/>
    <s v="40101001"/>
    <s v="2018000872"/>
    <x v="250"/>
    <d v="2021-01-24T00:00:00"/>
    <d v="2021-02-01T00:00:00"/>
    <s v="RV"/>
    <s v="USD"/>
    <n v="-2654.51"/>
    <s v="83.95000"/>
    <s v="BDT"/>
    <n v="-222846.11"/>
    <n v="-2654.51"/>
    <s v="2654.51_1"/>
    <s v=""/>
    <s v="C3219LVTR009221"/>
    <s v="20210124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2653.61"/>
    <s v="83.95000"/>
    <s v="BDT"/>
    <n v="-222770.56"/>
    <n v="-2653.61"/>
    <s v="2653.61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452"/>
    <x v="252"/>
    <d v="2021-06-03T00:00:00"/>
    <d v="2021-06-09T00:00:00"/>
    <s v="RV"/>
    <s v="USD"/>
    <n v="-2651.16"/>
    <s v="83.95000"/>
    <s v="BDT"/>
    <n v="-222564.88"/>
    <n v="-2651.16"/>
    <s v="2651.16_1"/>
    <s v=""/>
    <s v="C3329UQ21IN0674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0390"/>
    <x v="235"/>
    <d v="2020-10-29T00:00:00"/>
    <d v="2020-11-02T00:00:00"/>
    <s v="RV"/>
    <s v="USD"/>
    <n v="-2650.51"/>
    <s v="83.95000"/>
    <s v="BDT"/>
    <n v="-222510.31"/>
    <n v="-2650.51"/>
    <s v="2650.51_1"/>
    <s v=""/>
    <s v="C3131UQ20MEL0980"/>
    <s v="20201029"/>
    <s v=""/>
    <s v=""/>
    <s v="0"/>
    <s v=""/>
    <s v=""/>
    <s v=""/>
    <s v=""/>
    <s v="2010100001"/>
    <s v=""/>
    <m/>
    <s v=""/>
    <s v=""/>
    <s v=""/>
    <n v="0"/>
  </r>
  <r>
    <s v=""/>
    <s v="40101001"/>
    <s v="2018000723"/>
    <x v="70"/>
    <d v="2020-12-27T00:00:00"/>
    <d v="2020-12-31T00:00:00"/>
    <s v="RV"/>
    <s v="USD"/>
    <n v="-2642.5"/>
    <s v="83.95000"/>
    <s v="BDT"/>
    <n v="-221837.87"/>
    <n v="-2642.5"/>
    <s v="2642.5_1"/>
    <s v=""/>
    <s v="C3214LVUS1386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1290"/>
    <x v="71"/>
    <d v="2021-04-28T00:00:00"/>
    <d v="2021-05-07T00:00:00"/>
    <s v="RV"/>
    <s v="USD"/>
    <n v="-2642.22"/>
    <s v="83.95000"/>
    <s v="BDT"/>
    <n v="-221814.37"/>
    <n v="-2642.22"/>
    <s v="2642.22_1"/>
    <s v=""/>
    <s v="C3343UQ21NAG0513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544"/>
    <x v="278"/>
    <d v="2021-06-16T00:00:00"/>
    <d v="2021-06-21T00:00:00"/>
    <s v="RV"/>
    <s v="USD"/>
    <n v="-2622.42"/>
    <s v="83.95000"/>
    <s v="BDT"/>
    <n v="-220152.16"/>
    <n v="-2622.42"/>
    <s v="2622.42_1"/>
    <s v=""/>
    <s v="C3284LVCL0744-21"/>
    <s v="20210616"/>
    <s v=""/>
    <s v=""/>
    <s v="0"/>
    <s v=""/>
    <s v=""/>
    <s v=""/>
    <s v=""/>
    <s v="2010100001"/>
    <s v=""/>
    <m/>
    <s v=""/>
    <s v=""/>
    <s v=""/>
    <n v="0"/>
  </r>
  <r>
    <s v=""/>
    <s v="40101001"/>
    <s v="2018001567"/>
    <x v="219"/>
    <d v="2021-06-21T00:00:00"/>
    <d v="2021-06-24T00:00:00"/>
    <s v="RV"/>
    <s v="USD"/>
    <n v="-2622.42"/>
    <s v="83.95000"/>
    <s v="BDT"/>
    <n v="-220152.16"/>
    <n v="-2622.42"/>
    <s v="2622.42_2"/>
    <s v=""/>
    <s v="C3284LVPE0760-21"/>
    <s v="20210621"/>
    <s v=""/>
    <s v=""/>
    <s v="0"/>
    <s v=""/>
    <s v=""/>
    <s v=""/>
    <s v=""/>
    <s v="2010100001"/>
    <s v=""/>
    <m/>
    <s v=""/>
    <s v=""/>
    <s v=""/>
    <n v="0"/>
  </r>
  <r>
    <s v=""/>
    <s v="40101001"/>
    <s v="2018000207"/>
    <x v="209"/>
    <d v="2020-08-27T00:00:00"/>
    <d v="2020-09-10T00:00:00"/>
    <s v="RV"/>
    <s v="USD"/>
    <n v="-2614.02"/>
    <s v="83.95000"/>
    <s v="BDT"/>
    <n v="-219446.98"/>
    <n v="-2614.02"/>
    <s v="2614.02_1"/>
    <s v=""/>
    <s v="C3135SB20UK0780"/>
    <s v="20200827"/>
    <s v=""/>
    <s v=""/>
    <s v="0"/>
    <s v=""/>
    <s v=""/>
    <s v=""/>
    <s v=""/>
    <s v="2010100001"/>
    <s v=""/>
    <m/>
    <s v=""/>
    <s v=""/>
    <s v=""/>
    <n v="0"/>
  </r>
  <r>
    <s v=""/>
    <s v="40101001"/>
    <s v="2018000927"/>
    <x v="46"/>
    <d v="2021-02-07T00:00:00"/>
    <d v="2021-02-14T00:00:00"/>
    <s v="RV"/>
    <s v="USD"/>
    <n v="-2596.5"/>
    <s v="83.95000"/>
    <s v="BDT"/>
    <n v="-217976.18"/>
    <n v="-2596.5"/>
    <s v="2596.5_1"/>
    <s v=""/>
    <s v="C3260UQ21HAK0158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190"/>
    <x v="183"/>
    <d v="2021-03-29T00:00:00"/>
    <d v="2021-04-05T00:00:00"/>
    <s v="RV"/>
    <s v="USD"/>
    <n v="-2596.2800000000002"/>
    <s v="83.95000"/>
    <s v="BDT"/>
    <n v="-217957.71"/>
    <n v="-2596.2800000000002"/>
    <s v="2596.28_1"/>
    <s v=""/>
    <s v="C3275LVPE0365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2594.73"/>
    <s v="83.95000"/>
    <s v="BDT"/>
    <n v="-217827.58"/>
    <n v="-2594.73"/>
    <s v="2594.73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1107"/>
    <x v="89"/>
    <d v="2021-03-21T00:00:00"/>
    <d v="2021-03-25T00:00:00"/>
    <s v="RV"/>
    <s v="USD"/>
    <n v="-2584.1999999999998"/>
    <s v="83.95000"/>
    <s v="BDT"/>
    <n v="-216943.59"/>
    <n v="-2584.1999999999998"/>
    <s v="2584.2_1"/>
    <s v=""/>
    <s v="C3217UQ21EU0322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250"/>
    <x v="259"/>
    <d v="2021-04-22T00:00:00"/>
    <d v="2021-04-26T00:00:00"/>
    <s v="RV"/>
    <s v="USD"/>
    <n v="-2580.23"/>
    <s v="83.95000"/>
    <s v="BDT"/>
    <n v="-216610.31"/>
    <n v="-2580.23"/>
    <s v="2580.23_1"/>
    <s v=""/>
    <s v="C3266LVTR0477-21"/>
    <s v="20210422"/>
    <s v=""/>
    <s v=""/>
    <s v="0"/>
    <s v=""/>
    <s v=""/>
    <s v=""/>
    <s v=""/>
    <s v="2010100001"/>
    <s v=""/>
    <m/>
    <s v=""/>
    <s v=""/>
    <s v=""/>
    <n v="0"/>
  </r>
  <r>
    <s v=""/>
    <s v="40101001"/>
    <s v="2018000337"/>
    <x v="31"/>
    <d v="2020-10-18T00:00:00"/>
    <d v="2020-10-22T00:00:00"/>
    <s v="RV"/>
    <s v="USD"/>
    <n v="-2576.89"/>
    <s v="83.95000"/>
    <s v="BDT"/>
    <n v="-216329.92"/>
    <n v="-2576.89"/>
    <s v="2576.89_1"/>
    <s v=""/>
    <s v="C3131UQ20MEL0981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1230"/>
    <x v="222"/>
    <d v="2021-04-16T00:00:00"/>
    <d v="2021-04-22T00:00:00"/>
    <s v="RV"/>
    <s v="USD"/>
    <n v="-2571.62"/>
    <s v="83.95000"/>
    <s v="BDT"/>
    <n v="-215887.5"/>
    <n v="-2571.62"/>
    <s v="2571.62_1"/>
    <s v=""/>
    <s v="C3308UQ21KR0469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1409"/>
    <x v="157"/>
    <d v="2021-05-19T00:00:00"/>
    <d v="2021-05-24T00:00:00"/>
    <s v="RV"/>
    <s v="USD"/>
    <n v="-2571.62"/>
    <s v="83.95000"/>
    <s v="BDT"/>
    <n v="-215887.5"/>
    <n v="-2571.62"/>
    <s v="2571.62_2"/>
    <s v=""/>
    <s v="C3308UQ21HAK0655"/>
    <s v="20210519"/>
    <s v=""/>
    <s v=""/>
    <s v="0"/>
    <s v=""/>
    <s v=""/>
    <s v=""/>
    <s v=""/>
    <s v="2010100001"/>
    <s v=""/>
    <m/>
    <s v=""/>
    <s v=""/>
    <s v=""/>
    <n v="0"/>
  </r>
  <r>
    <s v=""/>
    <s v="40101012"/>
    <s v="2008000098"/>
    <x v="27"/>
    <d v="2020-11-30T00:00:00"/>
    <d v="2020-12-06T00:00:00"/>
    <s v="DR"/>
    <s v="USD"/>
    <n v="-2567.6"/>
    <s v="83.95000"/>
    <s v="BDT"/>
    <n v="-215550.02"/>
    <n v="-2567.6"/>
    <s v="2567.6_1"/>
    <s v=""/>
    <s v="CIPL-MSGL-220-20"/>
    <s v="CIPL-MSGL-220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2566.21"/>
    <s v="83.95000"/>
    <s v="BDT"/>
    <n v="-215433.33"/>
    <n v="-2566.21"/>
    <s v="2566.21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294"/>
    <x v="71"/>
    <d v="2021-04-28T00:00:00"/>
    <d v="2021-05-07T00:00:00"/>
    <s v="RV"/>
    <s v="USD"/>
    <n v="-2554.69"/>
    <s v="83.95000"/>
    <s v="BDT"/>
    <n v="-214466.22"/>
    <n v="-2554.69"/>
    <s v="2554.69_1"/>
    <s v=""/>
    <s v="C3343UQ21NAG0529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289"/>
    <x v="184"/>
    <d v="2020-09-30T00:00:00"/>
    <d v="2020-10-04T00:00:00"/>
    <s v="RV"/>
    <s v="USD"/>
    <n v="-2553.58"/>
    <s v="83.95000"/>
    <s v="BDT"/>
    <n v="-214373.04"/>
    <n v="-2553.58"/>
    <s v="2553.58_1"/>
    <s v=""/>
    <s v="C3141LVMX091420"/>
    <s v="20200930"/>
    <s v=""/>
    <s v=""/>
    <s v="0"/>
    <s v=""/>
    <s v=""/>
    <s v=""/>
    <s v=""/>
    <s v="2010100001"/>
    <s v=""/>
    <m/>
    <s v=""/>
    <s v=""/>
    <s v=""/>
    <n v="0"/>
  </r>
  <r>
    <s v=""/>
    <s v="40101001"/>
    <s v="2018000664"/>
    <x v="79"/>
    <d v="2020-12-18T00:00:00"/>
    <d v="2020-12-22T00:00:00"/>
    <s v="RV"/>
    <s v="USD"/>
    <n v="-2553.17"/>
    <s v="83.95000"/>
    <s v="BDT"/>
    <n v="-214338.62"/>
    <n v="-2553.17"/>
    <s v="2553.17_1"/>
    <s v=""/>
    <s v="C3247UQ20SEN1322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70"/>
    <x v="79"/>
    <d v="2020-12-18T00:00:00"/>
    <d v="2020-12-22T00:00:00"/>
    <s v="RV"/>
    <s v="USD"/>
    <n v="-2553.17"/>
    <s v="83.95000"/>
    <s v="BDT"/>
    <n v="-214338.62"/>
    <n v="-2553.17"/>
    <s v="2553.17_2"/>
    <s v=""/>
    <s v="C3247UQ20SEN1335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788"/>
    <x v="211"/>
    <d v="2021-01-03T00:00:00"/>
    <d v="2021-01-12T00:00:00"/>
    <s v="RV"/>
    <s v="USD"/>
    <n v="-2552.11"/>
    <s v="83.95000"/>
    <s v="BDT"/>
    <n v="-214249.63"/>
    <n v="-2552.11"/>
    <s v="2552.11_1"/>
    <s v=""/>
    <s v="C3247UQ20LA1414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1574"/>
    <x v="104"/>
    <d v="2021-06-23T00:00:00"/>
    <d v="2021-06-24T00:00:00"/>
    <s v="RV"/>
    <s v="USD"/>
    <n v="-2541.9299999999998"/>
    <s v="83.95000"/>
    <s v="BDT"/>
    <n v="-213395.02"/>
    <n v="-2541.9299999999998"/>
    <s v="2541.93_1"/>
    <s v=""/>
    <s v="C3335LVMX0840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442"/>
    <x v="283"/>
    <d v="2020-11-04T00:00:00"/>
    <d v="2020-11-11T00:00:00"/>
    <s v="RV"/>
    <s v="USD"/>
    <n v="-2540.88"/>
    <s v="83.95000"/>
    <s v="BDT"/>
    <n v="-213306.87"/>
    <n v="-2540.88"/>
    <s v="2540.88_1"/>
    <s v=""/>
    <s v="C3104LVMX101220"/>
    <s v="20201104"/>
    <s v=""/>
    <s v=""/>
    <s v="0"/>
    <s v=""/>
    <s v=""/>
    <s v=""/>
    <s v=""/>
    <s v="2010100001"/>
    <s v=""/>
    <m/>
    <s v=""/>
    <s v=""/>
    <s v=""/>
    <n v="0"/>
  </r>
  <r>
    <s v=""/>
    <s v="40101001"/>
    <s v="2018000155"/>
    <x v="59"/>
    <d v="2020-08-17T00:00:00"/>
    <d v="2020-08-25T00:00:00"/>
    <s v="RV"/>
    <s v="USD"/>
    <n v="-2527.38"/>
    <s v="83.95000"/>
    <s v="BDT"/>
    <n v="-212173.55"/>
    <n v="-2527.38"/>
    <s v="2527.38_1"/>
    <s v=""/>
    <s v="C3132UQ20YAN0738"/>
    <s v="20200817"/>
    <s v=""/>
    <s v=""/>
    <s v="0"/>
    <s v=""/>
    <s v=""/>
    <s v=""/>
    <s v=""/>
    <s v="2010100001"/>
    <s v=""/>
    <m/>
    <s v=""/>
    <s v=""/>
    <s v=""/>
    <n v="0"/>
  </r>
  <r>
    <s v=""/>
    <s v="40101001"/>
    <s v="2018001461"/>
    <x v="152"/>
    <d v="2021-06-07T00:00:00"/>
    <d v="2021-06-10T00:00:00"/>
    <s v="RV"/>
    <s v="USD"/>
    <n v="-2522.4499999999998"/>
    <s v="83.95000"/>
    <s v="BDT"/>
    <n v="-211759.68"/>
    <n v="-2522.4499999999998"/>
    <s v="2522.45_1"/>
    <s v=""/>
    <s v="C3284LVMY0710-21"/>
    <s v="20210607"/>
    <s v=""/>
    <s v=""/>
    <s v="0"/>
    <s v=""/>
    <s v=""/>
    <s v=""/>
    <s v=""/>
    <s v="2010100001"/>
    <s v=""/>
    <m/>
    <s v=""/>
    <s v=""/>
    <s v=""/>
    <n v="0"/>
  </r>
  <r>
    <s v=""/>
    <s v="40101012"/>
    <s v="2008000127"/>
    <x v="134"/>
    <d v="2020-12-31T00:00:00"/>
    <d v="2021-01-07T00:00:00"/>
    <s v="DR"/>
    <s v="USD"/>
    <n v="-2520"/>
    <s v="83.95000"/>
    <s v="BDT"/>
    <n v="-211554"/>
    <n v="-2520"/>
    <s v="2520_1"/>
    <s v=""/>
    <s v="CIPL-MSGL-223-20"/>
    <s v="CIPL-MSGL-223-20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2"/>
    <s v="2008000128"/>
    <x v="134"/>
    <d v="2020-12-31T00:00:00"/>
    <d v="2021-01-07T00:00:00"/>
    <s v="DR"/>
    <s v="USD"/>
    <n v="-2516.67"/>
    <s v="83.95000"/>
    <s v="BDT"/>
    <n v="-211274.45"/>
    <n v="-2516.67"/>
    <s v="2516.67_1"/>
    <s v=""/>
    <s v="CIPL-MSGL-224-20"/>
    <s v="CIPL-MSGL-224-20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2515.7399999999998"/>
    <s v="83.95000"/>
    <s v="BDT"/>
    <n v="-211196.37"/>
    <n v="-2515.7399999999998"/>
    <s v="2515.74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718"/>
    <x v="293"/>
    <d v="2020-12-20T00:00:00"/>
    <d v="2020-12-31T00:00:00"/>
    <s v="RV"/>
    <s v="USD"/>
    <n v="-2513.9699999999998"/>
    <s v="83.95000"/>
    <s v="BDT"/>
    <n v="-211047.78"/>
    <n v="-2513.9699999999998"/>
    <s v="2513.97_1"/>
    <s v=""/>
    <s v="C3231UQ20YAN1253"/>
    <s v="20201220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2506.37"/>
    <s v="83.95000"/>
    <s v="BDT"/>
    <n v="-210409.76"/>
    <n v="-2506.37"/>
    <s v="2506.37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337"/>
    <x v="31"/>
    <d v="2020-10-18T00:00:00"/>
    <d v="2020-10-22T00:00:00"/>
    <s v="RV"/>
    <s v="USD"/>
    <n v="-2503.2600000000002"/>
    <s v="83.94999"/>
    <s v="BDT"/>
    <n v="-210148.66"/>
    <n v="-2503.2600000000002"/>
    <s v="2503.26_1"/>
    <s v=""/>
    <s v="C3131UQ20MEL0981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337"/>
    <x v="31"/>
    <d v="2020-10-18T00:00:00"/>
    <d v="2020-10-22T00:00:00"/>
    <s v="RV"/>
    <s v="USD"/>
    <n v="-2503.2600000000002"/>
    <s v="83.95000"/>
    <s v="BDT"/>
    <n v="-210148.68"/>
    <n v="-2503.2600000000002"/>
    <s v="2503.26_2"/>
    <s v=""/>
    <s v="C3131UQ20MEL0981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337"/>
    <x v="31"/>
    <d v="2020-10-18T00:00:00"/>
    <d v="2020-10-22T00:00:00"/>
    <s v="RV"/>
    <s v="USD"/>
    <n v="-2503.2600000000002"/>
    <s v="83.95000"/>
    <s v="BDT"/>
    <n v="-210148.68"/>
    <n v="-2503.2600000000002"/>
    <s v="2503.26_3"/>
    <s v=""/>
    <s v="C3131UQ20MEL0981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783"/>
    <x v="211"/>
    <d v="2021-01-03T00:00:00"/>
    <d v="2021-01-07T00:00:00"/>
    <s v="RV"/>
    <s v="USD"/>
    <n v="-2502.29"/>
    <s v="83.95000"/>
    <s v="BDT"/>
    <n v="-210067.25"/>
    <n v="-2502.29"/>
    <s v="2502.29_1"/>
    <s v=""/>
    <s v="C3141LVPE1394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332"/>
    <x v="182"/>
    <d v="2020-10-13T00:00:00"/>
    <d v="2020-10-19T00:00:00"/>
    <s v="RV"/>
    <s v="USD"/>
    <n v="-2491.7600000000002"/>
    <s v="83.95000"/>
    <s v="BDT"/>
    <n v="-209183.25"/>
    <n v="-2491.7600000000002"/>
    <s v="2491.76_1"/>
    <s v=""/>
    <s v="C3063LVTR093320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0694"/>
    <x v="193"/>
    <d v="2020-12-03T00:00:00"/>
    <d v="2020-12-24T00:00:00"/>
    <s v="RV"/>
    <s v="USD"/>
    <n v="-2478.9499999999998"/>
    <s v="83.95000"/>
    <s v="BDT"/>
    <n v="-208107.85"/>
    <n v="-2478.9499999999998"/>
    <s v="2478.95_1"/>
    <s v=""/>
    <s v="C3205UQ20PH1128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1514"/>
    <x v="88"/>
    <d v="2021-06-11T00:00:00"/>
    <d v="2021-06-17T00:00:00"/>
    <s v="RV"/>
    <s v="USD"/>
    <n v="-2474.56"/>
    <s v="83.95000"/>
    <s v="BDT"/>
    <n v="-207739.31"/>
    <n v="-2474.56"/>
    <s v="2474.56_1"/>
    <s v=""/>
    <s v="C3286LVGR0706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289"/>
    <x v="71"/>
    <d v="2021-04-28T00:00:00"/>
    <d v="2021-05-07T00:00:00"/>
    <s v="RV"/>
    <s v="USD"/>
    <n v="-2453.4899999999998"/>
    <s v="83.95000"/>
    <s v="BDT"/>
    <n v="-205970.49"/>
    <n v="-2453.4899999999998"/>
    <s v="2453.49_1"/>
    <s v=""/>
    <s v="C3343UQ21HAK0524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017"/>
    <x v="210"/>
    <d v="2020-07-08T00:00:00"/>
    <d v="2020-07-15T00:00:00"/>
    <s v="RV"/>
    <s v="USD"/>
    <n v="-2451.7600000000002"/>
    <s v="83.95000"/>
    <s v="BDT"/>
    <n v="-205825.25"/>
    <n v="-2451.7600000000002"/>
    <s v="2451.76_1"/>
    <s v=""/>
    <s v="C3067LVGR0594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0759"/>
    <x v="188"/>
    <d v="2021-01-01T00:00:00"/>
    <d v="2021-01-05T00:00:00"/>
    <s v="RV"/>
    <s v="USD"/>
    <n v="-2443.2199999999998"/>
    <s v="83.95000"/>
    <s v="BDT"/>
    <n v="-205108.32"/>
    <n v="-2443.2199999999998"/>
    <s v="2443.22_1"/>
    <s v=""/>
    <s v="C3245UQ20KR1382"/>
    <s v="20210101"/>
    <s v=""/>
    <s v=""/>
    <s v="0"/>
    <s v=""/>
    <s v=""/>
    <s v=""/>
    <s v=""/>
    <s v="2010100001"/>
    <s v=""/>
    <m/>
    <s v=""/>
    <s v=""/>
    <s v=""/>
    <n v="0"/>
  </r>
  <r>
    <s v=""/>
    <s v="40101001"/>
    <s v="2018000854"/>
    <x v="197"/>
    <d v="2021-01-23T00:00:00"/>
    <d v="2021-01-30T00:00:00"/>
    <s v="RV"/>
    <s v="USD"/>
    <n v="-2443.2199999999998"/>
    <s v="83.95000"/>
    <s v="BDT"/>
    <n v="-205108.32"/>
    <n v="-2443.2199999999998"/>
    <s v="2443.22_2"/>
    <s v=""/>
    <s v="C3247UQ21SEN0042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428"/>
    <x v="18"/>
    <d v="2020-11-05T00:00:00"/>
    <d v="2020-11-10T00:00:00"/>
    <s v="RV"/>
    <s v="USD"/>
    <n v="-2440.88"/>
    <s v="83.95000"/>
    <s v="BDT"/>
    <n v="-204911.88"/>
    <n v="-2440.88"/>
    <s v="2440.88_1"/>
    <s v=""/>
    <s v="C3141LVCL0915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690"/>
    <x v="254"/>
    <d v="2020-12-13T00:00:00"/>
    <d v="2020-12-23T00:00:00"/>
    <s v="RV"/>
    <s v="USD"/>
    <n v="-2436.9699999999998"/>
    <s v="83.95000"/>
    <s v="BDT"/>
    <n v="-204583.63"/>
    <n v="-2436.9699999999998"/>
    <s v="2436.97_1"/>
    <s v=""/>
    <s v="C3143LVGR1296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1273"/>
    <x v="71"/>
    <d v="2021-04-28T00:00:00"/>
    <d v="2021-05-03T00:00:00"/>
    <s v="RV"/>
    <s v="USD"/>
    <n v="-2435.3200000000002"/>
    <s v="83.95000"/>
    <s v="BDT"/>
    <n v="-204445.11"/>
    <n v="-2435.3200000000002"/>
    <s v="2435.32_1"/>
    <s v=""/>
    <s v="C3100LVMX0490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337"/>
    <x v="31"/>
    <d v="2020-10-18T00:00:00"/>
    <d v="2020-10-22T00:00:00"/>
    <s v="RV"/>
    <s v="USD"/>
    <n v="-2429.64"/>
    <s v="83.95000"/>
    <s v="BDT"/>
    <n v="-203968.28"/>
    <n v="-2429.64"/>
    <s v="2429.64_1"/>
    <s v=""/>
    <s v="C3131UQ20MEL0981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08000268"/>
    <x v="308"/>
    <d v="2021-05-29T00:00:00"/>
    <d v="2021-06-02T00:00:00"/>
    <s v="DR"/>
    <s v="USD"/>
    <n v="-2425"/>
    <s v="83.95000"/>
    <s v="BDT"/>
    <n v="-203578.75"/>
    <n v="-2425"/>
    <s v="2425_1"/>
    <s v=""/>
    <s v="SC3327LVUS06721"/>
    <s v="SC3327LVUS067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2422.9299999999998"/>
    <s v="83.95000"/>
    <s v="BDT"/>
    <n v="-203404.97"/>
    <n v="-2422.9299999999998"/>
    <s v="2422.93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1213"/>
    <x v="108"/>
    <d v="2021-04-11T00:00:00"/>
    <d v="2021-04-22T00:00:00"/>
    <s v="RV"/>
    <s v="USD"/>
    <n v="-2422.1"/>
    <s v="83.95000"/>
    <s v="BDT"/>
    <n v="-203335.3"/>
    <n v="-2422.1"/>
    <s v="2422.1_1"/>
    <s v=""/>
    <s v="C3271UQ21KR0430"/>
    <s v="20210411"/>
    <s v=""/>
    <s v=""/>
    <s v="0"/>
    <s v=""/>
    <s v=""/>
    <s v=""/>
    <s v=""/>
    <s v="2010100001"/>
    <s v=""/>
    <m/>
    <s v=""/>
    <s v=""/>
    <s v=""/>
    <n v="0"/>
  </r>
  <r>
    <s v=""/>
    <s v="40101011"/>
    <s v="2008000194"/>
    <x v="158"/>
    <d v="2021-02-28T00:00:00"/>
    <d v="2021-03-07T00:00:00"/>
    <s v="DR"/>
    <s v="USD"/>
    <n v="-2421.63"/>
    <s v="83.95000"/>
    <s v="BDT"/>
    <n v="-203295.84"/>
    <n v="-2421.63"/>
    <s v="2421.63_1"/>
    <s v=""/>
    <s v="CIPL-PGCL-0265-2"/>
    <s v="CIPL-PGCL-0265-20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1190"/>
    <x v="183"/>
    <d v="2021-03-29T00:00:00"/>
    <d v="2021-04-05T00:00:00"/>
    <s v="RV"/>
    <s v="USD"/>
    <n v="-2417.3200000000002"/>
    <s v="83.95000"/>
    <s v="BDT"/>
    <n v="-202934.01"/>
    <n v="-2417.3200000000002"/>
    <s v="2417.32_1"/>
    <s v=""/>
    <s v="C3275LVPE0365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248"/>
    <x v="133"/>
    <d v="2020-09-21T00:00:00"/>
    <d v="2020-09-24T00:00:00"/>
    <s v="RV"/>
    <s v="USD"/>
    <n v="-2411.7800000000002"/>
    <s v="83.95000"/>
    <s v="BDT"/>
    <n v="-202468.93"/>
    <n v="-2411.7800000000002"/>
    <s v="2411.78_1"/>
    <s v=""/>
    <s v="C3156DC20US0874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436"/>
    <x v="18"/>
    <d v="2020-11-05T00:00:00"/>
    <d v="2020-11-11T00:00:00"/>
    <s v="RV"/>
    <s v="USD"/>
    <n v="-2410.9299999999998"/>
    <s v="83.95000"/>
    <s v="BDT"/>
    <n v="-202397.57"/>
    <n v="-2410.9299999999998"/>
    <s v="2410.93_1"/>
    <s v=""/>
    <s v="C3141LVUS0948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513"/>
    <x v="243"/>
    <d v="2020-11-17T00:00:00"/>
    <d v="2020-11-21T00:00:00"/>
    <s v="RV"/>
    <s v="USD"/>
    <n v="-2410.89"/>
    <s v="83.95000"/>
    <s v="BDT"/>
    <n v="-202394.22"/>
    <n v="-2410.89"/>
    <s v="2410.89_1"/>
    <s v=""/>
    <s v="C3168UQ20TOK1168"/>
    <s v="20201117"/>
    <s v=""/>
    <s v=""/>
    <s v="0"/>
    <s v=""/>
    <s v=""/>
    <s v=""/>
    <s v=""/>
    <s v="2010100001"/>
    <s v=""/>
    <m/>
    <s v=""/>
    <s v=""/>
    <s v=""/>
    <n v="0"/>
  </r>
  <r>
    <s v=""/>
    <s v="40101002"/>
    <s v="2018000477"/>
    <x v="65"/>
    <d v="2020-11-11T00:00:00"/>
    <d v="2020-11-15T00:00:00"/>
    <s v="RV"/>
    <s v="USD"/>
    <n v="-2410.71"/>
    <s v="83.95000"/>
    <s v="BDT"/>
    <n v="-202379.1"/>
    <n v="-2410.71"/>
    <s v="2410.71_1"/>
    <s v=""/>
    <s v="C3142LVPK1113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633"/>
    <x v="225"/>
    <d v="2020-12-08T00:00:00"/>
    <d v="2020-12-13T00:00:00"/>
    <s v="RV"/>
    <s v="USD"/>
    <n v="-2396.69"/>
    <s v="83.95000"/>
    <s v="BDT"/>
    <n v="-201202.13"/>
    <n v="-2396.69"/>
    <s v="2396.69_1"/>
    <s v=""/>
    <s v="C3247UQ20NY1263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741"/>
    <x v="178"/>
    <d v="2020-12-23T00:00:00"/>
    <d v="2021-01-03T00:00:00"/>
    <s v="RV"/>
    <s v="USD"/>
    <n v="-2394.0300000000002"/>
    <s v="83.95000"/>
    <s v="BDT"/>
    <n v="-200978.82"/>
    <n v="-2394.0300000000002"/>
    <s v="2394.03_1"/>
    <s v=""/>
    <s v="C3218LVUS135220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073"/>
    <x v="53"/>
    <d v="2020-07-22T00:00:00"/>
    <d v="2020-07-28T00:00:00"/>
    <s v="RV"/>
    <s v="USD"/>
    <n v="-2385.39"/>
    <s v="83.95000"/>
    <s v="BDT"/>
    <n v="-200253.49"/>
    <n v="-2385.39"/>
    <s v="2385.39_1"/>
    <s v=""/>
    <s v="C3131UQ20SHA0662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075"/>
    <x v="53"/>
    <d v="2020-07-22T00:00:00"/>
    <d v="2020-07-28T00:00:00"/>
    <s v="RV"/>
    <s v="USD"/>
    <n v="-2385.39"/>
    <s v="83.95000"/>
    <s v="BDT"/>
    <n v="-200253.49"/>
    <n v="-2385.39"/>
    <s v="2385.39_2"/>
    <s v=""/>
    <s v="C3131UQ20YAN0665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742"/>
    <x v="224"/>
    <d v="2020-12-30T00:00:00"/>
    <d v="2021-01-03T00:00:00"/>
    <s v="RV"/>
    <s v="USD"/>
    <n v="-2379.2399999999998"/>
    <s v="83.95000"/>
    <s v="BDT"/>
    <n v="-199737.2"/>
    <n v="-2379.2399999999998"/>
    <s v="2379.24_1"/>
    <s v=""/>
    <s v="C3222LVGR1388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509"/>
    <x v="115"/>
    <d v="2020-11-15T00:00:00"/>
    <d v="2020-11-19T00:00:00"/>
    <s v="RV"/>
    <s v="USD"/>
    <n v="-2364"/>
    <s v="83.95000"/>
    <s v="BDT"/>
    <n v="-198457.8"/>
    <n v="-2364"/>
    <s v="2364_1"/>
    <s v=""/>
    <s v="C3234UQ20RU1035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0445"/>
    <x v="110"/>
    <d v="2020-11-08T00:00:00"/>
    <d v="2020-11-11T00:00:00"/>
    <s v="RV"/>
    <s v="USD"/>
    <n v="-2360.56"/>
    <s v="83.95000"/>
    <s v="BDT"/>
    <n v="-198169.01"/>
    <n v="-2360.56"/>
    <s v="2360.56_1"/>
    <s v=""/>
    <s v="C3142LVMY10152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850"/>
    <x v="250"/>
    <d v="2021-01-24T00:00:00"/>
    <d v="2021-01-28T00:00:00"/>
    <s v="RV"/>
    <s v="USD"/>
    <n v="-2360.4"/>
    <s v="83.95000"/>
    <s v="BDT"/>
    <n v="-198155.58"/>
    <n v="-2360.4"/>
    <s v="2360.4_1"/>
    <s v=""/>
    <s v="C3221LVGR009121"/>
    <s v="20210124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2360.34"/>
    <s v="83.95000"/>
    <s v="BDT"/>
    <n v="-198150.54"/>
    <n v="-2360.34"/>
    <s v="2360.34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675"/>
    <x v="79"/>
    <d v="2020-12-18T00:00:00"/>
    <d v="2020-12-22T00:00:00"/>
    <s v="RV"/>
    <s v="USD"/>
    <n v="-2356.7800000000002"/>
    <s v="83.95000"/>
    <s v="BDT"/>
    <n v="-197851.69"/>
    <n v="-2356.7800000000002"/>
    <s v="2356.78_1"/>
    <s v=""/>
    <s v="C3247UQ20SEN1343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75"/>
    <x v="79"/>
    <d v="2020-12-18T00:00:00"/>
    <d v="2020-12-22T00:00:00"/>
    <s v="RV"/>
    <s v="USD"/>
    <n v="-2356.7800000000002"/>
    <s v="83.95000"/>
    <s v="BDT"/>
    <n v="-197851.68"/>
    <n v="-2356.7800000000002"/>
    <s v="2356.78_2"/>
    <s v=""/>
    <s v="C3247UQ20SEN1343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338"/>
    <x v="31"/>
    <d v="2020-10-18T00:00:00"/>
    <d v="2020-10-22T00:00:00"/>
    <s v="RV"/>
    <s v="USD"/>
    <n v="-2356.0100000000002"/>
    <s v="83.95000"/>
    <s v="BDT"/>
    <n v="-197787.04"/>
    <n v="-2356.0100000000002"/>
    <s v="2356.01_1"/>
    <s v=""/>
    <s v="C3131UQ20SYD0982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901"/>
    <x v="143"/>
    <d v="2021-01-31T00:00:00"/>
    <d v="2021-02-04T00:00:00"/>
    <s v="RV"/>
    <s v="USD"/>
    <n v="-2348.15"/>
    <s v="83.95000"/>
    <s v="BDT"/>
    <n v="-197127.19"/>
    <n v="-2348.15"/>
    <s v="2348.15_1"/>
    <s v=""/>
    <s v="C3272UQ21TOK0125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0933"/>
    <x v="46"/>
    <d v="2021-02-07T00:00:00"/>
    <d v="2021-02-14T00:00:00"/>
    <s v="RV"/>
    <s v="USD"/>
    <n v="-2347.2399999999998"/>
    <s v="83.95000"/>
    <s v="BDT"/>
    <n v="-197050.8"/>
    <n v="-2347.2399999999998"/>
    <s v="2347.24_1"/>
    <s v=""/>
    <s v="C3260UQ21SEN0159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176"/>
    <x v="101"/>
    <d v="2021-03-28T00:00:00"/>
    <d v="2021-04-04T00:00:00"/>
    <s v="RV"/>
    <s v="USD"/>
    <n v="-2346.89"/>
    <s v="83.95000"/>
    <s v="BDT"/>
    <n v="-197021.41"/>
    <n v="-2346.89"/>
    <s v="2346.89_1"/>
    <s v=""/>
    <s v="C3318UQ21OSA0411"/>
    <s v="20210328"/>
    <s v=""/>
    <s v=""/>
    <s v="0"/>
    <s v=""/>
    <s v=""/>
    <s v=""/>
    <s v=""/>
    <s v="2010100001"/>
    <s v=""/>
    <m/>
    <s v=""/>
    <s v=""/>
    <s v=""/>
    <n v="0"/>
  </r>
  <r>
    <s v=""/>
    <s v="40101001"/>
    <s v="2018000942"/>
    <x v="46"/>
    <d v="2021-02-07T00:00:00"/>
    <d v="2021-02-14T00:00:00"/>
    <s v="RV"/>
    <s v="USD"/>
    <n v="-2343.5"/>
    <s v="83.95000"/>
    <s v="BDT"/>
    <n v="-196736.82"/>
    <n v="-2343.5"/>
    <s v="2343.5_1"/>
    <s v=""/>
    <s v="C3272UQ21OSA0156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090"/>
    <x v="309"/>
    <d v="2021-03-19T00:00:00"/>
    <d v="2021-03-24T00:00:00"/>
    <s v="RV"/>
    <s v="USD"/>
    <n v="-2334.85"/>
    <s v="83.95000"/>
    <s v="BDT"/>
    <n v="-196010.66"/>
    <n v="-2334.85"/>
    <s v="2334.85_1"/>
    <s v=""/>
    <s v="C3318UQ21TOM0327"/>
    <s v="20210319"/>
    <s v=""/>
    <s v=""/>
    <s v="0"/>
    <s v=""/>
    <s v=""/>
    <s v=""/>
    <s v=""/>
    <s v="2010100001"/>
    <s v=""/>
    <m/>
    <s v=""/>
    <s v=""/>
    <s v=""/>
    <n v="0"/>
  </r>
  <r>
    <s v=""/>
    <s v="40101001"/>
    <s v="2018001167"/>
    <x v="118"/>
    <d v="2021-03-27T00:00:00"/>
    <d v="2021-04-01T00:00:00"/>
    <s v="RV"/>
    <s v="USD"/>
    <n v="-2334.85"/>
    <s v="83.95000"/>
    <s v="BDT"/>
    <n v="-196010.66"/>
    <n v="-2334.85"/>
    <s v="2334.85_2"/>
    <s v=""/>
    <s v="C3318UQ21TOM0401"/>
    <s v="20210327"/>
    <s v=""/>
    <s v=""/>
    <s v="0"/>
    <s v=""/>
    <s v=""/>
    <s v=""/>
    <s v=""/>
    <s v="2010100001"/>
    <s v=""/>
    <m/>
    <s v=""/>
    <s v=""/>
    <s v=""/>
    <n v="0"/>
  </r>
  <r>
    <s v=""/>
    <s v="40101001"/>
    <s v="2018000595"/>
    <x v="27"/>
    <d v="2020-11-30T00:00:00"/>
    <d v="2020-12-05T00:00:00"/>
    <s v="RV"/>
    <s v="USD"/>
    <n v="-2333.0700000000002"/>
    <s v="83.95000"/>
    <s v="BDT"/>
    <n v="-195861.23"/>
    <n v="-2333.0700000000002"/>
    <s v="2333.07_1"/>
    <s v=""/>
    <s v="C3165DC20US1211"/>
    <s v="20201130"/>
    <s v=""/>
    <s v=""/>
    <s v="0"/>
    <s v=""/>
    <s v=""/>
    <s v=""/>
    <s v=""/>
    <s v="2010100001"/>
    <s v=""/>
    <m/>
    <s v=""/>
    <s v=""/>
    <s v=""/>
    <n v="0"/>
  </r>
  <r>
    <s v=""/>
    <s v="40101001"/>
    <s v="2018000360"/>
    <x v="95"/>
    <d v="2020-10-26T00:00:00"/>
    <d v="2020-10-28T00:00:00"/>
    <s v="RV"/>
    <s v="USD"/>
    <n v="-2332.48"/>
    <s v="83.95000"/>
    <s v="BDT"/>
    <n v="-195811.7"/>
    <n v="-2332.48"/>
    <s v="2332.48_1"/>
    <s v=""/>
    <s v="C3212LVTR1013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2325.38"/>
    <s v="83.95000"/>
    <s v="BDT"/>
    <n v="-195215.66"/>
    <n v="-2325.38"/>
    <s v="2325.38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231"/>
    <x v="270"/>
    <d v="2020-09-14T00:00:00"/>
    <d v="2020-09-16T00:00:00"/>
    <s v="RV"/>
    <s v="USD"/>
    <n v="-2319.1"/>
    <s v="83.95000"/>
    <s v="BDT"/>
    <n v="-194688.45"/>
    <n v="-2319.1"/>
    <s v="2319.1_1"/>
    <s v=""/>
    <s v="C3159UQ20KR0842"/>
    <s v="20200914"/>
    <s v=""/>
    <s v=""/>
    <s v="0"/>
    <s v=""/>
    <s v=""/>
    <s v=""/>
    <s v=""/>
    <s v="2010100001"/>
    <s v=""/>
    <m/>
    <s v=""/>
    <s v=""/>
    <s v=""/>
    <n v="0"/>
  </r>
  <r>
    <s v=""/>
    <s v="40101001"/>
    <s v="2018001557"/>
    <x v="176"/>
    <d v="2021-06-19T00:00:00"/>
    <d v="2021-06-24T00:00:00"/>
    <s v="RV"/>
    <s v="USD"/>
    <n v="-2314.4"/>
    <s v="83.95000"/>
    <s v="BDT"/>
    <n v="-194293.88"/>
    <n v="-2314.4"/>
    <s v="2314.4_1"/>
    <s v=""/>
    <s v="C3316UQ21OSA0803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685"/>
    <x v="268"/>
    <d v="2020-12-11T00:00:00"/>
    <d v="2020-12-23T00:00:00"/>
    <s v="RV"/>
    <s v="USD"/>
    <n v="-2297.66"/>
    <s v="83.95000"/>
    <s v="BDT"/>
    <n v="-192888.56"/>
    <n v="-2297.66"/>
    <s v="2297.66_1"/>
    <s v=""/>
    <s v="C3165DC20US1239"/>
    <s v="20201211"/>
    <s v=""/>
    <s v=""/>
    <s v="0"/>
    <s v=""/>
    <s v=""/>
    <s v=""/>
    <s v=""/>
    <s v="2010100001"/>
    <s v=""/>
    <m/>
    <s v=""/>
    <s v=""/>
    <s v=""/>
    <n v="0"/>
  </r>
  <r>
    <s v=""/>
    <s v="40101001"/>
    <s v="2018001273"/>
    <x v="71"/>
    <d v="2021-04-28T00:00:00"/>
    <d v="2021-05-03T00:00:00"/>
    <s v="RV"/>
    <s v="USD"/>
    <n v="-2295.7199999999998"/>
    <s v="83.95000"/>
    <s v="BDT"/>
    <n v="-192725.69"/>
    <n v="-2295.7199999999998"/>
    <s v="2295.72_1"/>
    <s v=""/>
    <s v="C3100LVMX0490-21"/>
    <s v="20210428"/>
    <s v=""/>
    <s v=""/>
    <s v="0"/>
    <s v=""/>
    <s v=""/>
    <s v=""/>
    <s v=""/>
    <s v="2010100001"/>
    <s v=""/>
    <m/>
    <s v=""/>
    <s v=""/>
    <s v=""/>
    <n v="0"/>
  </r>
  <r>
    <s v=""/>
    <s v="40101002"/>
    <s v="2018001537"/>
    <x v="88"/>
    <d v="2021-06-11T00:00:00"/>
    <d v="2021-06-19T00:00:00"/>
    <s v="RV"/>
    <s v="USD"/>
    <n v="-2295.3000000000002"/>
    <s v="83.95000"/>
    <s v="BDT"/>
    <n v="-192690.44"/>
    <n v="-2295.3000000000002"/>
    <s v="2295.3_1"/>
    <s v=""/>
    <s v="C3285LVPK0742-21"/>
    <s v="20210611"/>
    <s v=""/>
    <s v=""/>
    <s v="0"/>
    <s v=""/>
    <s v=""/>
    <s v=""/>
    <s v=""/>
    <s v="2010100001"/>
    <s v=""/>
    <m/>
    <s v=""/>
    <s v=""/>
    <s v=""/>
    <n v="0"/>
  </r>
  <r>
    <s v=""/>
    <s v="40101002"/>
    <s v="2018001536"/>
    <x v="252"/>
    <d v="2021-06-03T00:00:00"/>
    <d v="2021-06-19T00:00:00"/>
    <s v="RV"/>
    <s v="USD"/>
    <n v="-2295.21"/>
    <s v="83.95000"/>
    <s v="BDT"/>
    <n v="-192682.88"/>
    <n v="-2295.21"/>
    <s v="2295.21_1"/>
    <s v=""/>
    <s v="C3283LVPK0707-21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1150"/>
    <x v="101"/>
    <d v="2021-03-28T00:00:00"/>
    <d v="2021-03-31T00:00:00"/>
    <s v="RV"/>
    <s v="USD"/>
    <n v="-2292.48"/>
    <s v="83.95000"/>
    <s v="BDT"/>
    <n v="-192453.7"/>
    <n v="-2292.48"/>
    <s v="2292.48_1"/>
    <s v=""/>
    <s v="C3268LVCL0374-21"/>
    <s v="20210328"/>
    <s v=""/>
    <s v=""/>
    <s v="0"/>
    <s v=""/>
    <s v=""/>
    <s v=""/>
    <s v=""/>
    <s v="2010100001"/>
    <s v=""/>
    <m/>
    <s v=""/>
    <s v=""/>
    <s v=""/>
    <n v="0"/>
  </r>
  <r>
    <s v=""/>
    <s v="40101001"/>
    <s v="2018001567"/>
    <x v="219"/>
    <d v="2021-06-21T00:00:00"/>
    <d v="2021-06-24T00:00:00"/>
    <s v="RV"/>
    <s v="USD"/>
    <n v="-2292.33"/>
    <s v="83.95000"/>
    <s v="BDT"/>
    <n v="-192441.1"/>
    <n v="-2292.33"/>
    <s v="2292.33_1"/>
    <s v=""/>
    <s v="C3284LVPE0760-21"/>
    <s v="20210621"/>
    <s v=""/>
    <s v=""/>
    <s v="0"/>
    <s v=""/>
    <s v=""/>
    <s v=""/>
    <s v=""/>
    <s v="2010100001"/>
    <s v=""/>
    <m/>
    <s v=""/>
    <s v=""/>
    <s v=""/>
    <n v="0"/>
  </r>
  <r>
    <s v=""/>
    <s v="40101001"/>
    <s v="2018001046"/>
    <x v="180"/>
    <d v="2021-03-02T00:00:00"/>
    <d v="2021-03-11T00:00:00"/>
    <s v="RV"/>
    <s v="USD"/>
    <n v="-2291.36"/>
    <s v="83.95000"/>
    <s v="BDT"/>
    <n v="-192359.67"/>
    <n v="-2291.36"/>
    <s v="2291.36_1"/>
    <s v=""/>
    <s v="C3218LVMX0270-21"/>
    <s v="20210302"/>
    <s v=""/>
    <s v=""/>
    <s v="0"/>
    <s v=""/>
    <s v=""/>
    <s v=""/>
    <s v=""/>
    <s v="2010100001"/>
    <s v=""/>
    <m/>
    <s v=""/>
    <s v=""/>
    <s v=""/>
    <n v="0"/>
  </r>
  <r>
    <s v=""/>
    <s v="40101001"/>
    <s v="2018000742"/>
    <x v="224"/>
    <d v="2020-12-30T00:00:00"/>
    <d v="2021-01-03T00:00:00"/>
    <s v="RV"/>
    <s v="USD"/>
    <n v="-2276.16"/>
    <s v="83.95000"/>
    <s v="BDT"/>
    <n v="-191083.63"/>
    <n v="-2276.16"/>
    <s v="2276.16_1"/>
    <s v=""/>
    <s v="C3222LVGR1388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859"/>
    <x v="197"/>
    <d v="2021-01-23T00:00:00"/>
    <d v="2021-01-30T00:00:00"/>
    <s v="RV"/>
    <s v="USD"/>
    <n v="-2275.6"/>
    <s v="83.95000"/>
    <s v="BDT"/>
    <n v="-191036.61"/>
    <n v="-2275.6"/>
    <s v="2275.6_1"/>
    <s v=""/>
    <s v="C3259UQ21SEN0079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2266.69"/>
    <s v="83.95000"/>
    <s v="BDT"/>
    <n v="-190288.63"/>
    <n v="-2266.69"/>
    <s v="2266.69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1289"/>
    <x v="71"/>
    <d v="2021-04-28T00:00:00"/>
    <d v="2021-05-07T00:00:00"/>
    <s v="RV"/>
    <s v="USD"/>
    <n v="-2264.7600000000002"/>
    <s v="83.95000"/>
    <s v="BDT"/>
    <n v="-190126.6"/>
    <n v="-2264.7600000000002"/>
    <s v="2264.76_1"/>
    <s v=""/>
    <s v="C3343UQ21HAK0524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0635"/>
    <x v="254"/>
    <d v="2020-12-13T00:00:00"/>
    <d v="2020-12-15T00:00:00"/>
    <s v="RV"/>
    <s v="USD"/>
    <n v="-2262.27"/>
    <s v="83.95000"/>
    <s v="BDT"/>
    <n v="-189917.57"/>
    <n v="-2262.27"/>
    <s v="2262.27_1"/>
    <s v=""/>
    <s v="C3145LVUS1266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0248"/>
    <x v="133"/>
    <d v="2020-09-21T00:00:00"/>
    <d v="2020-09-24T00:00:00"/>
    <s v="RV"/>
    <s v="USD"/>
    <n v="-2259.13"/>
    <s v="83.95000"/>
    <s v="BDT"/>
    <n v="-189653.96"/>
    <n v="-2259.13"/>
    <s v="2259.13_1"/>
    <s v=""/>
    <s v="C3156DC20US0874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134"/>
    <x v="147"/>
    <d v="2020-07-31T00:00:00"/>
    <d v="2020-08-14T00:00:00"/>
    <s v="RV"/>
    <s v="USD"/>
    <n v="-2256.25"/>
    <s v="83.95000"/>
    <s v="BDT"/>
    <n v="-189412.19"/>
    <n v="-2256.25"/>
    <s v="2256.25_1"/>
    <s v=""/>
    <s v="C3150UQ20YAN0690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016"/>
    <x v="210"/>
    <d v="2020-07-08T00:00:00"/>
    <d v="2020-07-15T00:00:00"/>
    <s v="RV"/>
    <s v="USD"/>
    <n v="-2253.84"/>
    <s v="83.95000"/>
    <s v="BDT"/>
    <n v="-189209.86"/>
    <n v="-2253.84"/>
    <s v="2253.84_1"/>
    <s v=""/>
    <s v="C3064LVSG0597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2248.42"/>
    <s v="83.95000"/>
    <s v="BDT"/>
    <n v="-188754.86"/>
    <n v="-2248.42"/>
    <s v="2248.42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853"/>
    <x v="197"/>
    <d v="2021-01-23T00:00:00"/>
    <d v="2021-01-30T00:00:00"/>
    <s v="RV"/>
    <s v="USD"/>
    <n v="-2239.62"/>
    <s v="83.95000"/>
    <s v="BDT"/>
    <n v="-188016.1"/>
    <n v="-2239.62"/>
    <s v="2239.62_1"/>
    <s v=""/>
    <s v="C3247UQ21NAG0040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858"/>
    <x v="197"/>
    <d v="2021-01-23T00:00:00"/>
    <d v="2021-01-30T00:00:00"/>
    <s v="RV"/>
    <s v="USD"/>
    <n v="-2239.62"/>
    <s v="83.95000"/>
    <s v="BDT"/>
    <n v="-188016.1"/>
    <n v="-2239.62"/>
    <s v="2239.62_2"/>
    <s v=""/>
    <s v="C3259UQ21OSA0081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860"/>
    <x v="197"/>
    <d v="2021-01-23T00:00:00"/>
    <d v="2021-01-30T00:00:00"/>
    <s v="RV"/>
    <s v="USD"/>
    <n v="-2239.62"/>
    <s v="83.95000"/>
    <s v="BDT"/>
    <n v="-188016.1"/>
    <n v="-2239.62"/>
    <s v="2239.62_3"/>
    <s v=""/>
    <s v="C3259UQ21TOM0080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524"/>
    <x v="86"/>
    <d v="2021-06-14T00:00:00"/>
    <d v="2021-06-17T00:00:00"/>
    <s v="RV"/>
    <s v="USD"/>
    <n v="-2237.0100000000002"/>
    <s v="83.95000"/>
    <s v="BDT"/>
    <n v="-187796.99"/>
    <n v="-2237.0100000000002"/>
    <s v="2237.01_1"/>
    <s v=""/>
    <s v="C3328UQ21TOK0765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0744"/>
    <x v="69"/>
    <d v="2020-12-29T00:00:00"/>
    <d v="2021-01-03T00:00:00"/>
    <s v="RV"/>
    <s v="USD"/>
    <n v="-2229.09"/>
    <s v="83.95000"/>
    <s v="BDT"/>
    <n v="-187132.11"/>
    <n v="-2229.09"/>
    <s v="2229.09_1"/>
    <s v=""/>
    <s v="C3234UQ20VAN1366"/>
    <s v="20201229"/>
    <s v=""/>
    <s v=""/>
    <s v="0"/>
    <s v=""/>
    <s v=""/>
    <s v=""/>
    <s v=""/>
    <s v="2010100001"/>
    <s v=""/>
    <m/>
    <s v=""/>
    <s v=""/>
    <s v=""/>
    <n v="0"/>
  </r>
  <r>
    <s v=""/>
    <s v="40101001"/>
    <s v="2018000665"/>
    <x v="79"/>
    <d v="2020-12-18T00:00:00"/>
    <d v="2020-12-22T00:00:00"/>
    <s v="RV"/>
    <s v="USD"/>
    <n v="-2225.84"/>
    <s v="83.95000"/>
    <s v="BDT"/>
    <n v="-186859.27"/>
    <n v="-2225.84"/>
    <s v="2225.84_1"/>
    <s v=""/>
    <s v="C3247UQ20TOM1326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71"/>
    <x v="79"/>
    <d v="2020-12-18T00:00:00"/>
    <d v="2020-12-22T00:00:00"/>
    <s v="RV"/>
    <s v="USD"/>
    <n v="-2225.84"/>
    <s v="83.95000"/>
    <s v="BDT"/>
    <n v="-186859.27"/>
    <n v="-2225.84"/>
    <s v="2225.84_2"/>
    <s v=""/>
    <s v="C3247UQ20TOM1336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197"/>
    <x v="297"/>
    <d v="2021-04-05T00:00:00"/>
    <d v="2021-04-08T00:00:00"/>
    <s v="RV"/>
    <s v="USD"/>
    <n v="-2220.7600000000002"/>
    <s v="83.95000"/>
    <s v="BDT"/>
    <n v="-186432.8"/>
    <n v="-2220.7600000000002"/>
    <s v="2220.76_1"/>
    <s v=""/>
    <s v="C3266LVMY0415-21"/>
    <s v="20210405"/>
    <s v=""/>
    <s v=""/>
    <s v="0"/>
    <s v=""/>
    <s v=""/>
    <s v=""/>
    <s v=""/>
    <s v="2010100001"/>
    <s v=""/>
    <m/>
    <s v=""/>
    <s v=""/>
    <s v=""/>
    <n v="0"/>
  </r>
  <r>
    <s v=""/>
    <s v="40101001"/>
    <s v="2018001528"/>
    <x v="86"/>
    <d v="2021-06-14T00:00:00"/>
    <d v="2021-06-17T00:00:00"/>
    <s v="RV"/>
    <s v="USD"/>
    <n v="-2218.36"/>
    <s v="83.95000"/>
    <s v="BDT"/>
    <n v="-186231.32"/>
    <n v="-2218.36"/>
    <s v="2218.36_1"/>
    <s v=""/>
    <s v="C3335LVUS0741-21"/>
    <s v="20210614"/>
    <s v=""/>
    <s v=""/>
    <s v="0"/>
    <s v=""/>
    <s v=""/>
    <s v=""/>
    <s v=""/>
    <s v="2010100001"/>
    <s v=""/>
    <m/>
    <s v=""/>
    <s v=""/>
    <s v=""/>
    <n v="0"/>
  </r>
  <r>
    <s v=""/>
    <s v="40101001"/>
    <s v="2018000445"/>
    <x v="110"/>
    <d v="2020-11-08T00:00:00"/>
    <d v="2020-11-11T00:00:00"/>
    <s v="RV"/>
    <s v="USD"/>
    <n v="-2207.12"/>
    <s v="83.95000"/>
    <s v="BDT"/>
    <n v="-185287.72"/>
    <n v="-2207.12"/>
    <s v="2207.12_1"/>
    <s v=""/>
    <s v="C3142LVMY10152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1611"/>
    <x v="163"/>
    <d v="2021-06-26T00:00:00"/>
    <d v="2021-07-01T00:00:00"/>
    <s v="RV"/>
    <s v="USD"/>
    <n v="-2201.98"/>
    <s v="83.95000"/>
    <s v="BDT"/>
    <n v="-184856.22"/>
    <n v="-2201.98"/>
    <s v="2201.98_1"/>
    <s v=""/>
    <s v="C3329UQ21VAN0822"/>
    <s v="20210626"/>
    <s v=""/>
    <s v=""/>
    <s v="0"/>
    <s v=""/>
    <s v=""/>
    <s v=""/>
    <s v=""/>
    <s v="2010100001"/>
    <s v=""/>
    <m/>
    <s v=""/>
    <s v=""/>
    <s v=""/>
    <n v="0"/>
  </r>
  <r>
    <s v=""/>
    <s v="40101001"/>
    <s v="2018000890"/>
    <x v="44"/>
    <d v="2021-01-28T00:00:00"/>
    <d v="2021-02-04T00:00:00"/>
    <s v="RV"/>
    <s v="USD"/>
    <n v="-2195.19"/>
    <s v="83.95000"/>
    <s v="BDT"/>
    <n v="-184286.2"/>
    <n v="-2195.19"/>
    <s v="2195.19_1"/>
    <s v=""/>
    <s v="C3218LVUS008521"/>
    <s v="20210128"/>
    <s v=""/>
    <s v=""/>
    <s v="0"/>
    <s v=""/>
    <s v=""/>
    <s v=""/>
    <s v=""/>
    <s v="2010100001"/>
    <s v=""/>
    <m/>
    <s v=""/>
    <s v=""/>
    <s v=""/>
    <n v="0"/>
  </r>
  <r>
    <s v=""/>
    <s v="40101001"/>
    <s v="2018000096"/>
    <x v="53"/>
    <d v="2020-07-22T00:00:00"/>
    <d v="2020-08-06T00:00:00"/>
    <s v="RV"/>
    <s v="USD"/>
    <n v="-2185.7399999999998"/>
    <s v="83.95000"/>
    <s v="BDT"/>
    <n v="-183492.87"/>
    <n v="-2185.7399999999998"/>
    <s v="2185.74_1"/>
    <s v=""/>
    <s v="C3150UQ20YAN0671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510"/>
    <x v="88"/>
    <d v="2021-06-11T00:00:00"/>
    <d v="2021-06-17T00:00:00"/>
    <s v="RV"/>
    <s v="USD"/>
    <n v="-2175.92"/>
    <s v="83.95000"/>
    <s v="BDT"/>
    <n v="-182668.48"/>
    <n v="-2175.92"/>
    <s v="2175.92_1"/>
    <s v=""/>
    <s v="C3283LVUS0700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464"/>
    <x v="54"/>
    <d v="2020-11-09T00:00:00"/>
    <d v="2020-11-14T00:00:00"/>
    <s v="RV"/>
    <s v="USD"/>
    <n v="-2172.61"/>
    <s v="83.95000"/>
    <s v="BDT"/>
    <n v="-182390.61"/>
    <n v="-2172.61"/>
    <s v="2172.61_1"/>
    <s v=""/>
    <s v="C03170US20-1044"/>
    <s v="20201109"/>
    <s v=""/>
    <s v=""/>
    <s v="0"/>
    <s v=""/>
    <s v=""/>
    <s v=""/>
    <s v=""/>
    <s v="2010100001"/>
    <s v=""/>
    <m/>
    <s v=""/>
    <s v=""/>
    <s v=""/>
    <n v="0"/>
  </r>
  <r>
    <s v=""/>
    <s v="40101001"/>
    <s v="2018001576"/>
    <x v="310"/>
    <d v="2021-06-10T00:00:00"/>
    <d v="2021-06-24T00:00:00"/>
    <s v="RV"/>
    <s v="USD"/>
    <n v="-2162.5700000000002"/>
    <s v="83.95000"/>
    <s v="BDT"/>
    <n v="-181547.75"/>
    <n v="-2162.5700000000002"/>
    <s v="2162.57_1"/>
    <s v=""/>
    <s v="C3309UQ21KR0749"/>
    <s v="20210610"/>
    <s v=""/>
    <s v=""/>
    <s v="0"/>
    <s v=""/>
    <s v=""/>
    <s v=""/>
    <s v=""/>
    <s v="2010100001"/>
    <s v=""/>
    <m/>
    <s v=""/>
    <s v=""/>
    <s v=""/>
    <n v="0"/>
  </r>
  <r>
    <s v=""/>
    <s v="40101001"/>
    <s v="2018001414"/>
    <x v="17"/>
    <d v="2021-05-23T00:00:00"/>
    <d v="2021-05-26T00:00:00"/>
    <s v="RV"/>
    <s v="USD"/>
    <n v="-2152.3200000000002"/>
    <s v="83.95000"/>
    <s v="BDT"/>
    <n v="-180687.26"/>
    <n v="-2152.3200000000002"/>
    <s v="2152.32_1"/>
    <s v=""/>
    <s v="C3329UQ21VAN0628"/>
    <s v="20210523"/>
    <s v=""/>
    <s v=""/>
    <s v="0"/>
    <s v=""/>
    <s v=""/>
    <s v=""/>
    <s v=""/>
    <s v="2010100001"/>
    <s v=""/>
    <m/>
    <s v=""/>
    <s v=""/>
    <s v=""/>
    <n v="0"/>
  </r>
  <r>
    <s v=""/>
    <s v="40101001"/>
    <s v="2018000138"/>
    <x v="185"/>
    <d v="2020-07-28T00:00:00"/>
    <d v="2020-08-14T00:00:00"/>
    <s v="RV"/>
    <s v="USD"/>
    <n v="-2147.0700000000002"/>
    <s v="83.95000"/>
    <s v="BDT"/>
    <n v="-180246.53"/>
    <n v="-2147.0700000000002"/>
    <s v="2147.07_1"/>
    <s v=""/>
    <s v="C3120UQ20SHA0687"/>
    <s v="20200728"/>
    <s v=""/>
    <s v=""/>
    <s v="0"/>
    <s v=""/>
    <s v=""/>
    <s v=""/>
    <s v=""/>
    <s v="2010100001"/>
    <s v=""/>
    <m/>
    <s v=""/>
    <s v=""/>
    <s v=""/>
    <n v="0"/>
  </r>
  <r>
    <s v=""/>
    <s v="40101001"/>
    <s v="2018001463"/>
    <x v="127"/>
    <d v="2021-06-04T00:00:00"/>
    <d v="2021-06-10T00:00:00"/>
    <s v="RV"/>
    <s v="USD"/>
    <n v="-2147.02"/>
    <s v="83.95000"/>
    <s v="BDT"/>
    <n v="-180242.33"/>
    <n v="-2147.02"/>
    <s v="2147.02_1"/>
    <s v=""/>
    <s v="C3270LVUS0698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1511"/>
    <x v="88"/>
    <d v="2021-06-11T00:00:00"/>
    <d v="2021-06-17T00:00:00"/>
    <s v="RV"/>
    <s v="USD"/>
    <n v="-2137.14"/>
    <s v="83.95000"/>
    <s v="BDT"/>
    <n v="-179412.9"/>
    <n v="-2137.14"/>
    <s v="2137.14_1"/>
    <s v=""/>
    <s v="C3286LVTR071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444"/>
    <x v="172"/>
    <d v="2020-11-01T00:00:00"/>
    <d v="2020-11-11T00:00:00"/>
    <s v="RV"/>
    <s v="USD"/>
    <n v="-2135.77"/>
    <s v="83.95000"/>
    <s v="BDT"/>
    <n v="-179297.89"/>
    <n v="-2135.77"/>
    <s v="2135.77_1"/>
    <s v=""/>
    <s v="C3142LVPE093620"/>
    <s v="20201101"/>
    <s v=""/>
    <s v=""/>
    <s v="0"/>
    <s v=""/>
    <s v=""/>
    <s v=""/>
    <s v=""/>
    <s v="2010100001"/>
    <s v=""/>
    <m/>
    <s v=""/>
    <s v=""/>
    <s v=""/>
    <n v="0"/>
  </r>
  <r>
    <s v=""/>
    <s v="40101001"/>
    <s v="2018001564"/>
    <x v="10"/>
    <d v="2021-06-20T00:00:00"/>
    <d v="2021-06-24T00:00:00"/>
    <s v="RV"/>
    <s v="USD"/>
    <n v="-2125.5500000000002"/>
    <s v="83.95000"/>
    <s v="BDT"/>
    <n v="-178439.93"/>
    <n v="-2125.5500000000002"/>
    <s v="2125.55_1"/>
    <s v=""/>
    <s v="C3270LVGR0796-21"/>
    <s v="20210620"/>
    <s v=""/>
    <s v=""/>
    <s v="0"/>
    <s v=""/>
    <s v=""/>
    <s v=""/>
    <s v=""/>
    <s v="2010100001"/>
    <s v=""/>
    <m/>
    <s v=""/>
    <s v=""/>
    <s v=""/>
    <n v="0"/>
  </r>
  <r>
    <s v=""/>
    <s v="40101001"/>
    <s v="2018001472"/>
    <x v="152"/>
    <d v="2021-06-07T00:00:00"/>
    <d v="2021-06-10T00:00:00"/>
    <s v="RV"/>
    <s v="USD"/>
    <n v="-2116.7399999999998"/>
    <s v="83.95000"/>
    <s v="BDT"/>
    <n v="-177700.32"/>
    <n v="-2116.7399999999998"/>
    <s v="2116.74_1"/>
    <s v=""/>
    <s v="C3343UQ21YOK0727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1452"/>
    <x v="252"/>
    <d v="2021-06-03T00:00:00"/>
    <d v="2021-06-09T00:00:00"/>
    <s v="RV"/>
    <s v="USD"/>
    <n v="-2105.41"/>
    <s v="83.95000"/>
    <s v="BDT"/>
    <n v="-176749.17"/>
    <n v="-2105.41"/>
    <s v="2105.41_1"/>
    <s v=""/>
    <s v="C3329UQ21IN0674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1005"/>
    <x v="231"/>
    <d v="2021-02-22T00:00:00"/>
    <d v="2021-02-28T00:00:00"/>
    <s v="RV"/>
    <s v="USD"/>
    <n v="-2097.9699999999998"/>
    <s v="83.95000"/>
    <s v="BDT"/>
    <n v="-176124.58"/>
    <n v="-2097.9699999999998"/>
    <s v="2097.97_1"/>
    <s v=""/>
    <s v="C3290UQ21TOM0241"/>
    <s v="20210222"/>
    <s v=""/>
    <s v=""/>
    <s v="0"/>
    <s v=""/>
    <s v=""/>
    <s v=""/>
    <s v=""/>
    <s v="2010100001"/>
    <s v=""/>
    <m/>
    <s v=""/>
    <s v=""/>
    <s v=""/>
    <n v="0"/>
  </r>
  <r>
    <s v=""/>
    <s v="40101001"/>
    <s v="2018000281"/>
    <x v="166"/>
    <d v="2020-09-27T00:00:00"/>
    <d v="2020-10-01T00:00:00"/>
    <s v="RV"/>
    <s v="USD"/>
    <n v="-2097.6"/>
    <s v="83.95000"/>
    <s v="BDT"/>
    <n v="-176093.52"/>
    <n v="-2097.6"/>
    <s v="2097.6_1"/>
    <s v=""/>
    <s v="C3162DC20US0873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18000522"/>
    <x v="115"/>
    <d v="2020-11-15T00:00:00"/>
    <d v="2020-11-24T00:00:00"/>
    <s v="RV"/>
    <s v="USD"/>
    <n v="-2082.31"/>
    <s v="83.95000"/>
    <s v="BDT"/>
    <n v="-174809.92"/>
    <n v="-2082.31"/>
    <s v="2082.31_1"/>
    <s v=""/>
    <s v="C3147LVGR115220"/>
    <s v="20201115"/>
    <s v=""/>
    <s v=""/>
    <s v="0"/>
    <s v=""/>
    <s v=""/>
    <s v=""/>
    <s v=""/>
    <s v="2010100001"/>
    <s v=""/>
    <m/>
    <s v=""/>
    <s v=""/>
    <s v=""/>
    <n v="0"/>
  </r>
  <r>
    <s v=""/>
    <s v="40101001"/>
    <s v="2018001290"/>
    <x v="71"/>
    <d v="2021-04-28T00:00:00"/>
    <d v="2021-05-07T00:00:00"/>
    <s v="RV"/>
    <s v="USD"/>
    <n v="-2076.0300000000002"/>
    <s v="83.95000"/>
    <s v="BDT"/>
    <n v="-174282.72"/>
    <n v="-2076.0300000000002"/>
    <s v="2076.03_1"/>
    <s v=""/>
    <s v="C3343UQ21NAG0513"/>
    <s v="20210428"/>
    <s v=""/>
    <s v=""/>
    <s v="0"/>
    <s v=""/>
    <s v=""/>
    <s v=""/>
    <s v=""/>
    <s v="2010100001"/>
    <s v=""/>
    <m/>
    <s v=""/>
    <s v=""/>
    <s v=""/>
    <n v="0"/>
  </r>
  <r>
    <s v=""/>
    <s v="40101002"/>
    <s v="2018001251"/>
    <x v="259"/>
    <d v="2021-04-22T00:00:00"/>
    <d v="2021-04-26T00:00:00"/>
    <s v="RV"/>
    <s v="USD"/>
    <n v="-2054.2199999999998"/>
    <s v="83.95000"/>
    <s v="BDT"/>
    <n v="-172451.77"/>
    <n v="-2054.2199999999998"/>
    <s v="2054.22_1"/>
    <s v=""/>
    <s v="C3266LVPK0472-21"/>
    <s v="20210422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2048.9899999999998"/>
    <s v="83.95000"/>
    <s v="BDT"/>
    <n v="-172012.71"/>
    <n v="-2048.9899999999998"/>
    <s v="2048.99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515"/>
    <x v="243"/>
    <d v="2020-11-17T00:00:00"/>
    <d v="2020-11-24T00:00:00"/>
    <s v="RV"/>
    <s v="USD"/>
    <n v="-2046.5"/>
    <s v="83.95000"/>
    <s v="BDT"/>
    <n v="-171803.68"/>
    <n v="-2046.5"/>
    <s v="2046.5_1"/>
    <s v=""/>
    <s v="C3147LVUS114920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1127"/>
    <x v="301"/>
    <d v="2021-03-20T00:00:00"/>
    <d v="2021-03-31T00:00:00"/>
    <s v="RV"/>
    <s v="USD"/>
    <n v="-2043.43"/>
    <s v="83.95000"/>
    <s v="BDT"/>
    <n v="-171545.95"/>
    <n v="-2043.43"/>
    <s v="2043.43_1"/>
    <s v=""/>
    <s v="C3261C&amp;A21GR0350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129"/>
    <x v="301"/>
    <d v="2021-03-20T00:00:00"/>
    <d v="2021-03-31T00:00:00"/>
    <s v="RV"/>
    <s v="USD"/>
    <n v="-2043.43"/>
    <s v="83.95000"/>
    <s v="BDT"/>
    <n v="-171545.95"/>
    <n v="-2043.43"/>
    <s v="2043.43_2"/>
    <s v=""/>
    <s v="C3261C&amp;A21GR0352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212"/>
    <x v="297"/>
    <d v="2021-04-05T00:00:00"/>
    <d v="2021-04-20T00:00:00"/>
    <s v="RV"/>
    <s v="USD"/>
    <n v="-2039.69"/>
    <s v="83.95000"/>
    <s v="BDT"/>
    <n v="-171231.98"/>
    <n v="-2039.69"/>
    <s v="2039.69_1"/>
    <s v=""/>
    <s v="C3291UQ21HNL0421"/>
    <s v="20210405"/>
    <s v=""/>
    <s v=""/>
    <s v="0"/>
    <s v=""/>
    <s v=""/>
    <s v=""/>
    <s v=""/>
    <s v="2010100001"/>
    <s v=""/>
    <m/>
    <s v=""/>
    <s v=""/>
    <s v=""/>
    <n v="0"/>
  </r>
  <r>
    <s v=""/>
    <s v="40101001"/>
    <s v="2018001482"/>
    <x v="202"/>
    <d v="2021-06-06T00:00:00"/>
    <d v="2021-06-14T00:00:00"/>
    <s v="RV"/>
    <s v="USD"/>
    <n v="-2039.67"/>
    <s v="83.95000"/>
    <s v="BDT"/>
    <n v="-171230.3"/>
    <n v="-2039.67"/>
    <s v="2039.67_1"/>
    <s v=""/>
    <s v="C3284LVGR0745-21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012"/>
    <x v="210"/>
    <d v="2020-07-08T00:00:00"/>
    <d v="2020-07-13T00:00:00"/>
    <s v="RV"/>
    <s v="USD"/>
    <n v="-2037.7"/>
    <s v="83.95000"/>
    <s v="BDT"/>
    <n v="-171064.91"/>
    <n v="-2037.7"/>
    <s v="2037.7_1"/>
    <s v=""/>
    <s v="C3093UQ20IN0599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0869"/>
    <x v="197"/>
    <d v="2021-01-23T00:00:00"/>
    <d v="2021-01-31T00:00:00"/>
    <s v="RV"/>
    <s v="USD"/>
    <n v="-2036.02"/>
    <s v="83.95000"/>
    <s v="BDT"/>
    <n v="-170923.88"/>
    <n v="-2036.02"/>
    <s v="2036.02_1"/>
    <s v=""/>
    <s v="C3259UQ21YOK0077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066"/>
    <x v="295"/>
    <d v="2020-07-21T00:00:00"/>
    <d v="2020-07-25T00:00:00"/>
    <s v="RV"/>
    <s v="USD"/>
    <n v="-2031.81"/>
    <s v="83.95000"/>
    <s v="BDT"/>
    <n v="-170570.44"/>
    <n v="-2031.81"/>
    <s v="2031.81_1"/>
    <s v=""/>
    <s v="C3132UQ20EU0644"/>
    <s v="20200721"/>
    <s v=""/>
    <s v=""/>
    <s v="0"/>
    <s v=""/>
    <s v=""/>
    <s v=""/>
    <s v=""/>
    <s v="2010100001"/>
    <s v=""/>
    <m/>
    <s v=""/>
    <s v=""/>
    <s v=""/>
    <n v="0"/>
  </r>
  <r>
    <s v=""/>
    <s v="40101001"/>
    <s v="2018000066"/>
    <x v="295"/>
    <d v="2020-07-21T00:00:00"/>
    <d v="2020-07-25T00:00:00"/>
    <s v="RV"/>
    <s v="USD"/>
    <n v="-2031.81"/>
    <s v="83.95000"/>
    <s v="BDT"/>
    <n v="-170570.45"/>
    <n v="-2031.81"/>
    <s v="2031.81_2"/>
    <s v=""/>
    <s v="C3132UQ20EU0644"/>
    <s v="20200721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2028.6"/>
    <s v="83.95000"/>
    <s v="BDT"/>
    <n v="-170300.97"/>
    <n v="-2028.6"/>
    <s v="2028.6_1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053"/>
    <x v="37"/>
    <d v="2020-07-17T00:00:00"/>
    <d v="2020-07-21T00:00:00"/>
    <s v="RV"/>
    <s v="USD"/>
    <n v="-2028.02"/>
    <s v="83.95000"/>
    <s v="BDT"/>
    <n v="-170252.28"/>
    <n v="-2028.02"/>
    <s v="2028.02_1"/>
    <s v=""/>
    <s v="C3063LVGR062220"/>
    <s v="20200717"/>
    <s v=""/>
    <s v=""/>
    <s v="0"/>
    <s v=""/>
    <s v=""/>
    <s v=""/>
    <s v=""/>
    <s v="2010100001"/>
    <s v=""/>
    <m/>
    <s v=""/>
    <s v=""/>
    <s v=""/>
    <n v="0"/>
  </r>
  <r>
    <s v=""/>
    <s v="40101001"/>
    <s v="2018000662"/>
    <x v="311"/>
    <d v="2020-12-04T00:00:00"/>
    <d v="2020-12-21T00:00:00"/>
    <s v="RV"/>
    <s v="USD"/>
    <n v="-2021.82"/>
    <s v="83.95000"/>
    <s v="BDT"/>
    <n v="-169731.79"/>
    <n v="-2021.82"/>
    <s v="2021.82_1"/>
    <s v=""/>
    <s v="C3147LVVN122720"/>
    <s v="20201204"/>
    <s v=""/>
    <s v=""/>
    <s v="0"/>
    <s v=""/>
    <s v=""/>
    <s v=""/>
    <s v=""/>
    <s v="2010100001"/>
    <s v=""/>
    <m/>
    <s v=""/>
    <s v=""/>
    <s v=""/>
    <n v="0"/>
  </r>
  <r>
    <s v=""/>
    <s v="40101001"/>
    <s v="2018001189"/>
    <x v="183"/>
    <d v="2021-03-29T00:00:00"/>
    <d v="2021-04-05T00:00:00"/>
    <s v="RV"/>
    <s v="USD"/>
    <n v="-2021.82"/>
    <s v="83.95000"/>
    <s v="BDT"/>
    <n v="-169731.79"/>
    <n v="-2021.82"/>
    <s v="2021.82_2"/>
    <s v=""/>
    <s v="C3147LVPE0250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952"/>
    <x v="99"/>
    <d v="2021-02-11T00:00:00"/>
    <d v="2021-02-16T00:00:00"/>
    <s v="RV"/>
    <s v="USD"/>
    <n v="-2014.88"/>
    <s v="83.95000"/>
    <s v="BDT"/>
    <n v="-169149.18"/>
    <n v="-2014.88"/>
    <s v="2014.88_1"/>
    <s v=""/>
    <s v="C3260UQ21HAK0166"/>
    <s v="20210211"/>
    <s v=""/>
    <s v=""/>
    <s v="0"/>
    <s v=""/>
    <s v=""/>
    <s v=""/>
    <s v=""/>
    <s v="2010100001"/>
    <s v=""/>
    <m/>
    <s v=""/>
    <s v=""/>
    <s v=""/>
    <n v="0"/>
  </r>
  <r>
    <s v=""/>
    <s v="40101011"/>
    <s v="2008000090"/>
    <x v="27"/>
    <d v="2020-11-30T00:00:00"/>
    <d v="2020-12-06T00:00:00"/>
    <s v="DR"/>
    <s v="USD"/>
    <n v="-2008.63"/>
    <s v="83.95000"/>
    <s v="BDT"/>
    <n v="-168624.49"/>
    <n v="-2008.63"/>
    <s v="2008.63_1"/>
    <s v=""/>
    <s v="CIPL-PGC-0285-20"/>
    <s v="CIPL-PGC-0285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1295"/>
    <x v="71"/>
    <d v="2021-04-28T00:00:00"/>
    <d v="2021-05-07T00:00:00"/>
    <s v="RV"/>
    <s v="USD"/>
    <n v="-2007.26"/>
    <s v="83.95000"/>
    <s v="BDT"/>
    <n v="-168509.48"/>
    <n v="-2007.26"/>
    <s v="2007.26_1"/>
    <s v=""/>
    <s v="C3343UQ21HAK0528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116"/>
    <x v="177"/>
    <d v="2021-03-23T00:00:00"/>
    <d v="2021-03-28T00:00:00"/>
    <s v="RV"/>
    <s v="USD"/>
    <n v="-2003.62"/>
    <s v="83.94999"/>
    <s v="BDT"/>
    <n v="-168203.88"/>
    <n v="-2003.62"/>
    <s v="2003.62_1"/>
    <s v=""/>
    <s v="C3173AMZLB0363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1606"/>
    <x v="93"/>
    <d v="2021-06-29T00:00:00"/>
    <d v="2021-06-30T00:00:00"/>
    <s v="RV"/>
    <s v="USD"/>
    <n v="-2002.07"/>
    <s v="83.95000"/>
    <s v="BDT"/>
    <n v="-168073.78"/>
    <n v="-2002.07"/>
    <s v="2002.07_1"/>
    <s v=""/>
    <s v="C3284LVGR0869-21"/>
    <s v="20210629"/>
    <s v=""/>
    <s v=""/>
    <s v="0"/>
    <s v=""/>
    <s v=""/>
    <s v=""/>
    <s v=""/>
    <s v="2010100001"/>
    <s v=""/>
    <m/>
    <s v=""/>
    <s v=""/>
    <s v=""/>
    <n v="0"/>
  </r>
  <r>
    <s v=""/>
    <s v="40101012"/>
    <s v="2008000032"/>
    <x v="215"/>
    <d v="2020-08-31T00:00:00"/>
    <d v="2020-09-08T00:00:00"/>
    <s v="DR"/>
    <s v="USD"/>
    <n v="-2000"/>
    <s v="83.95000"/>
    <s v="BDT"/>
    <n v="-167900"/>
    <n v="-2000"/>
    <s v="2000_1"/>
    <s v=""/>
    <s v="CIPL-MSGL-207-20"/>
    <s v="CIPL-MSGL-207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103"/>
    <x v="229"/>
    <d v="2020-08-03T00:00:00"/>
    <d v="2020-08-08T00:00:00"/>
    <s v="RV"/>
    <s v="USD"/>
    <n v="-1999.18"/>
    <s v="83.95000"/>
    <s v="BDT"/>
    <n v="-167831.16"/>
    <n v="-1999.18"/>
    <s v="1999.18_1"/>
    <s v=""/>
    <s v="C3080LVTR068420"/>
    <s v="20200803"/>
    <s v=""/>
    <s v=""/>
    <s v="0"/>
    <s v=""/>
    <s v=""/>
    <s v=""/>
    <s v=""/>
    <s v="2010100001"/>
    <s v=""/>
    <m/>
    <s v=""/>
    <s v=""/>
    <s v=""/>
    <n v="0"/>
  </r>
  <r>
    <s v=""/>
    <s v="40101012"/>
    <s v="2008000096"/>
    <x v="27"/>
    <d v="2020-11-30T00:00:00"/>
    <d v="2020-12-06T00:00:00"/>
    <s v="DR"/>
    <s v="USD"/>
    <n v="-1998"/>
    <s v="83.95000"/>
    <s v="BDT"/>
    <n v="-167732.1"/>
    <n v="-1998"/>
    <s v="1998_1"/>
    <s v=""/>
    <s v="CIPL-MSGL-218-20"/>
    <s v="CIPL-MSGL-218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1121"/>
    <x v="301"/>
    <d v="2021-03-20T00:00:00"/>
    <d v="2021-03-31T00:00:00"/>
    <s v="RV"/>
    <s v="USD"/>
    <n v="-1996.73"/>
    <s v="83.95000"/>
    <s v="BDT"/>
    <n v="-167625.48000000001"/>
    <n v="-1996.73"/>
    <s v="1996.73_1"/>
    <s v=""/>
    <s v="C3261C&amp;A21GR0344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0642"/>
    <x v="225"/>
    <d v="2020-12-08T00:00:00"/>
    <d v="2020-12-20T00:00:00"/>
    <s v="RV"/>
    <s v="USD"/>
    <n v="-1994.55"/>
    <s v="83.95000"/>
    <s v="BDT"/>
    <n v="-167442.48000000001"/>
    <n v="-1994.55"/>
    <s v="1994.55_1"/>
    <s v=""/>
    <s v="C3145LVCA126720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18000387"/>
    <x v="264"/>
    <d v="2020-10-25T00:00:00"/>
    <d v="2020-11-01T00:00:00"/>
    <s v="RV"/>
    <s v="USD"/>
    <n v="-1984.75"/>
    <s v="83.95000"/>
    <s v="BDT"/>
    <n v="-166619.76"/>
    <n v="-1984.75"/>
    <s v="1984.75_1"/>
    <s v=""/>
    <s v="C3231UQ20LA0997"/>
    <s v="20201025"/>
    <s v=""/>
    <s v=""/>
    <s v="0"/>
    <s v=""/>
    <s v=""/>
    <s v=""/>
    <s v=""/>
    <s v="2010100001"/>
    <s v=""/>
    <m/>
    <s v=""/>
    <s v=""/>
    <s v=""/>
    <n v="0"/>
  </r>
  <r>
    <s v=""/>
    <s v="40101001"/>
    <s v="2018000066"/>
    <x v="295"/>
    <d v="2020-07-21T00:00:00"/>
    <d v="2020-07-25T00:00:00"/>
    <s v="RV"/>
    <s v="USD"/>
    <n v="-1982.26"/>
    <s v="83.95000"/>
    <s v="BDT"/>
    <n v="-166410.73000000001"/>
    <n v="-1982.26"/>
    <s v="1982.26_1"/>
    <s v=""/>
    <s v="C3132UQ20EU0644"/>
    <s v="20200721"/>
    <s v=""/>
    <s v=""/>
    <s v="0"/>
    <s v=""/>
    <s v=""/>
    <s v=""/>
    <s v=""/>
    <s v="2010100001"/>
    <s v=""/>
    <m/>
    <s v=""/>
    <s v=""/>
    <s v=""/>
    <n v="0"/>
  </r>
  <r>
    <s v=""/>
    <s v="40101001"/>
    <s v="2018001119"/>
    <x v="301"/>
    <d v="2021-03-20T00:00:00"/>
    <d v="2021-03-31T00:00:00"/>
    <s v="RV"/>
    <s v="USD"/>
    <n v="-1970.29"/>
    <s v="83.95000"/>
    <s v="BDT"/>
    <n v="-165405.85"/>
    <n v="-1970.29"/>
    <s v="1970.29_1"/>
    <s v=""/>
    <s v="C3261C&amp;A21GR0342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0128"/>
    <x v="147"/>
    <d v="2020-07-31T00:00:00"/>
    <d v="2020-08-14T00:00:00"/>
    <s v="RV"/>
    <s v="USD"/>
    <n v="-1964.94"/>
    <s v="83.95000"/>
    <s v="BDT"/>
    <n v="-164956.71"/>
    <n v="-1964.94"/>
    <s v="1964.94_1"/>
    <s v=""/>
    <s v="C3120UQ20SHA0717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1094"/>
    <x v="301"/>
    <d v="2021-03-20T00:00:00"/>
    <d v="2021-03-24T00:00:00"/>
    <s v="RV"/>
    <s v="USD"/>
    <n v="-1963.67"/>
    <s v="83.95000"/>
    <s v="BDT"/>
    <n v="-164850.1"/>
    <n v="-1963.67"/>
    <s v="1963.67_1"/>
    <s v=""/>
    <s v="C3261C&amp;A21GR0334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096"/>
    <x v="301"/>
    <d v="2021-03-20T00:00:00"/>
    <d v="2021-03-24T00:00:00"/>
    <s v="RV"/>
    <s v="USD"/>
    <n v="-1963.67"/>
    <s v="83.95000"/>
    <s v="BDT"/>
    <n v="-164850.1"/>
    <n v="-1963.67"/>
    <s v="1963.67_2"/>
    <s v=""/>
    <s v="C3261C&amp;A21GR0336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250"/>
    <x v="259"/>
    <d v="2021-04-22T00:00:00"/>
    <d v="2021-04-26T00:00:00"/>
    <s v="RV"/>
    <s v="USD"/>
    <n v="-1962.85"/>
    <s v="83.95000"/>
    <s v="BDT"/>
    <n v="-164781.26"/>
    <n v="-1962.85"/>
    <s v="1962.85_1"/>
    <s v=""/>
    <s v="C3266LVTR0477-21"/>
    <s v="20210422"/>
    <s v=""/>
    <s v=""/>
    <s v="0"/>
    <s v=""/>
    <s v=""/>
    <s v=""/>
    <s v=""/>
    <s v="2010100001"/>
    <s v=""/>
    <m/>
    <s v=""/>
    <s v=""/>
    <s v=""/>
    <n v="0"/>
  </r>
  <r>
    <s v=""/>
    <s v="40101001"/>
    <s v="2018000866"/>
    <x v="85"/>
    <d v="2021-01-25T00:00:00"/>
    <d v="2021-01-30T00:00:00"/>
    <s v="RV"/>
    <s v="USD"/>
    <n v="-1953.52"/>
    <s v="83.95000"/>
    <s v="BDT"/>
    <n v="-163998"/>
    <n v="-1953.52"/>
    <s v="1953.52_1"/>
    <s v=""/>
    <s v="C3253UQ21KR0084"/>
    <s v="20210125"/>
    <s v=""/>
    <s v=""/>
    <s v="0"/>
    <s v=""/>
    <s v=""/>
    <s v=""/>
    <s v=""/>
    <s v="2010100001"/>
    <s v=""/>
    <m/>
    <s v=""/>
    <s v=""/>
    <s v=""/>
    <n v="0"/>
  </r>
  <r>
    <s v=""/>
    <s v="40101001"/>
    <s v="2018000957"/>
    <x v="99"/>
    <d v="2021-02-11T00:00:00"/>
    <d v="2021-02-16T00:00:00"/>
    <s v="RV"/>
    <s v="USD"/>
    <n v="-1952.57"/>
    <s v="83.95000"/>
    <s v="BDT"/>
    <n v="-163918.25"/>
    <n v="-1952.57"/>
    <s v="1952.57_1"/>
    <s v=""/>
    <s v="C3260UQ21TOM0178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715"/>
    <x v="245"/>
    <d v="2020-12-19T00:00:00"/>
    <d v="2020-12-31T00:00:00"/>
    <s v="RV"/>
    <s v="USD"/>
    <n v="-1947.25"/>
    <s v="83.95000"/>
    <s v="BDT"/>
    <n v="-163471.64000000001"/>
    <n v="-1947.25"/>
    <s v="1947.25_1"/>
    <s v=""/>
    <s v="C3168UQ20SEN1255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1098"/>
    <x v="301"/>
    <d v="2021-03-20T00:00:00"/>
    <d v="2021-03-24T00:00:00"/>
    <s v="RV"/>
    <s v="USD"/>
    <n v="-1944.02"/>
    <s v="83.95000"/>
    <s v="BDT"/>
    <n v="-163200.48000000001"/>
    <n v="-1944.02"/>
    <s v="1944.02_1"/>
    <s v=""/>
    <s v="C3261C&amp;A21GR0338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1100"/>
    <x v="301"/>
    <d v="2021-03-20T00:00:00"/>
    <d v="2021-03-24T00:00:00"/>
    <s v="RV"/>
    <s v="USD"/>
    <n v="-1944.02"/>
    <s v="83.95000"/>
    <s v="BDT"/>
    <n v="-163200.48000000001"/>
    <n v="-1944.02"/>
    <s v="1944.02_2"/>
    <s v=""/>
    <s v="C3261C&amp;A21GR0340"/>
    <s v="20210320"/>
    <s v=""/>
    <s v=""/>
    <s v="0"/>
    <s v=""/>
    <s v=""/>
    <s v=""/>
    <s v=""/>
    <s v="2010100001"/>
    <s v=""/>
    <m/>
    <s v=""/>
    <s v=""/>
    <s v=""/>
    <n v="0"/>
  </r>
  <r>
    <s v=""/>
    <s v="40101001"/>
    <s v="2018000363"/>
    <x v="223"/>
    <d v="2020-10-14T00:00:00"/>
    <d v="2020-10-28T00:00:00"/>
    <s v="RV"/>
    <s v="USD"/>
    <n v="-1943.06"/>
    <s v="83.95000"/>
    <s v="BDT"/>
    <n v="-163119.89000000001"/>
    <n v="-1943.06"/>
    <s v="1943.06_1"/>
    <s v=""/>
    <s v="C3159UQ20KR0970"/>
    <s v="20201014"/>
    <s v=""/>
    <s v=""/>
    <s v="0"/>
    <s v=""/>
    <s v=""/>
    <s v=""/>
    <s v=""/>
    <s v="2010100001"/>
    <s v=""/>
    <m/>
    <s v=""/>
    <s v=""/>
    <s v=""/>
    <n v="0"/>
  </r>
  <r>
    <s v=""/>
    <s v="40101001"/>
    <s v="2018001451"/>
    <x v="196"/>
    <d v="2021-06-05T00:00:00"/>
    <d v="2021-06-09T00:00:00"/>
    <s v="RV"/>
    <s v="USD"/>
    <n v="-1936.82"/>
    <s v="83.95000"/>
    <s v="BDT"/>
    <n v="-162596.04"/>
    <n v="-1936.82"/>
    <s v="1936.82_1"/>
    <s v=""/>
    <s v="C3316UQ21NAG0678"/>
    <s v="20210605"/>
    <s v=""/>
    <s v=""/>
    <s v="0"/>
    <s v=""/>
    <s v=""/>
    <s v=""/>
    <s v=""/>
    <s v="2010100001"/>
    <s v=""/>
    <m/>
    <s v=""/>
    <s v=""/>
    <s v=""/>
    <n v="0"/>
  </r>
  <r>
    <s v=""/>
    <s v="40101001"/>
    <s v="2018000155"/>
    <x v="59"/>
    <d v="2020-08-17T00:00:00"/>
    <d v="2020-08-25T00:00:00"/>
    <s v="RV"/>
    <s v="USD"/>
    <n v="-1932.7"/>
    <s v="83.95000"/>
    <s v="BDT"/>
    <n v="-162250.17000000001"/>
    <n v="-1932.7"/>
    <s v="1932.7_1"/>
    <s v=""/>
    <s v="C3132UQ20YAN0738"/>
    <s v="20200817"/>
    <s v=""/>
    <s v=""/>
    <s v="0"/>
    <s v=""/>
    <s v=""/>
    <s v=""/>
    <s v=""/>
    <s v="2010100001"/>
    <s v=""/>
    <m/>
    <s v=""/>
    <s v=""/>
    <s v=""/>
    <n v="0"/>
  </r>
  <r>
    <s v=""/>
    <s v="40101001"/>
    <s v="2018000121"/>
    <x v="100"/>
    <d v="2020-08-07T00:00:00"/>
    <d v="2020-08-10T00:00:00"/>
    <s v="RV"/>
    <s v="USD"/>
    <n v="-1930.72"/>
    <s v="83.95000"/>
    <s v="BDT"/>
    <n v="-162083.94"/>
    <n v="-1930.72"/>
    <s v="1930.72_1"/>
    <s v=""/>
    <s v="C3064LVSG070920"/>
    <s v="20200807"/>
    <s v=""/>
    <s v=""/>
    <s v="0"/>
    <s v=""/>
    <s v=""/>
    <s v=""/>
    <s v=""/>
    <s v="2010100001"/>
    <s v=""/>
    <m/>
    <s v=""/>
    <s v=""/>
    <s v=""/>
    <n v="0"/>
  </r>
  <r>
    <s v=""/>
    <s v="40101001"/>
    <s v="2018000631"/>
    <x v="26"/>
    <d v="2020-12-07T00:00:00"/>
    <d v="2020-12-13T00:00:00"/>
    <s v="RV"/>
    <s v="USD"/>
    <n v="-1930.67"/>
    <s v="83.95000"/>
    <s v="BDT"/>
    <n v="-162079.75"/>
    <n v="-1930.67"/>
    <s v="1930.67_1"/>
    <s v=""/>
    <s v="C3247UQ20LA1264"/>
    <s v="20201207"/>
    <s v=""/>
    <s v=""/>
    <s v="0"/>
    <s v=""/>
    <s v=""/>
    <s v=""/>
    <s v=""/>
    <s v="2010100001"/>
    <s v=""/>
    <m/>
    <s v=""/>
    <s v=""/>
    <s v=""/>
    <n v="0"/>
  </r>
  <r>
    <s v=""/>
    <s v="40101001"/>
    <s v="2018000713"/>
    <x v="4"/>
    <d v="2020-12-15T00:00:00"/>
    <d v="2020-12-31T00:00:00"/>
    <s v="RV"/>
    <s v="USD"/>
    <n v="-1930.67"/>
    <s v="83.95000"/>
    <s v="BDT"/>
    <n v="-162079.75"/>
    <n v="-1930.67"/>
    <s v="1930.67_2"/>
    <s v=""/>
    <s v="C3247UQ20TOR1180"/>
    <s v="20201215"/>
    <s v=""/>
    <s v=""/>
    <s v="0"/>
    <s v=""/>
    <s v=""/>
    <s v=""/>
    <s v=""/>
    <s v="2010100001"/>
    <s v=""/>
    <m/>
    <s v=""/>
    <s v=""/>
    <s v=""/>
    <n v="0"/>
  </r>
  <r>
    <s v=""/>
    <s v="40101001"/>
    <s v="2018000461"/>
    <x v="110"/>
    <d v="2020-11-08T00:00:00"/>
    <d v="2020-11-14T00:00:00"/>
    <s v="RV"/>
    <s v="USD"/>
    <n v="-1911.65"/>
    <s v="83.95000"/>
    <s v="BDT"/>
    <n v="-160483.01999999999"/>
    <n v="-1911.65"/>
    <s v="1911.65_1"/>
    <s v=""/>
    <s v="C3104LVGR10612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143"/>
    <x v="312"/>
    <d v="2020-08-16T00:00:00"/>
    <d v="2020-08-20T00:00:00"/>
    <s v="RV"/>
    <s v="USD"/>
    <n v="-1909.78"/>
    <s v="83.95000"/>
    <s v="BDT"/>
    <n v="-160326.03"/>
    <n v="-1909.78"/>
    <s v="1909.78_1"/>
    <s v=""/>
    <s v="C3084LVGR060320"/>
    <s v="20200816"/>
    <s v=""/>
    <s v=""/>
    <s v="0"/>
    <s v=""/>
    <s v=""/>
    <s v=""/>
    <s v=""/>
    <s v="2010100001"/>
    <s v=""/>
    <m/>
    <s v=""/>
    <s v=""/>
    <s v=""/>
    <n v="0"/>
  </r>
  <r>
    <s v=""/>
    <s v="40101001"/>
    <s v="2018001345"/>
    <x v="313"/>
    <d v="2021-05-10T00:00:00"/>
    <d v="2021-05-17T00:00:00"/>
    <s v="RV"/>
    <s v="USD"/>
    <n v="-1905.68"/>
    <s v="83.95000"/>
    <s v="BDT"/>
    <n v="-159981.84"/>
    <n v="-1905.68"/>
    <s v="1905.68_1"/>
    <s v=""/>
    <s v="C3286LVGR0626-21"/>
    <s v="20210510"/>
    <s v=""/>
    <s v=""/>
    <s v="0"/>
    <s v=""/>
    <s v=""/>
    <s v=""/>
    <s v=""/>
    <s v="2010100001"/>
    <s v=""/>
    <m/>
    <s v=""/>
    <s v=""/>
    <s v=""/>
    <n v="0"/>
  </r>
  <r>
    <s v=""/>
    <s v="40101001"/>
    <s v="2018001345"/>
    <x v="313"/>
    <d v="2021-05-10T00:00:00"/>
    <d v="2021-05-17T00:00:00"/>
    <s v="RV"/>
    <s v="USD"/>
    <n v="-1905.68"/>
    <s v="83.95000"/>
    <s v="BDT"/>
    <n v="-159981.84"/>
    <n v="-1905.68"/>
    <s v="1905.68_2"/>
    <s v=""/>
    <s v="C3286LVGR0626-21"/>
    <s v="20210510"/>
    <s v=""/>
    <s v=""/>
    <s v="0"/>
    <s v=""/>
    <s v=""/>
    <s v=""/>
    <s v=""/>
    <s v="2010100001"/>
    <s v=""/>
    <m/>
    <s v=""/>
    <s v=""/>
    <s v=""/>
    <n v="0"/>
  </r>
  <r>
    <s v=""/>
    <s v="40101001"/>
    <s v="2018001345"/>
    <x v="313"/>
    <d v="2021-05-10T00:00:00"/>
    <d v="2021-05-17T00:00:00"/>
    <s v="RV"/>
    <s v="USD"/>
    <n v="-1905.68"/>
    <s v="83.95000"/>
    <s v="BDT"/>
    <n v="-159981.84"/>
    <n v="-1905.68"/>
    <s v="1905.68_3"/>
    <s v=""/>
    <s v="C3286LVGR0626-21"/>
    <s v="20210510"/>
    <s v=""/>
    <s v=""/>
    <s v="0"/>
    <s v=""/>
    <s v=""/>
    <s v=""/>
    <s v=""/>
    <s v="2010100001"/>
    <s v=""/>
    <m/>
    <s v=""/>
    <s v=""/>
    <s v=""/>
    <n v="0"/>
  </r>
  <r>
    <s v=""/>
    <s v="40101001"/>
    <s v="2018001264"/>
    <x v="192"/>
    <d v="2021-04-25T00:00:00"/>
    <d v="2021-04-29T00:00:00"/>
    <s v="RV"/>
    <s v="USD"/>
    <n v="-1901.43"/>
    <s v="83.95000"/>
    <s v="BDT"/>
    <n v="-159625.04999999999"/>
    <n v="-1901.43"/>
    <s v="1901.43_1"/>
    <s v=""/>
    <s v="C3309UQ21TOR0495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1269"/>
    <x v="71"/>
    <d v="2021-04-28T00:00:00"/>
    <d v="2021-05-03T00:00:00"/>
    <s v="RV"/>
    <s v="USD"/>
    <n v="-1886.17"/>
    <s v="83.95000"/>
    <s v="BDT"/>
    <n v="-158343.97"/>
    <n v="-1886.17"/>
    <s v="1886.17_1"/>
    <s v=""/>
    <s v="C3248LVUS0473-21"/>
    <s v="20210428"/>
    <s v=""/>
    <s v=""/>
    <s v="0"/>
    <s v=""/>
    <s v=""/>
    <s v=""/>
    <s v=""/>
    <s v="2010100001"/>
    <s v=""/>
    <m/>
    <s v=""/>
    <s v=""/>
    <s v=""/>
    <n v="0"/>
  </r>
  <r>
    <s v=""/>
    <s v="40101001"/>
    <s v="2018001587"/>
    <x v="104"/>
    <d v="2021-06-23T00:00:00"/>
    <d v="2021-06-28T00:00:00"/>
    <s v="RV"/>
    <s v="USD"/>
    <n v="-1884.57"/>
    <s v="83.95000"/>
    <s v="BDT"/>
    <n v="-158209.65"/>
    <n v="-1884.57"/>
    <s v="1884.57_1"/>
    <s v=""/>
    <s v="C3270LVGR0842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1415"/>
    <x v="17"/>
    <d v="2021-05-23T00:00:00"/>
    <d v="2021-05-26T00:00:00"/>
    <s v="RV"/>
    <s v="USD"/>
    <n v="-1878.37"/>
    <s v="83.95000"/>
    <s v="BDT"/>
    <n v="-157689.16"/>
    <n v="-1878.37"/>
    <s v="1878.37_1"/>
    <s v=""/>
    <s v="C3329UQ21VAN0660"/>
    <s v="20210523"/>
    <s v=""/>
    <s v=""/>
    <s v="0"/>
    <s v=""/>
    <s v=""/>
    <s v=""/>
    <s v=""/>
    <s v="2010100001"/>
    <s v=""/>
    <m/>
    <s v=""/>
    <s v=""/>
    <s v=""/>
    <n v="0"/>
  </r>
  <r>
    <s v=""/>
    <s v="40101012"/>
    <s v="2008000067"/>
    <x v="23"/>
    <d v="2020-10-31T00:00:00"/>
    <d v="2020-11-08T00:00:00"/>
    <s v="DR"/>
    <s v="USD"/>
    <n v="-1876.73"/>
    <s v="83.95000"/>
    <s v="BDT"/>
    <n v="-157551.48000000001"/>
    <n v="-1876.73"/>
    <s v="1876.73_1"/>
    <s v=""/>
    <s v="CIPL-MASF-213-20"/>
    <s v="CIPL-MASF-213-20"/>
    <s v="Outside wash sales to mascot fashions Ltd"/>
    <s v=""/>
    <s v="0"/>
    <s v="Outside Washing Sales"/>
    <s v=""/>
    <s v=""/>
    <s v=""/>
    <s v=""/>
    <s v=""/>
    <m/>
    <s v=""/>
    <s v=""/>
    <s v=""/>
    <n v="0"/>
  </r>
  <r>
    <s v=""/>
    <s v="40101001"/>
    <s v="2018000490"/>
    <x v="65"/>
    <d v="2020-11-11T00:00:00"/>
    <d v="2020-11-17T00:00:00"/>
    <s v="RV"/>
    <s v="USD"/>
    <n v="-1875.31"/>
    <s v="83.95000"/>
    <s v="BDT"/>
    <n v="-157432.28"/>
    <n v="-1875.31"/>
    <s v="1875.31_1"/>
    <s v=""/>
    <s v="C3141LVMX1060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1232"/>
    <x v="222"/>
    <d v="2021-04-16T00:00:00"/>
    <d v="2021-04-22T00:00:00"/>
    <s v="RV"/>
    <s v="USD"/>
    <n v="-1870.27"/>
    <s v="83.95000"/>
    <s v="BDT"/>
    <n v="-157009.17000000001"/>
    <n v="-1870.27"/>
    <s v="1870.27_1"/>
    <s v=""/>
    <s v="C3308UQ21KR0470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1868.52"/>
    <s v="83.95000"/>
    <s v="BDT"/>
    <n v="-156862.25"/>
    <n v="-1868.52"/>
    <s v="1868.52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708"/>
    <x v="267"/>
    <d v="2020-12-22T00:00:00"/>
    <d v="2020-12-30T00:00:00"/>
    <s v="RV"/>
    <s v="USD"/>
    <n v="-1867.41"/>
    <s v="83.95000"/>
    <s v="BDT"/>
    <n v="-156769.07"/>
    <n v="-1867.41"/>
    <s v="1867.41_1"/>
    <s v=""/>
    <s v="C3145LVMY126920"/>
    <s v="20201222"/>
    <s v=""/>
    <s v=""/>
    <s v="0"/>
    <s v=""/>
    <s v=""/>
    <s v=""/>
    <s v=""/>
    <s v="2010100001"/>
    <s v=""/>
    <m/>
    <s v=""/>
    <s v=""/>
    <s v=""/>
    <n v="0"/>
  </r>
  <r>
    <s v=""/>
    <s v="40101001"/>
    <s v="2018001034"/>
    <x v="116"/>
    <d v="2021-03-05T00:00:00"/>
    <d v="2021-03-10T00:00:00"/>
    <s v="RV"/>
    <s v="USD"/>
    <n v="-1862.01"/>
    <s v="83.95000"/>
    <s v="BDT"/>
    <n v="-156315.74"/>
    <n v="-1862.01"/>
    <s v="1862.01_1"/>
    <s v=""/>
    <s v="C3240LVCL0251-21"/>
    <s v="20210305"/>
    <s v=""/>
    <s v=""/>
    <s v="0"/>
    <s v=""/>
    <s v=""/>
    <s v=""/>
    <s v=""/>
    <s v="2010100001"/>
    <s v=""/>
    <m/>
    <s v=""/>
    <s v=""/>
    <s v=""/>
    <n v="0"/>
  </r>
  <r>
    <s v=""/>
    <s v="40101001"/>
    <s v="2018001078"/>
    <x v="140"/>
    <d v="2021-03-14T00:00:00"/>
    <d v="2021-03-20T00:00:00"/>
    <s v="RV"/>
    <s v="USD"/>
    <n v="-1862.01"/>
    <s v="83.95000"/>
    <s v="BDT"/>
    <n v="-156315.74"/>
    <n v="-1862.01"/>
    <s v="1862.01_2"/>
    <s v=""/>
    <s v="C3275LVPE0281-21"/>
    <s v="20210314"/>
    <s v=""/>
    <s v=""/>
    <s v="0"/>
    <s v=""/>
    <s v=""/>
    <s v=""/>
    <s v=""/>
    <s v="2010100001"/>
    <s v=""/>
    <m/>
    <s v=""/>
    <s v=""/>
    <s v=""/>
    <n v="0"/>
  </r>
  <r>
    <s v=""/>
    <s v="40101001"/>
    <s v="2018000340"/>
    <x v="314"/>
    <d v="2020-10-16T00:00:00"/>
    <d v="2020-10-22T00:00:00"/>
    <s v="RV"/>
    <s v="USD"/>
    <n v="-1858.97"/>
    <s v="83.95000"/>
    <s v="BDT"/>
    <n v="-156060.53"/>
    <n v="-1858.97"/>
    <s v="1858.97_1"/>
    <s v=""/>
    <s v="C3159UQ20SHA0975"/>
    <s v="20201016"/>
    <s v=""/>
    <s v=""/>
    <s v="0"/>
    <s v=""/>
    <s v=""/>
    <s v=""/>
    <s v=""/>
    <s v="2010100001"/>
    <s v=""/>
    <m/>
    <s v=""/>
    <s v=""/>
    <s v=""/>
    <n v="0"/>
  </r>
  <r>
    <s v=""/>
    <s v="40101001"/>
    <s v="2018000044"/>
    <x v="47"/>
    <d v="2020-07-16T00:00:00"/>
    <d v="2020-07-20T00:00:00"/>
    <s v="RV"/>
    <s v="USD"/>
    <n v="-1855.41"/>
    <s v="83.95000"/>
    <s v="BDT"/>
    <n v="-155761.67000000001"/>
    <n v="-1855.41"/>
    <s v="1855.41_1"/>
    <s v=""/>
    <s v="C3068LVTH062420"/>
    <s v="20200716"/>
    <s v=""/>
    <s v=""/>
    <s v="0"/>
    <s v=""/>
    <s v=""/>
    <s v=""/>
    <s v=""/>
    <s v="2010100001"/>
    <s v=""/>
    <m/>
    <s v=""/>
    <s v=""/>
    <s v=""/>
    <n v="0"/>
  </r>
  <r>
    <s v=""/>
    <s v="40101001"/>
    <s v="2018000716"/>
    <x v="245"/>
    <d v="2020-12-19T00:00:00"/>
    <d v="2020-12-31T00:00:00"/>
    <s v="RV"/>
    <s v="USD"/>
    <n v="-1854.53"/>
    <s v="83.95000"/>
    <s v="BDT"/>
    <n v="-155687.79"/>
    <n v="-1854.53"/>
    <s v="1854.53_1"/>
    <s v=""/>
    <s v="C3168UQ20HAK1254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18001189"/>
    <x v="183"/>
    <d v="2021-03-29T00:00:00"/>
    <d v="2021-04-05T00:00:00"/>
    <s v="RV"/>
    <s v="USD"/>
    <n v="-1853.62"/>
    <s v="83.94999"/>
    <s v="BDT"/>
    <n v="-155611.38"/>
    <n v="-1853.62"/>
    <s v="1853.62_1"/>
    <s v=""/>
    <s v="C3147LVPE0250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543"/>
    <x v="34"/>
    <d v="2020-11-23T00:00:00"/>
    <d v="2020-11-28T00:00:00"/>
    <s v="RV"/>
    <s v="USD"/>
    <n v="-1852.41"/>
    <s v="83.95000"/>
    <s v="BDT"/>
    <n v="-155509.82"/>
    <n v="-1852.41"/>
    <s v="1852.41_1"/>
    <s v=""/>
    <s v="C3142LVPE106320"/>
    <s v="20201123"/>
    <s v=""/>
    <s v=""/>
    <s v="0"/>
    <s v=""/>
    <s v=""/>
    <s v=""/>
    <s v=""/>
    <s v="2010100001"/>
    <s v=""/>
    <m/>
    <s v=""/>
    <s v=""/>
    <s v=""/>
    <n v="0"/>
  </r>
  <r>
    <s v=""/>
    <s v="40101001"/>
    <s v="2018001276"/>
    <x v="306"/>
    <d v="2021-05-02T00:00:00"/>
    <d v="2021-05-05T00:00:00"/>
    <s v="RV"/>
    <s v="USD"/>
    <n v="-1833.84"/>
    <s v="83.95000"/>
    <s v="BDT"/>
    <n v="-153950.87"/>
    <n v="-1833.84"/>
    <s v="1833.84_1"/>
    <s v=""/>
    <s v="C3286LVGR0565-21"/>
    <s v="20210502"/>
    <s v=""/>
    <s v=""/>
    <s v="0"/>
    <s v=""/>
    <s v=""/>
    <s v=""/>
    <s v=""/>
    <s v="2010100001"/>
    <s v=""/>
    <m/>
    <s v=""/>
    <s v=""/>
    <s v=""/>
    <n v="0"/>
  </r>
  <r>
    <s v=""/>
    <s v="40101001"/>
    <s v="2018001345"/>
    <x v="313"/>
    <d v="2021-05-10T00:00:00"/>
    <d v="2021-05-17T00:00:00"/>
    <s v="RV"/>
    <s v="USD"/>
    <n v="-1833.84"/>
    <s v="83.94999"/>
    <s v="BDT"/>
    <n v="-153950.85"/>
    <n v="-1833.84"/>
    <s v="1833.84_2"/>
    <s v=""/>
    <s v="C3286LVGR0626-21"/>
    <s v="20210510"/>
    <s v=""/>
    <s v=""/>
    <s v="0"/>
    <s v=""/>
    <s v=""/>
    <s v=""/>
    <s v=""/>
    <s v="2010100001"/>
    <s v=""/>
    <m/>
    <s v=""/>
    <s v=""/>
    <s v=""/>
    <n v="0"/>
  </r>
  <r>
    <s v=""/>
    <s v="40101001"/>
    <s v="2018001345"/>
    <x v="313"/>
    <d v="2021-05-10T00:00:00"/>
    <d v="2021-05-17T00:00:00"/>
    <s v="RV"/>
    <s v="USD"/>
    <n v="-1833.84"/>
    <s v="83.95000"/>
    <s v="BDT"/>
    <n v="-153950.87"/>
    <n v="-1833.84"/>
    <s v="1833.84_3"/>
    <s v=""/>
    <s v="C3286LVGR0626-21"/>
    <s v="20210510"/>
    <s v=""/>
    <s v=""/>
    <s v="0"/>
    <s v=""/>
    <s v=""/>
    <s v=""/>
    <s v=""/>
    <s v="2010100001"/>
    <s v=""/>
    <m/>
    <s v=""/>
    <s v=""/>
    <s v=""/>
    <n v="0"/>
  </r>
  <r>
    <s v=""/>
    <s v="40101001"/>
    <s v="2018000096"/>
    <x v="53"/>
    <d v="2020-07-22T00:00:00"/>
    <d v="2020-08-06T00:00:00"/>
    <s v="RV"/>
    <s v="USD"/>
    <n v="-1833.2"/>
    <s v="83.95000"/>
    <s v="BDT"/>
    <n v="-153897.14000000001"/>
    <n v="-1833.2"/>
    <s v="1833.2_1"/>
    <s v=""/>
    <s v="C3150UQ20YAN0671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466"/>
    <x v="65"/>
    <d v="2020-11-11T00:00:00"/>
    <d v="2020-11-14T00:00:00"/>
    <s v="RV"/>
    <s v="USD"/>
    <n v="-1830.66"/>
    <s v="83.95000"/>
    <s v="BDT"/>
    <n v="-153683.91"/>
    <n v="-1830.66"/>
    <s v="1830.66_1"/>
    <s v=""/>
    <s v="C3141LVCL1062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661"/>
    <x v="50"/>
    <d v="2020-12-06T00:00:00"/>
    <d v="2020-12-21T00:00:00"/>
    <s v="RV"/>
    <s v="USD"/>
    <n v="-1829.03"/>
    <s v="83.95000"/>
    <s v="BDT"/>
    <n v="-153547.07"/>
    <n v="-1829.03"/>
    <s v="1829.03_1"/>
    <s v=""/>
    <s v="C3145LVMY122620"/>
    <s v="20201206"/>
    <s v=""/>
    <s v=""/>
    <s v="0"/>
    <s v=""/>
    <s v=""/>
    <s v=""/>
    <s v=""/>
    <s v="2010100001"/>
    <s v=""/>
    <m/>
    <s v=""/>
    <s v=""/>
    <s v=""/>
    <n v="0"/>
  </r>
  <r>
    <s v=""/>
    <s v="40101001"/>
    <s v="2018000183"/>
    <x v="120"/>
    <d v="2020-08-26T00:00:00"/>
    <d v="2020-09-05T00:00:00"/>
    <s v="RV"/>
    <s v="USD"/>
    <n v="-1823.93"/>
    <s v="83.95000"/>
    <s v="BDT"/>
    <n v="-153118.92000000001"/>
    <n v="-1823.93"/>
    <s v="1823.93_1"/>
    <s v=""/>
    <s v="C3062LVAR035520"/>
    <s v="20200826"/>
    <s v=""/>
    <s v=""/>
    <s v="0"/>
    <s v=""/>
    <s v=""/>
    <s v=""/>
    <s v=""/>
    <s v="2010100001"/>
    <s v=""/>
    <m/>
    <s v=""/>
    <s v=""/>
    <s v=""/>
    <n v="0"/>
  </r>
  <r>
    <s v=""/>
    <s v="40101001"/>
    <s v="2018000128"/>
    <x v="147"/>
    <d v="2020-07-31T00:00:00"/>
    <d v="2020-08-14T00:00:00"/>
    <s v="RV"/>
    <s v="USD"/>
    <n v="-1822.95"/>
    <s v="83.95000"/>
    <s v="BDT"/>
    <n v="-153036.65"/>
    <n v="-1822.95"/>
    <s v="1822.95_1"/>
    <s v=""/>
    <s v="C3120UQ20SHA0717"/>
    <s v="20200731"/>
    <s v=""/>
    <s v=""/>
    <s v="0"/>
    <s v=""/>
    <s v=""/>
    <s v=""/>
    <s v=""/>
    <s v="2010100001"/>
    <s v=""/>
    <m/>
    <s v=""/>
    <s v=""/>
    <s v=""/>
    <n v="0"/>
  </r>
  <r>
    <s v=""/>
    <s v="40101002"/>
    <s v="2018000905"/>
    <x v="208"/>
    <d v="2021-02-04T00:00:00"/>
    <d v="2021-02-09T00:00:00"/>
    <s v="RV"/>
    <s v="USD"/>
    <n v="-1822.68"/>
    <s v="83.95000"/>
    <s v="BDT"/>
    <n v="-153013.99"/>
    <n v="-1822.68"/>
    <s v="1822.68_1"/>
    <s v=""/>
    <s v="C3248LVPK0132-21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858"/>
    <x v="197"/>
    <d v="2021-01-23T00:00:00"/>
    <d v="2021-01-30T00:00:00"/>
    <s v="RV"/>
    <s v="USD"/>
    <n v="-1820.48"/>
    <s v="83.95000"/>
    <s v="BDT"/>
    <n v="-152829.29999999999"/>
    <n v="-1820.48"/>
    <s v="1820.48_1"/>
    <s v=""/>
    <s v="C3259UQ21OSA0081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859"/>
    <x v="197"/>
    <d v="2021-01-23T00:00:00"/>
    <d v="2021-01-30T00:00:00"/>
    <s v="RV"/>
    <s v="USD"/>
    <n v="-1820.48"/>
    <s v="83.95000"/>
    <s v="BDT"/>
    <n v="-152829.29999999999"/>
    <n v="-1820.48"/>
    <s v="1820.48_2"/>
    <s v=""/>
    <s v="C3259UQ21SEN0079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029"/>
    <x v="233"/>
    <d v="2021-02-20T00:00:00"/>
    <d v="2021-03-07T00:00:00"/>
    <s v="RV"/>
    <s v="USD"/>
    <n v="-1820.48"/>
    <s v="83.95000"/>
    <s v="BDT"/>
    <n v="-152829.29999999999"/>
    <n v="-1820.48"/>
    <s v="1820.48_3"/>
    <s v=""/>
    <s v="C3259UQ21NAG0210"/>
    <s v="20210220"/>
    <s v=""/>
    <s v=""/>
    <s v="0"/>
    <s v=""/>
    <s v=""/>
    <s v=""/>
    <s v=""/>
    <s v="2010100001"/>
    <s v=""/>
    <m/>
    <s v=""/>
    <s v=""/>
    <s v=""/>
    <n v="0"/>
  </r>
  <r>
    <s v=""/>
    <s v="40101001"/>
    <s v="2018000327"/>
    <x v="182"/>
    <d v="2020-10-13T00:00:00"/>
    <d v="2020-10-15T00:00:00"/>
    <s v="RV"/>
    <s v="USD"/>
    <n v="-1819.31"/>
    <s v="83.95000"/>
    <s v="BDT"/>
    <n v="-152731.07"/>
    <n v="-1819.31"/>
    <s v="1819.31_1"/>
    <s v=""/>
    <s v="C3205UQ20TOR0974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0129"/>
    <x v="147"/>
    <d v="2020-07-31T00:00:00"/>
    <d v="2020-08-14T00:00:00"/>
    <s v="RV"/>
    <s v="USD"/>
    <n v="-1813.8"/>
    <s v="83.95000"/>
    <s v="BDT"/>
    <n v="-152268.51"/>
    <n v="-1813.8"/>
    <s v="1813.8_1"/>
    <s v=""/>
    <s v="C3120UQ20SHA0718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612"/>
    <x v="22"/>
    <d v="2020-12-02T00:00:00"/>
    <d v="2020-12-09T00:00:00"/>
    <s v="RV"/>
    <s v="USD"/>
    <n v="-1813.2"/>
    <s v="83.95000"/>
    <s v="BDT"/>
    <n v="-152218.14000000001"/>
    <n v="-1813.2"/>
    <s v="1813.2_1"/>
    <s v=""/>
    <s v="C3205UQ20SG1217"/>
    <s v="20201202"/>
    <s v=""/>
    <s v=""/>
    <s v="0"/>
    <s v=""/>
    <s v=""/>
    <s v=""/>
    <s v=""/>
    <s v="2010100001"/>
    <s v=""/>
    <m/>
    <s v=""/>
    <s v=""/>
    <s v=""/>
    <n v="0"/>
  </r>
  <r>
    <s v=""/>
    <s v="40101001"/>
    <s v="2018001511"/>
    <x v="88"/>
    <d v="2021-06-11T00:00:00"/>
    <d v="2021-06-17T00:00:00"/>
    <s v="RV"/>
    <s v="USD"/>
    <n v="-1812.27"/>
    <s v="83.95000"/>
    <s v="BDT"/>
    <n v="-152140.07"/>
    <n v="-1812.27"/>
    <s v="1812.27_1"/>
    <s v=""/>
    <s v="C3286LVTR0711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849"/>
    <x v="250"/>
    <d v="2021-01-24T00:00:00"/>
    <d v="2021-01-28T00:00:00"/>
    <s v="RV"/>
    <s v="USD"/>
    <n v="-1809.46"/>
    <s v="83.95000"/>
    <s v="BDT"/>
    <n v="-151904.17000000001"/>
    <n v="-1809.46"/>
    <s v="1809.46_1"/>
    <s v=""/>
    <s v="C3213LVCL001321"/>
    <s v="20210124"/>
    <s v=""/>
    <s v=""/>
    <s v="0"/>
    <s v=""/>
    <s v=""/>
    <s v=""/>
    <s v=""/>
    <s v="2010100001"/>
    <s v=""/>
    <m/>
    <s v=""/>
    <s v=""/>
    <s v=""/>
    <n v="0"/>
  </r>
  <r>
    <s v=""/>
    <s v="40101001"/>
    <s v="2018000731"/>
    <x v="70"/>
    <d v="2020-12-27T00:00:00"/>
    <d v="2021-01-02T00:00:00"/>
    <s v="RV"/>
    <s v="USD"/>
    <n v="-1809.43"/>
    <s v="83.95000"/>
    <s v="BDT"/>
    <n v="-151901.64000000001"/>
    <n v="-1809.43"/>
    <s v="1809.43_1"/>
    <s v=""/>
    <s v="C3145LVCL1347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1589"/>
    <x v="247"/>
    <d v="2021-06-22T00:00:00"/>
    <d v="2021-06-28T00:00:00"/>
    <s v="RV"/>
    <s v="USD"/>
    <n v="-1806.04"/>
    <s v="83.95000"/>
    <s v="BDT"/>
    <n v="-151617.06"/>
    <n v="-1806.04"/>
    <s v="1806.04_1"/>
    <s v=""/>
    <s v="C3284LVCA0834-21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0444"/>
    <x v="172"/>
    <d v="2020-11-01T00:00:00"/>
    <d v="2020-11-11T00:00:00"/>
    <s v="RV"/>
    <s v="USD"/>
    <n v="-1792.84"/>
    <s v="83.95000"/>
    <s v="BDT"/>
    <n v="-150508.92000000001"/>
    <n v="-1792.84"/>
    <s v="1792.84_1"/>
    <s v=""/>
    <s v="C3142LVPE093620"/>
    <s v="20201101"/>
    <s v=""/>
    <s v=""/>
    <s v="0"/>
    <s v=""/>
    <s v=""/>
    <s v=""/>
    <s v=""/>
    <s v="2010100001"/>
    <s v=""/>
    <m/>
    <s v=""/>
    <s v=""/>
    <s v=""/>
    <n v="0"/>
  </r>
  <r>
    <s v=""/>
    <s v="40101001"/>
    <s v="2018000444"/>
    <x v="172"/>
    <d v="2020-11-01T00:00:00"/>
    <d v="2020-11-11T00:00:00"/>
    <s v="RV"/>
    <s v="USD"/>
    <n v="-1792.84"/>
    <s v="83.95000"/>
    <s v="BDT"/>
    <n v="-150508.92000000001"/>
    <n v="-1792.84"/>
    <s v="1792.84_2"/>
    <s v=""/>
    <s v="C3142LVPE093620"/>
    <s v="20201101"/>
    <s v=""/>
    <s v=""/>
    <s v="0"/>
    <s v=""/>
    <s v=""/>
    <s v=""/>
    <s v=""/>
    <s v="2010100001"/>
    <s v=""/>
    <m/>
    <s v=""/>
    <s v=""/>
    <s v=""/>
    <n v="0"/>
  </r>
  <r>
    <s v=""/>
    <s v="40101001"/>
    <s v="2018000066"/>
    <x v="295"/>
    <d v="2020-07-21T00:00:00"/>
    <d v="2020-07-25T00:00:00"/>
    <s v="RV"/>
    <s v="USD"/>
    <n v="-1784.03"/>
    <s v="83.95000"/>
    <s v="BDT"/>
    <n v="-149769.32"/>
    <n v="-1784.03"/>
    <s v="1784.03_1"/>
    <s v=""/>
    <s v="C3132UQ20EU0644"/>
    <s v="20200721"/>
    <s v=""/>
    <s v=""/>
    <s v="0"/>
    <s v=""/>
    <s v=""/>
    <s v=""/>
    <s v=""/>
    <s v="2010100001"/>
    <s v=""/>
    <m/>
    <s v=""/>
    <s v=""/>
    <s v=""/>
    <n v="0"/>
  </r>
  <r>
    <s v=""/>
    <s v="40101001"/>
    <s v="2018000155"/>
    <x v="59"/>
    <d v="2020-08-17T00:00:00"/>
    <d v="2020-08-25T00:00:00"/>
    <s v="RV"/>
    <s v="USD"/>
    <n v="-1784.03"/>
    <s v="83.95000"/>
    <s v="BDT"/>
    <n v="-149769.32"/>
    <n v="-1784.03"/>
    <s v="1784.03_2"/>
    <s v=""/>
    <s v="C3132UQ20YAN0738"/>
    <s v="20200817"/>
    <s v=""/>
    <s v=""/>
    <s v="0"/>
    <s v=""/>
    <s v=""/>
    <s v=""/>
    <s v=""/>
    <s v="2010100001"/>
    <s v=""/>
    <m/>
    <s v=""/>
    <s v=""/>
    <s v=""/>
    <n v="0"/>
  </r>
  <r>
    <s v=""/>
    <s v="40101001"/>
    <s v="2018001440"/>
    <x v="255"/>
    <d v="2021-05-31T00:00:00"/>
    <d v="2021-06-03T00:00:00"/>
    <s v="RV"/>
    <s v="USD"/>
    <n v="-1777.88"/>
    <s v="83.95000"/>
    <s v="BDT"/>
    <n v="-149253.01999999999"/>
    <n v="-1777.88"/>
    <s v="1777.88_1"/>
    <s v=""/>
    <s v="C3284LVGR0709-21"/>
    <s v="20210531"/>
    <s v=""/>
    <s v=""/>
    <s v="0"/>
    <s v=""/>
    <s v=""/>
    <s v=""/>
    <s v=""/>
    <s v="2010100001"/>
    <s v=""/>
    <m/>
    <s v=""/>
    <s v=""/>
    <s v=""/>
    <n v="0"/>
  </r>
  <r>
    <s v=""/>
    <s v="40101001"/>
    <s v="2018001415"/>
    <x v="17"/>
    <d v="2021-05-23T00:00:00"/>
    <d v="2021-05-26T00:00:00"/>
    <s v="RV"/>
    <s v="USD"/>
    <n v="-1767.97"/>
    <s v="83.95000"/>
    <s v="BDT"/>
    <n v="-148421.07999999999"/>
    <n v="-1767.97"/>
    <s v="1767.97_1"/>
    <s v=""/>
    <s v="C3329UQ21VAN0660"/>
    <s v="20210523"/>
    <s v=""/>
    <s v=""/>
    <s v="0"/>
    <s v=""/>
    <s v=""/>
    <s v=""/>
    <s v=""/>
    <s v="2010100001"/>
    <s v=""/>
    <m/>
    <s v=""/>
    <s v=""/>
    <s v=""/>
    <n v="0"/>
  </r>
  <r>
    <s v=""/>
    <s v="40101001"/>
    <s v="2018001481"/>
    <x v="152"/>
    <d v="2021-06-07T00:00:00"/>
    <d v="2021-06-12T00:00:00"/>
    <s v="RV"/>
    <s v="USD"/>
    <n v="-1753.38"/>
    <s v="83.95000"/>
    <s v="BDT"/>
    <n v="-147196.25"/>
    <n v="-1753.38"/>
    <s v="1753.38_1"/>
    <s v=""/>
    <s v="C3308UQ21VAN0665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1582"/>
    <x v="247"/>
    <d v="2021-06-22T00:00:00"/>
    <d v="2021-06-24T00:00:00"/>
    <s v="RV"/>
    <s v="USD"/>
    <n v="-1751.79"/>
    <s v="83.95000"/>
    <s v="BDT"/>
    <n v="-147062.76999999999"/>
    <n v="-1751.79"/>
    <s v="1751.79_1"/>
    <s v=""/>
    <s v="C3343UQ21YOK0849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0598"/>
    <x v="3"/>
    <d v="2020-11-18T00:00:00"/>
    <d v="2020-12-07T00:00:00"/>
    <s v="RV"/>
    <s v="USD"/>
    <n v="-1749.69"/>
    <s v="83.95000"/>
    <s v="BDT"/>
    <n v="-146886.48000000001"/>
    <n v="-1749.69"/>
    <s v="1749.69_1"/>
    <s v=""/>
    <s v="C3169UQ20KR1173"/>
    <s v="20201118"/>
    <s v=""/>
    <s v=""/>
    <s v="0"/>
    <s v=""/>
    <s v=""/>
    <s v=""/>
    <s v=""/>
    <s v="2010100001"/>
    <s v=""/>
    <m/>
    <s v=""/>
    <s v=""/>
    <s v=""/>
    <n v="0"/>
  </r>
  <r>
    <s v=""/>
    <s v="40101012"/>
    <s v="2008000069"/>
    <x v="23"/>
    <d v="2020-10-31T00:00:00"/>
    <d v="2020-11-08T00:00:00"/>
    <s v="DR"/>
    <s v="USD"/>
    <n v="-1744.6"/>
    <s v="83.95000"/>
    <s v="BDT"/>
    <n v="-146459.17000000001"/>
    <n v="-1744.6"/>
    <s v="1744.6_1"/>
    <s v=""/>
    <s v="CIPL-MSGL-215-20"/>
    <s v="CIPL-MSGL-215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11"/>
    <s v="2008000202"/>
    <x v="242"/>
    <d v="2021-03-31T00:00:00"/>
    <d v="2021-04-06T00:00:00"/>
    <s v="DR"/>
    <s v="USD"/>
    <n v="-1740.67"/>
    <s v="83.95000"/>
    <s v="BDT"/>
    <n v="-146129.25"/>
    <n v="-1740.67"/>
    <s v="1740.67_1"/>
    <s v=""/>
    <s v="CIPL-PGCL-294-21"/>
    <s v="CIPL-PGCL-294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0628"/>
    <x v="204"/>
    <d v="2020-12-09T00:00:00"/>
    <d v="2020-12-13T00:00:00"/>
    <s v="RV"/>
    <s v="USD"/>
    <n v="-1740.17"/>
    <s v="83.95000"/>
    <s v="BDT"/>
    <n v="-146087.26999999999"/>
    <n v="-1740.17"/>
    <s v="1740.17_1"/>
    <s v=""/>
    <s v="C3145LVTR126820"/>
    <s v="20201209"/>
    <s v=""/>
    <s v=""/>
    <s v="0"/>
    <s v=""/>
    <s v=""/>
    <s v=""/>
    <s v=""/>
    <s v="2010100001"/>
    <s v=""/>
    <m/>
    <s v=""/>
    <s v=""/>
    <s v=""/>
    <n v="0"/>
  </r>
  <r>
    <s v=""/>
    <s v="40101001"/>
    <s v="2018001514"/>
    <x v="88"/>
    <d v="2021-06-11T00:00:00"/>
    <d v="2021-06-17T00:00:00"/>
    <s v="RV"/>
    <s v="USD"/>
    <n v="-1733.47"/>
    <s v="83.95000"/>
    <s v="BDT"/>
    <n v="-145524.81"/>
    <n v="-1733.47"/>
    <s v="1733.47_1"/>
    <s v=""/>
    <s v="C3286LVGR0706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352"/>
    <x v="7"/>
    <d v="2020-10-19T00:00:00"/>
    <d v="2020-10-24T00:00:00"/>
    <s v="RV"/>
    <s v="USD"/>
    <n v="-1731.83"/>
    <s v="83.95000"/>
    <s v="BDT"/>
    <n v="-145387.13"/>
    <n v="-1731.83"/>
    <s v="1731.83_1"/>
    <s v=""/>
    <s v="C3156DC20US0984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1065"/>
    <x v="111"/>
    <d v="2021-03-11T00:00:00"/>
    <d v="2021-03-17T00:00:00"/>
    <s v="RV"/>
    <s v="USD"/>
    <n v="-1721.24"/>
    <s v="83.95000"/>
    <s v="BDT"/>
    <n v="-144498.1"/>
    <n v="-1721.24"/>
    <s v="1721.24_1"/>
    <s v=""/>
    <s v="C3213LVPA0235-21"/>
    <s v="20210311"/>
    <s v=""/>
    <s v=""/>
    <s v="0"/>
    <s v=""/>
    <s v=""/>
    <s v=""/>
    <s v=""/>
    <s v="2010100001"/>
    <s v=""/>
    <m/>
    <s v=""/>
    <s v=""/>
    <s v=""/>
    <n v="0"/>
  </r>
  <r>
    <s v=""/>
    <s v="40101001"/>
    <s v="2018000895"/>
    <x v="143"/>
    <d v="2021-01-31T00:00:00"/>
    <d v="2021-02-04T00:00:00"/>
    <s v="RV"/>
    <s v="USD"/>
    <n v="-1715.95"/>
    <s v="83.95000"/>
    <s v="BDT"/>
    <n v="-144054"/>
    <n v="-1715.95"/>
    <s v="1715.95_1"/>
    <s v=""/>
    <s v="C3272UQ21OSA0126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1183"/>
    <x v="83"/>
    <d v="2021-03-30T00:00:00"/>
    <d v="2021-04-04T00:00:00"/>
    <s v="RV"/>
    <s v="USD"/>
    <n v="-1713.09"/>
    <s v="83.95000"/>
    <s v="BDT"/>
    <n v="-143813.91"/>
    <n v="-1713.09"/>
    <s v="1713.09_1"/>
    <s v=""/>
    <s v="C3173AMZJP0374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0734"/>
    <x v="178"/>
    <d v="2020-12-23T00:00:00"/>
    <d v="2021-01-02T00:00:00"/>
    <s v="RV"/>
    <s v="USD"/>
    <n v="-1703.55"/>
    <s v="83.95000"/>
    <s v="BDT"/>
    <n v="-143013.01999999999"/>
    <n v="-1703.55"/>
    <s v="1703.55_1"/>
    <s v=""/>
    <s v="C3205UQ20TW1344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18000545"/>
    <x v="14"/>
    <d v="2020-11-25T00:00:00"/>
    <d v="2020-11-28T00:00:00"/>
    <s v="RV"/>
    <s v="USD"/>
    <n v="-1703.34"/>
    <s v="83.95000"/>
    <s v="BDT"/>
    <n v="-142995.39000000001"/>
    <n v="-1703.34"/>
    <s v="1703.34_1"/>
    <s v=""/>
    <s v="C3145LVVN115920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936"/>
    <x v="46"/>
    <d v="2021-02-07T00:00:00"/>
    <d v="2021-02-14T00:00:00"/>
    <s v="RV"/>
    <s v="USD"/>
    <n v="-1703.3"/>
    <s v="83.95000"/>
    <s v="BDT"/>
    <n v="-142992.04"/>
    <n v="-1703.3"/>
    <s v="1703.3_1"/>
    <s v=""/>
    <s v="C3260UQ21TOM0168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003"/>
    <x v="276"/>
    <d v="2021-02-21T00:00:00"/>
    <d v="2021-02-28T00:00:00"/>
    <s v="RV"/>
    <s v="USD"/>
    <n v="-1703.3"/>
    <s v="83.95000"/>
    <s v="BDT"/>
    <n v="-142992.04"/>
    <n v="-1703.3"/>
    <s v="1703.3_2"/>
    <s v=""/>
    <s v="C3290UQ21TOM0222"/>
    <s v="20210221"/>
    <s v=""/>
    <s v=""/>
    <s v="0"/>
    <s v=""/>
    <s v=""/>
    <s v=""/>
    <s v=""/>
    <s v="2010100001"/>
    <s v=""/>
    <m/>
    <s v=""/>
    <s v=""/>
    <s v=""/>
    <n v="0"/>
  </r>
  <r>
    <s v=""/>
    <s v="40101001"/>
    <s v="2018000115"/>
    <x v="229"/>
    <d v="2020-08-03T00:00:00"/>
    <d v="2020-08-10T00:00:00"/>
    <s v="RV"/>
    <s v="USD"/>
    <n v="-1692.14"/>
    <s v="83.95000"/>
    <s v="BDT"/>
    <n v="-142055.15"/>
    <n v="-1692.14"/>
    <s v="1692.14_1"/>
    <s v=""/>
    <s v="C3093UQ20NAG0697"/>
    <s v="20200803"/>
    <s v=""/>
    <s v=""/>
    <s v="0"/>
    <s v=""/>
    <s v=""/>
    <s v=""/>
    <s v=""/>
    <s v="2010100001"/>
    <s v=""/>
    <m/>
    <s v=""/>
    <s v=""/>
    <s v=""/>
    <n v="0"/>
  </r>
  <r>
    <s v=""/>
    <s v="40101001"/>
    <s v="2018001414"/>
    <x v="17"/>
    <d v="2021-05-23T00:00:00"/>
    <d v="2021-05-26T00:00:00"/>
    <s v="RV"/>
    <s v="USD"/>
    <n v="-1691.1"/>
    <s v="83.95000"/>
    <s v="BDT"/>
    <n v="-141967.85"/>
    <n v="-1691.1"/>
    <s v="1691.1_1"/>
    <s v=""/>
    <s v="C3329UQ21VAN0628"/>
    <s v="20210523"/>
    <s v=""/>
    <s v=""/>
    <s v="0"/>
    <s v=""/>
    <s v=""/>
    <s v=""/>
    <s v=""/>
    <s v="2010100001"/>
    <s v=""/>
    <m/>
    <s v=""/>
    <s v=""/>
    <s v=""/>
    <n v="0"/>
  </r>
  <r>
    <s v=""/>
    <s v="40101001"/>
    <s v="2018000966"/>
    <x v="99"/>
    <d v="2021-02-11T00:00:00"/>
    <d v="2021-02-16T00:00:00"/>
    <s v="RV"/>
    <s v="USD"/>
    <n v="-1686.32"/>
    <s v="83.95000"/>
    <s v="BDT"/>
    <n v="-141566.56"/>
    <n v="-1686.32"/>
    <s v="1686.32_1"/>
    <s v=""/>
    <s v="C3307UQ21SYD0143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088"/>
    <x v="139"/>
    <d v="2020-07-27T00:00:00"/>
    <d v="2020-07-30T00:00:00"/>
    <s v="RV"/>
    <s v="USD"/>
    <n v="-1684.13"/>
    <s v="83.95000"/>
    <s v="BDT"/>
    <n v="-141382.71"/>
    <n v="-1684.13"/>
    <s v="1684.13_1"/>
    <s v=""/>
    <s v="C3064LVUS068020"/>
    <s v="20200727"/>
    <s v=""/>
    <s v=""/>
    <s v="0"/>
    <s v=""/>
    <s v=""/>
    <s v=""/>
    <s v=""/>
    <s v="2010100001"/>
    <s v=""/>
    <m/>
    <s v=""/>
    <s v=""/>
    <s v=""/>
    <n v="0"/>
  </r>
  <r>
    <s v=""/>
    <s v="40101001"/>
    <s v="2018000953"/>
    <x v="99"/>
    <d v="2021-02-11T00:00:00"/>
    <d v="2021-02-16T00:00:00"/>
    <s v="RV"/>
    <s v="USD"/>
    <n v="-1682.53"/>
    <s v="83.95000"/>
    <s v="BDT"/>
    <n v="-141248.39000000001"/>
    <n v="-1682.53"/>
    <s v="1682.53_1"/>
    <s v=""/>
    <s v="C3260UQ21HAK0176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1449"/>
    <x v="252"/>
    <d v="2021-06-03T00:00:00"/>
    <d v="2021-06-09T00:00:00"/>
    <s v="RV"/>
    <s v="USD"/>
    <n v="-1678.1"/>
    <s v="83.95000"/>
    <s v="BDT"/>
    <n v="-140876.5"/>
    <n v="-1678.1"/>
    <s v="1678.1_1"/>
    <s v=""/>
    <s v="C3308UQ21EU0663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0996"/>
    <x v="72"/>
    <d v="2021-02-16T00:00:00"/>
    <d v="2021-02-25T00:00:00"/>
    <s v="RV"/>
    <s v="USD"/>
    <n v="-1674.59"/>
    <s v="83.95000"/>
    <s v="BDT"/>
    <n v="-140581.82999999999"/>
    <n v="-1674.59"/>
    <s v="1674.59_1"/>
    <s v=""/>
    <s v="C3248LVUS0200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1674.49"/>
    <s v="83.95000"/>
    <s v="BDT"/>
    <n v="-140573.44"/>
    <n v="-1674.49"/>
    <s v="1674.49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1273"/>
    <x v="71"/>
    <d v="2021-04-28T00:00:00"/>
    <d v="2021-05-03T00:00:00"/>
    <s v="RV"/>
    <s v="USD"/>
    <n v="-1667.5"/>
    <s v="83.95000"/>
    <s v="BDT"/>
    <n v="-139986.63"/>
    <n v="-1667.5"/>
    <s v="1667.5_1"/>
    <s v=""/>
    <s v="C3100LVMX0490-21"/>
    <s v="20210428"/>
    <s v=""/>
    <s v=""/>
    <s v="0"/>
    <s v=""/>
    <s v=""/>
    <s v=""/>
    <s v=""/>
    <s v="2010100001"/>
    <s v=""/>
    <m/>
    <s v=""/>
    <s v=""/>
    <s v=""/>
    <n v="0"/>
  </r>
  <r>
    <s v=""/>
    <s v="40101002"/>
    <s v="2018001536"/>
    <x v="252"/>
    <d v="2021-06-03T00:00:00"/>
    <d v="2021-06-19T00:00:00"/>
    <s v="RV"/>
    <s v="USD"/>
    <n v="-1665.81"/>
    <s v="83.95000"/>
    <s v="BDT"/>
    <n v="-139844.75"/>
    <n v="-1665.81"/>
    <s v="1665.81_1"/>
    <s v=""/>
    <s v="C3283LVPK0707-21"/>
    <s v="20210603"/>
    <s v=""/>
    <s v=""/>
    <s v="0"/>
    <s v=""/>
    <s v=""/>
    <s v=""/>
    <s v=""/>
    <s v="2010100001"/>
    <s v=""/>
    <m/>
    <s v=""/>
    <s v=""/>
    <s v=""/>
    <n v="0"/>
  </r>
  <r>
    <s v=""/>
    <s v="40101001"/>
    <s v="2018000445"/>
    <x v="110"/>
    <d v="2020-11-08T00:00:00"/>
    <d v="2020-11-11T00:00:00"/>
    <s v="RV"/>
    <s v="USD"/>
    <n v="-1664.19"/>
    <s v="83.95000"/>
    <s v="BDT"/>
    <n v="-139708.75"/>
    <n v="-1664.19"/>
    <s v="1664.19_1"/>
    <s v=""/>
    <s v="C3142LVMY101520"/>
    <s v="20201108"/>
    <s v=""/>
    <s v=""/>
    <s v="0"/>
    <s v=""/>
    <s v=""/>
    <s v=""/>
    <s v=""/>
    <s v="2010100001"/>
    <s v=""/>
    <m/>
    <s v=""/>
    <s v=""/>
    <s v=""/>
    <n v="0"/>
  </r>
  <r>
    <s v=""/>
    <s v="40101001"/>
    <s v="2018000546"/>
    <x v="14"/>
    <d v="2020-11-25T00:00:00"/>
    <d v="2020-11-28T00:00:00"/>
    <s v="RV"/>
    <s v="USD"/>
    <n v="-1660.76"/>
    <s v="83.95000"/>
    <s v="BDT"/>
    <n v="-139420.79999999999"/>
    <n v="-1660.76"/>
    <s v="1660.76_1"/>
    <s v=""/>
    <s v="C3145LVVN119720"/>
    <s v="20201125"/>
    <s v=""/>
    <s v=""/>
    <s v="0"/>
    <s v=""/>
    <s v=""/>
    <s v=""/>
    <s v=""/>
    <s v="2010100001"/>
    <s v=""/>
    <m/>
    <s v=""/>
    <s v=""/>
    <s v=""/>
    <n v="0"/>
  </r>
  <r>
    <s v=""/>
    <s v="40101001"/>
    <s v="2018000689"/>
    <x v="254"/>
    <d v="2020-12-13T00:00:00"/>
    <d v="2020-12-23T00:00:00"/>
    <s v="RV"/>
    <s v="USD"/>
    <n v="-1646.6"/>
    <s v="83.95000"/>
    <s v="BDT"/>
    <n v="-138232.07"/>
    <n v="-1646.6"/>
    <s v="1646.6_1"/>
    <s v=""/>
    <s v="C3143LVGR1295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0690"/>
    <x v="254"/>
    <d v="2020-12-13T00:00:00"/>
    <d v="2020-12-23T00:00:00"/>
    <s v="RV"/>
    <s v="USD"/>
    <n v="-1646.6"/>
    <s v="83.95000"/>
    <s v="BDT"/>
    <n v="-138232.07"/>
    <n v="-1646.6"/>
    <s v="1646.6_2"/>
    <s v=""/>
    <s v="C3143LVGR1296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0075"/>
    <x v="53"/>
    <d v="2020-07-22T00:00:00"/>
    <d v="2020-07-28T00:00:00"/>
    <s v="RV"/>
    <s v="USD"/>
    <n v="-1639.95"/>
    <s v="83.95000"/>
    <s v="BDT"/>
    <n v="-137673.79999999999"/>
    <n v="-1639.95"/>
    <s v="1639.95_1"/>
    <s v=""/>
    <s v="C3131UQ20YAN0665"/>
    <s v="20200722"/>
    <s v=""/>
    <s v=""/>
    <s v="0"/>
    <s v=""/>
    <s v=""/>
    <s v=""/>
    <s v=""/>
    <s v="2010100001"/>
    <s v=""/>
    <m/>
    <s v=""/>
    <s v=""/>
    <s v=""/>
    <n v="0"/>
  </r>
  <r>
    <s v=""/>
    <s v="40101011"/>
    <s v="2008000029"/>
    <x v="215"/>
    <d v="2020-08-31T00:00:00"/>
    <d v="2020-09-08T00:00:00"/>
    <s v="DR"/>
    <s v="USD"/>
    <n v="-1639.31"/>
    <s v="83.95000"/>
    <s v="BDT"/>
    <n v="-137620.07"/>
    <n v="-1639.31"/>
    <s v="1639.31_1"/>
    <s v=""/>
    <s v="CIPL-PGCL275-20"/>
    <s v="CIPL-PGCL275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1394"/>
    <x v="51"/>
    <d v="2021-05-08T00:00:00"/>
    <d v="2021-05-24T00:00:00"/>
    <s v="RV"/>
    <s v="USD"/>
    <n v="-1636.49"/>
    <s v="83.95000"/>
    <s v="BDT"/>
    <n v="-137383.32999999999"/>
    <n v="-1636.49"/>
    <s v="1636.49_1"/>
    <s v=""/>
    <s v="C3308UQ21KR0527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1635.11"/>
    <s v="83.95000"/>
    <s v="BDT"/>
    <n v="-137267.48000000001"/>
    <n v="-1635.11"/>
    <s v="1635.11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1091"/>
    <x v="309"/>
    <d v="2021-03-19T00:00:00"/>
    <d v="2021-03-24T00:00:00"/>
    <s v="RV"/>
    <s v="USD"/>
    <n v="-1634.4"/>
    <s v="83.95000"/>
    <s v="BDT"/>
    <n v="-137207.88"/>
    <n v="-1634.4"/>
    <s v="1634.4_1"/>
    <s v=""/>
    <s v="C3318UQ21SEN0326"/>
    <s v="20210319"/>
    <s v=""/>
    <s v=""/>
    <s v="0"/>
    <s v=""/>
    <s v=""/>
    <s v=""/>
    <s v=""/>
    <s v="2010100001"/>
    <s v=""/>
    <m/>
    <s v=""/>
    <s v=""/>
    <s v=""/>
    <n v="0"/>
  </r>
  <r>
    <s v=""/>
    <s v="40101001"/>
    <s v="2018000918"/>
    <x v="208"/>
    <d v="2021-02-04T00:00:00"/>
    <d v="2021-02-10T00:00:00"/>
    <s v="RV"/>
    <s v="USD"/>
    <n v="-1629.85"/>
    <s v="83.95000"/>
    <s v="BDT"/>
    <n v="-136825.91"/>
    <n v="-1629.85"/>
    <s v="1629.85_1"/>
    <s v=""/>
    <s v="C3305UQ21MEL0107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871"/>
    <x v="197"/>
    <d v="2021-01-23T00:00:00"/>
    <d v="2021-02-01T00:00:00"/>
    <s v="RV"/>
    <s v="USD"/>
    <n v="-1628.81"/>
    <s v="83.95000"/>
    <s v="BDT"/>
    <n v="-136738.6"/>
    <n v="-1628.81"/>
    <s v="1628.81_1"/>
    <s v=""/>
    <s v="C3247UQ21TOM0043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158"/>
    <x v="309"/>
    <d v="2021-03-19T00:00:00"/>
    <d v="2021-04-01T00:00:00"/>
    <s v="RV"/>
    <s v="USD"/>
    <n v="-1617.16"/>
    <s v="83.95000"/>
    <s v="BDT"/>
    <n v="-135760.57999999999"/>
    <n v="-1617.16"/>
    <s v="1617.16_1"/>
    <s v=""/>
    <s v="C3205UQ21EU0249"/>
    <s v="20210319"/>
    <s v=""/>
    <s v=""/>
    <s v="0"/>
    <s v=""/>
    <s v=""/>
    <s v=""/>
    <s v=""/>
    <s v="2010100001"/>
    <s v=""/>
    <m/>
    <s v=""/>
    <s v=""/>
    <s v=""/>
    <n v="0"/>
  </r>
  <r>
    <s v=""/>
    <s v="40101001"/>
    <s v="2018000887"/>
    <x v="284"/>
    <d v="2021-01-27T00:00:00"/>
    <d v="2021-02-04T00:00:00"/>
    <s v="RV"/>
    <s v="USD"/>
    <n v="-1604.44"/>
    <s v="83.95000"/>
    <s v="BDT"/>
    <n v="-134692.74"/>
    <n v="-1604.44"/>
    <s v="1604.44_1"/>
    <s v=""/>
    <s v="C3218LVMX009021"/>
    <s v="20210127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1596.96"/>
    <s v="83.95000"/>
    <s v="BDT"/>
    <n v="-134064.79"/>
    <n v="-1596.96"/>
    <s v="1596.96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1494"/>
    <x v="88"/>
    <d v="2021-06-11T00:00:00"/>
    <d v="2021-06-16T00:00:00"/>
    <s v="RV"/>
    <s v="USD"/>
    <n v="-1595.03"/>
    <s v="83.95000"/>
    <s v="BDT"/>
    <n v="-133902.76999999999"/>
    <n v="-1595.03"/>
    <s v="1595.03_1"/>
    <s v=""/>
    <s v="C3316UQ21TOM0772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869"/>
    <x v="197"/>
    <d v="2021-01-23T00:00:00"/>
    <d v="2021-01-31T00:00:00"/>
    <s v="RV"/>
    <s v="USD"/>
    <n v="-1592.92"/>
    <s v="83.95000"/>
    <s v="BDT"/>
    <n v="-133725.63"/>
    <n v="-1592.92"/>
    <s v="1592.92_1"/>
    <s v=""/>
    <s v="C3259UQ21YOK0077"/>
    <s v="20210123"/>
    <s v=""/>
    <s v=""/>
    <s v="0"/>
    <s v=""/>
    <s v=""/>
    <s v=""/>
    <s v=""/>
    <s v="2010100001"/>
    <s v=""/>
    <m/>
    <s v=""/>
    <s v=""/>
    <s v=""/>
    <n v="0"/>
  </r>
  <r>
    <s v=""/>
    <s v="40101011"/>
    <s v="2008000046"/>
    <x v="184"/>
    <d v="2020-09-30T00:00:00"/>
    <d v="2020-10-10T00:00:00"/>
    <s v="DR"/>
    <s v="USD"/>
    <n v="-1591.27"/>
    <s v="83.95000"/>
    <s v="BDT"/>
    <n v="-133587.12"/>
    <n v="-1591.27"/>
    <s v="1591.27_1"/>
    <s v=""/>
    <s v="CIPL-PGC-0279-20"/>
    <s v="CIPL-PGC-0279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0121"/>
    <x v="100"/>
    <d v="2020-08-07T00:00:00"/>
    <d v="2020-08-10T00:00:00"/>
    <s v="RV"/>
    <s v="USD"/>
    <n v="-1579.62"/>
    <s v="83.95000"/>
    <s v="BDT"/>
    <n v="-132609.1"/>
    <n v="-1579.62"/>
    <s v="1579.62_1"/>
    <s v=""/>
    <s v="C3064LVSG070920"/>
    <s v="20200807"/>
    <s v=""/>
    <s v=""/>
    <s v="0"/>
    <s v=""/>
    <s v=""/>
    <s v=""/>
    <s v=""/>
    <s v="2010100001"/>
    <s v=""/>
    <m/>
    <s v=""/>
    <s v=""/>
    <s v=""/>
    <n v="0"/>
  </r>
  <r>
    <s v=""/>
    <s v="40101001"/>
    <s v="2008000262"/>
    <x v="32"/>
    <d v="2021-05-27T00:00:00"/>
    <d v="2021-06-02T00:00:00"/>
    <s v="DR"/>
    <s v="USD"/>
    <n v="-1575"/>
    <s v="83.95000"/>
    <s v="BDT"/>
    <n v="-132221.25"/>
    <n v="-1575"/>
    <s v="1575_1"/>
    <s v=""/>
    <s v="SC3327LVUS04321"/>
    <s v="SC3327LVUS04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689"/>
    <x v="254"/>
    <d v="2020-12-13T00:00:00"/>
    <d v="2020-12-23T00:00:00"/>
    <s v="RV"/>
    <s v="USD"/>
    <n v="-1572.5"/>
    <s v="83.95000"/>
    <s v="BDT"/>
    <n v="-132011.38"/>
    <n v="-1572.5"/>
    <s v="1572.5_1"/>
    <s v=""/>
    <s v="C3143LVGR1295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0676"/>
    <x v="79"/>
    <d v="2020-12-18T00:00:00"/>
    <d v="2020-12-22T00:00:00"/>
    <s v="RV"/>
    <s v="USD"/>
    <n v="-1571.18"/>
    <s v="83.95000"/>
    <s v="BDT"/>
    <n v="-131900.56"/>
    <n v="-1571.18"/>
    <s v="1571.18_1"/>
    <s v=""/>
    <s v="C3247UQ20TOM1341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76"/>
    <x v="79"/>
    <d v="2020-12-18T00:00:00"/>
    <d v="2020-12-22T00:00:00"/>
    <s v="RV"/>
    <s v="USD"/>
    <n v="-1571.18"/>
    <s v="83.95000"/>
    <s v="BDT"/>
    <n v="-131900.56"/>
    <n v="-1571.18"/>
    <s v="1571.18_2"/>
    <s v=""/>
    <s v="C3247UQ20TOM1341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76"/>
    <x v="79"/>
    <d v="2020-12-18T00:00:00"/>
    <d v="2020-12-22T00:00:00"/>
    <s v="RV"/>
    <s v="USD"/>
    <n v="-1571.18"/>
    <s v="83.95000"/>
    <s v="BDT"/>
    <n v="-131900.56"/>
    <n v="-1571.18"/>
    <s v="1571.18_3"/>
    <s v=""/>
    <s v="C3247UQ20TOM1341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76"/>
    <x v="79"/>
    <d v="2020-12-18T00:00:00"/>
    <d v="2020-12-22T00:00:00"/>
    <s v="RV"/>
    <s v="USD"/>
    <n v="-1571.18"/>
    <s v="83.95000"/>
    <s v="BDT"/>
    <n v="-131900.56"/>
    <n v="-1571.18"/>
    <s v="1571.18_4"/>
    <s v=""/>
    <s v="C3247UQ20TOM1341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439"/>
    <x v="255"/>
    <d v="2021-05-31T00:00:00"/>
    <d v="2021-06-03T00:00:00"/>
    <s v="RV"/>
    <s v="USD"/>
    <n v="-1570.25"/>
    <s v="83.95000"/>
    <s v="BDT"/>
    <n v="-131822.48000000001"/>
    <n v="-1570.25"/>
    <s v="1570.25_1"/>
    <s v=""/>
    <s v="C3289LVGR0708-21"/>
    <s v="20210531"/>
    <s v=""/>
    <s v=""/>
    <s v="0"/>
    <s v=""/>
    <s v=""/>
    <s v=""/>
    <s v=""/>
    <s v="2010100001"/>
    <s v=""/>
    <m/>
    <s v=""/>
    <s v=""/>
    <s v=""/>
    <n v="0"/>
  </r>
  <r>
    <s v=""/>
    <s v="40101001"/>
    <s v="2018000490"/>
    <x v="65"/>
    <d v="2020-11-11T00:00:00"/>
    <d v="2020-11-17T00:00:00"/>
    <s v="RV"/>
    <s v="USD"/>
    <n v="-1565.2"/>
    <s v="83.95000"/>
    <s v="BDT"/>
    <n v="-131398.54"/>
    <n v="-1565.2"/>
    <s v="1565.2_1"/>
    <s v=""/>
    <s v="C3141LVMX1060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689"/>
    <x v="254"/>
    <d v="2020-12-13T00:00:00"/>
    <d v="2020-12-23T00:00:00"/>
    <s v="RV"/>
    <s v="USD"/>
    <n v="-1564.27"/>
    <s v="83.95000"/>
    <s v="BDT"/>
    <n v="-131320.47"/>
    <n v="-1564.27"/>
    <s v="1564.27_1"/>
    <s v=""/>
    <s v="C3143LVGR1295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1552"/>
    <x v="75"/>
    <d v="2021-06-17T00:00:00"/>
    <d v="2021-06-23T00:00:00"/>
    <s v="RV"/>
    <s v="USD"/>
    <n v="-1564.05"/>
    <s v="83.95000"/>
    <s v="BDT"/>
    <n v="-131302"/>
    <n v="-1564.05"/>
    <s v="1564.05_1"/>
    <s v=""/>
    <s v="C3364UQ21TOK0809"/>
    <s v="20210617"/>
    <s v=""/>
    <s v=""/>
    <s v="0"/>
    <s v=""/>
    <s v=""/>
    <s v=""/>
    <s v=""/>
    <s v="2010100001"/>
    <s v=""/>
    <m/>
    <s v=""/>
    <s v=""/>
    <s v=""/>
    <n v="0"/>
  </r>
  <r>
    <s v=""/>
    <s v="40101001"/>
    <s v="2018000511"/>
    <x v="6"/>
    <d v="2020-11-16T00:00:00"/>
    <d v="2020-11-19T00:00:00"/>
    <s v="RV"/>
    <s v="USD"/>
    <n v="-1563.59"/>
    <s v="83.95000"/>
    <s v="BDT"/>
    <n v="-131263.38"/>
    <n v="-1563.59"/>
    <s v="1563.59_1"/>
    <s v=""/>
    <s v="C3233UQ20TOK1145"/>
    <s v="20201116"/>
    <s v=""/>
    <s v=""/>
    <s v="0"/>
    <s v=""/>
    <s v=""/>
    <s v=""/>
    <s v=""/>
    <s v="2010100001"/>
    <s v=""/>
    <m/>
    <s v=""/>
    <s v=""/>
    <s v=""/>
    <n v="0"/>
  </r>
  <r>
    <s v=""/>
    <s v="40101001"/>
    <s v="2018001296"/>
    <x v="48"/>
    <d v="2021-04-20T00:00:00"/>
    <d v="2021-05-07T00:00:00"/>
    <s v="RV"/>
    <s v="USD"/>
    <n v="-1558.56"/>
    <s v="83.95000"/>
    <s v="BDT"/>
    <n v="-130841.11"/>
    <n v="-1558.56"/>
    <s v="1558.56_1"/>
    <s v=""/>
    <s v="C3308UQ21KR0471"/>
    <s v="20210420"/>
    <s v=""/>
    <s v=""/>
    <s v="0"/>
    <s v=""/>
    <s v=""/>
    <s v=""/>
    <s v=""/>
    <s v="2010100001"/>
    <s v=""/>
    <m/>
    <s v=""/>
    <s v=""/>
    <s v=""/>
    <n v="0"/>
  </r>
  <r>
    <s v=""/>
    <s v="40101001"/>
    <s v="2018001249"/>
    <x v="259"/>
    <d v="2021-04-22T00:00:00"/>
    <d v="2021-04-26T00:00:00"/>
    <s v="RV"/>
    <s v="USD"/>
    <n v="-1550.82"/>
    <s v="83.95000"/>
    <s v="BDT"/>
    <n v="-130191.34"/>
    <n v="-1550.82"/>
    <s v="1550.82_1"/>
    <s v=""/>
    <s v="C3281LVMY0476-21"/>
    <s v="20210422"/>
    <s v=""/>
    <s v=""/>
    <s v="0"/>
    <s v=""/>
    <s v=""/>
    <s v=""/>
    <s v=""/>
    <s v="2010100001"/>
    <s v=""/>
    <m/>
    <s v=""/>
    <s v=""/>
    <s v=""/>
    <n v="0"/>
  </r>
  <r>
    <s v=""/>
    <s v="40101011"/>
    <s v="2008000191"/>
    <x v="158"/>
    <d v="2021-02-28T00:00:00"/>
    <d v="2021-03-07T00:00:00"/>
    <s v="DR"/>
    <s v="USD"/>
    <n v="-1541.63"/>
    <s v="83.95000"/>
    <s v="BDT"/>
    <n v="-129419.84"/>
    <n v="-1541.63"/>
    <s v="1541.63_1"/>
    <s v=""/>
    <s v="CIPL-PGCL-0293-2"/>
    <s v="CIPL-PGCL-0293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0783"/>
    <x v="211"/>
    <d v="2021-01-03T00:00:00"/>
    <d v="2021-01-07T00:00:00"/>
    <s v="RV"/>
    <s v="USD"/>
    <n v="-1525.55"/>
    <s v="83.95000"/>
    <s v="BDT"/>
    <n v="-128069.92"/>
    <n v="-1525.55"/>
    <s v="1525.55_1"/>
    <s v=""/>
    <s v="C3141LVPE1394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783"/>
    <x v="211"/>
    <d v="2021-01-03T00:00:00"/>
    <d v="2021-01-07T00:00:00"/>
    <s v="RV"/>
    <s v="USD"/>
    <n v="-1522.32"/>
    <s v="83.95000"/>
    <s v="BDT"/>
    <n v="-127798.76"/>
    <n v="-1522.32"/>
    <s v="1522.32_1"/>
    <s v=""/>
    <s v="C3141LVPE1394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876"/>
    <x v="44"/>
    <d v="2021-01-28T00:00:00"/>
    <d v="2021-02-01T00:00:00"/>
    <s v="RV"/>
    <s v="USD"/>
    <n v="-1522.32"/>
    <s v="83.95000"/>
    <s v="BDT"/>
    <n v="-127798.76"/>
    <n v="-1522.32"/>
    <s v="1522.32_2"/>
    <s v=""/>
    <s v="C3218LVCL010421"/>
    <s v="20210128"/>
    <s v=""/>
    <s v=""/>
    <s v="0"/>
    <s v=""/>
    <s v=""/>
    <s v=""/>
    <s v=""/>
    <s v="2010100001"/>
    <s v=""/>
    <m/>
    <s v=""/>
    <s v=""/>
    <s v=""/>
    <n v="0"/>
  </r>
  <r>
    <s v=""/>
    <s v="40101002"/>
    <s v="2018000984"/>
    <x v="30"/>
    <d v="2021-02-18T00:00:00"/>
    <d v="2021-02-24T00:00:00"/>
    <s v="RV"/>
    <s v="USD"/>
    <n v="-1512"/>
    <s v="83.95000"/>
    <s v="BDT"/>
    <n v="-126932.4"/>
    <n v="-1512"/>
    <s v="1512_1"/>
    <s v=""/>
    <s v="C3249LVPK0208-21"/>
    <s v="20210218"/>
    <s v=""/>
    <s v=""/>
    <s v="0"/>
    <s v=""/>
    <s v=""/>
    <s v=""/>
    <s v=""/>
    <s v="2010100001"/>
    <s v=""/>
    <m/>
    <s v=""/>
    <s v=""/>
    <s v=""/>
    <n v="0"/>
  </r>
  <r>
    <s v=""/>
    <s v="40101001"/>
    <s v="2018000783"/>
    <x v="211"/>
    <d v="2021-01-03T00:00:00"/>
    <d v="2021-01-07T00:00:00"/>
    <s v="RV"/>
    <s v="USD"/>
    <n v="-1510.5"/>
    <s v="83.95000"/>
    <s v="BDT"/>
    <n v="-126806.48"/>
    <n v="-1510.5"/>
    <s v="1510.5_1"/>
    <s v=""/>
    <s v="C3141LVPE1394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1224"/>
    <x v="107"/>
    <d v="2021-04-13T00:00:00"/>
    <d v="2021-04-22T00:00:00"/>
    <s v="RV"/>
    <s v="USD"/>
    <n v="-1509.84"/>
    <s v="83.95000"/>
    <s v="BDT"/>
    <n v="-126751.07"/>
    <n v="-1509.84"/>
    <s v="1509.84_1"/>
    <s v=""/>
    <s v="C3344UQ21HAK0452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0607"/>
    <x v="214"/>
    <d v="2020-12-01T00:00:00"/>
    <d v="2020-12-09T00:00:00"/>
    <s v="RV"/>
    <s v="USD"/>
    <n v="-1508.32"/>
    <s v="83.95000"/>
    <s v="BDT"/>
    <n v="-126623.46"/>
    <n v="-1508.32"/>
    <s v="1508.32_1"/>
    <s v=""/>
    <s v="C3147LVUS122520"/>
    <s v="20201201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1500.82"/>
    <s v="83.95000"/>
    <s v="BDT"/>
    <n v="-125993.84"/>
    <n v="-1500.82"/>
    <s v="1500.82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875"/>
    <x v="126"/>
    <d v="2021-01-13T00:00:00"/>
    <d v="2021-02-01T00:00:00"/>
    <s v="RV"/>
    <s v="USD"/>
    <n v="-1499.14"/>
    <s v="83.95000"/>
    <s v="BDT"/>
    <n v="-125852.8"/>
    <n v="-1499.14"/>
    <s v="1499.14_1"/>
    <s v=""/>
    <s v="C3100LVMX130420"/>
    <s v="20210113"/>
    <s v=""/>
    <s v=""/>
    <s v="0"/>
    <s v=""/>
    <s v=""/>
    <s v=""/>
    <s v=""/>
    <s v="2010100001"/>
    <s v=""/>
    <m/>
    <s v=""/>
    <s v=""/>
    <s v=""/>
    <n v="0"/>
  </r>
  <r>
    <s v=""/>
    <s v="40101001"/>
    <s v="2018000663"/>
    <x v="19"/>
    <d v="2020-12-16T00:00:00"/>
    <d v="2020-12-22T00:00:00"/>
    <s v="RV"/>
    <s v="USD"/>
    <n v="-1496.79"/>
    <s v="83.95000"/>
    <s v="BDT"/>
    <n v="-125655.52"/>
    <n v="-1496.79"/>
    <s v="1496.79_1"/>
    <s v=""/>
    <s v="C3100LVGR13122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1345"/>
    <x v="313"/>
    <d v="2021-05-10T00:00:00"/>
    <d v="2021-05-17T00:00:00"/>
    <s v="RV"/>
    <s v="USD"/>
    <n v="-1495.48"/>
    <s v="83.95000"/>
    <s v="BDT"/>
    <n v="-125545.55"/>
    <n v="-1495.48"/>
    <s v="1495.48_1"/>
    <s v=""/>
    <s v="C3286LVGR0626-21"/>
    <s v="20210510"/>
    <s v=""/>
    <s v=""/>
    <s v="0"/>
    <s v=""/>
    <s v=""/>
    <s v=""/>
    <s v=""/>
    <s v="2010100001"/>
    <s v=""/>
    <m/>
    <s v=""/>
    <s v=""/>
    <s v=""/>
    <n v="0"/>
  </r>
  <r>
    <s v=""/>
    <s v="40101001"/>
    <s v="2018001513"/>
    <x v="88"/>
    <d v="2021-06-11T00:00:00"/>
    <d v="2021-06-17T00:00:00"/>
    <s v="RV"/>
    <s v="USD"/>
    <n v="-1495.48"/>
    <s v="83.95000"/>
    <s v="BDT"/>
    <n v="-125545.55"/>
    <n v="-1495.48"/>
    <s v="1495.48_2"/>
    <s v=""/>
    <s v="C3286LVGR0705-21"/>
    <s v="20210611"/>
    <s v=""/>
    <s v=""/>
    <s v="0"/>
    <s v=""/>
    <s v=""/>
    <s v=""/>
    <s v=""/>
    <s v="2010100001"/>
    <s v=""/>
    <m/>
    <s v=""/>
    <s v=""/>
    <s v=""/>
    <n v="0"/>
  </r>
  <r>
    <s v=""/>
    <s v="40101001"/>
    <s v="2018000682"/>
    <x v="79"/>
    <d v="2020-12-18T00:00:00"/>
    <d v="2020-12-23T00:00:00"/>
    <s v="RV"/>
    <s v="USD"/>
    <n v="-1495.21"/>
    <s v="83.95000"/>
    <s v="BDT"/>
    <n v="-125522.88"/>
    <n v="-1495.21"/>
    <s v="1495.21_1"/>
    <s v=""/>
    <s v="C3145LVUS1307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0606"/>
    <x v="193"/>
    <d v="2020-12-03T00:00:00"/>
    <d v="2020-12-09T00:00:00"/>
    <s v="RV"/>
    <s v="USD"/>
    <n v="-1493.32"/>
    <s v="83.95000"/>
    <s v="BDT"/>
    <n v="-125364.22"/>
    <n v="-1493.32"/>
    <s v="1493.32_1"/>
    <s v=""/>
    <s v="C3145LVGR122820"/>
    <s v="20201203"/>
    <s v=""/>
    <s v=""/>
    <s v="0"/>
    <s v=""/>
    <s v=""/>
    <s v=""/>
    <s v=""/>
    <s v="2010100001"/>
    <s v=""/>
    <m/>
    <s v=""/>
    <s v=""/>
    <s v=""/>
    <n v="0"/>
  </r>
  <r>
    <s v=""/>
    <s v="40101001"/>
    <s v="2018000663"/>
    <x v="19"/>
    <d v="2020-12-16T00:00:00"/>
    <d v="2020-12-22T00:00:00"/>
    <s v="RV"/>
    <s v="USD"/>
    <n v="-1487.38"/>
    <s v="83.95000"/>
    <s v="BDT"/>
    <n v="-124865.55"/>
    <n v="-1487.38"/>
    <s v="1487.38_1"/>
    <s v=""/>
    <s v="C3100LVGR131220"/>
    <s v="20201216"/>
    <s v=""/>
    <s v=""/>
    <s v="0"/>
    <s v=""/>
    <s v=""/>
    <s v=""/>
    <s v=""/>
    <s v="2010100001"/>
    <s v=""/>
    <m/>
    <s v=""/>
    <s v=""/>
    <s v=""/>
    <n v="0"/>
  </r>
  <r>
    <s v=""/>
    <s v="40101001"/>
    <s v="2018000153"/>
    <x v="305"/>
    <d v="2020-08-18T00:00:00"/>
    <d v="2020-08-25T00:00:00"/>
    <s v="RV"/>
    <s v="USD"/>
    <n v="-1486.69"/>
    <s v="83.95000"/>
    <s v="BDT"/>
    <n v="-124807.63"/>
    <n v="-1486.69"/>
    <s v="1486.69_1"/>
    <s v=""/>
    <s v="C3132UQ20SHA0736"/>
    <s v="20200818"/>
    <s v=""/>
    <s v=""/>
    <s v="0"/>
    <s v=""/>
    <s v=""/>
    <s v=""/>
    <s v=""/>
    <s v="2010100001"/>
    <s v=""/>
    <m/>
    <s v=""/>
    <s v=""/>
    <s v=""/>
    <n v="0"/>
  </r>
  <r>
    <s v=""/>
    <s v="40101001"/>
    <s v="2018000513"/>
    <x v="243"/>
    <d v="2020-11-17T00:00:00"/>
    <d v="2020-11-21T00:00:00"/>
    <s v="RV"/>
    <s v="USD"/>
    <n v="-1483.62"/>
    <s v="83.94999"/>
    <s v="BDT"/>
    <n v="-124549.89"/>
    <n v="-1483.62"/>
    <s v="1483.62_1"/>
    <s v=""/>
    <s v="C3168UQ20TOK1168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1028"/>
    <x v="173"/>
    <d v="2021-02-27T00:00:00"/>
    <d v="2021-03-03T00:00:00"/>
    <s v="RV"/>
    <s v="USD"/>
    <n v="-1476.65"/>
    <s v="83.95000"/>
    <s v="BDT"/>
    <n v="-123964.77"/>
    <n v="-1476.65"/>
    <s v="1476.65_1"/>
    <s v=""/>
    <s v="C3141LVPA0223-21"/>
    <s v="20210227"/>
    <s v=""/>
    <s v=""/>
    <s v="0"/>
    <s v=""/>
    <s v=""/>
    <s v=""/>
    <s v=""/>
    <s v="2010100001"/>
    <s v=""/>
    <m/>
    <s v=""/>
    <s v=""/>
    <s v=""/>
    <n v="0"/>
  </r>
  <r>
    <s v=""/>
    <s v="40101002"/>
    <s v="2018000394"/>
    <x v="286"/>
    <d v="2020-10-30T00:00:00"/>
    <d v="2020-11-02T00:00:00"/>
    <s v="RV"/>
    <s v="USD"/>
    <n v="-1476"/>
    <s v="83.95000"/>
    <s v="BDT"/>
    <n v="-123910.2"/>
    <n v="-1476"/>
    <s v="1476_1"/>
    <s v=""/>
    <s v="C3142LVPK101620"/>
    <s v="20201030"/>
    <s v=""/>
    <s v=""/>
    <s v="0"/>
    <s v=""/>
    <s v=""/>
    <s v=""/>
    <s v=""/>
    <s v="2010100001"/>
    <s v=""/>
    <m/>
    <s v=""/>
    <s v=""/>
    <s v=""/>
    <n v="0"/>
  </r>
  <r>
    <s v=""/>
    <s v="40101001"/>
    <s v="2018000838"/>
    <x v="197"/>
    <d v="2021-01-23T00:00:00"/>
    <d v="2021-01-26T00:00:00"/>
    <s v="RV"/>
    <s v="USD"/>
    <n v="-1474.5"/>
    <s v="83.95000"/>
    <s v="BDT"/>
    <n v="-123784.28"/>
    <n v="-1474.5"/>
    <s v="1474.5_1"/>
    <s v=""/>
    <s v="SC3242LVUS009521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108"/>
    <x v="89"/>
    <d v="2021-03-21T00:00:00"/>
    <d v="2021-03-25T00:00:00"/>
    <s v="RV"/>
    <s v="USD"/>
    <n v="-1474.28"/>
    <s v="83.94999"/>
    <s v="BDT"/>
    <n v="-123765.79"/>
    <n v="-1474.28"/>
    <s v="1474.28_1"/>
    <s v=""/>
    <s v="C3242LVUS0372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108"/>
    <x v="89"/>
    <d v="2021-03-21T00:00:00"/>
    <d v="2021-03-25T00:00:00"/>
    <s v="RV"/>
    <s v="USD"/>
    <n v="-1474.28"/>
    <s v="83.95000"/>
    <s v="BDT"/>
    <n v="-123765.81"/>
    <n v="-1474.28"/>
    <s v="1474.28_2"/>
    <s v=""/>
    <s v="C3242LVUS0372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108"/>
    <x v="89"/>
    <d v="2021-03-21T00:00:00"/>
    <d v="2021-03-25T00:00:00"/>
    <s v="RV"/>
    <s v="USD"/>
    <n v="-1474.28"/>
    <s v="83.95000"/>
    <s v="BDT"/>
    <n v="-123765.81"/>
    <n v="-1474.28"/>
    <s v="1474.28_3"/>
    <s v=""/>
    <s v="C3242LVUS0372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1108"/>
    <x v="89"/>
    <d v="2021-03-21T00:00:00"/>
    <d v="2021-03-25T00:00:00"/>
    <s v="RV"/>
    <s v="USD"/>
    <n v="-1474.28"/>
    <s v="83.95000"/>
    <s v="BDT"/>
    <n v="-123765.81"/>
    <n v="-1474.28"/>
    <s v="1474.28_4"/>
    <s v=""/>
    <s v="C3242LVUS0372-21"/>
    <s v="20210321"/>
    <s v=""/>
    <s v=""/>
    <s v="0"/>
    <s v=""/>
    <s v=""/>
    <s v=""/>
    <s v=""/>
    <s v="2010100001"/>
    <s v=""/>
    <m/>
    <s v=""/>
    <s v=""/>
    <s v=""/>
    <n v="0"/>
  </r>
  <r>
    <s v=""/>
    <s v="40101001"/>
    <s v="2018000732"/>
    <x v="267"/>
    <d v="2020-12-22T00:00:00"/>
    <d v="2021-01-02T00:00:00"/>
    <s v="RV"/>
    <s v="USD"/>
    <n v="-1473.57"/>
    <s v="83.95000"/>
    <s v="BDT"/>
    <n v="-123706.2"/>
    <n v="-1473.57"/>
    <s v="1473.57_1"/>
    <s v=""/>
    <s v="C3145LVCA134920"/>
    <s v="20201222"/>
    <s v=""/>
    <s v=""/>
    <s v="0"/>
    <s v=""/>
    <s v=""/>
    <s v=""/>
    <s v=""/>
    <s v="2010100001"/>
    <s v=""/>
    <m/>
    <s v=""/>
    <s v=""/>
    <s v=""/>
    <n v="0"/>
  </r>
  <r>
    <s v=""/>
    <s v="40101001"/>
    <s v="2018000338"/>
    <x v="31"/>
    <d v="2020-10-18T00:00:00"/>
    <d v="2020-10-22T00:00:00"/>
    <s v="RV"/>
    <s v="USD"/>
    <n v="-1472.51"/>
    <s v="83.95000"/>
    <s v="BDT"/>
    <n v="-123617.21"/>
    <n v="-1472.51"/>
    <s v="1472.51_1"/>
    <s v=""/>
    <s v="C3131UQ20SYD0982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338"/>
    <x v="31"/>
    <d v="2020-10-18T00:00:00"/>
    <d v="2020-10-22T00:00:00"/>
    <s v="RV"/>
    <s v="USD"/>
    <n v="-1472.51"/>
    <s v="83.95000"/>
    <s v="BDT"/>
    <n v="-123617.21"/>
    <n v="-1472.51"/>
    <s v="1472.51_2"/>
    <s v=""/>
    <s v="C3131UQ20SYD0982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1197"/>
    <x v="297"/>
    <d v="2021-04-05T00:00:00"/>
    <d v="2021-04-08T00:00:00"/>
    <s v="RV"/>
    <s v="USD"/>
    <n v="-1471.86"/>
    <s v="83.95000"/>
    <s v="BDT"/>
    <n v="-123562.65"/>
    <n v="-1471.86"/>
    <s v="1471.86_1"/>
    <s v=""/>
    <s v="C3266LVMY0415-21"/>
    <s v="20210405"/>
    <s v=""/>
    <s v=""/>
    <s v="0"/>
    <s v=""/>
    <s v=""/>
    <s v=""/>
    <s v=""/>
    <s v="2010100001"/>
    <s v=""/>
    <m/>
    <s v=""/>
    <s v=""/>
    <s v=""/>
    <n v="0"/>
  </r>
  <r>
    <s v=""/>
    <s v="40101001"/>
    <s v="2018000179"/>
    <x v="215"/>
    <d v="2020-08-31T00:00:00"/>
    <d v="2020-09-03T00:00:00"/>
    <s v="RV"/>
    <s v="USD"/>
    <n v="-1466.52"/>
    <s v="83.95000"/>
    <s v="BDT"/>
    <n v="-123114.35"/>
    <n v="-1466.52"/>
    <s v="1466.52_1"/>
    <s v=""/>
    <s v="C3093UQ20OSA0789"/>
    <s v="20200831"/>
    <s v=""/>
    <s v=""/>
    <s v="0"/>
    <s v=""/>
    <s v=""/>
    <s v=""/>
    <s v=""/>
    <s v="2010100001"/>
    <s v=""/>
    <m/>
    <s v=""/>
    <s v=""/>
    <s v=""/>
    <n v="0"/>
  </r>
  <r>
    <s v=""/>
    <s v="40101001"/>
    <s v="2018000985"/>
    <x v="72"/>
    <d v="2021-02-16T00:00:00"/>
    <d v="2021-02-24T00:00:00"/>
    <s v="RV"/>
    <s v="USD"/>
    <n v="-1466.2"/>
    <s v="83.95000"/>
    <s v="BDT"/>
    <n v="-123087.49"/>
    <n v="-1466.2"/>
    <s v="1466.2_1"/>
    <s v=""/>
    <s v="C3240LVMX0206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985"/>
    <x v="72"/>
    <d v="2021-02-16T00:00:00"/>
    <d v="2021-02-24T00:00:00"/>
    <s v="RV"/>
    <s v="USD"/>
    <n v="-1466.2"/>
    <s v="83.95000"/>
    <s v="BDT"/>
    <n v="-123087.49"/>
    <n v="-1466.2"/>
    <s v="1466.2_2"/>
    <s v=""/>
    <s v="C3240LVMX0206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985"/>
    <x v="72"/>
    <d v="2021-02-16T00:00:00"/>
    <d v="2021-02-24T00:00:00"/>
    <s v="RV"/>
    <s v="USD"/>
    <n v="-1466.2"/>
    <s v="83.95000"/>
    <s v="BDT"/>
    <n v="-123087.49"/>
    <n v="-1466.2"/>
    <s v="1466.2_3"/>
    <s v=""/>
    <s v="C3240LVMX0206-21"/>
    <s v="20210216"/>
    <s v=""/>
    <s v=""/>
    <s v="0"/>
    <s v=""/>
    <s v=""/>
    <s v=""/>
    <s v=""/>
    <s v="2010100001"/>
    <s v=""/>
    <m/>
    <s v=""/>
    <s v=""/>
    <s v=""/>
    <n v="0"/>
  </r>
  <r>
    <s v=""/>
    <s v="40101001"/>
    <s v="2018000708"/>
    <x v="267"/>
    <d v="2020-12-22T00:00:00"/>
    <d v="2020-12-30T00:00:00"/>
    <s v="RV"/>
    <s v="USD"/>
    <n v="-1465.34"/>
    <s v="83.95000"/>
    <s v="BDT"/>
    <n v="-123015.29"/>
    <n v="-1465.34"/>
    <s v="1465.34_1"/>
    <s v=""/>
    <s v="C3145LVMY126920"/>
    <s v="20201222"/>
    <s v=""/>
    <s v=""/>
    <s v="0"/>
    <s v=""/>
    <s v=""/>
    <s v=""/>
    <s v=""/>
    <s v="2010100001"/>
    <s v=""/>
    <m/>
    <s v=""/>
    <s v=""/>
    <s v=""/>
    <n v="0"/>
  </r>
  <r>
    <s v=""/>
    <s v="40101001"/>
    <s v="2018001189"/>
    <x v="183"/>
    <d v="2021-03-29T00:00:00"/>
    <d v="2021-04-05T00:00:00"/>
    <s v="RV"/>
    <s v="USD"/>
    <n v="-1465.34"/>
    <s v="83.95000"/>
    <s v="BDT"/>
    <n v="-123015.29"/>
    <n v="-1465.34"/>
    <s v="1465.34_2"/>
    <s v=""/>
    <s v="C3147LVPE0250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364"/>
    <x v="315"/>
    <d v="2021-05-11T00:00:00"/>
    <d v="2021-05-20T00:00:00"/>
    <s v="RV"/>
    <s v="USD"/>
    <n v="-1459.82"/>
    <s v="83.95000"/>
    <s v="BDT"/>
    <n v="-122551.89"/>
    <n v="-1459.82"/>
    <s v="1459.82_1"/>
    <s v=""/>
    <s v="C3343UQ21HAK0585"/>
    <s v="20210511"/>
    <s v=""/>
    <s v=""/>
    <s v="0"/>
    <s v=""/>
    <s v=""/>
    <s v=""/>
    <s v=""/>
    <s v="2010100001"/>
    <s v=""/>
    <m/>
    <s v=""/>
    <s v=""/>
    <s v=""/>
    <n v="0"/>
  </r>
  <r>
    <s v=""/>
    <s v="40101001"/>
    <s v="2018000697"/>
    <x v="79"/>
    <d v="2020-12-18T00:00:00"/>
    <d v="2020-12-24T00:00:00"/>
    <s v="RV"/>
    <s v="USD"/>
    <n v="-1458.43"/>
    <s v="83.95000"/>
    <s v="BDT"/>
    <n v="-122435.2"/>
    <n v="-1458.43"/>
    <s v="1458.43_1"/>
    <s v=""/>
    <s v="C3141LVPA119820"/>
    <s v="20201218"/>
    <s v=""/>
    <s v=""/>
    <s v="0"/>
    <s v=""/>
    <s v=""/>
    <s v=""/>
    <s v=""/>
    <s v="2010100001"/>
    <s v=""/>
    <m/>
    <s v=""/>
    <s v=""/>
    <s v=""/>
    <n v="0"/>
  </r>
  <r>
    <s v=""/>
    <s v="40101001"/>
    <s v="2018001158"/>
    <x v="309"/>
    <d v="2021-03-19T00:00:00"/>
    <d v="2021-04-01T00:00:00"/>
    <s v="RV"/>
    <s v="USD"/>
    <n v="-1455.44"/>
    <s v="83.95000"/>
    <s v="BDT"/>
    <n v="-122184.19"/>
    <n v="-1455.44"/>
    <s v="1455.44_1"/>
    <s v=""/>
    <s v="C3205UQ21EU0249"/>
    <s v="20210319"/>
    <s v=""/>
    <s v=""/>
    <s v="0"/>
    <s v=""/>
    <s v=""/>
    <s v=""/>
    <s v=""/>
    <s v="2010100001"/>
    <s v=""/>
    <m/>
    <s v=""/>
    <s v=""/>
    <s v=""/>
    <n v="0"/>
  </r>
  <r>
    <s v=""/>
    <s v="40101001"/>
    <s v="2018001200"/>
    <x v="316"/>
    <d v="2021-04-04T00:00:00"/>
    <d v="2021-04-12T00:00:00"/>
    <s v="RV"/>
    <s v="USD"/>
    <n v="-1450.95"/>
    <s v="83.95000"/>
    <s v="BDT"/>
    <n v="-121807.25"/>
    <n v="-1450.95"/>
    <s v="1450.95_1"/>
    <s v=""/>
    <s v="C3266LVTR0425-21"/>
    <s v="20210404"/>
    <s v=""/>
    <s v=""/>
    <s v="0"/>
    <s v=""/>
    <s v=""/>
    <s v=""/>
    <s v=""/>
    <s v="2010100001"/>
    <s v=""/>
    <m/>
    <s v=""/>
    <s v=""/>
    <s v=""/>
    <n v="0"/>
  </r>
  <r>
    <s v=""/>
    <s v="40101001"/>
    <s v="2018001621"/>
    <x v="176"/>
    <d v="2021-06-19T00:00:00"/>
    <d v="2021-07-07T00:00:00"/>
    <s v="RV"/>
    <s v="USD"/>
    <n v="-1447.34"/>
    <s v="83.95000"/>
    <s v="BDT"/>
    <n v="-121504.19"/>
    <n v="-1447.34"/>
    <s v="1447.34_1"/>
    <s v=""/>
    <s v="C3335LVMX0739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783"/>
    <x v="211"/>
    <d v="2021-01-03T00:00:00"/>
    <d v="2021-01-07T00:00:00"/>
    <s v="RV"/>
    <s v="USD"/>
    <n v="-1446.2"/>
    <s v="83.95000"/>
    <s v="BDT"/>
    <n v="-121408.49"/>
    <n v="-1446.2"/>
    <s v="1446.2_1"/>
    <s v=""/>
    <s v="C3141LVPE1394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1183"/>
    <x v="83"/>
    <d v="2021-03-30T00:00:00"/>
    <d v="2021-04-04T00:00:00"/>
    <s v="RV"/>
    <s v="USD"/>
    <n v="-1445.54"/>
    <s v="83.95000"/>
    <s v="BDT"/>
    <n v="-121353.08"/>
    <n v="-1445.54"/>
    <s v="1445.54_1"/>
    <s v=""/>
    <s v="C3173AMZJP0374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0104"/>
    <x v="1"/>
    <d v="2020-07-30T00:00:00"/>
    <d v="2020-08-10T00:00:00"/>
    <s v="RV"/>
    <s v="USD"/>
    <n v="-1444.72"/>
    <s v="83.95000"/>
    <s v="BDT"/>
    <n v="-121284.24"/>
    <n v="-1444.72"/>
    <s v="1444.72_1"/>
    <s v=""/>
    <s v="C3093UQ20HAK0712"/>
    <s v="20200730"/>
    <s v=""/>
    <s v=""/>
    <s v="0"/>
    <s v=""/>
    <s v=""/>
    <s v=""/>
    <s v=""/>
    <s v="2010100001"/>
    <s v=""/>
    <m/>
    <s v=""/>
    <s v=""/>
    <s v=""/>
    <n v="0"/>
  </r>
  <r>
    <s v=""/>
    <s v="40101001"/>
    <s v="2018000294"/>
    <x v="169"/>
    <d v="2020-09-10T00:00:00"/>
    <d v="2020-10-06T00:00:00"/>
    <s v="RV"/>
    <s v="USD"/>
    <n v="-1443.17"/>
    <s v="83.95000"/>
    <s v="BDT"/>
    <n v="-121154.12"/>
    <n v="-1443.17"/>
    <s v="1443.17_1"/>
    <s v=""/>
    <s v="C3120UQ20SHA0816"/>
    <s v="20200910"/>
    <s v=""/>
    <s v=""/>
    <s v="0"/>
    <s v=""/>
    <s v=""/>
    <s v=""/>
    <s v=""/>
    <s v="2010100001"/>
    <s v=""/>
    <m/>
    <s v=""/>
    <s v=""/>
    <s v=""/>
    <n v="0"/>
  </r>
  <r>
    <s v=""/>
    <s v="40101001"/>
    <s v="2018001621"/>
    <x v="176"/>
    <d v="2021-06-19T00:00:00"/>
    <d v="2021-07-07T00:00:00"/>
    <s v="RV"/>
    <s v="USD"/>
    <n v="-1437.94"/>
    <s v="83.95000"/>
    <s v="BDT"/>
    <n v="-120715.06"/>
    <n v="-1437.94"/>
    <s v="1437.94_1"/>
    <s v=""/>
    <s v="C3335LVMX0739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452"/>
    <x v="221"/>
    <d v="2020-11-06T00:00:00"/>
    <d v="2020-11-11T00:00:00"/>
    <s v="RV"/>
    <s v="USD"/>
    <n v="-1437.23"/>
    <s v="83.95000"/>
    <s v="BDT"/>
    <n v="-120655.46"/>
    <n v="-1437.23"/>
    <s v="1437.23_1"/>
    <s v=""/>
    <s v="C3231UQ20LA1072"/>
    <s v="20201106"/>
    <s v=""/>
    <s v=""/>
    <s v="0"/>
    <s v=""/>
    <s v=""/>
    <s v=""/>
    <s v=""/>
    <s v="2010100001"/>
    <s v=""/>
    <m/>
    <s v=""/>
    <s v=""/>
    <s v=""/>
    <n v="0"/>
  </r>
  <r>
    <s v=""/>
    <s v="40101001"/>
    <s v="2018000546"/>
    <x v="14"/>
    <d v="2020-11-25T00:00:00"/>
    <d v="2020-11-28T00:00:00"/>
    <s v="RV"/>
    <s v="USD"/>
    <n v="-1432.73"/>
    <s v="83.95000"/>
    <s v="BDT"/>
    <n v="-120277.69"/>
    <n v="-1432.73"/>
    <s v="1432.73_1"/>
    <s v=""/>
    <s v="C3145LVVN119720"/>
    <s v="20201125"/>
    <s v=""/>
    <s v=""/>
    <s v="0"/>
    <s v=""/>
    <s v=""/>
    <s v=""/>
    <s v=""/>
    <s v="2010100001"/>
    <s v=""/>
    <m/>
    <s v=""/>
    <s v=""/>
    <s v=""/>
    <n v="0"/>
  </r>
  <r>
    <s v=""/>
    <s v="40101002"/>
    <s v="2018001537"/>
    <x v="88"/>
    <d v="2021-06-11T00:00:00"/>
    <d v="2021-06-19T00:00:00"/>
    <s v="RV"/>
    <s v="USD"/>
    <n v="-1432"/>
    <s v="83.95000"/>
    <s v="BDT"/>
    <n v="-120216.4"/>
    <n v="-1432"/>
    <s v="1432_1"/>
    <s v=""/>
    <s v="C3285LVPK0742-21"/>
    <s v="20210611"/>
    <s v=""/>
    <s v=""/>
    <s v="0"/>
    <s v=""/>
    <s v=""/>
    <s v=""/>
    <s v=""/>
    <s v="2010100001"/>
    <s v=""/>
    <m/>
    <s v=""/>
    <s v=""/>
    <s v=""/>
    <n v="0"/>
  </r>
  <r>
    <s v=""/>
    <s v="40101002"/>
    <s v="2018001251"/>
    <x v="259"/>
    <d v="2021-04-22T00:00:00"/>
    <d v="2021-04-26T00:00:00"/>
    <s v="RV"/>
    <s v="USD"/>
    <n v="-1430.42"/>
    <s v="83.95000"/>
    <s v="BDT"/>
    <n v="-120083.76"/>
    <n v="-1430.42"/>
    <s v="1430.42_1"/>
    <s v=""/>
    <s v="C3266LVPK0472-21"/>
    <s v="20210422"/>
    <s v=""/>
    <s v=""/>
    <s v="0"/>
    <s v=""/>
    <s v=""/>
    <s v=""/>
    <s v=""/>
    <s v="2010100001"/>
    <s v=""/>
    <m/>
    <s v=""/>
    <s v=""/>
    <s v=""/>
    <n v="0"/>
  </r>
  <r>
    <s v=""/>
    <s v="40101001"/>
    <s v="2018000783"/>
    <x v="211"/>
    <d v="2021-01-03T00:00:00"/>
    <d v="2021-01-07T00:00:00"/>
    <s v="RV"/>
    <s v="USD"/>
    <n v="-1418.54"/>
    <s v="83.95000"/>
    <s v="BDT"/>
    <n v="-119086.43"/>
    <n v="-1418.54"/>
    <s v="1418.54_1"/>
    <s v=""/>
    <s v="C3141LVPE139420"/>
    <s v="20210103"/>
    <s v=""/>
    <s v=""/>
    <s v="0"/>
    <s v=""/>
    <s v=""/>
    <s v=""/>
    <s v=""/>
    <s v="2010100001"/>
    <s v=""/>
    <m/>
    <s v=""/>
    <s v=""/>
    <s v=""/>
    <n v="0"/>
  </r>
  <r>
    <s v=""/>
    <s v="40101001"/>
    <s v="2018000381"/>
    <x v="95"/>
    <d v="2020-10-26T00:00:00"/>
    <d v="2020-11-01T00:00:00"/>
    <s v="RV"/>
    <s v="USD"/>
    <n v="-1403.51"/>
    <s v="83.95000"/>
    <s v="BDT"/>
    <n v="-117824.66"/>
    <n v="-1403.51"/>
    <s v="1403.51_1"/>
    <s v=""/>
    <s v="C3141LVPA0935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1534"/>
    <x v="206"/>
    <d v="2021-06-12T00:00:00"/>
    <d v="2021-06-19T00:00:00"/>
    <s v="RV"/>
    <s v="USD"/>
    <n v="-1389.15"/>
    <s v="83.95000"/>
    <s v="BDT"/>
    <n v="-116619.14"/>
    <n v="-1389.15"/>
    <s v="1389.15_1"/>
    <s v=""/>
    <s v="C3284LVMY0738-21"/>
    <s v="20210612"/>
    <s v=""/>
    <s v=""/>
    <s v="0"/>
    <s v=""/>
    <s v=""/>
    <s v=""/>
    <s v=""/>
    <s v="2010100001"/>
    <s v=""/>
    <m/>
    <s v=""/>
    <s v=""/>
    <s v=""/>
    <n v="0"/>
  </r>
  <r>
    <s v=""/>
    <s v="40101001"/>
    <s v="2018001203"/>
    <x v="220"/>
    <d v="2021-04-08T00:00:00"/>
    <d v="2021-04-12T00:00:00"/>
    <s v="RV"/>
    <s v="USD"/>
    <n v="-1380.62"/>
    <s v="83.95000"/>
    <s v="BDT"/>
    <n v="-115903.05"/>
    <n v="-1380.62"/>
    <s v="1380.62_1"/>
    <s v=""/>
    <s v="C3265LVCL0424-21"/>
    <s v="20210408"/>
    <s v=""/>
    <s v=""/>
    <s v="0"/>
    <s v=""/>
    <s v=""/>
    <s v=""/>
    <s v=""/>
    <s v="2010100001"/>
    <s v=""/>
    <m/>
    <s v=""/>
    <s v=""/>
    <s v=""/>
    <n v="0"/>
  </r>
  <r>
    <s v=""/>
    <s v="40101001"/>
    <s v="2018000809"/>
    <x v="42"/>
    <d v="2021-01-14T00:00:00"/>
    <d v="2021-01-20T00:00:00"/>
    <s v="RV"/>
    <s v="USD"/>
    <n v="-1377.98"/>
    <s v="83.95001"/>
    <s v="BDT"/>
    <n v="-115681.43"/>
    <n v="-1377.98"/>
    <s v="1377.98_1"/>
    <s v=""/>
    <s v="C3253UQ21TOM0023"/>
    <s v="20210114"/>
    <s v=""/>
    <s v=""/>
    <s v="0"/>
    <s v=""/>
    <s v=""/>
    <s v=""/>
    <s v=""/>
    <s v="2010100001"/>
    <s v=""/>
    <m/>
    <s v=""/>
    <s v=""/>
    <s v=""/>
    <n v="0"/>
  </r>
  <r>
    <s v=""/>
    <s v="40101001"/>
    <s v="2018001304"/>
    <x v="15"/>
    <d v="2021-05-04T00:00:00"/>
    <d v="2021-05-10T00:00:00"/>
    <s v="RV"/>
    <s v="USD"/>
    <n v="-1368.82"/>
    <s v="83.95000"/>
    <s v="BDT"/>
    <n v="-114912.44"/>
    <n v="-1368.82"/>
    <s v="1368.82_1"/>
    <s v=""/>
    <s v="C3266LVGR0478-21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1383"/>
    <x v="56"/>
    <d v="2021-05-13T00:00:00"/>
    <d v="2021-05-20T00:00:00"/>
    <s v="RV"/>
    <s v="USD"/>
    <n v="-1357.04"/>
    <s v="83.95000"/>
    <s v="BDT"/>
    <n v="-113923.51"/>
    <n v="-1357.04"/>
    <s v="1357.04_1"/>
    <s v=""/>
    <s v="C3286LVUS0604-21"/>
    <s v="20210513"/>
    <s v=""/>
    <s v=""/>
    <s v="0"/>
    <s v=""/>
    <s v=""/>
    <s v=""/>
    <s v=""/>
    <s v="2010100001"/>
    <s v=""/>
    <m/>
    <s v=""/>
    <s v=""/>
    <s v=""/>
    <n v="0"/>
  </r>
  <r>
    <s v=""/>
    <s v="40101001"/>
    <s v="2018001250"/>
    <x v="259"/>
    <d v="2021-04-22T00:00:00"/>
    <d v="2021-04-26T00:00:00"/>
    <s v="RV"/>
    <s v="USD"/>
    <n v="-1355.13"/>
    <s v="83.95000"/>
    <s v="BDT"/>
    <n v="-113763.16"/>
    <n v="-1355.13"/>
    <s v="1355.13_1"/>
    <s v=""/>
    <s v="C3266LVTR0477-21"/>
    <s v="20210422"/>
    <s v=""/>
    <s v=""/>
    <s v="0"/>
    <s v=""/>
    <s v=""/>
    <s v=""/>
    <s v=""/>
    <s v="2010100001"/>
    <s v=""/>
    <m/>
    <s v=""/>
    <s v=""/>
    <s v=""/>
    <n v="0"/>
  </r>
  <r>
    <s v=""/>
    <s v="40101001"/>
    <s v="2018000839"/>
    <x v="197"/>
    <d v="2021-01-23T00:00:00"/>
    <d v="2021-01-26T00:00:00"/>
    <s v="RV"/>
    <s v="USD"/>
    <n v="-1354.52"/>
    <s v="83.95000"/>
    <s v="BDT"/>
    <n v="-113711.95"/>
    <n v="-1354.52"/>
    <s v="1354.52_1"/>
    <s v=""/>
    <s v="SC3242LVUS010321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390"/>
    <x v="287"/>
    <d v="2021-05-18T00:00:00"/>
    <d v="2021-05-24T00:00:00"/>
    <s v="RV"/>
    <s v="USD"/>
    <n v="-1350.44"/>
    <s v="83.95000"/>
    <s v="BDT"/>
    <n v="-113369.44"/>
    <n v="-1350.44"/>
    <s v="1350.44_1"/>
    <s v=""/>
    <s v="C3286LVGR0616-21"/>
    <s v="20210518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1350.18"/>
    <s v="83.95000"/>
    <s v="BDT"/>
    <n v="-113347.61"/>
    <n v="-1350.18"/>
    <s v="1350.18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621"/>
    <x v="176"/>
    <d v="2021-06-19T00:00:00"/>
    <d v="2021-07-07T00:00:00"/>
    <s v="RV"/>
    <s v="USD"/>
    <n v="-1343.95"/>
    <s v="83.95000"/>
    <s v="BDT"/>
    <n v="-112824.6"/>
    <n v="-1343.95"/>
    <s v="1343.95_1"/>
    <s v=""/>
    <s v="C3335LVMX0739-21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1346"/>
    <x v="313"/>
    <d v="2021-05-10T00:00:00"/>
    <d v="2021-05-17T00:00:00"/>
    <s v="RV"/>
    <s v="USD"/>
    <n v="-1343.72"/>
    <s v="83.95000"/>
    <s v="BDT"/>
    <n v="-112805.29"/>
    <n v="-1343.72"/>
    <s v="1343.72_1"/>
    <s v=""/>
    <s v="C3266LVTR0625-21"/>
    <s v="20210510"/>
    <s v=""/>
    <s v=""/>
    <s v="0"/>
    <s v=""/>
    <s v=""/>
    <s v=""/>
    <s v=""/>
    <s v="2010100001"/>
    <s v=""/>
    <m/>
    <s v=""/>
    <s v=""/>
    <s v=""/>
    <n v="0"/>
  </r>
  <r>
    <s v=""/>
    <s v="40101001"/>
    <s v="2018001325"/>
    <x v="317"/>
    <d v="2021-05-03T00:00:00"/>
    <d v="2021-05-13T00:00:00"/>
    <s v="RV"/>
    <s v="USD"/>
    <n v="-1342.17"/>
    <s v="83.95000"/>
    <s v="BDT"/>
    <n v="-112675.17"/>
    <n v="-1342.17"/>
    <s v="1342.17_1"/>
    <s v=""/>
    <s v="C3309UQ21NY0573"/>
    <s v="20210503"/>
    <s v=""/>
    <s v=""/>
    <s v="0"/>
    <s v=""/>
    <s v=""/>
    <s v=""/>
    <s v=""/>
    <s v="2010100001"/>
    <s v=""/>
    <m/>
    <s v=""/>
    <s v=""/>
    <s v=""/>
    <n v="0"/>
  </r>
  <r>
    <s v=""/>
    <s v="40101001"/>
    <s v="2018000171"/>
    <x v="131"/>
    <d v="2020-08-22T00:00:00"/>
    <d v="2020-08-27T00:00:00"/>
    <s v="RV"/>
    <s v="USD"/>
    <n v="-1339.65"/>
    <s v="83.94999"/>
    <s v="BDT"/>
    <n v="-112463.61"/>
    <n v="-1339.65"/>
    <s v="1339.65_1"/>
    <s v=""/>
    <s v="C3150UQ20SHA0748"/>
    <s v="20200822"/>
    <s v=""/>
    <s v=""/>
    <s v="0"/>
    <s v=""/>
    <s v=""/>
    <s v=""/>
    <s v=""/>
    <s v="2010100001"/>
    <s v=""/>
    <m/>
    <s v=""/>
    <s v=""/>
    <s v=""/>
    <n v="0"/>
  </r>
  <r>
    <s v=""/>
    <s v="40101001"/>
    <s v="2018000156"/>
    <x v="59"/>
    <d v="2020-08-17T00:00:00"/>
    <d v="2020-08-25T00:00:00"/>
    <s v="RV"/>
    <s v="USD"/>
    <n v="-1338.02"/>
    <s v="83.95000"/>
    <s v="BDT"/>
    <n v="-112326.78"/>
    <n v="-1338.02"/>
    <s v="1338.02_1"/>
    <s v=""/>
    <s v="C3132UQ20YAN0739"/>
    <s v="20200817"/>
    <s v=""/>
    <s v=""/>
    <s v="0"/>
    <s v=""/>
    <s v=""/>
    <s v=""/>
    <s v=""/>
    <s v="2010100001"/>
    <s v=""/>
    <m/>
    <s v=""/>
    <s v=""/>
    <s v=""/>
    <n v="0"/>
  </r>
  <r>
    <s v=""/>
    <s v="40101001"/>
    <s v="2018000123"/>
    <x v="229"/>
    <d v="2020-08-03T00:00:00"/>
    <d v="2020-08-10T00:00:00"/>
    <s v="RV"/>
    <s v="USD"/>
    <n v="-1333.58"/>
    <s v="83.95000"/>
    <s v="BDT"/>
    <n v="-111954.04"/>
    <n v="-1333.58"/>
    <s v="1333.58_1"/>
    <s v=""/>
    <s v="C3093UQ20TOM0716"/>
    <s v="20200803"/>
    <s v=""/>
    <s v=""/>
    <s v="0"/>
    <s v=""/>
    <s v=""/>
    <s v=""/>
    <s v=""/>
    <s v="2010100001"/>
    <s v=""/>
    <m/>
    <s v=""/>
    <s v=""/>
    <s v=""/>
    <n v="0"/>
  </r>
  <r>
    <s v=""/>
    <s v="40101001"/>
    <s v="2018001485"/>
    <x v="127"/>
    <d v="2021-06-04T00:00:00"/>
    <d v="2021-06-16T00:00:00"/>
    <s v="RV"/>
    <s v="USD"/>
    <n v="-1323.56"/>
    <s v="83.95000"/>
    <s v="BDT"/>
    <n v="-111112.86"/>
    <n v="-1323.56"/>
    <s v="1323.56_1"/>
    <s v=""/>
    <s v="C3266LVSR0498-21"/>
    <s v="20210604"/>
    <s v=""/>
    <s v=""/>
    <s v="0"/>
    <s v=""/>
    <s v=""/>
    <s v=""/>
    <s v=""/>
    <s v="2010100001"/>
    <s v=""/>
    <m/>
    <s v=""/>
    <s v=""/>
    <s v=""/>
    <n v="0"/>
  </r>
  <r>
    <s v=""/>
    <s v="40101001"/>
    <s v="2018000174"/>
    <x v="84"/>
    <d v="2020-08-05T00:00:00"/>
    <d v="2020-08-29T00:00:00"/>
    <s v="RV"/>
    <s v="USD"/>
    <n v="-1322.48"/>
    <s v="83.95000"/>
    <s v="BDT"/>
    <n v="-111022.19"/>
    <n v="-1322.48"/>
    <s v="1322.48_1"/>
    <s v=""/>
    <s v="C3064LVUS070520"/>
    <s v="20200805"/>
    <s v=""/>
    <s v=""/>
    <s v="0"/>
    <s v=""/>
    <s v=""/>
    <s v=""/>
    <s v=""/>
    <s v="2010100001"/>
    <s v=""/>
    <m/>
    <s v=""/>
    <s v=""/>
    <s v=""/>
    <n v="0"/>
  </r>
  <r>
    <s v=""/>
    <s v="40101001"/>
    <s v="2018000016"/>
    <x v="210"/>
    <d v="2020-07-08T00:00:00"/>
    <d v="2020-07-15T00:00:00"/>
    <s v="RV"/>
    <s v="USD"/>
    <n v="-1316.28"/>
    <s v="83.95000"/>
    <s v="BDT"/>
    <n v="-110501.71"/>
    <n v="-1316.28"/>
    <s v="1316.28_1"/>
    <s v=""/>
    <s v="C3064LVSG0597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1314.75"/>
    <s v="83.95000"/>
    <s v="BDT"/>
    <n v="-110373.26"/>
    <n v="-1314.75"/>
    <s v="1314.75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0079"/>
    <x v="274"/>
    <d v="2020-07-24T00:00:00"/>
    <d v="2020-07-29T00:00:00"/>
    <s v="RV"/>
    <s v="USD"/>
    <n v="-1313.18"/>
    <s v="83.95000"/>
    <s v="BDT"/>
    <n v="-110241.46"/>
    <n v="-1313.18"/>
    <s v="1313.18_1"/>
    <s v=""/>
    <s v="C3064LVSG062320"/>
    <s v="20200724"/>
    <s v=""/>
    <s v=""/>
    <s v="0"/>
    <s v=""/>
    <s v=""/>
    <s v=""/>
    <s v=""/>
    <s v="2010100001"/>
    <s v=""/>
    <m/>
    <s v=""/>
    <s v=""/>
    <s v=""/>
    <n v="0"/>
  </r>
  <r>
    <s v=""/>
    <s v="40101001"/>
    <s v="2018000492"/>
    <x v="65"/>
    <d v="2020-11-11T00:00:00"/>
    <d v="2020-11-17T00:00:00"/>
    <s v="RV"/>
    <s v="USD"/>
    <n v="-1310.6400000000001"/>
    <s v="83.95000"/>
    <s v="BDT"/>
    <n v="-110028.23"/>
    <n v="-1310.6400000000001"/>
    <s v="1310.64_1"/>
    <s v=""/>
    <s v="C3141LVMX1116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377"/>
    <x v="95"/>
    <d v="2020-10-26T00:00:00"/>
    <d v="2020-11-01T00:00:00"/>
    <s v="RV"/>
    <s v="USD"/>
    <n v="-1309.9000000000001"/>
    <s v="83.95000"/>
    <s v="BDT"/>
    <n v="-109966.11"/>
    <n v="-1309.9000000000001"/>
    <s v="1309.9_1"/>
    <s v=""/>
    <s v="C3205UQ20EU1019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1183"/>
    <x v="83"/>
    <d v="2021-03-30T00:00:00"/>
    <d v="2021-04-04T00:00:00"/>
    <s v="RV"/>
    <s v="USD"/>
    <n v="-1302.31"/>
    <s v="83.95000"/>
    <s v="BDT"/>
    <n v="-109328.92"/>
    <n v="-1302.31"/>
    <s v="1302.31_1"/>
    <s v=""/>
    <s v="C3173AMZJP0374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0426"/>
    <x v="18"/>
    <d v="2020-11-05T00:00:00"/>
    <d v="2020-11-10T00:00:00"/>
    <s v="RV"/>
    <s v="USD"/>
    <n v="-1299.98"/>
    <s v="83.95000"/>
    <s v="BDT"/>
    <n v="-109133.32"/>
    <n v="-1299.98"/>
    <s v="1299.98_1"/>
    <s v=""/>
    <s v="C3210UQ20HAK1022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08000275"/>
    <x v="88"/>
    <d v="2021-06-11T00:00:00"/>
    <d v="2021-06-23T00:00:00"/>
    <s v="DR"/>
    <s v="USD"/>
    <n v="-1299"/>
    <s v="83.95000"/>
    <s v="BDT"/>
    <n v="-109051.05"/>
    <n v="-1299"/>
    <s v="1299_1"/>
    <s v=""/>
    <s v="SC3327LVUS08021"/>
    <s v="SC3327LVUS08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167"/>
    <x v="123"/>
    <d v="2020-08-23T00:00:00"/>
    <d v="2020-08-26T00:00:00"/>
    <s v="RV"/>
    <s v="USD"/>
    <n v="-1297.08"/>
    <s v="83.95000"/>
    <s v="BDT"/>
    <n v="-108889.87"/>
    <n v="-1297.08"/>
    <s v="1297.08_1"/>
    <s v=""/>
    <s v="C3068LVSG075620"/>
    <s v="20200823"/>
    <s v=""/>
    <s v=""/>
    <s v="0"/>
    <s v=""/>
    <s v=""/>
    <s v=""/>
    <s v=""/>
    <s v="2010100001"/>
    <s v=""/>
    <m/>
    <s v=""/>
    <s v=""/>
    <s v=""/>
    <n v="0"/>
  </r>
  <r>
    <s v=""/>
    <s v="40101001"/>
    <s v="2018000502"/>
    <x v="240"/>
    <d v="2020-11-13T00:00:00"/>
    <d v="2020-11-19T00:00:00"/>
    <s v="RV"/>
    <s v="USD"/>
    <n v="-1296.1300000000001"/>
    <s v="83.95000"/>
    <s v="BDT"/>
    <n v="-108810.11"/>
    <n v="-1296.1300000000001"/>
    <s v="1296.13_1"/>
    <s v=""/>
    <s v="C3165DC19US1125"/>
    <s v="20201113"/>
    <s v=""/>
    <s v=""/>
    <s v="0"/>
    <s v=""/>
    <s v=""/>
    <s v=""/>
    <s v=""/>
    <s v="2010100001"/>
    <s v=""/>
    <m/>
    <s v=""/>
    <s v=""/>
    <s v=""/>
    <n v="0"/>
  </r>
  <r>
    <s v=""/>
    <s v="40101011"/>
    <s v="2008000088"/>
    <x v="27"/>
    <d v="2020-11-30T00:00:00"/>
    <d v="2020-12-06T00:00:00"/>
    <s v="DR"/>
    <s v="USD"/>
    <n v="-1291.28"/>
    <s v="83.95000"/>
    <s v="BDT"/>
    <n v="-108402.96"/>
    <n v="-1291.28"/>
    <s v="1291.28_1"/>
    <s v=""/>
    <s v="CIPL-PGC-0283-20"/>
    <s v="CIPL-PGC-0283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0366"/>
    <x v="95"/>
    <d v="2020-10-26T00:00:00"/>
    <d v="2020-10-28T00:00:00"/>
    <s v="RV"/>
    <s v="USD"/>
    <n v="-1285.76"/>
    <s v="83.95000"/>
    <s v="BDT"/>
    <n v="-107939.55"/>
    <n v="-1285.76"/>
    <s v="1285.76_1"/>
    <s v=""/>
    <s v="C3142LVVN0942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0921"/>
    <x v="299"/>
    <d v="2021-02-01T00:00:00"/>
    <d v="2021-02-11T00:00:00"/>
    <s v="RV"/>
    <s v="USD"/>
    <n v="-1284.3499999999999"/>
    <s v="83.95000"/>
    <s v="BDT"/>
    <n v="-107821.18"/>
    <n v="-1284.3499999999999"/>
    <s v="1284.35_1"/>
    <s v=""/>
    <s v="C3143LVGR0133-21"/>
    <s v="20210201"/>
    <s v=""/>
    <s v=""/>
    <s v="0"/>
    <s v=""/>
    <s v=""/>
    <s v=""/>
    <s v=""/>
    <s v="2010100001"/>
    <s v=""/>
    <m/>
    <s v=""/>
    <s v=""/>
    <s v=""/>
    <n v="0"/>
  </r>
  <r>
    <s v=""/>
    <s v="40101001"/>
    <s v="2018001329"/>
    <x v="51"/>
    <d v="2021-05-08T00:00:00"/>
    <d v="2021-05-13T00:00:00"/>
    <s v="RV"/>
    <s v="USD"/>
    <n v="-1277.3499999999999"/>
    <s v="83.95000"/>
    <s v="BDT"/>
    <n v="-107233.53"/>
    <n v="-1277.3499999999999"/>
    <s v="1277.35_1"/>
    <s v=""/>
    <s v="C3343UQ21NAG0586"/>
    <s v="20210508"/>
    <s v=""/>
    <s v=""/>
    <s v="0"/>
    <s v=""/>
    <s v=""/>
    <s v=""/>
    <s v=""/>
    <s v="2010100001"/>
    <s v=""/>
    <m/>
    <s v=""/>
    <s v=""/>
    <s v=""/>
    <n v="0"/>
  </r>
  <r>
    <s v=""/>
    <s v="40101001"/>
    <s v="2018000491"/>
    <x v="65"/>
    <d v="2020-11-11T00:00:00"/>
    <d v="2020-11-17T00:00:00"/>
    <s v="RV"/>
    <s v="USD"/>
    <n v="-1276.79"/>
    <s v="83.95000"/>
    <s v="BDT"/>
    <n v="-107186.52"/>
    <n v="-1276.79"/>
    <s v="1276.79_1"/>
    <s v=""/>
    <s v="C3141LVMX1112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042"/>
    <x v="136"/>
    <d v="2020-07-09T00:00:00"/>
    <d v="2020-07-20T00:00:00"/>
    <s v="RV"/>
    <s v="USD"/>
    <n v="-1270.92"/>
    <s v="83.95000"/>
    <s v="BDT"/>
    <n v="-106693.73"/>
    <n v="-1270.92"/>
    <s v="1270.92_1"/>
    <s v=""/>
    <s v="C3036LVUS059520"/>
    <s v="20200709"/>
    <s v=""/>
    <s v=""/>
    <s v="0"/>
    <s v=""/>
    <s v=""/>
    <s v=""/>
    <s v=""/>
    <s v="2010100001"/>
    <s v=""/>
    <m/>
    <s v=""/>
    <s v=""/>
    <s v=""/>
    <n v="0"/>
  </r>
  <r>
    <s v=""/>
    <s v="40101001"/>
    <s v="2018001557"/>
    <x v="176"/>
    <d v="2021-06-19T00:00:00"/>
    <d v="2021-06-24T00:00:00"/>
    <s v="RV"/>
    <s v="USD"/>
    <n v="-1262.73"/>
    <s v="83.95000"/>
    <s v="BDT"/>
    <n v="-106006.18"/>
    <n v="-1262.73"/>
    <s v="1262.73_1"/>
    <s v=""/>
    <s v="C3316UQ21OSA0803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0793"/>
    <x v="165"/>
    <d v="2021-01-02T00:00:00"/>
    <d v="2021-01-16T00:00:00"/>
    <s v="RV"/>
    <s v="USD"/>
    <n v="-1253.1300000000001"/>
    <s v="83.95000"/>
    <s v="BDT"/>
    <n v="-105200.26"/>
    <n v="-1253.1300000000001"/>
    <s v="1253.13_1"/>
    <s v=""/>
    <s v="C0322LVMY134820"/>
    <s v="20210102"/>
    <s v=""/>
    <s v=""/>
    <s v="0"/>
    <s v=""/>
    <s v=""/>
    <s v=""/>
    <s v=""/>
    <s v="2010100001"/>
    <s v=""/>
    <m/>
    <s v=""/>
    <s v=""/>
    <s v=""/>
    <n v="0"/>
  </r>
  <r>
    <s v=""/>
    <s v="40101001"/>
    <s v="2018000150"/>
    <x v="55"/>
    <d v="2020-08-19T00:00:00"/>
    <d v="2020-08-22T00:00:00"/>
    <s v="RV"/>
    <s v="USD"/>
    <n v="-1252.1400000000001"/>
    <s v="83.95000"/>
    <s v="BDT"/>
    <n v="-105117.15"/>
    <n v="-1252.1400000000001"/>
    <s v="1252.14_1"/>
    <s v=""/>
    <s v="C3084LVGR075520"/>
    <s v="20200819"/>
    <s v=""/>
    <s v=""/>
    <s v="0"/>
    <s v=""/>
    <s v=""/>
    <s v=""/>
    <s v=""/>
    <s v="2010100001"/>
    <s v=""/>
    <m/>
    <s v=""/>
    <s v=""/>
    <s v=""/>
    <n v="0"/>
  </r>
  <r>
    <s v=""/>
    <s v="40101001"/>
    <s v="2018000466"/>
    <x v="65"/>
    <d v="2020-11-11T00:00:00"/>
    <d v="2020-11-14T00:00:00"/>
    <s v="RV"/>
    <s v="USD"/>
    <n v="-1248.8399999999999"/>
    <s v="83.95000"/>
    <s v="BDT"/>
    <n v="-104840.12"/>
    <n v="-1248.8399999999999"/>
    <s v="1248.84_1"/>
    <s v=""/>
    <s v="C3141LVCL106220"/>
    <s v="20201111"/>
    <s v=""/>
    <s v=""/>
    <s v="0"/>
    <s v=""/>
    <s v=""/>
    <s v=""/>
    <s v=""/>
    <s v="2010100001"/>
    <s v=""/>
    <m/>
    <s v=""/>
    <s v=""/>
    <s v=""/>
    <n v="0"/>
  </r>
  <r>
    <s v=""/>
    <s v="40101001"/>
    <s v="2018000366"/>
    <x v="95"/>
    <d v="2020-10-26T00:00:00"/>
    <d v="2020-10-28T00:00:00"/>
    <s v="RV"/>
    <s v="USD"/>
    <n v="-1248.4100000000001"/>
    <s v="83.95000"/>
    <s v="BDT"/>
    <n v="-104804.02"/>
    <n v="-1248.4100000000001"/>
    <s v="1248.41_1"/>
    <s v=""/>
    <s v="C3142LVVN0942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1257"/>
    <x v="192"/>
    <d v="2021-04-25T00:00:00"/>
    <d v="2021-04-29T00:00:00"/>
    <s v="RV"/>
    <s v="USD"/>
    <n v="-1245.6199999999999"/>
    <s v="83.95000"/>
    <s v="BDT"/>
    <n v="-104569.8"/>
    <n v="-1245.6199999999999"/>
    <s v="1245.62_1"/>
    <s v=""/>
    <s v="C3343UQ21KR0508"/>
    <s v="20210425"/>
    <s v=""/>
    <s v=""/>
    <s v="0"/>
    <s v=""/>
    <s v=""/>
    <s v=""/>
    <s v=""/>
    <s v="2010100001"/>
    <s v=""/>
    <m/>
    <s v=""/>
    <s v=""/>
    <s v=""/>
    <n v="0"/>
  </r>
  <r>
    <s v=""/>
    <s v="40101012"/>
    <s v="2008000196"/>
    <x v="158"/>
    <d v="2021-02-28T00:00:00"/>
    <d v="2021-03-09T00:00:00"/>
    <s v="DR"/>
    <s v="USD"/>
    <n v="-1244.9000000000001"/>
    <s v="83.95000"/>
    <s v="BDT"/>
    <n v="-104509.36"/>
    <n v="-1244.9000000000001"/>
    <s v="1244.9_1"/>
    <s v=""/>
    <s v="CIPL-MSGL-226-2"/>
    <s v="CIPL-MSGL-226-20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01"/>
    <s v="2018001028"/>
    <x v="173"/>
    <d v="2021-02-27T00:00:00"/>
    <d v="2021-03-03T00:00:00"/>
    <s v="RV"/>
    <s v="USD"/>
    <n v="-1244.8499999999999"/>
    <s v="83.95000"/>
    <s v="BDT"/>
    <n v="-104505.16"/>
    <n v="-1244.8499999999999"/>
    <s v="1244.85_1"/>
    <s v=""/>
    <s v="C3141LVPA0223-21"/>
    <s v="20210227"/>
    <s v=""/>
    <s v=""/>
    <s v="0"/>
    <s v=""/>
    <s v=""/>
    <s v=""/>
    <s v=""/>
    <s v="2010100001"/>
    <s v=""/>
    <m/>
    <s v=""/>
    <s v=""/>
    <s v=""/>
    <n v="0"/>
  </r>
  <r>
    <s v=""/>
    <s v="40101001"/>
    <s v="2018000366"/>
    <x v="95"/>
    <d v="2020-10-26T00:00:00"/>
    <d v="2020-10-28T00:00:00"/>
    <s v="RV"/>
    <s v="USD"/>
    <n v="-1242.2"/>
    <s v="83.95000"/>
    <s v="BDT"/>
    <n v="-104282.69"/>
    <n v="-1242.2"/>
    <s v="1242.2_1"/>
    <s v=""/>
    <s v="C3142LVVN0942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0388"/>
    <x v="201"/>
    <d v="2020-10-28T00:00:00"/>
    <d v="2020-11-02T00:00:00"/>
    <s v="RV"/>
    <s v="USD"/>
    <n v="-1241.1099999999999"/>
    <s v="83.95000"/>
    <s v="BDT"/>
    <n v="-104191.18"/>
    <n v="-1241.1099999999999"/>
    <s v="1241.11_1"/>
    <s v=""/>
    <s v="C3142LVUS101020"/>
    <s v="20201028"/>
    <s v=""/>
    <s v=""/>
    <s v="0"/>
    <s v=""/>
    <s v=""/>
    <s v=""/>
    <s v=""/>
    <s v="2010100001"/>
    <s v=""/>
    <m/>
    <s v=""/>
    <s v=""/>
    <s v=""/>
    <n v="0"/>
  </r>
  <r>
    <s v=""/>
    <s v="40101001"/>
    <s v="2018000017"/>
    <x v="210"/>
    <d v="2020-07-08T00:00:00"/>
    <d v="2020-07-15T00:00:00"/>
    <s v="RV"/>
    <s v="USD"/>
    <n v="-1239.6199999999999"/>
    <s v="83.95000"/>
    <s v="BDT"/>
    <n v="-104066.1"/>
    <n v="-1239.6199999999999"/>
    <s v="1239.62_1"/>
    <s v=""/>
    <s v="C3067LVGR059420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18000367"/>
    <x v="95"/>
    <d v="2020-10-26T00:00:00"/>
    <d v="2020-10-28T00:00:00"/>
    <s v="RV"/>
    <s v="USD"/>
    <n v="-1238.75"/>
    <s v="83.95000"/>
    <s v="BDT"/>
    <n v="-103993.06"/>
    <n v="-1238.75"/>
    <s v="1238.75_1"/>
    <s v=""/>
    <s v="C3141LVVN0934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1116"/>
    <x v="177"/>
    <d v="2021-03-23T00:00:00"/>
    <d v="2021-03-28T00:00:00"/>
    <s v="RV"/>
    <s v="USD"/>
    <n v="-1234.94"/>
    <s v="83.95000"/>
    <s v="BDT"/>
    <n v="-103673.21"/>
    <n v="-1234.94"/>
    <s v="1234.94_1"/>
    <s v=""/>
    <s v="C3173AMZLB0363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720"/>
    <x v="318"/>
    <d v="2020-12-25T00:00:00"/>
    <d v="2020-12-31T00:00:00"/>
    <s v="RV"/>
    <s v="USD"/>
    <n v="-1228.56"/>
    <s v="83.95000"/>
    <s v="BDT"/>
    <n v="-103137.61"/>
    <n v="-1228.56"/>
    <s v="1228.56_1"/>
    <s v=""/>
    <s v="C3145LVVN120720"/>
    <s v="20201225"/>
    <s v=""/>
    <s v=""/>
    <s v="0"/>
    <s v=""/>
    <s v=""/>
    <s v=""/>
    <s v=""/>
    <s v="2010100001"/>
    <s v=""/>
    <m/>
    <s v=""/>
    <s v=""/>
    <s v=""/>
    <n v="0"/>
  </r>
  <r>
    <s v=""/>
    <s v="40101001"/>
    <s v="2018001189"/>
    <x v="183"/>
    <d v="2021-03-29T00:00:00"/>
    <d v="2021-04-05T00:00:00"/>
    <s v="RV"/>
    <s v="USD"/>
    <n v="-1228.56"/>
    <s v="83.95000"/>
    <s v="BDT"/>
    <n v="-103137.61"/>
    <n v="-1228.56"/>
    <s v="1228.56_2"/>
    <s v=""/>
    <s v="C3147LVPE0250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482"/>
    <x v="18"/>
    <d v="2020-11-05T00:00:00"/>
    <d v="2020-11-16T00:00:00"/>
    <s v="RV"/>
    <s v="USD"/>
    <n v="-1227.58"/>
    <s v="83.95000"/>
    <s v="BDT"/>
    <n v="-103055.34"/>
    <n v="-1227.58"/>
    <s v="1227.58_1"/>
    <s v=""/>
    <s v="C3099LVUS094420"/>
    <s v="20201105"/>
    <s v=""/>
    <s v=""/>
    <s v="0"/>
    <s v=""/>
    <s v=""/>
    <s v=""/>
    <s v=""/>
    <s v="2010100001"/>
    <s v=""/>
    <m/>
    <s v=""/>
    <s v=""/>
    <s v=""/>
    <n v="0"/>
  </r>
  <r>
    <s v=""/>
    <s v="40101001"/>
    <s v="2018000366"/>
    <x v="95"/>
    <d v="2020-10-26T00:00:00"/>
    <d v="2020-10-28T00:00:00"/>
    <s v="RV"/>
    <s v="USD"/>
    <n v="-1226.54"/>
    <s v="83.95000"/>
    <s v="BDT"/>
    <n v="-102968.03"/>
    <n v="-1226.54"/>
    <s v="1226.54_1"/>
    <s v=""/>
    <s v="C3142LVVN0942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0935"/>
    <x v="46"/>
    <d v="2021-02-07T00:00:00"/>
    <d v="2021-02-14T00:00:00"/>
    <s v="RV"/>
    <s v="USD"/>
    <n v="-1225.55"/>
    <s v="83.95000"/>
    <s v="BDT"/>
    <n v="-102884.92"/>
    <n v="-1225.55"/>
    <s v="1225.55_1"/>
    <s v=""/>
    <s v="C3260UQ21TOM0160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0730"/>
    <x v="70"/>
    <d v="2020-12-27T00:00:00"/>
    <d v="2021-01-02T00:00:00"/>
    <s v="RV"/>
    <s v="USD"/>
    <n v="-1219.82"/>
    <s v="83.95000"/>
    <s v="BDT"/>
    <n v="-102403.89"/>
    <n v="-1219.82"/>
    <s v="1219.82_1"/>
    <s v=""/>
    <s v="C3143LVCL130120"/>
    <s v="20201227"/>
    <s v=""/>
    <s v=""/>
    <s v="0"/>
    <s v=""/>
    <s v=""/>
    <s v=""/>
    <s v=""/>
    <s v="2010100001"/>
    <s v=""/>
    <m/>
    <s v=""/>
    <s v=""/>
    <s v=""/>
    <n v="0"/>
  </r>
  <r>
    <s v=""/>
    <s v="40101001"/>
    <s v="2018000886"/>
    <x v="303"/>
    <d v="2021-01-29T00:00:00"/>
    <d v="2021-02-02T00:00:00"/>
    <s v="RV"/>
    <s v="USD"/>
    <n v="-1216.9000000000001"/>
    <s v="83.95000"/>
    <s v="BDT"/>
    <n v="-102158.76"/>
    <n v="-1216.9000000000001"/>
    <s v="1216.9_1"/>
    <s v=""/>
    <s v="C3221LVGR009421"/>
    <s v="20210129"/>
    <s v=""/>
    <s v=""/>
    <s v="0"/>
    <s v=""/>
    <s v=""/>
    <s v=""/>
    <s v=""/>
    <s v="2010100001"/>
    <s v=""/>
    <m/>
    <s v=""/>
    <s v=""/>
    <s v=""/>
    <n v="0"/>
  </r>
  <r>
    <s v=""/>
    <s v="40101001"/>
    <s v="2018001189"/>
    <x v="183"/>
    <d v="2021-03-29T00:00:00"/>
    <d v="2021-04-05T00:00:00"/>
    <s v="RV"/>
    <s v="USD"/>
    <n v="-1215.3"/>
    <s v="83.95000"/>
    <s v="BDT"/>
    <n v="-102024.44"/>
    <n v="-1215.3"/>
    <s v="1215.3_1"/>
    <s v=""/>
    <s v="C3147LVPE0250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189"/>
    <x v="183"/>
    <d v="2021-03-29T00:00:00"/>
    <d v="2021-04-05T00:00:00"/>
    <s v="RV"/>
    <s v="USD"/>
    <n v="-1215.3"/>
    <s v="83.95000"/>
    <s v="BDT"/>
    <n v="-102024.44"/>
    <n v="-1215.3"/>
    <s v="1215.3_2"/>
    <s v=""/>
    <s v="C3147LVPE0250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189"/>
    <x v="183"/>
    <d v="2021-03-29T00:00:00"/>
    <d v="2021-04-05T00:00:00"/>
    <s v="RV"/>
    <s v="USD"/>
    <n v="-1215.3"/>
    <s v="83.95000"/>
    <s v="BDT"/>
    <n v="-102024.44"/>
    <n v="-1215.3"/>
    <s v="1215.3_3"/>
    <s v=""/>
    <s v="C3147LVPE0250-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074"/>
    <x v="53"/>
    <d v="2020-07-22T00:00:00"/>
    <d v="2020-07-28T00:00:00"/>
    <s v="RV"/>
    <s v="USD"/>
    <n v="-1192.69"/>
    <s v="83.95000"/>
    <s v="BDT"/>
    <n v="-100126.33"/>
    <n v="-1192.69"/>
    <s v="1192.69_1"/>
    <s v=""/>
    <s v="C3131UQ20SHA0663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095"/>
    <x v="53"/>
    <d v="2020-07-22T00:00:00"/>
    <d v="2020-08-06T00:00:00"/>
    <s v="RV"/>
    <s v="USD"/>
    <n v="-1192.69"/>
    <s v="83.95000"/>
    <s v="BDT"/>
    <n v="-100126.33"/>
    <n v="-1192.69"/>
    <s v="1192.69_2"/>
    <s v=""/>
    <s v="C3131UQ20YAN0664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0155"/>
    <x v="59"/>
    <d v="2020-08-17T00:00:00"/>
    <d v="2020-08-25T00:00:00"/>
    <s v="RV"/>
    <s v="USD"/>
    <n v="-1189.3499999999999"/>
    <s v="83.95000"/>
    <s v="BDT"/>
    <n v="-99845.93"/>
    <n v="-1189.3499999999999"/>
    <s v="1189.35_1"/>
    <s v=""/>
    <s v="C3132UQ20YAN0738"/>
    <s v="20200817"/>
    <s v=""/>
    <s v=""/>
    <s v="0"/>
    <s v=""/>
    <s v=""/>
    <s v=""/>
    <s v=""/>
    <s v="2010100001"/>
    <s v=""/>
    <m/>
    <s v=""/>
    <s v=""/>
    <s v=""/>
    <n v="0"/>
  </r>
  <r>
    <s v=""/>
    <s v="40101001"/>
    <s v="2018000366"/>
    <x v="95"/>
    <d v="2020-10-26T00:00:00"/>
    <d v="2020-10-28T00:00:00"/>
    <s v="RV"/>
    <s v="USD"/>
    <n v="-1186.18"/>
    <s v="83.95000"/>
    <s v="BDT"/>
    <n v="-99579.81"/>
    <n v="-1186.18"/>
    <s v="1186.18_1"/>
    <s v=""/>
    <s v="C3142LVVN0942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0366"/>
    <x v="95"/>
    <d v="2020-10-26T00:00:00"/>
    <d v="2020-10-28T00:00:00"/>
    <s v="RV"/>
    <s v="USD"/>
    <n v="-1180.28"/>
    <s v="83.95000"/>
    <s v="BDT"/>
    <n v="-99084.51"/>
    <n v="-1180.28"/>
    <s v="1180.28_1"/>
    <s v=""/>
    <s v="C3142LVVN0942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0366"/>
    <x v="95"/>
    <d v="2020-10-26T00:00:00"/>
    <d v="2020-10-28T00:00:00"/>
    <s v="RV"/>
    <s v="USD"/>
    <n v="-1180.28"/>
    <s v="83.95000"/>
    <s v="BDT"/>
    <n v="-99084.51"/>
    <n v="-1180.28"/>
    <s v="1180.28_2"/>
    <s v=""/>
    <s v="C3142LVVN094220"/>
    <s v="20201026"/>
    <s v=""/>
    <s v=""/>
    <s v="0"/>
    <s v=""/>
    <s v=""/>
    <s v=""/>
    <s v=""/>
    <s v="2010100001"/>
    <s v=""/>
    <m/>
    <s v=""/>
    <s v=""/>
    <s v=""/>
    <n v="0"/>
  </r>
  <r>
    <s v=""/>
    <s v="40101001"/>
    <s v="2018001235"/>
    <x v="125"/>
    <d v="2021-04-17T00:00:00"/>
    <d v="2021-04-22T00:00:00"/>
    <s v="RV"/>
    <s v="USD"/>
    <n v="-1179.53"/>
    <s v="83.95001"/>
    <s v="BDT"/>
    <n v="-99021.55"/>
    <n v="-1179.53"/>
    <s v="1179.53_1"/>
    <s v=""/>
    <s v="C3192AMZPL044421"/>
    <s v="20210417"/>
    <s v=""/>
    <s v=""/>
    <s v="0"/>
    <s v=""/>
    <s v=""/>
    <s v=""/>
    <s v=""/>
    <s v="2010100001"/>
    <s v=""/>
    <m/>
    <s v=""/>
    <s v=""/>
    <s v=""/>
    <n v="0"/>
  </r>
  <r>
    <s v=""/>
    <s v="40101001"/>
    <s v="2018000248"/>
    <x v="133"/>
    <d v="2020-09-21T00:00:00"/>
    <d v="2020-09-24T00:00:00"/>
    <s v="RV"/>
    <s v="USD"/>
    <n v="-1175.3599999999999"/>
    <s v="83.95000"/>
    <s v="BDT"/>
    <n v="-98671.47"/>
    <n v="-1175.3599999999999"/>
    <s v="1175.36_1"/>
    <s v=""/>
    <s v="C3156DC20US0874"/>
    <s v="20200921"/>
    <s v=""/>
    <s v=""/>
    <s v="0"/>
    <s v=""/>
    <s v=""/>
    <s v=""/>
    <s v=""/>
    <s v="2010100001"/>
    <s v=""/>
    <m/>
    <s v=""/>
    <s v=""/>
    <s v=""/>
    <n v="0"/>
  </r>
  <r>
    <s v=""/>
    <s v="40101001"/>
    <s v="2018000281"/>
    <x v="166"/>
    <d v="2020-09-27T00:00:00"/>
    <d v="2020-10-01T00:00:00"/>
    <s v="RV"/>
    <s v="USD"/>
    <n v="-1173.6600000000001"/>
    <s v="83.95000"/>
    <s v="BDT"/>
    <n v="-98528.76"/>
    <n v="-1173.6600000000001"/>
    <s v="1173.66_1"/>
    <s v=""/>
    <s v="C3162DC20US0873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18000265"/>
    <x v="151"/>
    <d v="2020-09-23T00:00:00"/>
    <d v="2020-09-26T00:00:00"/>
    <s v="RV"/>
    <s v="USD"/>
    <n v="-1171.8699999999999"/>
    <s v="83.95000"/>
    <s v="BDT"/>
    <n v="-98378.49"/>
    <n v="-1171.8699999999999"/>
    <s v="1171.87_1"/>
    <s v=""/>
    <s v="C3205UQ20TOR0896"/>
    <s v="20200923"/>
    <s v=""/>
    <s v=""/>
    <s v="0"/>
    <s v=""/>
    <s v=""/>
    <s v=""/>
    <s v=""/>
    <s v="2010100001"/>
    <s v=""/>
    <m/>
    <s v=""/>
    <s v=""/>
    <s v=""/>
    <n v="0"/>
  </r>
  <r>
    <s v=""/>
    <s v="40101001"/>
    <s v="2018001183"/>
    <x v="83"/>
    <d v="2021-03-30T00:00:00"/>
    <d v="2021-04-04T00:00:00"/>
    <s v="RV"/>
    <s v="USD"/>
    <n v="-1167.28"/>
    <s v="83.95000"/>
    <s v="BDT"/>
    <n v="-97993.16"/>
    <n v="-1167.28"/>
    <s v="1167.28_1"/>
    <s v=""/>
    <s v="C3173AMZJP0374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1138.3699999999999"/>
    <s v="83.95001"/>
    <s v="BDT"/>
    <n v="-95566.17"/>
    <n v="-1138.3699999999999"/>
    <s v="1138.37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857"/>
    <x v="197"/>
    <d v="2021-01-23T00:00:00"/>
    <d v="2021-01-30T00:00:00"/>
    <s v="RV"/>
    <s v="USD"/>
    <n v="-1137.8"/>
    <s v="83.95000"/>
    <s v="BDT"/>
    <n v="-95518.31"/>
    <n v="-1137.8"/>
    <s v="1137.8_1"/>
    <s v=""/>
    <s v="C3259UQ21NAG0076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1134.1300000000001"/>
    <s v="83.95000"/>
    <s v="BDT"/>
    <n v="-95210.21"/>
    <n v="-1134.1300000000001"/>
    <s v="1134.13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227"/>
    <x v="222"/>
    <d v="2021-04-16T00:00:00"/>
    <d v="2021-04-22T00:00:00"/>
    <s v="RV"/>
    <s v="USD"/>
    <n v="-1132.3800000000001"/>
    <s v="83.95000"/>
    <s v="BDT"/>
    <n v="-95063.3"/>
    <n v="-1132.3800000000001"/>
    <s v="1132.38_1"/>
    <s v=""/>
    <s v="C3316UQ21NAG0467"/>
    <s v="20210416"/>
    <s v=""/>
    <s v=""/>
    <s v="0"/>
    <s v=""/>
    <s v=""/>
    <s v=""/>
    <s v=""/>
    <s v="2010100001"/>
    <s v=""/>
    <m/>
    <s v=""/>
    <s v=""/>
    <s v=""/>
    <n v="0"/>
  </r>
  <r>
    <s v=""/>
    <s v="40101001"/>
    <s v="2018001229"/>
    <x v="222"/>
    <d v="2021-04-16T00:00:00"/>
    <d v="2021-04-22T00:00:00"/>
    <s v="RV"/>
    <s v="USD"/>
    <n v="-1132.3800000000001"/>
    <s v="83.95000"/>
    <s v="BDT"/>
    <n v="-95063.3"/>
    <n v="-1132.3800000000001"/>
    <s v="1132.38_2"/>
    <s v=""/>
    <s v="C3316UQ21HAK0468"/>
    <s v="20210416"/>
    <s v=""/>
    <s v=""/>
    <s v="0"/>
    <s v=""/>
    <s v=""/>
    <s v=""/>
    <s v=""/>
    <s v="2010100001"/>
    <s v=""/>
    <m/>
    <s v=""/>
    <s v=""/>
    <s v=""/>
    <n v="0"/>
  </r>
  <r>
    <s v=""/>
    <s v="40101012"/>
    <s v="2008000070"/>
    <x v="23"/>
    <d v="2020-10-31T00:00:00"/>
    <d v="2020-11-08T00:00:00"/>
    <s v="DR"/>
    <s v="USD"/>
    <n v="-1122"/>
    <s v="83.95000"/>
    <s v="BDT"/>
    <n v="-94191.9"/>
    <n v="-1122"/>
    <s v="1122_1"/>
    <s v=""/>
    <s v="CIPL-MSGL-216-20"/>
    <s v="CIPL-MSGL-216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695"/>
    <x v="50"/>
    <d v="2020-12-06T00:00:00"/>
    <d v="2020-12-24T00:00:00"/>
    <s v="RV"/>
    <s v="USD"/>
    <n v="-1109.97"/>
    <s v="83.95000"/>
    <s v="BDT"/>
    <n v="-93181.98"/>
    <n v="-1109.97"/>
    <s v="1109.97_1"/>
    <s v=""/>
    <s v="C3231UQ20PH1249"/>
    <s v="20201206"/>
    <s v=""/>
    <s v=""/>
    <s v="0"/>
    <s v=""/>
    <s v=""/>
    <s v=""/>
    <s v=""/>
    <s v="2010100001"/>
    <s v=""/>
    <m/>
    <s v=""/>
    <s v=""/>
    <s v=""/>
    <n v="0"/>
  </r>
  <r>
    <s v=""/>
    <s v="40101001"/>
    <s v="2018001169"/>
    <x v="189"/>
    <d v="2021-03-26T00:00:00"/>
    <d v="2021-04-04T00:00:00"/>
    <s v="RV"/>
    <s v="USD"/>
    <n v="-1096.32"/>
    <s v="83.95000"/>
    <s v="BDT"/>
    <n v="-92036.06"/>
    <n v="-1096.32"/>
    <s v="1096.32_1"/>
    <s v=""/>
    <s v="C3187AMZLB0378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558"/>
    <x v="176"/>
    <d v="2021-06-19T00:00:00"/>
    <d v="2021-06-24T00:00:00"/>
    <s v="RV"/>
    <s v="USD"/>
    <n v="-1094.8699999999999"/>
    <s v="83.95000"/>
    <s v="BDT"/>
    <n v="-91914.34"/>
    <n v="-1094.8699999999999"/>
    <s v="1094.87_1"/>
    <s v=""/>
    <s v="C3343UQ21OSA0759"/>
    <s v="20210619"/>
    <s v=""/>
    <s v=""/>
    <s v="0"/>
    <s v=""/>
    <s v=""/>
    <s v=""/>
    <s v=""/>
    <s v="2010100001"/>
    <s v=""/>
    <m/>
    <s v=""/>
    <s v=""/>
    <s v=""/>
    <n v="0"/>
  </r>
  <r>
    <s v=""/>
    <s v="40101001"/>
    <s v="2018001578"/>
    <x v="247"/>
    <d v="2021-06-22T00:00:00"/>
    <d v="2021-06-24T00:00:00"/>
    <s v="RV"/>
    <s v="USD"/>
    <n v="-1094.8699999999999"/>
    <s v="83.95000"/>
    <s v="BDT"/>
    <n v="-91914.34"/>
    <n v="-1094.8699999999999"/>
    <s v="1094.87_2"/>
    <s v=""/>
    <s v="C3343UQ21HAK0813"/>
    <s v="20210622"/>
    <s v=""/>
    <s v=""/>
    <s v="0"/>
    <s v=""/>
    <s v=""/>
    <s v=""/>
    <s v=""/>
    <s v="2010100001"/>
    <s v=""/>
    <m/>
    <s v=""/>
    <s v=""/>
    <s v=""/>
    <n v="0"/>
  </r>
  <r>
    <s v=""/>
    <s v="40101001"/>
    <s v="2018000912"/>
    <x v="208"/>
    <d v="2021-02-04T00:00:00"/>
    <d v="2021-02-10T00:00:00"/>
    <s v="RV"/>
    <s v="USD"/>
    <n v="-1083.76"/>
    <s v="83.95000"/>
    <s v="BDT"/>
    <n v="-90981.65"/>
    <n v="-1083.76"/>
    <s v="1083.76_1"/>
    <s v=""/>
    <s v="C3272UQ21SEN0112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0390"/>
    <x v="235"/>
    <d v="2020-10-29T00:00:00"/>
    <d v="2020-11-02T00:00:00"/>
    <s v="RV"/>
    <s v="USD"/>
    <n v="-1079.8399999999999"/>
    <s v="83.95000"/>
    <s v="BDT"/>
    <n v="-90652.57"/>
    <n v="-1079.8399999999999"/>
    <s v="1079.84_1"/>
    <s v=""/>
    <s v="C3131UQ20MEL0980"/>
    <s v="20201029"/>
    <s v=""/>
    <s v=""/>
    <s v="0"/>
    <s v=""/>
    <s v=""/>
    <s v=""/>
    <s v=""/>
    <s v="2010100001"/>
    <s v=""/>
    <m/>
    <s v=""/>
    <s v=""/>
    <s v=""/>
    <n v="0"/>
  </r>
  <r>
    <s v=""/>
    <s v="40101001"/>
    <s v="2018000390"/>
    <x v="235"/>
    <d v="2020-10-29T00:00:00"/>
    <d v="2020-11-02T00:00:00"/>
    <s v="RV"/>
    <s v="USD"/>
    <n v="-1079.8399999999999"/>
    <s v="83.95000"/>
    <s v="BDT"/>
    <n v="-90652.57"/>
    <n v="-1079.8399999999999"/>
    <s v="1079.84_2"/>
    <s v=""/>
    <s v="C3131UQ20MEL0980"/>
    <s v="20201029"/>
    <s v=""/>
    <s v=""/>
    <s v="0"/>
    <s v=""/>
    <s v=""/>
    <s v=""/>
    <s v=""/>
    <s v="2010100001"/>
    <s v=""/>
    <m/>
    <s v=""/>
    <s v=""/>
    <s v=""/>
    <n v="0"/>
  </r>
  <r>
    <s v=""/>
    <s v="40101001"/>
    <s v="2018000130"/>
    <x v="147"/>
    <d v="2020-07-31T00:00:00"/>
    <d v="2020-08-14T00:00:00"/>
    <s v="RV"/>
    <s v="USD"/>
    <n v="-1058.05"/>
    <s v="83.95000"/>
    <s v="BDT"/>
    <n v="-88823.3"/>
    <n v="-1058.05"/>
    <s v="1058.05_1"/>
    <s v=""/>
    <s v="C3120UQ20YAN0719"/>
    <s v="20200731"/>
    <s v=""/>
    <s v=""/>
    <s v="0"/>
    <s v=""/>
    <s v=""/>
    <s v=""/>
    <s v=""/>
    <s v="2010100001"/>
    <s v=""/>
    <m/>
    <s v=""/>
    <s v=""/>
    <s v=""/>
    <n v="0"/>
  </r>
  <r>
    <s v=""/>
    <s v="40101011"/>
    <s v="2008000192"/>
    <x v="158"/>
    <d v="2021-02-28T00:00:00"/>
    <d v="2021-03-07T00:00:00"/>
    <s v="DR"/>
    <s v="USD"/>
    <n v="-1042.82"/>
    <s v="83.95000"/>
    <s v="BDT"/>
    <n v="-87544.74"/>
    <n v="-1042.82"/>
    <s v="1042.82_1"/>
    <s v=""/>
    <s v="CIPL-PGCL-0264-2"/>
    <s v="CIPL-PGCL-0264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0156"/>
    <x v="59"/>
    <d v="2020-08-17T00:00:00"/>
    <d v="2020-08-25T00:00:00"/>
    <s v="RV"/>
    <s v="USD"/>
    <n v="-1040.68"/>
    <s v="83.94999"/>
    <s v="BDT"/>
    <n v="-87365.08"/>
    <n v="-1040.68"/>
    <s v="1040.68_1"/>
    <s v=""/>
    <s v="C3132UQ20YAN0739"/>
    <s v="20200817"/>
    <s v=""/>
    <s v=""/>
    <s v="0"/>
    <s v=""/>
    <s v=""/>
    <s v=""/>
    <s v=""/>
    <s v="2010100001"/>
    <s v=""/>
    <m/>
    <s v=""/>
    <s v=""/>
    <s v=""/>
    <n v="0"/>
  </r>
  <r>
    <s v=""/>
    <s v="40101011"/>
    <s v="2008000003"/>
    <x v="1"/>
    <d v="2020-07-30T00:00:00"/>
    <d v="2020-08-11T00:00:00"/>
    <s v="DR"/>
    <s v="USD"/>
    <n v="-1036.05"/>
    <s v="83.95000"/>
    <s v="BDT"/>
    <n v="-86976.4"/>
    <n v="-1036.05"/>
    <s v="1036.05_1"/>
    <s v=""/>
    <s v="CIPL-PGCL272-20"/>
    <s v="CIPL-PGCL272-20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1175"/>
    <x v="101"/>
    <d v="2021-03-28T00:00:00"/>
    <d v="2021-04-04T00:00:00"/>
    <s v="RV"/>
    <s v="USD"/>
    <n v="-1033.68"/>
    <s v="83.95000"/>
    <s v="BDT"/>
    <n v="-86777.44"/>
    <n v="-1033.68"/>
    <s v="1033.68_1"/>
    <s v=""/>
    <s v="C3271UQ21TOK0402"/>
    <s v="20210328"/>
    <s v=""/>
    <s v=""/>
    <s v="0"/>
    <s v=""/>
    <s v=""/>
    <s v=""/>
    <s v=""/>
    <s v="2010100001"/>
    <s v=""/>
    <m/>
    <s v=""/>
    <s v=""/>
    <s v=""/>
    <n v="0"/>
  </r>
  <r>
    <s v=""/>
    <s v="40101001"/>
    <s v="2008000114"/>
    <x v="50"/>
    <d v="2020-12-06T00:00:00"/>
    <d v="2020-12-24T00:00:00"/>
    <s v="DR"/>
    <s v="USD"/>
    <n v="-1020.74"/>
    <s v="83.95000"/>
    <s v="BDT"/>
    <n v="-85691.12"/>
    <n v="-1020.74"/>
    <s v="1020.74_1"/>
    <s v=""/>
    <s v="SC3216LVUS017020"/>
    <s v="SC3216LVUS0170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1013.35"/>
    <s v="83.95000"/>
    <s v="BDT"/>
    <n v="-85070.73"/>
    <n v="-1013.35"/>
    <s v="1013.35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1208"/>
    <x v="108"/>
    <d v="2021-04-11T00:00:00"/>
    <d v="2021-04-20T00:00:00"/>
    <s v="RV"/>
    <s v="USD"/>
    <n v="-1000.98"/>
    <s v="83.95000"/>
    <s v="BDT"/>
    <n v="-84032.27"/>
    <n v="-1000.98"/>
    <s v="1000.98_1"/>
    <s v=""/>
    <s v="C3194AMZJP044221"/>
    <s v="20210411"/>
    <s v=""/>
    <s v=""/>
    <s v="0"/>
    <s v=""/>
    <s v=""/>
    <s v=""/>
    <s v=""/>
    <s v="2010100001"/>
    <s v=""/>
    <m/>
    <s v=""/>
    <s v=""/>
    <s v=""/>
    <n v="0"/>
  </r>
  <r>
    <s v=""/>
    <s v="40101012"/>
    <s v="2008000010"/>
    <x v="1"/>
    <d v="2020-07-30T00:00:00"/>
    <d v="2020-08-13T00:00:00"/>
    <s v="DR"/>
    <s v="USD"/>
    <n v="-999.97"/>
    <s v="83.95000"/>
    <s v="BDT"/>
    <n v="-83947.48"/>
    <n v="-999.97"/>
    <s v="999.97_1"/>
    <s v=""/>
    <s v="CIPL-MSGL-205-20"/>
    <s v="CIPL-MSGL-205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698"/>
    <x v="273"/>
    <d v="2020-12-21T00:00:00"/>
    <d v="2020-12-27T00:00:00"/>
    <s v="RV"/>
    <s v="USD"/>
    <n v="-999.76"/>
    <s v="83.95000"/>
    <s v="BDT"/>
    <n v="-83929.85"/>
    <n v="-999.76"/>
    <s v="999.76_1"/>
    <s v=""/>
    <s v="C3148LVKOR129720"/>
    <s v="20201221"/>
    <s v=""/>
    <s v=""/>
    <s v="0"/>
    <s v=""/>
    <s v=""/>
    <s v=""/>
    <s v=""/>
    <s v="2010100001"/>
    <s v=""/>
    <m/>
    <s v=""/>
    <s v=""/>
    <s v=""/>
    <n v="0"/>
  </r>
  <r>
    <s v=""/>
    <s v="40101012"/>
    <s v="2008000007"/>
    <x v="1"/>
    <d v="2020-07-30T00:00:00"/>
    <d v="2020-08-13T00:00:00"/>
    <s v="DR"/>
    <s v="USD"/>
    <n v="-998.8"/>
    <s v="83.95000"/>
    <s v="BDT"/>
    <n v="-83849.259999999995"/>
    <n v="-998.8"/>
    <s v="998.8_1"/>
    <s v=""/>
    <s v="CIPL-MSGL-202-20"/>
    <s v="CIPL-MSGL-202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1427"/>
    <x v="205"/>
    <d v="2021-05-28T00:00:00"/>
    <d v="2021-06-01T00:00:00"/>
    <s v="RV"/>
    <s v="USD"/>
    <n v="-997.32"/>
    <s v="83.95000"/>
    <s v="BDT"/>
    <n v="-83725.009999999995"/>
    <n v="-997.32"/>
    <s v="997.32_1"/>
    <s v=""/>
    <s v="C3285LVUS0715-21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18001450"/>
    <x v="202"/>
    <d v="2021-06-06T00:00:00"/>
    <d v="2021-06-09T00:00:00"/>
    <s v="RV"/>
    <s v="USD"/>
    <n v="-975.46"/>
    <s v="83.94999"/>
    <s v="BDT"/>
    <n v="-81889.86"/>
    <n v="-975.46"/>
    <s v="975.46_1"/>
    <s v=""/>
    <s v="C3308UQ21NY0664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1450"/>
    <x v="202"/>
    <d v="2021-06-06T00:00:00"/>
    <d v="2021-06-09T00:00:00"/>
    <s v="RV"/>
    <s v="USD"/>
    <n v="-975.46"/>
    <s v="83.95000"/>
    <s v="BDT"/>
    <n v="-81889.87"/>
    <n v="-975.46"/>
    <s v="975.46_2"/>
    <s v=""/>
    <s v="C3308UQ21NY0664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1450"/>
    <x v="202"/>
    <d v="2021-06-06T00:00:00"/>
    <d v="2021-06-09T00:00:00"/>
    <s v="RV"/>
    <s v="USD"/>
    <n v="-975.46"/>
    <s v="83.95000"/>
    <s v="BDT"/>
    <n v="-81889.87"/>
    <n v="-975.46"/>
    <s v="975.46_3"/>
    <s v=""/>
    <s v="C3308UQ21NY0664"/>
    <s v="20210606"/>
    <s v=""/>
    <s v=""/>
    <s v="0"/>
    <s v=""/>
    <s v=""/>
    <s v=""/>
    <s v=""/>
    <s v="2010100001"/>
    <s v=""/>
    <m/>
    <s v=""/>
    <s v=""/>
    <s v=""/>
    <n v="0"/>
  </r>
  <r>
    <s v=""/>
    <s v="40101001"/>
    <s v="2018000550"/>
    <x v="265"/>
    <d v="2020-11-21T00:00:00"/>
    <d v="2020-11-28T00:00:00"/>
    <s v="RV"/>
    <s v="USD"/>
    <n v="-947.43"/>
    <s v="83.95000"/>
    <s v="BDT"/>
    <n v="-79536.75"/>
    <n v="-947.43"/>
    <s v="947.43_1"/>
    <s v=""/>
    <s v="C3165DC20US1175"/>
    <s v="20201121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936.65"/>
    <s v="83.95000"/>
    <s v="BDT"/>
    <n v="-78631.77"/>
    <n v="-936.65"/>
    <s v="936.65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699"/>
    <x v="267"/>
    <d v="2020-12-22T00:00:00"/>
    <d v="2020-12-27T00:00:00"/>
    <s v="RV"/>
    <s v="USD"/>
    <n v="-929.98"/>
    <s v="83.95000"/>
    <s v="BDT"/>
    <n v="-78071.820000000007"/>
    <n v="-929.98"/>
    <s v="929.98_1"/>
    <s v=""/>
    <s v="C3211LVUS135420"/>
    <s v="20201222"/>
    <s v=""/>
    <s v=""/>
    <s v="0"/>
    <s v=""/>
    <s v=""/>
    <s v=""/>
    <s v=""/>
    <s v="2010100001"/>
    <s v=""/>
    <m/>
    <s v=""/>
    <s v=""/>
    <s v=""/>
    <n v="0"/>
  </r>
  <r>
    <s v=""/>
    <s v="40101001"/>
    <s v="2018000698"/>
    <x v="273"/>
    <d v="2020-12-21T00:00:00"/>
    <d v="2020-12-27T00:00:00"/>
    <s v="RV"/>
    <s v="USD"/>
    <n v="-927.78"/>
    <s v="83.95000"/>
    <s v="BDT"/>
    <n v="-77887.13"/>
    <n v="-927.78"/>
    <s v="927.78_1"/>
    <s v=""/>
    <s v="C3148LVKOR129720"/>
    <s v="20201221"/>
    <s v=""/>
    <s v=""/>
    <s v="0"/>
    <s v=""/>
    <s v=""/>
    <s v=""/>
    <s v=""/>
    <s v="2010100001"/>
    <s v=""/>
    <m/>
    <s v=""/>
    <s v=""/>
    <s v=""/>
    <n v="0"/>
  </r>
  <r>
    <s v=""/>
    <s v="40101001"/>
    <s v="2018000513"/>
    <x v="243"/>
    <d v="2020-11-17T00:00:00"/>
    <d v="2020-11-21T00:00:00"/>
    <s v="RV"/>
    <s v="USD"/>
    <n v="-927.26"/>
    <s v="83.95000"/>
    <s v="BDT"/>
    <n v="-77843.48"/>
    <n v="-927.26"/>
    <s v="927.26_1"/>
    <s v=""/>
    <s v="C3168UQ20TOK1168"/>
    <s v="20201117"/>
    <s v=""/>
    <s v=""/>
    <s v="0"/>
    <s v=""/>
    <s v=""/>
    <s v=""/>
    <s v=""/>
    <s v="2010100001"/>
    <s v=""/>
    <m/>
    <s v=""/>
    <s v=""/>
    <s v=""/>
    <n v="0"/>
  </r>
  <r>
    <s v=""/>
    <s v="40101001"/>
    <s v="2018001174"/>
    <x v="101"/>
    <d v="2021-03-28T00:00:00"/>
    <d v="2021-04-04T00:00:00"/>
    <s v="RV"/>
    <s v="USD"/>
    <n v="-918.83"/>
    <s v="83.95000"/>
    <s v="BDT"/>
    <n v="-77135.78"/>
    <n v="-918.83"/>
    <s v="918.83_1"/>
    <s v=""/>
    <s v="C3271UQ21OSA0403"/>
    <s v="20210328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914.89"/>
    <s v="83.95000"/>
    <s v="BDT"/>
    <n v="-76805.02"/>
    <n v="-914.89"/>
    <s v="914.89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860"/>
    <x v="197"/>
    <d v="2021-01-23T00:00:00"/>
    <d v="2021-01-30T00:00:00"/>
    <s v="RV"/>
    <s v="USD"/>
    <n v="-910.24"/>
    <s v="83.95000"/>
    <s v="BDT"/>
    <n v="-76414.649999999994"/>
    <n v="-910.24"/>
    <s v="910.24_1"/>
    <s v=""/>
    <s v="C3259UQ21TOM0080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900"/>
    <x v="143"/>
    <d v="2021-01-31T00:00:00"/>
    <d v="2021-02-04T00:00:00"/>
    <s v="RV"/>
    <s v="USD"/>
    <n v="-903.13"/>
    <s v="83.95000"/>
    <s v="BDT"/>
    <n v="-75817.759999999995"/>
    <n v="-903.13"/>
    <s v="903.13_1"/>
    <s v=""/>
    <s v="C3272UQ21OSA0111"/>
    <s v="20210131"/>
    <s v=""/>
    <s v=""/>
    <s v="0"/>
    <s v=""/>
    <s v=""/>
    <s v=""/>
    <s v=""/>
    <s v="2010100001"/>
    <s v=""/>
    <m/>
    <s v=""/>
    <s v=""/>
    <s v=""/>
    <n v="0"/>
  </r>
  <r>
    <s v=""/>
    <s v="40101001"/>
    <s v="2018000619"/>
    <x v="50"/>
    <d v="2020-12-06T00:00:00"/>
    <d v="2020-12-10T00:00:00"/>
    <s v="RV"/>
    <s v="USD"/>
    <n v="-899.14"/>
    <s v="83.95000"/>
    <s v="BDT"/>
    <n v="-75482.8"/>
    <n v="-899.14"/>
    <s v="899.14_1"/>
    <s v=""/>
    <s v="C3169UQ20VN1176"/>
    <s v="20201206"/>
    <s v=""/>
    <s v=""/>
    <s v="0"/>
    <s v=""/>
    <s v=""/>
    <s v=""/>
    <s v=""/>
    <s v="2010100001"/>
    <s v=""/>
    <m/>
    <s v=""/>
    <s v=""/>
    <s v=""/>
    <n v="0"/>
  </r>
  <r>
    <s v=""/>
    <s v="40101001"/>
    <s v="2018000156"/>
    <x v="59"/>
    <d v="2020-08-17T00:00:00"/>
    <d v="2020-08-25T00:00:00"/>
    <s v="RV"/>
    <s v="USD"/>
    <n v="-892.02"/>
    <s v="83.95000"/>
    <s v="BDT"/>
    <n v="-74885.08"/>
    <n v="-892.02"/>
    <s v="892.02_1"/>
    <s v=""/>
    <s v="C3132UQ20YAN0739"/>
    <s v="20200817"/>
    <s v=""/>
    <s v=""/>
    <s v="0"/>
    <s v=""/>
    <s v=""/>
    <s v=""/>
    <s v=""/>
    <s v="2010100001"/>
    <s v=""/>
    <m/>
    <s v=""/>
    <s v=""/>
    <s v=""/>
    <n v="0"/>
  </r>
  <r>
    <s v=""/>
    <s v="40101001"/>
    <s v="2018000154"/>
    <x v="305"/>
    <d v="2020-08-18T00:00:00"/>
    <d v="2020-08-25T00:00:00"/>
    <s v="RV"/>
    <s v="USD"/>
    <n v="-892.02"/>
    <s v="83.95000"/>
    <s v="BDT"/>
    <n v="-74885.08"/>
    <n v="-892.02"/>
    <s v="892.02_2"/>
    <s v=""/>
    <s v="C3132UQ20SHA0737"/>
    <s v="20200818"/>
    <s v=""/>
    <s v=""/>
    <s v="0"/>
    <s v=""/>
    <s v=""/>
    <s v=""/>
    <s v=""/>
    <s v="2010100001"/>
    <s v=""/>
    <m/>
    <s v=""/>
    <s v=""/>
    <s v=""/>
    <n v="0"/>
  </r>
  <r>
    <s v=""/>
    <s v="40101001"/>
    <s v="2018001053"/>
    <x v="122"/>
    <d v="2021-03-04T00:00:00"/>
    <d v="2021-03-13T00:00:00"/>
    <s v="RV"/>
    <s v="USD"/>
    <n v="-883.86"/>
    <s v="83.94999"/>
    <s v="BDT"/>
    <n v="-74200.039999999994"/>
    <n v="-883.86"/>
    <s v="883.86_1"/>
    <s v=""/>
    <s v="C3291UQ21HNL0258"/>
    <s v="20210304"/>
    <s v=""/>
    <s v=""/>
    <s v="0"/>
    <s v=""/>
    <s v=""/>
    <s v=""/>
    <s v=""/>
    <s v="2010100001"/>
    <s v=""/>
    <m/>
    <s v=""/>
    <s v=""/>
    <s v=""/>
    <n v="0"/>
  </r>
  <r>
    <s v=""/>
    <s v="40101001"/>
    <s v="2008000076"/>
    <x v="18"/>
    <d v="2020-11-05T00:00:00"/>
    <d v="2020-11-28T00:00:00"/>
    <s v="DR"/>
    <s v="USD"/>
    <n v="-870"/>
    <s v="83.95000"/>
    <s v="BDT"/>
    <n v="-73036.5"/>
    <n v="-870"/>
    <s v="870_1"/>
    <s v=""/>
    <s v="SC3216LVBE012220"/>
    <s v="SC3216LVBE0122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714"/>
    <x v="155"/>
    <d v="2020-12-17T00:00:00"/>
    <d v="2020-12-31T00:00:00"/>
    <s v="RV"/>
    <s v="USD"/>
    <n v="-865.47"/>
    <s v="83.95000"/>
    <s v="BDT"/>
    <n v="-72656.210000000006"/>
    <n v="-865.47"/>
    <s v="865.47_1"/>
    <s v=""/>
    <s v="C3247UQ20VAN1179"/>
    <s v="20201217"/>
    <s v=""/>
    <s v=""/>
    <s v="0"/>
    <s v=""/>
    <s v=""/>
    <s v=""/>
    <s v=""/>
    <s v="2010100001"/>
    <s v=""/>
    <m/>
    <s v=""/>
    <s v=""/>
    <s v=""/>
    <n v="0"/>
  </r>
  <r>
    <s v=""/>
    <s v="40101011"/>
    <s v="2008000217"/>
    <x v="175"/>
    <d v="2021-04-30T00:00:00"/>
    <d v="2021-05-06T00:00:00"/>
    <s v="DR"/>
    <s v="USD"/>
    <n v="-853.82"/>
    <s v="83.95000"/>
    <s v="BDT"/>
    <n v="-71678.19"/>
    <n v="-853.82"/>
    <s v="853.82_1"/>
    <s v=""/>
    <s v="CIPL-PGCL-0299-2"/>
    <s v="CIPL-PGCL-0299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0927"/>
    <x v="46"/>
    <d v="2021-02-07T00:00:00"/>
    <d v="2021-02-14T00:00:00"/>
    <s v="RV"/>
    <s v="USD"/>
    <n v="-851.65"/>
    <s v="83.94999"/>
    <s v="BDT"/>
    <n v="-71496.009999999995"/>
    <n v="-851.65"/>
    <s v="851.65_1"/>
    <s v=""/>
    <s v="C3260UQ21HAK0158"/>
    <s v="20210207"/>
    <s v=""/>
    <s v=""/>
    <s v="0"/>
    <s v=""/>
    <s v=""/>
    <s v=""/>
    <s v=""/>
    <s v="2010100001"/>
    <s v=""/>
    <m/>
    <s v=""/>
    <s v=""/>
    <s v=""/>
    <n v="0"/>
  </r>
  <r>
    <s v=""/>
    <s v="40101001"/>
    <s v="2018001389"/>
    <x v="239"/>
    <d v="2021-05-09T00:00:00"/>
    <d v="2021-05-24T00:00:00"/>
    <s v="RV"/>
    <s v="USD"/>
    <n v="-844.71"/>
    <s v="83.94999"/>
    <s v="BDT"/>
    <n v="-70913.399999999994"/>
    <n v="-844.71"/>
    <s v="844.71_1"/>
    <s v=""/>
    <s v="C3356LVUS0563-21"/>
    <s v="20210509"/>
    <s v=""/>
    <s v=""/>
    <s v="0"/>
    <s v=""/>
    <s v=""/>
    <s v=""/>
    <s v=""/>
    <s v="2010100001"/>
    <s v=""/>
    <m/>
    <s v=""/>
    <s v=""/>
    <s v=""/>
    <n v="0"/>
  </r>
  <r>
    <s v=""/>
    <s v="40101001"/>
    <s v="2018000844"/>
    <x v="35"/>
    <d v="2021-01-20T00:00:00"/>
    <d v="2021-01-27T00:00:00"/>
    <s v="RV"/>
    <s v="USD"/>
    <n v="-842.21"/>
    <s v="83.95000"/>
    <s v="BDT"/>
    <n v="-70703.53"/>
    <n v="-842.21"/>
    <s v="842.21_1"/>
    <s v=""/>
    <s v="C3246UQ21OSA0074"/>
    <s v="20210120"/>
    <s v=""/>
    <s v=""/>
    <s v="0"/>
    <s v=""/>
    <s v=""/>
    <s v=""/>
    <s v=""/>
    <s v="2010100001"/>
    <s v=""/>
    <m/>
    <s v=""/>
    <s v=""/>
    <s v=""/>
    <n v="0"/>
  </r>
  <r>
    <s v=""/>
    <s v="40101012"/>
    <s v="2008000125"/>
    <x v="134"/>
    <d v="2020-12-31T00:00:00"/>
    <d v="2021-01-07T00:00:00"/>
    <s v="DR"/>
    <s v="USD"/>
    <n v="-822.83"/>
    <s v="83.95000"/>
    <s v="BDT"/>
    <n v="-69076.58"/>
    <n v="-822.83"/>
    <s v="822.83_1"/>
    <s v=""/>
    <s v="CIPL-GA-004-20"/>
    <s v="CIPL-GA-004-20"/>
    <s v="N.INT.COM WASH SALES TO GLOBAL ATTIRE LTD"/>
    <s v=""/>
    <s v="0"/>
    <s v="N. INT. COM. WASH SALES"/>
    <s v=""/>
    <s v=""/>
    <s v=""/>
    <s v=""/>
    <s v=""/>
    <m/>
    <s v=""/>
    <s v=""/>
    <s v=""/>
    <n v="0"/>
  </r>
  <r>
    <s v=""/>
    <s v="40101001"/>
    <s v="2018000955"/>
    <x v="99"/>
    <d v="2021-02-11T00:00:00"/>
    <d v="2021-02-16T00:00:00"/>
    <s v="RV"/>
    <s v="USD"/>
    <n v="-818.51"/>
    <s v="83.94999"/>
    <s v="BDT"/>
    <n v="-68713.91"/>
    <n v="-818.51"/>
    <s v="818.51_1"/>
    <s v=""/>
    <s v="C3260UQ21NAG0179"/>
    <s v="20210211"/>
    <s v=""/>
    <s v=""/>
    <s v="0"/>
    <s v=""/>
    <s v=""/>
    <s v=""/>
    <s v=""/>
    <s v="2010100001"/>
    <s v=""/>
    <m/>
    <s v=""/>
    <s v=""/>
    <s v=""/>
    <n v="0"/>
  </r>
  <r>
    <s v=""/>
    <s v="40101001"/>
    <s v="2018000857"/>
    <x v="197"/>
    <d v="2021-01-23T00:00:00"/>
    <d v="2021-01-30T00:00:00"/>
    <s v="RV"/>
    <s v="USD"/>
    <n v="-814.41"/>
    <s v="83.95000"/>
    <s v="BDT"/>
    <n v="-68369.72"/>
    <n v="-814.41"/>
    <s v="814.41_1"/>
    <s v=""/>
    <s v="C3259UQ21NAG0076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535"/>
    <x v="6"/>
    <d v="2020-11-16T00:00:00"/>
    <d v="2020-11-26T00:00:00"/>
    <s v="RV"/>
    <s v="USD"/>
    <n v="-800.5"/>
    <s v="83.94999"/>
    <s v="BDT"/>
    <n v="-67201.97"/>
    <n v="-800.5"/>
    <s v="800.5_1"/>
    <s v=""/>
    <s v="C3205UQ20HNL0911"/>
    <s v="20201116"/>
    <s v=""/>
    <s v=""/>
    <s v="0"/>
    <s v=""/>
    <s v=""/>
    <s v=""/>
    <s v=""/>
    <s v="2010100001"/>
    <s v=""/>
    <m/>
    <s v=""/>
    <s v=""/>
    <s v=""/>
    <n v="0"/>
  </r>
  <r>
    <s v=""/>
    <s v="40101001"/>
    <s v="2018001297"/>
    <x v="175"/>
    <d v="2021-04-30T00:00:00"/>
    <d v="2021-05-07T00:00:00"/>
    <s v="RV"/>
    <s v="USD"/>
    <n v="-798.9"/>
    <s v="83.95001"/>
    <s v="BDT"/>
    <n v="-67067.66"/>
    <n v="-798.9"/>
    <s v="798.9_1"/>
    <s v=""/>
    <s v="C3247UQ21EU0515"/>
    <s v="20210430"/>
    <s v=""/>
    <s v=""/>
    <s v="0"/>
    <s v=""/>
    <s v=""/>
    <s v=""/>
    <s v=""/>
    <s v="2010100001"/>
    <s v=""/>
    <m/>
    <s v=""/>
    <s v=""/>
    <s v=""/>
    <n v="0"/>
  </r>
  <r>
    <s v=""/>
    <s v="40101001"/>
    <s v="2018000117"/>
    <x v="229"/>
    <d v="2020-08-03T00:00:00"/>
    <d v="2020-08-10T00:00:00"/>
    <s v="RV"/>
    <s v="USD"/>
    <n v="-789.67"/>
    <s v="83.95000"/>
    <s v="BDT"/>
    <n v="-66292.800000000003"/>
    <n v="-789.67"/>
    <s v="789.67_1"/>
    <s v=""/>
    <s v="C3093UQ20SEN0699"/>
    <s v="20200803"/>
    <s v=""/>
    <s v=""/>
    <s v="0"/>
    <s v=""/>
    <s v=""/>
    <s v=""/>
    <s v=""/>
    <s v="2010100001"/>
    <s v=""/>
    <m/>
    <s v=""/>
    <s v=""/>
    <s v=""/>
    <n v="0"/>
  </r>
  <r>
    <s v=""/>
    <s v="40101001"/>
    <s v="2018000338"/>
    <x v="31"/>
    <d v="2020-10-18T00:00:00"/>
    <d v="2020-10-22T00:00:00"/>
    <s v="RV"/>
    <s v="USD"/>
    <n v="-785.34"/>
    <s v="83.95000"/>
    <s v="BDT"/>
    <n v="-65929.289999999994"/>
    <n v="-785.34"/>
    <s v="785.34_1"/>
    <s v=""/>
    <s v="C3131UQ20SYD0982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1480"/>
    <x v="152"/>
    <d v="2021-06-07T00:00:00"/>
    <d v="2021-06-12T00:00:00"/>
    <s v="RV"/>
    <s v="USD"/>
    <n v="-782.94"/>
    <s v="83.95001"/>
    <s v="BDT"/>
    <n v="-65727.820000000007"/>
    <n v="-782.94"/>
    <s v="782.94_1"/>
    <s v=""/>
    <s v="C3308UQ21TOR0666"/>
    <s v="20210607"/>
    <s v=""/>
    <s v=""/>
    <s v="0"/>
    <s v=""/>
    <s v=""/>
    <s v=""/>
    <s v=""/>
    <s v="2010100001"/>
    <s v=""/>
    <m/>
    <s v=""/>
    <s v=""/>
    <s v=""/>
    <n v="0"/>
  </r>
  <r>
    <s v=""/>
    <s v="40101001"/>
    <s v="2018001581"/>
    <x v="247"/>
    <d v="2021-06-22T00:00:00"/>
    <d v="2021-06-24T00:00:00"/>
    <s v="RV"/>
    <s v="USD"/>
    <n v="-775.53"/>
    <s v="83.95000"/>
    <s v="BDT"/>
    <n v="-65105.74"/>
    <n v="-775.53"/>
    <s v="775.53_1"/>
    <s v=""/>
    <s v="C3343UQ21OSA0815"/>
    <s v="20210622"/>
    <s v=""/>
    <s v=""/>
    <s v="0"/>
    <s v=""/>
    <s v=""/>
    <s v=""/>
    <s v=""/>
    <s v="2010100001"/>
    <s v=""/>
    <m/>
    <s v=""/>
    <s v=""/>
    <s v=""/>
    <n v="0"/>
  </r>
  <r>
    <s v=""/>
    <s v="40101012"/>
    <s v="2008000033"/>
    <x v="215"/>
    <d v="2020-08-31T00:00:00"/>
    <d v="2020-09-08T00:00:00"/>
    <s v="DR"/>
    <s v="USD"/>
    <n v="-770"/>
    <s v="83.95000"/>
    <s v="BDT"/>
    <n v="-64641.5"/>
    <n v="-770"/>
    <s v="770_1"/>
    <s v=""/>
    <s v="CIPL-MSGL-208-20"/>
    <s v="CIPL-MSGL-208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08000240"/>
    <x v="194"/>
    <d v="2021-05-21T00:00:00"/>
    <d v="2021-05-30T00:00:00"/>
    <s v="DR"/>
    <s v="USD"/>
    <n v="-766.92"/>
    <s v="83.94999"/>
    <s v="BDT"/>
    <n v="-64382.93"/>
    <n v="-766.92"/>
    <s v="766.92_1"/>
    <s v=""/>
    <s v="SC3308UQ21JP081"/>
    <s v="SC3308UQ21JP08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207"/>
    <x v="107"/>
    <d v="2021-04-13T00:00:00"/>
    <d v="2021-04-20T00:00:00"/>
    <s v="RV"/>
    <s v="USD"/>
    <n v="-766.25"/>
    <s v="83.95000"/>
    <s v="BDT"/>
    <n v="-64326.69"/>
    <n v="-766.25"/>
    <s v="766.25_1"/>
    <s v=""/>
    <s v="C3177AMZLB040721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1012"/>
    <x v="231"/>
    <d v="2021-02-22T00:00:00"/>
    <d v="2021-03-02T00:00:00"/>
    <s v="RV"/>
    <s v="USD"/>
    <n v="-765.88"/>
    <s v="83.95001"/>
    <s v="BDT"/>
    <n v="-64295.63"/>
    <n v="-765.88"/>
    <s v="765.88_1"/>
    <s v=""/>
    <s v="C3248LVPE0134-21"/>
    <s v="20210222"/>
    <s v=""/>
    <s v=""/>
    <s v="0"/>
    <s v=""/>
    <s v=""/>
    <s v=""/>
    <s v=""/>
    <s v="2010100001"/>
    <s v=""/>
    <m/>
    <s v=""/>
    <s v=""/>
    <s v=""/>
    <n v="0"/>
  </r>
  <r>
    <s v=""/>
    <s v="40101001"/>
    <s v="2018001223"/>
    <x v="107"/>
    <d v="2021-04-13T00:00:00"/>
    <d v="2021-04-22T00:00:00"/>
    <s v="RV"/>
    <s v="USD"/>
    <n v="-754.92"/>
    <s v="83.94999"/>
    <s v="BDT"/>
    <n v="-63375.53"/>
    <n v="-754.92"/>
    <s v="754.92_1"/>
    <s v=""/>
    <s v="C3344UQ21NAG0453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0012"/>
    <x v="210"/>
    <d v="2020-07-08T00:00:00"/>
    <d v="2020-07-13T00:00:00"/>
    <s v="RV"/>
    <s v="USD"/>
    <n v="-752.78"/>
    <s v="83.95001"/>
    <s v="BDT"/>
    <n v="-63195.89"/>
    <n v="-752.78"/>
    <s v="752.78_1"/>
    <s v=""/>
    <s v="C3093UQ20IN0599"/>
    <s v="20200708"/>
    <s v=""/>
    <s v=""/>
    <s v="0"/>
    <s v=""/>
    <s v=""/>
    <s v=""/>
    <s v=""/>
    <s v="2010100001"/>
    <s v=""/>
    <m/>
    <s v=""/>
    <s v=""/>
    <s v=""/>
    <n v="0"/>
  </r>
  <r>
    <s v=""/>
    <s v="40101001"/>
    <s v="2008000267"/>
    <x v="205"/>
    <d v="2021-05-28T00:00:00"/>
    <d v="2021-06-02T00:00:00"/>
    <s v="DR"/>
    <s v="USD"/>
    <n v="-746"/>
    <s v="83.95000"/>
    <s v="BDT"/>
    <n v="-62626.7"/>
    <n v="-746"/>
    <s v="746_1"/>
    <s v=""/>
    <s v="SC3327LVBE04721"/>
    <s v="SC3327LVBE047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095"/>
    <x v="53"/>
    <d v="2020-07-22T00:00:00"/>
    <d v="2020-08-06T00:00:00"/>
    <s v="RV"/>
    <s v="USD"/>
    <n v="-745.43"/>
    <s v="83.95000"/>
    <s v="BDT"/>
    <n v="-62578.85"/>
    <n v="-745.43"/>
    <s v="745.43_1"/>
    <s v=""/>
    <s v="C3131UQ20YAN0664"/>
    <s v="20200722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738.67"/>
    <s v="83.95000"/>
    <s v="BDT"/>
    <n v="-62011.35"/>
    <n v="-738.67"/>
    <s v="738.67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265"/>
    <x v="192"/>
    <d v="2021-04-25T00:00:00"/>
    <d v="2021-04-29T00:00:00"/>
    <s v="RV"/>
    <s v="USD"/>
    <n v="-731.59"/>
    <s v="83.95000"/>
    <s v="BDT"/>
    <n v="-61416.98"/>
    <n v="-731.59"/>
    <s v="731.59_1"/>
    <s v=""/>
    <s v="C3308UQ21TOR0501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1265"/>
    <x v="192"/>
    <d v="2021-04-25T00:00:00"/>
    <d v="2021-04-29T00:00:00"/>
    <s v="RV"/>
    <s v="USD"/>
    <n v="-731.59"/>
    <s v="83.95000"/>
    <s v="BDT"/>
    <n v="-61416.98"/>
    <n v="-731.59"/>
    <s v="731.59_2"/>
    <s v=""/>
    <s v="C3308UQ21TOR0501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1372"/>
    <x v="20"/>
    <d v="2021-05-14T00:00:00"/>
    <d v="2021-05-20T00:00:00"/>
    <s v="RV"/>
    <s v="USD"/>
    <n v="-731.53"/>
    <s v="83.95000"/>
    <s v="BDT"/>
    <n v="-61411.94"/>
    <n v="-731.53"/>
    <s v="731.53_1"/>
    <s v=""/>
    <s v="C3316UQ21OSA0632"/>
    <s v="20210514"/>
    <s v=""/>
    <s v=""/>
    <s v="0"/>
    <s v=""/>
    <s v=""/>
    <s v=""/>
    <s v=""/>
    <s v="2010100001"/>
    <s v=""/>
    <m/>
    <s v=""/>
    <s v=""/>
    <s v=""/>
    <n v="0"/>
  </r>
  <r>
    <s v=""/>
    <s v="40101001"/>
    <s v="2018001579"/>
    <x v="247"/>
    <d v="2021-06-22T00:00:00"/>
    <d v="2021-06-24T00:00:00"/>
    <s v="RV"/>
    <s v="USD"/>
    <n v="-729.91"/>
    <s v="83.94999"/>
    <s v="BDT"/>
    <n v="-61275.94"/>
    <n v="-729.91"/>
    <s v="729.91_1"/>
    <s v=""/>
    <s v="C3343UQ21NAG0811"/>
    <s v="20210622"/>
    <s v=""/>
    <s v=""/>
    <s v="0"/>
    <s v=""/>
    <s v=""/>
    <s v=""/>
    <s v=""/>
    <s v="2010100001"/>
    <s v=""/>
    <m/>
    <s v=""/>
    <s v=""/>
    <s v=""/>
    <n v="0"/>
  </r>
  <r>
    <s v=""/>
    <s v="40101011"/>
    <s v="2008000091"/>
    <x v="27"/>
    <d v="2020-11-30T00:00:00"/>
    <d v="2020-12-06T00:00:00"/>
    <s v="DR"/>
    <s v="USD"/>
    <n v="-728.8"/>
    <s v="83.95000"/>
    <s v="BDT"/>
    <n v="-61182.76"/>
    <n v="-728.8"/>
    <s v="728.8_1"/>
    <s v=""/>
    <s v="CIP-EG2-0061-20"/>
    <s v="CIP-EG2-0061-20"/>
    <s v="Inter-Company wash sales to EGMC-DEPZ"/>
    <s v=""/>
    <s v="0"/>
    <s v="Intercompany Wash Sales"/>
    <s v=""/>
    <s v=""/>
    <s v=""/>
    <s v="2010200001"/>
    <s v=""/>
    <m/>
    <s v=""/>
    <s v=""/>
    <s v=""/>
    <n v="0"/>
  </r>
  <r>
    <s v=""/>
    <s v="40101001"/>
    <s v="2018000914"/>
    <x v="208"/>
    <d v="2021-02-04T00:00:00"/>
    <d v="2021-02-10T00:00:00"/>
    <s v="RV"/>
    <s v="USD"/>
    <n v="-722.51"/>
    <s v="83.94999"/>
    <s v="BDT"/>
    <n v="-60654.71"/>
    <n v="-722.51"/>
    <s v="722.51_1"/>
    <s v=""/>
    <s v="C3272UQ21TOM0113"/>
    <s v="20210204"/>
    <s v=""/>
    <s v=""/>
    <s v="0"/>
    <s v=""/>
    <s v=""/>
    <s v=""/>
    <s v=""/>
    <s v="2010100001"/>
    <s v=""/>
    <m/>
    <s v=""/>
    <s v=""/>
    <s v=""/>
    <n v="0"/>
  </r>
  <r>
    <s v=""/>
    <s v="40101001"/>
    <s v="2018001072"/>
    <x v="228"/>
    <d v="2021-03-12T00:00:00"/>
    <d v="2021-03-17T00:00:00"/>
    <s v="RV"/>
    <s v="USD"/>
    <n v="-707.28"/>
    <s v="83.95001"/>
    <s v="BDT"/>
    <n v="-59376.160000000003"/>
    <n v="-707.28"/>
    <s v="707.28_1"/>
    <s v=""/>
    <s v="C3263LVUS0278-21"/>
    <s v="20210312"/>
    <s v=""/>
    <s v=""/>
    <s v="0"/>
    <s v=""/>
    <s v=""/>
    <s v=""/>
    <s v=""/>
    <s v="2010100001"/>
    <s v=""/>
    <m/>
    <s v=""/>
    <s v=""/>
    <s v=""/>
    <n v="0"/>
  </r>
  <r>
    <s v=""/>
    <s v="40101001"/>
    <s v="2018000171"/>
    <x v="131"/>
    <d v="2020-08-22T00:00:00"/>
    <d v="2020-08-27T00:00:00"/>
    <s v="RV"/>
    <s v="USD"/>
    <n v="-705.08"/>
    <s v="83.95001"/>
    <s v="BDT"/>
    <n v="-59191.47"/>
    <n v="-705.08"/>
    <s v="705.08_1"/>
    <s v=""/>
    <s v="C3150UQ20SHA0748"/>
    <s v="20200822"/>
    <s v=""/>
    <s v=""/>
    <s v="0"/>
    <s v=""/>
    <s v=""/>
    <s v=""/>
    <s v=""/>
    <s v="2010100001"/>
    <s v=""/>
    <m/>
    <s v=""/>
    <s v=""/>
    <s v=""/>
    <n v="0"/>
  </r>
  <r>
    <s v=""/>
    <s v="40101001"/>
    <s v="2018000785"/>
    <x v="137"/>
    <d v="2021-01-05T00:00:00"/>
    <d v="2021-01-10T00:00:00"/>
    <s v="RV"/>
    <s v="USD"/>
    <n v="-689.12"/>
    <s v="83.94999"/>
    <s v="BDT"/>
    <n v="-57851.62"/>
    <n v="-689.12"/>
    <s v="689.12_1"/>
    <s v=""/>
    <s v="C3271UQ20PH1424"/>
    <s v="20210105"/>
    <s v=""/>
    <s v=""/>
    <s v="0"/>
    <s v=""/>
    <s v=""/>
    <s v=""/>
    <s v=""/>
    <s v="2010100001"/>
    <s v=""/>
    <m/>
    <s v=""/>
    <s v=""/>
    <s v=""/>
    <n v="0"/>
  </r>
  <r>
    <s v=""/>
    <s v="40101001"/>
    <s v="2018000338"/>
    <x v="31"/>
    <d v="2020-10-18T00:00:00"/>
    <d v="2020-10-22T00:00:00"/>
    <s v="RV"/>
    <s v="USD"/>
    <n v="-687.17"/>
    <s v="83.95001"/>
    <s v="BDT"/>
    <n v="-57687.93"/>
    <n v="-687.17"/>
    <s v="687.17_1"/>
    <s v=""/>
    <s v="C3131UQ20SYD0982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869"/>
    <x v="197"/>
    <d v="2021-01-23T00:00:00"/>
    <d v="2021-01-31T00:00:00"/>
    <s v="RV"/>
    <s v="USD"/>
    <n v="-682.68"/>
    <s v="83.95001"/>
    <s v="BDT"/>
    <n v="-57310.99"/>
    <n v="-682.68"/>
    <s v="682.68_1"/>
    <s v=""/>
    <s v="C3259UQ21YOK0077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1053"/>
    <x v="122"/>
    <d v="2021-03-04T00:00:00"/>
    <d v="2021-03-13T00:00:00"/>
    <s v="RV"/>
    <s v="USD"/>
    <n v="-679.9"/>
    <s v="83.95001"/>
    <s v="BDT"/>
    <n v="-57077.61"/>
    <n v="-679.9"/>
    <s v="679.9_1"/>
    <s v=""/>
    <s v="C3291UQ21HNL0258"/>
    <s v="20210304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675.13"/>
    <s v="83.94999"/>
    <s v="BDT"/>
    <n v="-56677.16"/>
    <n v="-675.13"/>
    <s v="675.13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08000263"/>
    <x v="205"/>
    <d v="2021-05-28T00:00:00"/>
    <d v="2021-06-02T00:00:00"/>
    <s v="DR"/>
    <s v="USD"/>
    <n v="-675"/>
    <s v="83.95000"/>
    <s v="BDT"/>
    <n v="-56666.25"/>
    <n v="-675"/>
    <s v="675_1"/>
    <s v=""/>
    <s v="SC3327LVUS09821"/>
    <s v="SC3327LVUS09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714"/>
    <x v="155"/>
    <d v="2020-12-17T00:00:00"/>
    <d v="2020-12-31T00:00:00"/>
    <s v="RV"/>
    <s v="USD"/>
    <n v="-665.75"/>
    <s v="83.95000"/>
    <s v="BDT"/>
    <n v="-55889.71"/>
    <n v="-665.75"/>
    <s v="665.75_1"/>
    <s v=""/>
    <s v="C3247UQ20VAN1179"/>
    <s v="20201217"/>
    <s v=""/>
    <s v=""/>
    <s v="0"/>
    <s v=""/>
    <s v=""/>
    <s v=""/>
    <s v=""/>
    <s v="2010100001"/>
    <s v=""/>
    <m/>
    <s v=""/>
    <s v=""/>
    <s v=""/>
    <n v="0"/>
  </r>
  <r>
    <s v=""/>
    <s v="40101001"/>
    <s v="2018001297"/>
    <x v="175"/>
    <d v="2021-04-30T00:00:00"/>
    <d v="2021-05-07T00:00:00"/>
    <s v="RV"/>
    <s v="USD"/>
    <n v="-665.75"/>
    <s v="83.95000"/>
    <s v="BDT"/>
    <n v="-55889.71"/>
    <n v="-665.75"/>
    <s v="665.75_2"/>
    <s v=""/>
    <s v="C3247UQ21EU0515"/>
    <s v="20210430"/>
    <s v=""/>
    <s v=""/>
    <s v="0"/>
    <s v=""/>
    <s v=""/>
    <s v=""/>
    <s v=""/>
    <s v="2010100001"/>
    <s v=""/>
    <m/>
    <s v=""/>
    <s v=""/>
    <s v=""/>
    <n v="0"/>
  </r>
  <r>
    <s v=""/>
    <s v="40101001"/>
    <s v="2018000768"/>
    <x v="224"/>
    <d v="2020-12-30T00:00:00"/>
    <d v="2021-01-06T00:00:00"/>
    <s v="RV"/>
    <s v="USD"/>
    <n v="-660.83"/>
    <s v="83.95000"/>
    <s v="BDT"/>
    <n v="-55476.68"/>
    <n v="-660.83"/>
    <s v="660.83_1"/>
    <s v=""/>
    <s v="C3149LVUS139020"/>
    <s v="20201230"/>
    <s v=""/>
    <s v=""/>
    <s v="0"/>
    <s v=""/>
    <s v=""/>
    <s v=""/>
    <s v=""/>
    <s v="2010100001"/>
    <s v=""/>
    <m/>
    <s v=""/>
    <s v=""/>
    <s v=""/>
    <n v="0"/>
  </r>
  <r>
    <s v=""/>
    <s v="40101001"/>
    <s v="2018000535"/>
    <x v="6"/>
    <d v="2020-11-16T00:00:00"/>
    <d v="2020-11-26T00:00:00"/>
    <s v="RV"/>
    <s v="USD"/>
    <n v="-654.95000000000005"/>
    <s v="83.95000"/>
    <s v="BDT"/>
    <n v="-54983.05"/>
    <n v="-654.95000000000005"/>
    <s v="654.95_1"/>
    <s v=""/>
    <s v="C3205UQ20HNL0911"/>
    <s v="20201116"/>
    <s v=""/>
    <s v=""/>
    <s v="0"/>
    <s v=""/>
    <s v=""/>
    <s v=""/>
    <s v=""/>
    <s v="2010100001"/>
    <s v=""/>
    <m/>
    <s v=""/>
    <s v=""/>
    <s v=""/>
    <n v="0"/>
  </r>
  <r>
    <s v=""/>
    <s v="40101012"/>
    <s v="2008000213"/>
    <x v="175"/>
    <d v="2021-04-30T00:00:00"/>
    <d v="2021-05-06T00:00:00"/>
    <s v="DR"/>
    <s v="USD"/>
    <n v="-652.16999999999996"/>
    <s v="83.95000"/>
    <s v="BDT"/>
    <n v="-54749.67"/>
    <n v="-652.16999999999996"/>
    <s v="652.17_1"/>
    <s v=""/>
    <s v="CIPL-MSFL-229-21"/>
    <s v="CIPL-MSFL-229-21"/>
    <s v="N.INT.COM WASH SALES TO MASCOT GARMENTS LTD"/>
    <s v=""/>
    <s v="0"/>
    <s v="N.INTER COMPANY WASH SALE"/>
    <s v=""/>
    <s v=""/>
    <s v=""/>
    <s v=""/>
    <s v=""/>
    <m/>
    <s v=""/>
    <s v=""/>
    <s v=""/>
    <n v="0"/>
  </r>
  <r>
    <s v=""/>
    <s v="40101012"/>
    <s v="2008000031"/>
    <x v="215"/>
    <d v="2020-08-31T00:00:00"/>
    <d v="2020-09-08T00:00:00"/>
    <s v="DR"/>
    <s v="USD"/>
    <n v="-644.1"/>
    <s v="83.95001"/>
    <s v="BDT"/>
    <n v="-54072.2"/>
    <n v="-644.1"/>
    <s v="644.1_1"/>
    <s v=""/>
    <s v="CIPL-MSGL-206-20"/>
    <s v="CIPL-MSGL-206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1610"/>
    <x v="195"/>
    <d v="2021-06-28T00:00:00"/>
    <d v="2021-07-01T00:00:00"/>
    <s v="RV"/>
    <s v="USD"/>
    <n v="-617.78"/>
    <s v="83.95000"/>
    <s v="BDT"/>
    <n v="-51862.63"/>
    <n v="-617.78"/>
    <s v="617.78_1"/>
    <s v=""/>
    <s v="C3329UQ21TOR0821"/>
    <s v="20210628"/>
    <s v=""/>
    <s v=""/>
    <s v="0"/>
    <s v=""/>
    <s v=""/>
    <s v=""/>
    <s v=""/>
    <s v="2010100001"/>
    <s v=""/>
    <m/>
    <s v=""/>
    <s v=""/>
    <s v=""/>
    <n v="0"/>
  </r>
  <r>
    <s v=""/>
    <s v="40101001"/>
    <s v="2008000269"/>
    <x v="28"/>
    <d v="2021-05-30T00:00:00"/>
    <d v="2021-06-02T00:00:00"/>
    <s v="DR"/>
    <s v="USD"/>
    <n v="-600"/>
    <s v="83.95000"/>
    <s v="BDT"/>
    <n v="-50370"/>
    <n v="-600"/>
    <s v="600_1"/>
    <s v=""/>
    <s v="SC3327LVUS13421"/>
    <s v="SC3327LVUS13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156"/>
    <x v="59"/>
    <d v="2020-08-17T00:00:00"/>
    <d v="2020-08-25T00:00:00"/>
    <s v="RV"/>
    <s v="USD"/>
    <n v="-594.67999999999995"/>
    <s v="83.95001"/>
    <s v="BDT"/>
    <n v="-49923.39"/>
    <n v="-594.67999999999995"/>
    <s v="594.68_1"/>
    <s v=""/>
    <s v="C3132UQ20YAN0739"/>
    <s v="20200817"/>
    <s v=""/>
    <s v=""/>
    <s v="0"/>
    <s v=""/>
    <s v=""/>
    <s v=""/>
    <s v=""/>
    <s v="2010100001"/>
    <s v=""/>
    <m/>
    <s v=""/>
    <s v=""/>
    <s v=""/>
    <n v="0"/>
  </r>
  <r>
    <s v=""/>
    <s v="40101001"/>
    <s v="2018000338"/>
    <x v="31"/>
    <d v="2020-10-18T00:00:00"/>
    <d v="2020-10-22T00:00:00"/>
    <s v="RV"/>
    <s v="USD"/>
    <n v="-589"/>
    <s v="83.95000"/>
    <s v="BDT"/>
    <n v="-49446.55"/>
    <n v="-589"/>
    <s v="589_1"/>
    <s v=""/>
    <s v="C3131UQ20SYD0982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390"/>
    <x v="235"/>
    <d v="2020-10-29T00:00:00"/>
    <d v="2020-11-02T00:00:00"/>
    <s v="RV"/>
    <s v="USD"/>
    <n v="-589"/>
    <s v="83.95000"/>
    <s v="BDT"/>
    <n v="-49446.55"/>
    <n v="-589"/>
    <s v="589_2"/>
    <s v=""/>
    <s v="C3131UQ20MEL0980"/>
    <s v="20201029"/>
    <s v=""/>
    <s v=""/>
    <s v="0"/>
    <s v=""/>
    <s v=""/>
    <s v=""/>
    <s v=""/>
    <s v="2010100001"/>
    <s v=""/>
    <m/>
    <s v=""/>
    <s v=""/>
    <s v=""/>
    <n v="0"/>
  </r>
  <r>
    <s v=""/>
    <s v="40101001"/>
    <s v="2018001072"/>
    <x v="228"/>
    <d v="2021-03-12T00:00:00"/>
    <d v="2021-03-17T00:00:00"/>
    <s v="RV"/>
    <s v="USD"/>
    <n v="-583.51"/>
    <s v="83.94999"/>
    <s v="BDT"/>
    <n v="-48985.66"/>
    <n v="-583.51"/>
    <s v="583.51_1"/>
    <s v=""/>
    <s v="C3263LVUS0278-21"/>
    <s v="20210312"/>
    <s v=""/>
    <s v=""/>
    <s v="0"/>
    <s v=""/>
    <s v=""/>
    <s v=""/>
    <s v=""/>
    <s v="2010100001"/>
    <s v=""/>
    <m/>
    <s v=""/>
    <s v=""/>
    <s v=""/>
    <n v="0"/>
  </r>
  <r>
    <s v=""/>
    <s v="40101001"/>
    <s v="2018000535"/>
    <x v="6"/>
    <d v="2020-11-16T00:00:00"/>
    <d v="2020-11-26T00:00:00"/>
    <s v="RV"/>
    <s v="USD"/>
    <n v="-582.17999999999995"/>
    <s v="83.95002"/>
    <s v="BDT"/>
    <n v="-48874.02"/>
    <n v="-582.17999999999995"/>
    <s v="582.18_1"/>
    <s v=""/>
    <s v="C3205UQ20HNL0911"/>
    <s v="20201116"/>
    <s v=""/>
    <s v=""/>
    <s v="0"/>
    <s v=""/>
    <s v=""/>
    <s v=""/>
    <s v=""/>
    <s v="2010100001"/>
    <s v=""/>
    <m/>
    <s v=""/>
    <s v=""/>
    <s v=""/>
    <n v="0"/>
  </r>
  <r>
    <s v=""/>
    <s v="40101011"/>
    <s v="2008000187"/>
    <x v="158"/>
    <d v="2021-02-28T00:00:00"/>
    <d v="2021-03-07T00:00:00"/>
    <s v="DR"/>
    <s v="USD"/>
    <n v="-570.75"/>
    <s v="83.95000"/>
    <s v="BDT"/>
    <n v="-47914.46"/>
    <n v="-570.75"/>
    <s v="570.75_1"/>
    <s v=""/>
    <s v="CIPL-PGCL-0289-2"/>
    <s v="CIPL-PGCL-0289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12"/>
    <s v="2008000008"/>
    <x v="1"/>
    <d v="2020-07-30T00:00:00"/>
    <d v="2020-08-13T00:00:00"/>
    <s v="DR"/>
    <s v="USD"/>
    <n v="-562.95000000000005"/>
    <s v="83.95000"/>
    <s v="BDT"/>
    <n v="-47259.65"/>
    <n v="-562.95000000000005"/>
    <s v="562.95_1"/>
    <s v=""/>
    <s v="CIPL-MSGL-203-20"/>
    <s v="CIPL-MSGL-203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08000071"/>
    <x v="18"/>
    <d v="2020-11-05T00:00:00"/>
    <d v="2020-11-28T00:00:00"/>
    <s v="DR"/>
    <s v="USD"/>
    <n v="-549"/>
    <s v="83.95000"/>
    <s v="BDT"/>
    <n v="-46088.55"/>
    <n v="-549"/>
    <s v="549_1"/>
    <s v=""/>
    <s v="SC3216LVSG012120"/>
    <s v="SC3216LVSG0121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452"/>
    <x v="221"/>
    <d v="2020-11-06T00:00:00"/>
    <d v="2020-11-11T00:00:00"/>
    <s v="RV"/>
    <s v="USD"/>
    <n v="-547.52"/>
    <s v="83.94999"/>
    <s v="BDT"/>
    <n v="-45964.3"/>
    <n v="-547.52"/>
    <s v="547.52_1"/>
    <s v=""/>
    <s v="C3231UQ20LA1072"/>
    <s v="20201106"/>
    <s v=""/>
    <s v=""/>
    <s v="0"/>
    <s v=""/>
    <s v=""/>
    <s v=""/>
    <s v=""/>
    <s v="2010100001"/>
    <s v=""/>
    <m/>
    <s v=""/>
    <s v=""/>
    <s v=""/>
    <n v="0"/>
  </r>
  <r>
    <s v=""/>
    <s v="40101001"/>
    <s v="2018000961"/>
    <x v="132"/>
    <d v="2021-02-10T00:00:00"/>
    <d v="2021-02-16T00:00:00"/>
    <s v="RV"/>
    <s v="USD"/>
    <n v="-543.9"/>
    <s v="83.95001"/>
    <s v="BDT"/>
    <n v="-45660.41"/>
    <n v="-543.9"/>
    <s v="543.9_1"/>
    <s v=""/>
    <s v="C3291UQ21TOR0144"/>
    <s v="20210210"/>
    <s v=""/>
    <s v=""/>
    <s v="0"/>
    <s v=""/>
    <s v=""/>
    <s v=""/>
    <s v=""/>
    <s v="2010100001"/>
    <s v=""/>
    <m/>
    <s v=""/>
    <s v=""/>
    <s v=""/>
    <n v="0"/>
  </r>
  <r>
    <s v=""/>
    <s v="40101001"/>
    <s v="2018001170"/>
    <x v="189"/>
    <d v="2021-03-26T00:00:00"/>
    <d v="2021-04-04T00:00:00"/>
    <s v="RV"/>
    <s v="USD"/>
    <n v="-541.86"/>
    <s v="83.95001"/>
    <s v="BDT"/>
    <n v="-45489.15"/>
    <n v="-541.86"/>
    <s v="541.86_1"/>
    <s v=""/>
    <s v="C3173AMZPL0364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08000131"/>
    <x v="50"/>
    <d v="2020-12-06T00:00:00"/>
    <d v="2021-01-12T00:00:00"/>
    <s v="DR"/>
    <s v="USD"/>
    <n v="-540"/>
    <s v="83.95000"/>
    <s v="BDT"/>
    <n v="-45333"/>
    <n v="-540"/>
    <s v="540_1"/>
    <s v=""/>
    <s v="SC3216LVUS013120"/>
    <s v="SC3216LVUS0131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01"/>
    <x v="261"/>
    <d v="2020-07-05T00:00:00"/>
    <d v="2020-07-16T00:00:00"/>
    <s v="DR"/>
    <s v="USD"/>
    <n v="-510"/>
    <s v="83.95000"/>
    <s v="BDT"/>
    <n v="-42814.5"/>
    <n v="-510"/>
    <s v="510_1"/>
    <s v=""/>
    <s v="SC3093UQ20JP019"/>
    <s v="SC3093UQ20JP01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347"/>
    <x v="7"/>
    <d v="2020-10-19T00:00:00"/>
    <d v="2020-10-24T00:00:00"/>
    <s v="RV"/>
    <s v="USD"/>
    <n v="-501.81"/>
    <s v="83.95000"/>
    <s v="BDT"/>
    <n v="-42126.95"/>
    <n v="-501.81"/>
    <s v="501.81_1"/>
    <s v=""/>
    <s v="C03202US20-0928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08000270"/>
    <x v="28"/>
    <d v="2021-05-30T00:00:00"/>
    <d v="2021-06-02T00:00:00"/>
    <s v="DR"/>
    <s v="USD"/>
    <n v="-500"/>
    <s v="83.95000"/>
    <s v="BDT"/>
    <n v="-41975"/>
    <n v="-500"/>
    <s v="500_1"/>
    <s v=""/>
    <s v="SC3327LVUS11021"/>
    <s v="SC3327LVUS11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494.39"/>
    <s v="83.95000"/>
    <s v="BDT"/>
    <n v="-41504.04"/>
    <n v="-494.39"/>
    <s v="494.39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493.5"/>
    <s v="83.95001"/>
    <s v="BDT"/>
    <n v="-41429.33"/>
    <n v="-493.5"/>
    <s v="493.5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18000026"/>
    <x v="113"/>
    <d v="2020-07-02T00:00:00"/>
    <d v="2020-07-18T00:00:00"/>
    <s v="RV"/>
    <s v="USD"/>
    <n v="-489.22"/>
    <s v="83.95000"/>
    <s v="BDT"/>
    <n v="-41070.019999999997"/>
    <n v="-489.22"/>
    <s v="489.22_1"/>
    <s v=""/>
    <s v="C3121UQ20TOK0563"/>
    <s v="20200702"/>
    <s v=""/>
    <s v=""/>
    <s v="0"/>
    <s v=""/>
    <s v=""/>
    <s v=""/>
    <s v=""/>
    <s v="2010100001"/>
    <s v=""/>
    <m/>
    <s v=""/>
    <s v=""/>
    <s v=""/>
    <n v="0"/>
  </r>
  <r>
    <s v=""/>
    <s v="40101001"/>
    <s v="2018001428"/>
    <x v="205"/>
    <d v="2021-05-28T00:00:00"/>
    <d v="2021-06-01T00:00:00"/>
    <s v="RV"/>
    <s v="USD"/>
    <n v="-472.97"/>
    <s v="83.95000"/>
    <s v="BDT"/>
    <n v="-39705.83"/>
    <n v="-472.97"/>
    <s v="472.97_1"/>
    <s v=""/>
    <s v="C3284LVUS0716-21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18000744"/>
    <x v="69"/>
    <d v="2020-12-29T00:00:00"/>
    <d v="2021-01-03T00:00:00"/>
    <s v="RV"/>
    <s v="USD"/>
    <n v="-471.64"/>
    <s v="83.95000"/>
    <s v="BDT"/>
    <n v="-39594.18"/>
    <n v="-471.64"/>
    <s v="471.64_1"/>
    <s v=""/>
    <s v="C3234UQ20VAN1366"/>
    <s v="20201229"/>
    <s v=""/>
    <s v=""/>
    <s v="0"/>
    <s v=""/>
    <s v=""/>
    <s v=""/>
    <s v=""/>
    <s v="2010100001"/>
    <s v=""/>
    <m/>
    <s v=""/>
    <s v=""/>
    <s v=""/>
    <n v="0"/>
  </r>
  <r>
    <s v=""/>
    <s v="40101001"/>
    <s v="2018001570"/>
    <x v="104"/>
    <d v="2021-06-23T00:00:00"/>
    <d v="2021-06-24T00:00:00"/>
    <s v="RV"/>
    <s v="USD"/>
    <n v="-466.24"/>
    <s v="83.95000"/>
    <s v="BDT"/>
    <n v="-39140.85"/>
    <n v="-466.24"/>
    <s v="466.24_1"/>
    <s v=""/>
    <s v="C3270LVGR0736-21"/>
    <s v="20210623"/>
    <s v=""/>
    <s v=""/>
    <s v="0"/>
    <s v=""/>
    <s v=""/>
    <s v=""/>
    <s v=""/>
    <s v="2010100001"/>
    <s v=""/>
    <m/>
    <s v=""/>
    <s v=""/>
    <s v=""/>
    <n v="0"/>
  </r>
  <r>
    <s v=""/>
    <s v="40101001"/>
    <s v="2018000688"/>
    <x v="254"/>
    <d v="2020-12-13T00:00:00"/>
    <d v="2020-12-23T00:00:00"/>
    <s v="RV"/>
    <s v="USD"/>
    <n v="-458.71"/>
    <s v="83.94999"/>
    <s v="BDT"/>
    <n v="-38508.699999999997"/>
    <n v="-458.71"/>
    <s v="458.71_1"/>
    <s v=""/>
    <s v="C3103LVUS130220"/>
    <s v="20201213"/>
    <s v=""/>
    <s v=""/>
    <s v="0"/>
    <s v=""/>
    <s v=""/>
    <s v=""/>
    <s v=""/>
    <s v="2010100001"/>
    <s v=""/>
    <m/>
    <s v=""/>
    <s v=""/>
    <s v=""/>
    <n v="0"/>
  </r>
  <r>
    <s v=""/>
    <s v="40101001"/>
    <s v="2018000193"/>
    <x v="290"/>
    <d v="2020-09-02T00:00:00"/>
    <d v="2020-09-08T00:00:00"/>
    <s v="RV"/>
    <s v="USD"/>
    <n v="-444.53"/>
    <s v="83.94999"/>
    <s v="BDT"/>
    <n v="-37318.29"/>
    <n v="-444.53"/>
    <s v="444.53_1"/>
    <s v=""/>
    <s v="C3093UQ20HAK0786"/>
    <s v="20200902"/>
    <s v=""/>
    <s v=""/>
    <s v="0"/>
    <s v="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438.19"/>
    <s v="83.95000"/>
    <s v="BDT"/>
    <n v="-36786.050000000003"/>
    <n v="-438.19"/>
    <s v="438.19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08000109"/>
    <x v="50"/>
    <d v="2020-12-06T00:00:00"/>
    <d v="2020-12-24T00:00:00"/>
    <s v="DR"/>
    <s v="USD"/>
    <n v="-434"/>
    <s v="83.95000"/>
    <s v="BDT"/>
    <n v="-36434.300000000003"/>
    <n v="-434"/>
    <s v="434_1"/>
    <s v=""/>
    <s v="SC3216LVUS011620"/>
    <s v="SC3216LVUS0116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15"/>
    <x v="50"/>
    <d v="2020-12-06T00:00:00"/>
    <d v="2020-12-24T00:00:00"/>
    <s v="DR"/>
    <s v="USD"/>
    <n v="-434"/>
    <s v="83.95000"/>
    <s v="BDT"/>
    <n v="-36434.300000000003"/>
    <n v="-434"/>
    <s v="434_2"/>
    <s v=""/>
    <s v="SC3216LVUS012420"/>
    <s v="SC3216LVUS0124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73"/>
    <x v="18"/>
    <d v="2020-11-05T00:00:00"/>
    <d v="2020-11-28T00:00:00"/>
    <s v="DR"/>
    <s v="USD"/>
    <n v="-432"/>
    <s v="83.95000"/>
    <s v="BDT"/>
    <n v="-36266.400000000001"/>
    <n v="-432"/>
    <s v="432_1"/>
    <s v=""/>
    <s v="SC3216LVUS010020"/>
    <s v="SC3216LVUS0100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158"/>
    <x v="309"/>
    <d v="2021-03-19T00:00:00"/>
    <d v="2021-04-01T00:00:00"/>
    <s v="RV"/>
    <s v="USD"/>
    <n v="-420.46"/>
    <s v="83.95001"/>
    <s v="BDT"/>
    <n v="-35297.620000000003"/>
    <n v="-420.46"/>
    <s v="420.46_1"/>
    <s v=""/>
    <s v="C3205UQ21EU0249"/>
    <s v="20210319"/>
    <s v=""/>
    <s v=""/>
    <s v="0"/>
    <s v=""/>
    <s v=""/>
    <s v=""/>
    <s v=""/>
    <s v="2010100001"/>
    <s v=""/>
    <m/>
    <s v=""/>
    <s v=""/>
    <s v=""/>
    <n v="0"/>
  </r>
  <r>
    <s v=""/>
    <s v="40101001"/>
    <s v="2018001610"/>
    <x v="195"/>
    <d v="2021-06-28T00:00:00"/>
    <d v="2021-07-01T00:00:00"/>
    <s v="RV"/>
    <s v="USD"/>
    <n v="-409.81"/>
    <s v="83.95000"/>
    <s v="BDT"/>
    <n v="-34403.550000000003"/>
    <n v="-409.81"/>
    <s v="409.81_1"/>
    <s v=""/>
    <s v="C3329UQ21TOR0821"/>
    <s v="20210628"/>
    <s v=""/>
    <s v=""/>
    <s v="0"/>
    <s v=""/>
    <s v=""/>
    <s v=""/>
    <s v=""/>
    <s v="2010100001"/>
    <s v=""/>
    <m/>
    <s v=""/>
    <s v=""/>
    <s v=""/>
    <n v="0"/>
  </r>
  <r>
    <s v=""/>
    <s v="40101001"/>
    <s v="2018001212"/>
    <x v="297"/>
    <d v="2021-04-05T00:00:00"/>
    <d v="2021-04-20T00:00:00"/>
    <s v="RV"/>
    <s v="USD"/>
    <n v="-407.93"/>
    <s v="83.94999"/>
    <s v="BDT"/>
    <n v="-34245.72"/>
    <n v="-407.93"/>
    <s v="407.93_1"/>
    <s v=""/>
    <s v="C3291UQ21HNL0421"/>
    <s v="20210405"/>
    <s v=""/>
    <s v=""/>
    <s v="0"/>
    <s v=""/>
    <s v=""/>
    <s v=""/>
    <s v=""/>
    <s v="2010100001"/>
    <s v=""/>
    <m/>
    <s v=""/>
    <s v=""/>
    <s v=""/>
    <n v="0"/>
  </r>
  <r>
    <s v=""/>
    <s v="40101001"/>
    <s v="2018000390"/>
    <x v="235"/>
    <d v="2020-10-29T00:00:00"/>
    <d v="2020-11-02T00:00:00"/>
    <s v="RV"/>
    <s v="USD"/>
    <n v="-392.67"/>
    <s v="83.94998"/>
    <s v="BDT"/>
    <n v="-32964.639999999999"/>
    <n v="-392.67"/>
    <s v="392.67_1"/>
    <s v=""/>
    <s v="C3131UQ20MEL0980"/>
    <s v="20201029"/>
    <s v=""/>
    <s v=""/>
    <s v="0"/>
    <s v=""/>
    <s v=""/>
    <s v=""/>
    <s v=""/>
    <s v="2010100001"/>
    <s v=""/>
    <m/>
    <s v=""/>
    <s v=""/>
    <s v=""/>
    <n v="0"/>
  </r>
  <r>
    <s v=""/>
    <s v="40101001"/>
    <s v="2018000390"/>
    <x v="235"/>
    <d v="2020-10-29T00:00:00"/>
    <d v="2020-11-02T00:00:00"/>
    <s v="RV"/>
    <s v="USD"/>
    <n v="-392.67"/>
    <s v="83.95001"/>
    <s v="BDT"/>
    <n v="-32964.65"/>
    <n v="-392.67"/>
    <s v="392.67_2"/>
    <s v=""/>
    <s v="C3131UQ20MEL0980"/>
    <s v="20201029"/>
    <s v=""/>
    <s v=""/>
    <s v="0"/>
    <s v=""/>
    <s v=""/>
    <s v=""/>
    <s v=""/>
    <s v="2010100001"/>
    <s v=""/>
    <m/>
    <s v=""/>
    <s v=""/>
    <s v=""/>
    <n v="0"/>
  </r>
  <r>
    <s v=""/>
    <s v="40101012"/>
    <s v="2008000009"/>
    <x v="1"/>
    <d v="2020-07-30T00:00:00"/>
    <d v="2020-08-13T00:00:00"/>
    <s v="DR"/>
    <s v="USD"/>
    <n v="-380.99"/>
    <s v="83.95000"/>
    <s v="BDT"/>
    <n v="-31984.11"/>
    <n v="-380.99"/>
    <s v="380.99_1"/>
    <s v=""/>
    <s v="CIPL-MSGL-204-20"/>
    <s v="CIPL-MSGL-204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18000283"/>
    <x v="166"/>
    <d v="2020-09-27T00:00:00"/>
    <d v="2020-10-01T00:00:00"/>
    <s v="RV"/>
    <s v="USD"/>
    <n v="-380.77"/>
    <s v="83.95000"/>
    <s v="BDT"/>
    <n v="-31965.64"/>
    <n v="-380.77"/>
    <s v="380.77_1"/>
    <s v=""/>
    <s v="C3204UQ20EU0914"/>
    <s v="20200927"/>
    <s v=""/>
    <s v=""/>
    <s v="0"/>
    <s v=""/>
    <s v=""/>
    <s v=""/>
    <s v=""/>
    <s v="2010100001"/>
    <s v=""/>
    <m/>
    <s v=""/>
    <s v=""/>
    <s v=""/>
    <n v="0"/>
  </r>
  <r>
    <s v=""/>
    <s v="40101001"/>
    <s v="2008000081"/>
    <x v="18"/>
    <d v="2020-11-05T00:00:00"/>
    <d v="2020-11-28T00:00:00"/>
    <s v="DR"/>
    <s v="USD"/>
    <n v="-378"/>
    <s v="83.95000"/>
    <s v="BDT"/>
    <n v="-31733.1"/>
    <n v="-378"/>
    <s v="378_1"/>
    <s v=""/>
    <s v="SC3216LVPA011220"/>
    <s v="SC3216LVPA0112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08"/>
    <x v="50"/>
    <d v="2020-12-06T00:00:00"/>
    <d v="2020-12-24T00:00:00"/>
    <s v="DR"/>
    <s v="USD"/>
    <n v="-378"/>
    <s v="83.95000"/>
    <s v="BDT"/>
    <n v="-31733.1"/>
    <n v="-378"/>
    <s v="378_2"/>
    <s v=""/>
    <s v="SC3216LVUS011420"/>
    <s v="SC3216LVUS0114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864"/>
    <x v="197"/>
    <d v="2021-01-23T00:00:00"/>
    <d v="2021-01-30T00:00:00"/>
    <s v="RV"/>
    <s v="USD"/>
    <n v="-361.25"/>
    <s v="83.95001"/>
    <s v="BDT"/>
    <n v="-30326.94"/>
    <n v="-361.25"/>
    <s v="361.25_1"/>
    <s v=""/>
    <s v="C3272UQ21TOM0101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08000057"/>
    <x v="12"/>
    <d v="2020-10-10T00:00:00"/>
    <d v="2020-10-17T00:00:00"/>
    <s v="DR"/>
    <s v="USD"/>
    <n v="-340.23"/>
    <s v="83.95000"/>
    <s v="BDT"/>
    <n v="-28562.31"/>
    <n v="-340.23"/>
    <s v="340.23_1"/>
    <s v=""/>
    <s v="SC3169UQ20JP096"/>
    <s v="SC3169UQ20JP09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63"/>
    <x v="62"/>
    <d v="2021-01-18T00:00:00"/>
    <d v="2021-01-24T00:00:00"/>
    <s v="DR"/>
    <s v="USD"/>
    <n v="-340"/>
    <s v="83.95000"/>
    <s v="BDT"/>
    <n v="-28543"/>
    <n v="-340"/>
    <s v="340_1"/>
    <s v=""/>
    <s v="SC3216LVUS014220"/>
    <s v="SC3216LVUS0142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309"/>
    <x v="15"/>
    <d v="2021-05-04T00:00:00"/>
    <d v="2021-05-12T00:00:00"/>
    <s v="RV"/>
    <s v="USD"/>
    <n v="-339.71"/>
    <s v="83.94999"/>
    <s v="BDT"/>
    <n v="-28518.65"/>
    <n v="-339.71"/>
    <s v="339.71_1"/>
    <s v=""/>
    <s v="C3343UQ21KR0525"/>
    <s v="20210504"/>
    <s v=""/>
    <s v=""/>
    <s v="0"/>
    <s v=""/>
    <s v=""/>
    <s v=""/>
    <s v=""/>
    <s v="2010100001"/>
    <s v=""/>
    <m/>
    <s v=""/>
    <s v=""/>
    <s v=""/>
    <n v="0"/>
  </r>
  <r>
    <s v=""/>
    <s v="40101001"/>
    <s v="2018000272"/>
    <x v="207"/>
    <d v="2020-09-03T00:00:00"/>
    <d v="2020-09-30T00:00:00"/>
    <s v="RV"/>
    <s v="USD"/>
    <n v="-332.95"/>
    <s v="83.94999"/>
    <s v="BDT"/>
    <n v="-27951.15"/>
    <n v="-332.95"/>
    <s v="332.95_1"/>
    <s v=""/>
    <s v="C3150UQ20SHA0808"/>
    <s v="20200903"/>
    <s v=""/>
    <s v=""/>
    <s v="0"/>
    <s v=""/>
    <s v=""/>
    <s v=""/>
    <s v=""/>
    <s v="2010100001"/>
    <s v=""/>
    <m/>
    <s v=""/>
    <s v=""/>
    <s v=""/>
    <n v="0"/>
  </r>
  <r>
    <s v=""/>
    <s v="40101001"/>
    <s v="2018001187"/>
    <x v="183"/>
    <d v="2021-03-29T00:00:00"/>
    <d v="2021-04-04T00:00:00"/>
    <s v="RV"/>
    <s v="USD"/>
    <n v="-317.70999999999998"/>
    <s v="83.94999"/>
    <s v="BDT"/>
    <n v="-26671.75"/>
    <n v="-317.70999999999998"/>
    <s v="317.71_1"/>
    <s v=""/>
    <s v="C3177AMZPL0408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18000580"/>
    <x v="218"/>
    <d v="2020-11-29T00:00:00"/>
    <d v="2020-12-01T00:00:00"/>
    <s v="RV"/>
    <s v="USD"/>
    <n v="-305.81"/>
    <s v="83.95000"/>
    <s v="BDT"/>
    <n v="-25672.75"/>
    <n v="-305.81"/>
    <s v="305.81_1"/>
    <s v=""/>
    <s v="C3147LVUS124820"/>
    <s v="20201129"/>
    <s v=""/>
    <s v=""/>
    <s v="0"/>
    <s v=""/>
    <s v=""/>
    <s v=""/>
    <s v=""/>
    <s v="2010100001"/>
    <s v=""/>
    <m/>
    <s v=""/>
    <s v=""/>
    <s v=""/>
    <n v="0"/>
  </r>
  <r>
    <s v=""/>
    <s v="40101001"/>
    <s v="2018000131"/>
    <x v="147"/>
    <d v="2020-07-31T00:00:00"/>
    <d v="2020-08-14T00:00:00"/>
    <s v="RV"/>
    <s v="USD"/>
    <n v="-302.3"/>
    <s v="83.95002"/>
    <s v="BDT"/>
    <n v="-25378.09"/>
    <n v="-302.3"/>
    <s v="302.3_1"/>
    <s v=""/>
    <s v="C3120UQ20YAN0720"/>
    <s v="20200731"/>
    <s v=""/>
    <s v=""/>
    <s v="0"/>
    <s v=""/>
    <s v=""/>
    <s v=""/>
    <s v=""/>
    <s v="2010100001"/>
    <s v=""/>
    <m/>
    <s v=""/>
    <s v=""/>
    <s v=""/>
    <n v="0"/>
  </r>
  <r>
    <s v=""/>
    <s v="40101001"/>
    <s v="2018000736"/>
    <x v="178"/>
    <d v="2020-12-23T00:00:00"/>
    <d v="2021-01-02T00:00:00"/>
    <s v="RV"/>
    <s v="USD"/>
    <n v="-293.17"/>
    <s v="83.94999"/>
    <s v="BDT"/>
    <n v="-24611.62"/>
    <n v="-293.17"/>
    <s v="293.17_1"/>
    <s v=""/>
    <s v="C3233UQ20KR1357"/>
    <s v="20201223"/>
    <s v=""/>
    <s v=""/>
    <s v="0"/>
    <s v=""/>
    <s v=""/>
    <s v=""/>
    <s v=""/>
    <s v="2010100001"/>
    <s v=""/>
    <m/>
    <s v=""/>
    <s v=""/>
    <s v=""/>
    <n v="0"/>
  </r>
  <r>
    <s v=""/>
    <s v="40101001"/>
    <s v="2008000231"/>
    <x v="15"/>
    <d v="2021-05-04T00:00:00"/>
    <d v="2021-05-23T00:00:00"/>
    <s v="DR"/>
    <s v="USD"/>
    <n v="-286.41000000000003"/>
    <s v="83.95000"/>
    <s v="BDT"/>
    <n v="-24044.12"/>
    <n v="-286.41000000000003"/>
    <s v="286.41_1"/>
    <s v=""/>
    <s v="SC3308UQ21JP027"/>
    <s v="SC3308UQ21JP02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790"/>
    <x v="137"/>
    <d v="2021-01-05T00:00:00"/>
    <d v="2021-01-12T00:00:00"/>
    <s v="RV"/>
    <s v="USD"/>
    <n v="-282.98"/>
    <s v="83.95000"/>
    <s v="BDT"/>
    <n v="-23756.17"/>
    <n v="-282.98"/>
    <s v="282.98_1"/>
    <s v=""/>
    <s v="C3168UQ20LA1426"/>
    <s v="20210105"/>
    <s v=""/>
    <s v=""/>
    <s v="0"/>
    <s v=""/>
    <s v=""/>
    <s v=""/>
    <s v=""/>
    <s v="2010100001"/>
    <s v=""/>
    <m/>
    <s v=""/>
    <s v=""/>
    <s v=""/>
    <n v="0"/>
  </r>
  <r>
    <s v=""/>
    <s v="40101001"/>
    <s v="2018000778"/>
    <x v="245"/>
    <d v="2020-12-19T00:00:00"/>
    <d v="2021-01-06T00:00:00"/>
    <s v="RV"/>
    <s v="USD"/>
    <n v="-278.18"/>
    <s v="83.95000"/>
    <s v="BDT"/>
    <n v="-23353.21"/>
    <n v="-278.18"/>
    <s v="278.18_1"/>
    <s v=""/>
    <s v="C3168UQ20TOM1256"/>
    <s v="20201219"/>
    <s v=""/>
    <s v=""/>
    <s v="0"/>
    <s v=""/>
    <s v=""/>
    <s v=""/>
    <s v=""/>
    <s v="2010100001"/>
    <s v=""/>
    <m/>
    <s v=""/>
    <s v=""/>
    <s v=""/>
    <n v="0"/>
  </r>
  <r>
    <s v=""/>
    <s v="40101001"/>
    <s v="2008000185"/>
    <x v="188"/>
    <d v="2021-01-01T00:00:00"/>
    <d v="2021-02-08T00:00:00"/>
    <s v="DR"/>
    <s v="USD"/>
    <n v="-274"/>
    <s v="83.95000"/>
    <s v="BDT"/>
    <n v="-23002.3"/>
    <n v="-274"/>
    <s v="274_1"/>
    <s v=""/>
    <s v="SC3216LVMX012520"/>
    <s v="SC3216LVMX0125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188"/>
    <x v="183"/>
    <d v="2021-03-29T00:00:00"/>
    <d v="2021-04-04T00:00:00"/>
    <s v="RV"/>
    <s v="USD"/>
    <n v="-271.31"/>
    <s v="83.94998"/>
    <s v="BDT"/>
    <n v="-22776.47"/>
    <n v="-271.31"/>
    <s v="271.31_1"/>
    <s v=""/>
    <s v="C3177AMZPL037721"/>
    <s v="20210329"/>
    <s v=""/>
    <s v=""/>
    <s v="0"/>
    <s v=""/>
    <s v=""/>
    <s v=""/>
    <s v=""/>
    <s v="2010100001"/>
    <s v=""/>
    <m/>
    <s v=""/>
    <s v=""/>
    <s v=""/>
    <n v="0"/>
  </r>
  <r>
    <s v=""/>
    <s v="40101001"/>
    <s v="2008000120"/>
    <x v="300"/>
    <d v="2020-12-26T00:00:00"/>
    <d v="2020-12-31T00:00:00"/>
    <s v="DR"/>
    <s v="USD"/>
    <n v="-260"/>
    <s v="83.95000"/>
    <s v="BDT"/>
    <n v="-21827"/>
    <n v="-260"/>
    <s v="260_1"/>
    <s v=""/>
    <s v="SC3216LVUS016120"/>
    <s v="SC3216LVUS0161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342"/>
    <x v="31"/>
    <d v="2020-10-18T00:00:00"/>
    <d v="2020-10-22T00:00:00"/>
    <s v="RV"/>
    <s v="USD"/>
    <n v="-250.91"/>
    <s v="83.94998"/>
    <s v="BDT"/>
    <n v="-21063.89"/>
    <n v="-250.91"/>
    <s v="250.91_1"/>
    <s v=""/>
    <s v="C03202US20-0966"/>
    <s v="20201018"/>
    <s v=""/>
    <s v=""/>
    <s v="0"/>
    <s v=""/>
    <s v=""/>
    <s v=""/>
    <s v=""/>
    <s v="2010100001"/>
    <s v=""/>
    <m/>
    <s v=""/>
    <s v=""/>
    <s v=""/>
    <n v="0"/>
  </r>
  <r>
    <s v=""/>
    <s v="40101001"/>
    <s v="2018000392"/>
    <x v="7"/>
    <d v="2020-10-19T00:00:00"/>
    <d v="2020-11-02T00:00:00"/>
    <s v="RV"/>
    <s v="USD"/>
    <n v="-250.91"/>
    <s v="83.94998"/>
    <s v="BDT"/>
    <n v="-21063.89"/>
    <n v="-250.91"/>
    <s v="250.91_2"/>
    <s v=""/>
    <s v="C03202US20-0965"/>
    <s v="20201019"/>
    <s v=""/>
    <s v=""/>
    <s v="0"/>
    <s v=""/>
    <s v=""/>
    <s v=""/>
    <s v=""/>
    <s v="2010100001"/>
    <s v=""/>
    <m/>
    <s v=""/>
    <s v=""/>
    <s v=""/>
    <n v="0"/>
  </r>
  <r>
    <s v=""/>
    <s v="40101001"/>
    <s v="2018000848"/>
    <x v="258"/>
    <d v="2021-01-22T00:00:00"/>
    <d v="2021-01-28T00:00:00"/>
    <s v="RV"/>
    <s v="USD"/>
    <n v="-249.27"/>
    <s v="83.95001"/>
    <s v="BDT"/>
    <n v="-20926.22"/>
    <n v="-249.27"/>
    <s v="249.27_1"/>
    <s v=""/>
    <s v="C3290UQ21KR0062"/>
    <s v="20210122"/>
    <s v=""/>
    <s v=""/>
    <s v="0"/>
    <s v=""/>
    <s v=""/>
    <s v=""/>
    <s v=""/>
    <s v="2010100001"/>
    <s v=""/>
    <m/>
    <s v=""/>
    <s v=""/>
    <s v=""/>
    <n v="0"/>
  </r>
  <r>
    <s v=""/>
    <s v="40101001"/>
    <s v="2008000013"/>
    <x v="60"/>
    <d v="2020-08-25T00:00:00"/>
    <d v="2020-08-29T00:00:00"/>
    <s v="DR"/>
    <s v="USD"/>
    <n v="-237.4"/>
    <s v="83.95000"/>
    <s v="BDT"/>
    <n v="-19929.73"/>
    <n v="-237.4"/>
    <s v="237.4_1"/>
    <s v=""/>
    <s v="SC3088UQ20JP63"/>
    <s v="SC3088UQ20JP6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820"/>
    <x v="148"/>
    <d v="2021-01-15T00:00:00"/>
    <d v="2021-01-21T00:00:00"/>
    <s v="RV"/>
    <s v="USD"/>
    <n v="-229.66"/>
    <s v="83.94997"/>
    <s v="BDT"/>
    <n v="-19279.95"/>
    <n v="-229.66"/>
    <s v="229.66_1"/>
    <s v=""/>
    <s v="C3253UQ21OSA0020"/>
    <s v="20210115"/>
    <s v=""/>
    <s v=""/>
    <s v="0"/>
    <s v=""/>
    <s v=""/>
    <s v=""/>
    <s v=""/>
    <s v="2010100001"/>
    <s v=""/>
    <m/>
    <s v=""/>
    <s v=""/>
    <s v=""/>
    <n v="0"/>
  </r>
  <r>
    <s v=""/>
    <s v="40101001"/>
    <s v="2018000856"/>
    <x v="197"/>
    <d v="2021-01-23T00:00:00"/>
    <d v="2021-01-30T00:00:00"/>
    <s v="RV"/>
    <s v="USD"/>
    <n v="-227.56"/>
    <s v="83.94999"/>
    <s v="BDT"/>
    <n v="-19103.66"/>
    <n v="-227.56"/>
    <s v="227.56_1"/>
    <s v=""/>
    <s v="C3259UQ21HAK0078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856"/>
    <x v="197"/>
    <d v="2021-01-23T00:00:00"/>
    <d v="2021-01-30T00:00:00"/>
    <s v="RV"/>
    <s v="USD"/>
    <n v="-227.56"/>
    <s v="83.94999"/>
    <s v="BDT"/>
    <n v="-19103.66"/>
    <n v="-227.56"/>
    <s v="227.56_2"/>
    <s v=""/>
    <s v="C3259UQ21HAK0078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18000860"/>
    <x v="197"/>
    <d v="2021-01-23T00:00:00"/>
    <d v="2021-01-30T00:00:00"/>
    <s v="RV"/>
    <s v="USD"/>
    <n v="-227.56"/>
    <s v="83.94999"/>
    <s v="BDT"/>
    <n v="-19103.66"/>
    <n v="-227.56"/>
    <s v="227.56_3"/>
    <s v=""/>
    <s v="C3259UQ21TOM0080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08000000"/>
    <x v="261"/>
    <d v="2020-07-05T00:00:00"/>
    <d v="2020-07-16T00:00:00"/>
    <s v="DR"/>
    <s v="USD"/>
    <n v="-225"/>
    <s v="83.95000"/>
    <s v="BDT"/>
    <n v="-18888.75"/>
    <n v="-225"/>
    <s v="225_1"/>
    <s v=""/>
    <s v="SC3088UQ20JP031"/>
    <s v="SC3088UQ20JP03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54"/>
    <x v="12"/>
    <d v="2020-10-10T00:00:00"/>
    <d v="2020-10-17T00:00:00"/>
    <s v="DR"/>
    <s v="USD"/>
    <n v="-222.3"/>
    <s v="83.95002"/>
    <s v="BDT"/>
    <n v="-18662.09"/>
    <n v="-222.3"/>
    <s v="222.3_1"/>
    <s v=""/>
    <s v="SC3168UQ20JP093"/>
    <s v="SC3168UQ20JP09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264"/>
    <x v="192"/>
    <d v="2021-04-25T00:00:00"/>
    <d v="2021-04-29T00:00:00"/>
    <s v="RV"/>
    <s v="USD"/>
    <n v="-216.27"/>
    <s v="83.94997"/>
    <s v="BDT"/>
    <n v="-18155.86"/>
    <n v="-216.27"/>
    <s v="216.27_1"/>
    <s v=""/>
    <s v="C3309UQ21TOR0495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1116"/>
    <x v="177"/>
    <d v="2021-03-23T00:00:00"/>
    <d v="2021-03-28T00:00:00"/>
    <s v="RV"/>
    <s v="USD"/>
    <n v="-207.92"/>
    <s v="83.94998"/>
    <s v="BDT"/>
    <n v="-17454.88"/>
    <n v="-207.92"/>
    <s v="207.92_1"/>
    <s v=""/>
    <s v="C3173AMZLB0363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18000822"/>
    <x v="291"/>
    <d v="2021-01-11T00:00:00"/>
    <d v="2021-01-23T00:00:00"/>
    <s v="RV"/>
    <s v="USD"/>
    <n v="-206.93"/>
    <s v="83.95003"/>
    <s v="BDT"/>
    <n v="-17371.78"/>
    <n v="-206.93"/>
    <s v="206.93_1"/>
    <s v=""/>
    <s v="C3247UQ20HNL1279"/>
    <s v="20210111"/>
    <s v=""/>
    <s v=""/>
    <s v="0"/>
    <s v=""/>
    <s v=""/>
    <s v=""/>
    <s v=""/>
    <s v="2010100001"/>
    <s v=""/>
    <m/>
    <s v=""/>
    <s v=""/>
    <s v=""/>
    <n v="0"/>
  </r>
  <r>
    <s v=""/>
    <s v="40101001"/>
    <s v="2018000822"/>
    <x v="291"/>
    <d v="2021-01-11T00:00:00"/>
    <d v="2021-01-23T00:00:00"/>
    <s v="RV"/>
    <s v="USD"/>
    <n v="-206.93"/>
    <s v="83.94998"/>
    <s v="BDT"/>
    <n v="-17371.77"/>
    <n v="-206.93"/>
    <s v="206.93_2"/>
    <s v=""/>
    <s v="C3247UQ20HNL1279"/>
    <s v="20210111"/>
    <s v=""/>
    <s v=""/>
    <s v="0"/>
    <s v=""/>
    <s v=""/>
    <s v=""/>
    <s v=""/>
    <s v="2010100001"/>
    <s v=""/>
    <m/>
    <s v=""/>
    <s v=""/>
    <s v=""/>
    <n v="0"/>
  </r>
  <r>
    <s v=""/>
    <s v="40101001"/>
    <s v="2018001298"/>
    <x v="319"/>
    <d v="2021-04-29T00:00:00"/>
    <d v="2021-05-08T00:00:00"/>
    <s v="RV"/>
    <s v="USD"/>
    <n v="-206.93"/>
    <s v="83.94998"/>
    <s v="BDT"/>
    <n v="-17371.77"/>
    <n v="-206.93"/>
    <s v="206.93_3"/>
    <s v=""/>
    <s v="C3247UQ21LA0517"/>
    <s v="20210429"/>
    <s v=""/>
    <s v=""/>
    <s v="0"/>
    <s v=""/>
    <s v=""/>
    <s v=""/>
    <s v=""/>
    <s v="2010100001"/>
    <s v=""/>
    <m/>
    <s v=""/>
    <s v=""/>
    <s v=""/>
    <n v="0"/>
  </r>
  <r>
    <s v=""/>
    <s v="40101001"/>
    <s v="2018001426"/>
    <x v="205"/>
    <d v="2021-05-28T00:00:00"/>
    <d v="2021-06-01T00:00:00"/>
    <s v="RV"/>
    <s v="USD"/>
    <n v="-206.89"/>
    <s v="83.95002"/>
    <s v="BDT"/>
    <n v="-17368.419999999998"/>
    <n v="-206.89"/>
    <s v="206.89_1"/>
    <s v=""/>
    <s v="C3285LVUS0714-21"/>
    <s v="20210528"/>
    <s v=""/>
    <s v=""/>
    <s v="0"/>
    <s v=""/>
    <s v=""/>
    <s v=""/>
    <s v=""/>
    <s v="2010100001"/>
    <s v=""/>
    <m/>
    <s v=""/>
    <s v=""/>
    <s v=""/>
    <n v="0"/>
  </r>
  <r>
    <s v=""/>
    <s v="40101001"/>
    <s v="2008000055"/>
    <x v="12"/>
    <d v="2020-10-10T00:00:00"/>
    <d v="2020-10-17T00:00:00"/>
    <s v="DR"/>
    <s v="USD"/>
    <n v="-205.8"/>
    <s v="83.95000"/>
    <s v="BDT"/>
    <n v="-17276.91"/>
    <n v="-205.8"/>
    <s v="205.8_1"/>
    <s v=""/>
    <s v="SC3169UQ20JP094"/>
    <s v="SC3169UQ20JP09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9"/>
    <x v="75"/>
    <d v="2021-06-17T00:00:00"/>
    <d v="2021-06-29T00:00:00"/>
    <s v="DR"/>
    <s v="USD"/>
    <n v="-200"/>
    <s v="83.95000"/>
    <s v="BDT"/>
    <n v="-16790"/>
    <n v="-200"/>
    <s v="200_1"/>
    <s v=""/>
    <s v="SC3327LVBE11621"/>
    <s v="SC3327LVBE11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11"/>
    <x v="320"/>
    <d v="2020-08-12T00:00:00"/>
    <d v="2020-08-22T00:00:00"/>
    <s v="DR"/>
    <s v="USD"/>
    <n v="-196"/>
    <s v="83.95000"/>
    <s v="BDT"/>
    <n v="-16454.2"/>
    <n v="-196"/>
    <s v="196_1"/>
    <s v=""/>
    <s v="SC3092LVMX02420A"/>
    <s v="SC3092LVMX02420A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97"/>
    <x v="88"/>
    <d v="2021-06-11T00:00:00"/>
    <d v="2021-06-25T00:00:00"/>
    <s v="DR"/>
    <s v="USD"/>
    <n v="-191"/>
    <s v="83.95000"/>
    <s v="BDT"/>
    <n v="-16034.45"/>
    <n v="-191"/>
    <s v="191_1"/>
    <s v=""/>
    <s v="SC3327LVBE05121"/>
    <s v="SC3327LVBE051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626"/>
    <x v="225"/>
    <d v="2020-12-08T00:00:00"/>
    <d v="2020-12-13T00:00:00"/>
    <s v="RV"/>
    <s v="USD"/>
    <n v="-182.51"/>
    <s v="83.94998"/>
    <s v="BDT"/>
    <n v="-15321.71"/>
    <n v="-182.51"/>
    <s v="182.51_1"/>
    <s v=""/>
    <s v="C3245UQ20EU1257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08000254"/>
    <x v="194"/>
    <d v="2021-05-21T00:00:00"/>
    <d v="2021-05-30T00:00:00"/>
    <s v="DR"/>
    <s v="USD"/>
    <n v="-179.28"/>
    <s v="83.95002"/>
    <s v="BDT"/>
    <n v="-15050.56"/>
    <n v="-179.28"/>
    <s v="179.28_1"/>
    <s v=""/>
    <s v="SC3308UQ21JP080"/>
    <s v="SC3308UQ21JP08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3"/>
    <x v="88"/>
    <d v="2021-06-11T00:00:00"/>
    <d v="2021-06-23T00:00:00"/>
    <s v="DR"/>
    <s v="USD"/>
    <n v="-166"/>
    <s v="83.95000"/>
    <s v="BDT"/>
    <n v="-13935.7"/>
    <n v="-166"/>
    <s v="166_1"/>
    <s v=""/>
    <s v="SC3327LVMX05521"/>
    <s v="SC3327LVMX05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92"/>
    <x v="88"/>
    <d v="2021-06-11T00:00:00"/>
    <d v="2021-06-24T00:00:00"/>
    <s v="DR"/>
    <s v="USD"/>
    <n v="-166"/>
    <s v="83.95000"/>
    <s v="BDT"/>
    <n v="-13935.7"/>
    <n v="-166"/>
    <s v="166_2"/>
    <s v=""/>
    <s v="SC3327LVPA06121"/>
    <s v="SC3327LVPA061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445"/>
    <x v="212"/>
    <d v="2021-06-02T00:00:00"/>
    <d v="2021-06-09T00:00:00"/>
    <s v="RV"/>
    <s v="USD"/>
    <n v="-163.34"/>
    <s v="83.95004"/>
    <s v="BDT"/>
    <n v="-13712.4"/>
    <n v="-163.34"/>
    <s v="163.34_1"/>
    <s v=""/>
    <s v="C3329UQ21HNL0673"/>
    <s v="20210602"/>
    <s v=""/>
    <s v=""/>
    <s v="0"/>
    <s v=""/>
    <s v=""/>
    <s v=""/>
    <s v=""/>
    <s v="2010100001"/>
    <s v=""/>
    <m/>
    <s v=""/>
    <s v=""/>
    <s v=""/>
    <n v="0"/>
  </r>
  <r>
    <s v=""/>
    <s v="40101001"/>
    <s v="2008000103"/>
    <x v="50"/>
    <d v="2020-12-06T00:00:00"/>
    <d v="2020-12-24T00:00:00"/>
    <s v="DR"/>
    <s v="USD"/>
    <n v="-160"/>
    <s v="83.95000"/>
    <s v="BDT"/>
    <n v="-13432"/>
    <n v="-160"/>
    <s v="160_1"/>
    <s v=""/>
    <s v="SC3216LVUS012020"/>
    <s v="SC3216LVUS0120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06"/>
    <x v="50"/>
    <d v="2020-12-06T00:00:00"/>
    <d v="2020-12-24T00:00:00"/>
    <s v="DR"/>
    <s v="USD"/>
    <n v="-160"/>
    <s v="83.95000"/>
    <s v="BDT"/>
    <n v="-13432"/>
    <n v="-160"/>
    <s v="160_2"/>
    <s v=""/>
    <s v="SC3216LVUS012320"/>
    <s v="SC3216LVUS0123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445"/>
    <x v="212"/>
    <d v="2021-06-02T00:00:00"/>
    <d v="2021-06-09T00:00:00"/>
    <s v="RV"/>
    <s v="USD"/>
    <n v="-153.74"/>
    <s v="83.94998"/>
    <s v="BDT"/>
    <n v="-12906.47"/>
    <n v="-153.74"/>
    <s v="153.74_1"/>
    <s v=""/>
    <s v="C3329UQ21HNL0673"/>
    <s v="20210602"/>
    <s v=""/>
    <s v=""/>
    <s v="0"/>
    <s v=""/>
    <s v=""/>
    <s v=""/>
    <s v=""/>
    <s v="2010100001"/>
    <s v=""/>
    <m/>
    <s v=""/>
    <s v=""/>
    <s v=""/>
    <n v="0"/>
  </r>
  <r>
    <s v=""/>
    <s v="40101001"/>
    <s v="2018001445"/>
    <x v="212"/>
    <d v="2021-06-02T00:00:00"/>
    <d v="2021-06-09T00:00:00"/>
    <s v="RV"/>
    <s v="USD"/>
    <n v="-153.74"/>
    <s v="83.94998"/>
    <s v="BDT"/>
    <n v="-12906.47"/>
    <n v="-153.74"/>
    <s v="153.74_2"/>
    <s v=""/>
    <s v="C3329UQ21HNL0673"/>
    <s v="20210602"/>
    <s v=""/>
    <s v=""/>
    <s v="0"/>
    <s v=""/>
    <s v=""/>
    <s v=""/>
    <s v=""/>
    <s v="2010100001"/>
    <s v=""/>
    <m/>
    <s v=""/>
    <s v=""/>
    <s v=""/>
    <n v="0"/>
  </r>
  <r>
    <s v=""/>
    <s v="40101001"/>
    <s v="2018001445"/>
    <x v="212"/>
    <d v="2021-06-02T00:00:00"/>
    <d v="2021-06-09T00:00:00"/>
    <s v="RV"/>
    <s v="USD"/>
    <n v="-153.74"/>
    <s v="83.94998"/>
    <s v="BDT"/>
    <n v="-12906.47"/>
    <n v="-153.74"/>
    <s v="153.74_3"/>
    <s v=""/>
    <s v="C3329UQ21HNL0673"/>
    <s v="20210602"/>
    <s v=""/>
    <s v=""/>
    <s v="0"/>
    <s v=""/>
    <s v=""/>
    <s v=""/>
    <s v=""/>
    <s v="2010100001"/>
    <s v=""/>
    <m/>
    <s v=""/>
    <s v=""/>
    <s v=""/>
    <n v="0"/>
  </r>
  <r>
    <s v=""/>
    <s v="40101001"/>
    <s v="2008000293"/>
    <x v="88"/>
    <d v="2021-06-11T00:00:00"/>
    <d v="2021-06-24T00:00:00"/>
    <s v="DR"/>
    <s v="USD"/>
    <n v="-150"/>
    <s v="83.95000"/>
    <s v="BDT"/>
    <n v="-12592.5"/>
    <n v="-150"/>
    <s v="150_1"/>
    <s v=""/>
    <s v="SC3327LVSG07321"/>
    <s v="SC3327LVSG07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1"/>
    <x v="88"/>
    <d v="2021-06-11T00:00:00"/>
    <d v="2021-06-25T00:00:00"/>
    <s v="DR"/>
    <s v="USD"/>
    <n v="-150"/>
    <s v="83.95000"/>
    <s v="BDT"/>
    <n v="-12592.5"/>
    <n v="-150"/>
    <s v="150_2"/>
    <s v=""/>
    <s v="SC3327LVSG05621"/>
    <s v="SC3327LVSG05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183"/>
    <x v="83"/>
    <d v="2021-03-30T00:00:00"/>
    <d v="2021-04-04T00:00:00"/>
    <s v="RV"/>
    <s v="USD"/>
    <n v="-147.80000000000001"/>
    <s v="83.95000"/>
    <s v="BDT"/>
    <n v="-12407.81"/>
    <n v="-147.80000000000001"/>
    <s v="147.8_1"/>
    <s v=""/>
    <s v="C3173AMZJP037421"/>
    <s v="20210330"/>
    <s v=""/>
    <s v=""/>
    <s v="0"/>
    <s v=""/>
    <s v=""/>
    <s v=""/>
    <s v=""/>
    <s v="2010100001"/>
    <s v=""/>
    <m/>
    <s v=""/>
    <s v=""/>
    <s v=""/>
    <n v="0"/>
  </r>
  <r>
    <s v=""/>
    <s v="40101001"/>
    <s v="2008000155"/>
    <x v="211"/>
    <d v="2021-01-03T00:00:00"/>
    <d v="2021-01-24T00:00:00"/>
    <s v="DR"/>
    <s v="USD"/>
    <n v="-147.75"/>
    <s v="83.94998"/>
    <s v="BDT"/>
    <n v="-12403.61"/>
    <n v="-147.75"/>
    <s v="147.75_1"/>
    <s v=""/>
    <s v="SC3168UQ20JP0183"/>
    <s v="SC3168UQ20JP018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299"/>
    <x v="175"/>
    <d v="2021-04-30T00:00:00"/>
    <d v="2021-05-08T00:00:00"/>
    <s v="RV"/>
    <s v="USD"/>
    <n v="-137.94999999999999"/>
    <s v="83.94998"/>
    <s v="BDT"/>
    <n v="-11580.9"/>
    <n v="-137.94999999999999"/>
    <s v="137.95_1"/>
    <s v=""/>
    <s v="C3247UQ21NY0516"/>
    <s v="20210430"/>
    <s v=""/>
    <s v=""/>
    <s v="0"/>
    <s v=""/>
    <s v=""/>
    <s v=""/>
    <s v=""/>
    <s v="2010100001"/>
    <s v=""/>
    <m/>
    <s v=""/>
    <s v=""/>
    <s v=""/>
    <n v="0"/>
  </r>
  <r>
    <s v=""/>
    <s v="40101001"/>
    <s v="2008000253"/>
    <x v="194"/>
    <d v="2021-05-21T00:00:00"/>
    <d v="2021-05-30T00:00:00"/>
    <s v="DR"/>
    <s v="USD"/>
    <n v="-137.28"/>
    <s v="83.95003"/>
    <s v="BDT"/>
    <n v="-11524.66"/>
    <n v="-137.28"/>
    <s v="137.28_1"/>
    <s v=""/>
    <s v="SC03168UQ21CN039"/>
    <s v="SC03168UQ21CN03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207"/>
    <x v="107"/>
    <d v="2021-04-13T00:00:00"/>
    <d v="2021-04-20T00:00:00"/>
    <s v="RV"/>
    <s v="USD"/>
    <n v="-137.05000000000001"/>
    <s v="83.95002"/>
    <s v="BDT"/>
    <n v="-11505.35"/>
    <n v="-137.05000000000001"/>
    <s v="137.05_1"/>
    <s v=""/>
    <s v="C3177AMZLB040721"/>
    <s v="20210413"/>
    <s v=""/>
    <s v=""/>
    <s v="0"/>
    <s v=""/>
    <s v=""/>
    <s v=""/>
    <s v=""/>
    <s v="2010100001"/>
    <s v=""/>
    <m/>
    <s v=""/>
    <s v=""/>
    <s v=""/>
    <n v="0"/>
  </r>
  <r>
    <s v=""/>
    <s v="40101001"/>
    <s v="2018000626"/>
    <x v="225"/>
    <d v="2020-12-08T00:00:00"/>
    <d v="2020-12-13T00:00:00"/>
    <s v="RV"/>
    <s v="USD"/>
    <n v="-136.88"/>
    <s v="83.95003"/>
    <s v="BDT"/>
    <n v="-11491.08"/>
    <n v="-136.88"/>
    <s v="136.88_1"/>
    <s v=""/>
    <s v="C3245UQ20EU1257"/>
    <s v="20201208"/>
    <s v=""/>
    <s v=""/>
    <s v="0"/>
    <s v=""/>
    <s v=""/>
    <s v=""/>
    <s v=""/>
    <s v="2010100001"/>
    <s v=""/>
    <m/>
    <s v=""/>
    <s v=""/>
    <s v=""/>
    <n v="0"/>
  </r>
  <r>
    <s v=""/>
    <s v="40101001"/>
    <s v="2008000037"/>
    <x v="207"/>
    <d v="2020-09-03T00:00:00"/>
    <d v="2020-09-27T00:00:00"/>
    <s v="DR"/>
    <s v="USD"/>
    <n v="-134.88"/>
    <s v="83.95003"/>
    <s v="BDT"/>
    <n v="-11323.18"/>
    <n v="-134.88"/>
    <s v="134.88_1"/>
    <s v=""/>
    <s v="SC3161UQ20CN092"/>
    <s v="SC3161UQ20CN09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862"/>
    <x v="197"/>
    <d v="2021-01-23T00:00:00"/>
    <d v="2021-01-30T00:00:00"/>
    <s v="RV"/>
    <s v="USD"/>
    <n v="-131.6"/>
    <s v="83.95000"/>
    <s v="BDT"/>
    <n v="-11047.82"/>
    <n v="-131.6"/>
    <s v="131.6_1"/>
    <s v=""/>
    <s v="C3246UQ21NAG0097"/>
    <s v="20210123"/>
    <s v=""/>
    <s v=""/>
    <s v="0"/>
    <s v=""/>
    <s v=""/>
    <s v=""/>
    <s v=""/>
    <s v="2010100001"/>
    <s v=""/>
    <m/>
    <s v=""/>
    <s v=""/>
    <s v=""/>
    <n v="0"/>
  </r>
  <r>
    <s v=""/>
    <s v="40101001"/>
    <s v="2008000166"/>
    <x v="62"/>
    <d v="2021-01-18T00:00:00"/>
    <d v="2021-01-24T00:00:00"/>
    <s v="DR"/>
    <s v="USD"/>
    <n v="-127.66"/>
    <s v="83.95002"/>
    <s v="BDT"/>
    <n v="-10717.06"/>
    <n v="-127.66"/>
    <s v="127.66_1"/>
    <s v=""/>
    <s v="SC3243LVUS018220"/>
    <s v="SC3243LVUS0182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72"/>
    <x v="18"/>
    <d v="2020-11-05T00:00:00"/>
    <d v="2020-11-28T00:00:00"/>
    <s v="DR"/>
    <s v="USD"/>
    <n v="-126"/>
    <s v="83.95000"/>
    <s v="BDT"/>
    <n v="-10577.7"/>
    <n v="-126"/>
    <s v="126_1"/>
    <s v=""/>
    <s v="SC3216LVBE011320"/>
    <s v="SC3216LVBE0113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10"/>
    <x v="50"/>
    <d v="2020-12-06T00:00:00"/>
    <d v="2020-12-24T00:00:00"/>
    <s v="DR"/>
    <s v="USD"/>
    <n v="-126"/>
    <s v="83.95000"/>
    <s v="BDT"/>
    <n v="-10577.7"/>
    <n v="-126"/>
    <s v="126_2"/>
    <s v=""/>
    <s v="SC3216LVUS011720"/>
    <s v="SC3216LVUS0117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335"/>
    <x v="182"/>
    <d v="2020-10-13T00:00:00"/>
    <d v="2020-10-22T00:00:00"/>
    <s v="RV"/>
    <s v="USD"/>
    <n v="-125.45"/>
    <s v="83.95002"/>
    <s v="BDT"/>
    <n v="-10531.53"/>
    <n v="-125.45"/>
    <s v="125.45_1"/>
    <s v=""/>
    <s v="C03202US20-0927"/>
    <s v="20201013"/>
    <s v=""/>
    <s v=""/>
    <s v="0"/>
    <s v=""/>
    <s v=""/>
    <s v=""/>
    <s v=""/>
    <s v="2010100001"/>
    <s v=""/>
    <m/>
    <s v=""/>
    <s v=""/>
    <s v=""/>
    <n v="0"/>
  </r>
  <r>
    <s v=""/>
    <s v="40101001"/>
    <s v="2018000848"/>
    <x v="258"/>
    <d v="2021-01-22T00:00:00"/>
    <d v="2021-01-28T00:00:00"/>
    <s v="RV"/>
    <s v="USD"/>
    <n v="-124.63"/>
    <s v="83.95001"/>
    <s v="BDT"/>
    <n v="-10462.69"/>
    <n v="-124.63"/>
    <s v="124.63_1"/>
    <s v=""/>
    <s v="C3290UQ21KR0062"/>
    <s v="20210122"/>
    <s v=""/>
    <s v=""/>
    <s v="0"/>
    <s v=""/>
    <s v=""/>
    <s v=""/>
    <s v=""/>
    <s v="2010100001"/>
    <s v=""/>
    <m/>
    <s v=""/>
    <s v=""/>
    <s v=""/>
    <n v="0"/>
  </r>
  <r>
    <s v=""/>
    <s v="40101001"/>
    <s v="2008000056"/>
    <x v="12"/>
    <d v="2020-10-10T00:00:00"/>
    <d v="2020-10-17T00:00:00"/>
    <s v="DR"/>
    <s v="USD"/>
    <n v="-123.72"/>
    <s v="83.94997"/>
    <s v="BDT"/>
    <n v="-10386.290000000001"/>
    <n v="-123.72"/>
    <s v="123.72_1"/>
    <s v=""/>
    <s v="SC3169UQ20JP095"/>
    <s v="SC3169UQ20JP09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120.58"/>
    <s v="83.94999"/>
    <s v="BDT"/>
    <n v="-10122.69"/>
    <n v="-120.58"/>
    <s v="120.58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11"/>
    <s v="2008000215"/>
    <x v="175"/>
    <d v="2021-04-30T00:00:00"/>
    <d v="2021-05-06T00:00:00"/>
    <s v="DR"/>
    <s v="USD"/>
    <n v="-118.36"/>
    <s v="83.94998"/>
    <s v="BDT"/>
    <n v="-9936.32"/>
    <n v="-118.36"/>
    <s v="118.36_1"/>
    <s v=""/>
    <s v="CIPL-PGCL-0297-2"/>
    <s v="CIPL-PGCL-0297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08000105"/>
    <x v="50"/>
    <d v="2020-12-06T00:00:00"/>
    <d v="2020-12-24T00:00:00"/>
    <s v="DR"/>
    <s v="USD"/>
    <n v="-117"/>
    <s v="83.95000"/>
    <s v="BDT"/>
    <n v="-9822.15"/>
    <n v="-117"/>
    <s v="117_1"/>
    <s v=""/>
    <s v="SC3216LVUS016220"/>
    <s v="SC3216LVUS0162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264"/>
    <x v="192"/>
    <d v="2021-04-25T00:00:00"/>
    <d v="2021-04-29T00:00:00"/>
    <s v="RV"/>
    <s v="USD"/>
    <n v="-116.89"/>
    <s v="83.95004"/>
    <s v="BDT"/>
    <n v="-9812.92"/>
    <n v="-116.89"/>
    <s v="116.89_1"/>
    <s v=""/>
    <s v="C3309UQ21TOR0495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18001264"/>
    <x v="192"/>
    <d v="2021-04-25T00:00:00"/>
    <d v="2021-04-29T00:00:00"/>
    <s v="RV"/>
    <s v="USD"/>
    <n v="-116.89"/>
    <s v="83.95004"/>
    <s v="BDT"/>
    <n v="-9812.92"/>
    <n v="-116.89"/>
    <s v="116.89_2"/>
    <s v=""/>
    <s v="C3309UQ21TOR0495"/>
    <s v="20210425"/>
    <s v=""/>
    <s v=""/>
    <s v="0"/>
    <s v=""/>
    <s v=""/>
    <s v=""/>
    <s v=""/>
    <s v="2010100001"/>
    <s v=""/>
    <m/>
    <s v=""/>
    <s v=""/>
    <s v=""/>
    <n v="0"/>
  </r>
  <r>
    <s v=""/>
    <s v="40101001"/>
    <s v="2008000077"/>
    <x v="18"/>
    <d v="2020-11-05T00:00:00"/>
    <d v="2020-11-28T00:00:00"/>
    <s v="DR"/>
    <s v="USD"/>
    <n v="-116"/>
    <s v="83.95000"/>
    <s v="BDT"/>
    <n v="-9738.2000000000007"/>
    <n v="-116"/>
    <s v="116_1"/>
    <s v=""/>
    <s v="SC3216LVBE013820"/>
    <s v="SC3216LVBE0138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98"/>
    <x v="88"/>
    <d v="2021-06-11T00:00:00"/>
    <d v="2021-06-25T00:00:00"/>
    <s v="DR"/>
    <s v="USD"/>
    <n v="-116"/>
    <s v="83.95000"/>
    <s v="BDT"/>
    <n v="-9738.2000000000007"/>
    <n v="-116"/>
    <s v="116_2"/>
    <s v=""/>
    <s v="SC3327LVUS10521"/>
    <s v="2021061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16"/>
    <x v="60"/>
    <d v="2020-08-25T00:00:00"/>
    <d v="2020-08-29T00:00:00"/>
    <s v="DR"/>
    <s v="USD"/>
    <n v="-114"/>
    <s v="83.95000"/>
    <s v="BDT"/>
    <n v="-9570.2999999999993"/>
    <n v="-114"/>
    <s v="114_1"/>
    <s v=""/>
    <s v="SC3093UQ20JP42"/>
    <s v="SC3093UQ20JP4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7"/>
    <x v="15"/>
    <d v="2021-05-04T00:00:00"/>
    <d v="2021-05-23T00:00:00"/>
    <s v="DR"/>
    <s v="USD"/>
    <n v="-106.59"/>
    <s v="83.95000"/>
    <s v="BDT"/>
    <n v="-8948.23"/>
    <n v="-106.59"/>
    <s v="106.59_1"/>
    <s v=""/>
    <s v="SC3168UQ21JP025"/>
    <s v="SC3168UQ21JP02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02"/>
    <x v="261"/>
    <d v="2020-07-05T00:00:00"/>
    <d v="2020-07-16T00:00:00"/>
    <s v="DR"/>
    <s v="USD"/>
    <n v="-104.48"/>
    <s v="83.95004"/>
    <s v="BDT"/>
    <n v="-8771.1"/>
    <n v="-104.48"/>
    <s v="104.48_1"/>
    <s v=""/>
    <s v="SC3093UQ20JP018"/>
    <s v="SC3093UQ20JP01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11"/>
    <s v="2008000216"/>
    <x v="175"/>
    <d v="2021-04-30T00:00:00"/>
    <d v="2021-05-06T00:00:00"/>
    <s v="DR"/>
    <s v="USD"/>
    <n v="-103.08"/>
    <s v="83.95004"/>
    <s v="BDT"/>
    <n v="-8653.57"/>
    <n v="-103.08"/>
    <s v="103.08_1"/>
    <s v=""/>
    <s v="CIPL-PGCL-0298-2"/>
    <s v="CIPL-PGCL-0298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100.95"/>
    <s v="83.94998"/>
    <s v="BDT"/>
    <n v="-8474.75"/>
    <n v="-100.95"/>
    <s v="100.95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08000265"/>
    <x v="205"/>
    <d v="2021-05-28T00:00:00"/>
    <d v="2021-06-02T00:00:00"/>
    <s v="DR"/>
    <s v="USD"/>
    <n v="-100"/>
    <s v="83.95000"/>
    <s v="BDT"/>
    <n v="-8395"/>
    <n v="-100"/>
    <s v="100_1"/>
    <s v=""/>
    <s v="SC3327LVUS05421"/>
    <s v="SC3327LVUS05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66"/>
    <x v="205"/>
    <d v="2021-05-28T00:00:00"/>
    <d v="2021-06-02T00:00:00"/>
    <s v="DR"/>
    <s v="USD"/>
    <n v="-100"/>
    <s v="83.95000"/>
    <s v="BDT"/>
    <n v="-8395"/>
    <n v="-100"/>
    <s v="100_2"/>
    <s v=""/>
    <s v="SC3327LVMX06421"/>
    <s v="SC3327LVMX06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91"/>
    <x v="88"/>
    <d v="2021-06-11T00:00:00"/>
    <d v="2021-06-24T00:00:00"/>
    <s v="DR"/>
    <s v="USD"/>
    <n v="-100"/>
    <s v="83.95000"/>
    <s v="BDT"/>
    <n v="-8395"/>
    <n v="-100"/>
    <s v="100_3"/>
    <s v=""/>
    <s v="SC3327LVUS06321"/>
    <s v="SC3327LVUS06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3"/>
    <x v="68"/>
    <d v="2021-06-15T00:00:00"/>
    <d v="2021-06-29T00:00:00"/>
    <s v="DR"/>
    <s v="USD"/>
    <n v="-100"/>
    <s v="83.95000"/>
    <s v="BDT"/>
    <n v="-8395"/>
    <n v="-100"/>
    <s v="100_4"/>
    <s v=""/>
    <s v="SC3327LVUS12121"/>
    <s v="SC3327LVUS12121"/>
    <s v="Stocklot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4"/>
    <x v="68"/>
    <d v="2021-06-15T00:00:00"/>
    <d v="2021-06-29T00:00:00"/>
    <s v="DR"/>
    <s v="USD"/>
    <n v="-100"/>
    <s v="83.95000"/>
    <s v="BDT"/>
    <n v="-8395"/>
    <n v="-100"/>
    <s v="100_5"/>
    <s v=""/>
    <s v="SC3327LVSG11521"/>
    <s v="SC3327LVSG11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4"/>
    <x v="75"/>
    <d v="2021-06-17T00:00:00"/>
    <d v="2021-06-29T00:00:00"/>
    <s v="DR"/>
    <s v="USD"/>
    <n v="-100"/>
    <s v="83.95000"/>
    <s v="BDT"/>
    <n v="-8395"/>
    <n v="-100"/>
    <s v="100_6"/>
    <s v=""/>
    <s v="SC3327LVBE14021"/>
    <s v="SC3327LVBE14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30"/>
    <x v="15"/>
    <d v="2021-05-04T00:00:00"/>
    <d v="2021-05-23T00:00:00"/>
    <s v="DR"/>
    <s v="USD"/>
    <n v="-99.6"/>
    <s v="83.95000"/>
    <s v="BDT"/>
    <n v="-8361.42"/>
    <n v="-99.6"/>
    <s v="99.6_1"/>
    <s v=""/>
    <s v="SC3308UQ21JP023"/>
    <s v="SC3308UQ21JP02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51"/>
    <x v="194"/>
    <d v="2021-05-21T00:00:00"/>
    <d v="2021-05-30T00:00:00"/>
    <s v="DR"/>
    <s v="USD"/>
    <n v="-99.3"/>
    <s v="83.95005"/>
    <s v="BDT"/>
    <n v="-8336.24"/>
    <n v="-99.3"/>
    <s v="99.3_1"/>
    <s v=""/>
    <s v="SC3364UQ21JP0105"/>
    <s v="SC3364UQ21JP010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51"/>
    <x v="211"/>
    <d v="2021-01-03T00:00:00"/>
    <d v="2021-01-24T00:00:00"/>
    <s v="DR"/>
    <s v="USD"/>
    <n v="-98.5"/>
    <s v="83.95005"/>
    <s v="BDT"/>
    <n v="-8269.08"/>
    <n v="-98.5"/>
    <s v="98.5_1"/>
    <s v=""/>
    <s v="SC3168UQ20CN0174"/>
    <s v="SC3168UQ20CN017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23"/>
    <x v="75"/>
    <d v="2021-06-17T00:00:00"/>
    <d v="2021-06-29T00:00:00"/>
    <s v="DR"/>
    <s v="USD"/>
    <n v="-98"/>
    <s v="83.95000"/>
    <s v="BDT"/>
    <n v="-8227.1"/>
    <n v="-98"/>
    <s v="98_1"/>
    <s v=""/>
    <s v="SC3327LVUS08921"/>
    <s v="SC3327LVUS08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5"/>
    <x v="75"/>
    <d v="2021-06-17T00:00:00"/>
    <d v="2021-06-29T00:00:00"/>
    <s v="DR"/>
    <s v="USD"/>
    <n v="-98"/>
    <s v="83.95000"/>
    <s v="BDT"/>
    <n v="-8227.1"/>
    <n v="-98"/>
    <s v="98_2"/>
    <s v=""/>
    <s v="SC3327LVUS08121"/>
    <s v="SC3327LVUS081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37"/>
    <x v="15"/>
    <d v="2021-05-04T00:00:00"/>
    <d v="2021-05-23T00:00:00"/>
    <s v="DR"/>
    <s v="USD"/>
    <n v="-97.98"/>
    <s v="83.94999"/>
    <s v="BDT"/>
    <n v="-8225.42"/>
    <n v="-97.98"/>
    <s v="97.98_1"/>
    <s v=""/>
    <s v="SC3308UQ21JP026"/>
    <s v="SC3308UQ21JP02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6"/>
    <x v="75"/>
    <d v="2021-06-17T00:00:00"/>
    <d v="2021-06-29T00:00:00"/>
    <s v="DR"/>
    <s v="USD"/>
    <n v="-96"/>
    <s v="83.95000"/>
    <s v="BDT"/>
    <n v="-8059.2"/>
    <n v="-96"/>
    <s v="96_1"/>
    <s v=""/>
    <s v="SC3327LVSG08621"/>
    <s v="SC3327LVSG08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13"/>
    <x v="50"/>
    <d v="2020-12-06T00:00:00"/>
    <d v="2020-12-24T00:00:00"/>
    <s v="DR"/>
    <s v="USD"/>
    <n v="-94"/>
    <s v="83.95000"/>
    <s v="BDT"/>
    <n v="-7891.3"/>
    <n v="-94"/>
    <s v="94_1"/>
    <s v=""/>
    <s v="SC3216LVUS014020"/>
    <s v="SC3216LVUS0140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719"/>
    <x v="318"/>
    <d v="2020-12-25T00:00:00"/>
    <d v="2020-12-31T00:00:00"/>
    <s v="RV"/>
    <s v="USD"/>
    <n v="-94"/>
    <s v="83.95000"/>
    <s v="BDT"/>
    <n v="-7891.3"/>
    <n v="-94"/>
    <s v="94_2"/>
    <s v=""/>
    <s v="SC3216LVUS013220"/>
    <s v="20201225"/>
    <s v=""/>
    <s v=""/>
    <s v="0"/>
    <s v=""/>
    <s v=""/>
    <s v=""/>
    <s v=""/>
    <s v="2010100001"/>
    <s v=""/>
    <m/>
    <s v=""/>
    <s v=""/>
    <s v=""/>
    <n v="0"/>
  </r>
  <r>
    <s v=""/>
    <s v="40101001"/>
    <s v="2008000107"/>
    <x v="50"/>
    <d v="2020-12-06T00:00:00"/>
    <d v="2020-12-24T00:00:00"/>
    <s v="DR"/>
    <s v="USD"/>
    <n v="-93"/>
    <s v="83.95000"/>
    <s v="BDT"/>
    <n v="-7807.35"/>
    <n v="-93"/>
    <s v="93_1"/>
    <s v=""/>
    <s v="SC3216LVUS016320"/>
    <s v="SC3216LVUS0163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6"/>
    <x v="88"/>
    <d v="2021-06-11T00:00:00"/>
    <d v="2021-06-24T00:00:00"/>
    <s v="DR"/>
    <s v="USD"/>
    <n v="-91"/>
    <s v="83.95000"/>
    <s v="BDT"/>
    <n v="-7639.45"/>
    <n v="-91"/>
    <s v="91_1"/>
    <s v=""/>
    <s v="SC3327LVUS05221"/>
    <s v="SC3327LVUS05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23"/>
    <x v="60"/>
    <d v="2020-08-25T00:00:00"/>
    <d v="2020-08-29T00:00:00"/>
    <s v="DR"/>
    <s v="USD"/>
    <n v="-90"/>
    <s v="83.95000"/>
    <s v="BDT"/>
    <n v="-7555.5"/>
    <n v="-90"/>
    <s v="90_1"/>
    <s v=""/>
    <s v="SC3088UQ20JP81"/>
    <s v="SC3088UQ20JP8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0"/>
    <x v="15"/>
    <d v="2021-05-04T00:00:00"/>
    <d v="2021-05-23T00:00:00"/>
    <s v="DR"/>
    <s v="USD"/>
    <n v="-89.64"/>
    <s v="83.95002"/>
    <s v="BDT"/>
    <n v="-7525.28"/>
    <n v="-89.64"/>
    <s v="89.64_1"/>
    <s v=""/>
    <s v="SC3308UQ21JP019"/>
    <s v="SC3308UQ21JP01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70"/>
    <x v="62"/>
    <d v="2021-01-18T00:00:00"/>
    <d v="2021-01-24T00:00:00"/>
    <s v="DR"/>
    <s v="USD"/>
    <n v="-88"/>
    <s v="83.95000"/>
    <s v="BDT"/>
    <n v="-7387.6"/>
    <n v="-88"/>
    <s v="88_1"/>
    <s v=""/>
    <s v="SC3216LVUS015420"/>
    <s v="SC3216LVUS0154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171"/>
    <x v="189"/>
    <d v="2021-03-26T00:00:00"/>
    <d v="2021-04-04T00:00:00"/>
    <s v="RV"/>
    <s v="USD"/>
    <n v="-87.64"/>
    <s v="83.95002"/>
    <s v="BDT"/>
    <n v="-7357.38"/>
    <n v="-87.64"/>
    <s v="87.64_1"/>
    <s v=""/>
    <s v="C3177AMZLB037621"/>
    <s v="20210326"/>
    <s v=""/>
    <s v=""/>
    <s v="0"/>
    <s v=""/>
    <s v=""/>
    <s v=""/>
    <s v=""/>
    <s v="2010100001"/>
    <s v=""/>
    <m/>
    <s v=""/>
    <s v=""/>
    <s v=""/>
    <n v="0"/>
  </r>
  <r>
    <s v=""/>
    <s v="40101001"/>
    <s v="2008000173"/>
    <x v="62"/>
    <d v="2021-01-18T00:00:00"/>
    <d v="2021-01-24T00:00:00"/>
    <s v="DR"/>
    <s v="USD"/>
    <n v="-84.44"/>
    <s v="83.95002"/>
    <s v="BDT"/>
    <n v="-7088.74"/>
    <n v="-84.44"/>
    <s v="84.44_1"/>
    <s v=""/>
    <s v="SC3216LVUS017220"/>
    <s v="SC3216LVUS0172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59"/>
    <x v="211"/>
    <d v="2021-01-03T00:00:00"/>
    <d v="2021-01-24T00:00:00"/>
    <s v="DR"/>
    <s v="USD"/>
    <n v="-82.48"/>
    <s v="83.95005"/>
    <s v="BDT"/>
    <n v="-6924.2"/>
    <n v="-82.48"/>
    <s v="82.48_1"/>
    <s v=""/>
    <s v="SC3169UQ20CN0180"/>
    <s v="SC3169UQ20CN018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74"/>
    <x v="18"/>
    <d v="2020-11-05T00:00:00"/>
    <d v="2020-11-28T00:00:00"/>
    <s v="DR"/>
    <s v="USD"/>
    <n v="-82"/>
    <s v="83.95000"/>
    <s v="BDT"/>
    <n v="-6883.9"/>
    <n v="-82"/>
    <s v="82_1"/>
    <s v=""/>
    <s v="SC3216LVBE012920"/>
    <s v="SC3216LVBE0129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80"/>
    <x v="18"/>
    <d v="2020-11-05T00:00:00"/>
    <d v="2020-11-28T00:00:00"/>
    <s v="DR"/>
    <s v="USD"/>
    <n v="-82"/>
    <s v="83.95000"/>
    <s v="BDT"/>
    <n v="-6883.9"/>
    <n v="-82"/>
    <s v="82_2"/>
    <s v=""/>
    <s v="SC3216LVMX014120"/>
    <s v="SC3216LVMX0141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04"/>
    <x v="50"/>
    <d v="2020-12-06T00:00:00"/>
    <d v="2020-12-24T00:00:00"/>
    <s v="DR"/>
    <s v="USD"/>
    <n v="-82"/>
    <s v="83.95000"/>
    <s v="BDT"/>
    <n v="-6883.9"/>
    <n v="-82"/>
    <s v="82_3"/>
    <s v=""/>
    <s v="SC3216LVJP016720"/>
    <s v="SC3216LVJP0167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17"/>
    <x v="280"/>
    <d v="2020-12-10T00:00:00"/>
    <d v="2020-12-26T00:00:00"/>
    <s v="DR"/>
    <s v="USD"/>
    <n v="-82"/>
    <s v="83.95000"/>
    <s v="BDT"/>
    <n v="-6883.9"/>
    <n v="-82"/>
    <s v="82_4"/>
    <s v=""/>
    <s v="SC3216LVUS013320"/>
    <s v="SC3216LVUS0133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7"/>
    <x v="88"/>
    <d v="2021-06-11T00:00:00"/>
    <d v="2021-06-24T00:00:00"/>
    <s v="DR"/>
    <s v="USD"/>
    <n v="-82"/>
    <s v="83.95000"/>
    <s v="BDT"/>
    <n v="-6883.9"/>
    <n v="-82"/>
    <s v="82_5"/>
    <s v=""/>
    <s v="SC3327LVBE91A21"/>
    <s v="SC3327LVBE91A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77"/>
    <x v="88"/>
    <d v="2021-06-11T00:00:00"/>
    <d v="2021-06-23T00:00:00"/>
    <s v="DR"/>
    <s v="USD"/>
    <n v="-75"/>
    <s v="83.95000"/>
    <s v="BDT"/>
    <n v="-6296.25"/>
    <n v="-75"/>
    <s v="75_1"/>
    <s v=""/>
    <s v="SC3327LVUS06621"/>
    <s v="SC3327LVUS06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0"/>
    <x v="88"/>
    <d v="2021-06-11T00:00:00"/>
    <d v="2021-06-23T00:00:00"/>
    <s v="DR"/>
    <s v="USD"/>
    <n v="-75"/>
    <s v="83.95000"/>
    <s v="BDT"/>
    <n v="-6296.25"/>
    <n v="-75"/>
    <s v="75_2"/>
    <s v=""/>
    <s v="SC3327LVMX06921"/>
    <s v="SC3327LVMX06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4"/>
    <x v="88"/>
    <d v="2021-06-11T00:00:00"/>
    <d v="2021-06-24T00:00:00"/>
    <s v="DR"/>
    <s v="USD"/>
    <n v="-75"/>
    <s v="83.95000"/>
    <s v="BDT"/>
    <n v="-6296.25"/>
    <n v="-75"/>
    <s v="75_3"/>
    <s v=""/>
    <s v="SC3327LVUS06821"/>
    <s v="SC3327LVUS06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8"/>
    <x v="88"/>
    <d v="2021-06-11T00:00:00"/>
    <d v="2021-06-24T00:00:00"/>
    <s v="DR"/>
    <s v="USD"/>
    <n v="-75"/>
    <s v="83.95000"/>
    <s v="BDT"/>
    <n v="-6296.25"/>
    <n v="-75"/>
    <s v="75_4"/>
    <s v=""/>
    <s v="SC3327LVUS07621"/>
    <s v="SC3327LVUS07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95"/>
    <x v="88"/>
    <d v="2021-06-11T00:00:00"/>
    <d v="2021-06-24T00:00:00"/>
    <s v="DR"/>
    <s v="USD"/>
    <n v="-75"/>
    <s v="83.95000"/>
    <s v="BDT"/>
    <n v="-6296.25"/>
    <n v="-75"/>
    <s v="75_5"/>
    <s v=""/>
    <s v="SC3327LVMX07721"/>
    <s v="SC3327LVMX077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0"/>
    <x v="88"/>
    <d v="2021-06-11T00:00:00"/>
    <d v="2021-06-25T00:00:00"/>
    <s v="DR"/>
    <s v="USD"/>
    <n v="-75"/>
    <s v="83.95000"/>
    <s v="BDT"/>
    <n v="-6296.25"/>
    <n v="-75"/>
    <s v="75_6"/>
    <s v=""/>
    <s v="SC3327LVUS07021"/>
    <s v="SC3327LVUS07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67"/>
    <x v="62"/>
    <d v="2021-01-18T00:00:00"/>
    <d v="2021-01-24T00:00:00"/>
    <s v="DR"/>
    <s v="USD"/>
    <n v="-73"/>
    <s v="83.95000"/>
    <s v="BDT"/>
    <n v="-6128.35"/>
    <n v="-73"/>
    <s v="73_1"/>
    <s v=""/>
    <s v="SC3216LVUS017120"/>
    <s v="SC3216LVUS0171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6"/>
    <x v="75"/>
    <d v="2021-06-17T00:00:00"/>
    <d v="2021-06-29T00:00:00"/>
    <s v="DR"/>
    <s v="USD"/>
    <n v="-73"/>
    <s v="83.95000"/>
    <s v="BDT"/>
    <n v="-6128.35"/>
    <n v="-73"/>
    <s v="73_2"/>
    <s v=""/>
    <s v="SC3327LVUS08821"/>
    <s v="SC3327LVUS08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40"/>
    <x v="75"/>
    <d v="2021-06-17T00:00:00"/>
    <d v="2021-06-29T00:00:00"/>
    <s v="DR"/>
    <s v="USD"/>
    <n v="-73"/>
    <s v="83.95000"/>
    <s v="BDT"/>
    <n v="-6128.35"/>
    <n v="-73"/>
    <s v="73_3"/>
    <s v=""/>
    <s v="SC3327LVUS08321"/>
    <s v="SC3327LVUS08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00"/>
    <x v="311"/>
    <d v="2020-12-04T00:00:00"/>
    <d v="2020-12-24T00:00:00"/>
    <s v="DR"/>
    <s v="USD"/>
    <n v="-72.17"/>
    <s v="83.94998"/>
    <s v="BDT"/>
    <n v="-6058.67"/>
    <n v="-72.17"/>
    <s v="72.17_1"/>
    <s v=""/>
    <s v="SC3169UQ20JP0160"/>
    <s v="SC3169UQ20JP0160"/>
    <s v="Samle sales to EDL HK"/>
    <s v=""/>
    <s v="0"/>
    <s v="Samle sales to EDL HK"/>
    <s v=""/>
    <s v=""/>
    <s v=""/>
    <s v="2010100001"/>
    <s v=""/>
    <m/>
    <s v=""/>
    <s v=""/>
    <s v=""/>
    <n v="0"/>
  </r>
  <r>
    <s v=""/>
    <s v="40101001"/>
    <s v="2008000174"/>
    <x v="62"/>
    <d v="2021-01-18T00:00:00"/>
    <d v="2021-01-24T00:00:00"/>
    <s v="DR"/>
    <s v="USD"/>
    <n v="-69.349999999999994"/>
    <s v="83.94996"/>
    <s v="BDT"/>
    <n v="-5821.93"/>
    <n v="-69.349999999999994"/>
    <s v="69.35_1"/>
    <s v=""/>
    <s v="SC3214LVUS017320"/>
    <s v="SC3214LVUS0173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39"/>
    <x v="248"/>
    <d v="2020-09-15T00:00:00"/>
    <d v="2020-09-27T00:00:00"/>
    <s v="DR"/>
    <s v="USD"/>
    <n v="-69"/>
    <s v="83.95000"/>
    <s v="BDT"/>
    <n v="-5792.55"/>
    <n v="-69"/>
    <s v="69_1"/>
    <s v=""/>
    <s v="SCADSMLVUS09020"/>
    <s v="SCADSMLVUS090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42"/>
    <x v="194"/>
    <d v="2021-05-21T00:00:00"/>
    <d v="2021-05-30T00:00:00"/>
    <s v="DR"/>
    <s v="USD"/>
    <n v="-68.64"/>
    <s v="83.95003"/>
    <s v="BDT"/>
    <n v="-5762.33"/>
    <n v="-68.64"/>
    <s v="68.64_1"/>
    <s v=""/>
    <s v="SC03168UQ21PH036"/>
    <s v="SC03168UQ21PH03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44"/>
    <x v="194"/>
    <d v="2021-05-21T00:00:00"/>
    <d v="2021-05-30T00:00:00"/>
    <s v="DR"/>
    <s v="USD"/>
    <n v="-68.64"/>
    <s v="83.95003"/>
    <s v="BDT"/>
    <n v="-5762.33"/>
    <n v="-68.64"/>
    <s v="68.64_2"/>
    <s v=""/>
    <s v="SC03168UQ21US031"/>
    <s v="SC03168UQ21US03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45"/>
    <x v="194"/>
    <d v="2021-05-21T00:00:00"/>
    <d v="2021-05-30T00:00:00"/>
    <s v="DR"/>
    <s v="USD"/>
    <n v="-68.64"/>
    <s v="83.95003"/>
    <s v="BDT"/>
    <n v="-5762.33"/>
    <n v="-68.64"/>
    <s v="68.64_3"/>
    <s v=""/>
    <s v="SC03168UQ21SG034"/>
    <s v="SC03168UQ21SG03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46"/>
    <x v="194"/>
    <d v="2021-05-21T00:00:00"/>
    <d v="2021-05-30T00:00:00"/>
    <s v="DR"/>
    <s v="USD"/>
    <n v="-68.64"/>
    <s v="83.95003"/>
    <s v="BDT"/>
    <n v="-5762.33"/>
    <n v="-68.64"/>
    <s v="68.64_4"/>
    <s v=""/>
    <s v="SC03168UQ21TW032"/>
    <s v="SC03168UQ21TW03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48"/>
    <x v="194"/>
    <d v="2021-05-21T00:00:00"/>
    <d v="2021-05-30T00:00:00"/>
    <s v="DR"/>
    <s v="USD"/>
    <n v="-68.64"/>
    <s v="83.95003"/>
    <s v="BDT"/>
    <n v="-5762.33"/>
    <n v="-68.64"/>
    <s v="68.64_5"/>
    <s v=""/>
    <s v="SC03168UQ21TH037"/>
    <s v="SC03168UQ21TH03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49"/>
    <x v="194"/>
    <d v="2021-05-21T00:00:00"/>
    <d v="2021-05-30T00:00:00"/>
    <s v="DR"/>
    <s v="USD"/>
    <n v="-68.64"/>
    <s v="83.95003"/>
    <s v="BDT"/>
    <n v="-5762.33"/>
    <n v="-68.64"/>
    <s v="68.64_6"/>
    <s v=""/>
    <s v="SC3168UQ21KRO033"/>
    <s v="SC3168UQ21KRO03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50"/>
    <x v="194"/>
    <d v="2021-05-21T00:00:00"/>
    <d v="2021-05-30T00:00:00"/>
    <s v="DR"/>
    <s v="USD"/>
    <n v="-68.64"/>
    <s v="83.95003"/>
    <s v="BDT"/>
    <n v="-5762.33"/>
    <n v="-68.64"/>
    <s v="68.64_7"/>
    <s v=""/>
    <s v="SC03168UQ21MY035"/>
    <s v="SC03168UQ21MY03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55"/>
    <x v="194"/>
    <d v="2021-05-21T00:00:00"/>
    <d v="2021-05-30T00:00:00"/>
    <s v="DR"/>
    <s v="USD"/>
    <n v="-68.64"/>
    <s v="83.95003"/>
    <s v="BDT"/>
    <n v="-5762.33"/>
    <n v="-68.64"/>
    <s v="68.64_8"/>
    <s v=""/>
    <s v="SC03168UQ21AU041"/>
    <s v="SC03168UQ21AU04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57"/>
    <x v="194"/>
    <d v="2021-05-21T00:00:00"/>
    <d v="2021-05-30T00:00:00"/>
    <s v="DR"/>
    <s v="USD"/>
    <n v="-68.64"/>
    <s v="83.95003"/>
    <s v="BDT"/>
    <n v="-5762.33"/>
    <n v="-68.64"/>
    <s v="68.64_9"/>
    <s v=""/>
    <s v="SC03168UQ21ID038"/>
    <s v="SC03168UQ21ID03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424"/>
    <x v="146"/>
    <d v="2020-11-02T00:00:00"/>
    <d v="2020-11-10T00:00:00"/>
    <s v="RV"/>
    <s v="USD"/>
    <n v="-68.44"/>
    <s v="83.95003"/>
    <s v="BDT"/>
    <n v="-5745.54"/>
    <n v="-68.44"/>
    <s v="68.44_1"/>
    <s v=""/>
    <s v="C3231UQ20NY1071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18000424"/>
    <x v="146"/>
    <d v="2020-11-02T00:00:00"/>
    <d v="2020-11-10T00:00:00"/>
    <s v="RV"/>
    <s v="USD"/>
    <n v="-68.44"/>
    <s v="83.95003"/>
    <s v="BDT"/>
    <n v="-5745.54"/>
    <n v="-68.44"/>
    <s v="68.44_2"/>
    <s v=""/>
    <s v="C3231UQ20NY1071"/>
    <s v="20201102"/>
    <s v=""/>
    <s v=""/>
    <s v="0"/>
    <s v=""/>
    <s v=""/>
    <s v=""/>
    <s v=""/>
    <s v="2010100001"/>
    <s v=""/>
    <m/>
    <s v=""/>
    <s v=""/>
    <s v=""/>
    <n v="0"/>
  </r>
  <r>
    <s v=""/>
    <s v="40101001"/>
    <s v="2008000101"/>
    <x v="311"/>
    <d v="2020-12-04T00:00:00"/>
    <d v="2020-12-24T00:00:00"/>
    <s v="DR"/>
    <s v="USD"/>
    <n v="-67.8"/>
    <s v="83.95000"/>
    <s v="BDT"/>
    <n v="-5691.81"/>
    <n v="-67.8"/>
    <s v="67.8_1"/>
    <s v=""/>
    <s v="SC3259UQ20JP0158"/>
    <s v="SC3259UQ20JP0158"/>
    <s v="Samle sales to EDL HK"/>
    <s v=""/>
    <s v="0"/>
    <s v="Samle sales to EDL HK"/>
    <s v=""/>
    <s v=""/>
    <s v=""/>
    <s v="2010100001"/>
    <s v=""/>
    <m/>
    <s v=""/>
    <s v=""/>
    <s v=""/>
    <n v="0"/>
  </r>
  <r>
    <s v=""/>
    <s v="40101001"/>
    <s v="2008000040"/>
    <x v="248"/>
    <d v="2020-09-15T00:00:00"/>
    <d v="2020-09-27T00:00:00"/>
    <s v="DR"/>
    <s v="USD"/>
    <n v="-66"/>
    <s v="83.95000"/>
    <s v="BDT"/>
    <n v="-5540.7"/>
    <n v="-66"/>
    <s v="66_1"/>
    <s v=""/>
    <s v="SCADSMLVUS08920"/>
    <s v="SCADSMLVUS089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848"/>
    <x v="258"/>
    <d v="2021-01-22T00:00:00"/>
    <d v="2021-01-28T00:00:00"/>
    <s v="RV"/>
    <s v="USD"/>
    <n v="-62.32"/>
    <s v="83.94994"/>
    <s v="BDT"/>
    <n v="-5231.76"/>
    <n v="-62.32"/>
    <s v="62.32_1"/>
    <s v=""/>
    <s v="C3290UQ21KR0062"/>
    <s v="20210122"/>
    <s v=""/>
    <s v=""/>
    <s v="0"/>
    <s v=""/>
    <s v=""/>
    <s v=""/>
    <s v=""/>
    <s v="2010100001"/>
    <s v=""/>
    <m/>
    <s v=""/>
    <s v=""/>
    <s v=""/>
    <n v="0"/>
  </r>
  <r>
    <s v=""/>
    <s v="40101001"/>
    <s v="2008000024"/>
    <x v="60"/>
    <d v="2020-08-25T00:00:00"/>
    <d v="2020-08-29T00:00:00"/>
    <s v="DR"/>
    <s v="USD"/>
    <n v="-61.18"/>
    <s v="83.94998"/>
    <s v="BDT"/>
    <n v="-5136.0600000000004"/>
    <n v="-61.18"/>
    <s v="61.18_1"/>
    <s v=""/>
    <s v="SC3088UQ20JP76"/>
    <s v="SC3088UQ20JP7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12"/>
    <s v="2008000047"/>
    <x v="184"/>
    <d v="2020-09-30T00:00:00"/>
    <d v="2020-10-10T00:00:00"/>
    <s v="DR"/>
    <s v="USD"/>
    <n v="-60"/>
    <s v="83.95000"/>
    <s v="BDT"/>
    <n v="-5037"/>
    <n v="-60"/>
    <s v="60_1"/>
    <s v=""/>
    <s v="CIPL-MSGL-209-20"/>
    <s v="CIPL-MSGL-209-20"/>
    <s v="Outside wash sales to mascot garments ltd"/>
    <s v=""/>
    <s v="0"/>
    <s v="Outside Washing Sales"/>
    <s v=""/>
    <s v=""/>
    <s v=""/>
    <s v="2010200001"/>
    <s v=""/>
    <m/>
    <s v=""/>
    <s v=""/>
    <s v=""/>
    <n v="0"/>
  </r>
  <r>
    <s v=""/>
    <s v="40101001"/>
    <s v="2008000123"/>
    <x v="300"/>
    <d v="2020-12-26T00:00:00"/>
    <d v="2020-12-31T00:00:00"/>
    <s v="DR"/>
    <s v="USD"/>
    <n v="-60"/>
    <s v="83.95000"/>
    <s v="BDT"/>
    <n v="-5037"/>
    <n v="-60"/>
    <s v="60_2"/>
    <s v=""/>
    <s v="SC3216LVUS015920"/>
    <s v="SC3216LVUS0159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85"/>
    <x v="110"/>
    <d v="2020-11-08T00:00:00"/>
    <d v="2020-11-28T00:00:00"/>
    <s v="DR"/>
    <s v="USD"/>
    <n v="-59.1"/>
    <s v="83.95008"/>
    <s v="BDT"/>
    <n v="-4961.45"/>
    <n v="-59.1"/>
    <s v="59.1_1"/>
    <s v=""/>
    <s v="SC3168UQ20JP097"/>
    <s v="SC3168UQ20JP09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28"/>
    <x v="60"/>
    <d v="2020-08-25T00:00:00"/>
    <d v="2020-08-29T00:00:00"/>
    <s v="DR"/>
    <s v="USD"/>
    <n v="-57"/>
    <s v="83.95000"/>
    <s v="BDT"/>
    <n v="-4785.1499999999996"/>
    <n v="-57"/>
    <s v="57_1"/>
    <s v=""/>
    <s v="SC3093UQ20JP41"/>
    <s v="SC3093UQ20JP4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64"/>
    <x v="205"/>
    <d v="2021-05-28T00:00:00"/>
    <d v="2021-06-02T00:00:00"/>
    <s v="DR"/>
    <s v="USD"/>
    <n v="-57"/>
    <s v="83.95000"/>
    <s v="BDT"/>
    <n v="-4785.1499999999996"/>
    <n v="-57"/>
    <s v="57_2"/>
    <s v=""/>
    <s v="SC3327LVPA09321"/>
    <s v="SC3327LVUS09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22"/>
    <x v="75"/>
    <d v="2021-06-17T00:00:00"/>
    <d v="2021-06-29T00:00:00"/>
    <s v="DR"/>
    <s v="USD"/>
    <n v="-57"/>
    <s v="83.95000"/>
    <s v="BDT"/>
    <n v="-4785.1499999999996"/>
    <n v="-57"/>
    <s v="57_3"/>
    <s v=""/>
    <s v="SC3327LVMX08221"/>
    <s v="SC3327LVMX08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9"/>
    <x v="15"/>
    <d v="2021-05-04T00:00:00"/>
    <d v="2021-05-23T00:00:00"/>
    <s v="DR"/>
    <s v="USD"/>
    <n v="-51.55"/>
    <s v="83.94995"/>
    <s v="BDT"/>
    <n v="-4327.62"/>
    <n v="-51.55"/>
    <s v="51.55_1"/>
    <s v=""/>
    <s v="SC3169UQ21JP011"/>
    <s v="SC3169UQ21JP01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1"/>
    <x v="88"/>
    <d v="2021-06-11T00:00:00"/>
    <d v="2021-06-23T00:00:00"/>
    <s v="DR"/>
    <s v="USD"/>
    <n v="-50"/>
    <s v="83.95000"/>
    <s v="BDT"/>
    <n v="-4197.5"/>
    <n v="-50"/>
    <s v="50_1"/>
    <s v=""/>
    <s v="SC3327LVUS05921"/>
    <s v="SC3327LVUS05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2"/>
    <x v="88"/>
    <d v="2021-06-11T00:00:00"/>
    <d v="2021-06-23T00:00:00"/>
    <s v="DR"/>
    <s v="USD"/>
    <n v="-50"/>
    <s v="83.95000"/>
    <s v="BDT"/>
    <n v="-4197.5"/>
    <n v="-50"/>
    <s v="50_2"/>
    <s v=""/>
    <s v="SC3327LVUS10421"/>
    <s v="SC3327LVUS10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9"/>
    <x v="88"/>
    <d v="2021-06-11T00:00:00"/>
    <d v="2021-06-24T00:00:00"/>
    <s v="DR"/>
    <s v="USD"/>
    <n v="-50"/>
    <s v="83.95000"/>
    <s v="BDT"/>
    <n v="-4197.5"/>
    <n v="-50"/>
    <s v="50_3"/>
    <s v=""/>
    <s v="SC3327LVUS06521"/>
    <s v="SC3327LVUS06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90"/>
    <x v="88"/>
    <d v="2021-06-11T00:00:00"/>
    <d v="2021-06-24T00:00:00"/>
    <s v="DR"/>
    <s v="USD"/>
    <n v="-50"/>
    <s v="83.95000"/>
    <s v="BDT"/>
    <n v="-4197.5"/>
    <n v="-50"/>
    <s v="50_4"/>
    <s v=""/>
    <s v="SC3327LVUS07221"/>
    <s v="SC3327LVUS07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96"/>
    <x v="88"/>
    <d v="2021-06-11T00:00:00"/>
    <d v="2021-06-25T00:00:00"/>
    <s v="DR"/>
    <s v="USD"/>
    <n v="-50"/>
    <s v="83.95000"/>
    <s v="BDT"/>
    <n v="-4197.5"/>
    <n v="-50"/>
    <s v="50_5"/>
    <s v=""/>
    <s v="SC3327LVUS09921"/>
    <s v="SC3327LVUS09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7"/>
    <x v="75"/>
    <d v="2021-06-17T00:00:00"/>
    <d v="2021-06-29T00:00:00"/>
    <s v="DR"/>
    <s v="USD"/>
    <n v="-50"/>
    <s v="83.95000"/>
    <s v="BDT"/>
    <n v="-4197.5"/>
    <n v="-50"/>
    <s v="50_6"/>
    <s v=""/>
    <s v="SC3327LVBE10821"/>
    <s v="SC3327LVBE10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8"/>
    <x v="75"/>
    <d v="2021-06-17T00:00:00"/>
    <d v="2021-06-29T00:00:00"/>
    <s v="DR"/>
    <s v="USD"/>
    <n v="-50"/>
    <s v="83.95000"/>
    <s v="BDT"/>
    <n v="-4197.5"/>
    <n v="-50"/>
    <s v="50_7"/>
    <s v=""/>
    <s v="SC3327LVPA09421"/>
    <s v="SC3327LVPA09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21"/>
    <x v="75"/>
    <d v="2021-06-17T00:00:00"/>
    <d v="2021-06-29T00:00:00"/>
    <s v="DR"/>
    <s v="USD"/>
    <n v="-50"/>
    <s v="83.95000"/>
    <s v="BDT"/>
    <n v="-4197.5"/>
    <n v="-50"/>
    <s v="50_8"/>
    <s v=""/>
    <s v="SC3327LVBE09221"/>
    <s v="SC3327LVBE09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24"/>
    <x v="75"/>
    <d v="2021-06-17T00:00:00"/>
    <d v="2021-06-29T00:00:00"/>
    <s v="DR"/>
    <s v="USD"/>
    <n v="-50"/>
    <s v="83.95000"/>
    <s v="BDT"/>
    <n v="-4197.5"/>
    <n v="-50"/>
    <s v="50_9"/>
    <s v=""/>
    <s v="SC3327LVMX12021"/>
    <s v="SC3327LVMX12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26"/>
    <x v="75"/>
    <d v="2021-06-17T00:00:00"/>
    <d v="2021-06-29T00:00:00"/>
    <s v="DR"/>
    <s v="USD"/>
    <n v="-50"/>
    <s v="83.95000"/>
    <s v="BDT"/>
    <n v="-4197.5"/>
    <n v="-50"/>
    <s v="50_10"/>
    <s v=""/>
    <s v="SC3327LVUS11121"/>
    <s v="SC3327LVUS111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28"/>
    <x v="75"/>
    <d v="2021-06-17T00:00:00"/>
    <d v="2021-06-29T00:00:00"/>
    <s v="DR"/>
    <s v="USD"/>
    <n v="-50"/>
    <s v="83.95000"/>
    <s v="BDT"/>
    <n v="-4197.5"/>
    <n v="-50"/>
    <s v="50_11"/>
    <s v=""/>
    <s v="SC3327LVUS10921"/>
    <s v="SC3327LVUS10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29"/>
    <x v="75"/>
    <d v="2021-06-17T00:00:00"/>
    <d v="2021-06-29T00:00:00"/>
    <s v="DR"/>
    <s v="USD"/>
    <n v="-50"/>
    <s v="83.95000"/>
    <s v="BDT"/>
    <n v="-4197.5"/>
    <n v="-50"/>
    <s v="50_12"/>
    <s v=""/>
    <s v="SC3327LVMX11221"/>
    <s v="SC3327LVMX11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7"/>
    <x v="75"/>
    <d v="2021-06-17T00:00:00"/>
    <d v="2021-06-29T00:00:00"/>
    <s v="DR"/>
    <s v="USD"/>
    <n v="-50"/>
    <s v="83.95000"/>
    <s v="BDT"/>
    <n v="-4197.5"/>
    <n v="-50"/>
    <s v="50_13"/>
    <s v=""/>
    <s v="SC3327LVUS11921"/>
    <s v="SC3327LVUS11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45"/>
    <x v="75"/>
    <d v="2021-06-17T00:00:00"/>
    <d v="2021-06-29T00:00:00"/>
    <s v="DR"/>
    <s v="USD"/>
    <n v="-50"/>
    <s v="83.95000"/>
    <s v="BDT"/>
    <n v="-4197.5"/>
    <n v="-50"/>
    <s v="50_14"/>
    <s v=""/>
    <s v="SC3327LVUS11821"/>
    <s v="SC3327LVUS11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43"/>
    <x v="211"/>
    <d v="2021-01-03T00:00:00"/>
    <d v="2021-01-24T00:00:00"/>
    <s v="DR"/>
    <s v="USD"/>
    <n v="-49.25"/>
    <s v="83.95005"/>
    <s v="BDT"/>
    <n v="-4134.54"/>
    <n v="-49.25"/>
    <s v="49.25_1"/>
    <s v=""/>
    <s v="SC3168UQ20SG0178"/>
    <s v="SC3168UQ20SG017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45"/>
    <x v="211"/>
    <d v="2021-01-03T00:00:00"/>
    <d v="2021-01-24T00:00:00"/>
    <s v="DR"/>
    <s v="USD"/>
    <n v="-49.25"/>
    <s v="83.95005"/>
    <s v="BDT"/>
    <n v="-4134.54"/>
    <n v="-49.25"/>
    <s v="49.25_2"/>
    <s v=""/>
    <s v="SC3168UQ20MY0176"/>
    <s v="SC3168UQ20MY017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49"/>
    <x v="211"/>
    <d v="2021-01-03T00:00:00"/>
    <d v="2021-01-24T00:00:00"/>
    <s v="DR"/>
    <s v="USD"/>
    <n v="-49.25"/>
    <s v="83.95005"/>
    <s v="BDT"/>
    <n v="-4134.54"/>
    <n v="-49.25"/>
    <s v="49.25_3"/>
    <s v=""/>
    <s v="SC3168UQ20IDN177"/>
    <s v="SC3168UQ20IDN17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54"/>
    <x v="211"/>
    <d v="2021-01-03T00:00:00"/>
    <d v="2021-01-24T00:00:00"/>
    <s v="DR"/>
    <s v="USD"/>
    <n v="-49.25"/>
    <s v="83.95005"/>
    <s v="BDT"/>
    <n v="-4134.54"/>
    <n v="-49.25"/>
    <s v="49.25_4"/>
    <s v=""/>
    <s v="SC3168UQ20TH0179"/>
    <s v="SC3168UQ20TH017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56"/>
    <x v="211"/>
    <d v="2021-01-03T00:00:00"/>
    <d v="2021-01-24T00:00:00"/>
    <s v="DR"/>
    <s v="USD"/>
    <n v="-49.25"/>
    <s v="83.95005"/>
    <s v="BDT"/>
    <n v="-4134.54"/>
    <n v="-49.25"/>
    <s v="49.25_5"/>
    <s v=""/>
    <s v="SC3168UQ20JP0162"/>
    <s v="SC3168UQ20JP016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61"/>
    <x v="211"/>
    <d v="2021-01-03T00:00:00"/>
    <d v="2021-01-24T00:00:00"/>
    <s v="DR"/>
    <s v="USD"/>
    <n v="-49.25"/>
    <s v="83.95005"/>
    <s v="BDT"/>
    <n v="-4134.54"/>
    <n v="-49.25"/>
    <s v="49.25_6"/>
    <s v=""/>
    <s v="SC3168UQ20KOR175"/>
    <s v="SC3168UQ20KOR17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78"/>
    <x v="143"/>
    <d v="2021-01-31T00:00:00"/>
    <d v="2021-02-04T00:00:00"/>
    <s v="DR"/>
    <s v="USD"/>
    <n v="-49.25"/>
    <s v="83.95005"/>
    <s v="BDT"/>
    <n v="-4134.54"/>
    <n v="-49.25"/>
    <s v="49.25_7"/>
    <s v=""/>
    <s v="SC3168UQ21JP0001"/>
    <s v="SC3168UQ21JP000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94"/>
    <x v="88"/>
    <d v="2021-06-11T00:00:00"/>
    <d v="2021-06-24T00:00:00"/>
    <s v="DR"/>
    <s v="USD"/>
    <n v="-48"/>
    <s v="83.95000"/>
    <s v="BDT"/>
    <n v="-4029.6"/>
    <n v="-48"/>
    <s v="48_1"/>
    <s v=""/>
    <s v="SC3327LVMX09021"/>
    <s v="SC3327LVMX09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19"/>
    <x v="60"/>
    <d v="2020-08-25T00:00:00"/>
    <d v="2020-08-29T00:00:00"/>
    <s v="DR"/>
    <s v="USD"/>
    <n v="-47.48"/>
    <s v="83.95008"/>
    <s v="BDT"/>
    <n v="-3985.95"/>
    <n v="-47.48"/>
    <s v="47.48_1"/>
    <s v=""/>
    <s v="SC3088UQ20JP088"/>
    <s v="SC3088UQ20JP08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41"/>
    <x v="188"/>
    <d v="2021-01-01T00:00:00"/>
    <d v="2021-01-24T00:00:00"/>
    <s v="DR"/>
    <s v="USD"/>
    <n v="-46"/>
    <s v="83.95000"/>
    <s v="BDT"/>
    <n v="-3861.7"/>
    <n v="-46"/>
    <s v="46_1"/>
    <s v=""/>
    <s v="SC3216LVUS016820"/>
    <s v="SC3216LVUS0168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20"/>
    <x v="60"/>
    <d v="2020-08-25T00:00:00"/>
    <d v="2020-08-29T00:00:00"/>
    <s v="DR"/>
    <s v="USD"/>
    <n v="-45"/>
    <s v="83.95000"/>
    <s v="BDT"/>
    <n v="-3777.75"/>
    <n v="-45"/>
    <s v="45_1"/>
    <s v=""/>
    <s v="SC3088UQ20KOR085"/>
    <s v="SC3088UQ20KOR08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21"/>
    <x v="60"/>
    <d v="2020-08-25T00:00:00"/>
    <d v="2020-08-29T00:00:00"/>
    <s v="DR"/>
    <s v="USD"/>
    <n v="-45"/>
    <s v="83.95000"/>
    <s v="BDT"/>
    <n v="-3777.75"/>
    <n v="-45"/>
    <s v="45_2"/>
    <s v=""/>
    <s v="SC3088UQ20IN084"/>
    <s v="SC3088UQ20IN08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22"/>
    <x v="60"/>
    <d v="2020-08-25T00:00:00"/>
    <d v="2020-08-29T00:00:00"/>
    <s v="DR"/>
    <s v="USD"/>
    <n v="-45"/>
    <s v="83.95000"/>
    <s v="BDT"/>
    <n v="-3777.75"/>
    <n v="-45"/>
    <s v="45_3"/>
    <s v=""/>
    <s v="SC3088UQ20US082"/>
    <s v="SC3088UQ20US08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25"/>
    <x v="60"/>
    <d v="2020-08-25T00:00:00"/>
    <d v="2020-08-29T00:00:00"/>
    <s v="DR"/>
    <s v="USD"/>
    <n v="-45"/>
    <s v="83.95000"/>
    <s v="BDT"/>
    <n v="-3777.75"/>
    <n v="-45"/>
    <s v="45_4"/>
    <s v=""/>
    <s v="SC3088UQ20CN083"/>
    <s v="SC3088UQ20CN08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69"/>
    <x v="62"/>
    <d v="2021-01-18T00:00:00"/>
    <d v="2021-01-24T00:00:00"/>
    <s v="DR"/>
    <s v="USD"/>
    <n v="-44"/>
    <s v="83.95000"/>
    <s v="BDT"/>
    <n v="-3693.8"/>
    <n v="-44"/>
    <s v="44_1"/>
    <s v=""/>
    <s v="SC3216LVUS015520"/>
    <s v="SC3216LVUS0155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60"/>
    <x v="266"/>
    <d v="2021-05-22T00:00:00"/>
    <d v="2021-05-30T00:00:00"/>
    <s v="DR"/>
    <s v="USD"/>
    <n v="-43"/>
    <s v="83.95000"/>
    <s v="BDT"/>
    <n v="-3609.85"/>
    <n v="-43"/>
    <s v="43_1"/>
    <s v=""/>
    <s v="SCADLVUS00521"/>
    <s v="SCADLVUS00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83"/>
    <x v="110"/>
    <d v="2020-11-08T00:00:00"/>
    <d v="2020-11-28T00:00:00"/>
    <s v="DR"/>
    <s v="USD"/>
    <n v="-41.24"/>
    <s v="83.95005"/>
    <s v="BDT"/>
    <n v="-3462.1"/>
    <n v="-41.24"/>
    <s v="41.24_1"/>
    <s v=""/>
    <s v="SC3169UQ20RU110"/>
    <s v="SC3169UQ20RU11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02"/>
    <x v="311"/>
    <d v="2020-12-04T00:00:00"/>
    <d v="2020-12-24T00:00:00"/>
    <s v="DR"/>
    <s v="USD"/>
    <n v="-41.24"/>
    <s v="83.95005"/>
    <s v="BDT"/>
    <n v="-3462.1"/>
    <n v="-41.24"/>
    <s v="41.24_2"/>
    <s v=""/>
    <s v="SC3169UQ20JP0159"/>
    <s v="SC3169UQ20JP0159"/>
    <s v="Samle sales to EDL HK"/>
    <s v=""/>
    <s v="0"/>
    <s v="Samle sales to EDL HK"/>
    <s v=""/>
    <s v=""/>
    <s v=""/>
    <s v="2010100001"/>
    <s v=""/>
    <m/>
    <s v=""/>
    <s v=""/>
    <s v=""/>
    <n v="0"/>
  </r>
  <r>
    <s v=""/>
    <s v="40101001"/>
    <s v="2008000146"/>
    <x v="211"/>
    <d v="2021-01-03T00:00:00"/>
    <d v="2021-01-24T00:00:00"/>
    <s v="DR"/>
    <s v="USD"/>
    <n v="-41.24"/>
    <s v="83.95005"/>
    <s v="BDT"/>
    <n v="-3462.1"/>
    <n v="-41.24"/>
    <s v="41.24_3"/>
    <s v=""/>
    <s v="SC3169UQ20TH0181"/>
    <s v="SC3169UQ20TH018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47"/>
    <x v="211"/>
    <d v="2021-01-03T00:00:00"/>
    <d v="2021-01-24T00:00:00"/>
    <s v="DR"/>
    <s v="USD"/>
    <n v="-41.24"/>
    <s v="83.95005"/>
    <s v="BDT"/>
    <n v="-3462.1"/>
    <n v="-41.24"/>
    <s v="41.24_4"/>
    <s v=""/>
    <s v="SC3169UQ20MY0186"/>
    <s v="SC3169UQ20MY018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48"/>
    <x v="211"/>
    <d v="2021-01-03T00:00:00"/>
    <d v="2021-01-24T00:00:00"/>
    <s v="DR"/>
    <s v="USD"/>
    <n v="-41.24"/>
    <s v="83.95005"/>
    <s v="BDT"/>
    <n v="-3462.1"/>
    <n v="-41.24"/>
    <s v="41.24_5"/>
    <s v=""/>
    <s v="SC3169UQ20KOR185"/>
    <s v="SC3169UQ20KOR18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53"/>
    <x v="211"/>
    <d v="2021-01-03T00:00:00"/>
    <d v="2021-01-24T00:00:00"/>
    <s v="DR"/>
    <s v="USD"/>
    <n v="-41.24"/>
    <s v="83.95005"/>
    <s v="BDT"/>
    <n v="-3462.1"/>
    <n v="-41.24"/>
    <s v="41.24_6"/>
    <s v=""/>
    <s v="SC3169UQ20IDN184"/>
    <s v="SC3169UQ20IDN18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58"/>
    <x v="211"/>
    <d v="2021-01-03T00:00:00"/>
    <d v="2021-01-24T00:00:00"/>
    <s v="DR"/>
    <s v="USD"/>
    <n v="-41.24"/>
    <s v="83.95005"/>
    <s v="BDT"/>
    <n v="-3462.1"/>
    <n v="-41.24"/>
    <s v="41.24_7"/>
    <s v=""/>
    <s v="SC3169UQ20SG0187"/>
    <s v="SC3169UQ20SG018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15"/>
    <x v="60"/>
    <d v="2020-08-25T00:00:00"/>
    <d v="2020-08-29T00:00:00"/>
    <s v="DR"/>
    <s v="USD"/>
    <n v="-41.1"/>
    <s v="83.95012"/>
    <s v="BDT"/>
    <n v="-3450.35"/>
    <n v="-41.1"/>
    <s v="41.1_1"/>
    <s v=""/>
    <s v="SC3120UQ20JP74"/>
    <s v="SC3120UQ20JP7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17"/>
    <x v="60"/>
    <d v="2020-08-25T00:00:00"/>
    <d v="2020-08-29T00:00:00"/>
    <s v="DR"/>
    <s v="USD"/>
    <n v="-41.1"/>
    <s v="83.95012"/>
    <s v="BDT"/>
    <n v="-3450.35"/>
    <n v="-41.1"/>
    <s v="41.1_2"/>
    <s v=""/>
    <s v="SC3120UQ20JP75"/>
    <s v="SC3120UQ20JP7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32"/>
    <x v="188"/>
    <d v="2021-01-01T00:00:00"/>
    <d v="2021-01-24T00:00:00"/>
    <s v="DR"/>
    <s v="USD"/>
    <n v="-41"/>
    <s v="83.95000"/>
    <s v="BDT"/>
    <n v="-3441.95"/>
    <n v="-41"/>
    <s v="41_1"/>
    <s v=""/>
    <s v="SC3216LVUS016620"/>
    <s v="SC3216LVUS0166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40"/>
    <x v="188"/>
    <d v="2021-01-01T00:00:00"/>
    <d v="2021-01-24T00:00:00"/>
    <s v="DR"/>
    <s v="USD"/>
    <n v="-41"/>
    <s v="83.95000"/>
    <s v="BDT"/>
    <n v="-3441.95"/>
    <n v="-41"/>
    <s v="41_2"/>
    <s v=""/>
    <s v="SC3216LVUS016520"/>
    <s v="SC3216LVUS0165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2"/>
    <x v="170"/>
    <d v="2021-06-24T00:00:00"/>
    <d v="2021-06-27T00:00:00"/>
    <s v="DR"/>
    <s v="USD"/>
    <n v="-39.840000000000003"/>
    <s v="83.95005"/>
    <s v="BDT"/>
    <n v="-3344.57"/>
    <n v="-39.840000000000003"/>
    <s v="39.84_1"/>
    <s v=""/>
    <s v="SC3308UQ21US146"/>
    <s v="SC3308UQ21US14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44"/>
    <x v="211"/>
    <d v="2021-01-03T00:00:00"/>
    <d v="2021-01-24T00:00:00"/>
    <s v="DR"/>
    <s v="USD"/>
    <n v="-39.4"/>
    <s v="83.95000"/>
    <s v="BDT"/>
    <n v="-3307.63"/>
    <n v="-39.4"/>
    <s v="39.4_1"/>
    <s v=""/>
    <s v="SC3168UQ20RUS161"/>
    <s v="SC3168UQ20RUS16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62"/>
    <x v="211"/>
    <d v="2021-01-03T00:00:00"/>
    <d v="2021-01-24T00:00:00"/>
    <s v="DR"/>
    <s v="USD"/>
    <n v="-39.4"/>
    <s v="83.95000"/>
    <s v="BDT"/>
    <n v="-3307.63"/>
    <n v="-39.4"/>
    <s v="39.4_2"/>
    <s v=""/>
    <s v="SC3168UQ20JP0163"/>
    <s v="SC3168UQ20JP016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1"/>
    <x v="15"/>
    <d v="2021-05-04T00:00:00"/>
    <d v="2021-05-23T00:00:00"/>
    <s v="DR"/>
    <s v="USD"/>
    <n v="-38.76"/>
    <s v="83.94995"/>
    <s v="BDT"/>
    <n v="-3253.9"/>
    <n v="-38.76"/>
    <s v="38.76_1"/>
    <s v=""/>
    <s v="SC3168UQ21JP007"/>
    <s v="SC3168UQ21JP00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2"/>
    <x v="170"/>
    <d v="2021-06-24T00:00:00"/>
    <d v="2021-06-27T00:00:00"/>
    <s v="DR"/>
    <s v="USD"/>
    <n v="-38.76"/>
    <s v="83.94995"/>
    <s v="BDT"/>
    <n v="-3253.9"/>
    <n v="-38.76"/>
    <s v="38.76_2"/>
    <s v=""/>
    <s v="SC3168UQ21JP147"/>
    <s v="SC3168UQ21JP14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16"/>
    <x v="280"/>
    <d v="2020-12-10T00:00:00"/>
    <d v="2020-12-26T00:00:00"/>
    <s v="DR"/>
    <s v="USD"/>
    <n v="-38"/>
    <s v="83.95000"/>
    <s v="BDT"/>
    <n v="-3190.1"/>
    <n v="-38"/>
    <s v="38_1"/>
    <s v=""/>
    <s v="SC3216LVUS013020"/>
    <s v="SC3216LVUS0130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12"/>
    <x v="60"/>
    <d v="2020-08-25T00:00:00"/>
    <d v="2020-08-29T00:00:00"/>
    <s v="DR"/>
    <s v="USD"/>
    <n v="-37.03"/>
    <s v="83.95004"/>
    <s v="BDT"/>
    <n v="-3108.67"/>
    <n v="-37.03"/>
    <s v="37.03_1"/>
    <s v=""/>
    <s v="SC3113UQ20JP72"/>
    <s v="SC3113UQ20JP7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14"/>
    <x v="60"/>
    <d v="2020-08-25T00:00:00"/>
    <d v="2020-08-29T00:00:00"/>
    <s v="DR"/>
    <s v="USD"/>
    <n v="-37.03"/>
    <s v="83.95004"/>
    <s v="BDT"/>
    <n v="-3108.67"/>
    <n v="-37.03"/>
    <s v="37.03_2"/>
    <s v=""/>
    <s v="SC3131UQ20JP73"/>
    <s v="SC3131UQ20JP7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0722"/>
    <x v="300"/>
    <d v="2020-12-26T00:00:00"/>
    <d v="2020-12-31T00:00:00"/>
    <s v="RV"/>
    <s v="USD"/>
    <n v="-32"/>
    <s v="83.95000"/>
    <s v="BDT"/>
    <n v="-2686.4"/>
    <n v="-32"/>
    <s v="32_1"/>
    <s v=""/>
    <s v="SC3216LVUS009920"/>
    <s v="20201226"/>
    <s v=""/>
    <s v=""/>
    <s v="0"/>
    <s v=""/>
    <s v=""/>
    <s v=""/>
    <s v=""/>
    <s v="2010100001"/>
    <s v=""/>
    <m/>
    <s v=""/>
    <s v=""/>
    <s v=""/>
    <n v="0"/>
  </r>
  <r>
    <s v=""/>
    <s v="40101001"/>
    <s v="2008000135"/>
    <x v="188"/>
    <d v="2021-01-01T00:00:00"/>
    <d v="2021-01-24T00:00:00"/>
    <s v="DR"/>
    <s v="USD"/>
    <n v="-32"/>
    <s v="83.95000"/>
    <s v="BDT"/>
    <n v="-2686.4"/>
    <n v="-32"/>
    <s v="32_2"/>
    <s v=""/>
    <s v="SC3216LVUS010920"/>
    <s v="SC3216LVUS0109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5"/>
    <x v="75"/>
    <d v="2021-06-17T00:00:00"/>
    <d v="2021-06-29T00:00:00"/>
    <s v="DR"/>
    <s v="USD"/>
    <n v="-32"/>
    <s v="83.95000"/>
    <s v="BDT"/>
    <n v="-2686.4"/>
    <n v="-32"/>
    <s v="32_3"/>
    <s v=""/>
    <s v="SC3327LVUS07921"/>
    <s v="SC3327LVUS07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0"/>
    <x v="75"/>
    <d v="2021-06-17T00:00:00"/>
    <d v="2021-06-29T00:00:00"/>
    <s v="DR"/>
    <s v="USD"/>
    <n v="-32"/>
    <s v="83.95000"/>
    <s v="BDT"/>
    <n v="-2686.4"/>
    <n v="-32"/>
    <s v="32_4"/>
    <s v=""/>
    <s v="SC3327LVUS05021"/>
    <s v="SC3327LVUS05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50"/>
    <x v="75"/>
    <d v="2021-06-17T00:00:00"/>
    <d v="2021-07-07T00:00:00"/>
    <s v="DR"/>
    <s v="USD"/>
    <n v="-32"/>
    <s v="83.95000"/>
    <s v="BDT"/>
    <n v="-2686.4"/>
    <n v="-32"/>
    <s v="32_5"/>
    <s v=""/>
    <s v="SC3327LVBE09221"/>
    <s v="SC3327LVBE09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18001116"/>
    <x v="177"/>
    <d v="2021-03-23T00:00:00"/>
    <d v="2021-03-28T00:00:00"/>
    <s v="RV"/>
    <s v="USD"/>
    <n v="-31.5"/>
    <s v="83.95016"/>
    <s v="BDT"/>
    <n v="-2644.43"/>
    <n v="-31.5"/>
    <s v="31.5_1"/>
    <s v=""/>
    <s v="C3173AMZLB036321"/>
    <s v="20210323"/>
    <s v=""/>
    <s v=""/>
    <s v="0"/>
    <s v=""/>
    <s v=""/>
    <s v=""/>
    <s v=""/>
    <s v="2010100001"/>
    <s v=""/>
    <m/>
    <s v=""/>
    <s v=""/>
    <s v=""/>
    <n v="0"/>
  </r>
  <r>
    <s v=""/>
    <s v="40101001"/>
    <s v="2008000038"/>
    <x v="248"/>
    <d v="2020-09-15T00:00:00"/>
    <d v="2020-09-27T00:00:00"/>
    <s v="DR"/>
    <s v="USD"/>
    <n v="-30"/>
    <s v="83.95000"/>
    <s v="BDT"/>
    <n v="-2518.5"/>
    <n v="-30"/>
    <s v="30_1"/>
    <s v=""/>
    <s v="SCADSMLVUS09120"/>
    <s v="SCADSMLVUS091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00"/>
    <x v="171"/>
    <d v="2021-03-01T00:00:00"/>
    <d v="2021-04-05T00:00:00"/>
    <s v="DR"/>
    <s v="USD"/>
    <n v="-30"/>
    <s v="83.95000"/>
    <s v="BDT"/>
    <n v="-2518.5"/>
    <n v="-30"/>
    <s v="30_2"/>
    <s v=""/>
    <s v="SC3216LVJP016020"/>
    <s v="SC3216LVJP0160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19"/>
    <x v="300"/>
    <d v="2020-12-26T00:00:00"/>
    <d v="2020-12-31T00:00:00"/>
    <s v="DR"/>
    <s v="USD"/>
    <n v="-28"/>
    <s v="83.95000"/>
    <s v="BDT"/>
    <n v="-2350.6"/>
    <n v="-28"/>
    <s v="28_1"/>
    <s v=""/>
    <s v="SC3216LVUS015720"/>
    <s v="SC3216LVUS0157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59"/>
    <x v="266"/>
    <d v="2021-05-22T00:00:00"/>
    <d v="2021-05-30T00:00:00"/>
    <s v="DR"/>
    <s v="USD"/>
    <n v="-28"/>
    <s v="83.95000"/>
    <s v="BDT"/>
    <n v="-2350.6"/>
    <n v="-28"/>
    <s v="28_2"/>
    <s v=""/>
    <s v="SCAD LVUS00621"/>
    <s v="SCAD LVUS00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26"/>
    <x v="60"/>
    <d v="2020-08-25T00:00:00"/>
    <d v="2020-08-29T00:00:00"/>
    <s v="DR"/>
    <s v="USD"/>
    <n v="-27.4"/>
    <s v="83.95000"/>
    <s v="BDT"/>
    <n v="-2300.23"/>
    <n v="-27.4"/>
    <s v="27.4_1"/>
    <s v=""/>
    <s v="SC3012UQ20JP62"/>
    <s v="SC3012UQ20JP6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27"/>
    <x v="60"/>
    <d v="2020-08-25T00:00:00"/>
    <d v="2020-08-29T00:00:00"/>
    <s v="DR"/>
    <s v="USD"/>
    <n v="-26.45"/>
    <s v="83.95009"/>
    <s v="BDT"/>
    <n v="-2220.48"/>
    <n v="-26.45"/>
    <s v="26.45_1"/>
    <s v=""/>
    <s v="SC330UQ20JP059"/>
    <s v="SC330UQ20JP05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78"/>
    <x v="88"/>
    <d v="2021-06-11T00:00:00"/>
    <d v="2021-06-23T00:00:00"/>
    <s v="DR"/>
    <s v="USD"/>
    <n v="-25"/>
    <s v="83.95000"/>
    <s v="BDT"/>
    <n v="-2098.75"/>
    <n v="-25"/>
    <s v="25_1"/>
    <s v=""/>
    <s v="SC3327LVUS10321"/>
    <s v="SC3327LVUS10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79"/>
    <x v="88"/>
    <d v="2021-06-11T00:00:00"/>
    <d v="2021-06-23T00:00:00"/>
    <s v="DR"/>
    <s v="USD"/>
    <n v="-25"/>
    <s v="83.95000"/>
    <s v="BDT"/>
    <n v="-2098.75"/>
    <n v="-25"/>
    <s v="25_2"/>
    <s v=""/>
    <s v="SC3327LVMX09621"/>
    <s v="SC3327LVMX09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85"/>
    <x v="88"/>
    <d v="2021-06-11T00:00:00"/>
    <d v="2021-06-24T00:00:00"/>
    <s v="DR"/>
    <s v="USD"/>
    <n v="-25"/>
    <s v="83.95000"/>
    <s v="BDT"/>
    <n v="-2098.75"/>
    <n v="-25"/>
    <s v="25_3"/>
    <s v=""/>
    <s v="SC3327LVUS09721"/>
    <s v="SC3327LVUS097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99"/>
    <x v="88"/>
    <d v="2021-06-11T00:00:00"/>
    <d v="2021-06-25T00:00:00"/>
    <s v="DR"/>
    <s v="USD"/>
    <n v="-25"/>
    <s v="83.95000"/>
    <s v="BDT"/>
    <n v="-2098.75"/>
    <n v="-25"/>
    <s v="25_4"/>
    <s v=""/>
    <s v="SC3327LVUS10021"/>
    <s v="SC3327LVUS10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25"/>
    <x v="75"/>
    <d v="2021-06-17T00:00:00"/>
    <d v="2021-06-29T00:00:00"/>
    <s v="DR"/>
    <s v="USD"/>
    <n v="-25"/>
    <s v="83.95000"/>
    <s v="BDT"/>
    <n v="-2098.75"/>
    <n v="-25"/>
    <s v="25_5"/>
    <s v=""/>
    <s v="SC3327LVBE12321"/>
    <s v="SC3327LVBE12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27"/>
    <x v="75"/>
    <d v="2021-06-17T00:00:00"/>
    <d v="2021-06-29T00:00:00"/>
    <s v="DR"/>
    <s v="USD"/>
    <n v="-25"/>
    <s v="83.95000"/>
    <s v="BDT"/>
    <n v="-2098.75"/>
    <n v="-25"/>
    <s v="25_6"/>
    <s v=""/>
    <s v="SC3327LVPA12221"/>
    <s v="SC3327LVPA12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1"/>
    <x v="75"/>
    <d v="2021-06-17T00:00:00"/>
    <d v="2021-06-29T00:00:00"/>
    <s v="DR"/>
    <s v="USD"/>
    <n v="-25"/>
    <s v="83.95000"/>
    <s v="BDT"/>
    <n v="-2098.75"/>
    <n v="-25"/>
    <s v="25_7"/>
    <s v=""/>
    <s v="SC3327LVUS08521"/>
    <s v="SC3327LVUS08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2"/>
    <x v="75"/>
    <d v="2021-06-17T00:00:00"/>
    <d v="2021-06-29T00:00:00"/>
    <s v="DR"/>
    <s v="USD"/>
    <n v="-25"/>
    <s v="83.95000"/>
    <s v="BDT"/>
    <n v="-2098.75"/>
    <n v="-25"/>
    <s v="25_8"/>
    <s v=""/>
    <s v="SC3327LVUS14221"/>
    <s v="SC3327LVUS14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3"/>
    <x v="75"/>
    <d v="2021-06-17T00:00:00"/>
    <d v="2021-06-29T00:00:00"/>
    <s v="DR"/>
    <s v="USD"/>
    <n v="-25"/>
    <s v="83.95000"/>
    <s v="BDT"/>
    <n v="-2098.75"/>
    <n v="-25"/>
    <s v="25_9"/>
    <s v=""/>
    <s v="SC3327LVUS13721"/>
    <s v="SC3327LVUS137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38"/>
    <x v="75"/>
    <d v="2021-06-17T00:00:00"/>
    <d v="2021-06-29T00:00:00"/>
    <s v="DR"/>
    <s v="USD"/>
    <n v="-25"/>
    <s v="83.95000"/>
    <s v="BDT"/>
    <n v="-2098.75"/>
    <n v="-25"/>
    <s v="25_10"/>
    <s v=""/>
    <s v="SC3327LVUS13521"/>
    <s v="SC3327LVUS13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41"/>
    <x v="75"/>
    <d v="2021-06-17T00:00:00"/>
    <d v="2021-06-29T00:00:00"/>
    <s v="DR"/>
    <s v="USD"/>
    <n v="-25"/>
    <s v="83.95000"/>
    <s v="BDT"/>
    <n v="-2098.75"/>
    <n v="-25"/>
    <s v="25_11"/>
    <s v=""/>
    <s v="SC3327LVUS14321"/>
    <s v="SC3327LVUS14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42"/>
    <x v="75"/>
    <d v="2021-06-17T00:00:00"/>
    <d v="2021-06-29T00:00:00"/>
    <s v="DR"/>
    <s v="USD"/>
    <n v="-25"/>
    <s v="83.95000"/>
    <s v="BDT"/>
    <n v="-2098.75"/>
    <n v="-25"/>
    <s v="25_12"/>
    <s v=""/>
    <s v="SC3327LVMX13621"/>
    <s v="SC3327LVMX13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43"/>
    <x v="75"/>
    <d v="2021-06-17T00:00:00"/>
    <d v="2021-06-29T00:00:00"/>
    <s v="DR"/>
    <s v="USD"/>
    <n v="-25"/>
    <s v="83.95000"/>
    <s v="BDT"/>
    <n v="-2098.75"/>
    <n v="-25"/>
    <s v="25_13"/>
    <s v=""/>
    <s v="SC3327LVUS13321"/>
    <s v="SC3327LVUS13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44"/>
    <x v="75"/>
    <d v="2021-06-17T00:00:00"/>
    <d v="2021-06-29T00:00:00"/>
    <s v="DR"/>
    <s v="USD"/>
    <n v="-25"/>
    <s v="83.95000"/>
    <s v="BDT"/>
    <n v="-2098.75"/>
    <n v="-25"/>
    <s v="25_14"/>
    <s v=""/>
    <s v="SC3327LVMX14421"/>
    <s v="SC3327LVMX14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65"/>
    <x v="62"/>
    <d v="2021-01-18T00:00:00"/>
    <d v="2021-01-24T00:00:00"/>
    <s v="DR"/>
    <s v="USD"/>
    <n v="-22"/>
    <s v="83.95000"/>
    <s v="BDT"/>
    <n v="-1846.9"/>
    <n v="-22"/>
    <s v="22_1"/>
    <s v=""/>
    <s v="SC3216LVUS016420"/>
    <s v="SC3216LVUS0164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86"/>
    <x v="321"/>
    <d v="2021-02-06T00:00:00"/>
    <d v="2021-02-25T00:00:00"/>
    <s v="DR"/>
    <s v="USD"/>
    <n v="-21.99"/>
    <s v="83.94998"/>
    <s v="BDT"/>
    <n v="-1846.06"/>
    <n v="-21.99"/>
    <s v="21.99_1"/>
    <s v=""/>
    <s v="SC3216LVPA012820"/>
    <s v="SC3216LVPA0128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18"/>
    <x v="15"/>
    <d v="2021-05-04T00:00:00"/>
    <d v="2021-05-23T00:00:00"/>
    <s v="DR"/>
    <s v="USD"/>
    <n v="-20.62"/>
    <s v="83.95005"/>
    <s v="BDT"/>
    <n v="-1731.05"/>
    <n v="-20.62"/>
    <s v="20.62_1"/>
    <s v=""/>
    <s v="SC3169UQ21CN013"/>
    <s v="SC3169UQ21CN01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32"/>
    <x v="15"/>
    <d v="2021-05-04T00:00:00"/>
    <d v="2021-05-23T00:00:00"/>
    <s v="DR"/>
    <s v="USD"/>
    <n v="-19.920000000000002"/>
    <s v="83.94980"/>
    <s v="BDT"/>
    <n v="-1672.28"/>
    <n v="-19.920000000000002"/>
    <s v="19.92_1"/>
    <s v=""/>
    <s v="SC3308UQ21JP022"/>
    <s v="SC3308UQ21JP0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47"/>
    <x v="170"/>
    <d v="2021-06-24T00:00:00"/>
    <d v="2021-07-05T00:00:00"/>
    <s v="DR"/>
    <s v="USD"/>
    <n v="-19.920000000000002"/>
    <s v="83.94980"/>
    <s v="BDT"/>
    <n v="-1672.28"/>
    <n v="-19.920000000000002"/>
    <s v="19.92_2"/>
    <s v=""/>
    <s v="SC3308UQ21CN132"/>
    <s v="SC3308UQ21CN13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52"/>
    <x v="194"/>
    <d v="2021-05-21T00:00:00"/>
    <d v="2021-05-30T00:00:00"/>
    <s v="DR"/>
    <s v="USD"/>
    <n v="-19.86"/>
    <s v="83.95015"/>
    <s v="BDT"/>
    <n v="-1667.25"/>
    <n v="-19.86"/>
    <s v="19.86_1"/>
    <s v=""/>
    <s v="SC3364UQ21JP0104"/>
    <s v="SC3364UQ21JP010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73"/>
    <x v="194"/>
    <d v="2021-05-21T00:00:00"/>
    <d v="2021-06-09T00:00:00"/>
    <s v="DR"/>
    <s v="USD"/>
    <n v="-19.86"/>
    <s v="83.95015"/>
    <s v="BDT"/>
    <n v="-1667.25"/>
    <n v="-19.86"/>
    <s v="19.86_2"/>
    <s v=""/>
    <s v="SC3364UQ21JP0103"/>
    <s v="SC3364UQ21JP010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84"/>
    <x v="110"/>
    <d v="2020-11-08T00:00:00"/>
    <d v="2020-11-28T00:00:00"/>
    <s v="DR"/>
    <s v="USD"/>
    <n v="-19.600000000000001"/>
    <s v="83.95000"/>
    <s v="BDT"/>
    <n v="-1645.42"/>
    <n v="-19.600000000000001"/>
    <s v="19.6_1"/>
    <s v=""/>
    <s v="SC3205UQ20JP127"/>
    <s v="SC3205UQ20JP12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86"/>
    <x v="110"/>
    <d v="2020-11-08T00:00:00"/>
    <d v="2020-11-28T00:00:00"/>
    <s v="DR"/>
    <s v="USD"/>
    <n v="-19.600000000000001"/>
    <s v="83.95000"/>
    <s v="BDT"/>
    <n v="-1645.42"/>
    <n v="-19.600000000000001"/>
    <s v="19.6_2"/>
    <s v=""/>
    <s v="SC3205UQ20JP111"/>
    <s v="SC3205UQ20JP11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87"/>
    <x v="110"/>
    <d v="2020-11-08T00:00:00"/>
    <d v="2020-11-28T00:00:00"/>
    <s v="DR"/>
    <s v="USD"/>
    <n v="-19.600000000000001"/>
    <s v="83.95000"/>
    <s v="BDT"/>
    <n v="-1645.42"/>
    <n v="-19.600000000000001"/>
    <s v="19.6_3"/>
    <s v=""/>
    <s v="SC3205UQ20JP126"/>
    <s v="SC3205UQ20JP12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6"/>
    <x v="15"/>
    <d v="2021-05-04T00:00:00"/>
    <d v="2021-05-23T00:00:00"/>
    <s v="DR"/>
    <s v="USD"/>
    <n v="-19.38"/>
    <s v="83.94995"/>
    <s v="BDT"/>
    <n v="-1626.95"/>
    <n v="-19.38"/>
    <s v="19.38_1"/>
    <s v=""/>
    <s v="SC3168UQ21JP024"/>
    <s v="SC3168UQ21JP02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71"/>
    <x v="62"/>
    <d v="2021-01-18T00:00:00"/>
    <d v="2021-01-24T00:00:00"/>
    <s v="DR"/>
    <s v="USD"/>
    <n v="-19"/>
    <s v="83.95000"/>
    <s v="BDT"/>
    <n v="-1595.05"/>
    <n v="-19"/>
    <s v="19_1"/>
    <s v=""/>
    <s v="SC3216LVUS013920"/>
    <s v="SC3216LVUS0139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75"/>
    <x v="18"/>
    <d v="2020-11-05T00:00:00"/>
    <d v="2020-11-28T00:00:00"/>
    <s v="DR"/>
    <s v="USD"/>
    <n v="-16"/>
    <s v="83.95000"/>
    <s v="BDT"/>
    <n v="-1343.2"/>
    <n v="-16"/>
    <s v="16_1"/>
    <s v=""/>
    <s v="SC3216LVSG010620"/>
    <s v="SC3216LVSG0106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29"/>
    <x v="300"/>
    <d v="2020-12-26T00:00:00"/>
    <d v="2021-01-11T00:00:00"/>
    <s v="DR"/>
    <s v="USD"/>
    <n v="-16"/>
    <s v="83.95000"/>
    <s v="BDT"/>
    <n v="-1343.2"/>
    <n v="-16"/>
    <s v="16_2"/>
    <s v=""/>
    <s v="SC3216LVUS010520"/>
    <s v="SC3216LVUS0105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30"/>
    <x v="300"/>
    <d v="2020-12-26T00:00:00"/>
    <d v="2021-01-11T00:00:00"/>
    <s v="DR"/>
    <s v="USD"/>
    <n v="-16"/>
    <s v="83.95000"/>
    <s v="BDT"/>
    <n v="-1343.2"/>
    <n v="-16"/>
    <s v="16_3"/>
    <s v=""/>
    <s v="SC3216LVUS009920"/>
    <s v="SC3216LVUS0099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64"/>
    <x v="62"/>
    <d v="2021-01-18T00:00:00"/>
    <d v="2021-01-24T00:00:00"/>
    <s v="DR"/>
    <s v="USD"/>
    <n v="-16"/>
    <s v="83.95000"/>
    <s v="BDT"/>
    <n v="-1343.2"/>
    <n v="-16"/>
    <s v="16_4"/>
    <s v=""/>
    <s v="SC3216LVUS013620"/>
    <s v="SC3216LVUS0136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9"/>
    <x v="75"/>
    <d v="2021-06-17T00:00:00"/>
    <d v="2021-06-29T00:00:00"/>
    <s v="DR"/>
    <s v="USD"/>
    <n v="-16"/>
    <s v="83.95000"/>
    <s v="BDT"/>
    <n v="-1343.2"/>
    <n v="-16"/>
    <s v="16_5"/>
    <s v=""/>
    <s v="SC3327LVUS05821"/>
    <s v="SC3327LVUS05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18"/>
    <x v="300"/>
    <d v="2020-12-26T00:00:00"/>
    <d v="2020-12-31T00:00:00"/>
    <s v="DR"/>
    <s v="USD"/>
    <n v="-14"/>
    <s v="83.95000"/>
    <s v="BDT"/>
    <n v="-1175.3"/>
    <n v="-14"/>
    <s v="14_1"/>
    <s v=""/>
    <s v="SC3216LVUS015820"/>
    <s v="SC3216LVUS015820"/>
    <s v="SAMPLE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21"/>
    <x v="300"/>
    <d v="2020-12-26T00:00:00"/>
    <d v="2020-12-31T00:00:00"/>
    <s v="DR"/>
    <s v="USD"/>
    <n v="-14"/>
    <s v="83.95000"/>
    <s v="BDT"/>
    <n v="-1175.3"/>
    <n v="-14"/>
    <s v="14_2"/>
    <s v=""/>
    <s v="SC3216LVUS015620"/>
    <s v="SC3216LVUS0156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18"/>
    <x v="60"/>
    <d v="2020-08-25T00:00:00"/>
    <d v="2020-08-29T00:00:00"/>
    <s v="DR"/>
    <s v="USD"/>
    <n v="-13.7"/>
    <s v="83.95036"/>
    <s v="BDT"/>
    <n v="-1150.1199999999999"/>
    <n v="-13.7"/>
    <s v="13.7_1"/>
    <s v=""/>
    <s v="SC3120UQ20JP77"/>
    <s v="SC3120UQ20JP7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52"/>
    <x v="211"/>
    <d v="2021-01-03T00:00:00"/>
    <d v="2021-01-24T00:00:00"/>
    <s v="DR"/>
    <s v="USD"/>
    <n v="-13.56"/>
    <s v="83.94985"/>
    <s v="BDT"/>
    <n v="-1138.3599999999999"/>
    <n v="-13.56"/>
    <s v="13.56_1"/>
    <s v=""/>
    <s v="SC3259UQ20JP0165"/>
    <s v="SC3259UQ20JP016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57"/>
    <x v="211"/>
    <d v="2021-01-03T00:00:00"/>
    <d v="2021-01-24T00:00:00"/>
    <s v="DR"/>
    <s v="USD"/>
    <n v="-13.56"/>
    <s v="83.94985"/>
    <s v="BDT"/>
    <n v="-1138.3599999999999"/>
    <n v="-13.56"/>
    <s v="13.56_2"/>
    <s v=""/>
    <s v="SC3259UQ20JP0164"/>
    <s v="SC3259UQ20JP016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42"/>
    <x v="188"/>
    <d v="2021-01-01T00:00:00"/>
    <d v="2021-01-24T00:00:00"/>
    <s v="DR"/>
    <s v="USD"/>
    <n v="-13"/>
    <s v="83.95000"/>
    <s v="BDT"/>
    <n v="-1091.3499999999999"/>
    <n v="-13"/>
    <s v="13_1"/>
    <s v=""/>
    <s v="SC3216LVUS016920"/>
    <s v="SC3216LVUS0169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19"/>
    <x v="15"/>
    <d v="2021-05-04T00:00:00"/>
    <d v="2021-05-23T00:00:00"/>
    <s v="DR"/>
    <s v="USD"/>
    <n v="-10.31"/>
    <s v="83.94956"/>
    <s v="BDT"/>
    <n v="-865.52"/>
    <n v="-10.31"/>
    <s v="10.31_1"/>
    <s v=""/>
    <s v="SC3169UQ21SG017"/>
    <s v="SC3169UQ21SG01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2"/>
    <x v="15"/>
    <d v="2021-05-04T00:00:00"/>
    <d v="2021-05-23T00:00:00"/>
    <s v="DR"/>
    <s v="USD"/>
    <n v="-10.31"/>
    <s v="83.94956"/>
    <s v="BDT"/>
    <n v="-865.52"/>
    <n v="-10.31"/>
    <s v="10.31_2"/>
    <s v=""/>
    <s v="SC3169UQ21JP012"/>
    <s v="SC3169UQ21JP01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3"/>
    <x v="15"/>
    <d v="2021-05-04T00:00:00"/>
    <d v="2021-05-23T00:00:00"/>
    <s v="DR"/>
    <s v="USD"/>
    <n v="-10.31"/>
    <s v="83.94956"/>
    <s v="BDT"/>
    <n v="-865.52"/>
    <n v="-10.31"/>
    <s v="10.31_3"/>
    <s v=""/>
    <s v="SC3169UQ21LK015"/>
    <s v="SC3169UQ21LK01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4"/>
    <x v="15"/>
    <d v="2021-05-04T00:00:00"/>
    <d v="2021-05-23T00:00:00"/>
    <s v="DR"/>
    <s v="USD"/>
    <n v="-10.31"/>
    <s v="83.94956"/>
    <s v="BDT"/>
    <n v="-865.52"/>
    <n v="-10.31"/>
    <s v="10.31_4"/>
    <s v=""/>
    <s v="SC3169UQ21MY016"/>
    <s v="SC3169UQ21MY01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5"/>
    <x v="15"/>
    <d v="2021-05-04T00:00:00"/>
    <d v="2021-05-23T00:00:00"/>
    <s v="DR"/>
    <s v="USD"/>
    <n v="-10.31"/>
    <s v="83.94956"/>
    <s v="BDT"/>
    <n v="-865.52"/>
    <n v="-10.31"/>
    <s v="10.31_5"/>
    <s v=""/>
    <s v="SC3169UQ21RUS008"/>
    <s v="SC3169UQ21RUS00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28"/>
    <x v="15"/>
    <d v="2021-05-04T00:00:00"/>
    <d v="2021-05-23T00:00:00"/>
    <s v="DR"/>
    <s v="USD"/>
    <n v="-10.31"/>
    <s v="83.94956"/>
    <s v="BDT"/>
    <n v="-865.52"/>
    <n v="-10.31"/>
    <s v="10.31_6"/>
    <s v=""/>
    <s v="SC3169UQ21JP010"/>
    <s v="SC3169UQ21JP01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33"/>
    <x v="15"/>
    <d v="2021-05-04T00:00:00"/>
    <d v="2021-05-23T00:00:00"/>
    <s v="DR"/>
    <s v="USD"/>
    <n v="-10.31"/>
    <s v="83.94956"/>
    <s v="BDT"/>
    <n v="-865.52"/>
    <n v="-10.31"/>
    <s v="10.31_7"/>
    <s v=""/>
    <s v="SC3169UQ21IDN014"/>
    <s v="SC3169UQ21IDN01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34"/>
    <x v="15"/>
    <d v="2021-05-04T00:00:00"/>
    <d v="2021-05-23T00:00:00"/>
    <s v="DR"/>
    <s v="USD"/>
    <n v="-10.31"/>
    <s v="83.94956"/>
    <s v="BDT"/>
    <n v="-865.52"/>
    <n v="-10.31"/>
    <s v="10.31_8"/>
    <s v=""/>
    <s v="SC3169UQ21JP009"/>
    <s v="SC3169UQ21JP00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35"/>
    <x v="15"/>
    <d v="2021-05-04T00:00:00"/>
    <d v="2021-05-23T00:00:00"/>
    <s v="DR"/>
    <s v="USD"/>
    <n v="-10.31"/>
    <s v="83.94956"/>
    <s v="BDT"/>
    <n v="-865.52"/>
    <n v="-10.31"/>
    <s v="10.31_9"/>
    <s v=""/>
    <s v="SC3169UQ21TH018"/>
    <s v="SC3169UQ21TH01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56"/>
    <x v="194"/>
    <d v="2021-05-21T00:00:00"/>
    <d v="2021-05-30T00:00:00"/>
    <s v="DR"/>
    <s v="USD"/>
    <n v="-9.9600000000000009"/>
    <s v="83.94980"/>
    <s v="BDT"/>
    <n v="-836.14"/>
    <n v="-9.9600000000000009"/>
    <s v="9.96_1"/>
    <s v=""/>
    <s v="SC3308UQ21US0106"/>
    <s v="SC3308UQ21US010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258"/>
    <x v="194"/>
    <d v="2021-05-21T00:00:00"/>
    <d v="2021-05-30T00:00:00"/>
    <s v="DR"/>
    <s v="USD"/>
    <n v="-9.9600000000000009"/>
    <s v="83.94980"/>
    <s v="BDT"/>
    <n v="-836.14"/>
    <n v="-9.9600000000000009"/>
    <s v="9.96_2"/>
    <s v=""/>
    <s v="SC3308UQ21JP079"/>
    <s v="SC3308UQ21JP07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3"/>
    <x v="170"/>
    <d v="2021-06-24T00:00:00"/>
    <d v="2021-06-27T00:00:00"/>
    <s v="DR"/>
    <s v="USD"/>
    <n v="-9.9600000000000009"/>
    <s v="83.94980"/>
    <s v="BDT"/>
    <n v="-836.14"/>
    <n v="-9.9600000000000009"/>
    <s v="9.96_3"/>
    <s v=""/>
    <s v="SC3308UQ21CN132"/>
    <s v="SC3308UQ21CN13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4"/>
    <x v="170"/>
    <d v="2021-06-24T00:00:00"/>
    <d v="2021-06-27T00:00:00"/>
    <s v="DR"/>
    <s v="USD"/>
    <n v="-9.9600000000000009"/>
    <s v="83.94980"/>
    <s v="BDT"/>
    <n v="-836.14"/>
    <n v="-9.9600000000000009"/>
    <s v="9.96_4"/>
    <s v=""/>
    <s v="SC3308UQ21ID128"/>
    <s v="SC3308UQ21ID12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5"/>
    <x v="170"/>
    <d v="2021-06-24T00:00:00"/>
    <d v="2021-06-27T00:00:00"/>
    <s v="DR"/>
    <s v="USD"/>
    <n v="-9.9600000000000009"/>
    <s v="83.94980"/>
    <s v="BDT"/>
    <n v="-836.14"/>
    <n v="-9.9600000000000009"/>
    <s v="9.96_5"/>
    <s v=""/>
    <s v="SC3308UQ21JP124"/>
    <s v="SC3308UQ21JP12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6"/>
    <x v="170"/>
    <d v="2021-06-24T00:00:00"/>
    <d v="2021-06-27T00:00:00"/>
    <s v="DR"/>
    <s v="USD"/>
    <n v="-9.9600000000000009"/>
    <s v="83.94980"/>
    <s v="BDT"/>
    <n v="-836.14"/>
    <n v="-9.9600000000000009"/>
    <s v="9.96_6"/>
    <s v=""/>
    <s v="SC3308UQ21KR127"/>
    <s v="SC3308UQ21KR12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7"/>
    <x v="170"/>
    <d v="2021-06-24T00:00:00"/>
    <d v="2021-06-27T00:00:00"/>
    <s v="DR"/>
    <s v="USD"/>
    <n v="-9.9600000000000009"/>
    <s v="83.94980"/>
    <s v="BDT"/>
    <n v="-836.14"/>
    <n v="-9.9600000000000009"/>
    <s v="9.96_7"/>
    <s v=""/>
    <s v="SC3308UQ21MY129"/>
    <s v="SC3308UQ21MY12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8"/>
    <x v="170"/>
    <d v="2021-06-24T00:00:00"/>
    <d v="2021-06-27T00:00:00"/>
    <s v="DR"/>
    <s v="USD"/>
    <n v="-9.9600000000000009"/>
    <s v="83.94980"/>
    <s v="BDT"/>
    <n v="-836.14"/>
    <n v="-9.9600000000000009"/>
    <s v="9.96_8"/>
    <s v=""/>
    <s v="SC3308UQ21PH130"/>
    <s v="SC3308UQ21PH13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09"/>
    <x v="170"/>
    <d v="2021-06-24T00:00:00"/>
    <d v="2021-06-27T00:00:00"/>
    <s v="DR"/>
    <s v="USD"/>
    <n v="-9.9600000000000009"/>
    <s v="83.94980"/>
    <s v="BDT"/>
    <n v="-836.14"/>
    <n v="-9.9600000000000009"/>
    <s v="9.96_9"/>
    <s v=""/>
    <s v="SC3308UQ21SG126"/>
    <s v="SC3308UQ21SG12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0"/>
    <x v="170"/>
    <d v="2021-06-24T00:00:00"/>
    <d v="2021-06-27T00:00:00"/>
    <s v="DR"/>
    <s v="USD"/>
    <n v="-9.9600000000000009"/>
    <s v="83.94980"/>
    <s v="BDT"/>
    <n v="-836.14"/>
    <n v="-9.9600000000000009"/>
    <s v="9.96_10"/>
    <s v=""/>
    <s v="SC3308UQ21TH131"/>
    <s v="SC3308UQ21TH13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311"/>
    <x v="170"/>
    <d v="2021-06-24T00:00:00"/>
    <d v="2021-06-27T00:00:00"/>
    <s v="DR"/>
    <s v="USD"/>
    <n v="-9.9600000000000009"/>
    <s v="83.94980"/>
    <s v="BDT"/>
    <n v="-836.14"/>
    <n v="-9.9600000000000009"/>
    <s v="9.96_11"/>
    <s v=""/>
    <s v="SC3308UQ21TW125"/>
    <s v="SC3308UQ21TW12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078"/>
    <x v="18"/>
    <d v="2020-11-05T00:00:00"/>
    <d v="2020-11-28T00:00:00"/>
    <s v="DR"/>
    <s v="USD"/>
    <n v="-3"/>
    <s v="83.95000"/>
    <s v="BDT"/>
    <n v="-251.85"/>
    <n v="-3"/>
    <s v="3_1"/>
    <s v=""/>
    <s v="SC3216LVPA014420"/>
    <s v="SC3216LVPA0144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11"/>
    <x v="50"/>
    <d v="2020-12-06T00:00:00"/>
    <d v="2020-12-24T00:00:00"/>
    <s v="DR"/>
    <s v="USD"/>
    <n v="-3"/>
    <s v="83.95000"/>
    <s v="BDT"/>
    <n v="-251.85"/>
    <n v="-3"/>
    <s v="3_2"/>
    <s v=""/>
    <s v="SC3216LVSG013720"/>
    <s v="SC3216LVSG0137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33"/>
    <x v="188"/>
    <d v="2021-01-01T00:00:00"/>
    <d v="2021-01-24T00:00:00"/>
    <s v="DR"/>
    <s v="USD"/>
    <n v="-3"/>
    <s v="83.95000"/>
    <s v="BDT"/>
    <n v="-251.85"/>
    <n v="-3"/>
    <s v="3_3"/>
    <s v=""/>
    <s v="SC3216LVUS014520"/>
    <s v="SC3216LVUS0145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34"/>
    <x v="188"/>
    <d v="2021-01-01T00:00:00"/>
    <d v="2021-01-24T00:00:00"/>
    <s v="DR"/>
    <s v="USD"/>
    <n v="-3"/>
    <s v="83.95000"/>
    <s v="BDT"/>
    <n v="-251.85"/>
    <n v="-3"/>
    <s v="3_4"/>
    <s v=""/>
    <s v="SC3216LVMX014720"/>
    <s v="SC3216LVMX0147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36"/>
    <x v="188"/>
    <d v="2021-01-01T00:00:00"/>
    <d v="2021-01-24T00:00:00"/>
    <s v="DR"/>
    <s v="USD"/>
    <n v="-3"/>
    <s v="83.95000"/>
    <s v="BDT"/>
    <n v="-251.85"/>
    <n v="-3"/>
    <s v="3_5"/>
    <s v=""/>
    <s v="SC3216LVUS014620"/>
    <s v="SC3216LVUS0146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39"/>
    <x v="188"/>
    <d v="2021-01-01T00:00:00"/>
    <d v="2021-01-24T00:00:00"/>
    <s v="DR"/>
    <s v="USD"/>
    <n v="-3"/>
    <s v="83.95000"/>
    <s v="BDT"/>
    <n v="-251.85"/>
    <n v="-3"/>
    <s v="3_6"/>
    <s v=""/>
    <s v="SC3216LVUS015120"/>
    <s v="SC3216LVUS0151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76"/>
    <x v="188"/>
    <d v="2021-01-01T00:00:00"/>
    <d v="2021-01-28T00:00:00"/>
    <s v="DR"/>
    <s v="USD"/>
    <n v="-3"/>
    <s v="83.95000"/>
    <s v="BDT"/>
    <n v="-251.85"/>
    <n v="-3"/>
    <s v="3_7"/>
    <s v=""/>
    <s v="SC3216LVUS015020"/>
    <s v="SC3216LVUS0150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68"/>
    <x v="62"/>
    <d v="2021-01-18T00:00:00"/>
    <d v="2021-01-24T00:00:00"/>
    <s v="DR"/>
    <s v="USD"/>
    <n v="-3"/>
    <s v="83.95000"/>
    <s v="BDT"/>
    <n v="-251.85"/>
    <n v="-3"/>
    <s v="3_8"/>
    <s v=""/>
    <s v="SC3216LVUS014820"/>
    <s v="SC3216LVUS0148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s v="2008000177"/>
    <x v="258"/>
    <d v="2021-01-22T00:00:00"/>
    <d v="2021-01-28T00:00:00"/>
    <s v="DR"/>
    <s v="USD"/>
    <n v="-3"/>
    <s v="83.95000"/>
    <s v="BDT"/>
    <n v="-251.85"/>
    <n v="-3"/>
    <s v="3_9"/>
    <s v=""/>
    <s v="SC3216LVBE014920"/>
    <s v="SC3216LVBE014920"/>
    <s v="Sample sales to EDL HK"/>
    <s v=""/>
    <s v="0"/>
    <s v="SAMPLE SALES TO EDL HK"/>
    <s v=""/>
    <s v=""/>
    <s v=""/>
    <s v="2010100001"/>
    <s v=""/>
    <m/>
    <s v=""/>
    <s v=""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B0EE2-4257-4A04-90AD-4AB17C130815}" name="PivotTable3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3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4" showAll="0"/>
    <pivotField showAll="0"/>
    <pivotField showAll="0"/>
    <pivotField numFmtId="4" showAll="0"/>
    <pivotField showAll="0"/>
    <pivotField showAll="0"/>
    <pivotField numFmtId="4"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 in loc.curr.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E56D-8C39-4433-8619-1155F5FC67F6}">
  <dimension ref="A3:F16"/>
  <sheetViews>
    <sheetView tabSelected="1" workbookViewId="0">
      <selection activeCell="F4" sqref="F4:F15"/>
    </sheetView>
  </sheetViews>
  <sheetFormatPr defaultRowHeight="12.5" x14ac:dyDescent="0.25"/>
  <cols>
    <col min="1" max="1" width="13" bestFit="1" customWidth="1"/>
    <col min="2" max="2" width="25.26953125" bestFit="1" customWidth="1"/>
  </cols>
  <sheetData>
    <row r="3" spans="1:6" x14ac:dyDescent="0.25">
      <c r="A3" s="18" t="s">
        <v>4503</v>
      </c>
      <c r="B3" t="s">
        <v>4517</v>
      </c>
    </row>
    <row r="4" spans="1:6" x14ac:dyDescent="0.25">
      <c r="A4" s="19" t="s">
        <v>4511</v>
      </c>
      <c r="B4" s="20">
        <v>-5058920.8200000059</v>
      </c>
      <c r="E4" s="20">
        <v>-5058920.8200000059</v>
      </c>
      <c r="F4">
        <f>ABS(E4)</f>
        <v>5058920.8200000059</v>
      </c>
    </row>
    <row r="5" spans="1:6" x14ac:dyDescent="0.25">
      <c r="A5" s="19" t="s">
        <v>4512</v>
      </c>
      <c r="B5" s="20">
        <v>-4353863.78</v>
      </c>
      <c r="E5" s="20">
        <v>-4353863.78</v>
      </c>
      <c r="F5">
        <f t="shared" ref="F5:F15" si="0">ABS(E5)</f>
        <v>4353863.78</v>
      </c>
    </row>
    <row r="6" spans="1:6" x14ac:dyDescent="0.25">
      <c r="A6" s="19" t="s">
        <v>4513</v>
      </c>
      <c r="B6" s="20">
        <v>-5208953.8799999943</v>
      </c>
      <c r="E6" s="20">
        <v>-5208953.8799999943</v>
      </c>
      <c r="F6">
        <f t="shared" si="0"/>
        <v>5208953.8799999943</v>
      </c>
    </row>
    <row r="7" spans="1:6" x14ac:dyDescent="0.25">
      <c r="A7" s="19" t="s">
        <v>4514</v>
      </c>
      <c r="B7" s="20">
        <v>-3014723.2899999991</v>
      </c>
      <c r="E7" s="20">
        <v>-3014723.2899999991</v>
      </c>
      <c r="F7">
        <f t="shared" si="0"/>
        <v>3014723.2899999991</v>
      </c>
    </row>
    <row r="8" spans="1:6" x14ac:dyDescent="0.25">
      <c r="A8" s="19" t="s">
        <v>4515</v>
      </c>
      <c r="B8" s="20">
        <v>-6286693.2299999921</v>
      </c>
      <c r="E8" s="20">
        <v>-6286693.2299999921</v>
      </c>
      <c r="F8">
        <f t="shared" si="0"/>
        <v>6286693.2299999921</v>
      </c>
    </row>
    <row r="9" spans="1:6" x14ac:dyDescent="0.25">
      <c r="A9" s="19" t="s">
        <v>4516</v>
      </c>
      <c r="B9" s="20">
        <v>-7085262.3299999973</v>
      </c>
      <c r="E9" s="20">
        <v>-7085262.3299999973</v>
      </c>
      <c r="F9">
        <f t="shared" si="0"/>
        <v>7085262.3299999973</v>
      </c>
    </row>
    <row r="10" spans="1:6" x14ac:dyDescent="0.25">
      <c r="A10" s="19" t="s">
        <v>4505</v>
      </c>
      <c r="B10" s="20">
        <v>-6639878.5099999998</v>
      </c>
      <c r="E10" s="20">
        <v>-6639878.5099999998</v>
      </c>
      <c r="F10">
        <f t="shared" si="0"/>
        <v>6639878.5099999998</v>
      </c>
    </row>
    <row r="11" spans="1:6" x14ac:dyDescent="0.25">
      <c r="A11" s="19" t="s">
        <v>4506</v>
      </c>
      <c r="B11" s="20">
        <v>-2779902.5700000022</v>
      </c>
      <c r="E11" s="20">
        <v>-2779902.5700000022</v>
      </c>
      <c r="F11">
        <f t="shared" si="0"/>
        <v>2779902.5700000022</v>
      </c>
    </row>
    <row r="12" spans="1:6" x14ac:dyDescent="0.25">
      <c r="A12" s="19" t="s">
        <v>4507</v>
      </c>
      <c r="B12" s="20">
        <v>-4578311.5200000023</v>
      </c>
      <c r="E12" s="20">
        <v>-4578311.5200000023</v>
      </c>
      <c r="F12">
        <f t="shared" si="0"/>
        <v>4578311.5200000023</v>
      </c>
    </row>
    <row r="13" spans="1:6" x14ac:dyDescent="0.25">
      <c r="A13" s="19" t="s">
        <v>4508</v>
      </c>
      <c r="B13" s="20">
        <v>-5223812.6199999945</v>
      </c>
      <c r="E13" s="20">
        <v>-5223812.6199999945</v>
      </c>
      <c r="F13">
        <f t="shared" si="0"/>
        <v>5223812.6199999945</v>
      </c>
    </row>
    <row r="14" spans="1:6" x14ac:dyDescent="0.25">
      <c r="A14" s="19" t="s">
        <v>4509</v>
      </c>
      <c r="B14" s="20">
        <v>-7362598.1100000059</v>
      </c>
      <c r="E14" s="20">
        <v>-7362598.1100000059</v>
      </c>
      <c r="F14">
        <f t="shared" si="0"/>
        <v>7362598.1100000059</v>
      </c>
    </row>
    <row r="15" spans="1:6" x14ac:dyDescent="0.25">
      <c r="A15" s="19" t="s">
        <v>4510</v>
      </c>
      <c r="B15" s="20">
        <v>-5720453.5700000003</v>
      </c>
      <c r="E15" s="20">
        <v>-5720453.5700000003</v>
      </c>
      <c r="F15">
        <f t="shared" si="0"/>
        <v>5720453.5700000003</v>
      </c>
    </row>
    <row r="16" spans="1:6" x14ac:dyDescent="0.25">
      <c r="A16" s="19" t="s">
        <v>4504</v>
      </c>
      <c r="B16" s="20">
        <v>-63313374.229999997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96"/>
  <sheetViews>
    <sheetView zoomScale="70" zoomScaleNormal="70" workbookViewId="0">
      <selection activeCell="E1" sqref="E1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6" bestFit="1" customWidth="1"/>
    <col min="13" max="13" width="22" bestFit="1" customWidth="1"/>
    <col min="14" max="15" width="22" customWidth="1"/>
    <col min="16" max="16" width="18" bestFit="1" customWidth="1"/>
    <col min="17" max="17" width="20" bestFit="1" customWidth="1"/>
    <col min="18" max="18" width="45" bestFit="1" customWidth="1"/>
    <col min="19" max="19" width="21" bestFit="1" customWidth="1"/>
    <col min="20" max="20" width="6" bestFit="1" customWidth="1"/>
    <col min="21" max="21" width="27" bestFit="1" customWidth="1"/>
    <col min="22" max="22" width="13" bestFit="1" customWidth="1"/>
    <col min="23" max="23" width="12" bestFit="1" customWidth="1"/>
    <col min="24" max="24" width="11" bestFit="1" customWidth="1"/>
    <col min="25" max="25" width="15" bestFit="1" customWidth="1"/>
    <col min="26" max="26" width="19" bestFit="1" customWidth="1"/>
    <col min="27" max="27" width="15" bestFit="1" customWidth="1"/>
    <col min="28" max="28" width="18" bestFit="1" customWidth="1"/>
    <col min="29" max="29" width="19" bestFit="1" customWidth="1"/>
    <col min="30" max="30" width="16" bestFit="1" customWidth="1"/>
    <col min="31" max="31" width="14" bestFit="1" customWidth="1"/>
  </cols>
  <sheetData>
    <row r="1" spans="1:31" ht="50" x14ac:dyDescent="0.25">
      <c r="A1" s="5" t="s">
        <v>3361</v>
      </c>
      <c r="B1" s="1" t="s">
        <v>3362</v>
      </c>
      <c r="C1" s="1" t="s">
        <v>3363</v>
      </c>
      <c r="D1" s="1" t="s">
        <v>3364</v>
      </c>
      <c r="E1" s="1" t="s">
        <v>3365</v>
      </c>
      <c r="F1" s="1" t="s">
        <v>3366</v>
      </c>
      <c r="G1" s="5" t="s">
        <v>3367</v>
      </c>
      <c r="H1" s="5" t="s">
        <v>3368</v>
      </c>
      <c r="I1" s="1" t="s">
        <v>3369</v>
      </c>
      <c r="J1" s="1" t="s">
        <v>3370</v>
      </c>
      <c r="K1" s="5" t="s">
        <v>3371</v>
      </c>
      <c r="L1" s="5" t="s">
        <v>3372</v>
      </c>
      <c r="M1" s="1" t="s">
        <v>3373</v>
      </c>
      <c r="N1" s="6" t="s">
        <v>4385</v>
      </c>
      <c r="O1" s="7" t="s">
        <v>4386</v>
      </c>
      <c r="P1" s="1" t="s">
        <v>3374</v>
      </c>
      <c r="Q1" s="1" t="s">
        <v>3375</v>
      </c>
      <c r="R1" s="1" t="s">
        <v>3376</v>
      </c>
      <c r="S1" s="1" t="s">
        <v>3377</v>
      </c>
      <c r="T1" s="1" t="s">
        <v>3378</v>
      </c>
      <c r="U1" s="1" t="s">
        <v>3379</v>
      </c>
      <c r="V1" s="1" t="s">
        <v>3380</v>
      </c>
      <c r="W1" s="1" t="s">
        <v>3381</v>
      </c>
      <c r="X1" s="1" t="s">
        <v>3382</v>
      </c>
      <c r="Y1" s="1" t="s">
        <v>3383</v>
      </c>
      <c r="Z1" s="1" t="s">
        <v>3384</v>
      </c>
      <c r="AA1" s="1" t="s">
        <v>3385</v>
      </c>
      <c r="AB1" s="1" t="s">
        <v>3386</v>
      </c>
      <c r="AC1" s="1" t="s">
        <v>3387</v>
      </c>
      <c r="AD1" s="1" t="s">
        <v>3388</v>
      </c>
      <c r="AE1" s="5" t="s">
        <v>3389</v>
      </c>
    </row>
    <row r="2" spans="1:31" ht="14.15" customHeight="1" x14ac:dyDescent="0.25">
      <c r="A2" s="12" t="s">
        <v>0</v>
      </c>
      <c r="B2" s="13" t="s">
        <v>1</v>
      </c>
      <c r="C2" s="13" t="s">
        <v>43</v>
      </c>
      <c r="D2" s="14">
        <v>44016</v>
      </c>
      <c r="E2" s="14">
        <v>44016</v>
      </c>
      <c r="F2" s="14">
        <v>44018</v>
      </c>
      <c r="G2" s="13" t="s">
        <v>3</v>
      </c>
      <c r="H2" s="13" t="s">
        <v>4</v>
      </c>
      <c r="I2" s="15">
        <v>-356400.32</v>
      </c>
      <c r="J2" s="13" t="s">
        <v>5</v>
      </c>
      <c r="K2" s="13" t="s">
        <v>6</v>
      </c>
      <c r="L2" s="15">
        <v>-29919806.859999999</v>
      </c>
      <c r="M2" s="15">
        <v>-356400.32</v>
      </c>
      <c r="N2" s="16" t="str">
        <f>IF(M2="","",IF(M2&lt;0,-M2&amp;"_"&amp;COUNTIF(M$2:M2,M2),M2&amp;"_"&amp;COUNTIF(M$2:M2,M2)))</f>
        <v>356400.32_1</v>
      </c>
      <c r="O2" s="17" t="str">
        <f t="shared" ref="O2:O65" si="0">IF(COUNTIF(N:N,N2)=2,"x","")</f>
        <v/>
      </c>
      <c r="P2" s="13" t="s">
        <v>44</v>
      </c>
      <c r="Q2" s="13" t="s">
        <v>42</v>
      </c>
      <c r="R2" s="13" t="s">
        <v>0</v>
      </c>
      <c r="S2" s="13" t="s">
        <v>0</v>
      </c>
      <c r="T2" s="13" t="s">
        <v>9</v>
      </c>
      <c r="U2" s="13" t="s">
        <v>0</v>
      </c>
      <c r="V2" s="13" t="s">
        <v>0</v>
      </c>
      <c r="W2" s="13" t="s">
        <v>0</v>
      </c>
      <c r="X2" s="13" t="s">
        <v>0</v>
      </c>
      <c r="Y2" s="13" t="s">
        <v>10</v>
      </c>
      <c r="Z2" s="13" t="s">
        <v>0</v>
      </c>
      <c r="AA2" s="14"/>
      <c r="AB2" s="13" t="s">
        <v>0</v>
      </c>
      <c r="AC2" s="13" t="s">
        <v>0</v>
      </c>
      <c r="AD2" s="13" t="s">
        <v>0</v>
      </c>
      <c r="AE2" s="15">
        <v>0</v>
      </c>
    </row>
    <row r="3" spans="1:31" ht="14.15" customHeight="1" x14ac:dyDescent="0.25">
      <c r="A3" s="12" t="s">
        <v>0</v>
      </c>
      <c r="B3" s="13" t="s">
        <v>1</v>
      </c>
      <c r="C3" s="13" t="s">
        <v>288</v>
      </c>
      <c r="D3" s="14">
        <v>44042</v>
      </c>
      <c r="E3" s="14">
        <v>44042</v>
      </c>
      <c r="F3" s="14">
        <v>44055</v>
      </c>
      <c r="G3" s="13" t="s">
        <v>3</v>
      </c>
      <c r="H3" s="13" t="s">
        <v>4</v>
      </c>
      <c r="I3" s="15">
        <v>-324151.96000000002</v>
      </c>
      <c r="J3" s="13" t="s">
        <v>5</v>
      </c>
      <c r="K3" s="13" t="s">
        <v>6</v>
      </c>
      <c r="L3" s="15">
        <v>-27212557.039999999</v>
      </c>
      <c r="M3" s="15">
        <v>-324151.96000000002</v>
      </c>
      <c r="N3" s="16" t="str">
        <f>IF(M3="","",IF(M3&lt;0,-M3&amp;"_"&amp;COUNTIF(M$2:M3,M3),M3&amp;"_"&amp;COUNTIF(M$2:M3,M3)))</f>
        <v>324151.96_1</v>
      </c>
      <c r="O3" s="17" t="str">
        <f t="shared" si="0"/>
        <v/>
      </c>
      <c r="P3" s="13" t="s">
        <v>267</v>
      </c>
      <c r="Q3" s="13" t="s">
        <v>268</v>
      </c>
      <c r="R3" s="13" t="s">
        <v>0</v>
      </c>
      <c r="S3" s="13" t="s">
        <v>0</v>
      </c>
      <c r="T3" s="13" t="s">
        <v>9</v>
      </c>
      <c r="U3" s="13" t="s">
        <v>0</v>
      </c>
      <c r="V3" s="13" t="s">
        <v>0</v>
      </c>
      <c r="W3" s="13" t="s">
        <v>0</v>
      </c>
      <c r="X3" s="13" t="s">
        <v>0</v>
      </c>
      <c r="Y3" s="13" t="s">
        <v>10</v>
      </c>
      <c r="Z3" s="13" t="s">
        <v>0</v>
      </c>
      <c r="AA3" s="14"/>
      <c r="AB3" s="13" t="s">
        <v>0</v>
      </c>
      <c r="AC3" s="13" t="s">
        <v>0</v>
      </c>
      <c r="AD3" s="13" t="s">
        <v>0</v>
      </c>
      <c r="AE3" s="15">
        <v>0</v>
      </c>
    </row>
    <row r="4" spans="1:31" ht="14.15" customHeight="1" x14ac:dyDescent="0.25">
      <c r="A4" s="12" t="s">
        <v>0</v>
      </c>
      <c r="B4" s="13" t="s">
        <v>1</v>
      </c>
      <c r="C4" s="13" t="s">
        <v>153</v>
      </c>
      <c r="D4" s="14">
        <v>44031</v>
      </c>
      <c r="E4" s="14">
        <v>44031</v>
      </c>
      <c r="F4" s="14">
        <v>44034</v>
      </c>
      <c r="G4" s="13" t="s">
        <v>3</v>
      </c>
      <c r="H4" s="13" t="s">
        <v>4</v>
      </c>
      <c r="I4" s="15">
        <v>-322013.68</v>
      </c>
      <c r="J4" s="13" t="s">
        <v>5</v>
      </c>
      <c r="K4" s="13" t="s">
        <v>6</v>
      </c>
      <c r="L4" s="15">
        <v>-27033048.440000001</v>
      </c>
      <c r="M4" s="15">
        <v>-322013.68</v>
      </c>
      <c r="N4" s="16" t="str">
        <f>IF(M4="","",IF(M4&lt;0,-M4&amp;"_"&amp;COUNTIF(M$2:M4,M4),M4&amp;"_"&amp;COUNTIF(M$2:M4,M4)))</f>
        <v>322013.68_1</v>
      </c>
      <c r="O4" s="17" t="str">
        <f t="shared" si="0"/>
        <v/>
      </c>
      <c r="P4" s="13" t="s">
        <v>154</v>
      </c>
      <c r="Q4" s="13" t="s">
        <v>152</v>
      </c>
      <c r="R4" s="13" t="s">
        <v>0</v>
      </c>
      <c r="S4" s="13" t="s">
        <v>0</v>
      </c>
      <c r="T4" s="13" t="s">
        <v>9</v>
      </c>
      <c r="U4" s="13" t="s">
        <v>0</v>
      </c>
      <c r="V4" s="13" t="s">
        <v>0</v>
      </c>
      <c r="W4" s="13" t="s">
        <v>0</v>
      </c>
      <c r="X4" s="13" t="s">
        <v>0</v>
      </c>
      <c r="Y4" s="13" t="s">
        <v>10</v>
      </c>
      <c r="Z4" s="13" t="s">
        <v>0</v>
      </c>
      <c r="AA4" s="14"/>
      <c r="AB4" s="13" t="s">
        <v>0</v>
      </c>
      <c r="AC4" s="13" t="s">
        <v>0</v>
      </c>
      <c r="AD4" s="13" t="s">
        <v>0</v>
      </c>
      <c r="AE4" s="15">
        <v>0</v>
      </c>
    </row>
    <row r="5" spans="1:31" ht="14.15" customHeight="1" x14ac:dyDescent="0.25">
      <c r="A5" s="12" t="s">
        <v>0</v>
      </c>
      <c r="B5" s="13" t="s">
        <v>1</v>
      </c>
      <c r="C5" s="13" t="s">
        <v>150</v>
      </c>
      <c r="D5" s="14">
        <v>44031</v>
      </c>
      <c r="E5" s="14">
        <v>44031</v>
      </c>
      <c r="F5" s="14">
        <v>44034</v>
      </c>
      <c r="G5" s="13" t="s">
        <v>3</v>
      </c>
      <c r="H5" s="13" t="s">
        <v>4</v>
      </c>
      <c r="I5" s="15">
        <v>-320684.23</v>
      </c>
      <c r="J5" s="13" t="s">
        <v>5</v>
      </c>
      <c r="K5" s="13" t="s">
        <v>6</v>
      </c>
      <c r="L5" s="15">
        <v>-26921441.109999999</v>
      </c>
      <c r="M5" s="15">
        <v>-320684.23</v>
      </c>
      <c r="N5" s="16" t="str">
        <f>IF(M5="","",IF(M5&lt;0,-M5&amp;"_"&amp;COUNTIF(M$2:M5,M5),M5&amp;"_"&amp;COUNTIF(M$2:M5,M5)))</f>
        <v>320684.23_1</v>
      </c>
      <c r="O5" s="17" t="str">
        <f t="shared" si="0"/>
        <v/>
      </c>
      <c r="P5" s="13" t="s">
        <v>151</v>
      </c>
      <c r="Q5" s="13" t="s">
        <v>152</v>
      </c>
      <c r="R5" s="13" t="s">
        <v>0</v>
      </c>
      <c r="S5" s="13" t="s">
        <v>0</v>
      </c>
      <c r="T5" s="13" t="s">
        <v>9</v>
      </c>
      <c r="U5" s="13" t="s">
        <v>0</v>
      </c>
      <c r="V5" s="13" t="s">
        <v>0</v>
      </c>
      <c r="W5" s="13" t="s">
        <v>0</v>
      </c>
      <c r="X5" s="13" t="s">
        <v>0</v>
      </c>
      <c r="Y5" s="13" t="s">
        <v>10</v>
      </c>
      <c r="Z5" s="13" t="s">
        <v>0</v>
      </c>
      <c r="AA5" s="14"/>
      <c r="AB5" s="13" t="s">
        <v>0</v>
      </c>
      <c r="AC5" s="13" t="s">
        <v>0</v>
      </c>
      <c r="AD5" s="13" t="s">
        <v>0</v>
      </c>
      <c r="AE5" s="15">
        <v>0</v>
      </c>
    </row>
    <row r="6" spans="1:31" ht="14.15" customHeight="1" x14ac:dyDescent="0.25">
      <c r="A6" s="12" t="s">
        <v>0</v>
      </c>
      <c r="B6" s="13" t="s">
        <v>1</v>
      </c>
      <c r="C6" s="13" t="s">
        <v>1382</v>
      </c>
      <c r="D6" s="14">
        <v>44153</v>
      </c>
      <c r="E6" s="14">
        <v>44153</v>
      </c>
      <c r="F6" s="14">
        <v>44159</v>
      </c>
      <c r="G6" s="13" t="s">
        <v>3</v>
      </c>
      <c r="H6" s="13" t="s">
        <v>4</v>
      </c>
      <c r="I6" s="15">
        <v>-294806.7</v>
      </c>
      <c r="J6" s="13" t="s">
        <v>5</v>
      </c>
      <c r="K6" s="13" t="s">
        <v>6</v>
      </c>
      <c r="L6" s="15">
        <v>-24749022.469999999</v>
      </c>
      <c r="M6" s="15">
        <v>-294806.7</v>
      </c>
      <c r="N6" s="16" t="str">
        <f>IF(M6="","",IF(M6&lt;0,-M6&amp;"_"&amp;COUNTIF(M$2:M6,M6),M6&amp;"_"&amp;COUNTIF(M$2:M6,M6)))</f>
        <v>294806.7_1</v>
      </c>
      <c r="O6" s="17" t="str">
        <f t="shared" si="0"/>
        <v/>
      </c>
      <c r="P6" s="13" t="s">
        <v>1383</v>
      </c>
      <c r="Q6" s="13" t="s">
        <v>1381</v>
      </c>
      <c r="R6" s="13" t="s">
        <v>0</v>
      </c>
      <c r="S6" s="13" t="s">
        <v>0</v>
      </c>
      <c r="T6" s="13" t="s">
        <v>9</v>
      </c>
      <c r="U6" s="13" t="s">
        <v>0</v>
      </c>
      <c r="V6" s="13" t="s">
        <v>0</v>
      </c>
      <c r="W6" s="13" t="s">
        <v>0</v>
      </c>
      <c r="X6" s="13" t="s">
        <v>0</v>
      </c>
      <c r="Y6" s="13" t="s">
        <v>10</v>
      </c>
      <c r="Z6" s="13" t="s">
        <v>0</v>
      </c>
      <c r="AA6" s="14"/>
      <c r="AB6" s="13" t="s">
        <v>0</v>
      </c>
      <c r="AC6" s="13" t="s">
        <v>0</v>
      </c>
      <c r="AD6" s="13" t="s">
        <v>0</v>
      </c>
      <c r="AE6" s="15">
        <v>0</v>
      </c>
    </row>
    <row r="7" spans="1:31" ht="14.15" customHeight="1" x14ac:dyDescent="0.25">
      <c r="A7" s="12" t="s">
        <v>0</v>
      </c>
      <c r="B7" s="13" t="s">
        <v>1</v>
      </c>
      <c r="C7" s="13" t="s">
        <v>1755</v>
      </c>
      <c r="D7" s="14">
        <v>44180</v>
      </c>
      <c r="E7" s="14">
        <v>44180</v>
      </c>
      <c r="F7" s="14">
        <v>44185</v>
      </c>
      <c r="G7" s="13" t="s">
        <v>3</v>
      </c>
      <c r="H7" s="13" t="s">
        <v>4</v>
      </c>
      <c r="I7" s="15">
        <v>-253328.52</v>
      </c>
      <c r="J7" s="13" t="s">
        <v>5</v>
      </c>
      <c r="K7" s="13" t="s">
        <v>6</v>
      </c>
      <c r="L7" s="15">
        <v>-21266929.260000002</v>
      </c>
      <c r="M7" s="15">
        <v>-253328.52</v>
      </c>
      <c r="N7" s="16" t="str">
        <f>IF(M7="","",IF(M7&lt;0,-M7&amp;"_"&amp;COUNTIF(M$2:M7,M7),M7&amp;"_"&amp;COUNTIF(M$2:M7,M7)))</f>
        <v>253328.52_1</v>
      </c>
      <c r="O7" s="17" t="str">
        <f t="shared" si="0"/>
        <v/>
      </c>
      <c r="P7" s="13" t="s">
        <v>1756</v>
      </c>
      <c r="Q7" s="13" t="s">
        <v>1757</v>
      </c>
      <c r="R7" s="13" t="s">
        <v>0</v>
      </c>
      <c r="S7" s="13" t="s">
        <v>0</v>
      </c>
      <c r="T7" s="13" t="s">
        <v>9</v>
      </c>
      <c r="U7" s="13" t="s">
        <v>0</v>
      </c>
      <c r="V7" s="13" t="s">
        <v>0</v>
      </c>
      <c r="W7" s="13" t="s">
        <v>0</v>
      </c>
      <c r="X7" s="13" t="s">
        <v>0</v>
      </c>
      <c r="Y7" s="13" t="s">
        <v>10</v>
      </c>
      <c r="Z7" s="13" t="s">
        <v>0</v>
      </c>
      <c r="AA7" s="14"/>
      <c r="AB7" s="13" t="s">
        <v>0</v>
      </c>
      <c r="AC7" s="13" t="s">
        <v>0</v>
      </c>
      <c r="AD7" s="13" t="s">
        <v>0</v>
      </c>
      <c r="AE7" s="15">
        <v>0</v>
      </c>
    </row>
    <row r="8" spans="1:31" ht="14.15" customHeight="1" x14ac:dyDescent="0.25">
      <c r="A8" s="12" t="s">
        <v>0</v>
      </c>
      <c r="B8" s="13" t="s">
        <v>1</v>
      </c>
      <c r="C8" s="13" t="s">
        <v>2771</v>
      </c>
      <c r="D8" s="14">
        <v>44262</v>
      </c>
      <c r="E8" s="14">
        <v>44262</v>
      </c>
      <c r="F8" s="14">
        <v>44266</v>
      </c>
      <c r="G8" s="13" t="s">
        <v>3</v>
      </c>
      <c r="H8" s="13" t="s">
        <v>4</v>
      </c>
      <c r="I8" s="15">
        <v>-252070.96</v>
      </c>
      <c r="J8" s="13" t="s">
        <v>5</v>
      </c>
      <c r="K8" s="13" t="s">
        <v>6</v>
      </c>
      <c r="L8" s="15">
        <v>-21161357.09</v>
      </c>
      <c r="M8" s="15">
        <v>-252070.96</v>
      </c>
      <c r="N8" s="16" t="str">
        <f>IF(M8="","",IF(M8&lt;0,-M8&amp;"_"&amp;COUNTIF(M$2:M8,M8),M8&amp;"_"&amp;COUNTIF(M$2:M8,M8)))</f>
        <v>252070.96_1</v>
      </c>
      <c r="O8" s="17" t="str">
        <f t="shared" si="0"/>
        <v/>
      </c>
      <c r="P8" s="13" t="s">
        <v>2772</v>
      </c>
      <c r="Q8" s="13" t="s">
        <v>2770</v>
      </c>
      <c r="R8" s="13" t="s">
        <v>0</v>
      </c>
      <c r="S8" s="13" t="s">
        <v>0</v>
      </c>
      <c r="T8" s="13" t="s">
        <v>9</v>
      </c>
      <c r="U8" s="13" t="s">
        <v>0</v>
      </c>
      <c r="V8" s="13" t="s">
        <v>0</v>
      </c>
      <c r="W8" s="13" t="s">
        <v>0</v>
      </c>
      <c r="X8" s="13" t="s">
        <v>0</v>
      </c>
      <c r="Y8" s="13" t="s">
        <v>10</v>
      </c>
      <c r="Z8" s="13" t="s">
        <v>0</v>
      </c>
      <c r="AA8" s="14"/>
      <c r="AB8" s="13" t="s">
        <v>0</v>
      </c>
      <c r="AC8" s="13" t="s">
        <v>0</v>
      </c>
      <c r="AD8" s="13" t="s">
        <v>0</v>
      </c>
      <c r="AE8" s="15">
        <v>0</v>
      </c>
    </row>
    <row r="9" spans="1:31" ht="14.15" customHeight="1" x14ac:dyDescent="0.25">
      <c r="A9" s="12" t="s">
        <v>0</v>
      </c>
      <c r="B9" s="13" t="s">
        <v>1</v>
      </c>
      <c r="C9" s="13" t="s">
        <v>1368</v>
      </c>
      <c r="D9" s="14">
        <v>44151</v>
      </c>
      <c r="E9" s="14">
        <v>44151</v>
      </c>
      <c r="F9" s="14">
        <v>44156</v>
      </c>
      <c r="G9" s="13" t="s">
        <v>3</v>
      </c>
      <c r="H9" s="13" t="s">
        <v>4</v>
      </c>
      <c r="I9" s="15">
        <v>-244933.05</v>
      </c>
      <c r="J9" s="13" t="s">
        <v>5</v>
      </c>
      <c r="K9" s="13" t="s">
        <v>6</v>
      </c>
      <c r="L9" s="15">
        <v>-20562129.550000001</v>
      </c>
      <c r="M9" s="15">
        <v>-244933.05</v>
      </c>
      <c r="N9" s="16" t="str">
        <f>IF(M9="","",IF(M9&lt;0,-M9&amp;"_"&amp;COUNTIF(M$2:M9,M9),M9&amp;"_"&amp;COUNTIF(M$2:M9,M9)))</f>
        <v>244933.05_1</v>
      </c>
      <c r="O9" s="17" t="str">
        <f t="shared" si="0"/>
        <v/>
      </c>
      <c r="P9" s="13" t="s">
        <v>1369</v>
      </c>
      <c r="Q9" s="13" t="s">
        <v>1363</v>
      </c>
      <c r="R9" s="13" t="s">
        <v>0</v>
      </c>
      <c r="S9" s="13" t="s">
        <v>0</v>
      </c>
      <c r="T9" s="13" t="s">
        <v>9</v>
      </c>
      <c r="U9" s="13" t="s">
        <v>0</v>
      </c>
      <c r="V9" s="13" t="s">
        <v>0</v>
      </c>
      <c r="W9" s="13" t="s">
        <v>0</v>
      </c>
      <c r="X9" s="13" t="s">
        <v>0</v>
      </c>
      <c r="Y9" s="13" t="s">
        <v>10</v>
      </c>
      <c r="Z9" s="13" t="s">
        <v>0</v>
      </c>
      <c r="AA9" s="14"/>
      <c r="AB9" s="13" t="s">
        <v>0</v>
      </c>
      <c r="AC9" s="13" t="s">
        <v>0</v>
      </c>
      <c r="AD9" s="13" t="s">
        <v>0</v>
      </c>
      <c r="AE9" s="15">
        <v>0</v>
      </c>
    </row>
    <row r="10" spans="1:31" ht="14.15" customHeight="1" x14ac:dyDescent="0.25">
      <c r="A10" s="12" t="s">
        <v>0</v>
      </c>
      <c r="B10" s="13" t="s">
        <v>1</v>
      </c>
      <c r="C10" s="13" t="s">
        <v>956</v>
      </c>
      <c r="D10" s="14">
        <v>44123</v>
      </c>
      <c r="E10" s="14">
        <v>44123</v>
      </c>
      <c r="F10" s="14">
        <v>44126</v>
      </c>
      <c r="G10" s="13" t="s">
        <v>3</v>
      </c>
      <c r="H10" s="13" t="s">
        <v>4</v>
      </c>
      <c r="I10" s="15">
        <v>-221762.05</v>
      </c>
      <c r="J10" s="13" t="s">
        <v>5</v>
      </c>
      <c r="K10" s="13" t="s">
        <v>6</v>
      </c>
      <c r="L10" s="15">
        <v>-18616924.100000001</v>
      </c>
      <c r="M10" s="15">
        <v>-221762.05</v>
      </c>
      <c r="N10" s="16" t="str">
        <f>IF(M10="","",IF(M10&lt;0,-M10&amp;"_"&amp;COUNTIF(M$2:M10,M10),M10&amp;"_"&amp;COUNTIF(M$2:M10,M10)))</f>
        <v>221762.05_1</v>
      </c>
      <c r="O10" s="17" t="str">
        <f t="shared" si="0"/>
        <v/>
      </c>
      <c r="P10" s="13" t="s">
        <v>957</v>
      </c>
      <c r="Q10" s="13" t="s">
        <v>958</v>
      </c>
      <c r="R10" s="13" t="s">
        <v>0</v>
      </c>
      <c r="S10" s="13" t="s">
        <v>0</v>
      </c>
      <c r="T10" s="13" t="s">
        <v>9</v>
      </c>
      <c r="U10" s="13" t="s">
        <v>0</v>
      </c>
      <c r="V10" s="13" t="s">
        <v>0</v>
      </c>
      <c r="W10" s="13" t="s">
        <v>0</v>
      </c>
      <c r="X10" s="13" t="s">
        <v>0</v>
      </c>
      <c r="Y10" s="13" t="s">
        <v>10</v>
      </c>
      <c r="Z10" s="13" t="s">
        <v>0</v>
      </c>
      <c r="AA10" s="14"/>
      <c r="AB10" s="13" t="s">
        <v>0</v>
      </c>
      <c r="AC10" s="13" t="s">
        <v>0</v>
      </c>
      <c r="AD10" s="13" t="s">
        <v>0</v>
      </c>
      <c r="AE10" s="15">
        <v>0</v>
      </c>
    </row>
    <row r="11" spans="1:31" ht="14.15" customHeight="1" x14ac:dyDescent="0.25">
      <c r="A11" s="12" t="s">
        <v>0</v>
      </c>
      <c r="B11" s="13" t="s">
        <v>1</v>
      </c>
      <c r="C11" s="13" t="s">
        <v>255</v>
      </c>
      <c r="D11" s="14">
        <v>44041</v>
      </c>
      <c r="E11" s="14">
        <v>44041</v>
      </c>
      <c r="F11" s="14">
        <v>44053</v>
      </c>
      <c r="G11" s="13" t="s">
        <v>3</v>
      </c>
      <c r="H11" s="13" t="s">
        <v>4</v>
      </c>
      <c r="I11" s="15">
        <v>-219665.11</v>
      </c>
      <c r="J11" s="13" t="s">
        <v>5</v>
      </c>
      <c r="K11" s="13" t="s">
        <v>6</v>
      </c>
      <c r="L11" s="15">
        <v>-18440885.98</v>
      </c>
      <c r="M11" s="15">
        <v>-219665.11</v>
      </c>
      <c r="N11" s="16" t="str">
        <f>IF(M11="","",IF(M11&lt;0,-M11&amp;"_"&amp;COUNTIF(M$2:M11,M11),M11&amp;"_"&amp;COUNTIF(M$2:M11,M11)))</f>
        <v>219665.11_1</v>
      </c>
      <c r="O11" s="17" t="str">
        <f t="shared" si="0"/>
        <v/>
      </c>
      <c r="P11" s="13" t="s">
        <v>256</v>
      </c>
      <c r="Q11" s="13" t="s">
        <v>250</v>
      </c>
      <c r="R11" s="13" t="s">
        <v>0</v>
      </c>
      <c r="S11" s="13" t="s">
        <v>0</v>
      </c>
      <c r="T11" s="13" t="s">
        <v>9</v>
      </c>
      <c r="U11" s="13" t="s">
        <v>0</v>
      </c>
      <c r="V11" s="13" t="s">
        <v>0</v>
      </c>
      <c r="W11" s="13" t="s">
        <v>0</v>
      </c>
      <c r="X11" s="13" t="s">
        <v>0</v>
      </c>
      <c r="Y11" s="13" t="s">
        <v>10</v>
      </c>
      <c r="Z11" s="13" t="s">
        <v>0</v>
      </c>
      <c r="AA11" s="14"/>
      <c r="AB11" s="13" t="s">
        <v>0</v>
      </c>
      <c r="AC11" s="13" t="s">
        <v>0</v>
      </c>
      <c r="AD11" s="13" t="s">
        <v>0</v>
      </c>
      <c r="AE11" s="15">
        <v>0</v>
      </c>
    </row>
    <row r="12" spans="1:31" ht="14.15" customHeight="1" x14ac:dyDescent="0.25">
      <c r="A12" s="12" t="s">
        <v>0</v>
      </c>
      <c r="B12" s="13" t="s">
        <v>1</v>
      </c>
      <c r="C12" s="13" t="s">
        <v>1889</v>
      </c>
      <c r="D12" s="14">
        <v>44189</v>
      </c>
      <c r="E12" s="14">
        <v>44189</v>
      </c>
      <c r="F12" s="14">
        <v>44194</v>
      </c>
      <c r="G12" s="13" t="s">
        <v>3</v>
      </c>
      <c r="H12" s="13" t="s">
        <v>4</v>
      </c>
      <c r="I12" s="15">
        <v>-219185.1</v>
      </c>
      <c r="J12" s="13" t="s">
        <v>5</v>
      </c>
      <c r="K12" s="13" t="s">
        <v>6</v>
      </c>
      <c r="L12" s="15">
        <v>-18400589.140000001</v>
      </c>
      <c r="M12" s="15">
        <v>-219185.1</v>
      </c>
      <c r="N12" s="16" t="str">
        <f>IF(M12="","",IF(M12&lt;0,-M12&amp;"_"&amp;COUNTIF(M$2:M12,M12),M12&amp;"_"&amp;COUNTIF(M$2:M12,M12)))</f>
        <v>219185.1_1</v>
      </c>
      <c r="O12" s="17" t="str">
        <f t="shared" si="0"/>
        <v/>
      </c>
      <c r="P12" s="13" t="s">
        <v>1890</v>
      </c>
      <c r="Q12" s="13" t="s">
        <v>1886</v>
      </c>
      <c r="R12" s="13" t="s">
        <v>0</v>
      </c>
      <c r="S12" s="13" t="s">
        <v>0</v>
      </c>
      <c r="T12" s="13" t="s">
        <v>9</v>
      </c>
      <c r="U12" s="13" t="s">
        <v>0</v>
      </c>
      <c r="V12" s="13" t="s">
        <v>0</v>
      </c>
      <c r="W12" s="13" t="s">
        <v>0</v>
      </c>
      <c r="X12" s="13" t="s">
        <v>0</v>
      </c>
      <c r="Y12" s="13" t="s">
        <v>10</v>
      </c>
      <c r="Z12" s="13" t="s">
        <v>0</v>
      </c>
      <c r="AA12" s="14"/>
      <c r="AB12" s="13" t="s">
        <v>0</v>
      </c>
      <c r="AC12" s="13" t="s">
        <v>0</v>
      </c>
      <c r="AD12" s="13" t="s">
        <v>0</v>
      </c>
      <c r="AE12" s="15">
        <v>0</v>
      </c>
    </row>
    <row r="13" spans="1:31" ht="14.15" customHeight="1" x14ac:dyDescent="0.25">
      <c r="A13" s="12" t="s">
        <v>0</v>
      </c>
      <c r="B13" s="13" t="s">
        <v>875</v>
      </c>
      <c r="C13" s="13" t="s">
        <v>4234</v>
      </c>
      <c r="D13" s="14">
        <v>44367</v>
      </c>
      <c r="E13" s="14">
        <v>44367</v>
      </c>
      <c r="F13" s="14">
        <v>44382</v>
      </c>
      <c r="G13" s="13" t="s">
        <v>48</v>
      </c>
      <c r="H13" s="13" t="s">
        <v>4</v>
      </c>
      <c r="I13" s="15">
        <v>-216303.7</v>
      </c>
      <c r="J13" s="13" t="s">
        <v>5</v>
      </c>
      <c r="K13" s="13" t="s">
        <v>6</v>
      </c>
      <c r="L13" s="15">
        <v>-18158695.620000001</v>
      </c>
      <c r="M13" s="15">
        <v>-216303.7</v>
      </c>
      <c r="N13" s="16" t="str">
        <f>IF(M13="","",IF(M13&lt;0,-M13&amp;"_"&amp;COUNTIF(M$2:M13,M13),M13&amp;"_"&amp;COUNTIF(M$2:M13,M13)))</f>
        <v>216303.7_1</v>
      </c>
      <c r="O13" s="17" t="str">
        <f t="shared" si="0"/>
        <v/>
      </c>
      <c r="P13" s="13" t="s">
        <v>4235</v>
      </c>
      <c r="Q13" s="13" t="s">
        <v>4235</v>
      </c>
      <c r="R13" s="13" t="s">
        <v>4236</v>
      </c>
      <c r="S13" s="13" t="s">
        <v>0</v>
      </c>
      <c r="T13" s="13" t="s">
        <v>9</v>
      </c>
      <c r="U13" s="13" t="s">
        <v>879</v>
      </c>
      <c r="V13" s="13" t="s">
        <v>0</v>
      </c>
      <c r="W13" s="13" t="s">
        <v>0</v>
      </c>
      <c r="X13" s="13" t="s">
        <v>0</v>
      </c>
      <c r="Y13" s="13" t="s">
        <v>10</v>
      </c>
      <c r="Z13" s="13" t="s">
        <v>0</v>
      </c>
      <c r="AA13" s="14"/>
      <c r="AB13" s="13" t="s">
        <v>0</v>
      </c>
      <c r="AC13" s="13" t="s">
        <v>0</v>
      </c>
      <c r="AD13" s="13" t="s">
        <v>0</v>
      </c>
      <c r="AE13" s="15">
        <v>0</v>
      </c>
    </row>
    <row r="14" spans="1:31" ht="14.15" customHeight="1" x14ac:dyDescent="0.25">
      <c r="A14" s="12" t="s">
        <v>0</v>
      </c>
      <c r="B14" s="13" t="s">
        <v>1</v>
      </c>
      <c r="C14" s="13" t="s">
        <v>100</v>
      </c>
      <c r="D14" s="14">
        <v>44024</v>
      </c>
      <c r="E14" s="14">
        <v>44024</v>
      </c>
      <c r="F14" s="14">
        <v>44028</v>
      </c>
      <c r="G14" s="13" t="s">
        <v>3</v>
      </c>
      <c r="H14" s="13" t="s">
        <v>4</v>
      </c>
      <c r="I14" s="15">
        <v>-215134.85</v>
      </c>
      <c r="J14" s="13" t="s">
        <v>5</v>
      </c>
      <c r="K14" s="13" t="s">
        <v>6</v>
      </c>
      <c r="L14" s="15">
        <v>-18060570.66</v>
      </c>
      <c r="M14" s="15">
        <v>-215134.85</v>
      </c>
      <c r="N14" s="16" t="str">
        <f>IF(M14="","",IF(M14&lt;0,-M14&amp;"_"&amp;COUNTIF(M$2:M14,M14),M14&amp;"_"&amp;COUNTIF(M$2:M14,M14)))</f>
        <v>215134.85_1</v>
      </c>
      <c r="O14" s="17" t="str">
        <f t="shared" si="0"/>
        <v/>
      </c>
      <c r="P14" s="13" t="s">
        <v>101</v>
      </c>
      <c r="Q14" s="13" t="s">
        <v>97</v>
      </c>
      <c r="R14" s="13" t="s">
        <v>0</v>
      </c>
      <c r="S14" s="13" t="s">
        <v>0</v>
      </c>
      <c r="T14" s="13" t="s">
        <v>9</v>
      </c>
      <c r="U14" s="13" t="s">
        <v>0</v>
      </c>
      <c r="V14" s="13" t="s">
        <v>0</v>
      </c>
      <c r="W14" s="13" t="s">
        <v>0</v>
      </c>
      <c r="X14" s="13" t="s">
        <v>0</v>
      </c>
      <c r="Y14" s="13" t="s">
        <v>10</v>
      </c>
      <c r="Z14" s="13" t="s">
        <v>0</v>
      </c>
      <c r="AA14" s="14"/>
      <c r="AB14" s="13" t="s">
        <v>0</v>
      </c>
      <c r="AC14" s="13" t="s">
        <v>0</v>
      </c>
      <c r="AD14" s="13" t="s">
        <v>0</v>
      </c>
      <c r="AE14" s="15">
        <v>0</v>
      </c>
    </row>
    <row r="15" spans="1:31" ht="14.15" customHeight="1" x14ac:dyDescent="0.25">
      <c r="A15" s="12" t="s">
        <v>0</v>
      </c>
      <c r="B15" s="13" t="s">
        <v>1</v>
      </c>
      <c r="C15" s="13" t="s">
        <v>253</v>
      </c>
      <c r="D15" s="14">
        <v>44041</v>
      </c>
      <c r="E15" s="14">
        <v>44041</v>
      </c>
      <c r="F15" s="14">
        <v>44053</v>
      </c>
      <c r="G15" s="13" t="s">
        <v>3</v>
      </c>
      <c r="H15" s="13" t="s">
        <v>4</v>
      </c>
      <c r="I15" s="15">
        <v>-214789.47</v>
      </c>
      <c r="J15" s="13" t="s">
        <v>5</v>
      </c>
      <c r="K15" s="13" t="s">
        <v>6</v>
      </c>
      <c r="L15" s="15">
        <v>-18031576.010000002</v>
      </c>
      <c r="M15" s="15">
        <v>-214789.47</v>
      </c>
      <c r="N15" s="16" t="str">
        <f>IF(M15="","",IF(M15&lt;0,-M15&amp;"_"&amp;COUNTIF(M$2:M15,M15),M15&amp;"_"&amp;COUNTIF(M$2:M15,M15)))</f>
        <v>214789.47_1</v>
      </c>
      <c r="O15" s="17" t="str">
        <f t="shared" si="0"/>
        <v/>
      </c>
      <c r="P15" s="13" t="s">
        <v>254</v>
      </c>
      <c r="Q15" s="13" t="s">
        <v>250</v>
      </c>
      <c r="R15" s="13" t="s">
        <v>0</v>
      </c>
      <c r="S15" s="13" t="s">
        <v>0</v>
      </c>
      <c r="T15" s="13" t="s">
        <v>9</v>
      </c>
      <c r="U15" s="13" t="s">
        <v>0</v>
      </c>
      <c r="V15" s="13" t="s">
        <v>0</v>
      </c>
      <c r="W15" s="13" t="s">
        <v>0</v>
      </c>
      <c r="X15" s="13" t="s">
        <v>0</v>
      </c>
      <c r="Y15" s="13" t="s">
        <v>10</v>
      </c>
      <c r="Z15" s="13" t="s">
        <v>0</v>
      </c>
      <c r="AA15" s="14"/>
      <c r="AB15" s="13" t="s">
        <v>0</v>
      </c>
      <c r="AC15" s="13" t="s">
        <v>0</v>
      </c>
      <c r="AD15" s="13" t="s">
        <v>0</v>
      </c>
      <c r="AE15" s="15">
        <v>0</v>
      </c>
    </row>
    <row r="16" spans="1:31" ht="14.15" customHeight="1" x14ac:dyDescent="0.25">
      <c r="A16" s="12" t="s">
        <v>0</v>
      </c>
      <c r="B16" s="13" t="s">
        <v>1</v>
      </c>
      <c r="C16" s="13" t="s">
        <v>898</v>
      </c>
      <c r="D16" s="14">
        <v>44114</v>
      </c>
      <c r="E16" s="14">
        <v>44114</v>
      </c>
      <c r="F16" s="14">
        <v>44118</v>
      </c>
      <c r="G16" s="13" t="s">
        <v>3</v>
      </c>
      <c r="H16" s="13" t="s">
        <v>4</v>
      </c>
      <c r="I16" s="15">
        <v>-210041.09</v>
      </c>
      <c r="J16" s="13" t="s">
        <v>5</v>
      </c>
      <c r="K16" s="13" t="s">
        <v>6</v>
      </c>
      <c r="L16" s="15">
        <v>-17632949.510000002</v>
      </c>
      <c r="M16" s="15">
        <v>-210041.09</v>
      </c>
      <c r="N16" s="16" t="str">
        <f>IF(M16="","",IF(M16&lt;0,-M16&amp;"_"&amp;COUNTIF(M$2:M16,M16),M16&amp;"_"&amp;COUNTIF(M$2:M16,M16)))</f>
        <v>210041.09_1</v>
      </c>
      <c r="O16" s="17" t="str">
        <f t="shared" si="0"/>
        <v/>
      </c>
      <c r="P16" s="13" t="s">
        <v>899</v>
      </c>
      <c r="Q16" s="13" t="s">
        <v>900</v>
      </c>
      <c r="R16" s="13" t="s">
        <v>0</v>
      </c>
      <c r="S16" s="13" t="s">
        <v>0</v>
      </c>
      <c r="T16" s="13" t="s">
        <v>9</v>
      </c>
      <c r="U16" s="13" t="s">
        <v>0</v>
      </c>
      <c r="V16" s="13" t="s">
        <v>0</v>
      </c>
      <c r="W16" s="13" t="s">
        <v>0</v>
      </c>
      <c r="X16" s="13" t="s">
        <v>0</v>
      </c>
      <c r="Y16" s="13" t="s">
        <v>10</v>
      </c>
      <c r="Z16" s="13" t="s">
        <v>0</v>
      </c>
      <c r="AA16" s="14"/>
      <c r="AB16" s="13" t="s">
        <v>0</v>
      </c>
      <c r="AC16" s="13" t="s">
        <v>0</v>
      </c>
      <c r="AD16" s="13" t="s">
        <v>0</v>
      </c>
      <c r="AE16" s="15">
        <v>0</v>
      </c>
    </row>
    <row r="17" spans="1:31" ht="14.15" customHeight="1" x14ac:dyDescent="0.25">
      <c r="A17" s="12" t="s">
        <v>0</v>
      </c>
      <c r="B17" s="13" t="s">
        <v>1</v>
      </c>
      <c r="C17" s="13" t="s">
        <v>990</v>
      </c>
      <c r="D17" s="14">
        <v>44126</v>
      </c>
      <c r="E17" s="14">
        <v>44126</v>
      </c>
      <c r="F17" s="14">
        <v>44130</v>
      </c>
      <c r="G17" s="13" t="s">
        <v>3</v>
      </c>
      <c r="H17" s="13" t="s">
        <v>4</v>
      </c>
      <c r="I17" s="15">
        <v>-199993.89</v>
      </c>
      <c r="J17" s="13" t="s">
        <v>5</v>
      </c>
      <c r="K17" s="13" t="s">
        <v>6</v>
      </c>
      <c r="L17" s="15">
        <v>-16789487.059999999</v>
      </c>
      <c r="M17" s="15">
        <v>-199993.89</v>
      </c>
      <c r="N17" s="16" t="str">
        <f>IF(M17="","",IF(M17&lt;0,-M17&amp;"_"&amp;COUNTIF(M$2:M17,M17),M17&amp;"_"&amp;COUNTIF(M$2:M17,M17)))</f>
        <v>199993.89_1</v>
      </c>
      <c r="O17" s="17" t="str">
        <f t="shared" si="0"/>
        <v/>
      </c>
      <c r="P17" s="13" t="s">
        <v>991</v>
      </c>
      <c r="Q17" s="13" t="s">
        <v>992</v>
      </c>
      <c r="R17" s="13" t="s">
        <v>0</v>
      </c>
      <c r="S17" s="13" t="s">
        <v>0</v>
      </c>
      <c r="T17" s="13" t="s">
        <v>9</v>
      </c>
      <c r="U17" s="13" t="s">
        <v>0</v>
      </c>
      <c r="V17" s="13" t="s">
        <v>0</v>
      </c>
      <c r="W17" s="13" t="s">
        <v>0</v>
      </c>
      <c r="X17" s="13" t="s">
        <v>0</v>
      </c>
      <c r="Y17" s="13" t="s">
        <v>10</v>
      </c>
      <c r="Z17" s="13" t="s">
        <v>0</v>
      </c>
      <c r="AA17" s="14"/>
      <c r="AB17" s="13" t="s">
        <v>0</v>
      </c>
      <c r="AC17" s="13" t="s">
        <v>0</v>
      </c>
      <c r="AD17" s="13" t="s">
        <v>0</v>
      </c>
      <c r="AE17" s="15">
        <v>0</v>
      </c>
    </row>
    <row r="18" spans="1:31" ht="14.15" customHeight="1" x14ac:dyDescent="0.25">
      <c r="A18" s="12" t="s">
        <v>0</v>
      </c>
      <c r="B18" s="13" t="s">
        <v>1</v>
      </c>
      <c r="C18" s="13" t="s">
        <v>1483</v>
      </c>
      <c r="D18" s="14">
        <v>44160</v>
      </c>
      <c r="E18" s="14">
        <v>44160</v>
      </c>
      <c r="F18" s="14">
        <v>44165</v>
      </c>
      <c r="G18" s="13" t="s">
        <v>3</v>
      </c>
      <c r="H18" s="13" t="s">
        <v>4</v>
      </c>
      <c r="I18" s="15">
        <v>-198156.32</v>
      </c>
      <c r="J18" s="13" t="s">
        <v>5</v>
      </c>
      <c r="K18" s="13" t="s">
        <v>6</v>
      </c>
      <c r="L18" s="15">
        <v>-16635223.060000001</v>
      </c>
      <c r="M18" s="15">
        <v>-198156.32</v>
      </c>
      <c r="N18" s="16" t="str">
        <f>IF(M18="","",IF(M18&lt;0,-M18&amp;"_"&amp;COUNTIF(M$2:M18,M18),M18&amp;"_"&amp;COUNTIF(M$2:M18,M18)))</f>
        <v>198156.32_1</v>
      </c>
      <c r="O18" s="17" t="str">
        <f t="shared" si="0"/>
        <v/>
      </c>
      <c r="P18" s="13" t="s">
        <v>1484</v>
      </c>
      <c r="Q18" s="13" t="s">
        <v>1470</v>
      </c>
      <c r="R18" s="13" t="s">
        <v>0</v>
      </c>
      <c r="S18" s="13" t="s">
        <v>0</v>
      </c>
      <c r="T18" s="13" t="s">
        <v>9</v>
      </c>
      <c r="U18" s="13" t="s">
        <v>0</v>
      </c>
      <c r="V18" s="13" t="s">
        <v>0</v>
      </c>
      <c r="W18" s="13" t="s">
        <v>0</v>
      </c>
      <c r="X18" s="13" t="s">
        <v>0</v>
      </c>
      <c r="Y18" s="13" t="s">
        <v>10</v>
      </c>
      <c r="Z18" s="13" t="s">
        <v>0</v>
      </c>
      <c r="AA18" s="14"/>
      <c r="AB18" s="13" t="s">
        <v>0</v>
      </c>
      <c r="AC18" s="13" t="s">
        <v>0</v>
      </c>
      <c r="AD18" s="13" t="s">
        <v>0</v>
      </c>
      <c r="AE18" s="15">
        <v>0</v>
      </c>
    </row>
    <row r="19" spans="1:31" ht="14.15" customHeight="1" x14ac:dyDescent="0.25">
      <c r="A19" s="12" t="s">
        <v>0</v>
      </c>
      <c r="B19" s="13" t="s">
        <v>1</v>
      </c>
      <c r="C19" s="13" t="s">
        <v>3474</v>
      </c>
      <c r="D19" s="14">
        <v>44320</v>
      </c>
      <c r="E19" s="14">
        <v>44320</v>
      </c>
      <c r="F19" s="14">
        <v>44328</v>
      </c>
      <c r="G19" s="13" t="s">
        <v>3</v>
      </c>
      <c r="H19" s="13" t="s">
        <v>4</v>
      </c>
      <c r="I19" s="15">
        <v>-197669.24</v>
      </c>
      <c r="J19" s="13" t="s">
        <v>5</v>
      </c>
      <c r="K19" s="13" t="s">
        <v>6</v>
      </c>
      <c r="L19" s="15">
        <v>-16594332.699999999</v>
      </c>
      <c r="M19" s="15">
        <v>-197669.24</v>
      </c>
      <c r="N19" s="16" t="str">
        <f>IF(M19="","",IF(M19&lt;0,-M19&amp;"_"&amp;COUNTIF(M$2:M19,M19),M19&amp;"_"&amp;COUNTIF(M$2:M19,M19)))</f>
        <v>197669.24_1</v>
      </c>
      <c r="O19" s="17" t="str">
        <f t="shared" si="0"/>
        <v/>
      </c>
      <c r="P19" s="13" t="s">
        <v>3475</v>
      </c>
      <c r="Q19" s="13" t="s">
        <v>3453</v>
      </c>
      <c r="R19" s="13" t="s">
        <v>0</v>
      </c>
      <c r="S19" s="13" t="s">
        <v>0</v>
      </c>
      <c r="T19" s="13" t="s">
        <v>9</v>
      </c>
      <c r="U19" s="13" t="s">
        <v>0</v>
      </c>
      <c r="V19" s="13" t="s">
        <v>0</v>
      </c>
      <c r="W19" s="13" t="s">
        <v>0</v>
      </c>
      <c r="X19" s="13" t="s">
        <v>0</v>
      </c>
      <c r="Y19" s="13" t="s">
        <v>10</v>
      </c>
      <c r="Z19" s="13" t="s">
        <v>0</v>
      </c>
      <c r="AA19" s="14"/>
      <c r="AB19" s="13" t="s">
        <v>0</v>
      </c>
      <c r="AC19" s="13" t="s">
        <v>0</v>
      </c>
      <c r="AD19" s="13" t="s">
        <v>0</v>
      </c>
      <c r="AE19" s="15">
        <v>0</v>
      </c>
    </row>
    <row r="20" spans="1:31" ht="14.15" customHeight="1" x14ac:dyDescent="0.25">
      <c r="A20" s="12" t="s">
        <v>0</v>
      </c>
      <c r="B20" s="13" t="s">
        <v>1</v>
      </c>
      <c r="C20" s="13" t="s">
        <v>2669</v>
      </c>
      <c r="D20" s="14">
        <v>44253</v>
      </c>
      <c r="E20" s="14">
        <v>44253</v>
      </c>
      <c r="F20" s="14">
        <v>44257</v>
      </c>
      <c r="G20" s="13" t="s">
        <v>3</v>
      </c>
      <c r="H20" s="13" t="s">
        <v>4</v>
      </c>
      <c r="I20" s="15">
        <v>-193159.64</v>
      </c>
      <c r="J20" s="13" t="s">
        <v>5</v>
      </c>
      <c r="K20" s="13" t="s">
        <v>6</v>
      </c>
      <c r="L20" s="15">
        <v>-16215751.779999999</v>
      </c>
      <c r="M20" s="15">
        <v>-193159.64</v>
      </c>
      <c r="N20" s="16" t="str">
        <f>IF(M20="","",IF(M20&lt;0,-M20&amp;"_"&amp;COUNTIF(M$2:M20,M20),M20&amp;"_"&amp;COUNTIF(M$2:M20,M20)))</f>
        <v>193159.64_1</v>
      </c>
      <c r="O20" s="17" t="str">
        <f t="shared" si="0"/>
        <v/>
      </c>
      <c r="P20" s="13" t="s">
        <v>2670</v>
      </c>
      <c r="Q20" s="13" t="s">
        <v>2660</v>
      </c>
      <c r="R20" s="13" t="s">
        <v>0</v>
      </c>
      <c r="S20" s="13" t="s">
        <v>0</v>
      </c>
      <c r="T20" s="13" t="s">
        <v>9</v>
      </c>
      <c r="U20" s="13" t="s">
        <v>0</v>
      </c>
      <c r="V20" s="13" t="s">
        <v>0</v>
      </c>
      <c r="W20" s="13" t="s">
        <v>0</v>
      </c>
      <c r="X20" s="13" t="s">
        <v>0</v>
      </c>
      <c r="Y20" s="13" t="s">
        <v>10</v>
      </c>
      <c r="Z20" s="13" t="s">
        <v>0</v>
      </c>
      <c r="AA20" s="14"/>
      <c r="AB20" s="13" t="s">
        <v>0</v>
      </c>
      <c r="AC20" s="13" t="s">
        <v>0</v>
      </c>
      <c r="AD20" s="13" t="s">
        <v>0</v>
      </c>
      <c r="AE20" s="15">
        <v>0</v>
      </c>
    </row>
    <row r="21" spans="1:31" ht="14.15" customHeight="1" x14ac:dyDescent="0.25">
      <c r="A21" s="12" t="s">
        <v>0</v>
      </c>
      <c r="B21" s="13" t="s">
        <v>1</v>
      </c>
      <c r="C21" s="13" t="s">
        <v>3749</v>
      </c>
      <c r="D21" s="14">
        <v>44339</v>
      </c>
      <c r="E21" s="14">
        <v>44339</v>
      </c>
      <c r="F21" s="14">
        <v>44345</v>
      </c>
      <c r="G21" s="13" t="s">
        <v>3</v>
      </c>
      <c r="H21" s="13" t="s">
        <v>4</v>
      </c>
      <c r="I21" s="15">
        <v>-190719.49</v>
      </c>
      <c r="J21" s="13" t="s">
        <v>5</v>
      </c>
      <c r="K21" s="13" t="s">
        <v>6</v>
      </c>
      <c r="L21" s="15">
        <v>-16010901.18</v>
      </c>
      <c r="M21" s="15">
        <v>-190719.49</v>
      </c>
      <c r="N21" s="16" t="str">
        <f>IF(M21="","",IF(M21&lt;0,-M21&amp;"_"&amp;COUNTIF(M$2:M21,M21),M21&amp;"_"&amp;COUNTIF(M$2:M21,M21)))</f>
        <v>190719.49_1</v>
      </c>
      <c r="O21" s="17" t="str">
        <f t="shared" si="0"/>
        <v/>
      </c>
      <c r="P21" s="13" t="s">
        <v>3750</v>
      </c>
      <c r="Q21" s="13" t="s">
        <v>3746</v>
      </c>
      <c r="R21" s="13" t="s">
        <v>0</v>
      </c>
      <c r="S21" s="13" t="s">
        <v>0</v>
      </c>
      <c r="T21" s="13" t="s">
        <v>9</v>
      </c>
      <c r="U21" s="13" t="s">
        <v>0</v>
      </c>
      <c r="V21" s="13" t="s">
        <v>0</v>
      </c>
      <c r="W21" s="13" t="s">
        <v>0</v>
      </c>
      <c r="X21" s="13" t="s">
        <v>0</v>
      </c>
      <c r="Y21" s="13" t="s">
        <v>10</v>
      </c>
      <c r="Z21" s="13" t="s">
        <v>0</v>
      </c>
      <c r="AA21" s="14"/>
      <c r="AB21" s="13" t="s">
        <v>0</v>
      </c>
      <c r="AC21" s="13" t="s">
        <v>0</v>
      </c>
      <c r="AD21" s="13" t="s">
        <v>0</v>
      </c>
      <c r="AE21" s="15">
        <v>0</v>
      </c>
    </row>
    <row r="22" spans="1:31" ht="14.15" customHeight="1" x14ac:dyDescent="0.25">
      <c r="A22" s="12" t="s">
        <v>0</v>
      </c>
      <c r="B22" s="13" t="s">
        <v>1</v>
      </c>
      <c r="C22" s="13" t="s">
        <v>1172</v>
      </c>
      <c r="D22" s="14">
        <v>44140</v>
      </c>
      <c r="E22" s="14">
        <v>44140</v>
      </c>
      <c r="F22" s="14">
        <v>44145</v>
      </c>
      <c r="G22" s="13" t="s">
        <v>3</v>
      </c>
      <c r="H22" s="13" t="s">
        <v>4</v>
      </c>
      <c r="I22" s="15">
        <v>-189641.28</v>
      </c>
      <c r="J22" s="13" t="s">
        <v>5</v>
      </c>
      <c r="K22" s="13" t="s">
        <v>6</v>
      </c>
      <c r="L22" s="15">
        <v>-15920385.460000001</v>
      </c>
      <c r="M22" s="15">
        <v>-189641.28</v>
      </c>
      <c r="N22" s="16" t="str">
        <f>IF(M22="","",IF(M22&lt;0,-M22&amp;"_"&amp;COUNTIF(M$2:M22,M22),M22&amp;"_"&amp;COUNTIF(M$2:M22,M22)))</f>
        <v>189641.28_1</v>
      </c>
      <c r="O22" s="17" t="str">
        <f t="shared" si="0"/>
        <v/>
      </c>
      <c r="P22" s="13" t="s">
        <v>1173</v>
      </c>
      <c r="Q22" s="13" t="s">
        <v>1165</v>
      </c>
      <c r="R22" s="13" t="s">
        <v>0</v>
      </c>
      <c r="S22" s="13" t="s">
        <v>0</v>
      </c>
      <c r="T22" s="13" t="s">
        <v>9</v>
      </c>
      <c r="U22" s="13" t="s">
        <v>0</v>
      </c>
      <c r="V22" s="13" t="s">
        <v>0</v>
      </c>
      <c r="W22" s="13" t="s">
        <v>0</v>
      </c>
      <c r="X22" s="13" t="s">
        <v>0</v>
      </c>
      <c r="Y22" s="13" t="s">
        <v>10</v>
      </c>
      <c r="Z22" s="13" t="s">
        <v>0</v>
      </c>
      <c r="AA22" s="14"/>
      <c r="AB22" s="13" t="s">
        <v>0</v>
      </c>
      <c r="AC22" s="13" t="s">
        <v>0</v>
      </c>
      <c r="AD22" s="13" t="s">
        <v>0</v>
      </c>
      <c r="AE22" s="15">
        <v>0</v>
      </c>
    </row>
    <row r="23" spans="1:31" ht="14.15" customHeight="1" x14ac:dyDescent="0.25">
      <c r="A23" s="12" t="s">
        <v>0</v>
      </c>
      <c r="B23" s="13" t="s">
        <v>1</v>
      </c>
      <c r="C23" s="13" t="s">
        <v>1771</v>
      </c>
      <c r="D23" s="14">
        <v>44181</v>
      </c>
      <c r="E23" s="14">
        <v>44181</v>
      </c>
      <c r="F23" s="14">
        <v>44186</v>
      </c>
      <c r="G23" s="13" t="s">
        <v>3</v>
      </c>
      <c r="H23" s="13" t="s">
        <v>4</v>
      </c>
      <c r="I23" s="15">
        <v>-183932.1</v>
      </c>
      <c r="J23" s="13" t="s">
        <v>5</v>
      </c>
      <c r="K23" s="13" t="s">
        <v>6</v>
      </c>
      <c r="L23" s="15">
        <v>-15441099.800000001</v>
      </c>
      <c r="M23" s="15">
        <v>-183932.1</v>
      </c>
      <c r="N23" s="16" t="str">
        <f>IF(M23="","",IF(M23&lt;0,-M23&amp;"_"&amp;COUNTIF(M$2:M23,M23),M23&amp;"_"&amp;COUNTIF(M$2:M23,M23)))</f>
        <v>183932.1_1</v>
      </c>
      <c r="O23" s="17" t="str">
        <f t="shared" si="0"/>
        <v/>
      </c>
      <c r="P23" s="13" t="s">
        <v>1772</v>
      </c>
      <c r="Q23" s="13" t="s">
        <v>1766</v>
      </c>
      <c r="R23" s="13" t="s">
        <v>0</v>
      </c>
      <c r="S23" s="13" t="s">
        <v>0</v>
      </c>
      <c r="T23" s="13" t="s">
        <v>9</v>
      </c>
      <c r="U23" s="13" t="s">
        <v>0</v>
      </c>
      <c r="V23" s="13" t="s">
        <v>0</v>
      </c>
      <c r="W23" s="13" t="s">
        <v>0</v>
      </c>
      <c r="X23" s="13" t="s">
        <v>0</v>
      </c>
      <c r="Y23" s="13" t="s">
        <v>10</v>
      </c>
      <c r="Z23" s="13" t="s">
        <v>0</v>
      </c>
      <c r="AA23" s="14"/>
      <c r="AB23" s="13" t="s">
        <v>0</v>
      </c>
      <c r="AC23" s="13" t="s">
        <v>0</v>
      </c>
      <c r="AD23" s="13" t="s">
        <v>0</v>
      </c>
      <c r="AE23" s="15">
        <v>0</v>
      </c>
    </row>
    <row r="24" spans="1:31" ht="14.15" customHeight="1" x14ac:dyDescent="0.25">
      <c r="A24" s="12" t="s">
        <v>0</v>
      </c>
      <c r="B24" s="13" t="s">
        <v>1</v>
      </c>
      <c r="C24" s="13" t="s">
        <v>40</v>
      </c>
      <c r="D24" s="14">
        <v>44016</v>
      </c>
      <c r="E24" s="14">
        <v>44016</v>
      </c>
      <c r="F24" s="14">
        <v>44018</v>
      </c>
      <c r="G24" s="13" t="s">
        <v>3</v>
      </c>
      <c r="H24" s="13" t="s">
        <v>4</v>
      </c>
      <c r="I24" s="15">
        <v>-179700.44</v>
      </c>
      <c r="J24" s="13" t="s">
        <v>5</v>
      </c>
      <c r="K24" s="13" t="s">
        <v>6</v>
      </c>
      <c r="L24" s="15">
        <v>-15085851.939999999</v>
      </c>
      <c r="M24" s="15">
        <v>-179700.44</v>
      </c>
      <c r="N24" s="16" t="str">
        <f>IF(M24="","",IF(M24&lt;0,-M24&amp;"_"&amp;COUNTIF(M$2:M24,M24),M24&amp;"_"&amp;COUNTIF(M$2:M24,M24)))</f>
        <v>179700.44_1</v>
      </c>
      <c r="O24" s="17" t="str">
        <f t="shared" si="0"/>
        <v/>
      </c>
      <c r="P24" s="13" t="s">
        <v>41</v>
      </c>
      <c r="Q24" s="13" t="s">
        <v>42</v>
      </c>
      <c r="R24" s="13" t="s">
        <v>0</v>
      </c>
      <c r="S24" s="13" t="s">
        <v>0</v>
      </c>
      <c r="T24" s="13" t="s">
        <v>9</v>
      </c>
      <c r="U24" s="13" t="s">
        <v>0</v>
      </c>
      <c r="V24" s="13" t="s">
        <v>0</v>
      </c>
      <c r="W24" s="13" t="s">
        <v>0</v>
      </c>
      <c r="X24" s="13" t="s">
        <v>0</v>
      </c>
      <c r="Y24" s="13" t="s">
        <v>10</v>
      </c>
      <c r="Z24" s="13" t="s">
        <v>0</v>
      </c>
      <c r="AA24" s="14"/>
      <c r="AB24" s="13" t="s">
        <v>0</v>
      </c>
      <c r="AC24" s="13" t="s">
        <v>0</v>
      </c>
      <c r="AD24" s="13" t="s">
        <v>0</v>
      </c>
      <c r="AE24" s="15">
        <v>0</v>
      </c>
    </row>
    <row r="25" spans="1:31" ht="14.15" customHeight="1" x14ac:dyDescent="0.25">
      <c r="A25" s="12" t="s">
        <v>0</v>
      </c>
      <c r="B25" s="13" t="s">
        <v>1</v>
      </c>
      <c r="C25" s="13" t="s">
        <v>3629</v>
      </c>
      <c r="D25" s="14">
        <v>44330</v>
      </c>
      <c r="E25" s="14">
        <v>44330</v>
      </c>
      <c r="F25" s="14">
        <v>44336</v>
      </c>
      <c r="G25" s="13" t="s">
        <v>3</v>
      </c>
      <c r="H25" s="13" t="s">
        <v>4</v>
      </c>
      <c r="I25" s="15">
        <v>-178415.01</v>
      </c>
      <c r="J25" s="13" t="s">
        <v>5</v>
      </c>
      <c r="K25" s="13" t="s">
        <v>6</v>
      </c>
      <c r="L25" s="15">
        <v>-14977940.09</v>
      </c>
      <c r="M25" s="15">
        <v>-178415.01</v>
      </c>
      <c r="N25" s="16" t="str">
        <f>IF(M25="","",IF(M25&lt;0,-M25&amp;"_"&amp;COUNTIF(M$2:M25,M25),M25&amp;"_"&amp;COUNTIF(M$2:M25,M25)))</f>
        <v>178415.01_1</v>
      </c>
      <c r="O25" s="17" t="str">
        <f t="shared" si="0"/>
        <v/>
      </c>
      <c r="P25" s="13" t="s">
        <v>3630</v>
      </c>
      <c r="Q25" s="13" t="s">
        <v>3624</v>
      </c>
      <c r="R25" s="13" t="s">
        <v>0</v>
      </c>
      <c r="S25" s="13" t="s">
        <v>0</v>
      </c>
      <c r="T25" s="13" t="s">
        <v>9</v>
      </c>
      <c r="U25" s="13" t="s">
        <v>0</v>
      </c>
      <c r="V25" s="13" t="s">
        <v>0</v>
      </c>
      <c r="W25" s="13" t="s">
        <v>0</v>
      </c>
      <c r="X25" s="13" t="s">
        <v>0</v>
      </c>
      <c r="Y25" s="13" t="s">
        <v>10</v>
      </c>
      <c r="Z25" s="13" t="s">
        <v>0</v>
      </c>
      <c r="AA25" s="14"/>
      <c r="AB25" s="13" t="s">
        <v>0</v>
      </c>
      <c r="AC25" s="13" t="s">
        <v>0</v>
      </c>
      <c r="AD25" s="13" t="s">
        <v>0</v>
      </c>
      <c r="AE25" s="15">
        <v>0</v>
      </c>
    </row>
    <row r="26" spans="1:31" ht="14.15" customHeight="1" x14ac:dyDescent="0.25">
      <c r="A26" s="12" t="s">
        <v>0</v>
      </c>
      <c r="B26" s="13" t="s">
        <v>1</v>
      </c>
      <c r="C26" s="13" t="s">
        <v>3622</v>
      </c>
      <c r="D26" s="14">
        <v>44330</v>
      </c>
      <c r="E26" s="14">
        <v>44330</v>
      </c>
      <c r="F26" s="14">
        <v>44336</v>
      </c>
      <c r="G26" s="13" t="s">
        <v>3</v>
      </c>
      <c r="H26" s="13" t="s">
        <v>4</v>
      </c>
      <c r="I26" s="15">
        <v>-178377.19</v>
      </c>
      <c r="J26" s="13" t="s">
        <v>5</v>
      </c>
      <c r="K26" s="13" t="s">
        <v>6</v>
      </c>
      <c r="L26" s="15">
        <v>-14974765.1</v>
      </c>
      <c r="M26" s="15">
        <v>-178377.19</v>
      </c>
      <c r="N26" s="16" t="str">
        <f>IF(M26="","",IF(M26&lt;0,-M26&amp;"_"&amp;COUNTIF(M$2:M26,M26),M26&amp;"_"&amp;COUNTIF(M$2:M26,M26)))</f>
        <v>178377.19_1</v>
      </c>
      <c r="O26" s="17" t="str">
        <f t="shared" si="0"/>
        <v/>
      </c>
      <c r="P26" s="13" t="s">
        <v>3623</v>
      </c>
      <c r="Q26" s="13" t="s">
        <v>3624</v>
      </c>
      <c r="R26" s="13" t="s">
        <v>0</v>
      </c>
      <c r="S26" s="13" t="s">
        <v>0</v>
      </c>
      <c r="T26" s="13" t="s">
        <v>9</v>
      </c>
      <c r="U26" s="13" t="s">
        <v>0</v>
      </c>
      <c r="V26" s="13" t="s">
        <v>0</v>
      </c>
      <c r="W26" s="13" t="s">
        <v>0</v>
      </c>
      <c r="X26" s="13" t="s">
        <v>0</v>
      </c>
      <c r="Y26" s="13" t="s">
        <v>10</v>
      </c>
      <c r="Z26" s="13" t="s">
        <v>0</v>
      </c>
      <c r="AA26" s="14"/>
      <c r="AB26" s="13" t="s">
        <v>0</v>
      </c>
      <c r="AC26" s="13" t="s">
        <v>0</v>
      </c>
      <c r="AD26" s="13" t="s">
        <v>0</v>
      </c>
      <c r="AE26" s="15">
        <v>0</v>
      </c>
    </row>
    <row r="27" spans="1:31" ht="14.15" customHeight="1" x14ac:dyDescent="0.25">
      <c r="A27" s="12" t="s">
        <v>0</v>
      </c>
      <c r="B27" s="13" t="s">
        <v>1</v>
      </c>
      <c r="C27" s="13" t="s">
        <v>3390</v>
      </c>
      <c r="D27" s="14">
        <v>44317</v>
      </c>
      <c r="E27" s="14">
        <v>44317</v>
      </c>
      <c r="F27" s="14">
        <v>44322</v>
      </c>
      <c r="G27" s="13" t="s">
        <v>3</v>
      </c>
      <c r="H27" s="13" t="s">
        <v>4</v>
      </c>
      <c r="I27" s="15">
        <v>-177047.84</v>
      </c>
      <c r="J27" s="13" t="s">
        <v>5</v>
      </c>
      <c r="K27" s="13" t="s">
        <v>6</v>
      </c>
      <c r="L27" s="15">
        <v>-14863166.17</v>
      </c>
      <c r="M27" s="15">
        <v>-177047.84</v>
      </c>
      <c r="N27" s="16" t="str">
        <f>IF(M27="","",IF(M27&lt;0,-M27&amp;"_"&amp;COUNTIF(M$2:M27,M27),M27&amp;"_"&amp;COUNTIF(M$2:M27,M27)))</f>
        <v>177047.84_1</v>
      </c>
      <c r="O27" s="17" t="str">
        <f t="shared" si="0"/>
        <v/>
      </c>
      <c r="P27" s="13" t="s">
        <v>3391</v>
      </c>
      <c r="Q27" s="13" t="s">
        <v>3392</v>
      </c>
      <c r="R27" s="13" t="s">
        <v>0</v>
      </c>
      <c r="S27" s="13" t="s">
        <v>0</v>
      </c>
      <c r="T27" s="13" t="s">
        <v>9</v>
      </c>
      <c r="U27" s="13" t="s">
        <v>0</v>
      </c>
      <c r="V27" s="13" t="s">
        <v>0</v>
      </c>
      <c r="W27" s="13" t="s">
        <v>0</v>
      </c>
      <c r="X27" s="13" t="s">
        <v>0</v>
      </c>
      <c r="Y27" s="13" t="s">
        <v>10</v>
      </c>
      <c r="Z27" s="13" t="s">
        <v>0</v>
      </c>
      <c r="AA27" s="14"/>
      <c r="AB27" s="13" t="s">
        <v>0</v>
      </c>
      <c r="AC27" s="13" t="s">
        <v>0</v>
      </c>
      <c r="AD27" s="13" t="s">
        <v>0</v>
      </c>
      <c r="AE27" s="15">
        <v>0</v>
      </c>
    </row>
    <row r="28" spans="1:31" ht="14.15" customHeight="1" x14ac:dyDescent="0.25">
      <c r="A28" s="12" t="s">
        <v>0</v>
      </c>
      <c r="B28" s="13" t="s">
        <v>1</v>
      </c>
      <c r="C28" s="13" t="s">
        <v>1601</v>
      </c>
      <c r="D28" s="14">
        <v>44167</v>
      </c>
      <c r="E28" s="14">
        <v>44167</v>
      </c>
      <c r="F28" s="14">
        <v>44174</v>
      </c>
      <c r="G28" s="13" t="s">
        <v>3</v>
      </c>
      <c r="H28" s="13" t="s">
        <v>4</v>
      </c>
      <c r="I28" s="15">
        <v>-173558.53</v>
      </c>
      <c r="J28" s="13" t="s">
        <v>5</v>
      </c>
      <c r="K28" s="13" t="s">
        <v>6</v>
      </c>
      <c r="L28" s="15">
        <v>-14570238.59</v>
      </c>
      <c r="M28" s="15">
        <v>-173558.53</v>
      </c>
      <c r="N28" s="16" t="str">
        <f>IF(M28="","",IF(M28&lt;0,-M28&amp;"_"&amp;COUNTIF(M$2:M28,M28),M28&amp;"_"&amp;COUNTIF(M$2:M28,M28)))</f>
        <v>173558.53_1</v>
      </c>
      <c r="O28" s="17" t="str">
        <f t="shared" si="0"/>
        <v/>
      </c>
      <c r="P28" s="13" t="s">
        <v>1602</v>
      </c>
      <c r="Q28" s="13" t="s">
        <v>1592</v>
      </c>
      <c r="R28" s="13" t="s">
        <v>0</v>
      </c>
      <c r="S28" s="13" t="s">
        <v>0</v>
      </c>
      <c r="T28" s="13" t="s">
        <v>9</v>
      </c>
      <c r="U28" s="13" t="s">
        <v>0</v>
      </c>
      <c r="V28" s="13" t="s">
        <v>0</v>
      </c>
      <c r="W28" s="13" t="s">
        <v>0</v>
      </c>
      <c r="X28" s="13" t="s">
        <v>0</v>
      </c>
      <c r="Y28" s="13" t="s">
        <v>10</v>
      </c>
      <c r="Z28" s="13" t="s">
        <v>0</v>
      </c>
      <c r="AA28" s="14"/>
      <c r="AB28" s="13" t="s">
        <v>0</v>
      </c>
      <c r="AC28" s="13" t="s">
        <v>0</v>
      </c>
      <c r="AD28" s="13" t="s">
        <v>0</v>
      </c>
      <c r="AE28" s="15">
        <v>0</v>
      </c>
    </row>
    <row r="29" spans="1:31" ht="14.15" customHeight="1" x14ac:dyDescent="0.25">
      <c r="A29" s="12" t="s">
        <v>0</v>
      </c>
      <c r="B29" s="13" t="s">
        <v>875</v>
      </c>
      <c r="C29" s="13" t="s">
        <v>1107</v>
      </c>
      <c r="D29" s="14">
        <v>44135</v>
      </c>
      <c r="E29" s="14">
        <v>44135</v>
      </c>
      <c r="F29" s="14">
        <v>44142</v>
      </c>
      <c r="G29" s="13" t="s">
        <v>48</v>
      </c>
      <c r="H29" s="13" t="s">
        <v>4</v>
      </c>
      <c r="I29" s="15">
        <v>-168798.72</v>
      </c>
      <c r="J29" s="13" t="s">
        <v>5</v>
      </c>
      <c r="K29" s="13" t="s">
        <v>6</v>
      </c>
      <c r="L29" s="15">
        <v>-14170652.539999999</v>
      </c>
      <c r="M29" s="15">
        <v>-168798.72</v>
      </c>
      <c r="N29" s="16" t="str">
        <f>IF(M29="","",IF(M29&lt;0,-M29&amp;"_"&amp;COUNTIF(M$2:M29,M29),M29&amp;"_"&amp;COUNTIF(M$2:M29,M29)))</f>
        <v>168798.72_1</v>
      </c>
      <c r="O29" s="17" t="str">
        <f t="shared" si="0"/>
        <v/>
      </c>
      <c r="P29" s="13" t="s">
        <v>1108</v>
      </c>
      <c r="Q29" s="13" t="s">
        <v>1108</v>
      </c>
      <c r="R29" s="13" t="s">
        <v>878</v>
      </c>
      <c r="S29" s="13" t="s">
        <v>0</v>
      </c>
      <c r="T29" s="13" t="s">
        <v>9</v>
      </c>
      <c r="U29" s="13" t="s">
        <v>879</v>
      </c>
      <c r="V29" s="13" t="s">
        <v>0</v>
      </c>
      <c r="W29" s="13" t="s">
        <v>0</v>
      </c>
      <c r="X29" s="13" t="s">
        <v>0</v>
      </c>
      <c r="Y29" s="13" t="s">
        <v>0</v>
      </c>
      <c r="Z29" s="13" t="s">
        <v>0</v>
      </c>
      <c r="AA29" s="14"/>
      <c r="AB29" s="13" t="s">
        <v>0</v>
      </c>
      <c r="AC29" s="13" t="s">
        <v>0</v>
      </c>
      <c r="AD29" s="13" t="s">
        <v>0</v>
      </c>
      <c r="AE29" s="15">
        <v>0</v>
      </c>
    </row>
    <row r="30" spans="1:31" ht="14.15" customHeight="1" x14ac:dyDescent="0.25">
      <c r="A30" s="12" t="s">
        <v>0</v>
      </c>
      <c r="B30" s="13" t="s">
        <v>1</v>
      </c>
      <c r="C30" s="13" t="s">
        <v>369</v>
      </c>
      <c r="D30" s="14">
        <v>44053</v>
      </c>
      <c r="E30" s="14">
        <v>44053</v>
      </c>
      <c r="F30" s="14">
        <v>44059</v>
      </c>
      <c r="G30" s="13" t="s">
        <v>3</v>
      </c>
      <c r="H30" s="13" t="s">
        <v>4</v>
      </c>
      <c r="I30" s="15">
        <v>-166244</v>
      </c>
      <c r="J30" s="13" t="s">
        <v>5</v>
      </c>
      <c r="K30" s="13" t="s">
        <v>6</v>
      </c>
      <c r="L30" s="15">
        <v>-13956183.800000001</v>
      </c>
      <c r="M30" s="15">
        <v>-166244</v>
      </c>
      <c r="N30" s="16" t="str">
        <f>IF(M30="","",IF(M30&lt;0,-M30&amp;"_"&amp;COUNTIF(M$2:M30,M30),M30&amp;"_"&amp;COUNTIF(M$2:M30,M30)))</f>
        <v>166244_1</v>
      </c>
      <c r="O30" s="17" t="str">
        <f t="shared" si="0"/>
        <v/>
      </c>
      <c r="P30" s="13" t="s">
        <v>370</v>
      </c>
      <c r="Q30" s="13" t="s">
        <v>371</v>
      </c>
      <c r="R30" s="13" t="s">
        <v>0</v>
      </c>
      <c r="S30" s="13" t="s">
        <v>0</v>
      </c>
      <c r="T30" s="13" t="s">
        <v>9</v>
      </c>
      <c r="U30" s="13" t="s">
        <v>0</v>
      </c>
      <c r="V30" s="13" t="s">
        <v>0</v>
      </c>
      <c r="W30" s="13" t="s">
        <v>0</v>
      </c>
      <c r="X30" s="13" t="s">
        <v>0</v>
      </c>
      <c r="Y30" s="13" t="s">
        <v>10</v>
      </c>
      <c r="Z30" s="13" t="s">
        <v>0</v>
      </c>
      <c r="AA30" s="14"/>
      <c r="AB30" s="13" t="s">
        <v>0</v>
      </c>
      <c r="AC30" s="13" t="s">
        <v>0</v>
      </c>
      <c r="AD30" s="13" t="s">
        <v>0</v>
      </c>
      <c r="AE30" s="15">
        <v>0</v>
      </c>
    </row>
    <row r="31" spans="1:31" ht="14.15" customHeight="1" x14ac:dyDescent="0.25">
      <c r="A31" s="12" t="s">
        <v>0</v>
      </c>
      <c r="B31" s="13" t="s">
        <v>1</v>
      </c>
      <c r="C31" s="13" t="s">
        <v>864</v>
      </c>
      <c r="D31" s="14">
        <v>44111</v>
      </c>
      <c r="E31" s="14">
        <v>44111</v>
      </c>
      <c r="F31" s="14">
        <v>44114</v>
      </c>
      <c r="G31" s="13" t="s">
        <v>3</v>
      </c>
      <c r="H31" s="13" t="s">
        <v>4</v>
      </c>
      <c r="I31" s="15">
        <v>-164027.48000000001</v>
      </c>
      <c r="J31" s="13" t="s">
        <v>5</v>
      </c>
      <c r="K31" s="13" t="s">
        <v>6</v>
      </c>
      <c r="L31" s="15">
        <v>-13770106.939999999</v>
      </c>
      <c r="M31" s="15">
        <v>-164027.48000000001</v>
      </c>
      <c r="N31" s="16" t="str">
        <f>IF(M31="","",IF(M31&lt;0,-M31&amp;"_"&amp;COUNTIF(M$2:M31,M31),M31&amp;"_"&amp;COUNTIF(M$2:M31,M31)))</f>
        <v>164027.48_1</v>
      </c>
      <c r="O31" s="17" t="str">
        <f t="shared" si="0"/>
        <v/>
      </c>
      <c r="P31" s="13" t="s">
        <v>865</v>
      </c>
      <c r="Q31" s="13" t="s">
        <v>866</v>
      </c>
      <c r="R31" s="13" t="s">
        <v>0</v>
      </c>
      <c r="S31" s="13" t="s">
        <v>0</v>
      </c>
      <c r="T31" s="13" t="s">
        <v>9</v>
      </c>
      <c r="U31" s="13" t="s">
        <v>0</v>
      </c>
      <c r="V31" s="13" t="s">
        <v>0</v>
      </c>
      <c r="W31" s="13" t="s">
        <v>0</v>
      </c>
      <c r="X31" s="13" t="s">
        <v>0</v>
      </c>
      <c r="Y31" s="13" t="s">
        <v>10</v>
      </c>
      <c r="Z31" s="13" t="s">
        <v>0</v>
      </c>
      <c r="AA31" s="14"/>
      <c r="AB31" s="13" t="s">
        <v>0</v>
      </c>
      <c r="AC31" s="13" t="s">
        <v>0</v>
      </c>
      <c r="AD31" s="13" t="s">
        <v>0</v>
      </c>
      <c r="AE31" s="15">
        <v>0</v>
      </c>
    </row>
    <row r="32" spans="1:31" ht="14.15" customHeight="1" x14ac:dyDescent="0.25">
      <c r="A32" s="12" t="s">
        <v>0</v>
      </c>
      <c r="B32" s="13" t="s">
        <v>1</v>
      </c>
      <c r="C32" s="13" t="s">
        <v>1755</v>
      </c>
      <c r="D32" s="14">
        <v>44180</v>
      </c>
      <c r="E32" s="14">
        <v>44180</v>
      </c>
      <c r="F32" s="14">
        <v>44185</v>
      </c>
      <c r="G32" s="13" t="s">
        <v>3</v>
      </c>
      <c r="H32" s="13" t="s">
        <v>4</v>
      </c>
      <c r="I32" s="15">
        <v>-154978.94</v>
      </c>
      <c r="J32" s="13" t="s">
        <v>5</v>
      </c>
      <c r="K32" s="13" t="s">
        <v>6</v>
      </c>
      <c r="L32" s="15">
        <v>-13010482.01</v>
      </c>
      <c r="M32" s="15">
        <v>-154978.94</v>
      </c>
      <c r="N32" s="16" t="str">
        <f>IF(M32="","",IF(M32&lt;0,-M32&amp;"_"&amp;COUNTIF(M$2:M32,M32),M32&amp;"_"&amp;COUNTIF(M$2:M32,M32)))</f>
        <v>154978.94_1</v>
      </c>
      <c r="O32" s="17" t="str">
        <f t="shared" si="0"/>
        <v/>
      </c>
      <c r="P32" s="13" t="s">
        <v>1756</v>
      </c>
      <c r="Q32" s="13" t="s">
        <v>1757</v>
      </c>
      <c r="R32" s="13" t="s">
        <v>0</v>
      </c>
      <c r="S32" s="13" t="s">
        <v>0</v>
      </c>
      <c r="T32" s="13" t="s">
        <v>9</v>
      </c>
      <c r="U32" s="13" t="s">
        <v>0</v>
      </c>
      <c r="V32" s="13" t="s">
        <v>0</v>
      </c>
      <c r="W32" s="13" t="s">
        <v>0</v>
      </c>
      <c r="X32" s="13" t="s">
        <v>0</v>
      </c>
      <c r="Y32" s="13" t="s">
        <v>10</v>
      </c>
      <c r="Z32" s="13" t="s">
        <v>0</v>
      </c>
      <c r="AA32" s="14"/>
      <c r="AB32" s="13" t="s">
        <v>0</v>
      </c>
      <c r="AC32" s="13" t="s">
        <v>0</v>
      </c>
      <c r="AD32" s="13" t="s">
        <v>0</v>
      </c>
      <c r="AE32" s="15">
        <v>0</v>
      </c>
    </row>
    <row r="33" spans="1:31" ht="14.15" customHeight="1" x14ac:dyDescent="0.25">
      <c r="A33" s="12" t="s">
        <v>0</v>
      </c>
      <c r="B33" s="13" t="s">
        <v>875</v>
      </c>
      <c r="C33" s="13" t="s">
        <v>876</v>
      </c>
      <c r="D33" s="14">
        <v>44111</v>
      </c>
      <c r="E33" s="14">
        <v>44111</v>
      </c>
      <c r="F33" s="14">
        <v>44114</v>
      </c>
      <c r="G33" s="13" t="s">
        <v>48</v>
      </c>
      <c r="H33" s="13" t="s">
        <v>4</v>
      </c>
      <c r="I33" s="15">
        <v>-154780.79999999999</v>
      </c>
      <c r="J33" s="13" t="s">
        <v>5</v>
      </c>
      <c r="K33" s="13" t="s">
        <v>6</v>
      </c>
      <c r="L33" s="15">
        <v>-12993848.16</v>
      </c>
      <c r="M33" s="15">
        <v>-154780.79999999999</v>
      </c>
      <c r="N33" s="16" t="str">
        <f>IF(M33="","",IF(M33&lt;0,-M33&amp;"_"&amp;COUNTIF(M$2:M33,M33),M33&amp;"_"&amp;COUNTIF(M$2:M33,M33)))</f>
        <v>154780.8_1</v>
      </c>
      <c r="O33" s="17" t="str">
        <f t="shared" si="0"/>
        <v/>
      </c>
      <c r="P33" s="13" t="s">
        <v>877</v>
      </c>
      <c r="Q33" s="13" t="s">
        <v>877</v>
      </c>
      <c r="R33" s="13" t="s">
        <v>878</v>
      </c>
      <c r="S33" s="13" t="s">
        <v>0</v>
      </c>
      <c r="T33" s="13" t="s">
        <v>9</v>
      </c>
      <c r="U33" s="13" t="s">
        <v>879</v>
      </c>
      <c r="V33" s="13" t="s">
        <v>0</v>
      </c>
      <c r="W33" s="13" t="s">
        <v>0</v>
      </c>
      <c r="X33" s="13" t="s">
        <v>0</v>
      </c>
      <c r="Y33" s="13" t="s">
        <v>0</v>
      </c>
      <c r="Z33" s="13" t="s">
        <v>0</v>
      </c>
      <c r="AA33" s="14"/>
      <c r="AB33" s="13" t="s">
        <v>0</v>
      </c>
      <c r="AC33" s="13" t="s">
        <v>0</v>
      </c>
      <c r="AD33" s="13" t="s">
        <v>0</v>
      </c>
      <c r="AE33" s="15">
        <v>0</v>
      </c>
    </row>
    <row r="34" spans="1:31" ht="14.15" customHeight="1" x14ac:dyDescent="0.25">
      <c r="A34" s="12" t="s">
        <v>0</v>
      </c>
      <c r="B34" s="13" t="s">
        <v>1</v>
      </c>
      <c r="C34" s="13" t="s">
        <v>1670</v>
      </c>
      <c r="D34" s="14">
        <v>44172</v>
      </c>
      <c r="E34" s="14">
        <v>44172</v>
      </c>
      <c r="F34" s="14">
        <v>44178</v>
      </c>
      <c r="G34" s="13" t="s">
        <v>3</v>
      </c>
      <c r="H34" s="13" t="s">
        <v>4</v>
      </c>
      <c r="I34" s="15">
        <v>-154667.64000000001</v>
      </c>
      <c r="J34" s="13" t="s">
        <v>5</v>
      </c>
      <c r="K34" s="13" t="s">
        <v>6</v>
      </c>
      <c r="L34" s="15">
        <v>-12984348.380000001</v>
      </c>
      <c r="M34" s="15">
        <v>-154667.64000000001</v>
      </c>
      <c r="N34" s="16" t="str">
        <f>IF(M34="","",IF(M34&lt;0,-M34&amp;"_"&amp;COUNTIF(M$2:M34,M34),M34&amp;"_"&amp;COUNTIF(M$2:M34,M34)))</f>
        <v>154667.64_1</v>
      </c>
      <c r="O34" s="17" t="str">
        <f t="shared" si="0"/>
        <v/>
      </c>
      <c r="P34" s="13" t="s">
        <v>1671</v>
      </c>
      <c r="Q34" s="13" t="s">
        <v>1672</v>
      </c>
      <c r="R34" s="13" t="s">
        <v>0</v>
      </c>
      <c r="S34" s="13" t="s">
        <v>0</v>
      </c>
      <c r="T34" s="13" t="s">
        <v>9</v>
      </c>
      <c r="U34" s="13" t="s">
        <v>0</v>
      </c>
      <c r="V34" s="13" t="s">
        <v>0</v>
      </c>
      <c r="W34" s="13" t="s">
        <v>0</v>
      </c>
      <c r="X34" s="13" t="s">
        <v>0</v>
      </c>
      <c r="Y34" s="13" t="s">
        <v>10</v>
      </c>
      <c r="Z34" s="13" t="s">
        <v>0</v>
      </c>
      <c r="AA34" s="14"/>
      <c r="AB34" s="13" t="s">
        <v>0</v>
      </c>
      <c r="AC34" s="13" t="s">
        <v>0</v>
      </c>
      <c r="AD34" s="13" t="s">
        <v>0</v>
      </c>
      <c r="AE34" s="15">
        <v>0</v>
      </c>
    </row>
    <row r="35" spans="1:31" ht="14.15" customHeight="1" x14ac:dyDescent="0.25">
      <c r="A35" s="12" t="s">
        <v>0</v>
      </c>
      <c r="B35" s="13" t="s">
        <v>1</v>
      </c>
      <c r="C35" s="13" t="s">
        <v>1544</v>
      </c>
      <c r="D35" s="14">
        <v>44165</v>
      </c>
      <c r="E35" s="14">
        <v>44165</v>
      </c>
      <c r="F35" s="14">
        <v>44170</v>
      </c>
      <c r="G35" s="13" t="s">
        <v>3</v>
      </c>
      <c r="H35" s="13" t="s">
        <v>4</v>
      </c>
      <c r="I35" s="15">
        <v>-151863.72</v>
      </c>
      <c r="J35" s="13" t="s">
        <v>5</v>
      </c>
      <c r="K35" s="13" t="s">
        <v>6</v>
      </c>
      <c r="L35" s="15">
        <v>-12748959.289999999</v>
      </c>
      <c r="M35" s="15">
        <v>-151863.72</v>
      </c>
      <c r="N35" s="16" t="str">
        <f>IF(M35="","",IF(M35&lt;0,-M35&amp;"_"&amp;COUNTIF(M$2:M35,M35),M35&amp;"_"&amp;COUNTIF(M$2:M35,M35)))</f>
        <v>151863.72_1</v>
      </c>
      <c r="O35" s="17" t="str">
        <f t="shared" si="0"/>
        <v/>
      </c>
      <c r="P35" s="13" t="s">
        <v>1545</v>
      </c>
      <c r="Q35" s="13" t="s">
        <v>1541</v>
      </c>
      <c r="R35" s="13" t="s">
        <v>0</v>
      </c>
      <c r="S35" s="13" t="s">
        <v>0</v>
      </c>
      <c r="T35" s="13" t="s">
        <v>9</v>
      </c>
      <c r="U35" s="13" t="s">
        <v>0</v>
      </c>
      <c r="V35" s="13" t="s">
        <v>0</v>
      </c>
      <c r="W35" s="13" t="s">
        <v>0</v>
      </c>
      <c r="X35" s="13" t="s">
        <v>0</v>
      </c>
      <c r="Y35" s="13" t="s">
        <v>10</v>
      </c>
      <c r="Z35" s="13" t="s">
        <v>0</v>
      </c>
      <c r="AA35" s="14"/>
      <c r="AB35" s="13" t="s">
        <v>0</v>
      </c>
      <c r="AC35" s="13" t="s">
        <v>0</v>
      </c>
      <c r="AD35" s="13" t="s">
        <v>0</v>
      </c>
      <c r="AE35" s="15">
        <v>0</v>
      </c>
    </row>
    <row r="36" spans="1:31" ht="14.15" customHeight="1" x14ac:dyDescent="0.25">
      <c r="A36" s="12" t="s">
        <v>0</v>
      </c>
      <c r="B36" s="13" t="s">
        <v>1</v>
      </c>
      <c r="C36" s="13" t="s">
        <v>95</v>
      </c>
      <c r="D36" s="14">
        <v>44024</v>
      </c>
      <c r="E36" s="14">
        <v>44024</v>
      </c>
      <c r="F36" s="14">
        <v>44028</v>
      </c>
      <c r="G36" s="13" t="s">
        <v>3</v>
      </c>
      <c r="H36" s="13" t="s">
        <v>4</v>
      </c>
      <c r="I36" s="15">
        <v>-151536.14000000001</v>
      </c>
      <c r="J36" s="13" t="s">
        <v>5</v>
      </c>
      <c r="K36" s="13" t="s">
        <v>6</v>
      </c>
      <c r="L36" s="15">
        <v>-12721458.949999999</v>
      </c>
      <c r="M36" s="15">
        <v>-151536.14000000001</v>
      </c>
      <c r="N36" s="16" t="str">
        <f>IF(M36="","",IF(M36&lt;0,-M36&amp;"_"&amp;COUNTIF(M$2:M36,M36),M36&amp;"_"&amp;COUNTIF(M$2:M36,M36)))</f>
        <v>151536.14_1</v>
      </c>
      <c r="O36" s="17" t="str">
        <f t="shared" si="0"/>
        <v/>
      </c>
      <c r="P36" s="13" t="s">
        <v>96</v>
      </c>
      <c r="Q36" s="13" t="s">
        <v>97</v>
      </c>
      <c r="R36" s="13" t="s">
        <v>0</v>
      </c>
      <c r="S36" s="13" t="s">
        <v>0</v>
      </c>
      <c r="T36" s="13" t="s">
        <v>9</v>
      </c>
      <c r="U36" s="13" t="s">
        <v>0</v>
      </c>
      <c r="V36" s="13" t="s">
        <v>0</v>
      </c>
      <c r="W36" s="13" t="s">
        <v>0</v>
      </c>
      <c r="X36" s="13" t="s">
        <v>0</v>
      </c>
      <c r="Y36" s="13" t="s">
        <v>10</v>
      </c>
      <c r="Z36" s="13" t="s">
        <v>0</v>
      </c>
      <c r="AA36" s="14"/>
      <c r="AB36" s="13" t="s">
        <v>0</v>
      </c>
      <c r="AC36" s="13" t="s">
        <v>0</v>
      </c>
      <c r="AD36" s="13" t="s">
        <v>0</v>
      </c>
      <c r="AE36" s="15">
        <v>0</v>
      </c>
    </row>
    <row r="37" spans="1:31" ht="14.15" customHeight="1" x14ac:dyDescent="0.25">
      <c r="A37" s="12" t="s">
        <v>0</v>
      </c>
      <c r="B37" s="13" t="s">
        <v>1</v>
      </c>
      <c r="C37" s="13" t="s">
        <v>3815</v>
      </c>
      <c r="D37" s="14">
        <v>44346</v>
      </c>
      <c r="E37" s="14">
        <v>44346</v>
      </c>
      <c r="F37" s="14">
        <v>44349</v>
      </c>
      <c r="G37" s="13" t="s">
        <v>3</v>
      </c>
      <c r="H37" s="13" t="s">
        <v>4</v>
      </c>
      <c r="I37" s="15">
        <v>-150190.35</v>
      </c>
      <c r="J37" s="13" t="s">
        <v>5</v>
      </c>
      <c r="K37" s="13" t="s">
        <v>6</v>
      </c>
      <c r="L37" s="15">
        <v>-12608479.880000001</v>
      </c>
      <c r="M37" s="15">
        <v>-150190.35</v>
      </c>
      <c r="N37" s="16" t="str">
        <f>IF(M37="","",IF(M37&lt;0,-M37&amp;"_"&amp;COUNTIF(M$2:M37,M37),M37&amp;"_"&amp;COUNTIF(M$2:M37,M37)))</f>
        <v>150190.35_1</v>
      </c>
      <c r="O37" s="17" t="str">
        <f t="shared" si="0"/>
        <v/>
      </c>
      <c r="P37" s="13" t="s">
        <v>3816</v>
      </c>
      <c r="Q37" s="13" t="s">
        <v>3812</v>
      </c>
      <c r="R37" s="13" t="s">
        <v>0</v>
      </c>
      <c r="S37" s="13" t="s">
        <v>0</v>
      </c>
      <c r="T37" s="13" t="s">
        <v>9</v>
      </c>
      <c r="U37" s="13" t="s">
        <v>0</v>
      </c>
      <c r="V37" s="13" t="s">
        <v>0</v>
      </c>
      <c r="W37" s="13" t="s">
        <v>0</v>
      </c>
      <c r="X37" s="13" t="s">
        <v>0</v>
      </c>
      <c r="Y37" s="13" t="s">
        <v>10</v>
      </c>
      <c r="Z37" s="13" t="s">
        <v>0</v>
      </c>
      <c r="AA37" s="14"/>
      <c r="AB37" s="13" t="s">
        <v>0</v>
      </c>
      <c r="AC37" s="13" t="s">
        <v>0</v>
      </c>
      <c r="AD37" s="13" t="s">
        <v>0</v>
      </c>
      <c r="AE37" s="15">
        <v>0</v>
      </c>
    </row>
    <row r="38" spans="1:31" ht="14.15" customHeight="1" x14ac:dyDescent="0.25">
      <c r="A38" s="12" t="s">
        <v>0</v>
      </c>
      <c r="B38" s="13" t="s">
        <v>1</v>
      </c>
      <c r="C38" s="13" t="s">
        <v>3650</v>
      </c>
      <c r="D38" s="14">
        <v>44332</v>
      </c>
      <c r="E38" s="14">
        <v>44332</v>
      </c>
      <c r="F38" s="14">
        <v>44336</v>
      </c>
      <c r="G38" s="13" t="s">
        <v>3</v>
      </c>
      <c r="H38" s="13" t="s">
        <v>4</v>
      </c>
      <c r="I38" s="15">
        <v>-148299.66</v>
      </c>
      <c r="J38" s="13" t="s">
        <v>5</v>
      </c>
      <c r="K38" s="13" t="s">
        <v>6</v>
      </c>
      <c r="L38" s="15">
        <v>-12449756.460000001</v>
      </c>
      <c r="M38" s="15">
        <v>-148299.66</v>
      </c>
      <c r="N38" s="16" t="str">
        <f>IF(M38="","",IF(M38&lt;0,-M38&amp;"_"&amp;COUNTIF(M$2:M38,M38),M38&amp;"_"&amp;COUNTIF(M$2:M38,M38)))</f>
        <v>148299.66_1</v>
      </c>
      <c r="O38" s="17" t="str">
        <f t="shared" si="0"/>
        <v/>
      </c>
      <c r="P38" s="13" t="s">
        <v>3651</v>
      </c>
      <c r="Q38" s="13" t="s">
        <v>3652</v>
      </c>
      <c r="R38" s="13" t="s">
        <v>0</v>
      </c>
      <c r="S38" s="13" t="s">
        <v>0</v>
      </c>
      <c r="T38" s="13" t="s">
        <v>9</v>
      </c>
      <c r="U38" s="13" t="s">
        <v>0</v>
      </c>
      <c r="V38" s="13" t="s">
        <v>0</v>
      </c>
      <c r="W38" s="13" t="s">
        <v>0</v>
      </c>
      <c r="X38" s="13" t="s">
        <v>0</v>
      </c>
      <c r="Y38" s="13" t="s">
        <v>10</v>
      </c>
      <c r="Z38" s="13" t="s">
        <v>0</v>
      </c>
      <c r="AA38" s="14"/>
      <c r="AB38" s="13" t="s">
        <v>0</v>
      </c>
      <c r="AC38" s="13" t="s">
        <v>0</v>
      </c>
      <c r="AD38" s="13" t="s">
        <v>0</v>
      </c>
      <c r="AE38" s="15">
        <v>0</v>
      </c>
    </row>
    <row r="39" spans="1:31" ht="14.15" customHeight="1" x14ac:dyDescent="0.25">
      <c r="A39" s="12" t="s">
        <v>0</v>
      </c>
      <c r="B39" s="13" t="s">
        <v>1</v>
      </c>
      <c r="C39" s="13" t="s">
        <v>248</v>
      </c>
      <c r="D39" s="14">
        <v>44041</v>
      </c>
      <c r="E39" s="14">
        <v>44041</v>
      </c>
      <c r="F39" s="14">
        <v>44053</v>
      </c>
      <c r="G39" s="13" t="s">
        <v>3</v>
      </c>
      <c r="H39" s="13" t="s">
        <v>4</v>
      </c>
      <c r="I39" s="15">
        <v>-145862.81</v>
      </c>
      <c r="J39" s="13" t="s">
        <v>5</v>
      </c>
      <c r="K39" s="13" t="s">
        <v>6</v>
      </c>
      <c r="L39" s="15">
        <v>-12245182.9</v>
      </c>
      <c r="M39" s="15">
        <v>-145862.81</v>
      </c>
      <c r="N39" s="16" t="str">
        <f>IF(M39="","",IF(M39&lt;0,-M39&amp;"_"&amp;COUNTIF(M$2:M39,M39),M39&amp;"_"&amp;COUNTIF(M$2:M39,M39)))</f>
        <v>145862.81_1</v>
      </c>
      <c r="O39" s="17" t="str">
        <f t="shared" si="0"/>
        <v/>
      </c>
      <c r="P39" s="13" t="s">
        <v>249</v>
      </c>
      <c r="Q39" s="13" t="s">
        <v>250</v>
      </c>
      <c r="R39" s="13" t="s">
        <v>0</v>
      </c>
      <c r="S39" s="13" t="s">
        <v>0</v>
      </c>
      <c r="T39" s="13" t="s">
        <v>9</v>
      </c>
      <c r="U39" s="13" t="s">
        <v>0</v>
      </c>
      <c r="V39" s="13" t="s">
        <v>0</v>
      </c>
      <c r="W39" s="13" t="s">
        <v>0</v>
      </c>
      <c r="X39" s="13" t="s">
        <v>0</v>
      </c>
      <c r="Y39" s="13" t="s">
        <v>10</v>
      </c>
      <c r="Z39" s="13" t="s">
        <v>0</v>
      </c>
      <c r="AA39" s="14"/>
      <c r="AB39" s="13" t="s">
        <v>0</v>
      </c>
      <c r="AC39" s="13" t="s">
        <v>0</v>
      </c>
      <c r="AD39" s="13" t="s">
        <v>0</v>
      </c>
      <c r="AE39" s="15">
        <v>0</v>
      </c>
    </row>
    <row r="40" spans="1:31" ht="14.15" customHeight="1" x14ac:dyDescent="0.25">
      <c r="A40" s="12" t="s">
        <v>0</v>
      </c>
      <c r="B40" s="13" t="s">
        <v>1</v>
      </c>
      <c r="C40" s="13" t="s">
        <v>2620</v>
      </c>
      <c r="D40" s="14">
        <v>44245</v>
      </c>
      <c r="E40" s="14">
        <v>44245</v>
      </c>
      <c r="F40" s="14">
        <v>44255</v>
      </c>
      <c r="G40" s="13" t="s">
        <v>3</v>
      </c>
      <c r="H40" s="13" t="s">
        <v>4</v>
      </c>
      <c r="I40" s="15">
        <v>-144909.21</v>
      </c>
      <c r="J40" s="13" t="s">
        <v>5</v>
      </c>
      <c r="K40" s="13" t="s">
        <v>6</v>
      </c>
      <c r="L40" s="15">
        <v>-12165128.18</v>
      </c>
      <c r="M40" s="15">
        <v>-144909.21</v>
      </c>
      <c r="N40" s="16" t="str">
        <f>IF(M40="","",IF(M40&lt;0,-M40&amp;"_"&amp;COUNTIF(M$2:M40,M40),M40&amp;"_"&amp;COUNTIF(M$2:M40,M40)))</f>
        <v>144909.21_1</v>
      </c>
      <c r="O40" s="17" t="str">
        <f t="shared" si="0"/>
        <v/>
      </c>
      <c r="P40" s="13" t="s">
        <v>2621</v>
      </c>
      <c r="Q40" s="13" t="s">
        <v>2613</v>
      </c>
      <c r="R40" s="13" t="s">
        <v>0</v>
      </c>
      <c r="S40" s="13" t="s">
        <v>0</v>
      </c>
      <c r="T40" s="13" t="s">
        <v>9</v>
      </c>
      <c r="U40" s="13" t="s">
        <v>0</v>
      </c>
      <c r="V40" s="13" t="s">
        <v>0</v>
      </c>
      <c r="W40" s="13" t="s">
        <v>0</v>
      </c>
      <c r="X40" s="13" t="s">
        <v>0</v>
      </c>
      <c r="Y40" s="13" t="s">
        <v>10</v>
      </c>
      <c r="Z40" s="13" t="s">
        <v>0</v>
      </c>
      <c r="AA40" s="14"/>
      <c r="AB40" s="13" t="s">
        <v>0</v>
      </c>
      <c r="AC40" s="13" t="s">
        <v>0</v>
      </c>
      <c r="AD40" s="13" t="s">
        <v>0</v>
      </c>
      <c r="AE40" s="15">
        <v>0</v>
      </c>
    </row>
    <row r="41" spans="1:31" ht="14.15" customHeight="1" x14ac:dyDescent="0.25">
      <c r="A41" s="12" t="s">
        <v>0</v>
      </c>
      <c r="B41" s="13" t="s">
        <v>1</v>
      </c>
      <c r="C41" s="13" t="s">
        <v>954</v>
      </c>
      <c r="D41" s="14">
        <v>44122</v>
      </c>
      <c r="E41" s="14">
        <v>44122</v>
      </c>
      <c r="F41" s="14">
        <v>44126</v>
      </c>
      <c r="G41" s="13" t="s">
        <v>3</v>
      </c>
      <c r="H41" s="13" t="s">
        <v>4</v>
      </c>
      <c r="I41" s="15">
        <v>-144642.15</v>
      </c>
      <c r="J41" s="13" t="s">
        <v>5</v>
      </c>
      <c r="K41" s="13" t="s">
        <v>6</v>
      </c>
      <c r="L41" s="15">
        <v>-12142708.5</v>
      </c>
      <c r="M41" s="15">
        <v>-144642.15</v>
      </c>
      <c r="N41" s="16" t="str">
        <f>IF(M41="","",IF(M41&lt;0,-M41&amp;"_"&amp;COUNTIF(M$2:M41,M41),M41&amp;"_"&amp;COUNTIF(M$2:M41,M41)))</f>
        <v>144642.15_1</v>
      </c>
      <c r="O41" s="17" t="str">
        <f t="shared" si="0"/>
        <v/>
      </c>
      <c r="P41" s="13" t="s">
        <v>955</v>
      </c>
      <c r="Q41" s="13" t="s">
        <v>947</v>
      </c>
      <c r="R41" s="13" t="s">
        <v>0</v>
      </c>
      <c r="S41" s="13" t="s">
        <v>0</v>
      </c>
      <c r="T41" s="13" t="s">
        <v>9</v>
      </c>
      <c r="U41" s="13" t="s">
        <v>0</v>
      </c>
      <c r="V41" s="13" t="s">
        <v>0</v>
      </c>
      <c r="W41" s="13" t="s">
        <v>0</v>
      </c>
      <c r="X41" s="13" t="s">
        <v>0</v>
      </c>
      <c r="Y41" s="13" t="s">
        <v>10</v>
      </c>
      <c r="Z41" s="13" t="s">
        <v>0</v>
      </c>
      <c r="AA41" s="14"/>
      <c r="AB41" s="13" t="s">
        <v>0</v>
      </c>
      <c r="AC41" s="13" t="s">
        <v>0</v>
      </c>
      <c r="AD41" s="13" t="s">
        <v>0</v>
      </c>
      <c r="AE41" s="15">
        <v>0</v>
      </c>
    </row>
    <row r="42" spans="1:31" ht="14.15" customHeight="1" x14ac:dyDescent="0.25">
      <c r="A42" s="12" t="s">
        <v>0</v>
      </c>
      <c r="B42" s="13" t="s">
        <v>1</v>
      </c>
      <c r="C42" s="13" t="s">
        <v>3771</v>
      </c>
      <c r="D42" s="14">
        <v>44343</v>
      </c>
      <c r="E42" s="14">
        <v>44343</v>
      </c>
      <c r="F42" s="14">
        <v>44347</v>
      </c>
      <c r="G42" s="13" t="s">
        <v>3</v>
      </c>
      <c r="H42" s="13" t="s">
        <v>4</v>
      </c>
      <c r="I42" s="15">
        <v>-143861.01999999999</v>
      </c>
      <c r="J42" s="13" t="s">
        <v>5</v>
      </c>
      <c r="K42" s="13" t="s">
        <v>6</v>
      </c>
      <c r="L42" s="15">
        <v>-12077132.619999999</v>
      </c>
      <c r="M42" s="15">
        <v>-143861.01999999999</v>
      </c>
      <c r="N42" s="16" t="str">
        <f>IF(M42="","",IF(M42&lt;0,-M42&amp;"_"&amp;COUNTIF(M$2:M42,M42),M42&amp;"_"&amp;COUNTIF(M$2:M42,M42)))</f>
        <v>143861.02_1</v>
      </c>
      <c r="O42" s="17" t="str">
        <f t="shared" si="0"/>
        <v/>
      </c>
      <c r="P42" s="13" t="s">
        <v>3772</v>
      </c>
      <c r="Q42" s="13" t="s">
        <v>3773</v>
      </c>
      <c r="R42" s="13" t="s">
        <v>0</v>
      </c>
      <c r="S42" s="13" t="s">
        <v>0</v>
      </c>
      <c r="T42" s="13" t="s">
        <v>9</v>
      </c>
      <c r="U42" s="13" t="s">
        <v>0</v>
      </c>
      <c r="V42" s="13" t="s">
        <v>0</v>
      </c>
      <c r="W42" s="13" t="s">
        <v>0</v>
      </c>
      <c r="X42" s="13" t="s">
        <v>0</v>
      </c>
      <c r="Y42" s="13" t="s">
        <v>10</v>
      </c>
      <c r="Z42" s="13" t="s">
        <v>0</v>
      </c>
      <c r="AA42" s="14"/>
      <c r="AB42" s="13" t="s">
        <v>0</v>
      </c>
      <c r="AC42" s="13" t="s">
        <v>0</v>
      </c>
      <c r="AD42" s="13" t="s">
        <v>0</v>
      </c>
      <c r="AE42" s="15">
        <v>0</v>
      </c>
    </row>
    <row r="43" spans="1:31" ht="14.15" customHeight="1" x14ac:dyDescent="0.25">
      <c r="A43" s="12" t="s">
        <v>0</v>
      </c>
      <c r="B43" s="13" t="s">
        <v>1</v>
      </c>
      <c r="C43" s="13" t="s">
        <v>864</v>
      </c>
      <c r="D43" s="14">
        <v>44111</v>
      </c>
      <c r="E43" s="14">
        <v>44111</v>
      </c>
      <c r="F43" s="14">
        <v>44114</v>
      </c>
      <c r="G43" s="13" t="s">
        <v>3</v>
      </c>
      <c r="H43" s="13" t="s">
        <v>4</v>
      </c>
      <c r="I43" s="15">
        <v>-140117.68</v>
      </c>
      <c r="J43" s="13" t="s">
        <v>5</v>
      </c>
      <c r="K43" s="13" t="s">
        <v>6</v>
      </c>
      <c r="L43" s="15">
        <v>-11762879.24</v>
      </c>
      <c r="M43" s="15">
        <v>-140117.68</v>
      </c>
      <c r="N43" s="16" t="str">
        <f>IF(M43="","",IF(M43&lt;0,-M43&amp;"_"&amp;COUNTIF(M$2:M43,M43),M43&amp;"_"&amp;COUNTIF(M$2:M43,M43)))</f>
        <v>140117.68_1</v>
      </c>
      <c r="O43" s="17" t="str">
        <f t="shared" si="0"/>
        <v/>
      </c>
      <c r="P43" s="13" t="s">
        <v>865</v>
      </c>
      <c r="Q43" s="13" t="s">
        <v>866</v>
      </c>
      <c r="R43" s="13" t="s">
        <v>0</v>
      </c>
      <c r="S43" s="13" t="s">
        <v>0</v>
      </c>
      <c r="T43" s="13" t="s">
        <v>9</v>
      </c>
      <c r="U43" s="13" t="s">
        <v>0</v>
      </c>
      <c r="V43" s="13" t="s">
        <v>0</v>
      </c>
      <c r="W43" s="13" t="s">
        <v>0</v>
      </c>
      <c r="X43" s="13" t="s">
        <v>0</v>
      </c>
      <c r="Y43" s="13" t="s">
        <v>10</v>
      </c>
      <c r="Z43" s="13" t="s">
        <v>0</v>
      </c>
      <c r="AA43" s="14"/>
      <c r="AB43" s="13" t="s">
        <v>0</v>
      </c>
      <c r="AC43" s="13" t="s">
        <v>0</v>
      </c>
      <c r="AD43" s="13" t="s">
        <v>0</v>
      </c>
      <c r="AE43" s="15">
        <v>0</v>
      </c>
    </row>
    <row r="44" spans="1:31" ht="14.15" customHeight="1" x14ac:dyDescent="0.25">
      <c r="A44" s="12" t="s">
        <v>0</v>
      </c>
      <c r="B44" s="13" t="s">
        <v>1</v>
      </c>
      <c r="C44" s="13" t="s">
        <v>973</v>
      </c>
      <c r="D44" s="14">
        <v>44123</v>
      </c>
      <c r="E44" s="14">
        <v>44123</v>
      </c>
      <c r="F44" s="14">
        <v>44137</v>
      </c>
      <c r="G44" s="13" t="s">
        <v>3</v>
      </c>
      <c r="H44" s="13" t="s">
        <v>4</v>
      </c>
      <c r="I44" s="15">
        <v>-139565.9</v>
      </c>
      <c r="J44" s="13" t="s">
        <v>5</v>
      </c>
      <c r="K44" s="13" t="s">
        <v>6</v>
      </c>
      <c r="L44" s="15">
        <v>-11716557.300000001</v>
      </c>
      <c r="M44" s="15">
        <v>-139565.9</v>
      </c>
      <c r="N44" s="16" t="str">
        <f>IF(M44="","",IF(M44&lt;0,-M44&amp;"_"&amp;COUNTIF(M$2:M44,M44),M44&amp;"_"&amp;COUNTIF(M$2:M44,M44)))</f>
        <v>139565.9_1</v>
      </c>
      <c r="O44" s="17" t="str">
        <f t="shared" si="0"/>
        <v/>
      </c>
      <c r="P44" s="13" t="s">
        <v>974</v>
      </c>
      <c r="Q44" s="13" t="s">
        <v>958</v>
      </c>
      <c r="R44" s="13" t="s">
        <v>0</v>
      </c>
      <c r="S44" s="13" t="s">
        <v>0</v>
      </c>
      <c r="T44" s="13" t="s">
        <v>9</v>
      </c>
      <c r="U44" s="13" t="s">
        <v>0</v>
      </c>
      <c r="V44" s="13" t="s">
        <v>0</v>
      </c>
      <c r="W44" s="13" t="s">
        <v>0</v>
      </c>
      <c r="X44" s="13" t="s">
        <v>0</v>
      </c>
      <c r="Y44" s="13" t="s">
        <v>10</v>
      </c>
      <c r="Z44" s="13" t="s">
        <v>0</v>
      </c>
      <c r="AA44" s="14"/>
      <c r="AB44" s="13" t="s">
        <v>0</v>
      </c>
      <c r="AC44" s="13" t="s">
        <v>0</v>
      </c>
      <c r="AD44" s="13" t="s">
        <v>0</v>
      </c>
      <c r="AE44" s="15">
        <v>0</v>
      </c>
    </row>
    <row r="45" spans="1:31" ht="14.15" customHeight="1" x14ac:dyDescent="0.25">
      <c r="A45" s="12" t="s">
        <v>0</v>
      </c>
      <c r="B45" s="13" t="s">
        <v>1</v>
      </c>
      <c r="C45" s="13" t="s">
        <v>436</v>
      </c>
      <c r="D45" s="14">
        <v>44064</v>
      </c>
      <c r="E45" s="14">
        <v>44064</v>
      </c>
      <c r="F45" s="14">
        <v>44072</v>
      </c>
      <c r="G45" s="13" t="s">
        <v>3</v>
      </c>
      <c r="H45" s="13" t="s">
        <v>4</v>
      </c>
      <c r="I45" s="15">
        <v>-136501.21</v>
      </c>
      <c r="J45" s="13" t="s">
        <v>5</v>
      </c>
      <c r="K45" s="13" t="s">
        <v>6</v>
      </c>
      <c r="L45" s="15">
        <v>-11459276.58</v>
      </c>
      <c r="M45" s="15">
        <v>-136501.21</v>
      </c>
      <c r="N45" s="16" t="str">
        <f>IF(M45="","",IF(M45&lt;0,-M45&amp;"_"&amp;COUNTIF(M$2:M45,M45),M45&amp;"_"&amp;COUNTIF(M$2:M45,M45)))</f>
        <v>136501.21_1</v>
      </c>
      <c r="O45" s="17" t="str">
        <f t="shared" si="0"/>
        <v/>
      </c>
      <c r="P45" s="13" t="s">
        <v>437</v>
      </c>
      <c r="Q45" s="13" t="s">
        <v>431</v>
      </c>
      <c r="R45" s="13" t="s">
        <v>0</v>
      </c>
      <c r="S45" s="13" t="s">
        <v>0</v>
      </c>
      <c r="T45" s="13" t="s">
        <v>9</v>
      </c>
      <c r="U45" s="13" t="s">
        <v>0</v>
      </c>
      <c r="V45" s="13" t="s">
        <v>0</v>
      </c>
      <c r="W45" s="13" t="s">
        <v>0</v>
      </c>
      <c r="X45" s="13" t="s">
        <v>0</v>
      </c>
      <c r="Y45" s="13" t="s">
        <v>10</v>
      </c>
      <c r="Z45" s="13" t="s">
        <v>0</v>
      </c>
      <c r="AA45" s="14"/>
      <c r="AB45" s="13" t="s">
        <v>0</v>
      </c>
      <c r="AC45" s="13" t="s">
        <v>0</v>
      </c>
      <c r="AD45" s="13" t="s">
        <v>0</v>
      </c>
      <c r="AE45" s="15">
        <v>0</v>
      </c>
    </row>
    <row r="46" spans="1:31" ht="14.15" customHeight="1" x14ac:dyDescent="0.25">
      <c r="A46" s="12" t="s">
        <v>0</v>
      </c>
      <c r="B46" s="13" t="s">
        <v>1</v>
      </c>
      <c r="C46" s="13" t="s">
        <v>1593</v>
      </c>
      <c r="D46" s="14">
        <v>44167</v>
      </c>
      <c r="E46" s="14">
        <v>44167</v>
      </c>
      <c r="F46" s="14">
        <v>44174</v>
      </c>
      <c r="G46" s="13" t="s">
        <v>3</v>
      </c>
      <c r="H46" s="13" t="s">
        <v>4</v>
      </c>
      <c r="I46" s="15">
        <v>-135751.45000000001</v>
      </c>
      <c r="J46" s="13" t="s">
        <v>5</v>
      </c>
      <c r="K46" s="13" t="s">
        <v>6</v>
      </c>
      <c r="L46" s="15">
        <v>-11396334.23</v>
      </c>
      <c r="M46" s="15">
        <v>-135751.45000000001</v>
      </c>
      <c r="N46" s="16" t="str">
        <f>IF(M46="","",IF(M46&lt;0,-M46&amp;"_"&amp;COUNTIF(M$2:M46,M46),M46&amp;"_"&amp;COUNTIF(M$2:M46,M46)))</f>
        <v>135751.45_1</v>
      </c>
      <c r="O46" s="17" t="str">
        <f t="shared" si="0"/>
        <v/>
      </c>
      <c r="P46" s="13" t="s">
        <v>1594</v>
      </c>
      <c r="Q46" s="13" t="s">
        <v>1592</v>
      </c>
      <c r="R46" s="13" t="s">
        <v>0</v>
      </c>
      <c r="S46" s="13" t="s">
        <v>0</v>
      </c>
      <c r="T46" s="13" t="s">
        <v>9</v>
      </c>
      <c r="U46" s="13" t="s">
        <v>0</v>
      </c>
      <c r="V46" s="13" t="s">
        <v>0</v>
      </c>
      <c r="W46" s="13" t="s">
        <v>0</v>
      </c>
      <c r="X46" s="13" t="s">
        <v>0</v>
      </c>
      <c r="Y46" s="13" t="s">
        <v>10</v>
      </c>
      <c r="Z46" s="13" t="s">
        <v>0</v>
      </c>
      <c r="AA46" s="14"/>
      <c r="AB46" s="13" t="s">
        <v>0</v>
      </c>
      <c r="AC46" s="13" t="s">
        <v>0</v>
      </c>
      <c r="AD46" s="13" t="s">
        <v>0</v>
      </c>
      <c r="AE46" s="15">
        <v>0</v>
      </c>
    </row>
    <row r="47" spans="1:31" ht="14.15" customHeight="1" x14ac:dyDescent="0.25">
      <c r="A47" s="12" t="s">
        <v>0</v>
      </c>
      <c r="B47" s="13" t="s">
        <v>1</v>
      </c>
      <c r="C47" s="13" t="s">
        <v>1442</v>
      </c>
      <c r="D47" s="14">
        <v>44158</v>
      </c>
      <c r="E47" s="14">
        <v>44158</v>
      </c>
      <c r="F47" s="14">
        <v>44161</v>
      </c>
      <c r="G47" s="13" t="s">
        <v>3</v>
      </c>
      <c r="H47" s="13" t="s">
        <v>4</v>
      </c>
      <c r="I47" s="15">
        <v>-135380.54</v>
      </c>
      <c r="J47" s="13" t="s">
        <v>5</v>
      </c>
      <c r="K47" s="13" t="s">
        <v>6</v>
      </c>
      <c r="L47" s="15">
        <v>-11365196.33</v>
      </c>
      <c r="M47" s="15">
        <v>-135380.54</v>
      </c>
      <c r="N47" s="16" t="str">
        <f>IF(M47="","",IF(M47&lt;0,-M47&amp;"_"&amp;COUNTIF(M$2:M47,M47),M47&amp;"_"&amp;COUNTIF(M$2:M47,M47)))</f>
        <v>135380.54_1</v>
      </c>
      <c r="O47" s="17" t="str">
        <f t="shared" si="0"/>
        <v/>
      </c>
      <c r="P47" s="13" t="s">
        <v>1443</v>
      </c>
      <c r="Q47" s="13" t="s">
        <v>1444</v>
      </c>
      <c r="R47" s="13" t="s">
        <v>0</v>
      </c>
      <c r="S47" s="13" t="s">
        <v>0</v>
      </c>
      <c r="T47" s="13" t="s">
        <v>9</v>
      </c>
      <c r="U47" s="13" t="s">
        <v>0</v>
      </c>
      <c r="V47" s="13" t="s">
        <v>0</v>
      </c>
      <c r="W47" s="13" t="s">
        <v>0</v>
      </c>
      <c r="X47" s="13" t="s">
        <v>0</v>
      </c>
      <c r="Y47" s="13" t="s">
        <v>10</v>
      </c>
      <c r="Z47" s="13" t="s">
        <v>0</v>
      </c>
      <c r="AA47" s="14"/>
      <c r="AB47" s="13" t="s">
        <v>0</v>
      </c>
      <c r="AC47" s="13" t="s">
        <v>0</v>
      </c>
      <c r="AD47" s="13" t="s">
        <v>0</v>
      </c>
      <c r="AE47" s="15">
        <v>0</v>
      </c>
    </row>
    <row r="48" spans="1:31" ht="14.15" customHeight="1" x14ac:dyDescent="0.25">
      <c r="A48" s="12" t="s">
        <v>0</v>
      </c>
      <c r="B48" s="13" t="s">
        <v>1</v>
      </c>
      <c r="C48" s="13" t="s">
        <v>2266</v>
      </c>
      <c r="D48" s="14">
        <v>44216</v>
      </c>
      <c r="E48" s="14">
        <v>44216</v>
      </c>
      <c r="F48" s="14">
        <v>44224</v>
      </c>
      <c r="G48" s="13" t="s">
        <v>3</v>
      </c>
      <c r="H48" s="13" t="s">
        <v>4</v>
      </c>
      <c r="I48" s="15">
        <v>-133952.26999999999</v>
      </c>
      <c r="J48" s="13" t="s">
        <v>5</v>
      </c>
      <c r="K48" s="13" t="s">
        <v>6</v>
      </c>
      <c r="L48" s="15">
        <v>-11245293.07</v>
      </c>
      <c r="M48" s="15">
        <v>-133952.26999999999</v>
      </c>
      <c r="N48" s="16" t="str">
        <f>IF(M48="","",IF(M48&lt;0,-M48&amp;"_"&amp;COUNTIF(M$2:M48,M48),M48&amp;"_"&amp;COUNTIF(M$2:M48,M48)))</f>
        <v>133952.27_1</v>
      </c>
      <c r="O48" s="17" t="str">
        <f t="shared" si="0"/>
        <v/>
      </c>
      <c r="P48" s="13" t="s">
        <v>2267</v>
      </c>
      <c r="Q48" s="13" t="s">
        <v>2255</v>
      </c>
      <c r="R48" s="13" t="s">
        <v>0</v>
      </c>
      <c r="S48" s="13" t="s">
        <v>0</v>
      </c>
      <c r="T48" s="13" t="s">
        <v>9</v>
      </c>
      <c r="U48" s="13" t="s">
        <v>0</v>
      </c>
      <c r="V48" s="13" t="s">
        <v>0</v>
      </c>
      <c r="W48" s="13" t="s">
        <v>0</v>
      </c>
      <c r="X48" s="13" t="s">
        <v>0</v>
      </c>
      <c r="Y48" s="13" t="s">
        <v>10</v>
      </c>
      <c r="Z48" s="13" t="s">
        <v>0</v>
      </c>
      <c r="AA48" s="14"/>
      <c r="AB48" s="13" t="s">
        <v>0</v>
      </c>
      <c r="AC48" s="13" t="s">
        <v>0</v>
      </c>
      <c r="AD48" s="13" t="s">
        <v>0</v>
      </c>
      <c r="AE48" s="15">
        <v>0</v>
      </c>
    </row>
    <row r="49" spans="1:31" ht="14.15" customHeight="1" x14ac:dyDescent="0.25">
      <c r="A49" s="12" t="s">
        <v>0</v>
      </c>
      <c r="B49" s="13" t="s">
        <v>1</v>
      </c>
      <c r="C49" s="13" t="s">
        <v>800</v>
      </c>
      <c r="D49" s="14">
        <v>44103</v>
      </c>
      <c r="E49" s="14">
        <v>44103</v>
      </c>
      <c r="F49" s="14">
        <v>44107</v>
      </c>
      <c r="G49" s="13" t="s">
        <v>3</v>
      </c>
      <c r="H49" s="13" t="s">
        <v>4</v>
      </c>
      <c r="I49" s="15">
        <v>-132518.95000000001</v>
      </c>
      <c r="J49" s="13" t="s">
        <v>5</v>
      </c>
      <c r="K49" s="13" t="s">
        <v>6</v>
      </c>
      <c r="L49" s="15">
        <v>-11124965.85</v>
      </c>
      <c r="M49" s="15">
        <v>-132518.95000000001</v>
      </c>
      <c r="N49" s="16" t="str">
        <f>IF(M49="","",IF(M49&lt;0,-M49&amp;"_"&amp;COUNTIF(M$2:M49,M49),M49&amp;"_"&amp;COUNTIF(M$2:M49,M49)))</f>
        <v>132518.95_1</v>
      </c>
      <c r="O49" s="17" t="str">
        <f t="shared" si="0"/>
        <v/>
      </c>
      <c r="P49" s="13" t="s">
        <v>801</v>
      </c>
      <c r="Q49" s="13" t="s">
        <v>802</v>
      </c>
      <c r="R49" s="13" t="s">
        <v>0</v>
      </c>
      <c r="S49" s="13" t="s">
        <v>0</v>
      </c>
      <c r="T49" s="13" t="s">
        <v>9</v>
      </c>
      <c r="U49" s="13" t="s">
        <v>0</v>
      </c>
      <c r="V49" s="13" t="s">
        <v>0</v>
      </c>
      <c r="W49" s="13" t="s">
        <v>0</v>
      </c>
      <c r="X49" s="13" t="s">
        <v>0</v>
      </c>
      <c r="Y49" s="13" t="s">
        <v>10</v>
      </c>
      <c r="Z49" s="13" t="s">
        <v>0</v>
      </c>
      <c r="AA49" s="14"/>
      <c r="AB49" s="13" t="s">
        <v>0</v>
      </c>
      <c r="AC49" s="13" t="s">
        <v>0</v>
      </c>
      <c r="AD49" s="13" t="s">
        <v>0</v>
      </c>
      <c r="AE49" s="15">
        <v>0</v>
      </c>
    </row>
    <row r="50" spans="1:31" ht="14.15" customHeight="1" x14ac:dyDescent="0.25">
      <c r="A50" s="12" t="s">
        <v>0</v>
      </c>
      <c r="B50" s="13" t="s">
        <v>1</v>
      </c>
      <c r="C50" s="13" t="s">
        <v>136</v>
      </c>
      <c r="D50" s="14">
        <v>44029</v>
      </c>
      <c r="E50" s="14">
        <v>44029</v>
      </c>
      <c r="F50" s="14">
        <v>44032</v>
      </c>
      <c r="G50" s="13" t="s">
        <v>3</v>
      </c>
      <c r="H50" s="13" t="s">
        <v>4</v>
      </c>
      <c r="I50" s="15">
        <v>-132066.91</v>
      </c>
      <c r="J50" s="13" t="s">
        <v>5</v>
      </c>
      <c r="K50" s="13" t="s">
        <v>6</v>
      </c>
      <c r="L50" s="15">
        <v>-11087017.09</v>
      </c>
      <c r="M50" s="15">
        <v>-132066.91</v>
      </c>
      <c r="N50" s="16" t="str">
        <f>IF(M50="","",IF(M50&lt;0,-M50&amp;"_"&amp;COUNTIF(M$2:M50,M50),M50&amp;"_"&amp;COUNTIF(M$2:M50,M50)))</f>
        <v>132066.91_1</v>
      </c>
      <c r="O50" s="17" t="str">
        <f t="shared" si="0"/>
        <v/>
      </c>
      <c r="P50" s="13" t="s">
        <v>137</v>
      </c>
      <c r="Q50" s="13" t="s">
        <v>138</v>
      </c>
      <c r="R50" s="13" t="s">
        <v>0</v>
      </c>
      <c r="S50" s="13" t="s">
        <v>0</v>
      </c>
      <c r="T50" s="13" t="s">
        <v>9</v>
      </c>
      <c r="U50" s="13" t="s">
        <v>0</v>
      </c>
      <c r="V50" s="13" t="s">
        <v>0</v>
      </c>
      <c r="W50" s="13" t="s">
        <v>0</v>
      </c>
      <c r="X50" s="13" t="s">
        <v>0</v>
      </c>
      <c r="Y50" s="13" t="s">
        <v>10</v>
      </c>
      <c r="Z50" s="13" t="s">
        <v>0</v>
      </c>
      <c r="AA50" s="14"/>
      <c r="AB50" s="13" t="s">
        <v>0</v>
      </c>
      <c r="AC50" s="13" t="s">
        <v>0</v>
      </c>
      <c r="AD50" s="13" t="s">
        <v>0</v>
      </c>
      <c r="AE50" s="15">
        <v>0</v>
      </c>
    </row>
    <row r="51" spans="1:31" ht="14.15" customHeight="1" x14ac:dyDescent="0.25">
      <c r="A51" s="12" t="s">
        <v>0</v>
      </c>
      <c r="B51" s="13" t="s">
        <v>1</v>
      </c>
      <c r="C51" s="13" t="s">
        <v>148</v>
      </c>
      <c r="D51" s="14">
        <v>44030</v>
      </c>
      <c r="E51" s="14">
        <v>44030</v>
      </c>
      <c r="F51" s="14">
        <v>44034</v>
      </c>
      <c r="G51" s="13" t="s">
        <v>3</v>
      </c>
      <c r="H51" s="13" t="s">
        <v>4</v>
      </c>
      <c r="I51" s="15">
        <v>-131533.23000000001</v>
      </c>
      <c r="J51" s="13" t="s">
        <v>5</v>
      </c>
      <c r="K51" s="13" t="s">
        <v>6</v>
      </c>
      <c r="L51" s="15">
        <v>-11042214.66</v>
      </c>
      <c r="M51" s="15">
        <v>-131533.23000000001</v>
      </c>
      <c r="N51" s="16" t="str">
        <f>IF(M51="","",IF(M51&lt;0,-M51&amp;"_"&amp;COUNTIF(M$2:M51,M51),M51&amp;"_"&amp;COUNTIF(M$2:M51,M51)))</f>
        <v>131533.23_1</v>
      </c>
      <c r="O51" s="17" t="str">
        <f t="shared" si="0"/>
        <v/>
      </c>
      <c r="P51" s="13" t="s">
        <v>149</v>
      </c>
      <c r="Q51" s="13" t="s">
        <v>145</v>
      </c>
      <c r="R51" s="13" t="s">
        <v>0</v>
      </c>
      <c r="S51" s="13" t="s">
        <v>0</v>
      </c>
      <c r="T51" s="13" t="s">
        <v>9</v>
      </c>
      <c r="U51" s="13" t="s">
        <v>0</v>
      </c>
      <c r="V51" s="13" t="s">
        <v>0</v>
      </c>
      <c r="W51" s="13" t="s">
        <v>0</v>
      </c>
      <c r="X51" s="13" t="s">
        <v>0</v>
      </c>
      <c r="Y51" s="13" t="s">
        <v>10</v>
      </c>
      <c r="Z51" s="13" t="s">
        <v>0</v>
      </c>
      <c r="AA51" s="14"/>
      <c r="AB51" s="13" t="s">
        <v>0</v>
      </c>
      <c r="AC51" s="13" t="s">
        <v>0</v>
      </c>
      <c r="AD51" s="13" t="s">
        <v>0</v>
      </c>
      <c r="AE51" s="15">
        <v>0</v>
      </c>
    </row>
    <row r="52" spans="1:31" ht="14.15" customHeight="1" x14ac:dyDescent="0.25">
      <c r="A52" s="12" t="s">
        <v>0</v>
      </c>
      <c r="B52" s="13" t="s">
        <v>1</v>
      </c>
      <c r="C52" s="13" t="s">
        <v>4335</v>
      </c>
      <c r="D52" s="14">
        <v>44374</v>
      </c>
      <c r="E52" s="14">
        <v>44374</v>
      </c>
      <c r="F52" s="14">
        <v>44376</v>
      </c>
      <c r="G52" s="13" t="s">
        <v>3</v>
      </c>
      <c r="H52" s="13" t="s">
        <v>4</v>
      </c>
      <c r="I52" s="15">
        <v>-129549.59</v>
      </c>
      <c r="J52" s="13" t="s">
        <v>5</v>
      </c>
      <c r="K52" s="13" t="s">
        <v>6</v>
      </c>
      <c r="L52" s="15">
        <v>-10875688.08</v>
      </c>
      <c r="M52" s="15">
        <v>-129549.59</v>
      </c>
      <c r="N52" s="16" t="str">
        <f>IF(M52="","",IF(M52&lt;0,-M52&amp;"_"&amp;COUNTIF(M$2:M52,M52),M52&amp;"_"&amp;COUNTIF(M$2:M52,M52)))</f>
        <v>129549.59_1</v>
      </c>
      <c r="O52" s="17" t="str">
        <f t="shared" si="0"/>
        <v/>
      </c>
      <c r="P52" s="13" t="s">
        <v>4336</v>
      </c>
      <c r="Q52" s="13" t="s">
        <v>4334</v>
      </c>
      <c r="R52" s="13" t="s">
        <v>0</v>
      </c>
      <c r="S52" s="13" t="s">
        <v>0</v>
      </c>
      <c r="T52" s="13" t="s">
        <v>9</v>
      </c>
      <c r="U52" s="13" t="s">
        <v>0</v>
      </c>
      <c r="V52" s="13" t="s">
        <v>0</v>
      </c>
      <c r="W52" s="13" t="s">
        <v>0</v>
      </c>
      <c r="X52" s="13" t="s">
        <v>0</v>
      </c>
      <c r="Y52" s="13" t="s">
        <v>10</v>
      </c>
      <c r="Z52" s="13" t="s">
        <v>0</v>
      </c>
      <c r="AA52" s="14"/>
      <c r="AB52" s="13" t="s">
        <v>0</v>
      </c>
      <c r="AC52" s="13" t="s">
        <v>0</v>
      </c>
      <c r="AD52" s="13" t="s">
        <v>0</v>
      </c>
      <c r="AE52" s="15">
        <v>0</v>
      </c>
    </row>
    <row r="53" spans="1:31" ht="14.15" customHeight="1" x14ac:dyDescent="0.25">
      <c r="A53" s="12" t="s">
        <v>0</v>
      </c>
      <c r="B53" s="13" t="s">
        <v>1</v>
      </c>
      <c r="C53" s="13" t="s">
        <v>604</v>
      </c>
      <c r="D53" s="14">
        <v>44082</v>
      </c>
      <c r="E53" s="14">
        <v>44082</v>
      </c>
      <c r="F53" s="14">
        <v>44086</v>
      </c>
      <c r="G53" s="13" t="s">
        <v>3</v>
      </c>
      <c r="H53" s="13" t="s">
        <v>4</v>
      </c>
      <c r="I53" s="15">
        <v>-128690.85</v>
      </c>
      <c r="J53" s="13" t="s">
        <v>5</v>
      </c>
      <c r="K53" s="13" t="s">
        <v>6</v>
      </c>
      <c r="L53" s="15">
        <v>-10803596.859999999</v>
      </c>
      <c r="M53" s="15">
        <v>-128690.85</v>
      </c>
      <c r="N53" s="16" t="str">
        <f>IF(M53="","",IF(M53&lt;0,-M53&amp;"_"&amp;COUNTIF(M$2:M53,M53),M53&amp;"_"&amp;COUNTIF(M$2:M53,M53)))</f>
        <v>128690.85_1</v>
      </c>
      <c r="O53" s="17" t="str">
        <f t="shared" si="0"/>
        <v/>
      </c>
      <c r="P53" s="13" t="s">
        <v>605</v>
      </c>
      <c r="Q53" s="13" t="s">
        <v>603</v>
      </c>
      <c r="R53" s="13" t="s">
        <v>0</v>
      </c>
      <c r="S53" s="13" t="s">
        <v>0</v>
      </c>
      <c r="T53" s="13" t="s">
        <v>9</v>
      </c>
      <c r="U53" s="13" t="s">
        <v>0</v>
      </c>
      <c r="V53" s="13" t="s">
        <v>0</v>
      </c>
      <c r="W53" s="13" t="s">
        <v>0</v>
      </c>
      <c r="X53" s="13" t="s">
        <v>0</v>
      </c>
      <c r="Y53" s="13" t="s">
        <v>10</v>
      </c>
      <c r="Z53" s="13" t="s">
        <v>0</v>
      </c>
      <c r="AA53" s="14"/>
      <c r="AB53" s="13" t="s">
        <v>0</v>
      </c>
      <c r="AC53" s="13" t="s">
        <v>0</v>
      </c>
      <c r="AD53" s="13" t="s">
        <v>0</v>
      </c>
      <c r="AE53" s="15">
        <v>0</v>
      </c>
    </row>
    <row r="54" spans="1:31" ht="14.15" customHeight="1" x14ac:dyDescent="0.25">
      <c r="A54" s="12" t="s">
        <v>0</v>
      </c>
      <c r="B54" s="13" t="s">
        <v>1</v>
      </c>
      <c r="C54" s="13" t="s">
        <v>220</v>
      </c>
      <c r="D54" s="14">
        <v>44038</v>
      </c>
      <c r="E54" s="14">
        <v>44038</v>
      </c>
      <c r="F54" s="14">
        <v>44041</v>
      </c>
      <c r="G54" s="13" t="s">
        <v>3</v>
      </c>
      <c r="H54" s="13" t="s">
        <v>4</v>
      </c>
      <c r="I54" s="15">
        <v>-121938.28</v>
      </c>
      <c r="J54" s="13" t="s">
        <v>5</v>
      </c>
      <c r="K54" s="13" t="s">
        <v>6</v>
      </c>
      <c r="L54" s="15">
        <v>-10236718.609999999</v>
      </c>
      <c r="M54" s="15">
        <v>-121938.28</v>
      </c>
      <c r="N54" s="16" t="str">
        <f>IF(M54="","",IF(M54&lt;0,-M54&amp;"_"&amp;COUNTIF(M$2:M54,M54),M54&amp;"_"&amp;COUNTIF(M$2:M54,M54)))</f>
        <v>121938.28_1</v>
      </c>
      <c r="O54" s="17" t="str">
        <f t="shared" si="0"/>
        <v/>
      </c>
      <c r="P54" s="13" t="s">
        <v>221</v>
      </c>
      <c r="Q54" s="13" t="s">
        <v>215</v>
      </c>
      <c r="R54" s="13" t="s">
        <v>0</v>
      </c>
      <c r="S54" s="13" t="s">
        <v>0</v>
      </c>
      <c r="T54" s="13" t="s">
        <v>9</v>
      </c>
      <c r="U54" s="13" t="s">
        <v>0</v>
      </c>
      <c r="V54" s="13" t="s">
        <v>0</v>
      </c>
      <c r="W54" s="13" t="s">
        <v>0</v>
      </c>
      <c r="X54" s="13" t="s">
        <v>0</v>
      </c>
      <c r="Y54" s="13" t="s">
        <v>10</v>
      </c>
      <c r="Z54" s="13" t="s">
        <v>0</v>
      </c>
      <c r="AA54" s="14"/>
      <c r="AB54" s="13" t="s">
        <v>0</v>
      </c>
      <c r="AC54" s="13" t="s">
        <v>0</v>
      </c>
      <c r="AD54" s="13" t="s">
        <v>0</v>
      </c>
      <c r="AE54" s="15">
        <v>0</v>
      </c>
    </row>
    <row r="55" spans="1:31" ht="14.15" customHeight="1" x14ac:dyDescent="0.25">
      <c r="A55" s="12" t="s">
        <v>0</v>
      </c>
      <c r="B55" s="13" t="s">
        <v>1</v>
      </c>
      <c r="C55" s="13" t="s">
        <v>610</v>
      </c>
      <c r="D55" s="14">
        <v>44082</v>
      </c>
      <c r="E55" s="14">
        <v>44082</v>
      </c>
      <c r="F55" s="14">
        <v>44086</v>
      </c>
      <c r="G55" s="13" t="s">
        <v>3</v>
      </c>
      <c r="H55" s="13" t="s">
        <v>4</v>
      </c>
      <c r="I55" s="15">
        <v>-121796.91</v>
      </c>
      <c r="J55" s="13" t="s">
        <v>5</v>
      </c>
      <c r="K55" s="13" t="s">
        <v>6</v>
      </c>
      <c r="L55" s="15">
        <v>-10224850.6</v>
      </c>
      <c r="M55" s="15">
        <v>-121796.91</v>
      </c>
      <c r="N55" s="16" t="str">
        <f>IF(M55="","",IF(M55&lt;0,-M55&amp;"_"&amp;COUNTIF(M$2:M55,M55),M55&amp;"_"&amp;COUNTIF(M$2:M55,M55)))</f>
        <v>121796.91_1</v>
      </c>
      <c r="O55" s="17" t="str">
        <f t="shared" si="0"/>
        <v/>
      </c>
      <c r="P55" s="13" t="s">
        <v>611</v>
      </c>
      <c r="Q55" s="13" t="s">
        <v>603</v>
      </c>
      <c r="R55" s="13" t="s">
        <v>0</v>
      </c>
      <c r="S55" s="13" t="s">
        <v>0</v>
      </c>
      <c r="T55" s="13" t="s">
        <v>9</v>
      </c>
      <c r="U55" s="13" t="s">
        <v>0</v>
      </c>
      <c r="V55" s="13" t="s">
        <v>0</v>
      </c>
      <c r="W55" s="13" t="s">
        <v>0</v>
      </c>
      <c r="X55" s="13" t="s">
        <v>0</v>
      </c>
      <c r="Y55" s="13" t="s">
        <v>10</v>
      </c>
      <c r="Z55" s="13" t="s">
        <v>0</v>
      </c>
      <c r="AA55" s="14"/>
      <c r="AB55" s="13" t="s">
        <v>0</v>
      </c>
      <c r="AC55" s="13" t="s">
        <v>0</v>
      </c>
      <c r="AD55" s="13" t="s">
        <v>0</v>
      </c>
      <c r="AE55" s="15">
        <v>0</v>
      </c>
    </row>
    <row r="56" spans="1:31" ht="14.15" customHeight="1" x14ac:dyDescent="0.25">
      <c r="A56" s="12" t="s">
        <v>0</v>
      </c>
      <c r="B56" s="13" t="s">
        <v>1</v>
      </c>
      <c r="C56" s="13" t="s">
        <v>2185</v>
      </c>
      <c r="D56" s="14">
        <v>44210</v>
      </c>
      <c r="E56" s="14">
        <v>44210</v>
      </c>
      <c r="F56" s="14">
        <v>44217</v>
      </c>
      <c r="G56" s="13" t="s">
        <v>3</v>
      </c>
      <c r="H56" s="13" t="s">
        <v>4</v>
      </c>
      <c r="I56" s="15">
        <v>-121415.34</v>
      </c>
      <c r="J56" s="13" t="s">
        <v>5</v>
      </c>
      <c r="K56" s="13" t="s">
        <v>6</v>
      </c>
      <c r="L56" s="15">
        <v>-10192817.789999999</v>
      </c>
      <c r="M56" s="15">
        <v>-121415.34</v>
      </c>
      <c r="N56" s="16" t="str">
        <f>IF(M56="","",IF(M56&lt;0,-M56&amp;"_"&amp;COUNTIF(M$2:M56,M56),M56&amp;"_"&amp;COUNTIF(M$2:M56,M56)))</f>
        <v>121415.34_1</v>
      </c>
      <c r="O56" s="17" t="str">
        <f t="shared" si="0"/>
        <v/>
      </c>
      <c r="P56" s="13" t="s">
        <v>2186</v>
      </c>
      <c r="Q56" s="13" t="s">
        <v>2176</v>
      </c>
      <c r="R56" s="13" t="s">
        <v>0</v>
      </c>
      <c r="S56" s="13" t="s">
        <v>0</v>
      </c>
      <c r="T56" s="13" t="s">
        <v>9</v>
      </c>
      <c r="U56" s="13" t="s">
        <v>0</v>
      </c>
      <c r="V56" s="13" t="s">
        <v>0</v>
      </c>
      <c r="W56" s="13" t="s">
        <v>0</v>
      </c>
      <c r="X56" s="13" t="s">
        <v>0</v>
      </c>
      <c r="Y56" s="13" t="s">
        <v>10</v>
      </c>
      <c r="Z56" s="13" t="s">
        <v>0</v>
      </c>
      <c r="AA56" s="14"/>
      <c r="AB56" s="13" t="s">
        <v>0</v>
      </c>
      <c r="AC56" s="13" t="s">
        <v>0</v>
      </c>
      <c r="AD56" s="13" t="s">
        <v>0</v>
      </c>
      <c r="AE56" s="15">
        <v>0</v>
      </c>
    </row>
    <row r="57" spans="1:31" ht="14.15" customHeight="1" x14ac:dyDescent="0.25">
      <c r="A57" s="12" t="s">
        <v>0</v>
      </c>
      <c r="B57" s="13" t="s">
        <v>1</v>
      </c>
      <c r="C57" s="13" t="s">
        <v>999</v>
      </c>
      <c r="D57" s="14">
        <v>44126</v>
      </c>
      <c r="E57" s="14">
        <v>44126</v>
      </c>
      <c r="F57" s="14">
        <v>44136</v>
      </c>
      <c r="G57" s="13" t="s">
        <v>3</v>
      </c>
      <c r="H57" s="13" t="s">
        <v>4</v>
      </c>
      <c r="I57" s="15">
        <v>-120728.36</v>
      </c>
      <c r="J57" s="13" t="s">
        <v>5</v>
      </c>
      <c r="K57" s="13" t="s">
        <v>6</v>
      </c>
      <c r="L57" s="15">
        <v>-10135145.82</v>
      </c>
      <c r="M57" s="15">
        <v>-120728.36</v>
      </c>
      <c r="N57" s="16" t="str">
        <f>IF(M57="","",IF(M57&lt;0,-M57&amp;"_"&amp;COUNTIF(M$2:M57,M57),M57&amp;"_"&amp;COUNTIF(M$2:M57,M57)))</f>
        <v>120728.36_1</v>
      </c>
      <c r="O57" s="17" t="str">
        <f t="shared" si="0"/>
        <v/>
      </c>
      <c r="P57" s="13" t="s">
        <v>1000</v>
      </c>
      <c r="Q57" s="13" t="s">
        <v>992</v>
      </c>
      <c r="R57" s="13" t="s">
        <v>0</v>
      </c>
      <c r="S57" s="13" t="s">
        <v>0</v>
      </c>
      <c r="T57" s="13" t="s">
        <v>9</v>
      </c>
      <c r="U57" s="13" t="s">
        <v>0</v>
      </c>
      <c r="V57" s="13" t="s">
        <v>0</v>
      </c>
      <c r="W57" s="13" t="s">
        <v>0</v>
      </c>
      <c r="X57" s="13" t="s">
        <v>0</v>
      </c>
      <c r="Y57" s="13" t="s">
        <v>10</v>
      </c>
      <c r="Z57" s="13" t="s">
        <v>0</v>
      </c>
      <c r="AA57" s="14"/>
      <c r="AB57" s="13" t="s">
        <v>0</v>
      </c>
      <c r="AC57" s="13" t="s">
        <v>0</v>
      </c>
      <c r="AD57" s="13" t="s">
        <v>0</v>
      </c>
      <c r="AE57" s="15">
        <v>0</v>
      </c>
    </row>
    <row r="58" spans="1:31" ht="14.15" customHeight="1" x14ac:dyDescent="0.25">
      <c r="A58" s="12" t="s">
        <v>0</v>
      </c>
      <c r="B58" s="13" t="s">
        <v>1</v>
      </c>
      <c r="C58" s="13" t="s">
        <v>436</v>
      </c>
      <c r="D58" s="14">
        <v>44064</v>
      </c>
      <c r="E58" s="14">
        <v>44064</v>
      </c>
      <c r="F58" s="14">
        <v>44072</v>
      </c>
      <c r="G58" s="13" t="s">
        <v>3</v>
      </c>
      <c r="H58" s="13" t="s">
        <v>4</v>
      </c>
      <c r="I58" s="15">
        <v>-120130.79</v>
      </c>
      <c r="J58" s="13" t="s">
        <v>5</v>
      </c>
      <c r="K58" s="13" t="s">
        <v>6</v>
      </c>
      <c r="L58" s="15">
        <v>-10084979.82</v>
      </c>
      <c r="M58" s="15">
        <v>-120130.79</v>
      </c>
      <c r="N58" s="16" t="str">
        <f>IF(M58="","",IF(M58&lt;0,-M58&amp;"_"&amp;COUNTIF(M$2:M58,M58),M58&amp;"_"&amp;COUNTIF(M$2:M58,M58)))</f>
        <v>120130.79_1</v>
      </c>
      <c r="O58" s="17" t="str">
        <f t="shared" si="0"/>
        <v/>
      </c>
      <c r="P58" s="13" t="s">
        <v>437</v>
      </c>
      <c r="Q58" s="13" t="s">
        <v>431</v>
      </c>
      <c r="R58" s="13" t="s">
        <v>0</v>
      </c>
      <c r="S58" s="13" t="s">
        <v>0</v>
      </c>
      <c r="T58" s="13" t="s">
        <v>9</v>
      </c>
      <c r="U58" s="13" t="s">
        <v>0</v>
      </c>
      <c r="V58" s="13" t="s">
        <v>0</v>
      </c>
      <c r="W58" s="13" t="s">
        <v>0</v>
      </c>
      <c r="X58" s="13" t="s">
        <v>0</v>
      </c>
      <c r="Y58" s="13" t="s">
        <v>10</v>
      </c>
      <c r="Z58" s="13" t="s">
        <v>0</v>
      </c>
      <c r="AA58" s="14"/>
      <c r="AB58" s="13" t="s">
        <v>0</v>
      </c>
      <c r="AC58" s="13" t="s">
        <v>0</v>
      </c>
      <c r="AD58" s="13" t="s">
        <v>0</v>
      </c>
      <c r="AE58" s="15">
        <v>0</v>
      </c>
    </row>
    <row r="59" spans="1:31" ht="14.15" customHeight="1" x14ac:dyDescent="0.25">
      <c r="A59" s="12" t="s">
        <v>0</v>
      </c>
      <c r="B59" s="13" t="s">
        <v>1</v>
      </c>
      <c r="C59" s="13" t="s">
        <v>3655</v>
      </c>
      <c r="D59" s="14">
        <v>44333</v>
      </c>
      <c r="E59" s="14">
        <v>44333</v>
      </c>
      <c r="F59" s="14">
        <v>44336</v>
      </c>
      <c r="G59" s="13" t="s">
        <v>3</v>
      </c>
      <c r="H59" s="13" t="s">
        <v>4</v>
      </c>
      <c r="I59" s="15">
        <v>-119740.85</v>
      </c>
      <c r="J59" s="13" t="s">
        <v>5</v>
      </c>
      <c r="K59" s="13" t="s">
        <v>6</v>
      </c>
      <c r="L59" s="15">
        <v>-10052244.35</v>
      </c>
      <c r="M59" s="15">
        <v>-119740.85</v>
      </c>
      <c r="N59" s="16" t="str">
        <f>IF(M59="","",IF(M59&lt;0,-M59&amp;"_"&amp;COUNTIF(M$2:M59,M59),M59&amp;"_"&amp;COUNTIF(M$2:M59,M59)))</f>
        <v>119740.85_1</v>
      </c>
      <c r="O59" s="17" t="str">
        <f t="shared" si="0"/>
        <v/>
      </c>
      <c r="P59" s="13" t="s">
        <v>3656</v>
      </c>
      <c r="Q59" s="13" t="s">
        <v>3657</v>
      </c>
      <c r="R59" s="13" t="s">
        <v>0</v>
      </c>
      <c r="S59" s="13" t="s">
        <v>0</v>
      </c>
      <c r="T59" s="13" t="s">
        <v>9</v>
      </c>
      <c r="U59" s="13" t="s">
        <v>0</v>
      </c>
      <c r="V59" s="13" t="s">
        <v>0</v>
      </c>
      <c r="W59" s="13" t="s">
        <v>0</v>
      </c>
      <c r="X59" s="13" t="s">
        <v>0</v>
      </c>
      <c r="Y59" s="13" t="s">
        <v>10</v>
      </c>
      <c r="Z59" s="13" t="s">
        <v>0</v>
      </c>
      <c r="AA59" s="14"/>
      <c r="AB59" s="13" t="s">
        <v>0</v>
      </c>
      <c r="AC59" s="13" t="s">
        <v>0</v>
      </c>
      <c r="AD59" s="13" t="s">
        <v>0</v>
      </c>
      <c r="AE59" s="15">
        <v>0</v>
      </c>
    </row>
    <row r="60" spans="1:31" ht="14.15" customHeight="1" x14ac:dyDescent="0.25">
      <c r="A60" s="12" t="s">
        <v>0</v>
      </c>
      <c r="B60" s="13" t="s">
        <v>1</v>
      </c>
      <c r="C60" s="13" t="s">
        <v>2348</v>
      </c>
      <c r="D60" s="14">
        <v>44224</v>
      </c>
      <c r="E60" s="14">
        <v>44224</v>
      </c>
      <c r="F60" s="14">
        <v>44229</v>
      </c>
      <c r="G60" s="13" t="s">
        <v>3</v>
      </c>
      <c r="H60" s="13" t="s">
        <v>4</v>
      </c>
      <c r="I60" s="15">
        <v>-118831.19</v>
      </c>
      <c r="J60" s="13" t="s">
        <v>5</v>
      </c>
      <c r="K60" s="13" t="s">
        <v>6</v>
      </c>
      <c r="L60" s="15">
        <v>-9975878.4000000004</v>
      </c>
      <c r="M60" s="15">
        <v>-118831.19</v>
      </c>
      <c r="N60" s="16" t="str">
        <f>IF(M60="","",IF(M60&lt;0,-M60&amp;"_"&amp;COUNTIF(M$2:M60,M60),M60&amp;"_"&amp;COUNTIF(M$2:M60,M60)))</f>
        <v>118831.19_1</v>
      </c>
      <c r="O60" s="17" t="str">
        <f t="shared" si="0"/>
        <v/>
      </c>
      <c r="P60" s="13" t="s">
        <v>2349</v>
      </c>
      <c r="Q60" s="13" t="s">
        <v>2345</v>
      </c>
      <c r="R60" s="13" t="s">
        <v>0</v>
      </c>
      <c r="S60" s="13" t="s">
        <v>0</v>
      </c>
      <c r="T60" s="13" t="s">
        <v>9</v>
      </c>
      <c r="U60" s="13" t="s">
        <v>0</v>
      </c>
      <c r="V60" s="13" t="s">
        <v>0</v>
      </c>
      <c r="W60" s="13" t="s">
        <v>0</v>
      </c>
      <c r="X60" s="13" t="s">
        <v>0</v>
      </c>
      <c r="Y60" s="13" t="s">
        <v>10</v>
      </c>
      <c r="Z60" s="13" t="s">
        <v>0</v>
      </c>
      <c r="AA60" s="14"/>
      <c r="AB60" s="13" t="s">
        <v>0</v>
      </c>
      <c r="AC60" s="13" t="s">
        <v>0</v>
      </c>
      <c r="AD60" s="13" t="s">
        <v>0</v>
      </c>
      <c r="AE60" s="15">
        <v>0</v>
      </c>
    </row>
    <row r="61" spans="1:31" ht="14.15" customHeight="1" x14ac:dyDescent="0.25">
      <c r="A61" s="12" t="s">
        <v>0</v>
      </c>
      <c r="B61" s="13" t="s">
        <v>1</v>
      </c>
      <c r="C61" s="13" t="s">
        <v>1487</v>
      </c>
      <c r="D61" s="14">
        <v>44160</v>
      </c>
      <c r="E61" s="14">
        <v>44160</v>
      </c>
      <c r="F61" s="14">
        <v>44165</v>
      </c>
      <c r="G61" s="13" t="s">
        <v>3</v>
      </c>
      <c r="H61" s="13" t="s">
        <v>4</v>
      </c>
      <c r="I61" s="15">
        <v>-117577.08</v>
      </c>
      <c r="J61" s="13" t="s">
        <v>5</v>
      </c>
      <c r="K61" s="13" t="s">
        <v>6</v>
      </c>
      <c r="L61" s="15">
        <v>-9870595.8699999992</v>
      </c>
      <c r="M61" s="15">
        <v>-117577.08</v>
      </c>
      <c r="N61" s="16" t="str">
        <f>IF(M61="","",IF(M61&lt;0,-M61&amp;"_"&amp;COUNTIF(M$2:M61,M61),M61&amp;"_"&amp;COUNTIF(M$2:M61,M61)))</f>
        <v>117577.08_1</v>
      </c>
      <c r="O61" s="17" t="str">
        <f t="shared" si="0"/>
        <v/>
      </c>
      <c r="P61" s="13" t="s">
        <v>1488</v>
      </c>
      <c r="Q61" s="13" t="s">
        <v>1470</v>
      </c>
      <c r="R61" s="13" t="s">
        <v>0</v>
      </c>
      <c r="S61" s="13" t="s">
        <v>0</v>
      </c>
      <c r="T61" s="13" t="s">
        <v>9</v>
      </c>
      <c r="U61" s="13" t="s">
        <v>0</v>
      </c>
      <c r="V61" s="13" t="s">
        <v>0</v>
      </c>
      <c r="W61" s="13" t="s">
        <v>0</v>
      </c>
      <c r="X61" s="13" t="s">
        <v>0</v>
      </c>
      <c r="Y61" s="13" t="s">
        <v>10</v>
      </c>
      <c r="Z61" s="13" t="s">
        <v>0</v>
      </c>
      <c r="AA61" s="14"/>
      <c r="AB61" s="13" t="s">
        <v>0</v>
      </c>
      <c r="AC61" s="13" t="s">
        <v>0</v>
      </c>
      <c r="AD61" s="13" t="s">
        <v>0</v>
      </c>
      <c r="AE61" s="15">
        <v>0</v>
      </c>
    </row>
    <row r="62" spans="1:31" ht="14.15" customHeight="1" x14ac:dyDescent="0.25">
      <c r="A62" s="12" t="s">
        <v>0</v>
      </c>
      <c r="B62" s="13" t="s">
        <v>1</v>
      </c>
      <c r="C62" s="13" t="s">
        <v>637</v>
      </c>
      <c r="D62" s="14">
        <v>44083</v>
      </c>
      <c r="E62" s="14">
        <v>44083</v>
      </c>
      <c r="F62" s="14">
        <v>44088</v>
      </c>
      <c r="G62" s="13" t="s">
        <v>3</v>
      </c>
      <c r="H62" s="13" t="s">
        <v>4</v>
      </c>
      <c r="I62" s="15">
        <v>-117558</v>
      </c>
      <c r="J62" s="13" t="s">
        <v>5</v>
      </c>
      <c r="K62" s="13" t="s">
        <v>6</v>
      </c>
      <c r="L62" s="15">
        <v>-9868994.0999999996</v>
      </c>
      <c r="M62" s="15">
        <v>-117558</v>
      </c>
      <c r="N62" s="16" t="str">
        <f>IF(M62="","",IF(M62&lt;0,-M62&amp;"_"&amp;COUNTIF(M$2:M62,M62),M62&amp;"_"&amp;COUNTIF(M$2:M62,M62)))</f>
        <v>117558_1</v>
      </c>
      <c r="O62" s="17" t="str">
        <f t="shared" si="0"/>
        <v/>
      </c>
      <c r="P62" s="13" t="s">
        <v>638</v>
      </c>
      <c r="Q62" s="13" t="s">
        <v>624</v>
      </c>
      <c r="R62" s="13" t="s">
        <v>0</v>
      </c>
      <c r="S62" s="13" t="s">
        <v>0</v>
      </c>
      <c r="T62" s="13" t="s">
        <v>9</v>
      </c>
      <c r="U62" s="13" t="s">
        <v>0</v>
      </c>
      <c r="V62" s="13" t="s">
        <v>0</v>
      </c>
      <c r="W62" s="13" t="s">
        <v>0</v>
      </c>
      <c r="X62" s="13" t="s">
        <v>0</v>
      </c>
      <c r="Y62" s="13" t="s">
        <v>10</v>
      </c>
      <c r="Z62" s="13" t="s">
        <v>0</v>
      </c>
      <c r="AA62" s="14"/>
      <c r="AB62" s="13" t="s">
        <v>0</v>
      </c>
      <c r="AC62" s="13" t="s">
        <v>0</v>
      </c>
      <c r="AD62" s="13" t="s">
        <v>0</v>
      </c>
      <c r="AE62" s="15">
        <v>0</v>
      </c>
    </row>
    <row r="63" spans="1:31" ht="14.15" customHeight="1" x14ac:dyDescent="0.25">
      <c r="A63" s="12" t="s">
        <v>0</v>
      </c>
      <c r="B63" s="13" t="s">
        <v>1</v>
      </c>
      <c r="C63" s="13" t="s">
        <v>2489</v>
      </c>
      <c r="D63" s="14">
        <v>44234</v>
      </c>
      <c r="E63" s="14">
        <v>44234</v>
      </c>
      <c r="F63" s="14">
        <v>44241</v>
      </c>
      <c r="G63" s="13" t="s">
        <v>3</v>
      </c>
      <c r="H63" s="13" t="s">
        <v>4</v>
      </c>
      <c r="I63" s="15">
        <v>-116429.42</v>
      </c>
      <c r="J63" s="13" t="s">
        <v>5</v>
      </c>
      <c r="K63" s="13" t="s">
        <v>6</v>
      </c>
      <c r="L63" s="15">
        <v>-9774249.8100000005</v>
      </c>
      <c r="M63" s="15">
        <v>-116429.42</v>
      </c>
      <c r="N63" s="16" t="str">
        <f>IF(M63="","",IF(M63&lt;0,-M63&amp;"_"&amp;COUNTIF(M$2:M63,M63),M63&amp;"_"&amp;COUNTIF(M$2:M63,M63)))</f>
        <v>116429.42_1</v>
      </c>
      <c r="O63" s="17" t="str">
        <f t="shared" si="0"/>
        <v/>
      </c>
      <c r="P63" s="13" t="s">
        <v>2490</v>
      </c>
      <c r="Q63" s="13" t="s">
        <v>2462</v>
      </c>
      <c r="R63" s="13" t="s">
        <v>0</v>
      </c>
      <c r="S63" s="13" t="s">
        <v>0</v>
      </c>
      <c r="T63" s="13" t="s">
        <v>9</v>
      </c>
      <c r="U63" s="13" t="s">
        <v>0</v>
      </c>
      <c r="V63" s="13" t="s">
        <v>0</v>
      </c>
      <c r="W63" s="13" t="s">
        <v>0</v>
      </c>
      <c r="X63" s="13" t="s">
        <v>0</v>
      </c>
      <c r="Y63" s="13" t="s">
        <v>10</v>
      </c>
      <c r="Z63" s="13" t="s">
        <v>0</v>
      </c>
      <c r="AA63" s="14"/>
      <c r="AB63" s="13" t="s">
        <v>0</v>
      </c>
      <c r="AC63" s="13" t="s">
        <v>0</v>
      </c>
      <c r="AD63" s="13" t="s">
        <v>0</v>
      </c>
      <c r="AE63" s="15">
        <v>0</v>
      </c>
    </row>
    <row r="64" spans="1:31" ht="14.15" customHeight="1" x14ac:dyDescent="0.25">
      <c r="A64" s="12" t="s">
        <v>0</v>
      </c>
      <c r="B64" s="13" t="s">
        <v>1</v>
      </c>
      <c r="C64" s="13" t="s">
        <v>3653</v>
      </c>
      <c r="D64" s="14">
        <v>44332</v>
      </c>
      <c r="E64" s="14">
        <v>44332</v>
      </c>
      <c r="F64" s="14">
        <v>44336</v>
      </c>
      <c r="G64" s="13" t="s">
        <v>3</v>
      </c>
      <c r="H64" s="13" t="s">
        <v>4</v>
      </c>
      <c r="I64" s="15">
        <v>-114735.06</v>
      </c>
      <c r="J64" s="13" t="s">
        <v>5</v>
      </c>
      <c r="K64" s="13" t="s">
        <v>6</v>
      </c>
      <c r="L64" s="15">
        <v>-9632008.2899999991</v>
      </c>
      <c r="M64" s="15">
        <v>-114735.06</v>
      </c>
      <c r="N64" s="16" t="str">
        <f>IF(M64="","",IF(M64&lt;0,-M64&amp;"_"&amp;COUNTIF(M$2:M64,M64),M64&amp;"_"&amp;COUNTIF(M$2:M64,M64)))</f>
        <v>114735.06_1</v>
      </c>
      <c r="O64" s="17" t="str">
        <f t="shared" si="0"/>
        <v/>
      </c>
      <c r="P64" s="13" t="s">
        <v>3654</v>
      </c>
      <c r="Q64" s="13" t="s">
        <v>3652</v>
      </c>
      <c r="R64" s="13" t="s">
        <v>0</v>
      </c>
      <c r="S64" s="13" t="s">
        <v>0</v>
      </c>
      <c r="T64" s="13" t="s">
        <v>9</v>
      </c>
      <c r="U64" s="13" t="s">
        <v>0</v>
      </c>
      <c r="V64" s="13" t="s">
        <v>0</v>
      </c>
      <c r="W64" s="13" t="s">
        <v>0</v>
      </c>
      <c r="X64" s="13" t="s">
        <v>0</v>
      </c>
      <c r="Y64" s="13" t="s">
        <v>10</v>
      </c>
      <c r="Z64" s="13" t="s">
        <v>0</v>
      </c>
      <c r="AA64" s="14"/>
      <c r="AB64" s="13" t="s">
        <v>0</v>
      </c>
      <c r="AC64" s="13" t="s">
        <v>0</v>
      </c>
      <c r="AD64" s="13" t="s">
        <v>0</v>
      </c>
      <c r="AE64" s="15">
        <v>0</v>
      </c>
    </row>
    <row r="65" spans="1:31" ht="14.15" customHeight="1" x14ac:dyDescent="0.25">
      <c r="A65" s="12" t="s">
        <v>0</v>
      </c>
      <c r="B65" s="13" t="s">
        <v>1</v>
      </c>
      <c r="C65" s="13" t="s">
        <v>3466</v>
      </c>
      <c r="D65" s="14">
        <v>44320</v>
      </c>
      <c r="E65" s="14">
        <v>44320</v>
      </c>
      <c r="F65" s="14">
        <v>44328</v>
      </c>
      <c r="G65" s="13" t="s">
        <v>3</v>
      </c>
      <c r="H65" s="13" t="s">
        <v>4</v>
      </c>
      <c r="I65" s="15">
        <v>-113859.21</v>
      </c>
      <c r="J65" s="13" t="s">
        <v>5</v>
      </c>
      <c r="K65" s="13" t="s">
        <v>6</v>
      </c>
      <c r="L65" s="15">
        <v>-9558480.6799999997</v>
      </c>
      <c r="M65" s="15">
        <v>-113859.21</v>
      </c>
      <c r="N65" s="16" t="str">
        <f>IF(M65="","",IF(M65&lt;0,-M65&amp;"_"&amp;COUNTIF(M$2:M65,M65),M65&amp;"_"&amp;COUNTIF(M$2:M65,M65)))</f>
        <v>113859.21_1</v>
      </c>
      <c r="O65" s="17" t="str">
        <f t="shared" si="0"/>
        <v/>
      </c>
      <c r="P65" s="13" t="s">
        <v>3467</v>
      </c>
      <c r="Q65" s="13" t="s">
        <v>3453</v>
      </c>
      <c r="R65" s="13" t="s">
        <v>0</v>
      </c>
      <c r="S65" s="13" t="s">
        <v>0</v>
      </c>
      <c r="T65" s="13" t="s">
        <v>9</v>
      </c>
      <c r="U65" s="13" t="s">
        <v>0</v>
      </c>
      <c r="V65" s="13" t="s">
        <v>0</v>
      </c>
      <c r="W65" s="13" t="s">
        <v>0</v>
      </c>
      <c r="X65" s="13" t="s">
        <v>0</v>
      </c>
      <c r="Y65" s="13" t="s">
        <v>10</v>
      </c>
      <c r="Z65" s="13" t="s">
        <v>0</v>
      </c>
      <c r="AA65" s="14"/>
      <c r="AB65" s="13" t="s">
        <v>0</v>
      </c>
      <c r="AC65" s="13" t="s">
        <v>0</v>
      </c>
      <c r="AD65" s="13" t="s">
        <v>0</v>
      </c>
      <c r="AE65" s="15">
        <v>0</v>
      </c>
    </row>
    <row r="66" spans="1:31" ht="14.15" customHeight="1" x14ac:dyDescent="0.25">
      <c r="A66" s="12" t="s">
        <v>0</v>
      </c>
      <c r="B66" s="13" t="s">
        <v>1</v>
      </c>
      <c r="C66" s="13" t="s">
        <v>130</v>
      </c>
      <c r="D66" s="14">
        <v>44028</v>
      </c>
      <c r="E66" s="14">
        <v>44028</v>
      </c>
      <c r="F66" s="14">
        <v>44032</v>
      </c>
      <c r="G66" s="13" t="s">
        <v>3</v>
      </c>
      <c r="H66" s="13" t="s">
        <v>4</v>
      </c>
      <c r="I66" s="15">
        <v>-113515.95</v>
      </c>
      <c r="J66" s="13" t="s">
        <v>5</v>
      </c>
      <c r="K66" s="13" t="s">
        <v>6</v>
      </c>
      <c r="L66" s="15">
        <v>-9529664</v>
      </c>
      <c r="M66" s="15">
        <v>-113515.95</v>
      </c>
      <c r="N66" s="16" t="str">
        <f>IF(M66="","",IF(M66&lt;0,-M66&amp;"_"&amp;COUNTIF(M$2:M66,M66),M66&amp;"_"&amp;COUNTIF(M$2:M66,M66)))</f>
        <v>113515.95_1</v>
      </c>
      <c r="O66" s="17" t="str">
        <f t="shared" ref="O66:O129" si="1">IF(COUNTIF(N:N,N66)=2,"x","")</f>
        <v/>
      </c>
      <c r="P66" s="13" t="s">
        <v>131</v>
      </c>
      <c r="Q66" s="13" t="s">
        <v>129</v>
      </c>
      <c r="R66" s="13" t="s">
        <v>0</v>
      </c>
      <c r="S66" s="13" t="s">
        <v>0</v>
      </c>
      <c r="T66" s="13" t="s">
        <v>9</v>
      </c>
      <c r="U66" s="13" t="s">
        <v>0</v>
      </c>
      <c r="V66" s="13" t="s">
        <v>0</v>
      </c>
      <c r="W66" s="13" t="s">
        <v>0</v>
      </c>
      <c r="X66" s="13" t="s">
        <v>0</v>
      </c>
      <c r="Y66" s="13" t="s">
        <v>10</v>
      </c>
      <c r="Z66" s="13" t="s">
        <v>0</v>
      </c>
      <c r="AA66" s="14"/>
      <c r="AB66" s="13" t="s">
        <v>0</v>
      </c>
      <c r="AC66" s="13" t="s">
        <v>0</v>
      </c>
      <c r="AD66" s="13" t="s">
        <v>0</v>
      </c>
      <c r="AE66" s="15">
        <v>0</v>
      </c>
    </row>
    <row r="67" spans="1:31" ht="14.15" customHeight="1" x14ac:dyDescent="0.25">
      <c r="A67" s="12" t="s">
        <v>0</v>
      </c>
      <c r="B67" s="13" t="s">
        <v>1</v>
      </c>
      <c r="C67" s="13" t="s">
        <v>3238</v>
      </c>
      <c r="D67" s="14">
        <v>44306</v>
      </c>
      <c r="E67" s="14">
        <v>44306</v>
      </c>
      <c r="F67" s="14">
        <v>44311</v>
      </c>
      <c r="G67" s="13" t="s">
        <v>3</v>
      </c>
      <c r="H67" s="13" t="s">
        <v>4</v>
      </c>
      <c r="I67" s="15">
        <v>-112453.54</v>
      </c>
      <c r="J67" s="13" t="s">
        <v>5</v>
      </c>
      <c r="K67" s="13" t="s">
        <v>6</v>
      </c>
      <c r="L67" s="15">
        <v>-9440474.6799999997</v>
      </c>
      <c r="M67" s="15">
        <v>-112453.54</v>
      </c>
      <c r="N67" s="16" t="str">
        <f>IF(M67="","",IF(M67&lt;0,-M67&amp;"_"&amp;COUNTIF(M$2:M67,M67),M67&amp;"_"&amp;COUNTIF(M$2:M67,M67)))</f>
        <v>112453.54_1</v>
      </c>
      <c r="O67" s="17" t="str">
        <f t="shared" si="1"/>
        <v/>
      </c>
      <c r="P67" s="13" t="s">
        <v>3239</v>
      </c>
      <c r="Q67" s="13" t="s">
        <v>3229</v>
      </c>
      <c r="R67" s="13" t="s">
        <v>0</v>
      </c>
      <c r="S67" s="13" t="s">
        <v>0</v>
      </c>
      <c r="T67" s="13" t="s">
        <v>9</v>
      </c>
      <c r="U67" s="13" t="s">
        <v>0</v>
      </c>
      <c r="V67" s="13" t="s">
        <v>0</v>
      </c>
      <c r="W67" s="13" t="s">
        <v>0</v>
      </c>
      <c r="X67" s="13" t="s">
        <v>0</v>
      </c>
      <c r="Y67" s="13" t="s">
        <v>10</v>
      </c>
      <c r="Z67" s="13" t="s">
        <v>0</v>
      </c>
      <c r="AA67" s="14"/>
      <c r="AB67" s="13" t="s">
        <v>0</v>
      </c>
      <c r="AC67" s="13" t="s">
        <v>0</v>
      </c>
      <c r="AD67" s="13" t="s">
        <v>0</v>
      </c>
      <c r="AE67" s="15">
        <v>0</v>
      </c>
    </row>
    <row r="68" spans="1:31" ht="14.15" customHeight="1" x14ac:dyDescent="0.25">
      <c r="A68" s="12" t="s">
        <v>0</v>
      </c>
      <c r="B68" s="13" t="s">
        <v>1</v>
      </c>
      <c r="C68" s="13" t="s">
        <v>3263</v>
      </c>
      <c r="D68" s="14">
        <v>44310</v>
      </c>
      <c r="E68" s="14">
        <v>44310</v>
      </c>
      <c r="F68" s="14">
        <v>44315</v>
      </c>
      <c r="G68" s="13" t="s">
        <v>3</v>
      </c>
      <c r="H68" s="13" t="s">
        <v>4</v>
      </c>
      <c r="I68" s="15">
        <v>-111631.95</v>
      </c>
      <c r="J68" s="13" t="s">
        <v>5</v>
      </c>
      <c r="K68" s="13" t="s">
        <v>6</v>
      </c>
      <c r="L68" s="15">
        <v>-9371502.1999999993</v>
      </c>
      <c r="M68" s="15">
        <v>-111631.95</v>
      </c>
      <c r="N68" s="16" t="str">
        <f>IF(M68="","",IF(M68&lt;0,-M68&amp;"_"&amp;COUNTIF(M$2:M68,M68),M68&amp;"_"&amp;COUNTIF(M$2:M68,M68)))</f>
        <v>111631.95_1</v>
      </c>
      <c r="O68" s="17" t="str">
        <f t="shared" si="1"/>
        <v/>
      </c>
      <c r="P68" s="13" t="s">
        <v>3264</v>
      </c>
      <c r="Q68" s="13" t="s">
        <v>3260</v>
      </c>
      <c r="R68" s="13" t="s">
        <v>0</v>
      </c>
      <c r="S68" s="13" t="s">
        <v>0</v>
      </c>
      <c r="T68" s="13" t="s">
        <v>9</v>
      </c>
      <c r="U68" s="13" t="s">
        <v>0</v>
      </c>
      <c r="V68" s="13" t="s">
        <v>0</v>
      </c>
      <c r="W68" s="13" t="s">
        <v>0</v>
      </c>
      <c r="X68" s="13" t="s">
        <v>0</v>
      </c>
      <c r="Y68" s="13" t="s">
        <v>10</v>
      </c>
      <c r="Z68" s="13" t="s">
        <v>0</v>
      </c>
      <c r="AA68" s="14"/>
      <c r="AB68" s="13" t="s">
        <v>0</v>
      </c>
      <c r="AC68" s="13" t="s">
        <v>0</v>
      </c>
      <c r="AD68" s="13" t="s">
        <v>0</v>
      </c>
      <c r="AE68" s="15">
        <v>0</v>
      </c>
    </row>
    <row r="69" spans="1:31" ht="14.15" customHeight="1" x14ac:dyDescent="0.25">
      <c r="A69" s="12" t="s">
        <v>0</v>
      </c>
      <c r="B69" s="13" t="s">
        <v>1</v>
      </c>
      <c r="C69" s="13" t="s">
        <v>1657</v>
      </c>
      <c r="D69" s="14">
        <v>44171</v>
      </c>
      <c r="E69" s="14">
        <v>44171</v>
      </c>
      <c r="F69" s="14">
        <v>44174</v>
      </c>
      <c r="G69" s="13" t="s">
        <v>3</v>
      </c>
      <c r="H69" s="13" t="s">
        <v>4</v>
      </c>
      <c r="I69" s="15">
        <v>-110598.15</v>
      </c>
      <c r="J69" s="13" t="s">
        <v>5</v>
      </c>
      <c r="K69" s="13" t="s">
        <v>6</v>
      </c>
      <c r="L69" s="15">
        <v>-9284714.6899999995</v>
      </c>
      <c r="M69" s="15">
        <v>-110598.15</v>
      </c>
      <c r="N69" s="16" t="str">
        <f>IF(M69="","",IF(M69&lt;0,-M69&amp;"_"&amp;COUNTIF(M$2:M69,M69),M69&amp;"_"&amp;COUNTIF(M$2:M69,M69)))</f>
        <v>110598.15_1</v>
      </c>
      <c r="O69" s="17" t="str">
        <f t="shared" si="1"/>
        <v/>
      </c>
      <c r="P69" s="13" t="s">
        <v>1658</v>
      </c>
      <c r="Q69" s="13" t="s">
        <v>1659</v>
      </c>
      <c r="R69" s="13" t="s">
        <v>0</v>
      </c>
      <c r="S69" s="13" t="s">
        <v>0</v>
      </c>
      <c r="T69" s="13" t="s">
        <v>9</v>
      </c>
      <c r="U69" s="13" t="s">
        <v>0</v>
      </c>
      <c r="V69" s="13" t="s">
        <v>0</v>
      </c>
      <c r="W69" s="13" t="s">
        <v>0</v>
      </c>
      <c r="X69" s="13" t="s">
        <v>0</v>
      </c>
      <c r="Y69" s="13" t="s">
        <v>10</v>
      </c>
      <c r="Z69" s="13" t="s">
        <v>0</v>
      </c>
      <c r="AA69" s="14"/>
      <c r="AB69" s="13" t="s">
        <v>0</v>
      </c>
      <c r="AC69" s="13" t="s">
        <v>0</v>
      </c>
      <c r="AD69" s="13" t="s">
        <v>0</v>
      </c>
      <c r="AE69" s="15">
        <v>0</v>
      </c>
    </row>
    <row r="70" spans="1:31" ht="14.15" customHeight="1" x14ac:dyDescent="0.25">
      <c r="A70" s="12" t="s">
        <v>0</v>
      </c>
      <c r="B70" s="13" t="s">
        <v>1</v>
      </c>
      <c r="C70" s="13" t="s">
        <v>3521</v>
      </c>
      <c r="D70" s="14">
        <v>44324</v>
      </c>
      <c r="E70" s="14">
        <v>44324</v>
      </c>
      <c r="F70" s="14">
        <v>44333</v>
      </c>
      <c r="G70" s="13" t="s">
        <v>3</v>
      </c>
      <c r="H70" s="13" t="s">
        <v>4</v>
      </c>
      <c r="I70" s="15">
        <v>-108705.2</v>
      </c>
      <c r="J70" s="13" t="s">
        <v>5</v>
      </c>
      <c r="K70" s="13" t="s">
        <v>6</v>
      </c>
      <c r="L70" s="15">
        <v>-9125801.5399999991</v>
      </c>
      <c r="M70" s="15">
        <v>-108705.2</v>
      </c>
      <c r="N70" s="16" t="str">
        <f>IF(M70="","",IF(M70&lt;0,-M70&amp;"_"&amp;COUNTIF(M$2:M70,M70),M70&amp;"_"&amp;COUNTIF(M$2:M70,M70)))</f>
        <v>108705.2_1</v>
      </c>
      <c r="O70" s="17" t="str">
        <f t="shared" si="1"/>
        <v/>
      </c>
      <c r="P70" s="13" t="s">
        <v>3522</v>
      </c>
      <c r="Q70" s="13" t="s">
        <v>3512</v>
      </c>
      <c r="R70" s="13" t="s">
        <v>0</v>
      </c>
      <c r="S70" s="13" t="s">
        <v>0</v>
      </c>
      <c r="T70" s="13" t="s">
        <v>9</v>
      </c>
      <c r="U70" s="13" t="s">
        <v>0</v>
      </c>
      <c r="V70" s="13" t="s">
        <v>0</v>
      </c>
      <c r="W70" s="13" t="s">
        <v>0</v>
      </c>
      <c r="X70" s="13" t="s">
        <v>0</v>
      </c>
      <c r="Y70" s="13" t="s">
        <v>10</v>
      </c>
      <c r="Z70" s="13" t="s">
        <v>0</v>
      </c>
      <c r="AA70" s="14"/>
      <c r="AB70" s="13" t="s">
        <v>0</v>
      </c>
      <c r="AC70" s="13" t="s">
        <v>0</v>
      </c>
      <c r="AD70" s="13" t="s">
        <v>0</v>
      </c>
      <c r="AE70" s="15">
        <v>0</v>
      </c>
    </row>
    <row r="71" spans="1:31" ht="14.15" customHeight="1" x14ac:dyDescent="0.25">
      <c r="A71" s="12" t="s">
        <v>0</v>
      </c>
      <c r="B71" s="13" t="s">
        <v>1</v>
      </c>
      <c r="C71" s="13" t="s">
        <v>1542</v>
      </c>
      <c r="D71" s="14">
        <v>44165</v>
      </c>
      <c r="E71" s="14">
        <v>44165</v>
      </c>
      <c r="F71" s="14">
        <v>44170</v>
      </c>
      <c r="G71" s="13" t="s">
        <v>3</v>
      </c>
      <c r="H71" s="13" t="s">
        <v>4</v>
      </c>
      <c r="I71" s="15">
        <v>-107472.71</v>
      </c>
      <c r="J71" s="13" t="s">
        <v>5</v>
      </c>
      <c r="K71" s="13" t="s">
        <v>6</v>
      </c>
      <c r="L71" s="15">
        <v>-9022334</v>
      </c>
      <c r="M71" s="15">
        <v>-107472.71</v>
      </c>
      <c r="N71" s="16" t="str">
        <f>IF(M71="","",IF(M71&lt;0,-M71&amp;"_"&amp;COUNTIF(M$2:M71,M71),M71&amp;"_"&amp;COUNTIF(M$2:M71,M71)))</f>
        <v>107472.71_1</v>
      </c>
      <c r="O71" s="17" t="str">
        <f t="shared" si="1"/>
        <v/>
      </c>
      <c r="P71" s="13" t="s">
        <v>1543</v>
      </c>
      <c r="Q71" s="13" t="s">
        <v>1541</v>
      </c>
      <c r="R71" s="13" t="s">
        <v>0</v>
      </c>
      <c r="S71" s="13" t="s">
        <v>0</v>
      </c>
      <c r="T71" s="13" t="s">
        <v>9</v>
      </c>
      <c r="U71" s="13" t="s">
        <v>0</v>
      </c>
      <c r="V71" s="13" t="s">
        <v>0</v>
      </c>
      <c r="W71" s="13" t="s">
        <v>0</v>
      </c>
      <c r="X71" s="13" t="s">
        <v>0</v>
      </c>
      <c r="Y71" s="13" t="s">
        <v>10</v>
      </c>
      <c r="Z71" s="13" t="s">
        <v>0</v>
      </c>
      <c r="AA71" s="14"/>
      <c r="AB71" s="13" t="s">
        <v>0</v>
      </c>
      <c r="AC71" s="13" t="s">
        <v>0</v>
      </c>
      <c r="AD71" s="13" t="s">
        <v>0</v>
      </c>
      <c r="AE71" s="15">
        <v>0</v>
      </c>
    </row>
    <row r="72" spans="1:31" ht="14.15" customHeight="1" x14ac:dyDescent="0.25">
      <c r="A72" s="12" t="s">
        <v>0</v>
      </c>
      <c r="B72" s="13" t="s">
        <v>1</v>
      </c>
      <c r="C72" s="13" t="s">
        <v>2140</v>
      </c>
      <c r="D72" s="14">
        <v>44206</v>
      </c>
      <c r="E72" s="14">
        <v>44206</v>
      </c>
      <c r="F72" s="14">
        <v>44219</v>
      </c>
      <c r="G72" s="13" t="s">
        <v>3</v>
      </c>
      <c r="H72" s="13" t="s">
        <v>4</v>
      </c>
      <c r="I72" s="15">
        <v>-105596.03</v>
      </c>
      <c r="J72" s="13" t="s">
        <v>5</v>
      </c>
      <c r="K72" s="13" t="s">
        <v>6</v>
      </c>
      <c r="L72" s="15">
        <v>-8864786.7200000007</v>
      </c>
      <c r="M72" s="15">
        <v>-105596.03</v>
      </c>
      <c r="N72" s="16" t="str">
        <f>IF(M72="","",IF(M72&lt;0,-M72&amp;"_"&amp;COUNTIF(M$2:M72,M72),M72&amp;"_"&amp;COUNTIF(M$2:M72,M72)))</f>
        <v>105596.03_1</v>
      </c>
      <c r="O72" s="17" t="str">
        <f t="shared" si="1"/>
        <v/>
      </c>
      <c r="P72" s="13" t="s">
        <v>2141</v>
      </c>
      <c r="Q72" s="13" t="s">
        <v>2142</v>
      </c>
      <c r="R72" s="13" t="s">
        <v>0</v>
      </c>
      <c r="S72" s="13" t="s">
        <v>0</v>
      </c>
      <c r="T72" s="13" t="s">
        <v>9</v>
      </c>
      <c r="U72" s="13" t="s">
        <v>0</v>
      </c>
      <c r="V72" s="13" t="s">
        <v>0</v>
      </c>
      <c r="W72" s="13" t="s">
        <v>0</v>
      </c>
      <c r="X72" s="13" t="s">
        <v>0</v>
      </c>
      <c r="Y72" s="13" t="s">
        <v>10</v>
      </c>
      <c r="Z72" s="13" t="s">
        <v>0</v>
      </c>
      <c r="AA72" s="14"/>
      <c r="AB72" s="13" t="s">
        <v>0</v>
      </c>
      <c r="AC72" s="13" t="s">
        <v>0</v>
      </c>
      <c r="AD72" s="13" t="s">
        <v>0</v>
      </c>
      <c r="AE72" s="15">
        <v>0</v>
      </c>
    </row>
    <row r="73" spans="1:31" ht="14.15" customHeight="1" x14ac:dyDescent="0.25">
      <c r="A73" s="12" t="s">
        <v>0</v>
      </c>
      <c r="B73" s="13" t="s">
        <v>1</v>
      </c>
      <c r="C73" s="13" t="s">
        <v>173</v>
      </c>
      <c r="D73" s="14">
        <v>44034</v>
      </c>
      <c r="E73" s="14">
        <v>44034</v>
      </c>
      <c r="F73" s="14">
        <v>44037</v>
      </c>
      <c r="G73" s="13" t="s">
        <v>3</v>
      </c>
      <c r="H73" s="13" t="s">
        <v>4</v>
      </c>
      <c r="I73" s="15">
        <v>-104082.31</v>
      </c>
      <c r="J73" s="13" t="s">
        <v>5</v>
      </c>
      <c r="K73" s="13" t="s">
        <v>6</v>
      </c>
      <c r="L73" s="15">
        <v>-8737709.9199999999</v>
      </c>
      <c r="M73" s="15">
        <v>-104082.31</v>
      </c>
      <c r="N73" s="16" t="str">
        <f>IF(M73="","",IF(M73&lt;0,-M73&amp;"_"&amp;COUNTIF(M$2:M73,M73),M73&amp;"_"&amp;COUNTIF(M$2:M73,M73)))</f>
        <v>104082.31_1</v>
      </c>
      <c r="O73" s="17" t="str">
        <f t="shared" si="1"/>
        <v/>
      </c>
      <c r="P73" s="13" t="s">
        <v>174</v>
      </c>
      <c r="Q73" s="13" t="s">
        <v>175</v>
      </c>
      <c r="R73" s="13" t="s">
        <v>0</v>
      </c>
      <c r="S73" s="13" t="s">
        <v>0</v>
      </c>
      <c r="T73" s="13" t="s">
        <v>9</v>
      </c>
      <c r="U73" s="13" t="s">
        <v>0</v>
      </c>
      <c r="V73" s="13" t="s">
        <v>0</v>
      </c>
      <c r="W73" s="13" t="s">
        <v>0</v>
      </c>
      <c r="X73" s="13" t="s">
        <v>0</v>
      </c>
      <c r="Y73" s="13" t="s">
        <v>10</v>
      </c>
      <c r="Z73" s="13" t="s">
        <v>0</v>
      </c>
      <c r="AA73" s="14"/>
      <c r="AB73" s="13" t="s">
        <v>0</v>
      </c>
      <c r="AC73" s="13" t="s">
        <v>0</v>
      </c>
      <c r="AD73" s="13" t="s">
        <v>0</v>
      </c>
      <c r="AE73" s="15">
        <v>0</v>
      </c>
    </row>
    <row r="74" spans="1:31" ht="14.15" customHeight="1" x14ac:dyDescent="0.25">
      <c r="A74" s="12" t="s">
        <v>0</v>
      </c>
      <c r="B74" s="13" t="s">
        <v>1</v>
      </c>
      <c r="C74" s="13" t="s">
        <v>1481</v>
      </c>
      <c r="D74" s="14">
        <v>44160</v>
      </c>
      <c r="E74" s="14">
        <v>44160</v>
      </c>
      <c r="F74" s="14">
        <v>44165</v>
      </c>
      <c r="G74" s="13" t="s">
        <v>3</v>
      </c>
      <c r="H74" s="13" t="s">
        <v>4</v>
      </c>
      <c r="I74" s="15">
        <v>-103946.29</v>
      </c>
      <c r="J74" s="13" t="s">
        <v>5</v>
      </c>
      <c r="K74" s="13" t="s">
        <v>6</v>
      </c>
      <c r="L74" s="15">
        <v>-8726291.0500000007</v>
      </c>
      <c r="M74" s="15">
        <v>-103946.29</v>
      </c>
      <c r="N74" s="16" t="str">
        <f>IF(M74="","",IF(M74&lt;0,-M74&amp;"_"&amp;COUNTIF(M$2:M74,M74),M74&amp;"_"&amp;COUNTIF(M$2:M74,M74)))</f>
        <v>103946.29_1</v>
      </c>
      <c r="O74" s="17" t="str">
        <f t="shared" si="1"/>
        <v/>
      </c>
      <c r="P74" s="13" t="s">
        <v>1482</v>
      </c>
      <c r="Q74" s="13" t="s">
        <v>1470</v>
      </c>
      <c r="R74" s="13" t="s">
        <v>0</v>
      </c>
      <c r="S74" s="13" t="s">
        <v>0</v>
      </c>
      <c r="T74" s="13" t="s">
        <v>9</v>
      </c>
      <c r="U74" s="13" t="s">
        <v>0</v>
      </c>
      <c r="V74" s="13" t="s">
        <v>0</v>
      </c>
      <c r="W74" s="13" t="s">
        <v>0</v>
      </c>
      <c r="X74" s="13" t="s">
        <v>0</v>
      </c>
      <c r="Y74" s="13" t="s">
        <v>10</v>
      </c>
      <c r="Z74" s="13" t="s">
        <v>0</v>
      </c>
      <c r="AA74" s="14"/>
      <c r="AB74" s="13" t="s">
        <v>0</v>
      </c>
      <c r="AC74" s="13" t="s">
        <v>0</v>
      </c>
      <c r="AD74" s="13" t="s">
        <v>0</v>
      </c>
      <c r="AE74" s="15">
        <v>0</v>
      </c>
    </row>
    <row r="75" spans="1:31" ht="14.15" customHeight="1" x14ac:dyDescent="0.25">
      <c r="A75" s="12" t="s">
        <v>0</v>
      </c>
      <c r="B75" s="13" t="s">
        <v>1</v>
      </c>
      <c r="C75" s="13" t="s">
        <v>1268</v>
      </c>
      <c r="D75" s="14">
        <v>44144</v>
      </c>
      <c r="E75" s="14">
        <v>44144</v>
      </c>
      <c r="F75" s="14">
        <v>44149</v>
      </c>
      <c r="G75" s="13" t="s">
        <v>3</v>
      </c>
      <c r="H75" s="13" t="s">
        <v>4</v>
      </c>
      <c r="I75" s="15">
        <v>-103495.84</v>
      </c>
      <c r="J75" s="13" t="s">
        <v>5</v>
      </c>
      <c r="K75" s="13" t="s">
        <v>6</v>
      </c>
      <c r="L75" s="15">
        <v>-8688475.7699999996</v>
      </c>
      <c r="M75" s="15">
        <v>-103495.84</v>
      </c>
      <c r="N75" s="16" t="str">
        <f>IF(M75="","",IF(M75&lt;0,-M75&amp;"_"&amp;COUNTIF(M$2:M75,M75),M75&amp;"_"&amp;COUNTIF(M$2:M75,M75)))</f>
        <v>103495.84_1</v>
      </c>
      <c r="O75" s="17" t="str">
        <f t="shared" si="1"/>
        <v/>
      </c>
      <c r="P75" s="13" t="s">
        <v>1269</v>
      </c>
      <c r="Q75" s="13" t="s">
        <v>1270</v>
      </c>
      <c r="R75" s="13" t="s">
        <v>0</v>
      </c>
      <c r="S75" s="13" t="s">
        <v>0</v>
      </c>
      <c r="T75" s="13" t="s">
        <v>9</v>
      </c>
      <c r="U75" s="13" t="s">
        <v>0</v>
      </c>
      <c r="V75" s="13" t="s">
        <v>0</v>
      </c>
      <c r="W75" s="13" t="s">
        <v>0</v>
      </c>
      <c r="X75" s="13" t="s">
        <v>0</v>
      </c>
      <c r="Y75" s="13" t="s">
        <v>10</v>
      </c>
      <c r="Z75" s="13" t="s">
        <v>0</v>
      </c>
      <c r="AA75" s="14"/>
      <c r="AB75" s="13" t="s">
        <v>0</v>
      </c>
      <c r="AC75" s="13" t="s">
        <v>0</v>
      </c>
      <c r="AD75" s="13" t="s">
        <v>0</v>
      </c>
      <c r="AE75" s="15">
        <v>0</v>
      </c>
    </row>
    <row r="76" spans="1:31" ht="14.15" customHeight="1" x14ac:dyDescent="0.25">
      <c r="A76" s="12" t="s">
        <v>0</v>
      </c>
      <c r="B76" s="13" t="s">
        <v>1</v>
      </c>
      <c r="C76" s="13" t="s">
        <v>2358</v>
      </c>
      <c r="D76" s="14">
        <v>44224</v>
      </c>
      <c r="E76" s="14">
        <v>44224</v>
      </c>
      <c r="F76" s="14">
        <v>44231</v>
      </c>
      <c r="G76" s="13" t="s">
        <v>3</v>
      </c>
      <c r="H76" s="13" t="s">
        <v>4</v>
      </c>
      <c r="I76" s="15">
        <v>-103283.81</v>
      </c>
      <c r="J76" s="13" t="s">
        <v>5</v>
      </c>
      <c r="K76" s="13" t="s">
        <v>6</v>
      </c>
      <c r="L76" s="15">
        <v>-8670675.8499999996</v>
      </c>
      <c r="M76" s="15">
        <v>-103283.81</v>
      </c>
      <c r="N76" s="16" t="str">
        <f>IF(M76="","",IF(M76&lt;0,-M76&amp;"_"&amp;COUNTIF(M$2:M76,M76),M76&amp;"_"&amp;COUNTIF(M$2:M76,M76)))</f>
        <v>103283.81_1</v>
      </c>
      <c r="O76" s="17" t="str">
        <f t="shared" si="1"/>
        <v/>
      </c>
      <c r="P76" s="13" t="s">
        <v>2359</v>
      </c>
      <c r="Q76" s="13" t="s">
        <v>2345</v>
      </c>
      <c r="R76" s="13" t="s">
        <v>0</v>
      </c>
      <c r="S76" s="13" t="s">
        <v>0</v>
      </c>
      <c r="T76" s="13" t="s">
        <v>9</v>
      </c>
      <c r="U76" s="13" t="s">
        <v>0</v>
      </c>
      <c r="V76" s="13" t="s">
        <v>0</v>
      </c>
      <c r="W76" s="13" t="s">
        <v>0</v>
      </c>
      <c r="X76" s="13" t="s">
        <v>0</v>
      </c>
      <c r="Y76" s="13" t="s">
        <v>10</v>
      </c>
      <c r="Z76" s="13" t="s">
        <v>0</v>
      </c>
      <c r="AA76" s="14"/>
      <c r="AB76" s="13" t="s">
        <v>0</v>
      </c>
      <c r="AC76" s="13" t="s">
        <v>0</v>
      </c>
      <c r="AD76" s="13" t="s">
        <v>0</v>
      </c>
      <c r="AE76" s="15">
        <v>0</v>
      </c>
    </row>
    <row r="77" spans="1:31" ht="14.15" customHeight="1" x14ac:dyDescent="0.25">
      <c r="A77" s="12" t="s">
        <v>0</v>
      </c>
      <c r="B77" s="13" t="s">
        <v>1</v>
      </c>
      <c r="C77" s="13" t="s">
        <v>410</v>
      </c>
      <c r="D77" s="14">
        <v>44062</v>
      </c>
      <c r="E77" s="14">
        <v>44062</v>
      </c>
      <c r="F77" s="14">
        <v>44079</v>
      </c>
      <c r="G77" s="13" t="s">
        <v>3</v>
      </c>
      <c r="H77" s="13" t="s">
        <v>4</v>
      </c>
      <c r="I77" s="15">
        <v>-103178.6</v>
      </c>
      <c r="J77" s="13" t="s">
        <v>5</v>
      </c>
      <c r="K77" s="13" t="s">
        <v>6</v>
      </c>
      <c r="L77" s="15">
        <v>-8661843.4700000007</v>
      </c>
      <c r="M77" s="15">
        <v>-103178.6</v>
      </c>
      <c r="N77" s="16" t="str">
        <f>IF(M77="","",IF(M77&lt;0,-M77&amp;"_"&amp;COUNTIF(M$2:M77,M77),M77&amp;"_"&amp;COUNTIF(M$2:M77,M77)))</f>
        <v>103178.6_1</v>
      </c>
      <c r="O77" s="17" t="str">
        <f t="shared" si="1"/>
        <v/>
      </c>
      <c r="P77" s="13" t="s">
        <v>411</v>
      </c>
      <c r="Q77" s="13" t="s">
        <v>403</v>
      </c>
      <c r="R77" s="13" t="s">
        <v>0</v>
      </c>
      <c r="S77" s="13" t="s">
        <v>0</v>
      </c>
      <c r="T77" s="13" t="s">
        <v>9</v>
      </c>
      <c r="U77" s="13" t="s">
        <v>0</v>
      </c>
      <c r="V77" s="13" t="s">
        <v>0</v>
      </c>
      <c r="W77" s="13" t="s">
        <v>0</v>
      </c>
      <c r="X77" s="13" t="s">
        <v>0</v>
      </c>
      <c r="Y77" s="13" t="s">
        <v>10</v>
      </c>
      <c r="Z77" s="13" t="s">
        <v>0</v>
      </c>
      <c r="AA77" s="14"/>
      <c r="AB77" s="13" t="s">
        <v>0</v>
      </c>
      <c r="AC77" s="13" t="s">
        <v>0</v>
      </c>
      <c r="AD77" s="13" t="s">
        <v>0</v>
      </c>
      <c r="AE77" s="15">
        <v>0</v>
      </c>
    </row>
    <row r="78" spans="1:31" ht="14.15" customHeight="1" x14ac:dyDescent="0.25">
      <c r="A78" s="12" t="s">
        <v>0</v>
      </c>
      <c r="B78" s="13" t="s">
        <v>1</v>
      </c>
      <c r="C78" s="13" t="s">
        <v>3523</v>
      </c>
      <c r="D78" s="14">
        <v>44324</v>
      </c>
      <c r="E78" s="14">
        <v>44324</v>
      </c>
      <c r="F78" s="14">
        <v>44333</v>
      </c>
      <c r="G78" s="13" t="s">
        <v>3</v>
      </c>
      <c r="H78" s="13" t="s">
        <v>4</v>
      </c>
      <c r="I78" s="15">
        <v>-102741.27</v>
      </c>
      <c r="J78" s="13" t="s">
        <v>5</v>
      </c>
      <c r="K78" s="13" t="s">
        <v>6</v>
      </c>
      <c r="L78" s="15">
        <v>-8625129.6199999992</v>
      </c>
      <c r="M78" s="15">
        <v>-102741.27</v>
      </c>
      <c r="N78" s="16" t="str">
        <f>IF(M78="","",IF(M78&lt;0,-M78&amp;"_"&amp;COUNTIF(M$2:M78,M78),M78&amp;"_"&amp;COUNTIF(M$2:M78,M78)))</f>
        <v>102741.27_1</v>
      </c>
      <c r="O78" s="17" t="str">
        <f t="shared" si="1"/>
        <v/>
      </c>
      <c r="P78" s="13" t="s">
        <v>3524</v>
      </c>
      <c r="Q78" s="13" t="s">
        <v>3512</v>
      </c>
      <c r="R78" s="13" t="s">
        <v>0</v>
      </c>
      <c r="S78" s="13" t="s">
        <v>0</v>
      </c>
      <c r="T78" s="13" t="s">
        <v>9</v>
      </c>
      <c r="U78" s="13" t="s">
        <v>0</v>
      </c>
      <c r="V78" s="13" t="s">
        <v>0</v>
      </c>
      <c r="W78" s="13" t="s">
        <v>0</v>
      </c>
      <c r="X78" s="13" t="s">
        <v>0</v>
      </c>
      <c r="Y78" s="13" t="s">
        <v>10</v>
      </c>
      <c r="Z78" s="13" t="s">
        <v>0</v>
      </c>
      <c r="AA78" s="14"/>
      <c r="AB78" s="13" t="s">
        <v>0</v>
      </c>
      <c r="AC78" s="13" t="s">
        <v>0</v>
      </c>
      <c r="AD78" s="13" t="s">
        <v>0</v>
      </c>
      <c r="AE78" s="15">
        <v>0</v>
      </c>
    </row>
    <row r="79" spans="1:31" ht="14.15" customHeight="1" x14ac:dyDescent="0.25">
      <c r="A79" s="12" t="s">
        <v>0</v>
      </c>
      <c r="B79" s="13" t="s">
        <v>1</v>
      </c>
      <c r="C79" s="13" t="s">
        <v>3606</v>
      </c>
      <c r="D79" s="14">
        <v>44329</v>
      </c>
      <c r="E79" s="14">
        <v>44329</v>
      </c>
      <c r="F79" s="14">
        <v>44336</v>
      </c>
      <c r="G79" s="13" t="s">
        <v>3</v>
      </c>
      <c r="H79" s="13" t="s">
        <v>4</v>
      </c>
      <c r="I79" s="15">
        <v>-102253.42</v>
      </c>
      <c r="J79" s="13" t="s">
        <v>5</v>
      </c>
      <c r="K79" s="13" t="s">
        <v>6</v>
      </c>
      <c r="L79" s="15">
        <v>-8584174.6099999994</v>
      </c>
      <c r="M79" s="15">
        <v>-102253.42</v>
      </c>
      <c r="N79" s="16" t="str">
        <f>IF(M79="","",IF(M79&lt;0,-M79&amp;"_"&amp;COUNTIF(M$2:M79,M79),M79&amp;"_"&amp;COUNTIF(M$2:M79,M79)))</f>
        <v>102253.42_1</v>
      </c>
      <c r="O79" s="17" t="str">
        <f t="shared" si="1"/>
        <v/>
      </c>
      <c r="P79" s="13" t="s">
        <v>3607</v>
      </c>
      <c r="Q79" s="13" t="s">
        <v>3603</v>
      </c>
      <c r="R79" s="13" t="s">
        <v>0</v>
      </c>
      <c r="S79" s="13" t="s">
        <v>0</v>
      </c>
      <c r="T79" s="13" t="s">
        <v>9</v>
      </c>
      <c r="U79" s="13" t="s">
        <v>0</v>
      </c>
      <c r="V79" s="13" t="s">
        <v>0</v>
      </c>
      <c r="W79" s="13" t="s">
        <v>0</v>
      </c>
      <c r="X79" s="13" t="s">
        <v>0</v>
      </c>
      <c r="Y79" s="13" t="s">
        <v>10</v>
      </c>
      <c r="Z79" s="13" t="s">
        <v>0</v>
      </c>
      <c r="AA79" s="14"/>
      <c r="AB79" s="13" t="s">
        <v>0</v>
      </c>
      <c r="AC79" s="13" t="s">
        <v>0</v>
      </c>
      <c r="AD79" s="13" t="s">
        <v>0</v>
      </c>
      <c r="AE79" s="15">
        <v>0</v>
      </c>
    </row>
    <row r="80" spans="1:31" ht="14.15" customHeight="1" x14ac:dyDescent="0.25">
      <c r="A80" s="12" t="s">
        <v>0</v>
      </c>
      <c r="B80" s="13" t="s">
        <v>1</v>
      </c>
      <c r="C80" s="13" t="s">
        <v>2868</v>
      </c>
      <c r="D80" s="14">
        <v>44273</v>
      </c>
      <c r="E80" s="14">
        <v>44273</v>
      </c>
      <c r="F80" s="14">
        <v>44280</v>
      </c>
      <c r="G80" s="13" t="s">
        <v>3</v>
      </c>
      <c r="H80" s="13" t="s">
        <v>4</v>
      </c>
      <c r="I80" s="15">
        <v>-102212.98</v>
      </c>
      <c r="J80" s="13" t="s">
        <v>5</v>
      </c>
      <c r="K80" s="13" t="s">
        <v>6</v>
      </c>
      <c r="L80" s="15">
        <v>-8580779.6699999999</v>
      </c>
      <c r="M80" s="15">
        <v>-102212.98</v>
      </c>
      <c r="N80" s="16" t="str">
        <f>IF(M80="","",IF(M80&lt;0,-M80&amp;"_"&amp;COUNTIF(M$2:M80,M80),M80&amp;"_"&amp;COUNTIF(M$2:M80,M80)))</f>
        <v>102212.98_1</v>
      </c>
      <c r="O80" s="17" t="str">
        <f t="shared" si="1"/>
        <v/>
      </c>
      <c r="P80" s="13" t="s">
        <v>2869</v>
      </c>
      <c r="Q80" s="13" t="s">
        <v>2857</v>
      </c>
      <c r="R80" s="13" t="s">
        <v>0</v>
      </c>
      <c r="S80" s="13" t="s">
        <v>0</v>
      </c>
      <c r="T80" s="13" t="s">
        <v>9</v>
      </c>
      <c r="U80" s="13" t="s">
        <v>0</v>
      </c>
      <c r="V80" s="13" t="s">
        <v>0</v>
      </c>
      <c r="W80" s="13" t="s">
        <v>0</v>
      </c>
      <c r="X80" s="13" t="s">
        <v>0</v>
      </c>
      <c r="Y80" s="13" t="s">
        <v>10</v>
      </c>
      <c r="Z80" s="13" t="s">
        <v>0</v>
      </c>
      <c r="AA80" s="14"/>
      <c r="AB80" s="13" t="s">
        <v>0</v>
      </c>
      <c r="AC80" s="13" t="s">
        <v>0</v>
      </c>
      <c r="AD80" s="13" t="s">
        <v>0</v>
      </c>
      <c r="AE80" s="15">
        <v>0</v>
      </c>
    </row>
    <row r="81" spans="1:31" ht="14.15" customHeight="1" x14ac:dyDescent="0.25">
      <c r="A81" s="12" t="s">
        <v>0</v>
      </c>
      <c r="B81" s="13" t="s">
        <v>1</v>
      </c>
      <c r="C81" s="13" t="s">
        <v>2358</v>
      </c>
      <c r="D81" s="14">
        <v>44224</v>
      </c>
      <c r="E81" s="14">
        <v>44224</v>
      </c>
      <c r="F81" s="14">
        <v>44231</v>
      </c>
      <c r="G81" s="13" t="s">
        <v>3</v>
      </c>
      <c r="H81" s="13" t="s">
        <v>4</v>
      </c>
      <c r="I81" s="15">
        <v>-101996.08</v>
      </c>
      <c r="J81" s="13" t="s">
        <v>5</v>
      </c>
      <c r="K81" s="13" t="s">
        <v>6</v>
      </c>
      <c r="L81" s="15">
        <v>-8562570.9199999999</v>
      </c>
      <c r="M81" s="15">
        <v>-101996.08</v>
      </c>
      <c r="N81" s="16" t="str">
        <f>IF(M81="","",IF(M81&lt;0,-M81&amp;"_"&amp;COUNTIF(M$2:M81,M81),M81&amp;"_"&amp;COUNTIF(M$2:M81,M81)))</f>
        <v>101996.08_1</v>
      </c>
      <c r="O81" s="17" t="str">
        <f t="shared" si="1"/>
        <v/>
      </c>
      <c r="P81" s="13" t="s">
        <v>2359</v>
      </c>
      <c r="Q81" s="13" t="s">
        <v>2345</v>
      </c>
      <c r="R81" s="13" t="s">
        <v>0</v>
      </c>
      <c r="S81" s="13" t="s">
        <v>0</v>
      </c>
      <c r="T81" s="13" t="s">
        <v>9</v>
      </c>
      <c r="U81" s="13" t="s">
        <v>0</v>
      </c>
      <c r="V81" s="13" t="s">
        <v>0</v>
      </c>
      <c r="W81" s="13" t="s">
        <v>0</v>
      </c>
      <c r="X81" s="13" t="s">
        <v>0</v>
      </c>
      <c r="Y81" s="13" t="s">
        <v>10</v>
      </c>
      <c r="Z81" s="13" t="s">
        <v>0</v>
      </c>
      <c r="AA81" s="14"/>
      <c r="AB81" s="13" t="s">
        <v>0</v>
      </c>
      <c r="AC81" s="13" t="s">
        <v>0</v>
      </c>
      <c r="AD81" s="13" t="s">
        <v>0</v>
      </c>
      <c r="AE81" s="15">
        <v>0</v>
      </c>
    </row>
    <row r="82" spans="1:31" ht="14.15" customHeight="1" x14ac:dyDescent="0.25">
      <c r="A82" s="12" t="s">
        <v>0</v>
      </c>
      <c r="B82" s="13" t="s">
        <v>1</v>
      </c>
      <c r="C82" s="13" t="s">
        <v>912</v>
      </c>
      <c r="D82" s="14">
        <v>44116</v>
      </c>
      <c r="E82" s="14">
        <v>44116</v>
      </c>
      <c r="F82" s="14">
        <v>44122</v>
      </c>
      <c r="G82" s="13" t="s">
        <v>3</v>
      </c>
      <c r="H82" s="13" t="s">
        <v>4</v>
      </c>
      <c r="I82" s="15">
        <v>-100743.45</v>
      </c>
      <c r="J82" s="13" t="s">
        <v>5</v>
      </c>
      <c r="K82" s="13" t="s">
        <v>6</v>
      </c>
      <c r="L82" s="15">
        <v>-8457412.6199999992</v>
      </c>
      <c r="M82" s="15">
        <v>-100743.45</v>
      </c>
      <c r="N82" s="16" t="str">
        <f>IF(M82="","",IF(M82&lt;0,-M82&amp;"_"&amp;COUNTIF(M$2:M82,M82),M82&amp;"_"&amp;COUNTIF(M$2:M82,M82)))</f>
        <v>100743.45_1</v>
      </c>
      <c r="O82" s="17" t="str">
        <f t="shared" si="1"/>
        <v/>
      </c>
      <c r="P82" s="13" t="s">
        <v>913</v>
      </c>
      <c r="Q82" s="13" t="s">
        <v>914</v>
      </c>
      <c r="R82" s="13" t="s">
        <v>0</v>
      </c>
      <c r="S82" s="13" t="s">
        <v>0</v>
      </c>
      <c r="T82" s="13" t="s">
        <v>9</v>
      </c>
      <c r="U82" s="13" t="s">
        <v>0</v>
      </c>
      <c r="V82" s="13" t="s">
        <v>0</v>
      </c>
      <c r="W82" s="13" t="s">
        <v>0</v>
      </c>
      <c r="X82" s="13" t="s">
        <v>0</v>
      </c>
      <c r="Y82" s="13" t="s">
        <v>10</v>
      </c>
      <c r="Z82" s="13" t="s">
        <v>0</v>
      </c>
      <c r="AA82" s="14"/>
      <c r="AB82" s="13" t="s">
        <v>0</v>
      </c>
      <c r="AC82" s="13" t="s">
        <v>0</v>
      </c>
      <c r="AD82" s="13" t="s">
        <v>0</v>
      </c>
      <c r="AE82" s="15">
        <v>0</v>
      </c>
    </row>
    <row r="83" spans="1:31" ht="14.15" customHeight="1" x14ac:dyDescent="0.25">
      <c r="A83" s="12" t="s">
        <v>0</v>
      </c>
      <c r="B83" s="13" t="s">
        <v>1</v>
      </c>
      <c r="C83" s="13" t="s">
        <v>3525</v>
      </c>
      <c r="D83" s="14">
        <v>44324</v>
      </c>
      <c r="E83" s="14">
        <v>44324</v>
      </c>
      <c r="F83" s="14">
        <v>44333</v>
      </c>
      <c r="G83" s="13" t="s">
        <v>3</v>
      </c>
      <c r="H83" s="13" t="s">
        <v>4</v>
      </c>
      <c r="I83" s="15">
        <v>-100456.78</v>
      </c>
      <c r="J83" s="13" t="s">
        <v>5</v>
      </c>
      <c r="K83" s="13" t="s">
        <v>6</v>
      </c>
      <c r="L83" s="15">
        <v>-8433346.6799999997</v>
      </c>
      <c r="M83" s="15">
        <v>-100456.78</v>
      </c>
      <c r="N83" s="16" t="str">
        <f>IF(M83="","",IF(M83&lt;0,-M83&amp;"_"&amp;COUNTIF(M$2:M83,M83),M83&amp;"_"&amp;COUNTIF(M$2:M83,M83)))</f>
        <v>100456.78_1</v>
      </c>
      <c r="O83" s="17" t="str">
        <f t="shared" si="1"/>
        <v/>
      </c>
      <c r="P83" s="13" t="s">
        <v>3526</v>
      </c>
      <c r="Q83" s="13" t="s">
        <v>3512</v>
      </c>
      <c r="R83" s="13" t="s">
        <v>0</v>
      </c>
      <c r="S83" s="13" t="s">
        <v>0</v>
      </c>
      <c r="T83" s="13" t="s">
        <v>9</v>
      </c>
      <c r="U83" s="13" t="s">
        <v>0</v>
      </c>
      <c r="V83" s="13" t="s">
        <v>0</v>
      </c>
      <c r="W83" s="13" t="s">
        <v>0</v>
      </c>
      <c r="X83" s="13" t="s">
        <v>0</v>
      </c>
      <c r="Y83" s="13" t="s">
        <v>10</v>
      </c>
      <c r="Z83" s="13" t="s">
        <v>0</v>
      </c>
      <c r="AA83" s="14"/>
      <c r="AB83" s="13" t="s">
        <v>0</v>
      </c>
      <c r="AC83" s="13" t="s">
        <v>0</v>
      </c>
      <c r="AD83" s="13" t="s">
        <v>0</v>
      </c>
      <c r="AE83" s="15">
        <v>0</v>
      </c>
    </row>
    <row r="84" spans="1:31" ht="14.15" customHeight="1" x14ac:dyDescent="0.25">
      <c r="A84" s="12" t="s">
        <v>0</v>
      </c>
      <c r="B84" s="13" t="s">
        <v>1</v>
      </c>
      <c r="C84" s="13" t="s">
        <v>389</v>
      </c>
      <c r="D84" s="14">
        <v>44060</v>
      </c>
      <c r="E84" s="14">
        <v>44060</v>
      </c>
      <c r="F84" s="14">
        <v>44065</v>
      </c>
      <c r="G84" s="13" t="s">
        <v>3</v>
      </c>
      <c r="H84" s="13" t="s">
        <v>4</v>
      </c>
      <c r="I84" s="15">
        <v>-100287.73</v>
      </c>
      <c r="J84" s="13" t="s">
        <v>5</v>
      </c>
      <c r="K84" s="13" t="s">
        <v>6</v>
      </c>
      <c r="L84" s="15">
        <v>-8419154.9299999997</v>
      </c>
      <c r="M84" s="15">
        <v>-100287.73</v>
      </c>
      <c r="N84" s="16" t="str">
        <f>IF(M84="","",IF(M84&lt;0,-M84&amp;"_"&amp;COUNTIF(M$2:M84,M84),M84&amp;"_"&amp;COUNTIF(M$2:M84,M84)))</f>
        <v>100287.73_1</v>
      </c>
      <c r="O84" s="17" t="str">
        <f t="shared" si="1"/>
        <v/>
      </c>
      <c r="P84" s="13" t="s">
        <v>390</v>
      </c>
      <c r="Q84" s="13" t="s">
        <v>388</v>
      </c>
      <c r="R84" s="13" t="s">
        <v>0</v>
      </c>
      <c r="S84" s="13" t="s">
        <v>0</v>
      </c>
      <c r="T84" s="13" t="s">
        <v>9</v>
      </c>
      <c r="U84" s="13" t="s">
        <v>0</v>
      </c>
      <c r="V84" s="13" t="s">
        <v>0</v>
      </c>
      <c r="W84" s="13" t="s">
        <v>0</v>
      </c>
      <c r="X84" s="13" t="s">
        <v>0</v>
      </c>
      <c r="Y84" s="13" t="s">
        <v>10</v>
      </c>
      <c r="Z84" s="13" t="s">
        <v>0</v>
      </c>
      <c r="AA84" s="14"/>
      <c r="AB84" s="13" t="s">
        <v>0</v>
      </c>
      <c r="AC84" s="13" t="s">
        <v>0</v>
      </c>
      <c r="AD84" s="13" t="s">
        <v>0</v>
      </c>
      <c r="AE84" s="15">
        <v>0</v>
      </c>
    </row>
    <row r="85" spans="1:31" ht="14.15" customHeight="1" x14ac:dyDescent="0.25">
      <c r="A85" s="12" t="s">
        <v>0</v>
      </c>
      <c r="B85" s="13" t="s">
        <v>1</v>
      </c>
      <c r="C85" s="13" t="s">
        <v>499</v>
      </c>
      <c r="D85" s="14">
        <v>44068</v>
      </c>
      <c r="E85" s="14">
        <v>44068</v>
      </c>
      <c r="F85" s="14">
        <v>44079</v>
      </c>
      <c r="G85" s="13" t="s">
        <v>3</v>
      </c>
      <c r="H85" s="13" t="s">
        <v>4</v>
      </c>
      <c r="I85" s="15">
        <v>-100132.31</v>
      </c>
      <c r="J85" s="13" t="s">
        <v>5</v>
      </c>
      <c r="K85" s="13" t="s">
        <v>6</v>
      </c>
      <c r="L85" s="15">
        <v>-8406107.4199999999</v>
      </c>
      <c r="M85" s="15">
        <v>-100132.31</v>
      </c>
      <c r="N85" s="16" t="str">
        <f>IF(M85="","",IF(M85&lt;0,-M85&amp;"_"&amp;COUNTIF(M$2:M85,M85),M85&amp;"_"&amp;COUNTIF(M$2:M85,M85)))</f>
        <v>100132.31_1</v>
      </c>
      <c r="O85" s="17" t="str">
        <f t="shared" si="1"/>
        <v/>
      </c>
      <c r="P85" s="13" t="s">
        <v>500</v>
      </c>
      <c r="Q85" s="13" t="s">
        <v>501</v>
      </c>
      <c r="R85" s="13" t="s">
        <v>0</v>
      </c>
      <c r="S85" s="13" t="s">
        <v>0</v>
      </c>
      <c r="T85" s="13" t="s">
        <v>9</v>
      </c>
      <c r="U85" s="13" t="s">
        <v>0</v>
      </c>
      <c r="V85" s="13" t="s">
        <v>0</v>
      </c>
      <c r="W85" s="13" t="s">
        <v>0</v>
      </c>
      <c r="X85" s="13" t="s">
        <v>0</v>
      </c>
      <c r="Y85" s="13" t="s">
        <v>10</v>
      </c>
      <c r="Z85" s="13" t="s">
        <v>0</v>
      </c>
      <c r="AA85" s="14"/>
      <c r="AB85" s="13" t="s">
        <v>0</v>
      </c>
      <c r="AC85" s="13" t="s">
        <v>0</v>
      </c>
      <c r="AD85" s="13" t="s">
        <v>0</v>
      </c>
      <c r="AE85" s="15">
        <v>0</v>
      </c>
    </row>
    <row r="86" spans="1:31" ht="14.15" customHeight="1" x14ac:dyDescent="0.25">
      <c r="A86" s="12" t="s">
        <v>0</v>
      </c>
      <c r="B86" s="13" t="s">
        <v>1</v>
      </c>
      <c r="C86" s="13" t="s">
        <v>4315</v>
      </c>
      <c r="D86" s="14">
        <v>44372</v>
      </c>
      <c r="E86" s="14">
        <v>44372</v>
      </c>
      <c r="F86" s="14">
        <v>44376</v>
      </c>
      <c r="G86" s="13" t="s">
        <v>3</v>
      </c>
      <c r="H86" s="13" t="s">
        <v>4</v>
      </c>
      <c r="I86" s="15">
        <v>-100043.1</v>
      </c>
      <c r="J86" s="13" t="s">
        <v>5</v>
      </c>
      <c r="K86" s="13" t="s">
        <v>6</v>
      </c>
      <c r="L86" s="15">
        <v>-8398618.25</v>
      </c>
      <c r="M86" s="15">
        <v>-100043.1</v>
      </c>
      <c r="N86" s="16" t="str">
        <f>IF(M86="","",IF(M86&lt;0,-M86&amp;"_"&amp;COUNTIF(M$2:M86,M86),M86&amp;"_"&amp;COUNTIF(M$2:M86,M86)))</f>
        <v>100043.1_1</v>
      </c>
      <c r="O86" s="17" t="str">
        <f t="shared" si="1"/>
        <v/>
      </c>
      <c r="P86" s="13" t="s">
        <v>4316</v>
      </c>
      <c r="Q86" s="13" t="s">
        <v>4312</v>
      </c>
      <c r="R86" s="13" t="s">
        <v>0</v>
      </c>
      <c r="S86" s="13" t="s">
        <v>0</v>
      </c>
      <c r="T86" s="13" t="s">
        <v>9</v>
      </c>
      <c r="U86" s="13" t="s">
        <v>0</v>
      </c>
      <c r="V86" s="13" t="s">
        <v>0</v>
      </c>
      <c r="W86" s="13" t="s">
        <v>0</v>
      </c>
      <c r="X86" s="13" t="s">
        <v>0</v>
      </c>
      <c r="Y86" s="13" t="s">
        <v>10</v>
      </c>
      <c r="Z86" s="13" t="s">
        <v>0</v>
      </c>
      <c r="AA86" s="14"/>
      <c r="AB86" s="13" t="s">
        <v>0</v>
      </c>
      <c r="AC86" s="13" t="s">
        <v>0</v>
      </c>
      <c r="AD86" s="13" t="s">
        <v>0</v>
      </c>
      <c r="AE86" s="15">
        <v>0</v>
      </c>
    </row>
    <row r="87" spans="1:31" ht="14.15" customHeight="1" x14ac:dyDescent="0.25">
      <c r="A87" s="12" t="s">
        <v>0</v>
      </c>
      <c r="B87" s="13" t="s">
        <v>1</v>
      </c>
      <c r="C87" s="13" t="s">
        <v>2244</v>
      </c>
      <c r="D87" s="14">
        <v>44214</v>
      </c>
      <c r="E87" s="14">
        <v>44214</v>
      </c>
      <c r="F87" s="14">
        <v>44219</v>
      </c>
      <c r="G87" s="13" t="s">
        <v>3</v>
      </c>
      <c r="H87" s="13" t="s">
        <v>4</v>
      </c>
      <c r="I87" s="15">
        <v>-100011.91</v>
      </c>
      <c r="J87" s="13" t="s">
        <v>5</v>
      </c>
      <c r="K87" s="13" t="s">
        <v>6</v>
      </c>
      <c r="L87" s="15">
        <v>-8395999.8399999999</v>
      </c>
      <c r="M87" s="15">
        <v>-100011.91</v>
      </c>
      <c r="N87" s="16" t="str">
        <f>IF(M87="","",IF(M87&lt;0,-M87&amp;"_"&amp;COUNTIF(M$2:M87,M87),M87&amp;"_"&amp;COUNTIF(M$2:M87,M87)))</f>
        <v>100011.91_1</v>
      </c>
      <c r="O87" s="17" t="str">
        <f t="shared" si="1"/>
        <v/>
      </c>
      <c r="P87" s="13" t="s">
        <v>2245</v>
      </c>
      <c r="Q87" s="13" t="s">
        <v>2243</v>
      </c>
      <c r="R87" s="13" t="s">
        <v>0</v>
      </c>
      <c r="S87" s="13" t="s">
        <v>0</v>
      </c>
      <c r="T87" s="13" t="s">
        <v>9</v>
      </c>
      <c r="U87" s="13" t="s">
        <v>0</v>
      </c>
      <c r="V87" s="13" t="s">
        <v>0</v>
      </c>
      <c r="W87" s="13" t="s">
        <v>0</v>
      </c>
      <c r="X87" s="13" t="s">
        <v>0</v>
      </c>
      <c r="Y87" s="13" t="s">
        <v>10</v>
      </c>
      <c r="Z87" s="13" t="s">
        <v>0</v>
      </c>
      <c r="AA87" s="14"/>
      <c r="AB87" s="13" t="s">
        <v>0</v>
      </c>
      <c r="AC87" s="13" t="s">
        <v>0</v>
      </c>
      <c r="AD87" s="13" t="s">
        <v>0</v>
      </c>
      <c r="AE87" s="15">
        <v>0</v>
      </c>
    </row>
    <row r="88" spans="1:31" ht="14.15" customHeight="1" x14ac:dyDescent="0.25">
      <c r="A88" s="12" t="s">
        <v>0</v>
      </c>
      <c r="B88" s="13" t="s">
        <v>1</v>
      </c>
      <c r="C88" s="13" t="s">
        <v>762</v>
      </c>
      <c r="D88" s="14">
        <v>44098</v>
      </c>
      <c r="E88" s="14">
        <v>44098</v>
      </c>
      <c r="F88" s="14">
        <v>44103</v>
      </c>
      <c r="G88" s="13" t="s">
        <v>3</v>
      </c>
      <c r="H88" s="13" t="s">
        <v>4</v>
      </c>
      <c r="I88" s="15">
        <v>-99815.58</v>
      </c>
      <c r="J88" s="13" t="s">
        <v>5</v>
      </c>
      <c r="K88" s="13" t="s">
        <v>6</v>
      </c>
      <c r="L88" s="15">
        <v>-8379517.9400000004</v>
      </c>
      <c r="M88" s="15">
        <v>-99815.58</v>
      </c>
      <c r="N88" s="16" t="str">
        <f>IF(M88="","",IF(M88&lt;0,-M88&amp;"_"&amp;COUNTIF(M$2:M88,M88),M88&amp;"_"&amp;COUNTIF(M$2:M88,M88)))</f>
        <v>99815.58_1</v>
      </c>
      <c r="O88" s="17" t="str">
        <f t="shared" si="1"/>
        <v/>
      </c>
      <c r="P88" s="13" t="s">
        <v>763</v>
      </c>
      <c r="Q88" s="13" t="s">
        <v>761</v>
      </c>
      <c r="R88" s="13" t="s">
        <v>0</v>
      </c>
      <c r="S88" s="13" t="s">
        <v>0</v>
      </c>
      <c r="T88" s="13" t="s">
        <v>9</v>
      </c>
      <c r="U88" s="13" t="s">
        <v>0</v>
      </c>
      <c r="V88" s="13" t="s">
        <v>0</v>
      </c>
      <c r="W88" s="13" t="s">
        <v>0</v>
      </c>
      <c r="X88" s="13" t="s">
        <v>0</v>
      </c>
      <c r="Y88" s="13" t="s">
        <v>10</v>
      </c>
      <c r="Z88" s="13" t="s">
        <v>0</v>
      </c>
      <c r="AA88" s="14"/>
      <c r="AB88" s="13" t="s">
        <v>0</v>
      </c>
      <c r="AC88" s="13" t="s">
        <v>0</v>
      </c>
      <c r="AD88" s="13" t="s">
        <v>0</v>
      </c>
      <c r="AE88" s="15">
        <v>0</v>
      </c>
    </row>
    <row r="89" spans="1:31" ht="14.15" customHeight="1" x14ac:dyDescent="0.25">
      <c r="A89" s="12" t="s">
        <v>0</v>
      </c>
      <c r="B89" s="13" t="s">
        <v>1</v>
      </c>
      <c r="C89" s="13" t="s">
        <v>2346</v>
      </c>
      <c r="D89" s="14">
        <v>44224</v>
      </c>
      <c r="E89" s="14">
        <v>44224</v>
      </c>
      <c r="F89" s="14">
        <v>44228</v>
      </c>
      <c r="G89" s="13" t="s">
        <v>3</v>
      </c>
      <c r="H89" s="13" t="s">
        <v>4</v>
      </c>
      <c r="I89" s="15">
        <v>-99646.71</v>
      </c>
      <c r="J89" s="13" t="s">
        <v>5</v>
      </c>
      <c r="K89" s="13" t="s">
        <v>6</v>
      </c>
      <c r="L89" s="15">
        <v>-8365341.2999999998</v>
      </c>
      <c r="M89" s="15">
        <v>-99646.71</v>
      </c>
      <c r="N89" s="16" t="str">
        <f>IF(M89="","",IF(M89&lt;0,-M89&amp;"_"&amp;COUNTIF(M$2:M89,M89),M89&amp;"_"&amp;COUNTIF(M$2:M89,M89)))</f>
        <v>99646.71_1</v>
      </c>
      <c r="O89" s="17" t="str">
        <f t="shared" si="1"/>
        <v/>
      </c>
      <c r="P89" s="13" t="s">
        <v>2347</v>
      </c>
      <c r="Q89" s="13" t="s">
        <v>2345</v>
      </c>
      <c r="R89" s="13" t="s">
        <v>0</v>
      </c>
      <c r="S89" s="13" t="s">
        <v>0</v>
      </c>
      <c r="T89" s="13" t="s">
        <v>9</v>
      </c>
      <c r="U89" s="13" t="s">
        <v>0</v>
      </c>
      <c r="V89" s="13" t="s">
        <v>0</v>
      </c>
      <c r="W89" s="13" t="s">
        <v>0</v>
      </c>
      <c r="X89" s="13" t="s">
        <v>0</v>
      </c>
      <c r="Y89" s="13" t="s">
        <v>10</v>
      </c>
      <c r="Z89" s="13" t="s">
        <v>0</v>
      </c>
      <c r="AA89" s="14"/>
      <c r="AB89" s="13" t="s">
        <v>0</v>
      </c>
      <c r="AC89" s="13" t="s">
        <v>0</v>
      </c>
      <c r="AD89" s="13" t="s">
        <v>0</v>
      </c>
      <c r="AE89" s="15">
        <v>0</v>
      </c>
    </row>
    <row r="90" spans="1:31" ht="14.15" customHeight="1" x14ac:dyDescent="0.25">
      <c r="A90" s="12" t="s">
        <v>0</v>
      </c>
      <c r="B90" s="13" t="s">
        <v>1</v>
      </c>
      <c r="C90" s="13" t="s">
        <v>1542</v>
      </c>
      <c r="D90" s="14">
        <v>44165</v>
      </c>
      <c r="E90" s="14">
        <v>44165</v>
      </c>
      <c r="F90" s="14">
        <v>44170</v>
      </c>
      <c r="G90" s="13" t="s">
        <v>3</v>
      </c>
      <c r="H90" s="13" t="s">
        <v>4</v>
      </c>
      <c r="I90" s="15">
        <v>-98994.82</v>
      </c>
      <c r="J90" s="13" t="s">
        <v>5</v>
      </c>
      <c r="K90" s="13" t="s">
        <v>6</v>
      </c>
      <c r="L90" s="15">
        <v>-8310615.1399999997</v>
      </c>
      <c r="M90" s="15">
        <v>-98994.82</v>
      </c>
      <c r="N90" s="16" t="str">
        <f>IF(M90="","",IF(M90&lt;0,-M90&amp;"_"&amp;COUNTIF(M$2:M90,M90),M90&amp;"_"&amp;COUNTIF(M$2:M90,M90)))</f>
        <v>98994.82_1</v>
      </c>
      <c r="O90" s="17" t="str">
        <f t="shared" si="1"/>
        <v/>
      </c>
      <c r="P90" s="13" t="s">
        <v>1543</v>
      </c>
      <c r="Q90" s="13" t="s">
        <v>1541</v>
      </c>
      <c r="R90" s="13" t="s">
        <v>0</v>
      </c>
      <c r="S90" s="13" t="s">
        <v>0</v>
      </c>
      <c r="T90" s="13" t="s">
        <v>9</v>
      </c>
      <c r="U90" s="13" t="s">
        <v>0</v>
      </c>
      <c r="V90" s="13" t="s">
        <v>0</v>
      </c>
      <c r="W90" s="13" t="s">
        <v>0</v>
      </c>
      <c r="X90" s="13" t="s">
        <v>0</v>
      </c>
      <c r="Y90" s="13" t="s">
        <v>10</v>
      </c>
      <c r="Z90" s="13" t="s">
        <v>0</v>
      </c>
      <c r="AA90" s="14"/>
      <c r="AB90" s="13" t="s">
        <v>0</v>
      </c>
      <c r="AC90" s="13" t="s">
        <v>0</v>
      </c>
      <c r="AD90" s="13" t="s">
        <v>0</v>
      </c>
      <c r="AE90" s="15">
        <v>0</v>
      </c>
    </row>
    <row r="91" spans="1:31" ht="14.15" customHeight="1" x14ac:dyDescent="0.25">
      <c r="A91" s="12" t="s">
        <v>0</v>
      </c>
      <c r="B91" s="13" t="s">
        <v>1</v>
      </c>
      <c r="C91" s="13" t="s">
        <v>3393</v>
      </c>
      <c r="D91" s="14">
        <v>44317</v>
      </c>
      <c r="E91" s="14">
        <v>44317</v>
      </c>
      <c r="F91" s="14">
        <v>44322</v>
      </c>
      <c r="G91" s="13" t="s">
        <v>3</v>
      </c>
      <c r="H91" s="13" t="s">
        <v>4</v>
      </c>
      <c r="I91" s="15">
        <v>-98891.59</v>
      </c>
      <c r="J91" s="13" t="s">
        <v>5</v>
      </c>
      <c r="K91" s="13" t="s">
        <v>6</v>
      </c>
      <c r="L91" s="15">
        <v>-8301948.9800000004</v>
      </c>
      <c r="M91" s="15">
        <v>-98891.59</v>
      </c>
      <c r="N91" s="16" t="str">
        <f>IF(M91="","",IF(M91&lt;0,-M91&amp;"_"&amp;COUNTIF(M$2:M91,M91),M91&amp;"_"&amp;COUNTIF(M$2:M91,M91)))</f>
        <v>98891.59_1</v>
      </c>
      <c r="O91" s="17" t="str">
        <f t="shared" si="1"/>
        <v/>
      </c>
      <c r="P91" s="13" t="s">
        <v>3394</v>
      </c>
      <c r="Q91" s="13" t="s">
        <v>3392</v>
      </c>
      <c r="R91" s="13" t="s">
        <v>0</v>
      </c>
      <c r="S91" s="13" t="s">
        <v>0</v>
      </c>
      <c r="T91" s="13" t="s">
        <v>9</v>
      </c>
      <c r="U91" s="13" t="s">
        <v>0</v>
      </c>
      <c r="V91" s="13" t="s">
        <v>0</v>
      </c>
      <c r="W91" s="13" t="s">
        <v>0</v>
      </c>
      <c r="X91" s="13" t="s">
        <v>0</v>
      </c>
      <c r="Y91" s="13" t="s">
        <v>10</v>
      </c>
      <c r="Z91" s="13" t="s">
        <v>0</v>
      </c>
      <c r="AA91" s="14"/>
      <c r="AB91" s="13" t="s">
        <v>0</v>
      </c>
      <c r="AC91" s="13" t="s">
        <v>0</v>
      </c>
      <c r="AD91" s="13" t="s">
        <v>0</v>
      </c>
      <c r="AE91" s="15">
        <v>0</v>
      </c>
    </row>
    <row r="92" spans="1:31" ht="14.15" customHeight="1" x14ac:dyDescent="0.25">
      <c r="A92" s="12" t="s">
        <v>0</v>
      </c>
      <c r="B92" s="13" t="s">
        <v>1</v>
      </c>
      <c r="C92" s="13" t="s">
        <v>2352</v>
      </c>
      <c r="D92" s="14">
        <v>44224</v>
      </c>
      <c r="E92" s="14">
        <v>44224</v>
      </c>
      <c r="F92" s="14">
        <v>44229</v>
      </c>
      <c r="G92" s="13" t="s">
        <v>3</v>
      </c>
      <c r="H92" s="13" t="s">
        <v>4</v>
      </c>
      <c r="I92" s="15">
        <v>-98346.82</v>
      </c>
      <c r="J92" s="13" t="s">
        <v>5</v>
      </c>
      <c r="K92" s="13" t="s">
        <v>6</v>
      </c>
      <c r="L92" s="15">
        <v>-8256215.5300000003</v>
      </c>
      <c r="M92" s="15">
        <v>-98346.82</v>
      </c>
      <c r="N92" s="16" t="str">
        <f>IF(M92="","",IF(M92&lt;0,-M92&amp;"_"&amp;COUNTIF(M$2:M92,M92),M92&amp;"_"&amp;COUNTIF(M$2:M92,M92)))</f>
        <v>98346.82_1</v>
      </c>
      <c r="O92" s="17" t="str">
        <f t="shared" si="1"/>
        <v/>
      </c>
      <c r="P92" s="13" t="s">
        <v>2353</v>
      </c>
      <c r="Q92" s="13" t="s">
        <v>2345</v>
      </c>
      <c r="R92" s="13" t="s">
        <v>0</v>
      </c>
      <c r="S92" s="13" t="s">
        <v>0</v>
      </c>
      <c r="T92" s="13" t="s">
        <v>9</v>
      </c>
      <c r="U92" s="13" t="s">
        <v>0</v>
      </c>
      <c r="V92" s="13" t="s">
        <v>0</v>
      </c>
      <c r="W92" s="13" t="s">
        <v>0</v>
      </c>
      <c r="X92" s="13" t="s">
        <v>0</v>
      </c>
      <c r="Y92" s="13" t="s">
        <v>10</v>
      </c>
      <c r="Z92" s="13" t="s">
        <v>0</v>
      </c>
      <c r="AA92" s="14"/>
      <c r="AB92" s="13" t="s">
        <v>0</v>
      </c>
      <c r="AC92" s="13" t="s">
        <v>0</v>
      </c>
      <c r="AD92" s="13" t="s">
        <v>0</v>
      </c>
      <c r="AE92" s="15">
        <v>0</v>
      </c>
    </row>
    <row r="93" spans="1:31" ht="14.15" customHeight="1" x14ac:dyDescent="0.25">
      <c r="A93" s="12" t="s">
        <v>0</v>
      </c>
      <c r="B93" s="13" t="s">
        <v>1</v>
      </c>
      <c r="C93" s="13" t="s">
        <v>2352</v>
      </c>
      <c r="D93" s="14">
        <v>44224</v>
      </c>
      <c r="E93" s="14">
        <v>44224</v>
      </c>
      <c r="F93" s="14">
        <v>44229</v>
      </c>
      <c r="G93" s="13" t="s">
        <v>3</v>
      </c>
      <c r="H93" s="13" t="s">
        <v>4</v>
      </c>
      <c r="I93" s="15">
        <v>-98247.49</v>
      </c>
      <c r="J93" s="13" t="s">
        <v>5</v>
      </c>
      <c r="K93" s="13" t="s">
        <v>6</v>
      </c>
      <c r="L93" s="15">
        <v>-8247876.79</v>
      </c>
      <c r="M93" s="15">
        <v>-98247.49</v>
      </c>
      <c r="N93" s="16" t="str">
        <f>IF(M93="","",IF(M93&lt;0,-M93&amp;"_"&amp;COUNTIF(M$2:M93,M93),M93&amp;"_"&amp;COUNTIF(M$2:M93,M93)))</f>
        <v>98247.49_1</v>
      </c>
      <c r="O93" s="17" t="str">
        <f t="shared" si="1"/>
        <v/>
      </c>
      <c r="P93" s="13" t="s">
        <v>2353</v>
      </c>
      <c r="Q93" s="13" t="s">
        <v>2345</v>
      </c>
      <c r="R93" s="13" t="s">
        <v>0</v>
      </c>
      <c r="S93" s="13" t="s">
        <v>0</v>
      </c>
      <c r="T93" s="13" t="s">
        <v>9</v>
      </c>
      <c r="U93" s="13" t="s">
        <v>0</v>
      </c>
      <c r="V93" s="13" t="s">
        <v>0</v>
      </c>
      <c r="W93" s="13" t="s">
        <v>0</v>
      </c>
      <c r="X93" s="13" t="s">
        <v>0</v>
      </c>
      <c r="Y93" s="13" t="s">
        <v>10</v>
      </c>
      <c r="Z93" s="13" t="s">
        <v>0</v>
      </c>
      <c r="AA93" s="14"/>
      <c r="AB93" s="13" t="s">
        <v>0</v>
      </c>
      <c r="AC93" s="13" t="s">
        <v>0</v>
      </c>
      <c r="AD93" s="13" t="s">
        <v>0</v>
      </c>
      <c r="AE93" s="15">
        <v>0</v>
      </c>
    </row>
    <row r="94" spans="1:31" ht="14.15" customHeight="1" x14ac:dyDescent="0.25">
      <c r="A94" s="12" t="s">
        <v>0</v>
      </c>
      <c r="B94" s="13" t="s">
        <v>1</v>
      </c>
      <c r="C94" s="13" t="s">
        <v>2346</v>
      </c>
      <c r="D94" s="14">
        <v>44224</v>
      </c>
      <c r="E94" s="14">
        <v>44224</v>
      </c>
      <c r="F94" s="14">
        <v>44228</v>
      </c>
      <c r="G94" s="13" t="s">
        <v>3</v>
      </c>
      <c r="H94" s="13" t="s">
        <v>4</v>
      </c>
      <c r="I94" s="15">
        <v>-98034.59</v>
      </c>
      <c r="J94" s="13" t="s">
        <v>5</v>
      </c>
      <c r="K94" s="13" t="s">
        <v>6</v>
      </c>
      <c r="L94" s="15">
        <v>-8230003.8300000001</v>
      </c>
      <c r="M94" s="15">
        <v>-98034.59</v>
      </c>
      <c r="N94" s="16" t="str">
        <f>IF(M94="","",IF(M94&lt;0,-M94&amp;"_"&amp;COUNTIF(M$2:M94,M94),M94&amp;"_"&amp;COUNTIF(M$2:M94,M94)))</f>
        <v>98034.59_1</v>
      </c>
      <c r="O94" s="17" t="str">
        <f t="shared" si="1"/>
        <v/>
      </c>
      <c r="P94" s="13" t="s">
        <v>2347</v>
      </c>
      <c r="Q94" s="13" t="s">
        <v>2345</v>
      </c>
      <c r="R94" s="13" t="s">
        <v>0</v>
      </c>
      <c r="S94" s="13" t="s">
        <v>0</v>
      </c>
      <c r="T94" s="13" t="s">
        <v>9</v>
      </c>
      <c r="U94" s="13" t="s">
        <v>0</v>
      </c>
      <c r="V94" s="13" t="s">
        <v>0</v>
      </c>
      <c r="W94" s="13" t="s">
        <v>0</v>
      </c>
      <c r="X94" s="13" t="s">
        <v>0</v>
      </c>
      <c r="Y94" s="13" t="s">
        <v>10</v>
      </c>
      <c r="Z94" s="13" t="s">
        <v>0</v>
      </c>
      <c r="AA94" s="14"/>
      <c r="AB94" s="13" t="s">
        <v>0</v>
      </c>
      <c r="AC94" s="13" t="s">
        <v>0</v>
      </c>
      <c r="AD94" s="13" t="s">
        <v>0</v>
      </c>
      <c r="AE94" s="15">
        <v>0</v>
      </c>
    </row>
    <row r="95" spans="1:31" ht="14.15" customHeight="1" x14ac:dyDescent="0.25">
      <c r="A95" s="12" t="s">
        <v>0</v>
      </c>
      <c r="B95" s="13" t="s">
        <v>1</v>
      </c>
      <c r="C95" s="13" t="s">
        <v>3599</v>
      </c>
      <c r="D95" s="14">
        <v>44328</v>
      </c>
      <c r="E95" s="14">
        <v>44328</v>
      </c>
      <c r="F95" s="14">
        <v>44336</v>
      </c>
      <c r="G95" s="13" t="s">
        <v>3</v>
      </c>
      <c r="H95" s="13" t="s">
        <v>4</v>
      </c>
      <c r="I95" s="15">
        <v>-97866.21</v>
      </c>
      <c r="J95" s="13" t="s">
        <v>5</v>
      </c>
      <c r="K95" s="13" t="s">
        <v>6</v>
      </c>
      <c r="L95" s="15">
        <v>-8215868.3300000001</v>
      </c>
      <c r="M95" s="15">
        <v>-97866.21</v>
      </c>
      <c r="N95" s="16" t="str">
        <f>IF(M95="","",IF(M95&lt;0,-M95&amp;"_"&amp;COUNTIF(M$2:M95,M95),M95&amp;"_"&amp;COUNTIF(M$2:M95,M95)))</f>
        <v>97866.21_1</v>
      </c>
      <c r="O95" s="17" t="str">
        <f t="shared" si="1"/>
        <v/>
      </c>
      <c r="P95" s="13" t="s">
        <v>3600</v>
      </c>
      <c r="Q95" s="13" t="s">
        <v>3590</v>
      </c>
      <c r="R95" s="13" t="s">
        <v>0</v>
      </c>
      <c r="S95" s="13" t="s">
        <v>0</v>
      </c>
      <c r="T95" s="13" t="s">
        <v>9</v>
      </c>
      <c r="U95" s="13" t="s">
        <v>0</v>
      </c>
      <c r="V95" s="13" t="s">
        <v>0</v>
      </c>
      <c r="W95" s="13" t="s">
        <v>0</v>
      </c>
      <c r="X95" s="13" t="s">
        <v>0</v>
      </c>
      <c r="Y95" s="13" t="s">
        <v>10</v>
      </c>
      <c r="Z95" s="13" t="s">
        <v>0</v>
      </c>
      <c r="AA95" s="14"/>
      <c r="AB95" s="13" t="s">
        <v>0</v>
      </c>
      <c r="AC95" s="13" t="s">
        <v>0</v>
      </c>
      <c r="AD95" s="13" t="s">
        <v>0</v>
      </c>
      <c r="AE95" s="15">
        <v>0</v>
      </c>
    </row>
    <row r="96" spans="1:31" ht="14.15" customHeight="1" x14ac:dyDescent="0.25">
      <c r="A96" s="12" t="s">
        <v>0</v>
      </c>
      <c r="B96" s="13" t="s">
        <v>1</v>
      </c>
      <c r="C96" s="13" t="s">
        <v>1301</v>
      </c>
      <c r="D96" s="14">
        <v>44146</v>
      </c>
      <c r="E96" s="14">
        <v>44146</v>
      </c>
      <c r="F96" s="14">
        <v>44153</v>
      </c>
      <c r="G96" s="13" t="s">
        <v>3</v>
      </c>
      <c r="H96" s="13" t="s">
        <v>4</v>
      </c>
      <c r="I96" s="15">
        <v>-96346.15</v>
      </c>
      <c r="J96" s="13" t="s">
        <v>5</v>
      </c>
      <c r="K96" s="13" t="s">
        <v>6</v>
      </c>
      <c r="L96" s="15">
        <v>-8088259.29</v>
      </c>
      <c r="M96" s="15">
        <v>-96346.15</v>
      </c>
      <c r="N96" s="16" t="str">
        <f>IF(M96="","",IF(M96&lt;0,-M96&amp;"_"&amp;COUNTIF(M$2:M96,M96),M96&amp;"_"&amp;COUNTIF(M$2:M96,M96)))</f>
        <v>96346.15_1</v>
      </c>
      <c r="O96" s="17" t="str">
        <f t="shared" si="1"/>
        <v/>
      </c>
      <c r="P96" s="13" t="s">
        <v>1302</v>
      </c>
      <c r="Q96" s="13" t="s">
        <v>1282</v>
      </c>
      <c r="R96" s="13" t="s">
        <v>0</v>
      </c>
      <c r="S96" s="13" t="s">
        <v>0</v>
      </c>
      <c r="T96" s="13" t="s">
        <v>9</v>
      </c>
      <c r="U96" s="13" t="s">
        <v>0</v>
      </c>
      <c r="V96" s="13" t="s">
        <v>0</v>
      </c>
      <c r="W96" s="13" t="s">
        <v>0</v>
      </c>
      <c r="X96" s="13" t="s">
        <v>0</v>
      </c>
      <c r="Y96" s="13" t="s">
        <v>10</v>
      </c>
      <c r="Z96" s="13" t="s">
        <v>0</v>
      </c>
      <c r="AA96" s="14"/>
      <c r="AB96" s="13" t="s">
        <v>0</v>
      </c>
      <c r="AC96" s="13" t="s">
        <v>0</v>
      </c>
      <c r="AD96" s="13" t="s">
        <v>0</v>
      </c>
      <c r="AE96" s="15">
        <v>0</v>
      </c>
    </row>
    <row r="97" spans="1:31" ht="14.15" customHeight="1" x14ac:dyDescent="0.25">
      <c r="A97" s="12" t="s">
        <v>0</v>
      </c>
      <c r="B97" s="13" t="s">
        <v>1</v>
      </c>
      <c r="C97" s="13" t="s">
        <v>2356</v>
      </c>
      <c r="D97" s="14">
        <v>44224</v>
      </c>
      <c r="E97" s="14">
        <v>44224</v>
      </c>
      <c r="F97" s="14">
        <v>44231</v>
      </c>
      <c r="G97" s="13" t="s">
        <v>3</v>
      </c>
      <c r="H97" s="13" t="s">
        <v>4</v>
      </c>
      <c r="I97" s="15">
        <v>-95818.39</v>
      </c>
      <c r="J97" s="13" t="s">
        <v>5</v>
      </c>
      <c r="K97" s="13" t="s">
        <v>6</v>
      </c>
      <c r="L97" s="15">
        <v>-8043953.8399999999</v>
      </c>
      <c r="M97" s="15">
        <v>-95818.39</v>
      </c>
      <c r="N97" s="16" t="str">
        <f>IF(M97="","",IF(M97&lt;0,-M97&amp;"_"&amp;COUNTIF(M$2:M97,M97),M97&amp;"_"&amp;COUNTIF(M$2:M97,M97)))</f>
        <v>95818.39_1</v>
      </c>
      <c r="O97" s="17" t="str">
        <f t="shared" si="1"/>
        <v/>
      </c>
      <c r="P97" s="13" t="s">
        <v>2357</v>
      </c>
      <c r="Q97" s="13" t="s">
        <v>2345</v>
      </c>
      <c r="R97" s="13" t="s">
        <v>0</v>
      </c>
      <c r="S97" s="13" t="s">
        <v>0</v>
      </c>
      <c r="T97" s="13" t="s">
        <v>9</v>
      </c>
      <c r="U97" s="13" t="s">
        <v>0</v>
      </c>
      <c r="V97" s="13" t="s">
        <v>0</v>
      </c>
      <c r="W97" s="13" t="s">
        <v>0</v>
      </c>
      <c r="X97" s="13" t="s">
        <v>0</v>
      </c>
      <c r="Y97" s="13" t="s">
        <v>10</v>
      </c>
      <c r="Z97" s="13" t="s">
        <v>0</v>
      </c>
      <c r="AA97" s="14"/>
      <c r="AB97" s="13" t="s">
        <v>0</v>
      </c>
      <c r="AC97" s="13" t="s">
        <v>0</v>
      </c>
      <c r="AD97" s="13" t="s">
        <v>0</v>
      </c>
      <c r="AE97" s="15">
        <v>0</v>
      </c>
    </row>
    <row r="98" spans="1:31" ht="14.15" customHeight="1" x14ac:dyDescent="0.25">
      <c r="A98" s="12" t="s">
        <v>0</v>
      </c>
      <c r="B98" s="13" t="s">
        <v>1</v>
      </c>
      <c r="C98" s="13" t="s">
        <v>2550</v>
      </c>
      <c r="D98" s="14">
        <v>44239</v>
      </c>
      <c r="E98" s="14">
        <v>44239</v>
      </c>
      <c r="F98" s="14">
        <v>44243</v>
      </c>
      <c r="G98" s="13" t="s">
        <v>3</v>
      </c>
      <c r="H98" s="13" t="s">
        <v>4</v>
      </c>
      <c r="I98" s="15">
        <v>-95253.59</v>
      </c>
      <c r="J98" s="13" t="s">
        <v>5</v>
      </c>
      <c r="K98" s="13" t="s">
        <v>6</v>
      </c>
      <c r="L98" s="15">
        <v>-7996538.8799999999</v>
      </c>
      <c r="M98" s="15">
        <v>-95253.59</v>
      </c>
      <c r="N98" s="16" t="str">
        <f>IF(M98="","",IF(M98&lt;0,-M98&amp;"_"&amp;COUNTIF(M$2:M98,M98),M98&amp;"_"&amp;COUNTIF(M$2:M98,M98)))</f>
        <v>95253.59_1</v>
      </c>
      <c r="O98" s="17" t="str">
        <f t="shared" si="1"/>
        <v/>
      </c>
      <c r="P98" s="13" t="s">
        <v>2551</v>
      </c>
      <c r="Q98" s="13" t="s">
        <v>2549</v>
      </c>
      <c r="R98" s="13" t="s">
        <v>0</v>
      </c>
      <c r="S98" s="13" t="s">
        <v>0</v>
      </c>
      <c r="T98" s="13" t="s">
        <v>9</v>
      </c>
      <c r="U98" s="13" t="s">
        <v>0</v>
      </c>
      <c r="V98" s="13" t="s">
        <v>0</v>
      </c>
      <c r="W98" s="13" t="s">
        <v>0</v>
      </c>
      <c r="X98" s="13" t="s">
        <v>0</v>
      </c>
      <c r="Y98" s="13" t="s">
        <v>10</v>
      </c>
      <c r="Z98" s="13" t="s">
        <v>0</v>
      </c>
      <c r="AA98" s="14"/>
      <c r="AB98" s="13" t="s">
        <v>0</v>
      </c>
      <c r="AC98" s="13" t="s">
        <v>0</v>
      </c>
      <c r="AD98" s="13" t="s">
        <v>0</v>
      </c>
      <c r="AE98" s="15">
        <v>0</v>
      </c>
    </row>
    <row r="99" spans="1:31" ht="14.15" customHeight="1" x14ac:dyDescent="0.25">
      <c r="A99" s="12" t="s">
        <v>0</v>
      </c>
      <c r="B99" s="13" t="s">
        <v>1</v>
      </c>
      <c r="C99" s="13" t="s">
        <v>2356</v>
      </c>
      <c r="D99" s="14">
        <v>44224</v>
      </c>
      <c r="E99" s="14">
        <v>44224</v>
      </c>
      <c r="F99" s="14">
        <v>44231</v>
      </c>
      <c r="G99" s="13" t="s">
        <v>3</v>
      </c>
      <c r="H99" s="13" t="s">
        <v>4</v>
      </c>
      <c r="I99" s="15">
        <v>-95114.04</v>
      </c>
      <c r="J99" s="13" t="s">
        <v>5</v>
      </c>
      <c r="K99" s="13" t="s">
        <v>6</v>
      </c>
      <c r="L99" s="15">
        <v>-7984823.6600000001</v>
      </c>
      <c r="M99" s="15">
        <v>-95114.04</v>
      </c>
      <c r="N99" s="16" t="str">
        <f>IF(M99="","",IF(M99&lt;0,-M99&amp;"_"&amp;COUNTIF(M$2:M99,M99),M99&amp;"_"&amp;COUNTIF(M$2:M99,M99)))</f>
        <v>95114.04_1</v>
      </c>
      <c r="O99" s="17" t="str">
        <f t="shared" si="1"/>
        <v/>
      </c>
      <c r="P99" s="13" t="s">
        <v>2357</v>
      </c>
      <c r="Q99" s="13" t="s">
        <v>2345</v>
      </c>
      <c r="R99" s="13" t="s">
        <v>0</v>
      </c>
      <c r="S99" s="13" t="s">
        <v>0</v>
      </c>
      <c r="T99" s="13" t="s">
        <v>9</v>
      </c>
      <c r="U99" s="13" t="s">
        <v>0</v>
      </c>
      <c r="V99" s="13" t="s">
        <v>0</v>
      </c>
      <c r="W99" s="13" t="s">
        <v>0</v>
      </c>
      <c r="X99" s="13" t="s">
        <v>0</v>
      </c>
      <c r="Y99" s="13" t="s">
        <v>10</v>
      </c>
      <c r="Z99" s="13" t="s">
        <v>0</v>
      </c>
      <c r="AA99" s="14"/>
      <c r="AB99" s="13" t="s">
        <v>0</v>
      </c>
      <c r="AC99" s="13" t="s">
        <v>0</v>
      </c>
      <c r="AD99" s="13" t="s">
        <v>0</v>
      </c>
      <c r="AE99" s="15">
        <v>0</v>
      </c>
    </row>
    <row r="100" spans="1:31" ht="14.15" customHeight="1" x14ac:dyDescent="0.25">
      <c r="A100" s="12" t="s">
        <v>0</v>
      </c>
      <c r="B100" s="13" t="s">
        <v>1</v>
      </c>
      <c r="C100" s="13" t="s">
        <v>1039</v>
      </c>
      <c r="D100" s="14">
        <v>44131</v>
      </c>
      <c r="E100" s="14">
        <v>44131</v>
      </c>
      <c r="F100" s="14">
        <v>44136</v>
      </c>
      <c r="G100" s="13" t="s">
        <v>3</v>
      </c>
      <c r="H100" s="13" t="s">
        <v>4</v>
      </c>
      <c r="I100" s="15">
        <v>-94871.88</v>
      </c>
      <c r="J100" s="13" t="s">
        <v>5</v>
      </c>
      <c r="K100" s="13" t="s">
        <v>6</v>
      </c>
      <c r="L100" s="15">
        <v>-7964494.3300000001</v>
      </c>
      <c r="M100" s="15">
        <v>-94871.88</v>
      </c>
      <c r="N100" s="16" t="str">
        <f>IF(M100="","",IF(M100&lt;0,-M100&amp;"_"&amp;COUNTIF(M$2:M100,M100),M100&amp;"_"&amp;COUNTIF(M$2:M100,M100)))</f>
        <v>94871.88_1</v>
      </c>
      <c r="O100" s="17" t="str">
        <f t="shared" si="1"/>
        <v/>
      </c>
      <c r="P100" s="13" t="s">
        <v>1040</v>
      </c>
      <c r="Q100" s="13" t="s">
        <v>1041</v>
      </c>
      <c r="R100" s="13" t="s">
        <v>0</v>
      </c>
      <c r="S100" s="13" t="s">
        <v>0</v>
      </c>
      <c r="T100" s="13" t="s">
        <v>9</v>
      </c>
      <c r="U100" s="13" t="s">
        <v>0</v>
      </c>
      <c r="V100" s="13" t="s">
        <v>0</v>
      </c>
      <c r="W100" s="13" t="s">
        <v>0</v>
      </c>
      <c r="X100" s="13" t="s">
        <v>0</v>
      </c>
      <c r="Y100" s="13" t="s">
        <v>10</v>
      </c>
      <c r="Z100" s="13" t="s">
        <v>0</v>
      </c>
      <c r="AA100" s="14"/>
      <c r="AB100" s="13" t="s">
        <v>0</v>
      </c>
      <c r="AC100" s="13" t="s">
        <v>0</v>
      </c>
      <c r="AD100" s="13" t="s">
        <v>0</v>
      </c>
      <c r="AE100" s="15">
        <v>0</v>
      </c>
    </row>
    <row r="101" spans="1:31" ht="14.15" customHeight="1" x14ac:dyDescent="0.25">
      <c r="A101" s="12" t="s">
        <v>0</v>
      </c>
      <c r="B101" s="13" t="s">
        <v>289</v>
      </c>
      <c r="C101" s="13" t="s">
        <v>1094</v>
      </c>
      <c r="D101" s="14">
        <v>44135</v>
      </c>
      <c r="E101" s="14">
        <v>44135</v>
      </c>
      <c r="F101" s="14">
        <v>44143</v>
      </c>
      <c r="G101" s="13" t="s">
        <v>48</v>
      </c>
      <c r="H101" s="13" t="s">
        <v>4</v>
      </c>
      <c r="I101" s="15">
        <v>-94740.41</v>
      </c>
      <c r="J101" s="13" t="s">
        <v>5</v>
      </c>
      <c r="K101" s="13" t="s">
        <v>6</v>
      </c>
      <c r="L101" s="15">
        <v>-7953457.4199999999</v>
      </c>
      <c r="M101" s="15">
        <v>-94740.41</v>
      </c>
      <c r="N101" s="16" t="str">
        <f>IF(M101="","",IF(M101&lt;0,-M101&amp;"_"&amp;COUNTIF(M$2:M101,M101),M101&amp;"_"&amp;COUNTIF(M$2:M101,M101)))</f>
        <v>94740.41_1</v>
      </c>
      <c r="O101" s="17" t="str">
        <f t="shared" si="1"/>
        <v/>
      </c>
      <c r="P101" s="13" t="s">
        <v>1095</v>
      </c>
      <c r="Q101" s="13" t="s">
        <v>1095</v>
      </c>
      <c r="R101" s="13" t="s">
        <v>294</v>
      </c>
      <c r="S101" s="13" t="s">
        <v>0</v>
      </c>
      <c r="T101" s="13" t="s">
        <v>9</v>
      </c>
      <c r="U101" s="13" t="s">
        <v>295</v>
      </c>
      <c r="V101" s="13" t="s">
        <v>0</v>
      </c>
      <c r="W101" s="13" t="s">
        <v>0</v>
      </c>
      <c r="X101" s="13" t="s">
        <v>0</v>
      </c>
      <c r="Y101" s="13" t="s">
        <v>291</v>
      </c>
      <c r="Z101" s="13" t="s">
        <v>0</v>
      </c>
      <c r="AA101" s="14"/>
      <c r="AB101" s="13" t="s">
        <v>0</v>
      </c>
      <c r="AC101" s="13" t="s">
        <v>0</v>
      </c>
      <c r="AD101" s="13" t="s">
        <v>0</v>
      </c>
      <c r="AE101" s="15">
        <v>0</v>
      </c>
    </row>
    <row r="102" spans="1:31" ht="14.15" customHeight="1" x14ac:dyDescent="0.25">
      <c r="A102" s="12" t="s">
        <v>0</v>
      </c>
      <c r="B102" s="13" t="s">
        <v>1</v>
      </c>
      <c r="C102" s="13" t="s">
        <v>4101</v>
      </c>
      <c r="D102" s="14">
        <v>44362</v>
      </c>
      <c r="E102" s="14">
        <v>44362</v>
      </c>
      <c r="F102" s="14">
        <v>44367</v>
      </c>
      <c r="G102" s="13" t="s">
        <v>3</v>
      </c>
      <c r="H102" s="13" t="s">
        <v>4</v>
      </c>
      <c r="I102" s="15">
        <v>-94676.160000000003</v>
      </c>
      <c r="J102" s="13" t="s">
        <v>5</v>
      </c>
      <c r="K102" s="13" t="s">
        <v>6</v>
      </c>
      <c r="L102" s="15">
        <v>-7948063.6299999999</v>
      </c>
      <c r="M102" s="15">
        <v>-94676.160000000003</v>
      </c>
      <c r="N102" s="16" t="str">
        <f>IF(M102="","",IF(M102&lt;0,-M102&amp;"_"&amp;COUNTIF(M$2:M102,M102),M102&amp;"_"&amp;COUNTIF(M$2:M102,M102)))</f>
        <v>94676.16_1</v>
      </c>
      <c r="O102" s="17" t="str">
        <f t="shared" si="1"/>
        <v/>
      </c>
      <c r="P102" s="13" t="s">
        <v>4102</v>
      </c>
      <c r="Q102" s="13" t="s">
        <v>4100</v>
      </c>
      <c r="R102" s="13" t="s">
        <v>0</v>
      </c>
      <c r="S102" s="13" t="s">
        <v>0</v>
      </c>
      <c r="T102" s="13" t="s">
        <v>9</v>
      </c>
      <c r="U102" s="13" t="s">
        <v>0</v>
      </c>
      <c r="V102" s="13" t="s">
        <v>0</v>
      </c>
      <c r="W102" s="13" t="s">
        <v>0</v>
      </c>
      <c r="X102" s="13" t="s">
        <v>0</v>
      </c>
      <c r="Y102" s="13" t="s">
        <v>10</v>
      </c>
      <c r="Z102" s="13" t="s">
        <v>0</v>
      </c>
      <c r="AA102" s="14"/>
      <c r="AB102" s="13" t="s">
        <v>0</v>
      </c>
      <c r="AC102" s="13" t="s">
        <v>0</v>
      </c>
      <c r="AD102" s="13" t="s">
        <v>0</v>
      </c>
      <c r="AE102" s="15">
        <v>0</v>
      </c>
    </row>
    <row r="103" spans="1:31" ht="14.15" customHeight="1" x14ac:dyDescent="0.25">
      <c r="A103" s="12" t="s">
        <v>0</v>
      </c>
      <c r="B103" s="13" t="s">
        <v>1</v>
      </c>
      <c r="C103" s="13" t="s">
        <v>1952</v>
      </c>
      <c r="D103" s="14">
        <v>44194</v>
      </c>
      <c r="E103" s="14">
        <v>44194</v>
      </c>
      <c r="F103" s="14">
        <v>44199</v>
      </c>
      <c r="G103" s="13" t="s">
        <v>3</v>
      </c>
      <c r="H103" s="13" t="s">
        <v>4</v>
      </c>
      <c r="I103" s="15">
        <v>-94458.66</v>
      </c>
      <c r="J103" s="13" t="s">
        <v>5</v>
      </c>
      <c r="K103" s="13" t="s">
        <v>6</v>
      </c>
      <c r="L103" s="15">
        <v>-7929804.5099999998</v>
      </c>
      <c r="M103" s="15">
        <v>-94458.66</v>
      </c>
      <c r="N103" s="16" t="str">
        <f>IF(M103="","",IF(M103&lt;0,-M103&amp;"_"&amp;COUNTIF(M$2:M103,M103),M103&amp;"_"&amp;COUNTIF(M$2:M103,M103)))</f>
        <v>94458.66_1</v>
      </c>
      <c r="O103" s="17" t="str">
        <f t="shared" si="1"/>
        <v/>
      </c>
      <c r="P103" s="13" t="s">
        <v>1953</v>
      </c>
      <c r="Q103" s="13" t="s">
        <v>1949</v>
      </c>
      <c r="R103" s="13" t="s">
        <v>0</v>
      </c>
      <c r="S103" s="13" t="s">
        <v>0</v>
      </c>
      <c r="T103" s="13" t="s">
        <v>9</v>
      </c>
      <c r="U103" s="13" t="s">
        <v>0</v>
      </c>
      <c r="V103" s="13" t="s">
        <v>0</v>
      </c>
      <c r="W103" s="13" t="s">
        <v>0</v>
      </c>
      <c r="X103" s="13" t="s">
        <v>0</v>
      </c>
      <c r="Y103" s="13" t="s">
        <v>10</v>
      </c>
      <c r="Z103" s="13" t="s">
        <v>0</v>
      </c>
      <c r="AA103" s="14"/>
      <c r="AB103" s="13" t="s">
        <v>0</v>
      </c>
      <c r="AC103" s="13" t="s">
        <v>0</v>
      </c>
      <c r="AD103" s="13" t="s">
        <v>0</v>
      </c>
      <c r="AE103" s="15">
        <v>0</v>
      </c>
    </row>
    <row r="104" spans="1:31" ht="14.15" customHeight="1" x14ac:dyDescent="0.25">
      <c r="A104" s="12" t="s">
        <v>0</v>
      </c>
      <c r="B104" s="13" t="s">
        <v>1</v>
      </c>
      <c r="C104" s="13" t="s">
        <v>1937</v>
      </c>
      <c r="D104" s="14">
        <v>44192</v>
      </c>
      <c r="E104" s="14">
        <v>44192</v>
      </c>
      <c r="F104" s="14">
        <v>44196</v>
      </c>
      <c r="G104" s="13" t="s">
        <v>3</v>
      </c>
      <c r="H104" s="13" t="s">
        <v>4</v>
      </c>
      <c r="I104" s="15">
        <v>-94143.25</v>
      </c>
      <c r="J104" s="13" t="s">
        <v>5</v>
      </c>
      <c r="K104" s="13" t="s">
        <v>6</v>
      </c>
      <c r="L104" s="15">
        <v>-7903325.8399999999</v>
      </c>
      <c r="M104" s="15">
        <v>-94143.25</v>
      </c>
      <c r="N104" s="16" t="str">
        <f>IF(M104="","",IF(M104&lt;0,-M104&amp;"_"&amp;COUNTIF(M$2:M104,M104),M104&amp;"_"&amp;COUNTIF(M$2:M104,M104)))</f>
        <v>94143.25_1</v>
      </c>
      <c r="O104" s="17" t="str">
        <f t="shared" si="1"/>
        <v/>
      </c>
      <c r="P104" s="13" t="s">
        <v>1938</v>
      </c>
      <c r="Q104" s="13" t="s">
        <v>1932</v>
      </c>
      <c r="R104" s="13" t="s">
        <v>0</v>
      </c>
      <c r="S104" s="13" t="s">
        <v>0</v>
      </c>
      <c r="T104" s="13" t="s">
        <v>9</v>
      </c>
      <c r="U104" s="13" t="s">
        <v>0</v>
      </c>
      <c r="V104" s="13" t="s">
        <v>0</v>
      </c>
      <c r="W104" s="13" t="s">
        <v>0</v>
      </c>
      <c r="X104" s="13" t="s">
        <v>0</v>
      </c>
      <c r="Y104" s="13" t="s">
        <v>10</v>
      </c>
      <c r="Z104" s="13" t="s">
        <v>0</v>
      </c>
      <c r="AA104" s="14"/>
      <c r="AB104" s="13" t="s">
        <v>0</v>
      </c>
      <c r="AC104" s="13" t="s">
        <v>0</v>
      </c>
      <c r="AD104" s="13" t="s">
        <v>0</v>
      </c>
      <c r="AE104" s="15">
        <v>0</v>
      </c>
    </row>
    <row r="105" spans="1:31" ht="14.15" customHeight="1" x14ac:dyDescent="0.25">
      <c r="A105" s="12" t="s">
        <v>0</v>
      </c>
      <c r="B105" s="13" t="s">
        <v>1</v>
      </c>
      <c r="C105" s="13" t="s">
        <v>3289</v>
      </c>
      <c r="D105" s="14">
        <v>44314</v>
      </c>
      <c r="E105" s="14">
        <v>44314</v>
      </c>
      <c r="F105" s="14">
        <v>44319</v>
      </c>
      <c r="G105" s="13" t="s">
        <v>3</v>
      </c>
      <c r="H105" s="13" t="s">
        <v>4</v>
      </c>
      <c r="I105" s="15">
        <v>-94039.48</v>
      </c>
      <c r="J105" s="13" t="s">
        <v>5</v>
      </c>
      <c r="K105" s="13" t="s">
        <v>6</v>
      </c>
      <c r="L105" s="15">
        <v>-7894614.3499999996</v>
      </c>
      <c r="M105" s="15">
        <v>-94039.48</v>
      </c>
      <c r="N105" s="16" t="str">
        <f>IF(M105="","",IF(M105&lt;0,-M105&amp;"_"&amp;COUNTIF(M$2:M105,M105),M105&amp;"_"&amp;COUNTIF(M$2:M105,M105)))</f>
        <v>94039.48_1</v>
      </c>
      <c r="O105" s="17" t="str">
        <f t="shared" si="1"/>
        <v/>
      </c>
      <c r="P105" s="13" t="s">
        <v>3290</v>
      </c>
      <c r="Q105" s="13" t="s">
        <v>3284</v>
      </c>
      <c r="R105" s="13" t="s">
        <v>0</v>
      </c>
      <c r="S105" s="13" t="s">
        <v>0</v>
      </c>
      <c r="T105" s="13" t="s">
        <v>9</v>
      </c>
      <c r="U105" s="13" t="s">
        <v>0</v>
      </c>
      <c r="V105" s="13" t="s">
        <v>0</v>
      </c>
      <c r="W105" s="13" t="s">
        <v>0</v>
      </c>
      <c r="X105" s="13" t="s">
        <v>0</v>
      </c>
      <c r="Y105" s="13" t="s">
        <v>10</v>
      </c>
      <c r="Z105" s="13" t="s">
        <v>0</v>
      </c>
      <c r="AA105" s="14"/>
      <c r="AB105" s="13" t="s">
        <v>0</v>
      </c>
      <c r="AC105" s="13" t="s">
        <v>0</v>
      </c>
      <c r="AD105" s="13" t="s">
        <v>0</v>
      </c>
      <c r="AE105" s="15">
        <v>0</v>
      </c>
    </row>
    <row r="106" spans="1:31" ht="14.15" customHeight="1" x14ac:dyDescent="0.25">
      <c r="A106" s="12" t="s">
        <v>0</v>
      </c>
      <c r="B106" s="13" t="s">
        <v>1</v>
      </c>
      <c r="C106" s="13" t="s">
        <v>2581</v>
      </c>
      <c r="D106" s="14">
        <v>44243</v>
      </c>
      <c r="E106" s="14">
        <v>44243</v>
      </c>
      <c r="F106" s="14">
        <v>44249</v>
      </c>
      <c r="G106" s="13" t="s">
        <v>3</v>
      </c>
      <c r="H106" s="13" t="s">
        <v>4</v>
      </c>
      <c r="I106" s="15">
        <v>-93785.54</v>
      </c>
      <c r="J106" s="13" t="s">
        <v>5</v>
      </c>
      <c r="K106" s="13" t="s">
        <v>6</v>
      </c>
      <c r="L106" s="15">
        <v>-7873296.0800000001</v>
      </c>
      <c r="M106" s="15">
        <v>-93785.54</v>
      </c>
      <c r="N106" s="16" t="str">
        <f>IF(M106="","",IF(M106&lt;0,-M106&amp;"_"&amp;COUNTIF(M$2:M106,M106),M106&amp;"_"&amp;COUNTIF(M$2:M106,M106)))</f>
        <v>93785.54_1</v>
      </c>
      <c r="O106" s="17" t="str">
        <f t="shared" si="1"/>
        <v/>
      </c>
      <c r="P106" s="13" t="s">
        <v>2582</v>
      </c>
      <c r="Q106" s="13" t="s">
        <v>2574</v>
      </c>
      <c r="R106" s="13" t="s">
        <v>0</v>
      </c>
      <c r="S106" s="13" t="s">
        <v>0</v>
      </c>
      <c r="T106" s="13" t="s">
        <v>9</v>
      </c>
      <c r="U106" s="13" t="s">
        <v>0</v>
      </c>
      <c r="V106" s="13" t="s">
        <v>0</v>
      </c>
      <c r="W106" s="13" t="s">
        <v>0</v>
      </c>
      <c r="X106" s="13" t="s">
        <v>0</v>
      </c>
      <c r="Y106" s="13" t="s">
        <v>10</v>
      </c>
      <c r="Z106" s="13" t="s">
        <v>0</v>
      </c>
      <c r="AA106" s="14"/>
      <c r="AB106" s="13" t="s">
        <v>0</v>
      </c>
      <c r="AC106" s="13" t="s">
        <v>0</v>
      </c>
      <c r="AD106" s="13" t="s">
        <v>0</v>
      </c>
      <c r="AE106" s="15">
        <v>0</v>
      </c>
    </row>
    <row r="107" spans="1:31" ht="14.15" customHeight="1" x14ac:dyDescent="0.25">
      <c r="A107" s="12" t="s">
        <v>0</v>
      </c>
      <c r="B107" s="13" t="s">
        <v>1</v>
      </c>
      <c r="C107" s="13" t="s">
        <v>1170</v>
      </c>
      <c r="D107" s="14">
        <v>44140</v>
      </c>
      <c r="E107" s="14">
        <v>44140</v>
      </c>
      <c r="F107" s="14">
        <v>44145</v>
      </c>
      <c r="G107" s="13" t="s">
        <v>3</v>
      </c>
      <c r="H107" s="13" t="s">
        <v>4</v>
      </c>
      <c r="I107" s="15">
        <v>-93705.43</v>
      </c>
      <c r="J107" s="13" t="s">
        <v>5</v>
      </c>
      <c r="K107" s="13" t="s">
        <v>6</v>
      </c>
      <c r="L107" s="15">
        <v>-7866570.8499999996</v>
      </c>
      <c r="M107" s="15">
        <v>-93705.43</v>
      </c>
      <c r="N107" s="16" t="str">
        <f>IF(M107="","",IF(M107&lt;0,-M107&amp;"_"&amp;COUNTIF(M$2:M107,M107),M107&amp;"_"&amp;COUNTIF(M$2:M107,M107)))</f>
        <v>93705.43_1</v>
      </c>
      <c r="O107" s="17" t="str">
        <f t="shared" si="1"/>
        <v/>
      </c>
      <c r="P107" s="13" t="s">
        <v>1171</v>
      </c>
      <c r="Q107" s="13" t="s">
        <v>1165</v>
      </c>
      <c r="R107" s="13" t="s">
        <v>0</v>
      </c>
      <c r="S107" s="13" t="s">
        <v>0</v>
      </c>
      <c r="T107" s="13" t="s">
        <v>9</v>
      </c>
      <c r="U107" s="13" t="s">
        <v>0</v>
      </c>
      <c r="V107" s="13" t="s">
        <v>0</v>
      </c>
      <c r="W107" s="13" t="s">
        <v>0</v>
      </c>
      <c r="X107" s="13" t="s">
        <v>0</v>
      </c>
      <c r="Y107" s="13" t="s">
        <v>10</v>
      </c>
      <c r="Z107" s="13" t="s">
        <v>0</v>
      </c>
      <c r="AA107" s="14"/>
      <c r="AB107" s="13" t="s">
        <v>0</v>
      </c>
      <c r="AC107" s="13" t="s">
        <v>0</v>
      </c>
      <c r="AD107" s="13" t="s">
        <v>0</v>
      </c>
      <c r="AE107" s="15">
        <v>0</v>
      </c>
    </row>
    <row r="108" spans="1:31" ht="14.15" customHeight="1" x14ac:dyDescent="0.25">
      <c r="A108" s="12" t="s">
        <v>0</v>
      </c>
      <c r="B108" s="13" t="s">
        <v>1</v>
      </c>
      <c r="C108" s="13" t="s">
        <v>2493</v>
      </c>
      <c r="D108" s="14">
        <v>44235</v>
      </c>
      <c r="E108" s="14">
        <v>44235</v>
      </c>
      <c r="F108" s="14">
        <v>44241</v>
      </c>
      <c r="G108" s="13" t="s">
        <v>3</v>
      </c>
      <c r="H108" s="13" t="s">
        <v>4</v>
      </c>
      <c r="I108" s="15">
        <v>-92394.43</v>
      </c>
      <c r="J108" s="13" t="s">
        <v>5</v>
      </c>
      <c r="K108" s="13" t="s">
        <v>6</v>
      </c>
      <c r="L108" s="15">
        <v>-7756512.3899999997</v>
      </c>
      <c r="M108" s="15">
        <v>-92394.43</v>
      </c>
      <c r="N108" s="16" t="str">
        <f>IF(M108="","",IF(M108&lt;0,-M108&amp;"_"&amp;COUNTIF(M$2:M108,M108),M108&amp;"_"&amp;COUNTIF(M$2:M108,M108)))</f>
        <v>92394.43_1</v>
      </c>
      <c r="O108" s="17" t="str">
        <f t="shared" si="1"/>
        <v/>
      </c>
      <c r="P108" s="13" t="s">
        <v>2494</v>
      </c>
      <c r="Q108" s="13" t="s">
        <v>2495</v>
      </c>
      <c r="R108" s="13" t="s">
        <v>0</v>
      </c>
      <c r="S108" s="13" t="s">
        <v>0</v>
      </c>
      <c r="T108" s="13" t="s">
        <v>9</v>
      </c>
      <c r="U108" s="13" t="s">
        <v>0</v>
      </c>
      <c r="V108" s="13" t="s">
        <v>0</v>
      </c>
      <c r="W108" s="13" t="s">
        <v>0</v>
      </c>
      <c r="X108" s="13" t="s">
        <v>0</v>
      </c>
      <c r="Y108" s="13" t="s">
        <v>10</v>
      </c>
      <c r="Z108" s="13" t="s">
        <v>0</v>
      </c>
      <c r="AA108" s="14"/>
      <c r="AB108" s="13" t="s">
        <v>0</v>
      </c>
      <c r="AC108" s="13" t="s">
        <v>0</v>
      </c>
      <c r="AD108" s="13" t="s">
        <v>0</v>
      </c>
      <c r="AE108" s="15">
        <v>0</v>
      </c>
    </row>
    <row r="109" spans="1:31" ht="14.15" customHeight="1" x14ac:dyDescent="0.25">
      <c r="A109" s="12" t="s">
        <v>0</v>
      </c>
      <c r="B109" s="13" t="s">
        <v>1</v>
      </c>
      <c r="C109" s="13" t="s">
        <v>2155</v>
      </c>
      <c r="D109" s="14">
        <v>44208</v>
      </c>
      <c r="E109" s="14">
        <v>44208</v>
      </c>
      <c r="F109" s="14">
        <v>44216</v>
      </c>
      <c r="G109" s="13" t="s">
        <v>3</v>
      </c>
      <c r="H109" s="13" t="s">
        <v>4</v>
      </c>
      <c r="I109" s="15">
        <v>-91930.559999999998</v>
      </c>
      <c r="J109" s="13" t="s">
        <v>5</v>
      </c>
      <c r="K109" s="13" t="s">
        <v>6</v>
      </c>
      <c r="L109" s="15">
        <v>-7717570.5099999998</v>
      </c>
      <c r="M109" s="15">
        <v>-91930.559999999998</v>
      </c>
      <c r="N109" s="16" t="str">
        <f>IF(M109="","",IF(M109&lt;0,-M109&amp;"_"&amp;COUNTIF(M$2:M109,M109),M109&amp;"_"&amp;COUNTIF(M$2:M109,M109)))</f>
        <v>91930.56_1</v>
      </c>
      <c r="O109" s="17" t="str">
        <f t="shared" si="1"/>
        <v/>
      </c>
      <c r="P109" s="13" t="s">
        <v>2156</v>
      </c>
      <c r="Q109" s="13" t="s">
        <v>2152</v>
      </c>
      <c r="R109" s="13" t="s">
        <v>0</v>
      </c>
      <c r="S109" s="13" t="s">
        <v>0</v>
      </c>
      <c r="T109" s="13" t="s">
        <v>9</v>
      </c>
      <c r="U109" s="13" t="s">
        <v>0</v>
      </c>
      <c r="V109" s="13" t="s">
        <v>0</v>
      </c>
      <c r="W109" s="13" t="s">
        <v>0</v>
      </c>
      <c r="X109" s="13" t="s">
        <v>0</v>
      </c>
      <c r="Y109" s="13" t="s">
        <v>10</v>
      </c>
      <c r="Z109" s="13" t="s">
        <v>0</v>
      </c>
      <c r="AA109" s="14"/>
      <c r="AB109" s="13" t="s">
        <v>0</v>
      </c>
      <c r="AC109" s="13" t="s">
        <v>0</v>
      </c>
      <c r="AD109" s="13" t="s">
        <v>0</v>
      </c>
      <c r="AE109" s="15">
        <v>0</v>
      </c>
    </row>
    <row r="110" spans="1:31" ht="14.15" customHeight="1" x14ac:dyDescent="0.25">
      <c r="A110" s="12" t="s">
        <v>0</v>
      </c>
      <c r="B110" s="13" t="s">
        <v>1</v>
      </c>
      <c r="C110" s="13" t="s">
        <v>4187</v>
      </c>
      <c r="D110" s="14">
        <v>44364</v>
      </c>
      <c r="E110" s="14">
        <v>44364</v>
      </c>
      <c r="F110" s="14">
        <v>44370</v>
      </c>
      <c r="G110" s="13" t="s">
        <v>3</v>
      </c>
      <c r="H110" s="13" t="s">
        <v>4</v>
      </c>
      <c r="I110" s="15">
        <v>-91086.19</v>
      </c>
      <c r="J110" s="13" t="s">
        <v>5</v>
      </c>
      <c r="K110" s="13" t="s">
        <v>6</v>
      </c>
      <c r="L110" s="15">
        <v>-7646685.6500000004</v>
      </c>
      <c r="M110" s="15">
        <v>-91086.19</v>
      </c>
      <c r="N110" s="16" t="str">
        <f>IF(M110="","",IF(M110&lt;0,-M110&amp;"_"&amp;COUNTIF(M$2:M110,M110),M110&amp;"_"&amp;COUNTIF(M$2:M110,M110)))</f>
        <v>91086.19_1</v>
      </c>
      <c r="O110" s="17" t="str">
        <f t="shared" si="1"/>
        <v/>
      </c>
      <c r="P110" s="13" t="s">
        <v>4188</v>
      </c>
      <c r="Q110" s="13" t="s">
        <v>4180</v>
      </c>
      <c r="R110" s="13" t="s">
        <v>0</v>
      </c>
      <c r="S110" s="13" t="s">
        <v>0</v>
      </c>
      <c r="T110" s="13" t="s">
        <v>9</v>
      </c>
      <c r="U110" s="13" t="s">
        <v>0</v>
      </c>
      <c r="V110" s="13" t="s">
        <v>0</v>
      </c>
      <c r="W110" s="13" t="s">
        <v>0</v>
      </c>
      <c r="X110" s="13" t="s">
        <v>0</v>
      </c>
      <c r="Y110" s="13" t="s">
        <v>10</v>
      </c>
      <c r="Z110" s="13" t="s">
        <v>0</v>
      </c>
      <c r="AA110" s="14"/>
      <c r="AB110" s="13" t="s">
        <v>0</v>
      </c>
      <c r="AC110" s="13" t="s">
        <v>0</v>
      </c>
      <c r="AD110" s="13" t="s">
        <v>0</v>
      </c>
      <c r="AE110" s="15">
        <v>0</v>
      </c>
    </row>
    <row r="111" spans="1:31" ht="14.15" customHeight="1" x14ac:dyDescent="0.25">
      <c r="A111" s="12" t="s">
        <v>0</v>
      </c>
      <c r="B111" s="13" t="s">
        <v>1</v>
      </c>
      <c r="C111" s="13" t="s">
        <v>1419</v>
      </c>
      <c r="D111" s="14">
        <v>44154</v>
      </c>
      <c r="E111" s="14">
        <v>44154</v>
      </c>
      <c r="F111" s="14">
        <v>44172</v>
      </c>
      <c r="G111" s="13" t="s">
        <v>3</v>
      </c>
      <c r="H111" s="13" t="s">
        <v>4</v>
      </c>
      <c r="I111" s="15">
        <v>-90840.92</v>
      </c>
      <c r="J111" s="13" t="s">
        <v>5</v>
      </c>
      <c r="K111" s="13" t="s">
        <v>6</v>
      </c>
      <c r="L111" s="15">
        <v>-7626095.2300000004</v>
      </c>
      <c r="M111" s="15">
        <v>-90840.92</v>
      </c>
      <c r="N111" s="16" t="str">
        <f>IF(M111="","",IF(M111&lt;0,-M111&amp;"_"&amp;COUNTIF(M$2:M111,M111),M111&amp;"_"&amp;COUNTIF(M$2:M111,M111)))</f>
        <v>90840.92_1</v>
      </c>
      <c r="O111" s="17" t="str">
        <f t="shared" si="1"/>
        <v/>
      </c>
      <c r="P111" s="13" t="s">
        <v>1420</v>
      </c>
      <c r="Q111" s="13" t="s">
        <v>1408</v>
      </c>
      <c r="R111" s="13" t="s">
        <v>0</v>
      </c>
      <c r="S111" s="13" t="s">
        <v>0</v>
      </c>
      <c r="T111" s="13" t="s">
        <v>9</v>
      </c>
      <c r="U111" s="13" t="s">
        <v>0</v>
      </c>
      <c r="V111" s="13" t="s">
        <v>0</v>
      </c>
      <c r="W111" s="13" t="s">
        <v>0</v>
      </c>
      <c r="X111" s="13" t="s">
        <v>0</v>
      </c>
      <c r="Y111" s="13" t="s">
        <v>10</v>
      </c>
      <c r="Z111" s="13" t="s">
        <v>0</v>
      </c>
      <c r="AA111" s="14"/>
      <c r="AB111" s="13" t="s">
        <v>0</v>
      </c>
      <c r="AC111" s="13" t="s">
        <v>0</v>
      </c>
      <c r="AD111" s="13" t="s">
        <v>0</v>
      </c>
      <c r="AE111" s="15">
        <v>0</v>
      </c>
    </row>
    <row r="112" spans="1:31" ht="14.15" customHeight="1" x14ac:dyDescent="0.25">
      <c r="A112" s="12" t="s">
        <v>0</v>
      </c>
      <c r="B112" s="13" t="s">
        <v>1</v>
      </c>
      <c r="C112" s="13" t="s">
        <v>597</v>
      </c>
      <c r="D112" s="14">
        <v>44080</v>
      </c>
      <c r="E112" s="14">
        <v>44080</v>
      </c>
      <c r="F112" s="14">
        <v>44098</v>
      </c>
      <c r="G112" s="13" t="s">
        <v>3</v>
      </c>
      <c r="H112" s="13" t="s">
        <v>4</v>
      </c>
      <c r="I112" s="15">
        <v>-90507.14</v>
      </c>
      <c r="J112" s="13" t="s">
        <v>5</v>
      </c>
      <c r="K112" s="13" t="s">
        <v>6</v>
      </c>
      <c r="L112" s="15">
        <v>-7598074.4000000004</v>
      </c>
      <c r="M112" s="15">
        <v>-90507.14</v>
      </c>
      <c r="N112" s="16" t="str">
        <f>IF(M112="","",IF(M112&lt;0,-M112&amp;"_"&amp;COUNTIF(M$2:M112,M112),M112&amp;"_"&amp;COUNTIF(M$2:M112,M112)))</f>
        <v>90507.14_1</v>
      </c>
      <c r="O112" s="17" t="str">
        <f t="shared" si="1"/>
        <v/>
      </c>
      <c r="P112" s="13" t="s">
        <v>598</v>
      </c>
      <c r="Q112" s="13" t="s">
        <v>594</v>
      </c>
      <c r="R112" s="13" t="s">
        <v>0</v>
      </c>
      <c r="S112" s="13" t="s">
        <v>0</v>
      </c>
      <c r="T112" s="13" t="s">
        <v>9</v>
      </c>
      <c r="U112" s="13" t="s">
        <v>0</v>
      </c>
      <c r="V112" s="13" t="s">
        <v>0</v>
      </c>
      <c r="W112" s="13" t="s">
        <v>0</v>
      </c>
      <c r="X112" s="13" t="s">
        <v>0</v>
      </c>
      <c r="Y112" s="13" t="s">
        <v>10</v>
      </c>
      <c r="Z112" s="13" t="s">
        <v>0</v>
      </c>
      <c r="AA112" s="14"/>
      <c r="AB112" s="13" t="s">
        <v>0</v>
      </c>
      <c r="AC112" s="13" t="s">
        <v>0</v>
      </c>
      <c r="AD112" s="13" t="s">
        <v>0</v>
      </c>
      <c r="AE112" s="15">
        <v>0</v>
      </c>
    </row>
    <row r="113" spans="1:31" ht="14.15" customHeight="1" x14ac:dyDescent="0.25">
      <c r="A113" s="12" t="s">
        <v>0</v>
      </c>
      <c r="B113" s="13" t="s">
        <v>1</v>
      </c>
      <c r="C113" s="13" t="s">
        <v>406</v>
      </c>
      <c r="D113" s="14">
        <v>44062</v>
      </c>
      <c r="E113" s="14">
        <v>44062</v>
      </c>
      <c r="F113" s="14">
        <v>44079</v>
      </c>
      <c r="G113" s="13" t="s">
        <v>3</v>
      </c>
      <c r="H113" s="13" t="s">
        <v>4</v>
      </c>
      <c r="I113" s="15">
        <v>-90359.73</v>
      </c>
      <c r="J113" s="13" t="s">
        <v>5</v>
      </c>
      <c r="K113" s="13" t="s">
        <v>6</v>
      </c>
      <c r="L113" s="15">
        <v>-7585699.3300000001</v>
      </c>
      <c r="M113" s="15">
        <v>-90359.73</v>
      </c>
      <c r="N113" s="16" t="str">
        <f>IF(M113="","",IF(M113&lt;0,-M113&amp;"_"&amp;COUNTIF(M$2:M113,M113),M113&amp;"_"&amp;COUNTIF(M$2:M113,M113)))</f>
        <v>90359.73_1</v>
      </c>
      <c r="O113" s="17" t="str">
        <f t="shared" si="1"/>
        <v/>
      </c>
      <c r="P113" s="13" t="s">
        <v>407</v>
      </c>
      <c r="Q113" s="13" t="s">
        <v>403</v>
      </c>
      <c r="R113" s="13" t="s">
        <v>0</v>
      </c>
      <c r="S113" s="13" t="s">
        <v>0</v>
      </c>
      <c r="T113" s="13" t="s">
        <v>9</v>
      </c>
      <c r="U113" s="13" t="s">
        <v>0</v>
      </c>
      <c r="V113" s="13" t="s">
        <v>0</v>
      </c>
      <c r="W113" s="13" t="s">
        <v>0</v>
      </c>
      <c r="X113" s="13" t="s">
        <v>0</v>
      </c>
      <c r="Y113" s="13" t="s">
        <v>10</v>
      </c>
      <c r="Z113" s="13" t="s">
        <v>0</v>
      </c>
      <c r="AA113" s="14"/>
      <c r="AB113" s="13" t="s">
        <v>0</v>
      </c>
      <c r="AC113" s="13" t="s">
        <v>0</v>
      </c>
      <c r="AD113" s="13" t="s">
        <v>0</v>
      </c>
      <c r="AE113" s="15">
        <v>0</v>
      </c>
    </row>
    <row r="114" spans="1:31" ht="14.15" customHeight="1" x14ac:dyDescent="0.25">
      <c r="A114" s="12" t="s">
        <v>0</v>
      </c>
      <c r="B114" s="13" t="s">
        <v>1</v>
      </c>
      <c r="C114" s="13" t="s">
        <v>1889</v>
      </c>
      <c r="D114" s="14">
        <v>44189</v>
      </c>
      <c r="E114" s="14">
        <v>44189</v>
      </c>
      <c r="F114" s="14">
        <v>44194</v>
      </c>
      <c r="G114" s="13" t="s">
        <v>3</v>
      </c>
      <c r="H114" s="13" t="s">
        <v>4</v>
      </c>
      <c r="I114" s="15">
        <v>-89060.1</v>
      </c>
      <c r="J114" s="13" t="s">
        <v>5</v>
      </c>
      <c r="K114" s="13" t="s">
        <v>6</v>
      </c>
      <c r="L114" s="15">
        <v>-7476595.4000000004</v>
      </c>
      <c r="M114" s="15">
        <v>-89060.1</v>
      </c>
      <c r="N114" s="16" t="str">
        <f>IF(M114="","",IF(M114&lt;0,-M114&amp;"_"&amp;COUNTIF(M$2:M114,M114),M114&amp;"_"&amp;COUNTIF(M$2:M114,M114)))</f>
        <v>89060.1_1</v>
      </c>
      <c r="O114" s="17" t="str">
        <f t="shared" si="1"/>
        <v/>
      </c>
      <c r="P114" s="13" t="s">
        <v>1890</v>
      </c>
      <c r="Q114" s="13" t="s">
        <v>1886</v>
      </c>
      <c r="R114" s="13" t="s">
        <v>0</v>
      </c>
      <c r="S114" s="13" t="s">
        <v>0</v>
      </c>
      <c r="T114" s="13" t="s">
        <v>9</v>
      </c>
      <c r="U114" s="13" t="s">
        <v>0</v>
      </c>
      <c r="V114" s="13" t="s">
        <v>0</v>
      </c>
      <c r="W114" s="13" t="s">
        <v>0</v>
      </c>
      <c r="X114" s="13" t="s">
        <v>0</v>
      </c>
      <c r="Y114" s="13" t="s">
        <v>10</v>
      </c>
      <c r="Z114" s="13" t="s">
        <v>0</v>
      </c>
      <c r="AA114" s="14"/>
      <c r="AB114" s="13" t="s">
        <v>0</v>
      </c>
      <c r="AC114" s="13" t="s">
        <v>0</v>
      </c>
      <c r="AD114" s="13" t="s">
        <v>0</v>
      </c>
      <c r="AE114" s="15">
        <v>0</v>
      </c>
    </row>
    <row r="115" spans="1:31" ht="14.15" customHeight="1" x14ac:dyDescent="0.25">
      <c r="A115" s="12" t="s">
        <v>0</v>
      </c>
      <c r="B115" s="13" t="s">
        <v>1</v>
      </c>
      <c r="C115" s="13" t="s">
        <v>859</v>
      </c>
      <c r="D115" s="14">
        <v>44108</v>
      </c>
      <c r="E115" s="14">
        <v>44108</v>
      </c>
      <c r="F115" s="14">
        <v>44130</v>
      </c>
      <c r="G115" s="13" t="s">
        <v>3</v>
      </c>
      <c r="H115" s="13" t="s">
        <v>4</v>
      </c>
      <c r="I115" s="15">
        <v>-88830.03</v>
      </c>
      <c r="J115" s="13" t="s">
        <v>5</v>
      </c>
      <c r="K115" s="13" t="s">
        <v>6</v>
      </c>
      <c r="L115" s="15">
        <v>-7457281.0199999996</v>
      </c>
      <c r="M115" s="15">
        <v>-88830.03</v>
      </c>
      <c r="N115" s="16" t="str">
        <f>IF(M115="","",IF(M115&lt;0,-M115&amp;"_"&amp;COUNTIF(M$2:M115,M115),M115&amp;"_"&amp;COUNTIF(M$2:M115,M115)))</f>
        <v>88830.03_1</v>
      </c>
      <c r="O115" s="17" t="str">
        <f t="shared" si="1"/>
        <v/>
      </c>
      <c r="P115" s="13" t="s">
        <v>860</v>
      </c>
      <c r="Q115" s="13" t="s">
        <v>850</v>
      </c>
      <c r="R115" s="13" t="s">
        <v>0</v>
      </c>
      <c r="S115" s="13" t="s">
        <v>0</v>
      </c>
      <c r="T115" s="13" t="s">
        <v>9</v>
      </c>
      <c r="U115" s="13" t="s">
        <v>0</v>
      </c>
      <c r="V115" s="13" t="s">
        <v>0</v>
      </c>
      <c r="W115" s="13" t="s">
        <v>0</v>
      </c>
      <c r="X115" s="13" t="s">
        <v>0</v>
      </c>
      <c r="Y115" s="13" t="s">
        <v>10</v>
      </c>
      <c r="Z115" s="13" t="s">
        <v>0</v>
      </c>
      <c r="AA115" s="14"/>
      <c r="AB115" s="13" t="s">
        <v>0</v>
      </c>
      <c r="AC115" s="13" t="s">
        <v>0</v>
      </c>
      <c r="AD115" s="13" t="s">
        <v>0</v>
      </c>
      <c r="AE115" s="15">
        <v>0</v>
      </c>
    </row>
    <row r="116" spans="1:31" ht="14.15" customHeight="1" x14ac:dyDescent="0.25">
      <c r="A116" s="12" t="s">
        <v>0</v>
      </c>
      <c r="B116" s="13" t="s">
        <v>1</v>
      </c>
      <c r="C116" s="13" t="s">
        <v>803</v>
      </c>
      <c r="D116" s="14">
        <v>44103</v>
      </c>
      <c r="E116" s="14">
        <v>44103</v>
      </c>
      <c r="F116" s="14">
        <v>44107</v>
      </c>
      <c r="G116" s="13" t="s">
        <v>3</v>
      </c>
      <c r="H116" s="13" t="s">
        <v>4</v>
      </c>
      <c r="I116" s="15">
        <v>-88743.49</v>
      </c>
      <c r="J116" s="13" t="s">
        <v>5</v>
      </c>
      <c r="K116" s="13" t="s">
        <v>6</v>
      </c>
      <c r="L116" s="15">
        <v>-7450015.9900000002</v>
      </c>
      <c r="M116" s="15">
        <v>-88743.49</v>
      </c>
      <c r="N116" s="16" t="str">
        <f>IF(M116="","",IF(M116&lt;0,-M116&amp;"_"&amp;COUNTIF(M$2:M116,M116),M116&amp;"_"&amp;COUNTIF(M$2:M116,M116)))</f>
        <v>88743.49_1</v>
      </c>
      <c r="O116" s="17" t="str">
        <f t="shared" si="1"/>
        <v/>
      </c>
      <c r="P116" s="13" t="s">
        <v>804</v>
      </c>
      <c r="Q116" s="13" t="s">
        <v>802</v>
      </c>
      <c r="R116" s="13" t="s">
        <v>0</v>
      </c>
      <c r="S116" s="13" t="s">
        <v>0</v>
      </c>
      <c r="T116" s="13" t="s">
        <v>9</v>
      </c>
      <c r="U116" s="13" t="s">
        <v>0</v>
      </c>
      <c r="V116" s="13" t="s">
        <v>0</v>
      </c>
      <c r="W116" s="13" t="s">
        <v>0</v>
      </c>
      <c r="X116" s="13" t="s">
        <v>0</v>
      </c>
      <c r="Y116" s="13" t="s">
        <v>10</v>
      </c>
      <c r="Z116" s="13" t="s">
        <v>0</v>
      </c>
      <c r="AA116" s="14"/>
      <c r="AB116" s="13" t="s">
        <v>0</v>
      </c>
      <c r="AC116" s="13" t="s">
        <v>0</v>
      </c>
      <c r="AD116" s="13" t="s">
        <v>0</v>
      </c>
      <c r="AE116" s="15">
        <v>0</v>
      </c>
    </row>
    <row r="117" spans="1:31" ht="14.15" customHeight="1" x14ac:dyDescent="0.25">
      <c r="A117" s="12" t="s">
        <v>0</v>
      </c>
      <c r="B117" s="13" t="s">
        <v>1</v>
      </c>
      <c r="C117" s="13" t="s">
        <v>805</v>
      </c>
      <c r="D117" s="14">
        <v>44103</v>
      </c>
      <c r="E117" s="14">
        <v>44103</v>
      </c>
      <c r="F117" s="14">
        <v>44107</v>
      </c>
      <c r="G117" s="13" t="s">
        <v>3</v>
      </c>
      <c r="H117" s="13" t="s">
        <v>4</v>
      </c>
      <c r="I117" s="15">
        <v>-88570.41</v>
      </c>
      <c r="J117" s="13" t="s">
        <v>5</v>
      </c>
      <c r="K117" s="13" t="s">
        <v>6</v>
      </c>
      <c r="L117" s="15">
        <v>-7435485.9199999999</v>
      </c>
      <c r="M117" s="15">
        <v>-88570.41</v>
      </c>
      <c r="N117" s="16" t="str">
        <f>IF(M117="","",IF(M117&lt;0,-M117&amp;"_"&amp;COUNTIF(M$2:M117,M117),M117&amp;"_"&amp;COUNTIF(M$2:M117,M117)))</f>
        <v>88570.41_1</v>
      </c>
      <c r="O117" s="17" t="str">
        <f t="shared" si="1"/>
        <v/>
      </c>
      <c r="P117" s="13" t="s">
        <v>806</v>
      </c>
      <c r="Q117" s="13" t="s">
        <v>802</v>
      </c>
      <c r="R117" s="13" t="s">
        <v>0</v>
      </c>
      <c r="S117" s="13" t="s">
        <v>0</v>
      </c>
      <c r="T117" s="13" t="s">
        <v>9</v>
      </c>
      <c r="U117" s="13" t="s">
        <v>0</v>
      </c>
      <c r="V117" s="13" t="s">
        <v>0</v>
      </c>
      <c r="W117" s="13" t="s">
        <v>0</v>
      </c>
      <c r="X117" s="13" t="s">
        <v>0</v>
      </c>
      <c r="Y117" s="13" t="s">
        <v>10</v>
      </c>
      <c r="Z117" s="13" t="s">
        <v>0</v>
      </c>
      <c r="AA117" s="14"/>
      <c r="AB117" s="13" t="s">
        <v>0</v>
      </c>
      <c r="AC117" s="13" t="s">
        <v>0</v>
      </c>
      <c r="AD117" s="13" t="s">
        <v>0</v>
      </c>
      <c r="AE117" s="15">
        <v>0</v>
      </c>
    </row>
    <row r="118" spans="1:31" ht="14.15" customHeight="1" x14ac:dyDescent="0.25">
      <c r="A118" s="12" t="s">
        <v>0</v>
      </c>
      <c r="B118" s="13" t="s">
        <v>1</v>
      </c>
      <c r="C118" s="13" t="s">
        <v>1801</v>
      </c>
      <c r="D118" s="14">
        <v>44183</v>
      </c>
      <c r="E118" s="14">
        <v>44183</v>
      </c>
      <c r="F118" s="14">
        <v>44187</v>
      </c>
      <c r="G118" s="13" t="s">
        <v>3</v>
      </c>
      <c r="H118" s="13" t="s">
        <v>4</v>
      </c>
      <c r="I118" s="15">
        <v>-88379.36</v>
      </c>
      <c r="J118" s="13" t="s">
        <v>5</v>
      </c>
      <c r="K118" s="13" t="s">
        <v>6</v>
      </c>
      <c r="L118" s="15">
        <v>-7419447.2699999996</v>
      </c>
      <c r="M118" s="15">
        <v>-88379.36</v>
      </c>
      <c r="N118" s="16" t="str">
        <f>IF(M118="","",IF(M118&lt;0,-M118&amp;"_"&amp;COUNTIF(M$2:M118,M118),M118&amp;"_"&amp;COUNTIF(M$2:M118,M118)))</f>
        <v>88379.36_1</v>
      </c>
      <c r="O118" s="17" t="str">
        <f t="shared" si="1"/>
        <v/>
      </c>
      <c r="P118" s="13" t="s">
        <v>1802</v>
      </c>
      <c r="Q118" s="13" t="s">
        <v>1792</v>
      </c>
      <c r="R118" s="13" t="s">
        <v>0</v>
      </c>
      <c r="S118" s="13" t="s">
        <v>0</v>
      </c>
      <c r="T118" s="13" t="s">
        <v>9</v>
      </c>
      <c r="U118" s="13" t="s">
        <v>0</v>
      </c>
      <c r="V118" s="13" t="s">
        <v>0</v>
      </c>
      <c r="W118" s="13" t="s">
        <v>0</v>
      </c>
      <c r="X118" s="13" t="s">
        <v>0</v>
      </c>
      <c r="Y118" s="13" t="s">
        <v>10</v>
      </c>
      <c r="Z118" s="13" t="s">
        <v>0</v>
      </c>
      <c r="AA118" s="14"/>
      <c r="AB118" s="13" t="s">
        <v>0</v>
      </c>
      <c r="AC118" s="13" t="s">
        <v>0</v>
      </c>
      <c r="AD118" s="13" t="s">
        <v>0</v>
      </c>
      <c r="AE118" s="15">
        <v>0</v>
      </c>
    </row>
    <row r="119" spans="1:31" ht="14.15" customHeight="1" x14ac:dyDescent="0.25">
      <c r="A119" s="12" t="s">
        <v>0</v>
      </c>
      <c r="B119" s="13" t="s">
        <v>1</v>
      </c>
      <c r="C119" s="13" t="s">
        <v>2864</v>
      </c>
      <c r="D119" s="14">
        <v>44273</v>
      </c>
      <c r="E119" s="14">
        <v>44273</v>
      </c>
      <c r="F119" s="14">
        <v>44279</v>
      </c>
      <c r="G119" s="13" t="s">
        <v>3</v>
      </c>
      <c r="H119" s="13" t="s">
        <v>4</v>
      </c>
      <c r="I119" s="15">
        <v>-88335.86</v>
      </c>
      <c r="J119" s="13" t="s">
        <v>5</v>
      </c>
      <c r="K119" s="13" t="s">
        <v>6</v>
      </c>
      <c r="L119" s="15">
        <v>-7415795.4500000002</v>
      </c>
      <c r="M119" s="15">
        <v>-88335.86</v>
      </c>
      <c r="N119" s="16" t="str">
        <f>IF(M119="","",IF(M119&lt;0,-M119&amp;"_"&amp;COUNTIF(M$2:M119,M119),M119&amp;"_"&amp;COUNTIF(M$2:M119,M119)))</f>
        <v>88335.86_1</v>
      </c>
      <c r="O119" s="17" t="str">
        <f t="shared" si="1"/>
        <v/>
      </c>
      <c r="P119" s="13" t="s">
        <v>2865</v>
      </c>
      <c r="Q119" s="13" t="s">
        <v>2857</v>
      </c>
      <c r="R119" s="13" t="s">
        <v>0</v>
      </c>
      <c r="S119" s="13" t="s">
        <v>0</v>
      </c>
      <c r="T119" s="13" t="s">
        <v>9</v>
      </c>
      <c r="U119" s="13" t="s">
        <v>0</v>
      </c>
      <c r="V119" s="13" t="s">
        <v>0</v>
      </c>
      <c r="W119" s="13" t="s">
        <v>0</v>
      </c>
      <c r="X119" s="13" t="s">
        <v>0</v>
      </c>
      <c r="Y119" s="13" t="s">
        <v>10</v>
      </c>
      <c r="Z119" s="13" t="s">
        <v>0</v>
      </c>
      <c r="AA119" s="14"/>
      <c r="AB119" s="13" t="s">
        <v>0</v>
      </c>
      <c r="AC119" s="13" t="s">
        <v>0</v>
      </c>
      <c r="AD119" s="13" t="s">
        <v>0</v>
      </c>
      <c r="AE119" s="15">
        <v>0</v>
      </c>
    </row>
    <row r="120" spans="1:31" ht="14.15" customHeight="1" x14ac:dyDescent="0.25">
      <c r="A120" s="12" t="s">
        <v>0</v>
      </c>
      <c r="B120" s="13" t="s">
        <v>1</v>
      </c>
      <c r="C120" s="13" t="s">
        <v>1273</v>
      </c>
      <c r="D120" s="14">
        <v>44144</v>
      </c>
      <c r="E120" s="14">
        <v>44144</v>
      </c>
      <c r="F120" s="14">
        <v>44149</v>
      </c>
      <c r="G120" s="13" t="s">
        <v>3</v>
      </c>
      <c r="H120" s="13" t="s">
        <v>4</v>
      </c>
      <c r="I120" s="15">
        <v>-88245.43</v>
      </c>
      <c r="J120" s="13" t="s">
        <v>5</v>
      </c>
      <c r="K120" s="13" t="s">
        <v>6</v>
      </c>
      <c r="L120" s="15">
        <v>-7408203.8499999996</v>
      </c>
      <c r="M120" s="15">
        <v>-88245.43</v>
      </c>
      <c r="N120" s="16" t="str">
        <f>IF(M120="","",IF(M120&lt;0,-M120&amp;"_"&amp;COUNTIF(M$2:M120,M120),M120&amp;"_"&amp;COUNTIF(M$2:M120,M120)))</f>
        <v>88245.43_1</v>
      </c>
      <c r="O120" s="17" t="str">
        <f t="shared" si="1"/>
        <v/>
      </c>
      <c r="P120" s="13" t="s">
        <v>1274</v>
      </c>
      <c r="Q120" s="13" t="s">
        <v>1270</v>
      </c>
      <c r="R120" s="13" t="s">
        <v>0</v>
      </c>
      <c r="S120" s="13" t="s">
        <v>0</v>
      </c>
      <c r="T120" s="13" t="s">
        <v>9</v>
      </c>
      <c r="U120" s="13" t="s">
        <v>0</v>
      </c>
      <c r="V120" s="13" t="s">
        <v>0</v>
      </c>
      <c r="W120" s="13" t="s">
        <v>0</v>
      </c>
      <c r="X120" s="13" t="s">
        <v>0</v>
      </c>
      <c r="Y120" s="13" t="s">
        <v>10</v>
      </c>
      <c r="Z120" s="13" t="s">
        <v>0</v>
      </c>
      <c r="AA120" s="14"/>
      <c r="AB120" s="13" t="s">
        <v>0</v>
      </c>
      <c r="AC120" s="13" t="s">
        <v>0</v>
      </c>
      <c r="AD120" s="13" t="s">
        <v>0</v>
      </c>
      <c r="AE120" s="15">
        <v>0</v>
      </c>
    </row>
    <row r="121" spans="1:31" ht="14.15" customHeight="1" x14ac:dyDescent="0.25">
      <c r="A121" s="12" t="s">
        <v>0</v>
      </c>
      <c r="B121" s="13" t="s">
        <v>1</v>
      </c>
      <c r="C121" s="13" t="s">
        <v>3225</v>
      </c>
      <c r="D121" s="14">
        <v>44304</v>
      </c>
      <c r="E121" s="14">
        <v>44304</v>
      </c>
      <c r="F121" s="14">
        <v>44308</v>
      </c>
      <c r="G121" s="13" t="s">
        <v>3</v>
      </c>
      <c r="H121" s="13" t="s">
        <v>4</v>
      </c>
      <c r="I121" s="15">
        <v>-87151.49</v>
      </c>
      <c r="J121" s="13" t="s">
        <v>5</v>
      </c>
      <c r="K121" s="13" t="s">
        <v>6</v>
      </c>
      <c r="L121" s="15">
        <v>-7316367.5899999999</v>
      </c>
      <c r="M121" s="15">
        <v>-87151.49</v>
      </c>
      <c r="N121" s="16" t="str">
        <f>IF(M121="","",IF(M121&lt;0,-M121&amp;"_"&amp;COUNTIF(M$2:M121,M121),M121&amp;"_"&amp;COUNTIF(M$2:M121,M121)))</f>
        <v>87151.49_1</v>
      </c>
      <c r="O121" s="17" t="str">
        <f t="shared" si="1"/>
        <v/>
      </c>
      <c r="P121" s="13" t="s">
        <v>3226</v>
      </c>
      <c r="Q121" s="13" t="s">
        <v>3224</v>
      </c>
      <c r="R121" s="13" t="s">
        <v>0</v>
      </c>
      <c r="S121" s="13" t="s">
        <v>0</v>
      </c>
      <c r="T121" s="13" t="s">
        <v>9</v>
      </c>
      <c r="U121" s="13" t="s">
        <v>0</v>
      </c>
      <c r="V121" s="13" t="s">
        <v>0</v>
      </c>
      <c r="W121" s="13" t="s">
        <v>0</v>
      </c>
      <c r="X121" s="13" t="s">
        <v>0</v>
      </c>
      <c r="Y121" s="13" t="s">
        <v>10</v>
      </c>
      <c r="Z121" s="13" t="s">
        <v>0</v>
      </c>
      <c r="AA121" s="14"/>
      <c r="AB121" s="13" t="s">
        <v>0</v>
      </c>
      <c r="AC121" s="13" t="s">
        <v>0</v>
      </c>
      <c r="AD121" s="13" t="s">
        <v>0</v>
      </c>
      <c r="AE121" s="15">
        <v>0</v>
      </c>
    </row>
    <row r="122" spans="1:31" ht="14.15" customHeight="1" x14ac:dyDescent="0.25">
      <c r="A122" s="12" t="s">
        <v>0</v>
      </c>
      <c r="B122" s="13" t="s">
        <v>1</v>
      </c>
      <c r="C122" s="13" t="s">
        <v>696</v>
      </c>
      <c r="D122" s="14">
        <v>44090</v>
      </c>
      <c r="E122" s="14">
        <v>44090</v>
      </c>
      <c r="F122" s="14">
        <v>44096</v>
      </c>
      <c r="G122" s="13" t="s">
        <v>3</v>
      </c>
      <c r="H122" s="13" t="s">
        <v>4</v>
      </c>
      <c r="I122" s="15">
        <v>-86222.63</v>
      </c>
      <c r="J122" s="13" t="s">
        <v>5</v>
      </c>
      <c r="K122" s="13" t="s">
        <v>6</v>
      </c>
      <c r="L122" s="15">
        <v>-7238389.79</v>
      </c>
      <c r="M122" s="15">
        <v>-86222.63</v>
      </c>
      <c r="N122" s="16" t="str">
        <f>IF(M122="","",IF(M122&lt;0,-M122&amp;"_"&amp;COUNTIF(M$2:M122,M122),M122&amp;"_"&amp;COUNTIF(M$2:M122,M122)))</f>
        <v>86222.63_1</v>
      </c>
      <c r="O122" s="17" t="str">
        <f t="shared" si="1"/>
        <v/>
      </c>
      <c r="P122" s="13" t="s">
        <v>697</v>
      </c>
      <c r="Q122" s="13" t="s">
        <v>687</v>
      </c>
      <c r="R122" s="13" t="s">
        <v>0</v>
      </c>
      <c r="S122" s="13" t="s">
        <v>0</v>
      </c>
      <c r="T122" s="13" t="s">
        <v>9</v>
      </c>
      <c r="U122" s="13" t="s">
        <v>0</v>
      </c>
      <c r="V122" s="13" t="s">
        <v>0</v>
      </c>
      <c r="W122" s="13" t="s">
        <v>0</v>
      </c>
      <c r="X122" s="13" t="s">
        <v>0</v>
      </c>
      <c r="Y122" s="13" t="s">
        <v>10</v>
      </c>
      <c r="Z122" s="13" t="s">
        <v>0</v>
      </c>
      <c r="AA122" s="14"/>
      <c r="AB122" s="13" t="s">
        <v>0</v>
      </c>
      <c r="AC122" s="13" t="s">
        <v>0</v>
      </c>
      <c r="AD122" s="13" t="s">
        <v>0</v>
      </c>
      <c r="AE122" s="15">
        <v>0</v>
      </c>
    </row>
    <row r="123" spans="1:31" ht="14.15" customHeight="1" x14ac:dyDescent="0.25">
      <c r="A123" s="12" t="s">
        <v>0</v>
      </c>
      <c r="B123" s="13" t="s">
        <v>1</v>
      </c>
      <c r="C123" s="13" t="s">
        <v>3616</v>
      </c>
      <c r="D123" s="14">
        <v>44329</v>
      </c>
      <c r="E123" s="14">
        <v>44329</v>
      </c>
      <c r="F123" s="14">
        <v>44336</v>
      </c>
      <c r="G123" s="13" t="s">
        <v>3</v>
      </c>
      <c r="H123" s="13" t="s">
        <v>4</v>
      </c>
      <c r="I123" s="15">
        <v>-86137.33</v>
      </c>
      <c r="J123" s="13" t="s">
        <v>5</v>
      </c>
      <c r="K123" s="13" t="s">
        <v>6</v>
      </c>
      <c r="L123" s="15">
        <v>-7231228.8499999996</v>
      </c>
      <c r="M123" s="15">
        <v>-86137.33</v>
      </c>
      <c r="N123" s="16" t="str">
        <f>IF(M123="","",IF(M123&lt;0,-M123&amp;"_"&amp;COUNTIF(M$2:M123,M123),M123&amp;"_"&amp;COUNTIF(M$2:M123,M123)))</f>
        <v>86137.33_1</v>
      </c>
      <c r="O123" s="17" t="str">
        <f t="shared" si="1"/>
        <v/>
      </c>
      <c r="P123" s="13" t="s">
        <v>3617</v>
      </c>
      <c r="Q123" s="13" t="s">
        <v>3603</v>
      </c>
      <c r="R123" s="13" t="s">
        <v>0</v>
      </c>
      <c r="S123" s="13" t="s">
        <v>0</v>
      </c>
      <c r="T123" s="13" t="s">
        <v>9</v>
      </c>
      <c r="U123" s="13" t="s">
        <v>0</v>
      </c>
      <c r="V123" s="13" t="s">
        <v>0</v>
      </c>
      <c r="W123" s="13" t="s">
        <v>0</v>
      </c>
      <c r="X123" s="13" t="s">
        <v>0</v>
      </c>
      <c r="Y123" s="13" t="s">
        <v>10</v>
      </c>
      <c r="Z123" s="13" t="s">
        <v>0</v>
      </c>
      <c r="AA123" s="14"/>
      <c r="AB123" s="13" t="s">
        <v>0</v>
      </c>
      <c r="AC123" s="13" t="s">
        <v>0</v>
      </c>
      <c r="AD123" s="13" t="s">
        <v>0</v>
      </c>
      <c r="AE123" s="15">
        <v>0</v>
      </c>
    </row>
    <row r="124" spans="1:31" ht="14.15" customHeight="1" x14ac:dyDescent="0.25">
      <c r="A124" s="12" t="s">
        <v>0</v>
      </c>
      <c r="B124" s="13" t="s">
        <v>1</v>
      </c>
      <c r="C124" s="13" t="s">
        <v>1190</v>
      </c>
      <c r="D124" s="14">
        <v>44140</v>
      </c>
      <c r="E124" s="14">
        <v>44140</v>
      </c>
      <c r="F124" s="14">
        <v>44146</v>
      </c>
      <c r="G124" s="13" t="s">
        <v>3</v>
      </c>
      <c r="H124" s="13" t="s">
        <v>4</v>
      </c>
      <c r="I124" s="15">
        <v>-85475.61</v>
      </c>
      <c r="J124" s="13" t="s">
        <v>5</v>
      </c>
      <c r="K124" s="13" t="s">
        <v>6</v>
      </c>
      <c r="L124" s="15">
        <v>-7175677.46</v>
      </c>
      <c r="M124" s="15">
        <v>-85475.61</v>
      </c>
      <c r="N124" s="16" t="str">
        <f>IF(M124="","",IF(M124&lt;0,-M124&amp;"_"&amp;COUNTIF(M$2:M124,M124),M124&amp;"_"&amp;COUNTIF(M$2:M124,M124)))</f>
        <v>85475.61_1</v>
      </c>
      <c r="O124" s="17" t="str">
        <f t="shared" si="1"/>
        <v/>
      </c>
      <c r="P124" s="13" t="s">
        <v>1191</v>
      </c>
      <c r="Q124" s="13" t="s">
        <v>1165</v>
      </c>
      <c r="R124" s="13" t="s">
        <v>0</v>
      </c>
      <c r="S124" s="13" t="s">
        <v>0</v>
      </c>
      <c r="T124" s="13" t="s">
        <v>9</v>
      </c>
      <c r="U124" s="13" t="s">
        <v>0</v>
      </c>
      <c r="V124" s="13" t="s">
        <v>0</v>
      </c>
      <c r="W124" s="13" t="s">
        <v>0</v>
      </c>
      <c r="X124" s="13" t="s">
        <v>0</v>
      </c>
      <c r="Y124" s="13" t="s">
        <v>10</v>
      </c>
      <c r="Z124" s="13" t="s">
        <v>0</v>
      </c>
      <c r="AA124" s="14"/>
      <c r="AB124" s="13" t="s">
        <v>0</v>
      </c>
      <c r="AC124" s="13" t="s">
        <v>0</v>
      </c>
      <c r="AD124" s="13" t="s">
        <v>0</v>
      </c>
      <c r="AE124" s="15">
        <v>0</v>
      </c>
    </row>
    <row r="125" spans="1:31" ht="14.15" customHeight="1" x14ac:dyDescent="0.25">
      <c r="A125" s="12" t="s">
        <v>0</v>
      </c>
      <c r="B125" s="13" t="s">
        <v>1</v>
      </c>
      <c r="C125" s="13" t="s">
        <v>4332</v>
      </c>
      <c r="D125" s="14">
        <v>44374</v>
      </c>
      <c r="E125" s="14">
        <v>44374</v>
      </c>
      <c r="F125" s="14">
        <v>44376</v>
      </c>
      <c r="G125" s="13" t="s">
        <v>3</v>
      </c>
      <c r="H125" s="13" t="s">
        <v>4</v>
      </c>
      <c r="I125" s="15">
        <v>-84702.68</v>
      </c>
      <c r="J125" s="13" t="s">
        <v>5</v>
      </c>
      <c r="K125" s="13" t="s">
        <v>6</v>
      </c>
      <c r="L125" s="15">
        <v>-7110789.9900000002</v>
      </c>
      <c r="M125" s="15">
        <v>-84702.68</v>
      </c>
      <c r="N125" s="16" t="str">
        <f>IF(M125="","",IF(M125&lt;0,-M125&amp;"_"&amp;COUNTIF(M$2:M125,M125),M125&amp;"_"&amp;COUNTIF(M$2:M125,M125)))</f>
        <v>84702.68_1</v>
      </c>
      <c r="O125" s="17" t="str">
        <f t="shared" si="1"/>
        <v/>
      </c>
      <c r="P125" s="13" t="s">
        <v>4333</v>
      </c>
      <c r="Q125" s="13" t="s">
        <v>4334</v>
      </c>
      <c r="R125" s="13" t="s">
        <v>0</v>
      </c>
      <c r="S125" s="13" t="s">
        <v>0</v>
      </c>
      <c r="T125" s="13" t="s">
        <v>9</v>
      </c>
      <c r="U125" s="13" t="s">
        <v>0</v>
      </c>
      <c r="V125" s="13" t="s">
        <v>0</v>
      </c>
      <c r="W125" s="13" t="s">
        <v>0</v>
      </c>
      <c r="X125" s="13" t="s">
        <v>0</v>
      </c>
      <c r="Y125" s="13" t="s">
        <v>10</v>
      </c>
      <c r="Z125" s="13" t="s">
        <v>0</v>
      </c>
      <c r="AA125" s="14"/>
      <c r="AB125" s="13" t="s">
        <v>0</v>
      </c>
      <c r="AC125" s="13" t="s">
        <v>0</v>
      </c>
      <c r="AD125" s="13" t="s">
        <v>0</v>
      </c>
      <c r="AE125" s="15">
        <v>0</v>
      </c>
    </row>
    <row r="126" spans="1:31" ht="14.15" customHeight="1" x14ac:dyDescent="0.25">
      <c r="A126" s="12" t="s">
        <v>0</v>
      </c>
      <c r="B126" s="13" t="s">
        <v>1</v>
      </c>
      <c r="C126" s="13" t="s">
        <v>750</v>
      </c>
      <c r="D126" s="14">
        <v>44096</v>
      </c>
      <c r="E126" s="14">
        <v>44096</v>
      </c>
      <c r="F126" s="14">
        <v>44108</v>
      </c>
      <c r="G126" s="13" t="s">
        <v>3</v>
      </c>
      <c r="H126" s="13" t="s">
        <v>4</v>
      </c>
      <c r="I126" s="15">
        <v>-84578.95</v>
      </c>
      <c r="J126" s="13" t="s">
        <v>5</v>
      </c>
      <c r="K126" s="13" t="s">
        <v>6</v>
      </c>
      <c r="L126" s="15">
        <v>-7100402.8499999996</v>
      </c>
      <c r="M126" s="15">
        <v>-84578.95</v>
      </c>
      <c r="N126" s="16" t="str">
        <f>IF(M126="","",IF(M126&lt;0,-M126&amp;"_"&amp;COUNTIF(M$2:M126,M126),M126&amp;"_"&amp;COUNTIF(M$2:M126,M126)))</f>
        <v>84578.95_1</v>
      </c>
      <c r="O126" s="17" t="str">
        <f t="shared" si="1"/>
        <v/>
      </c>
      <c r="P126" s="13" t="s">
        <v>751</v>
      </c>
      <c r="Q126" s="13" t="s">
        <v>747</v>
      </c>
      <c r="R126" s="13" t="s">
        <v>0</v>
      </c>
      <c r="S126" s="13" t="s">
        <v>0</v>
      </c>
      <c r="T126" s="13" t="s">
        <v>9</v>
      </c>
      <c r="U126" s="13" t="s">
        <v>0</v>
      </c>
      <c r="V126" s="13" t="s">
        <v>0</v>
      </c>
      <c r="W126" s="13" t="s">
        <v>0</v>
      </c>
      <c r="X126" s="13" t="s">
        <v>0</v>
      </c>
      <c r="Y126" s="13" t="s">
        <v>10</v>
      </c>
      <c r="Z126" s="13" t="s">
        <v>0</v>
      </c>
      <c r="AA126" s="14"/>
      <c r="AB126" s="13" t="s">
        <v>0</v>
      </c>
      <c r="AC126" s="13" t="s">
        <v>0</v>
      </c>
      <c r="AD126" s="13" t="s">
        <v>0</v>
      </c>
      <c r="AE126" s="15">
        <v>0</v>
      </c>
    </row>
    <row r="127" spans="1:31" ht="14.15" customHeight="1" x14ac:dyDescent="0.25">
      <c r="A127" s="12" t="s">
        <v>0</v>
      </c>
      <c r="B127" s="13" t="s">
        <v>1</v>
      </c>
      <c r="C127" s="13" t="s">
        <v>2195</v>
      </c>
      <c r="D127" s="14">
        <v>44210</v>
      </c>
      <c r="E127" s="14">
        <v>44210</v>
      </c>
      <c r="F127" s="14">
        <v>44217</v>
      </c>
      <c r="G127" s="13" t="s">
        <v>3</v>
      </c>
      <c r="H127" s="13" t="s">
        <v>4</v>
      </c>
      <c r="I127" s="15">
        <v>-84576.12</v>
      </c>
      <c r="J127" s="13" t="s">
        <v>5</v>
      </c>
      <c r="K127" s="13" t="s">
        <v>6</v>
      </c>
      <c r="L127" s="15">
        <v>-7100165.2699999996</v>
      </c>
      <c r="M127" s="15">
        <v>-84576.12</v>
      </c>
      <c r="N127" s="16" t="str">
        <f>IF(M127="","",IF(M127&lt;0,-M127&amp;"_"&amp;COUNTIF(M$2:M127,M127),M127&amp;"_"&amp;COUNTIF(M$2:M127,M127)))</f>
        <v>84576.12_1</v>
      </c>
      <c r="O127" s="17" t="str">
        <f t="shared" si="1"/>
        <v/>
      </c>
      <c r="P127" s="13" t="s">
        <v>2196</v>
      </c>
      <c r="Q127" s="13" t="s">
        <v>2176</v>
      </c>
      <c r="R127" s="13" t="s">
        <v>0</v>
      </c>
      <c r="S127" s="13" t="s">
        <v>0</v>
      </c>
      <c r="T127" s="13" t="s">
        <v>9</v>
      </c>
      <c r="U127" s="13" t="s">
        <v>0</v>
      </c>
      <c r="V127" s="13" t="s">
        <v>0</v>
      </c>
      <c r="W127" s="13" t="s">
        <v>0</v>
      </c>
      <c r="X127" s="13" t="s">
        <v>0</v>
      </c>
      <c r="Y127" s="13" t="s">
        <v>10</v>
      </c>
      <c r="Z127" s="13" t="s">
        <v>0</v>
      </c>
      <c r="AA127" s="14"/>
      <c r="AB127" s="13" t="s">
        <v>0</v>
      </c>
      <c r="AC127" s="13" t="s">
        <v>0</v>
      </c>
      <c r="AD127" s="13" t="s">
        <v>0</v>
      </c>
      <c r="AE127" s="15">
        <v>0</v>
      </c>
    </row>
    <row r="128" spans="1:31" ht="14.15" customHeight="1" x14ac:dyDescent="0.25">
      <c r="A128" s="12" t="s">
        <v>0</v>
      </c>
      <c r="B128" s="13" t="s">
        <v>1</v>
      </c>
      <c r="C128" s="13" t="s">
        <v>3081</v>
      </c>
      <c r="D128" s="14">
        <v>44285</v>
      </c>
      <c r="E128" s="14">
        <v>44285</v>
      </c>
      <c r="F128" s="14">
        <v>44290</v>
      </c>
      <c r="G128" s="13" t="s">
        <v>3</v>
      </c>
      <c r="H128" s="13" t="s">
        <v>4</v>
      </c>
      <c r="I128" s="15">
        <v>-84542.04</v>
      </c>
      <c r="J128" s="13" t="s">
        <v>5</v>
      </c>
      <c r="K128" s="13" t="s">
        <v>6</v>
      </c>
      <c r="L128" s="15">
        <v>-7097304.2599999998</v>
      </c>
      <c r="M128" s="15">
        <v>-84542.04</v>
      </c>
      <c r="N128" s="16" t="str">
        <f>IF(M128="","",IF(M128&lt;0,-M128&amp;"_"&amp;COUNTIF(M$2:M128,M128),M128&amp;"_"&amp;COUNTIF(M$2:M128,M128)))</f>
        <v>84542.04_1</v>
      </c>
      <c r="O128" s="17" t="str">
        <f t="shared" si="1"/>
        <v/>
      </c>
      <c r="P128" s="13" t="s">
        <v>3082</v>
      </c>
      <c r="Q128" s="13" t="s">
        <v>3074</v>
      </c>
      <c r="R128" s="13" t="s">
        <v>0</v>
      </c>
      <c r="S128" s="13" t="s">
        <v>0</v>
      </c>
      <c r="T128" s="13" t="s">
        <v>9</v>
      </c>
      <c r="U128" s="13" t="s">
        <v>0</v>
      </c>
      <c r="V128" s="13" t="s">
        <v>0</v>
      </c>
      <c r="W128" s="13" t="s">
        <v>0</v>
      </c>
      <c r="X128" s="13" t="s">
        <v>0</v>
      </c>
      <c r="Y128" s="13" t="s">
        <v>10</v>
      </c>
      <c r="Z128" s="13" t="s">
        <v>0</v>
      </c>
      <c r="AA128" s="14"/>
      <c r="AB128" s="13" t="s">
        <v>0</v>
      </c>
      <c r="AC128" s="13" t="s">
        <v>0</v>
      </c>
      <c r="AD128" s="13" t="s">
        <v>0</v>
      </c>
      <c r="AE128" s="15">
        <v>0</v>
      </c>
    </row>
    <row r="129" spans="1:31" ht="14.15" customHeight="1" x14ac:dyDescent="0.25">
      <c r="A129" s="12" t="s">
        <v>0</v>
      </c>
      <c r="B129" s="13" t="s">
        <v>1</v>
      </c>
      <c r="C129" s="13" t="s">
        <v>3614</v>
      </c>
      <c r="D129" s="14">
        <v>44329</v>
      </c>
      <c r="E129" s="14">
        <v>44329</v>
      </c>
      <c r="F129" s="14">
        <v>44336</v>
      </c>
      <c r="G129" s="13" t="s">
        <v>3</v>
      </c>
      <c r="H129" s="13" t="s">
        <v>4</v>
      </c>
      <c r="I129" s="15">
        <v>-84460.05</v>
      </c>
      <c r="J129" s="13" t="s">
        <v>5</v>
      </c>
      <c r="K129" s="13" t="s">
        <v>6</v>
      </c>
      <c r="L129" s="15">
        <v>-7090421.2000000002</v>
      </c>
      <c r="M129" s="15">
        <v>-84460.05</v>
      </c>
      <c r="N129" s="16" t="str">
        <f>IF(M129="","",IF(M129&lt;0,-M129&amp;"_"&amp;COUNTIF(M$2:M129,M129),M129&amp;"_"&amp;COUNTIF(M$2:M129,M129)))</f>
        <v>84460.05_1</v>
      </c>
      <c r="O129" s="17" t="str">
        <f t="shared" si="1"/>
        <v/>
      </c>
      <c r="P129" s="13" t="s">
        <v>3615</v>
      </c>
      <c r="Q129" s="13" t="s">
        <v>3603</v>
      </c>
      <c r="R129" s="13" t="s">
        <v>0</v>
      </c>
      <c r="S129" s="13" t="s">
        <v>0</v>
      </c>
      <c r="T129" s="13" t="s">
        <v>9</v>
      </c>
      <c r="U129" s="13" t="s">
        <v>0</v>
      </c>
      <c r="V129" s="13" t="s">
        <v>0</v>
      </c>
      <c r="W129" s="13" t="s">
        <v>0</v>
      </c>
      <c r="X129" s="13" t="s">
        <v>0</v>
      </c>
      <c r="Y129" s="13" t="s">
        <v>10</v>
      </c>
      <c r="Z129" s="13" t="s">
        <v>0</v>
      </c>
      <c r="AA129" s="14"/>
      <c r="AB129" s="13" t="s">
        <v>0</v>
      </c>
      <c r="AC129" s="13" t="s">
        <v>0</v>
      </c>
      <c r="AD129" s="13" t="s">
        <v>0</v>
      </c>
      <c r="AE129" s="15">
        <v>0</v>
      </c>
    </row>
    <row r="130" spans="1:31" ht="14.15" customHeight="1" x14ac:dyDescent="0.25">
      <c r="A130" s="12" t="s">
        <v>0</v>
      </c>
      <c r="B130" s="13" t="s">
        <v>1</v>
      </c>
      <c r="C130" s="13" t="s">
        <v>358</v>
      </c>
      <c r="D130" s="14">
        <v>44048</v>
      </c>
      <c r="E130" s="14">
        <v>44048</v>
      </c>
      <c r="F130" s="14">
        <v>44072</v>
      </c>
      <c r="G130" s="13" t="s">
        <v>3</v>
      </c>
      <c r="H130" s="13" t="s">
        <v>4</v>
      </c>
      <c r="I130" s="15">
        <v>-83840.44</v>
      </c>
      <c r="J130" s="13" t="s">
        <v>5</v>
      </c>
      <c r="K130" s="13" t="s">
        <v>6</v>
      </c>
      <c r="L130" s="15">
        <v>-7038404.9299999997</v>
      </c>
      <c r="M130" s="15">
        <v>-83840.44</v>
      </c>
      <c r="N130" s="16" t="str">
        <f>IF(M130="","",IF(M130&lt;0,-M130&amp;"_"&amp;COUNTIF(M$2:M130,M130),M130&amp;"_"&amp;COUNTIF(M$2:M130,M130)))</f>
        <v>83840.44_1</v>
      </c>
      <c r="O130" s="17" t="str">
        <f t="shared" ref="O130:O193" si="2">IF(COUNTIF(N:N,N130)=2,"x","")</f>
        <v/>
      </c>
      <c r="P130" s="13" t="s">
        <v>359</v>
      </c>
      <c r="Q130" s="13" t="s">
        <v>357</v>
      </c>
      <c r="R130" s="13" t="s">
        <v>0</v>
      </c>
      <c r="S130" s="13" t="s">
        <v>0</v>
      </c>
      <c r="T130" s="13" t="s">
        <v>9</v>
      </c>
      <c r="U130" s="13" t="s">
        <v>0</v>
      </c>
      <c r="V130" s="13" t="s">
        <v>0</v>
      </c>
      <c r="W130" s="13" t="s">
        <v>0</v>
      </c>
      <c r="X130" s="13" t="s">
        <v>0</v>
      </c>
      <c r="Y130" s="13" t="s">
        <v>10</v>
      </c>
      <c r="Z130" s="13" t="s">
        <v>0</v>
      </c>
      <c r="AA130" s="14"/>
      <c r="AB130" s="13" t="s">
        <v>0</v>
      </c>
      <c r="AC130" s="13" t="s">
        <v>0</v>
      </c>
      <c r="AD130" s="13" t="s">
        <v>0</v>
      </c>
      <c r="AE130" s="15">
        <v>0</v>
      </c>
    </row>
    <row r="131" spans="1:31" ht="14.15" customHeight="1" x14ac:dyDescent="0.25">
      <c r="A131" s="12" t="s">
        <v>0</v>
      </c>
      <c r="B131" s="13" t="s">
        <v>1</v>
      </c>
      <c r="C131" s="13" t="s">
        <v>2335</v>
      </c>
      <c r="D131" s="14">
        <v>44221</v>
      </c>
      <c r="E131" s="14">
        <v>44221</v>
      </c>
      <c r="F131" s="14">
        <v>44226</v>
      </c>
      <c r="G131" s="13" t="s">
        <v>3</v>
      </c>
      <c r="H131" s="13" t="s">
        <v>4</v>
      </c>
      <c r="I131" s="15">
        <v>-82431.73</v>
      </c>
      <c r="J131" s="13" t="s">
        <v>5</v>
      </c>
      <c r="K131" s="13" t="s">
        <v>6</v>
      </c>
      <c r="L131" s="15">
        <v>-6920143.7300000004</v>
      </c>
      <c r="M131" s="15">
        <v>-82431.73</v>
      </c>
      <c r="N131" s="16" t="str">
        <f>IF(M131="","",IF(M131&lt;0,-M131&amp;"_"&amp;COUNTIF(M$2:M131,M131),M131&amp;"_"&amp;COUNTIF(M$2:M131,M131)))</f>
        <v>82431.73_1</v>
      </c>
      <c r="O131" s="17" t="str">
        <f t="shared" si="2"/>
        <v/>
      </c>
      <c r="P131" s="13" t="s">
        <v>2336</v>
      </c>
      <c r="Q131" s="13" t="s">
        <v>2330</v>
      </c>
      <c r="R131" s="13" t="s">
        <v>0</v>
      </c>
      <c r="S131" s="13" t="s">
        <v>0</v>
      </c>
      <c r="T131" s="13" t="s">
        <v>9</v>
      </c>
      <c r="U131" s="13" t="s">
        <v>0</v>
      </c>
      <c r="V131" s="13" t="s">
        <v>0</v>
      </c>
      <c r="W131" s="13" t="s">
        <v>0</v>
      </c>
      <c r="X131" s="13" t="s">
        <v>0</v>
      </c>
      <c r="Y131" s="13" t="s">
        <v>10</v>
      </c>
      <c r="Z131" s="13" t="s">
        <v>0</v>
      </c>
      <c r="AA131" s="14"/>
      <c r="AB131" s="13" t="s">
        <v>0</v>
      </c>
      <c r="AC131" s="13" t="s">
        <v>0</v>
      </c>
      <c r="AD131" s="13" t="s">
        <v>0</v>
      </c>
      <c r="AE131" s="15">
        <v>0</v>
      </c>
    </row>
    <row r="132" spans="1:31" ht="14.15" customHeight="1" x14ac:dyDescent="0.25">
      <c r="A132" s="12" t="s">
        <v>0</v>
      </c>
      <c r="B132" s="13" t="s">
        <v>1</v>
      </c>
      <c r="C132" s="13" t="s">
        <v>4076</v>
      </c>
      <c r="D132" s="14">
        <v>44361</v>
      </c>
      <c r="E132" s="14">
        <v>44361</v>
      </c>
      <c r="F132" s="14">
        <v>44364</v>
      </c>
      <c r="G132" s="13" t="s">
        <v>3</v>
      </c>
      <c r="H132" s="13" t="s">
        <v>4</v>
      </c>
      <c r="I132" s="15">
        <v>-81853.2</v>
      </c>
      <c r="J132" s="13" t="s">
        <v>5</v>
      </c>
      <c r="K132" s="13" t="s">
        <v>6</v>
      </c>
      <c r="L132" s="15">
        <v>-6871576.1399999997</v>
      </c>
      <c r="M132" s="15">
        <v>-81853.2</v>
      </c>
      <c r="N132" s="16" t="str">
        <f>IF(M132="","",IF(M132&lt;0,-M132&amp;"_"&amp;COUNTIF(M$2:M132,M132),M132&amp;"_"&amp;COUNTIF(M$2:M132,M132)))</f>
        <v>81853.2_1</v>
      </c>
      <c r="O132" s="17" t="str">
        <f t="shared" si="2"/>
        <v/>
      </c>
      <c r="P132" s="13" t="s">
        <v>4077</v>
      </c>
      <c r="Q132" s="13" t="s">
        <v>4075</v>
      </c>
      <c r="R132" s="13" t="s">
        <v>0</v>
      </c>
      <c r="S132" s="13" t="s">
        <v>0</v>
      </c>
      <c r="T132" s="13" t="s">
        <v>9</v>
      </c>
      <c r="U132" s="13" t="s">
        <v>0</v>
      </c>
      <c r="V132" s="13" t="s">
        <v>0</v>
      </c>
      <c r="W132" s="13" t="s">
        <v>0</v>
      </c>
      <c r="X132" s="13" t="s">
        <v>0</v>
      </c>
      <c r="Y132" s="13" t="s">
        <v>10</v>
      </c>
      <c r="Z132" s="13" t="s">
        <v>0</v>
      </c>
      <c r="AA132" s="14"/>
      <c r="AB132" s="13" t="s">
        <v>0</v>
      </c>
      <c r="AC132" s="13" t="s">
        <v>0</v>
      </c>
      <c r="AD132" s="13" t="s">
        <v>0</v>
      </c>
      <c r="AE132" s="15">
        <v>0</v>
      </c>
    </row>
    <row r="133" spans="1:31" ht="14.15" customHeight="1" x14ac:dyDescent="0.25">
      <c r="A133" s="12" t="s">
        <v>0</v>
      </c>
      <c r="B133" s="13" t="s">
        <v>1</v>
      </c>
      <c r="C133" s="13" t="s">
        <v>2207</v>
      </c>
      <c r="D133" s="14">
        <v>44212</v>
      </c>
      <c r="E133" s="14">
        <v>44212</v>
      </c>
      <c r="F133" s="14">
        <v>44224</v>
      </c>
      <c r="G133" s="13" t="s">
        <v>3</v>
      </c>
      <c r="H133" s="13" t="s">
        <v>4</v>
      </c>
      <c r="I133" s="15">
        <v>-81765.34</v>
      </c>
      <c r="J133" s="13" t="s">
        <v>5</v>
      </c>
      <c r="K133" s="13" t="s">
        <v>6</v>
      </c>
      <c r="L133" s="15">
        <v>-6864200.29</v>
      </c>
      <c r="M133" s="15">
        <v>-81765.34</v>
      </c>
      <c r="N133" s="16" t="str">
        <f>IF(M133="","",IF(M133&lt;0,-M133&amp;"_"&amp;COUNTIF(M$2:M133,M133),M133&amp;"_"&amp;COUNTIF(M$2:M133,M133)))</f>
        <v>81765.34_1</v>
      </c>
      <c r="O133" s="17" t="str">
        <f t="shared" si="2"/>
        <v/>
      </c>
      <c r="P133" s="13" t="s">
        <v>2208</v>
      </c>
      <c r="Q133" s="13" t="s">
        <v>2206</v>
      </c>
      <c r="R133" s="13" t="s">
        <v>0</v>
      </c>
      <c r="S133" s="13" t="s">
        <v>0</v>
      </c>
      <c r="T133" s="13" t="s">
        <v>9</v>
      </c>
      <c r="U133" s="13" t="s">
        <v>0</v>
      </c>
      <c r="V133" s="13" t="s">
        <v>0</v>
      </c>
      <c r="W133" s="13" t="s">
        <v>0</v>
      </c>
      <c r="X133" s="13" t="s">
        <v>0</v>
      </c>
      <c r="Y133" s="13" t="s">
        <v>10</v>
      </c>
      <c r="Z133" s="13" t="s">
        <v>0</v>
      </c>
      <c r="AA133" s="14"/>
      <c r="AB133" s="13" t="s">
        <v>0</v>
      </c>
      <c r="AC133" s="13" t="s">
        <v>0</v>
      </c>
      <c r="AD133" s="13" t="s">
        <v>0</v>
      </c>
      <c r="AE133" s="15">
        <v>0</v>
      </c>
    </row>
    <row r="134" spans="1:31" ht="14.15" customHeight="1" x14ac:dyDescent="0.25">
      <c r="A134" s="12" t="s">
        <v>0</v>
      </c>
      <c r="B134" s="13" t="s">
        <v>1</v>
      </c>
      <c r="C134" s="13" t="s">
        <v>4043</v>
      </c>
      <c r="D134" s="14">
        <v>44358</v>
      </c>
      <c r="E134" s="14">
        <v>44358</v>
      </c>
      <c r="F134" s="14">
        <v>44364</v>
      </c>
      <c r="G134" s="13" t="s">
        <v>3</v>
      </c>
      <c r="H134" s="13" t="s">
        <v>4</v>
      </c>
      <c r="I134" s="15">
        <v>-81712.259999999995</v>
      </c>
      <c r="J134" s="13" t="s">
        <v>5</v>
      </c>
      <c r="K134" s="13" t="s">
        <v>6</v>
      </c>
      <c r="L134" s="15">
        <v>-6859744.2300000004</v>
      </c>
      <c r="M134" s="15">
        <v>-81712.259999999995</v>
      </c>
      <c r="N134" s="16" t="str">
        <f>IF(M134="","",IF(M134&lt;0,-M134&amp;"_"&amp;COUNTIF(M$2:M134,M134),M134&amp;"_"&amp;COUNTIF(M$2:M134,M134)))</f>
        <v>81712.26_1</v>
      </c>
      <c r="O134" s="17" t="str">
        <f t="shared" si="2"/>
        <v/>
      </c>
      <c r="P134" s="13" t="s">
        <v>4044</v>
      </c>
      <c r="Q134" s="13" t="s">
        <v>4006</v>
      </c>
      <c r="R134" s="13" t="s">
        <v>0</v>
      </c>
      <c r="S134" s="13" t="s">
        <v>0</v>
      </c>
      <c r="T134" s="13" t="s">
        <v>9</v>
      </c>
      <c r="U134" s="13" t="s">
        <v>0</v>
      </c>
      <c r="V134" s="13" t="s">
        <v>0</v>
      </c>
      <c r="W134" s="13" t="s">
        <v>0</v>
      </c>
      <c r="X134" s="13" t="s">
        <v>0</v>
      </c>
      <c r="Y134" s="13" t="s">
        <v>10</v>
      </c>
      <c r="Z134" s="13" t="s">
        <v>0</v>
      </c>
      <c r="AA134" s="14"/>
      <c r="AB134" s="13" t="s">
        <v>0</v>
      </c>
      <c r="AC134" s="13" t="s">
        <v>0</v>
      </c>
      <c r="AD134" s="13" t="s">
        <v>0</v>
      </c>
      <c r="AE134" s="15">
        <v>0</v>
      </c>
    </row>
    <row r="135" spans="1:31" ht="14.15" customHeight="1" x14ac:dyDescent="0.25">
      <c r="A135" s="12" t="s">
        <v>0</v>
      </c>
      <c r="B135" s="13" t="s">
        <v>1</v>
      </c>
      <c r="C135" s="13" t="s">
        <v>2949</v>
      </c>
      <c r="D135" s="14">
        <v>44276</v>
      </c>
      <c r="E135" s="14">
        <v>44276</v>
      </c>
      <c r="F135" s="14">
        <v>44286</v>
      </c>
      <c r="G135" s="13" t="s">
        <v>3</v>
      </c>
      <c r="H135" s="13" t="s">
        <v>4</v>
      </c>
      <c r="I135" s="15">
        <v>-81561.929999999993</v>
      </c>
      <c r="J135" s="13" t="s">
        <v>5</v>
      </c>
      <c r="K135" s="13" t="s">
        <v>6</v>
      </c>
      <c r="L135" s="15">
        <v>-6847124.0199999996</v>
      </c>
      <c r="M135" s="15">
        <v>-81561.929999999993</v>
      </c>
      <c r="N135" s="16" t="str">
        <f>IF(M135="","",IF(M135&lt;0,-M135&amp;"_"&amp;COUNTIF(M$2:M135,M135),M135&amp;"_"&amp;COUNTIF(M$2:M135,M135)))</f>
        <v>81561.93_1</v>
      </c>
      <c r="O135" s="17" t="str">
        <f t="shared" si="2"/>
        <v/>
      </c>
      <c r="P135" s="13" t="s">
        <v>2950</v>
      </c>
      <c r="Q135" s="13" t="s">
        <v>2922</v>
      </c>
      <c r="R135" s="13" t="s">
        <v>0</v>
      </c>
      <c r="S135" s="13" t="s">
        <v>0</v>
      </c>
      <c r="T135" s="13" t="s">
        <v>9</v>
      </c>
      <c r="U135" s="13" t="s">
        <v>0</v>
      </c>
      <c r="V135" s="13" t="s">
        <v>0</v>
      </c>
      <c r="W135" s="13" t="s">
        <v>0</v>
      </c>
      <c r="X135" s="13" t="s">
        <v>0</v>
      </c>
      <c r="Y135" s="13" t="s">
        <v>10</v>
      </c>
      <c r="Z135" s="13" t="s">
        <v>0</v>
      </c>
      <c r="AA135" s="14"/>
      <c r="AB135" s="13" t="s">
        <v>0</v>
      </c>
      <c r="AC135" s="13" t="s">
        <v>0</v>
      </c>
      <c r="AD135" s="13" t="s">
        <v>0</v>
      </c>
      <c r="AE135" s="15">
        <v>0</v>
      </c>
    </row>
    <row r="136" spans="1:31" ht="14.15" customHeight="1" x14ac:dyDescent="0.25">
      <c r="A136" s="12" t="s">
        <v>0</v>
      </c>
      <c r="B136" s="13" t="s">
        <v>1</v>
      </c>
      <c r="C136" s="13" t="s">
        <v>2937</v>
      </c>
      <c r="D136" s="14">
        <v>44276</v>
      </c>
      <c r="E136" s="14">
        <v>44276</v>
      </c>
      <c r="F136" s="14">
        <v>44286</v>
      </c>
      <c r="G136" s="13" t="s">
        <v>3</v>
      </c>
      <c r="H136" s="13" t="s">
        <v>4</v>
      </c>
      <c r="I136" s="15">
        <v>-81323.91</v>
      </c>
      <c r="J136" s="13" t="s">
        <v>5</v>
      </c>
      <c r="K136" s="13" t="s">
        <v>6</v>
      </c>
      <c r="L136" s="15">
        <v>-6827142.2400000002</v>
      </c>
      <c r="M136" s="15">
        <v>-81323.91</v>
      </c>
      <c r="N136" s="16" t="str">
        <f>IF(M136="","",IF(M136&lt;0,-M136&amp;"_"&amp;COUNTIF(M$2:M136,M136),M136&amp;"_"&amp;COUNTIF(M$2:M136,M136)))</f>
        <v>81323.91_1</v>
      </c>
      <c r="O136" s="17" t="str">
        <f t="shared" si="2"/>
        <v/>
      </c>
      <c r="P136" s="13" t="s">
        <v>2938</v>
      </c>
      <c r="Q136" s="13" t="s">
        <v>2922</v>
      </c>
      <c r="R136" s="13" t="s">
        <v>0</v>
      </c>
      <c r="S136" s="13" t="s">
        <v>0</v>
      </c>
      <c r="T136" s="13" t="s">
        <v>9</v>
      </c>
      <c r="U136" s="13" t="s">
        <v>0</v>
      </c>
      <c r="V136" s="13" t="s">
        <v>0</v>
      </c>
      <c r="W136" s="13" t="s">
        <v>0</v>
      </c>
      <c r="X136" s="13" t="s">
        <v>0</v>
      </c>
      <c r="Y136" s="13" t="s">
        <v>10</v>
      </c>
      <c r="Z136" s="13" t="s">
        <v>0</v>
      </c>
      <c r="AA136" s="14"/>
      <c r="AB136" s="13" t="s">
        <v>0</v>
      </c>
      <c r="AC136" s="13" t="s">
        <v>0</v>
      </c>
      <c r="AD136" s="13" t="s">
        <v>0</v>
      </c>
      <c r="AE136" s="15">
        <v>0</v>
      </c>
    </row>
    <row r="137" spans="1:31" ht="14.15" customHeight="1" x14ac:dyDescent="0.25">
      <c r="A137" s="12" t="s">
        <v>0</v>
      </c>
      <c r="B137" s="13" t="s">
        <v>1</v>
      </c>
      <c r="C137" s="13" t="s">
        <v>1320</v>
      </c>
      <c r="D137" s="14">
        <v>44147</v>
      </c>
      <c r="E137" s="14">
        <v>44147</v>
      </c>
      <c r="F137" s="14">
        <v>44165</v>
      </c>
      <c r="G137" s="13" t="s">
        <v>3</v>
      </c>
      <c r="H137" s="13" t="s">
        <v>4</v>
      </c>
      <c r="I137" s="15">
        <v>-80983.45</v>
      </c>
      <c r="J137" s="13" t="s">
        <v>5</v>
      </c>
      <c r="K137" s="13" t="s">
        <v>6</v>
      </c>
      <c r="L137" s="15">
        <v>-6798560.6299999999</v>
      </c>
      <c r="M137" s="15">
        <v>-80983.45</v>
      </c>
      <c r="N137" s="16" t="str">
        <f>IF(M137="","",IF(M137&lt;0,-M137&amp;"_"&amp;COUNTIF(M$2:M137,M137),M137&amp;"_"&amp;COUNTIF(M$2:M137,M137)))</f>
        <v>80983.45_1</v>
      </c>
      <c r="O137" s="17" t="str">
        <f t="shared" si="2"/>
        <v/>
      </c>
      <c r="P137" s="13" t="s">
        <v>1321</v>
      </c>
      <c r="Q137" s="13" t="s">
        <v>1313</v>
      </c>
      <c r="R137" s="13" t="s">
        <v>0</v>
      </c>
      <c r="S137" s="13" t="s">
        <v>0</v>
      </c>
      <c r="T137" s="13" t="s">
        <v>9</v>
      </c>
      <c r="U137" s="13" t="s">
        <v>0</v>
      </c>
      <c r="V137" s="13" t="s">
        <v>0</v>
      </c>
      <c r="W137" s="13" t="s">
        <v>0</v>
      </c>
      <c r="X137" s="13" t="s">
        <v>0</v>
      </c>
      <c r="Y137" s="13" t="s">
        <v>10</v>
      </c>
      <c r="Z137" s="13" t="s">
        <v>0</v>
      </c>
      <c r="AA137" s="14"/>
      <c r="AB137" s="13" t="s">
        <v>0</v>
      </c>
      <c r="AC137" s="13" t="s">
        <v>0</v>
      </c>
      <c r="AD137" s="13" t="s">
        <v>0</v>
      </c>
      <c r="AE137" s="15">
        <v>0</v>
      </c>
    </row>
    <row r="138" spans="1:31" ht="14.15" customHeight="1" x14ac:dyDescent="0.25">
      <c r="A138" s="12" t="s">
        <v>0</v>
      </c>
      <c r="B138" s="13" t="s">
        <v>1</v>
      </c>
      <c r="C138" s="13" t="s">
        <v>1275</v>
      </c>
      <c r="D138" s="14">
        <v>44145</v>
      </c>
      <c r="E138" s="14">
        <v>44145</v>
      </c>
      <c r="F138" s="14">
        <v>44151</v>
      </c>
      <c r="G138" s="13" t="s">
        <v>3</v>
      </c>
      <c r="H138" s="13" t="s">
        <v>4</v>
      </c>
      <c r="I138" s="15">
        <v>-80969.81</v>
      </c>
      <c r="J138" s="13" t="s">
        <v>5</v>
      </c>
      <c r="K138" s="13" t="s">
        <v>6</v>
      </c>
      <c r="L138" s="15">
        <v>-6797415.5499999998</v>
      </c>
      <c r="M138" s="15">
        <v>-80969.81</v>
      </c>
      <c r="N138" s="16" t="str">
        <f>IF(M138="","",IF(M138&lt;0,-M138&amp;"_"&amp;COUNTIF(M$2:M138,M138),M138&amp;"_"&amp;COUNTIF(M$2:M138,M138)))</f>
        <v>80969.81_1</v>
      </c>
      <c r="O138" s="17" t="str">
        <f t="shared" si="2"/>
        <v/>
      </c>
      <c r="P138" s="13" t="s">
        <v>1276</v>
      </c>
      <c r="Q138" s="13" t="s">
        <v>1277</v>
      </c>
      <c r="R138" s="13" t="s">
        <v>0</v>
      </c>
      <c r="S138" s="13" t="s">
        <v>0</v>
      </c>
      <c r="T138" s="13" t="s">
        <v>9</v>
      </c>
      <c r="U138" s="13" t="s">
        <v>0</v>
      </c>
      <c r="V138" s="13" t="s">
        <v>0</v>
      </c>
      <c r="W138" s="13" t="s">
        <v>0</v>
      </c>
      <c r="X138" s="13" t="s">
        <v>0</v>
      </c>
      <c r="Y138" s="13" t="s">
        <v>10</v>
      </c>
      <c r="Z138" s="13" t="s">
        <v>0</v>
      </c>
      <c r="AA138" s="14"/>
      <c r="AB138" s="13" t="s">
        <v>0</v>
      </c>
      <c r="AC138" s="13" t="s">
        <v>0</v>
      </c>
      <c r="AD138" s="13" t="s">
        <v>0</v>
      </c>
      <c r="AE138" s="15">
        <v>0</v>
      </c>
    </row>
    <row r="139" spans="1:31" ht="14.15" customHeight="1" x14ac:dyDescent="0.25">
      <c r="A139" s="12" t="s">
        <v>0</v>
      </c>
      <c r="B139" s="13" t="s">
        <v>1</v>
      </c>
      <c r="C139" s="13" t="s">
        <v>1436</v>
      </c>
      <c r="D139" s="14">
        <v>44157</v>
      </c>
      <c r="E139" s="14">
        <v>44157</v>
      </c>
      <c r="F139" s="14">
        <v>44161</v>
      </c>
      <c r="G139" s="13" t="s">
        <v>3</v>
      </c>
      <c r="H139" s="13" t="s">
        <v>4</v>
      </c>
      <c r="I139" s="15">
        <v>-80451.61</v>
      </c>
      <c r="J139" s="13" t="s">
        <v>5</v>
      </c>
      <c r="K139" s="13" t="s">
        <v>6</v>
      </c>
      <c r="L139" s="15">
        <v>-6753912.6600000001</v>
      </c>
      <c r="M139" s="15">
        <v>-80451.61</v>
      </c>
      <c r="N139" s="16" t="str">
        <f>IF(M139="","",IF(M139&lt;0,-M139&amp;"_"&amp;COUNTIF(M$2:M139,M139),M139&amp;"_"&amp;COUNTIF(M$2:M139,M139)))</f>
        <v>80451.61_1</v>
      </c>
      <c r="O139" s="17" t="str">
        <f t="shared" si="2"/>
        <v/>
      </c>
      <c r="P139" s="13" t="s">
        <v>1437</v>
      </c>
      <c r="Q139" s="13" t="s">
        <v>1435</v>
      </c>
      <c r="R139" s="13" t="s">
        <v>0</v>
      </c>
      <c r="S139" s="13" t="s">
        <v>0</v>
      </c>
      <c r="T139" s="13" t="s">
        <v>9</v>
      </c>
      <c r="U139" s="13" t="s">
        <v>0</v>
      </c>
      <c r="V139" s="13" t="s">
        <v>0</v>
      </c>
      <c r="W139" s="13" t="s">
        <v>0</v>
      </c>
      <c r="X139" s="13" t="s">
        <v>0</v>
      </c>
      <c r="Y139" s="13" t="s">
        <v>10</v>
      </c>
      <c r="Z139" s="13" t="s">
        <v>0</v>
      </c>
      <c r="AA139" s="14"/>
      <c r="AB139" s="13" t="s">
        <v>0</v>
      </c>
      <c r="AC139" s="13" t="s">
        <v>0</v>
      </c>
      <c r="AD139" s="13" t="s">
        <v>0</v>
      </c>
      <c r="AE139" s="15">
        <v>0</v>
      </c>
    </row>
    <row r="140" spans="1:31" ht="14.15" customHeight="1" x14ac:dyDescent="0.25">
      <c r="A140" s="12" t="s">
        <v>0</v>
      </c>
      <c r="B140" s="13" t="s">
        <v>1</v>
      </c>
      <c r="C140" s="13" t="s">
        <v>283</v>
      </c>
      <c r="D140" s="14">
        <v>44042</v>
      </c>
      <c r="E140" s="14">
        <v>44042</v>
      </c>
      <c r="F140" s="14">
        <v>44053</v>
      </c>
      <c r="G140" s="13" t="s">
        <v>3</v>
      </c>
      <c r="H140" s="13" t="s">
        <v>4</v>
      </c>
      <c r="I140" s="15">
        <v>-80445.63</v>
      </c>
      <c r="J140" s="13" t="s">
        <v>5</v>
      </c>
      <c r="K140" s="13" t="s">
        <v>6</v>
      </c>
      <c r="L140" s="15">
        <v>-6753410.6399999997</v>
      </c>
      <c r="M140" s="15">
        <v>-80445.63</v>
      </c>
      <c r="N140" s="16" t="str">
        <f>IF(M140="","",IF(M140&lt;0,-M140&amp;"_"&amp;COUNTIF(M$2:M140,M140),M140&amp;"_"&amp;COUNTIF(M$2:M140,M140)))</f>
        <v>80445.63_1</v>
      </c>
      <c r="O140" s="17" t="str">
        <f t="shared" si="2"/>
        <v/>
      </c>
      <c r="P140" s="13" t="s">
        <v>284</v>
      </c>
      <c r="Q140" s="13" t="s">
        <v>268</v>
      </c>
      <c r="R140" s="13" t="s">
        <v>0</v>
      </c>
      <c r="S140" s="13" t="s">
        <v>0</v>
      </c>
      <c r="T140" s="13" t="s">
        <v>9</v>
      </c>
      <c r="U140" s="13" t="s">
        <v>0</v>
      </c>
      <c r="V140" s="13" t="s">
        <v>0</v>
      </c>
      <c r="W140" s="13" t="s">
        <v>0</v>
      </c>
      <c r="X140" s="13" t="s">
        <v>0</v>
      </c>
      <c r="Y140" s="13" t="s">
        <v>10</v>
      </c>
      <c r="Z140" s="13" t="s">
        <v>0</v>
      </c>
      <c r="AA140" s="14"/>
      <c r="AB140" s="13" t="s">
        <v>0</v>
      </c>
      <c r="AC140" s="13" t="s">
        <v>0</v>
      </c>
      <c r="AD140" s="13" t="s">
        <v>0</v>
      </c>
      <c r="AE140" s="15">
        <v>0</v>
      </c>
    </row>
    <row r="141" spans="1:31" ht="14.15" customHeight="1" x14ac:dyDescent="0.25">
      <c r="A141" s="12" t="s">
        <v>0</v>
      </c>
      <c r="B141" s="13" t="s">
        <v>1</v>
      </c>
      <c r="C141" s="13" t="s">
        <v>4031</v>
      </c>
      <c r="D141" s="14">
        <v>44358</v>
      </c>
      <c r="E141" s="14">
        <v>44358</v>
      </c>
      <c r="F141" s="14">
        <v>44364</v>
      </c>
      <c r="G141" s="13" t="s">
        <v>3</v>
      </c>
      <c r="H141" s="13" t="s">
        <v>4</v>
      </c>
      <c r="I141" s="15">
        <v>-80235.100000000006</v>
      </c>
      <c r="J141" s="13" t="s">
        <v>5</v>
      </c>
      <c r="K141" s="13" t="s">
        <v>6</v>
      </c>
      <c r="L141" s="15">
        <v>-6735736.6500000004</v>
      </c>
      <c r="M141" s="15">
        <v>-80235.100000000006</v>
      </c>
      <c r="N141" s="16" t="str">
        <f>IF(M141="","",IF(M141&lt;0,-M141&amp;"_"&amp;COUNTIF(M$2:M141,M141),M141&amp;"_"&amp;COUNTIF(M$2:M141,M141)))</f>
        <v>80235.1_1</v>
      </c>
      <c r="O141" s="17" t="str">
        <f t="shared" si="2"/>
        <v/>
      </c>
      <c r="P141" s="13" t="s">
        <v>4032</v>
      </c>
      <c r="Q141" s="13" t="s">
        <v>4006</v>
      </c>
      <c r="R141" s="13" t="s">
        <v>0</v>
      </c>
      <c r="S141" s="13" t="s">
        <v>0</v>
      </c>
      <c r="T141" s="13" t="s">
        <v>9</v>
      </c>
      <c r="U141" s="13" t="s">
        <v>0</v>
      </c>
      <c r="V141" s="13" t="s">
        <v>0</v>
      </c>
      <c r="W141" s="13" t="s">
        <v>0</v>
      </c>
      <c r="X141" s="13" t="s">
        <v>0</v>
      </c>
      <c r="Y141" s="13" t="s">
        <v>10</v>
      </c>
      <c r="Z141" s="13" t="s">
        <v>0</v>
      </c>
      <c r="AA141" s="14"/>
      <c r="AB141" s="13" t="s">
        <v>0</v>
      </c>
      <c r="AC141" s="13" t="s">
        <v>0</v>
      </c>
      <c r="AD141" s="13" t="s">
        <v>0</v>
      </c>
      <c r="AE141" s="15">
        <v>0</v>
      </c>
    </row>
    <row r="142" spans="1:31" ht="14.15" customHeight="1" x14ac:dyDescent="0.25">
      <c r="A142" s="12" t="s">
        <v>0</v>
      </c>
      <c r="B142" s="13" t="s">
        <v>1</v>
      </c>
      <c r="C142" s="13" t="s">
        <v>3614</v>
      </c>
      <c r="D142" s="14">
        <v>44329</v>
      </c>
      <c r="E142" s="14">
        <v>44329</v>
      </c>
      <c r="F142" s="14">
        <v>44336</v>
      </c>
      <c r="G142" s="13" t="s">
        <v>3</v>
      </c>
      <c r="H142" s="13" t="s">
        <v>4</v>
      </c>
      <c r="I142" s="15">
        <v>-79932.62</v>
      </c>
      <c r="J142" s="13" t="s">
        <v>5</v>
      </c>
      <c r="K142" s="13" t="s">
        <v>6</v>
      </c>
      <c r="L142" s="15">
        <v>-6710343.4500000002</v>
      </c>
      <c r="M142" s="15">
        <v>-79932.62</v>
      </c>
      <c r="N142" s="16" t="str">
        <f>IF(M142="","",IF(M142&lt;0,-M142&amp;"_"&amp;COUNTIF(M$2:M142,M142),M142&amp;"_"&amp;COUNTIF(M$2:M142,M142)))</f>
        <v>79932.62_1</v>
      </c>
      <c r="O142" s="17" t="str">
        <f t="shared" si="2"/>
        <v/>
      </c>
      <c r="P142" s="13" t="s">
        <v>3615</v>
      </c>
      <c r="Q142" s="13" t="s">
        <v>3603</v>
      </c>
      <c r="R142" s="13" t="s">
        <v>0</v>
      </c>
      <c r="S142" s="13" t="s">
        <v>0</v>
      </c>
      <c r="T142" s="13" t="s">
        <v>9</v>
      </c>
      <c r="U142" s="13" t="s">
        <v>0</v>
      </c>
      <c r="V142" s="13" t="s">
        <v>0</v>
      </c>
      <c r="W142" s="13" t="s">
        <v>0</v>
      </c>
      <c r="X142" s="13" t="s">
        <v>0</v>
      </c>
      <c r="Y142" s="13" t="s">
        <v>10</v>
      </c>
      <c r="Z142" s="13" t="s">
        <v>0</v>
      </c>
      <c r="AA142" s="14"/>
      <c r="AB142" s="13" t="s">
        <v>0</v>
      </c>
      <c r="AC142" s="13" t="s">
        <v>0</v>
      </c>
      <c r="AD142" s="13" t="s">
        <v>0</v>
      </c>
      <c r="AE142" s="15">
        <v>0</v>
      </c>
    </row>
    <row r="143" spans="1:31" ht="14.15" customHeight="1" x14ac:dyDescent="0.25">
      <c r="A143" s="12" t="s">
        <v>0</v>
      </c>
      <c r="B143" s="13" t="s">
        <v>1</v>
      </c>
      <c r="C143" s="13" t="s">
        <v>2493</v>
      </c>
      <c r="D143" s="14">
        <v>44235</v>
      </c>
      <c r="E143" s="14">
        <v>44235</v>
      </c>
      <c r="F143" s="14">
        <v>44241</v>
      </c>
      <c r="G143" s="13" t="s">
        <v>3</v>
      </c>
      <c r="H143" s="13" t="s">
        <v>4</v>
      </c>
      <c r="I143" s="15">
        <v>-79680.33</v>
      </c>
      <c r="J143" s="13" t="s">
        <v>5</v>
      </c>
      <c r="K143" s="13" t="s">
        <v>6</v>
      </c>
      <c r="L143" s="15">
        <v>-6689163.71</v>
      </c>
      <c r="M143" s="15">
        <v>-79680.33</v>
      </c>
      <c r="N143" s="16" t="str">
        <f>IF(M143="","",IF(M143&lt;0,-M143&amp;"_"&amp;COUNTIF(M$2:M143,M143),M143&amp;"_"&amp;COUNTIF(M$2:M143,M143)))</f>
        <v>79680.33_1</v>
      </c>
      <c r="O143" s="17" t="str">
        <f t="shared" si="2"/>
        <v/>
      </c>
      <c r="P143" s="13" t="s">
        <v>2494</v>
      </c>
      <c r="Q143" s="13" t="s">
        <v>2495</v>
      </c>
      <c r="R143" s="13" t="s">
        <v>0</v>
      </c>
      <c r="S143" s="13" t="s">
        <v>0</v>
      </c>
      <c r="T143" s="13" t="s">
        <v>9</v>
      </c>
      <c r="U143" s="13" t="s">
        <v>0</v>
      </c>
      <c r="V143" s="13" t="s">
        <v>0</v>
      </c>
      <c r="W143" s="13" t="s">
        <v>0</v>
      </c>
      <c r="X143" s="13" t="s">
        <v>0</v>
      </c>
      <c r="Y143" s="13" t="s">
        <v>10</v>
      </c>
      <c r="Z143" s="13" t="s">
        <v>0</v>
      </c>
      <c r="AA143" s="14"/>
      <c r="AB143" s="13" t="s">
        <v>0</v>
      </c>
      <c r="AC143" s="13" t="s">
        <v>0</v>
      </c>
      <c r="AD143" s="13" t="s">
        <v>0</v>
      </c>
      <c r="AE143" s="15">
        <v>0</v>
      </c>
    </row>
    <row r="144" spans="1:31" ht="14.15" customHeight="1" x14ac:dyDescent="0.25">
      <c r="A144" s="12" t="s">
        <v>0</v>
      </c>
      <c r="B144" s="13" t="s">
        <v>1</v>
      </c>
      <c r="C144" s="13" t="s">
        <v>4361</v>
      </c>
      <c r="D144" s="14">
        <v>44376</v>
      </c>
      <c r="E144" s="14">
        <v>44376</v>
      </c>
      <c r="F144" s="14">
        <v>44382</v>
      </c>
      <c r="G144" s="13" t="s">
        <v>3</v>
      </c>
      <c r="H144" s="13" t="s">
        <v>4</v>
      </c>
      <c r="I144" s="15">
        <v>-79462.61</v>
      </c>
      <c r="J144" s="13" t="s">
        <v>5</v>
      </c>
      <c r="K144" s="13" t="s">
        <v>6</v>
      </c>
      <c r="L144" s="15">
        <v>-6670886.1100000003</v>
      </c>
      <c r="M144" s="15">
        <v>-79462.61</v>
      </c>
      <c r="N144" s="16" t="str">
        <f>IF(M144="","",IF(M144&lt;0,-M144&amp;"_"&amp;COUNTIF(M$2:M144,M144),M144&amp;"_"&amp;COUNTIF(M$2:M144,M144)))</f>
        <v>79462.61_1</v>
      </c>
      <c r="O144" s="17" t="str">
        <f t="shared" si="2"/>
        <v/>
      </c>
      <c r="P144" s="13" t="s">
        <v>4362</v>
      </c>
      <c r="Q144" s="13" t="s">
        <v>4350</v>
      </c>
      <c r="R144" s="13" t="s">
        <v>0</v>
      </c>
      <c r="S144" s="13" t="s">
        <v>0</v>
      </c>
      <c r="T144" s="13" t="s">
        <v>9</v>
      </c>
      <c r="U144" s="13" t="s">
        <v>0</v>
      </c>
      <c r="V144" s="13" t="s">
        <v>0</v>
      </c>
      <c r="W144" s="13" t="s">
        <v>0</v>
      </c>
      <c r="X144" s="13" t="s">
        <v>0</v>
      </c>
      <c r="Y144" s="13" t="s">
        <v>10</v>
      </c>
      <c r="Z144" s="13" t="s">
        <v>0</v>
      </c>
      <c r="AA144" s="14"/>
      <c r="AB144" s="13" t="s">
        <v>0</v>
      </c>
      <c r="AC144" s="13" t="s">
        <v>0</v>
      </c>
      <c r="AD144" s="13" t="s">
        <v>0</v>
      </c>
      <c r="AE144" s="15">
        <v>0</v>
      </c>
    </row>
    <row r="145" spans="1:31" ht="14.15" customHeight="1" x14ac:dyDescent="0.25">
      <c r="A145" s="12" t="s">
        <v>0</v>
      </c>
      <c r="B145" s="13" t="s">
        <v>1</v>
      </c>
      <c r="C145" s="13" t="s">
        <v>4315</v>
      </c>
      <c r="D145" s="14">
        <v>44372</v>
      </c>
      <c r="E145" s="14">
        <v>44372</v>
      </c>
      <c r="F145" s="14">
        <v>44376</v>
      </c>
      <c r="G145" s="13" t="s">
        <v>3</v>
      </c>
      <c r="H145" s="13" t="s">
        <v>4</v>
      </c>
      <c r="I145" s="15">
        <v>-79322.399999999994</v>
      </c>
      <c r="J145" s="13" t="s">
        <v>5</v>
      </c>
      <c r="K145" s="13" t="s">
        <v>6</v>
      </c>
      <c r="L145" s="15">
        <v>-6659115.4699999997</v>
      </c>
      <c r="M145" s="15">
        <v>-79322.399999999994</v>
      </c>
      <c r="N145" s="16" t="str">
        <f>IF(M145="","",IF(M145&lt;0,-M145&amp;"_"&amp;COUNTIF(M$2:M145,M145),M145&amp;"_"&amp;COUNTIF(M$2:M145,M145)))</f>
        <v>79322.4_1</v>
      </c>
      <c r="O145" s="17" t="str">
        <f t="shared" si="2"/>
        <v/>
      </c>
      <c r="P145" s="13" t="s">
        <v>4316</v>
      </c>
      <c r="Q145" s="13" t="s">
        <v>4312</v>
      </c>
      <c r="R145" s="13" t="s">
        <v>0</v>
      </c>
      <c r="S145" s="13" t="s">
        <v>0</v>
      </c>
      <c r="T145" s="13" t="s">
        <v>9</v>
      </c>
      <c r="U145" s="13" t="s">
        <v>0</v>
      </c>
      <c r="V145" s="13" t="s">
        <v>0</v>
      </c>
      <c r="W145" s="13" t="s">
        <v>0</v>
      </c>
      <c r="X145" s="13" t="s">
        <v>0</v>
      </c>
      <c r="Y145" s="13" t="s">
        <v>10</v>
      </c>
      <c r="Z145" s="13" t="s">
        <v>0</v>
      </c>
      <c r="AA145" s="14"/>
      <c r="AB145" s="13" t="s">
        <v>0</v>
      </c>
      <c r="AC145" s="13" t="s">
        <v>0</v>
      </c>
      <c r="AD145" s="13" t="s">
        <v>0</v>
      </c>
      <c r="AE145" s="15">
        <v>0</v>
      </c>
    </row>
    <row r="146" spans="1:31" ht="14.15" customHeight="1" x14ac:dyDescent="0.25">
      <c r="A146" s="12" t="s">
        <v>0</v>
      </c>
      <c r="B146" s="13" t="s">
        <v>1</v>
      </c>
      <c r="C146" s="13" t="s">
        <v>4033</v>
      </c>
      <c r="D146" s="14">
        <v>44358</v>
      </c>
      <c r="E146" s="14">
        <v>44358</v>
      </c>
      <c r="F146" s="14">
        <v>44364</v>
      </c>
      <c r="G146" s="13" t="s">
        <v>3</v>
      </c>
      <c r="H146" s="13" t="s">
        <v>4</v>
      </c>
      <c r="I146" s="15">
        <v>-78925.16</v>
      </c>
      <c r="J146" s="13" t="s">
        <v>5</v>
      </c>
      <c r="K146" s="13" t="s">
        <v>6</v>
      </c>
      <c r="L146" s="15">
        <v>-6625767.1900000004</v>
      </c>
      <c r="M146" s="15">
        <v>-78925.16</v>
      </c>
      <c r="N146" s="16" t="str">
        <f>IF(M146="","",IF(M146&lt;0,-M146&amp;"_"&amp;COUNTIF(M$2:M146,M146),M146&amp;"_"&amp;COUNTIF(M$2:M146,M146)))</f>
        <v>78925.16_1</v>
      </c>
      <c r="O146" s="17" t="str">
        <f t="shared" si="2"/>
        <v/>
      </c>
      <c r="P146" s="13" t="s">
        <v>4034</v>
      </c>
      <c r="Q146" s="13" t="s">
        <v>4006</v>
      </c>
      <c r="R146" s="13" t="s">
        <v>0</v>
      </c>
      <c r="S146" s="13" t="s">
        <v>0</v>
      </c>
      <c r="T146" s="13" t="s">
        <v>9</v>
      </c>
      <c r="U146" s="13" t="s">
        <v>0</v>
      </c>
      <c r="V146" s="13" t="s">
        <v>0</v>
      </c>
      <c r="W146" s="13" t="s">
        <v>0</v>
      </c>
      <c r="X146" s="13" t="s">
        <v>0</v>
      </c>
      <c r="Y146" s="13" t="s">
        <v>10</v>
      </c>
      <c r="Z146" s="13" t="s">
        <v>0</v>
      </c>
      <c r="AA146" s="14"/>
      <c r="AB146" s="13" t="s">
        <v>0</v>
      </c>
      <c r="AC146" s="13" t="s">
        <v>0</v>
      </c>
      <c r="AD146" s="13" t="s">
        <v>0</v>
      </c>
      <c r="AE146" s="15">
        <v>0</v>
      </c>
    </row>
    <row r="147" spans="1:31" ht="14.15" customHeight="1" x14ac:dyDescent="0.25">
      <c r="A147" s="12" t="s">
        <v>0</v>
      </c>
      <c r="B147" s="13" t="s">
        <v>1</v>
      </c>
      <c r="C147" s="13" t="s">
        <v>1479</v>
      </c>
      <c r="D147" s="14">
        <v>44160</v>
      </c>
      <c r="E147" s="14">
        <v>44160</v>
      </c>
      <c r="F147" s="14">
        <v>44165</v>
      </c>
      <c r="G147" s="13" t="s">
        <v>3</v>
      </c>
      <c r="H147" s="13" t="s">
        <v>4</v>
      </c>
      <c r="I147" s="15">
        <v>-78724.710000000006</v>
      </c>
      <c r="J147" s="13" t="s">
        <v>5</v>
      </c>
      <c r="K147" s="13" t="s">
        <v>6</v>
      </c>
      <c r="L147" s="15">
        <v>-6608939.4100000001</v>
      </c>
      <c r="M147" s="15">
        <v>-78724.710000000006</v>
      </c>
      <c r="N147" s="16" t="str">
        <f>IF(M147="","",IF(M147&lt;0,-M147&amp;"_"&amp;COUNTIF(M$2:M147,M147),M147&amp;"_"&amp;COUNTIF(M$2:M147,M147)))</f>
        <v>78724.71_1</v>
      </c>
      <c r="O147" s="17" t="str">
        <f t="shared" si="2"/>
        <v/>
      </c>
      <c r="P147" s="13" t="s">
        <v>1480</v>
      </c>
      <c r="Q147" s="13" t="s">
        <v>1470</v>
      </c>
      <c r="R147" s="13" t="s">
        <v>0</v>
      </c>
      <c r="S147" s="13" t="s">
        <v>0</v>
      </c>
      <c r="T147" s="13" t="s">
        <v>9</v>
      </c>
      <c r="U147" s="13" t="s">
        <v>0</v>
      </c>
      <c r="V147" s="13" t="s">
        <v>0</v>
      </c>
      <c r="W147" s="13" t="s">
        <v>0</v>
      </c>
      <c r="X147" s="13" t="s">
        <v>0</v>
      </c>
      <c r="Y147" s="13" t="s">
        <v>10</v>
      </c>
      <c r="Z147" s="13" t="s">
        <v>0</v>
      </c>
      <c r="AA147" s="14"/>
      <c r="AB147" s="13" t="s">
        <v>0</v>
      </c>
      <c r="AC147" s="13" t="s">
        <v>0</v>
      </c>
      <c r="AD147" s="13" t="s">
        <v>0</v>
      </c>
      <c r="AE147" s="15">
        <v>0</v>
      </c>
    </row>
    <row r="148" spans="1:31" ht="14.15" customHeight="1" x14ac:dyDescent="0.25">
      <c r="A148" s="12" t="s">
        <v>0</v>
      </c>
      <c r="B148" s="13" t="s">
        <v>1</v>
      </c>
      <c r="C148" s="13" t="s">
        <v>132</v>
      </c>
      <c r="D148" s="14">
        <v>44028</v>
      </c>
      <c r="E148" s="14">
        <v>44028</v>
      </c>
      <c r="F148" s="14">
        <v>44032</v>
      </c>
      <c r="G148" s="13" t="s">
        <v>3</v>
      </c>
      <c r="H148" s="13" t="s">
        <v>4</v>
      </c>
      <c r="I148" s="15">
        <v>-78642.240000000005</v>
      </c>
      <c r="J148" s="13" t="s">
        <v>5</v>
      </c>
      <c r="K148" s="13" t="s">
        <v>6</v>
      </c>
      <c r="L148" s="15">
        <v>-6602016.0499999998</v>
      </c>
      <c r="M148" s="15">
        <v>-78642.240000000005</v>
      </c>
      <c r="N148" s="16" t="str">
        <f>IF(M148="","",IF(M148&lt;0,-M148&amp;"_"&amp;COUNTIF(M$2:M148,M148),M148&amp;"_"&amp;COUNTIF(M$2:M148,M148)))</f>
        <v>78642.24_1</v>
      </c>
      <c r="O148" s="17" t="str">
        <f t="shared" si="2"/>
        <v/>
      </c>
      <c r="P148" s="13" t="s">
        <v>133</v>
      </c>
      <c r="Q148" s="13" t="s">
        <v>129</v>
      </c>
      <c r="R148" s="13" t="s">
        <v>0</v>
      </c>
      <c r="S148" s="13" t="s">
        <v>0</v>
      </c>
      <c r="T148" s="13" t="s">
        <v>9</v>
      </c>
      <c r="U148" s="13" t="s">
        <v>0</v>
      </c>
      <c r="V148" s="13" t="s">
        <v>0</v>
      </c>
      <c r="W148" s="13" t="s">
        <v>0</v>
      </c>
      <c r="X148" s="13" t="s">
        <v>0</v>
      </c>
      <c r="Y148" s="13" t="s">
        <v>10</v>
      </c>
      <c r="Z148" s="13" t="s">
        <v>0</v>
      </c>
      <c r="AA148" s="14"/>
      <c r="AB148" s="13" t="s">
        <v>0</v>
      </c>
      <c r="AC148" s="13" t="s">
        <v>0</v>
      </c>
      <c r="AD148" s="13" t="s">
        <v>0</v>
      </c>
      <c r="AE148" s="15">
        <v>0</v>
      </c>
    </row>
    <row r="149" spans="1:31" ht="14.15" customHeight="1" x14ac:dyDescent="0.25">
      <c r="A149" s="12" t="s">
        <v>0</v>
      </c>
      <c r="B149" s="13" t="s">
        <v>1</v>
      </c>
      <c r="C149" s="13" t="s">
        <v>3508</v>
      </c>
      <c r="D149" s="14">
        <v>44323</v>
      </c>
      <c r="E149" s="14">
        <v>44323</v>
      </c>
      <c r="F149" s="14">
        <v>44329</v>
      </c>
      <c r="G149" s="13" t="s">
        <v>3</v>
      </c>
      <c r="H149" s="13" t="s">
        <v>4</v>
      </c>
      <c r="I149" s="15">
        <v>-78384.12</v>
      </c>
      <c r="J149" s="13" t="s">
        <v>5</v>
      </c>
      <c r="K149" s="13" t="s">
        <v>6</v>
      </c>
      <c r="L149" s="15">
        <v>-6580346.8700000001</v>
      </c>
      <c r="M149" s="15">
        <v>-78384.12</v>
      </c>
      <c r="N149" s="16" t="str">
        <f>IF(M149="","",IF(M149&lt;0,-M149&amp;"_"&amp;COUNTIF(M$2:M149,M149),M149&amp;"_"&amp;COUNTIF(M$2:M149,M149)))</f>
        <v>78384.12_1</v>
      </c>
      <c r="O149" s="17" t="str">
        <f t="shared" si="2"/>
        <v/>
      </c>
      <c r="P149" s="13" t="s">
        <v>3509</v>
      </c>
      <c r="Q149" s="13" t="s">
        <v>3503</v>
      </c>
      <c r="R149" s="13" t="s">
        <v>0</v>
      </c>
      <c r="S149" s="13" t="s">
        <v>0</v>
      </c>
      <c r="T149" s="13" t="s">
        <v>9</v>
      </c>
      <c r="U149" s="13" t="s">
        <v>0</v>
      </c>
      <c r="V149" s="13" t="s">
        <v>0</v>
      </c>
      <c r="W149" s="13" t="s">
        <v>0</v>
      </c>
      <c r="X149" s="13" t="s">
        <v>0</v>
      </c>
      <c r="Y149" s="13" t="s">
        <v>10</v>
      </c>
      <c r="Z149" s="13" t="s">
        <v>0</v>
      </c>
      <c r="AA149" s="14"/>
      <c r="AB149" s="13" t="s">
        <v>0</v>
      </c>
      <c r="AC149" s="13" t="s">
        <v>0</v>
      </c>
      <c r="AD149" s="13" t="s">
        <v>0</v>
      </c>
      <c r="AE149" s="15">
        <v>0</v>
      </c>
    </row>
    <row r="150" spans="1:31" ht="14.15" customHeight="1" x14ac:dyDescent="0.25">
      <c r="A150" s="12" t="s">
        <v>0</v>
      </c>
      <c r="B150" s="13" t="s">
        <v>454</v>
      </c>
      <c r="C150" s="13" t="s">
        <v>1035</v>
      </c>
      <c r="D150" s="14">
        <v>44130</v>
      </c>
      <c r="E150" s="14">
        <v>44130</v>
      </c>
      <c r="F150" s="14">
        <v>44138</v>
      </c>
      <c r="G150" s="13" t="s">
        <v>48</v>
      </c>
      <c r="H150" s="13" t="s">
        <v>4</v>
      </c>
      <c r="I150" s="15">
        <v>-78339.7</v>
      </c>
      <c r="J150" s="13" t="s">
        <v>5</v>
      </c>
      <c r="K150" s="13" t="s">
        <v>6</v>
      </c>
      <c r="L150" s="15">
        <v>-6576617.8200000003</v>
      </c>
      <c r="M150" s="15">
        <v>-78339.7</v>
      </c>
      <c r="N150" s="16" t="str">
        <f>IF(M150="","",IF(M150&lt;0,-M150&amp;"_"&amp;COUNTIF(M$2:M150,M150),M150&amp;"_"&amp;COUNTIF(M$2:M150,M150)))</f>
        <v>78339.7_1</v>
      </c>
      <c r="O150" s="17" t="str">
        <f t="shared" si="2"/>
        <v/>
      </c>
      <c r="P150" s="13" t="s">
        <v>1036</v>
      </c>
      <c r="Q150" s="13" t="s">
        <v>1036</v>
      </c>
      <c r="R150" s="13" t="s">
        <v>1037</v>
      </c>
      <c r="S150" s="13" t="s">
        <v>0</v>
      </c>
      <c r="T150" s="13" t="s">
        <v>9</v>
      </c>
      <c r="U150" s="13" t="s">
        <v>1038</v>
      </c>
      <c r="V150" s="13" t="s">
        <v>0</v>
      </c>
      <c r="W150" s="13" t="s">
        <v>0</v>
      </c>
      <c r="X150" s="13" t="s">
        <v>0</v>
      </c>
      <c r="Y150" s="13" t="s">
        <v>10</v>
      </c>
      <c r="Z150" s="13" t="s">
        <v>0</v>
      </c>
      <c r="AA150" s="14"/>
      <c r="AB150" s="13" t="s">
        <v>0</v>
      </c>
      <c r="AC150" s="13" t="s">
        <v>0</v>
      </c>
      <c r="AD150" s="13" t="s">
        <v>0</v>
      </c>
      <c r="AE150" s="15">
        <v>0</v>
      </c>
    </row>
    <row r="151" spans="1:31" ht="14.15" customHeight="1" x14ac:dyDescent="0.25">
      <c r="A151" s="12" t="s">
        <v>0</v>
      </c>
      <c r="B151" s="13" t="s">
        <v>1</v>
      </c>
      <c r="C151" s="13" t="s">
        <v>1590</v>
      </c>
      <c r="D151" s="14">
        <v>44167</v>
      </c>
      <c r="E151" s="14">
        <v>44167</v>
      </c>
      <c r="F151" s="14">
        <v>44174</v>
      </c>
      <c r="G151" s="13" t="s">
        <v>3</v>
      </c>
      <c r="H151" s="13" t="s">
        <v>4</v>
      </c>
      <c r="I151" s="15">
        <v>-77148.36</v>
      </c>
      <c r="J151" s="13" t="s">
        <v>5</v>
      </c>
      <c r="K151" s="13" t="s">
        <v>6</v>
      </c>
      <c r="L151" s="15">
        <v>-6476604.8200000003</v>
      </c>
      <c r="M151" s="15">
        <v>-77148.36</v>
      </c>
      <c r="N151" s="16" t="str">
        <f>IF(M151="","",IF(M151&lt;0,-M151&amp;"_"&amp;COUNTIF(M$2:M151,M151),M151&amp;"_"&amp;COUNTIF(M$2:M151,M151)))</f>
        <v>77148.36_1</v>
      </c>
      <c r="O151" s="17" t="str">
        <f t="shared" si="2"/>
        <v/>
      </c>
      <c r="P151" s="13" t="s">
        <v>1591</v>
      </c>
      <c r="Q151" s="13" t="s">
        <v>1592</v>
      </c>
      <c r="R151" s="13" t="s">
        <v>0</v>
      </c>
      <c r="S151" s="13" t="s">
        <v>0</v>
      </c>
      <c r="T151" s="13" t="s">
        <v>9</v>
      </c>
      <c r="U151" s="13" t="s">
        <v>0</v>
      </c>
      <c r="V151" s="13" t="s">
        <v>0</v>
      </c>
      <c r="W151" s="13" t="s">
        <v>0</v>
      </c>
      <c r="X151" s="13" t="s">
        <v>0</v>
      </c>
      <c r="Y151" s="13" t="s">
        <v>10</v>
      </c>
      <c r="Z151" s="13" t="s">
        <v>0</v>
      </c>
      <c r="AA151" s="14"/>
      <c r="AB151" s="13" t="s">
        <v>0</v>
      </c>
      <c r="AC151" s="13" t="s">
        <v>0</v>
      </c>
      <c r="AD151" s="13" t="s">
        <v>0</v>
      </c>
      <c r="AE151" s="15">
        <v>0</v>
      </c>
    </row>
    <row r="152" spans="1:31" ht="14.15" customHeight="1" x14ac:dyDescent="0.25">
      <c r="A152" s="12" t="s">
        <v>0</v>
      </c>
      <c r="B152" s="13" t="s">
        <v>1</v>
      </c>
      <c r="C152" s="13" t="s">
        <v>2826</v>
      </c>
      <c r="D152" s="14">
        <v>44268</v>
      </c>
      <c r="E152" s="14">
        <v>44268</v>
      </c>
      <c r="F152" s="14">
        <v>44272</v>
      </c>
      <c r="G152" s="13" t="s">
        <v>3</v>
      </c>
      <c r="H152" s="13" t="s">
        <v>4</v>
      </c>
      <c r="I152" s="15">
        <v>-76981.039999999994</v>
      </c>
      <c r="J152" s="13" t="s">
        <v>5</v>
      </c>
      <c r="K152" s="13" t="s">
        <v>6</v>
      </c>
      <c r="L152" s="15">
        <v>-6462558.3099999996</v>
      </c>
      <c r="M152" s="15">
        <v>-76981.039999999994</v>
      </c>
      <c r="N152" s="16" t="str">
        <f>IF(M152="","",IF(M152&lt;0,-M152&amp;"_"&amp;COUNTIF(M$2:M152,M152),M152&amp;"_"&amp;COUNTIF(M$2:M152,M152)))</f>
        <v>76981.04_1</v>
      </c>
      <c r="O152" s="17" t="str">
        <f t="shared" si="2"/>
        <v/>
      </c>
      <c r="P152" s="13" t="s">
        <v>2827</v>
      </c>
      <c r="Q152" s="13" t="s">
        <v>2828</v>
      </c>
      <c r="R152" s="13" t="s">
        <v>0</v>
      </c>
      <c r="S152" s="13" t="s">
        <v>0</v>
      </c>
      <c r="T152" s="13" t="s">
        <v>9</v>
      </c>
      <c r="U152" s="13" t="s">
        <v>0</v>
      </c>
      <c r="V152" s="13" t="s">
        <v>0</v>
      </c>
      <c r="W152" s="13" t="s">
        <v>0</v>
      </c>
      <c r="X152" s="13" t="s">
        <v>0</v>
      </c>
      <c r="Y152" s="13" t="s">
        <v>10</v>
      </c>
      <c r="Z152" s="13" t="s">
        <v>0</v>
      </c>
      <c r="AA152" s="14"/>
      <c r="AB152" s="13" t="s">
        <v>0</v>
      </c>
      <c r="AC152" s="13" t="s">
        <v>0</v>
      </c>
      <c r="AD152" s="13" t="s">
        <v>0</v>
      </c>
      <c r="AE152" s="15">
        <v>0</v>
      </c>
    </row>
    <row r="153" spans="1:31" ht="14.15" customHeight="1" x14ac:dyDescent="0.25">
      <c r="A153" s="12" t="s">
        <v>0</v>
      </c>
      <c r="B153" s="13" t="s">
        <v>1</v>
      </c>
      <c r="C153" s="13" t="s">
        <v>1285</v>
      </c>
      <c r="D153" s="14">
        <v>44146</v>
      </c>
      <c r="E153" s="14">
        <v>44146</v>
      </c>
      <c r="F153" s="14">
        <v>44151</v>
      </c>
      <c r="G153" s="13" t="s">
        <v>3</v>
      </c>
      <c r="H153" s="13" t="s">
        <v>4</v>
      </c>
      <c r="I153" s="15">
        <v>-76937.58</v>
      </c>
      <c r="J153" s="13" t="s">
        <v>5</v>
      </c>
      <c r="K153" s="13" t="s">
        <v>6</v>
      </c>
      <c r="L153" s="15">
        <v>-6458909.8399999999</v>
      </c>
      <c r="M153" s="15">
        <v>-76937.58</v>
      </c>
      <c r="N153" s="16" t="str">
        <f>IF(M153="","",IF(M153&lt;0,-M153&amp;"_"&amp;COUNTIF(M$2:M153,M153),M153&amp;"_"&amp;COUNTIF(M$2:M153,M153)))</f>
        <v>76937.58_1</v>
      </c>
      <c r="O153" s="17" t="str">
        <f t="shared" si="2"/>
        <v/>
      </c>
      <c r="P153" s="13" t="s">
        <v>1286</v>
      </c>
      <c r="Q153" s="13" t="s">
        <v>1282</v>
      </c>
      <c r="R153" s="13" t="s">
        <v>0</v>
      </c>
      <c r="S153" s="13" t="s">
        <v>0</v>
      </c>
      <c r="T153" s="13" t="s">
        <v>9</v>
      </c>
      <c r="U153" s="13" t="s">
        <v>0</v>
      </c>
      <c r="V153" s="13" t="s">
        <v>0</v>
      </c>
      <c r="W153" s="13" t="s">
        <v>0</v>
      </c>
      <c r="X153" s="13" t="s">
        <v>0</v>
      </c>
      <c r="Y153" s="13" t="s">
        <v>10</v>
      </c>
      <c r="Z153" s="13" t="s">
        <v>0</v>
      </c>
      <c r="AA153" s="14"/>
      <c r="AB153" s="13" t="s">
        <v>0</v>
      </c>
      <c r="AC153" s="13" t="s">
        <v>0</v>
      </c>
      <c r="AD153" s="13" t="s">
        <v>0</v>
      </c>
      <c r="AE153" s="15">
        <v>0</v>
      </c>
    </row>
    <row r="154" spans="1:31" ht="14.15" customHeight="1" x14ac:dyDescent="0.25">
      <c r="A154" s="12" t="s">
        <v>0</v>
      </c>
      <c r="B154" s="13" t="s">
        <v>1</v>
      </c>
      <c r="C154" s="13" t="s">
        <v>3625</v>
      </c>
      <c r="D154" s="14">
        <v>44330</v>
      </c>
      <c r="E154" s="14">
        <v>44330</v>
      </c>
      <c r="F154" s="14">
        <v>44336</v>
      </c>
      <c r="G154" s="13" t="s">
        <v>3</v>
      </c>
      <c r="H154" s="13" t="s">
        <v>4</v>
      </c>
      <c r="I154" s="15">
        <v>-76563.92</v>
      </c>
      <c r="J154" s="13" t="s">
        <v>5</v>
      </c>
      <c r="K154" s="13" t="s">
        <v>6</v>
      </c>
      <c r="L154" s="15">
        <v>-6427541.0800000001</v>
      </c>
      <c r="M154" s="15">
        <v>-76563.92</v>
      </c>
      <c r="N154" s="16" t="str">
        <f>IF(M154="","",IF(M154&lt;0,-M154&amp;"_"&amp;COUNTIF(M$2:M154,M154),M154&amp;"_"&amp;COUNTIF(M$2:M154,M154)))</f>
        <v>76563.92_1</v>
      </c>
      <c r="O154" s="17" t="str">
        <f t="shared" si="2"/>
        <v/>
      </c>
      <c r="P154" s="13" t="s">
        <v>3626</v>
      </c>
      <c r="Q154" s="13" t="s">
        <v>3624</v>
      </c>
      <c r="R154" s="13" t="s">
        <v>0</v>
      </c>
      <c r="S154" s="13" t="s">
        <v>0</v>
      </c>
      <c r="T154" s="13" t="s">
        <v>9</v>
      </c>
      <c r="U154" s="13" t="s">
        <v>0</v>
      </c>
      <c r="V154" s="13" t="s">
        <v>0</v>
      </c>
      <c r="W154" s="13" t="s">
        <v>0</v>
      </c>
      <c r="X154" s="13" t="s">
        <v>0</v>
      </c>
      <c r="Y154" s="13" t="s">
        <v>10</v>
      </c>
      <c r="Z154" s="13" t="s">
        <v>0</v>
      </c>
      <c r="AA154" s="14"/>
      <c r="AB154" s="13" t="s">
        <v>0</v>
      </c>
      <c r="AC154" s="13" t="s">
        <v>0</v>
      </c>
      <c r="AD154" s="13" t="s">
        <v>0</v>
      </c>
      <c r="AE154" s="15">
        <v>0</v>
      </c>
    </row>
    <row r="155" spans="1:31" ht="14.15" customHeight="1" x14ac:dyDescent="0.25">
      <c r="A155" s="12" t="s">
        <v>0</v>
      </c>
      <c r="B155" s="13" t="s">
        <v>1</v>
      </c>
      <c r="C155" s="13" t="s">
        <v>887</v>
      </c>
      <c r="D155" s="14">
        <v>44113</v>
      </c>
      <c r="E155" s="14">
        <v>44113</v>
      </c>
      <c r="F155" s="14">
        <v>44132</v>
      </c>
      <c r="G155" s="13" t="s">
        <v>3</v>
      </c>
      <c r="H155" s="13" t="s">
        <v>4</v>
      </c>
      <c r="I155" s="15">
        <v>-76427.83</v>
      </c>
      <c r="J155" s="13" t="s">
        <v>5</v>
      </c>
      <c r="K155" s="13" t="s">
        <v>6</v>
      </c>
      <c r="L155" s="15">
        <v>-6416116.3300000001</v>
      </c>
      <c r="M155" s="15">
        <v>-76427.83</v>
      </c>
      <c r="N155" s="16" t="str">
        <f>IF(M155="","",IF(M155&lt;0,-M155&amp;"_"&amp;COUNTIF(M$2:M155,M155),M155&amp;"_"&amp;COUNTIF(M$2:M155,M155)))</f>
        <v>76427.83_1</v>
      </c>
      <c r="O155" s="17" t="str">
        <f t="shared" si="2"/>
        <v/>
      </c>
      <c r="P155" s="13" t="s">
        <v>888</v>
      </c>
      <c r="Q155" s="13" t="s">
        <v>882</v>
      </c>
      <c r="R155" s="13" t="s">
        <v>0</v>
      </c>
      <c r="S155" s="13" t="s">
        <v>0</v>
      </c>
      <c r="T155" s="13" t="s">
        <v>9</v>
      </c>
      <c r="U155" s="13" t="s">
        <v>0</v>
      </c>
      <c r="V155" s="13" t="s">
        <v>0</v>
      </c>
      <c r="W155" s="13" t="s">
        <v>0</v>
      </c>
      <c r="X155" s="13" t="s">
        <v>0</v>
      </c>
      <c r="Y155" s="13" t="s">
        <v>10</v>
      </c>
      <c r="Z155" s="13" t="s">
        <v>0</v>
      </c>
      <c r="AA155" s="14"/>
      <c r="AB155" s="13" t="s">
        <v>0</v>
      </c>
      <c r="AC155" s="13" t="s">
        <v>0</v>
      </c>
      <c r="AD155" s="13" t="s">
        <v>0</v>
      </c>
      <c r="AE155" s="15">
        <v>0</v>
      </c>
    </row>
    <row r="156" spans="1:31" ht="14.15" customHeight="1" x14ac:dyDescent="0.25">
      <c r="A156" s="12" t="s">
        <v>0</v>
      </c>
      <c r="B156" s="13" t="s">
        <v>1</v>
      </c>
      <c r="C156" s="13" t="s">
        <v>3519</v>
      </c>
      <c r="D156" s="14">
        <v>44324</v>
      </c>
      <c r="E156" s="14">
        <v>44324</v>
      </c>
      <c r="F156" s="14">
        <v>44329</v>
      </c>
      <c r="G156" s="13" t="s">
        <v>3</v>
      </c>
      <c r="H156" s="13" t="s">
        <v>4</v>
      </c>
      <c r="I156" s="15">
        <v>-74810.880000000005</v>
      </c>
      <c r="J156" s="13" t="s">
        <v>5</v>
      </c>
      <c r="K156" s="13" t="s">
        <v>6</v>
      </c>
      <c r="L156" s="15">
        <v>-6280373.3799999999</v>
      </c>
      <c r="M156" s="15">
        <v>-74810.880000000005</v>
      </c>
      <c r="N156" s="16" t="str">
        <f>IF(M156="","",IF(M156&lt;0,-M156&amp;"_"&amp;COUNTIF(M$2:M156,M156),M156&amp;"_"&amp;COUNTIF(M$2:M156,M156)))</f>
        <v>74810.88_1</v>
      </c>
      <c r="O156" s="17" t="str">
        <f t="shared" si="2"/>
        <v/>
      </c>
      <c r="P156" s="13" t="s">
        <v>3520</v>
      </c>
      <c r="Q156" s="13" t="s">
        <v>3512</v>
      </c>
      <c r="R156" s="13" t="s">
        <v>0</v>
      </c>
      <c r="S156" s="13" t="s">
        <v>0</v>
      </c>
      <c r="T156" s="13" t="s">
        <v>9</v>
      </c>
      <c r="U156" s="13" t="s">
        <v>0</v>
      </c>
      <c r="V156" s="13" t="s">
        <v>0</v>
      </c>
      <c r="W156" s="13" t="s">
        <v>0</v>
      </c>
      <c r="X156" s="13" t="s">
        <v>0</v>
      </c>
      <c r="Y156" s="13" t="s">
        <v>10</v>
      </c>
      <c r="Z156" s="13" t="s">
        <v>0</v>
      </c>
      <c r="AA156" s="14"/>
      <c r="AB156" s="13" t="s">
        <v>0</v>
      </c>
      <c r="AC156" s="13" t="s">
        <v>0</v>
      </c>
      <c r="AD156" s="13" t="s">
        <v>0</v>
      </c>
      <c r="AE156" s="15">
        <v>0</v>
      </c>
    </row>
    <row r="157" spans="1:31" ht="14.15" customHeight="1" x14ac:dyDescent="0.25">
      <c r="A157" s="12" t="s">
        <v>0</v>
      </c>
      <c r="B157" s="13" t="s">
        <v>1</v>
      </c>
      <c r="C157" s="13" t="s">
        <v>3771</v>
      </c>
      <c r="D157" s="14">
        <v>44343</v>
      </c>
      <c r="E157" s="14">
        <v>44343</v>
      </c>
      <c r="F157" s="14">
        <v>44347</v>
      </c>
      <c r="G157" s="13" t="s">
        <v>3</v>
      </c>
      <c r="H157" s="13" t="s">
        <v>4</v>
      </c>
      <c r="I157" s="15">
        <v>-74804.75</v>
      </c>
      <c r="J157" s="13" t="s">
        <v>5</v>
      </c>
      <c r="K157" s="13" t="s">
        <v>6</v>
      </c>
      <c r="L157" s="15">
        <v>-6279858.7699999996</v>
      </c>
      <c r="M157" s="15">
        <v>-74804.75</v>
      </c>
      <c r="N157" s="16" t="str">
        <f>IF(M157="","",IF(M157&lt;0,-M157&amp;"_"&amp;COUNTIF(M$2:M157,M157),M157&amp;"_"&amp;COUNTIF(M$2:M157,M157)))</f>
        <v>74804.75_1</v>
      </c>
      <c r="O157" s="17" t="str">
        <f t="shared" si="2"/>
        <v/>
      </c>
      <c r="P157" s="13" t="s">
        <v>3772</v>
      </c>
      <c r="Q157" s="13" t="s">
        <v>3773</v>
      </c>
      <c r="R157" s="13" t="s">
        <v>0</v>
      </c>
      <c r="S157" s="13" t="s">
        <v>0</v>
      </c>
      <c r="T157" s="13" t="s">
        <v>9</v>
      </c>
      <c r="U157" s="13" t="s">
        <v>0</v>
      </c>
      <c r="V157" s="13" t="s">
        <v>0</v>
      </c>
      <c r="W157" s="13" t="s">
        <v>0</v>
      </c>
      <c r="X157" s="13" t="s">
        <v>0</v>
      </c>
      <c r="Y157" s="13" t="s">
        <v>10</v>
      </c>
      <c r="Z157" s="13" t="s">
        <v>0</v>
      </c>
      <c r="AA157" s="14"/>
      <c r="AB157" s="13" t="s">
        <v>0</v>
      </c>
      <c r="AC157" s="13" t="s">
        <v>0</v>
      </c>
      <c r="AD157" s="13" t="s">
        <v>0</v>
      </c>
      <c r="AE157" s="15">
        <v>0</v>
      </c>
    </row>
    <row r="158" spans="1:31" ht="14.15" customHeight="1" x14ac:dyDescent="0.25">
      <c r="A158" s="12" t="s">
        <v>0</v>
      </c>
      <c r="B158" s="13" t="s">
        <v>1</v>
      </c>
      <c r="C158" s="13" t="s">
        <v>988</v>
      </c>
      <c r="D158" s="14">
        <v>44125</v>
      </c>
      <c r="E158" s="14">
        <v>44125</v>
      </c>
      <c r="F158" s="14">
        <v>44142</v>
      </c>
      <c r="G158" s="13" t="s">
        <v>3</v>
      </c>
      <c r="H158" s="13" t="s">
        <v>4</v>
      </c>
      <c r="I158" s="15">
        <v>-73943.28</v>
      </c>
      <c r="J158" s="13" t="s">
        <v>5</v>
      </c>
      <c r="K158" s="13" t="s">
        <v>6</v>
      </c>
      <c r="L158" s="15">
        <v>-6207538.3600000003</v>
      </c>
      <c r="M158" s="15">
        <v>-73943.28</v>
      </c>
      <c r="N158" s="16" t="str">
        <f>IF(M158="","",IF(M158&lt;0,-M158&amp;"_"&amp;COUNTIF(M$2:M158,M158),M158&amp;"_"&amp;COUNTIF(M$2:M158,M158)))</f>
        <v>73943.28_1</v>
      </c>
      <c r="O158" s="17" t="str">
        <f t="shared" si="2"/>
        <v/>
      </c>
      <c r="P158" s="13" t="s">
        <v>989</v>
      </c>
      <c r="Q158" s="13" t="s">
        <v>977</v>
      </c>
      <c r="R158" s="13" t="s">
        <v>0</v>
      </c>
      <c r="S158" s="13" t="s">
        <v>0</v>
      </c>
      <c r="T158" s="13" t="s">
        <v>9</v>
      </c>
      <c r="U158" s="13" t="s">
        <v>0</v>
      </c>
      <c r="V158" s="13" t="s">
        <v>0</v>
      </c>
      <c r="W158" s="13" t="s">
        <v>0</v>
      </c>
      <c r="X158" s="13" t="s">
        <v>0</v>
      </c>
      <c r="Y158" s="13" t="s">
        <v>10</v>
      </c>
      <c r="Z158" s="13" t="s">
        <v>0</v>
      </c>
      <c r="AA158" s="14"/>
      <c r="AB158" s="13" t="s">
        <v>0</v>
      </c>
      <c r="AC158" s="13" t="s">
        <v>0</v>
      </c>
      <c r="AD158" s="13" t="s">
        <v>0</v>
      </c>
      <c r="AE158" s="15">
        <v>0</v>
      </c>
    </row>
    <row r="159" spans="1:31" ht="14.15" customHeight="1" x14ac:dyDescent="0.25">
      <c r="A159" s="12" t="s">
        <v>0</v>
      </c>
      <c r="B159" s="13" t="s">
        <v>1</v>
      </c>
      <c r="C159" s="13" t="s">
        <v>1542</v>
      </c>
      <c r="D159" s="14">
        <v>44165</v>
      </c>
      <c r="E159" s="14">
        <v>44165</v>
      </c>
      <c r="F159" s="14">
        <v>44170</v>
      </c>
      <c r="G159" s="13" t="s">
        <v>3</v>
      </c>
      <c r="H159" s="13" t="s">
        <v>4</v>
      </c>
      <c r="I159" s="15">
        <v>-73624.759999999995</v>
      </c>
      <c r="J159" s="13" t="s">
        <v>5</v>
      </c>
      <c r="K159" s="13" t="s">
        <v>6</v>
      </c>
      <c r="L159" s="15">
        <v>-6180798.5999999996</v>
      </c>
      <c r="M159" s="15">
        <v>-73624.759999999995</v>
      </c>
      <c r="N159" s="16" t="str">
        <f>IF(M159="","",IF(M159&lt;0,-M159&amp;"_"&amp;COUNTIF(M$2:M159,M159),M159&amp;"_"&amp;COUNTIF(M$2:M159,M159)))</f>
        <v>73624.76_1</v>
      </c>
      <c r="O159" s="17" t="str">
        <f t="shared" si="2"/>
        <v/>
      </c>
      <c r="P159" s="13" t="s">
        <v>1543</v>
      </c>
      <c r="Q159" s="13" t="s">
        <v>1541</v>
      </c>
      <c r="R159" s="13" t="s">
        <v>0</v>
      </c>
      <c r="S159" s="13" t="s">
        <v>0</v>
      </c>
      <c r="T159" s="13" t="s">
        <v>9</v>
      </c>
      <c r="U159" s="13" t="s">
        <v>0</v>
      </c>
      <c r="V159" s="13" t="s">
        <v>0</v>
      </c>
      <c r="W159" s="13" t="s">
        <v>0</v>
      </c>
      <c r="X159" s="13" t="s">
        <v>0</v>
      </c>
      <c r="Y159" s="13" t="s">
        <v>10</v>
      </c>
      <c r="Z159" s="13" t="s">
        <v>0</v>
      </c>
      <c r="AA159" s="14"/>
      <c r="AB159" s="13" t="s">
        <v>0</v>
      </c>
      <c r="AC159" s="13" t="s">
        <v>0</v>
      </c>
      <c r="AD159" s="13" t="s">
        <v>0</v>
      </c>
      <c r="AE159" s="15">
        <v>0</v>
      </c>
    </row>
    <row r="160" spans="1:31" ht="14.15" customHeight="1" x14ac:dyDescent="0.25">
      <c r="A160" s="12" t="s">
        <v>0</v>
      </c>
      <c r="B160" s="13" t="s">
        <v>1</v>
      </c>
      <c r="C160" s="13" t="s">
        <v>3622</v>
      </c>
      <c r="D160" s="14">
        <v>44330</v>
      </c>
      <c r="E160" s="14">
        <v>44330</v>
      </c>
      <c r="F160" s="14">
        <v>44336</v>
      </c>
      <c r="G160" s="13" t="s">
        <v>3</v>
      </c>
      <c r="H160" s="13" t="s">
        <v>4</v>
      </c>
      <c r="I160" s="15">
        <v>-73408.179999999993</v>
      </c>
      <c r="J160" s="13" t="s">
        <v>5</v>
      </c>
      <c r="K160" s="13" t="s">
        <v>6</v>
      </c>
      <c r="L160" s="15">
        <v>-6162616.71</v>
      </c>
      <c r="M160" s="15">
        <v>-73408.179999999993</v>
      </c>
      <c r="N160" s="16" t="str">
        <f>IF(M160="","",IF(M160&lt;0,-M160&amp;"_"&amp;COUNTIF(M$2:M160,M160),M160&amp;"_"&amp;COUNTIF(M$2:M160,M160)))</f>
        <v>73408.18_1</v>
      </c>
      <c r="O160" s="17" t="str">
        <f t="shared" si="2"/>
        <v/>
      </c>
      <c r="P160" s="13" t="s">
        <v>3623</v>
      </c>
      <c r="Q160" s="13" t="s">
        <v>3624</v>
      </c>
      <c r="R160" s="13" t="s">
        <v>0</v>
      </c>
      <c r="S160" s="13" t="s">
        <v>0</v>
      </c>
      <c r="T160" s="13" t="s">
        <v>9</v>
      </c>
      <c r="U160" s="13" t="s">
        <v>0</v>
      </c>
      <c r="V160" s="13" t="s">
        <v>0</v>
      </c>
      <c r="W160" s="13" t="s">
        <v>0</v>
      </c>
      <c r="X160" s="13" t="s">
        <v>0</v>
      </c>
      <c r="Y160" s="13" t="s">
        <v>10</v>
      </c>
      <c r="Z160" s="13" t="s">
        <v>0</v>
      </c>
      <c r="AA160" s="14"/>
      <c r="AB160" s="13" t="s">
        <v>0</v>
      </c>
      <c r="AC160" s="13" t="s">
        <v>0</v>
      </c>
      <c r="AD160" s="13" t="s">
        <v>0</v>
      </c>
      <c r="AE160" s="15">
        <v>0</v>
      </c>
    </row>
    <row r="161" spans="1:31" ht="14.15" customHeight="1" x14ac:dyDescent="0.25">
      <c r="A161" s="12" t="s">
        <v>0</v>
      </c>
      <c r="B161" s="13" t="s">
        <v>1</v>
      </c>
      <c r="C161" s="13" t="s">
        <v>4315</v>
      </c>
      <c r="D161" s="14">
        <v>44372</v>
      </c>
      <c r="E161" s="14">
        <v>44372</v>
      </c>
      <c r="F161" s="14">
        <v>44376</v>
      </c>
      <c r="G161" s="13" t="s">
        <v>3</v>
      </c>
      <c r="H161" s="13" t="s">
        <v>4</v>
      </c>
      <c r="I161" s="15">
        <v>-73215.899999999994</v>
      </c>
      <c r="J161" s="13" t="s">
        <v>5</v>
      </c>
      <c r="K161" s="13" t="s">
        <v>6</v>
      </c>
      <c r="L161" s="15">
        <v>-6146474.8099999996</v>
      </c>
      <c r="M161" s="15">
        <v>-73215.899999999994</v>
      </c>
      <c r="N161" s="16" t="str">
        <f>IF(M161="","",IF(M161&lt;0,-M161&amp;"_"&amp;COUNTIF(M$2:M161,M161),M161&amp;"_"&amp;COUNTIF(M$2:M161,M161)))</f>
        <v>73215.9_1</v>
      </c>
      <c r="O161" s="17" t="str">
        <f t="shared" si="2"/>
        <v/>
      </c>
      <c r="P161" s="13" t="s">
        <v>4316</v>
      </c>
      <c r="Q161" s="13" t="s">
        <v>4312</v>
      </c>
      <c r="R161" s="13" t="s">
        <v>0</v>
      </c>
      <c r="S161" s="13" t="s">
        <v>0</v>
      </c>
      <c r="T161" s="13" t="s">
        <v>9</v>
      </c>
      <c r="U161" s="13" t="s">
        <v>0</v>
      </c>
      <c r="V161" s="13" t="s">
        <v>0</v>
      </c>
      <c r="W161" s="13" t="s">
        <v>0</v>
      </c>
      <c r="X161" s="13" t="s">
        <v>0</v>
      </c>
      <c r="Y161" s="13" t="s">
        <v>10</v>
      </c>
      <c r="Z161" s="13" t="s">
        <v>0</v>
      </c>
      <c r="AA161" s="14"/>
      <c r="AB161" s="13" t="s">
        <v>0</v>
      </c>
      <c r="AC161" s="13" t="s">
        <v>0</v>
      </c>
      <c r="AD161" s="13" t="s">
        <v>0</v>
      </c>
      <c r="AE161" s="15">
        <v>0</v>
      </c>
    </row>
    <row r="162" spans="1:31" ht="14.15" customHeight="1" x14ac:dyDescent="0.25">
      <c r="A162" s="12" t="s">
        <v>0</v>
      </c>
      <c r="B162" s="13" t="s">
        <v>1</v>
      </c>
      <c r="C162" s="13" t="s">
        <v>2531</v>
      </c>
      <c r="D162" s="14">
        <v>44238</v>
      </c>
      <c r="E162" s="14">
        <v>44238</v>
      </c>
      <c r="F162" s="14">
        <v>44243</v>
      </c>
      <c r="G162" s="13" t="s">
        <v>3</v>
      </c>
      <c r="H162" s="13" t="s">
        <v>4</v>
      </c>
      <c r="I162" s="15">
        <v>-72494.09</v>
      </c>
      <c r="J162" s="13" t="s">
        <v>5</v>
      </c>
      <c r="K162" s="13" t="s">
        <v>6</v>
      </c>
      <c r="L162" s="15">
        <v>-6085878.8600000003</v>
      </c>
      <c r="M162" s="15">
        <v>-72494.09</v>
      </c>
      <c r="N162" s="16" t="str">
        <f>IF(M162="","",IF(M162&lt;0,-M162&amp;"_"&amp;COUNTIF(M$2:M162,M162),M162&amp;"_"&amp;COUNTIF(M$2:M162,M162)))</f>
        <v>72494.09_1</v>
      </c>
      <c r="O162" s="17" t="str">
        <f t="shared" si="2"/>
        <v/>
      </c>
      <c r="P162" s="13" t="s">
        <v>2532</v>
      </c>
      <c r="Q162" s="13" t="s">
        <v>2528</v>
      </c>
      <c r="R162" s="13" t="s">
        <v>0</v>
      </c>
      <c r="S162" s="13" t="s">
        <v>0</v>
      </c>
      <c r="T162" s="13" t="s">
        <v>9</v>
      </c>
      <c r="U162" s="13" t="s">
        <v>0</v>
      </c>
      <c r="V162" s="13" t="s">
        <v>0</v>
      </c>
      <c r="W162" s="13" t="s">
        <v>0</v>
      </c>
      <c r="X162" s="13" t="s">
        <v>0</v>
      </c>
      <c r="Y162" s="13" t="s">
        <v>10</v>
      </c>
      <c r="Z162" s="13" t="s">
        <v>0</v>
      </c>
      <c r="AA162" s="14"/>
      <c r="AB162" s="13" t="s">
        <v>0</v>
      </c>
      <c r="AC162" s="13" t="s">
        <v>0</v>
      </c>
      <c r="AD162" s="13" t="s">
        <v>0</v>
      </c>
      <c r="AE162" s="15">
        <v>0</v>
      </c>
    </row>
    <row r="163" spans="1:31" ht="14.15" customHeight="1" x14ac:dyDescent="0.25">
      <c r="A163" s="12" t="s">
        <v>0</v>
      </c>
      <c r="B163" s="13" t="s">
        <v>1</v>
      </c>
      <c r="C163" s="13" t="s">
        <v>157</v>
      </c>
      <c r="D163" s="14">
        <v>44031</v>
      </c>
      <c r="E163" s="14">
        <v>44031</v>
      </c>
      <c r="F163" s="14">
        <v>44034</v>
      </c>
      <c r="G163" s="13" t="s">
        <v>3</v>
      </c>
      <c r="H163" s="13" t="s">
        <v>4</v>
      </c>
      <c r="I163" s="15">
        <v>-72412.62</v>
      </c>
      <c r="J163" s="13" t="s">
        <v>5</v>
      </c>
      <c r="K163" s="13" t="s">
        <v>6</v>
      </c>
      <c r="L163" s="15">
        <v>-6079039.4500000002</v>
      </c>
      <c r="M163" s="15">
        <v>-72412.62</v>
      </c>
      <c r="N163" s="16" t="str">
        <f>IF(M163="","",IF(M163&lt;0,-M163&amp;"_"&amp;COUNTIF(M$2:M163,M163),M163&amp;"_"&amp;COUNTIF(M$2:M163,M163)))</f>
        <v>72412.62_1</v>
      </c>
      <c r="O163" s="17" t="str">
        <f t="shared" si="2"/>
        <v/>
      </c>
      <c r="P163" s="13" t="s">
        <v>158</v>
      </c>
      <c r="Q163" s="13" t="s">
        <v>152</v>
      </c>
      <c r="R163" s="13" t="s">
        <v>0</v>
      </c>
      <c r="S163" s="13" t="s">
        <v>0</v>
      </c>
      <c r="T163" s="13" t="s">
        <v>9</v>
      </c>
      <c r="U163" s="13" t="s">
        <v>0</v>
      </c>
      <c r="V163" s="13" t="s">
        <v>0</v>
      </c>
      <c r="W163" s="13" t="s">
        <v>0</v>
      </c>
      <c r="X163" s="13" t="s">
        <v>0</v>
      </c>
      <c r="Y163" s="13" t="s">
        <v>10</v>
      </c>
      <c r="Z163" s="13" t="s">
        <v>0</v>
      </c>
      <c r="AA163" s="14"/>
      <c r="AB163" s="13" t="s">
        <v>0</v>
      </c>
      <c r="AC163" s="13" t="s">
        <v>0</v>
      </c>
      <c r="AD163" s="13" t="s">
        <v>0</v>
      </c>
      <c r="AE163" s="15">
        <v>0</v>
      </c>
    </row>
    <row r="164" spans="1:31" ht="14.15" customHeight="1" x14ac:dyDescent="0.25">
      <c r="A164" s="12" t="s">
        <v>0</v>
      </c>
      <c r="B164" s="13" t="s">
        <v>1</v>
      </c>
      <c r="C164" s="13" t="s">
        <v>365</v>
      </c>
      <c r="D164" s="14">
        <v>44050</v>
      </c>
      <c r="E164" s="14">
        <v>44050</v>
      </c>
      <c r="F164" s="14">
        <v>44055</v>
      </c>
      <c r="G164" s="13" t="s">
        <v>3</v>
      </c>
      <c r="H164" s="13" t="s">
        <v>4</v>
      </c>
      <c r="I164" s="15">
        <v>-72395.08</v>
      </c>
      <c r="J164" s="13" t="s">
        <v>5</v>
      </c>
      <c r="K164" s="13" t="s">
        <v>6</v>
      </c>
      <c r="L164" s="15">
        <v>-6077566.9699999997</v>
      </c>
      <c r="M164" s="15">
        <v>-72395.08</v>
      </c>
      <c r="N164" s="16" t="str">
        <f>IF(M164="","",IF(M164&lt;0,-M164&amp;"_"&amp;COUNTIF(M$2:M164,M164),M164&amp;"_"&amp;COUNTIF(M$2:M164,M164)))</f>
        <v>72395.08_1</v>
      </c>
      <c r="O164" s="17" t="str">
        <f t="shared" si="2"/>
        <v/>
      </c>
      <c r="P164" s="13" t="s">
        <v>366</v>
      </c>
      <c r="Q164" s="13" t="s">
        <v>362</v>
      </c>
      <c r="R164" s="13" t="s">
        <v>0</v>
      </c>
      <c r="S164" s="13" t="s">
        <v>0</v>
      </c>
      <c r="T164" s="13" t="s">
        <v>9</v>
      </c>
      <c r="U164" s="13" t="s">
        <v>0</v>
      </c>
      <c r="V164" s="13" t="s">
        <v>0</v>
      </c>
      <c r="W164" s="13" t="s">
        <v>0</v>
      </c>
      <c r="X164" s="13" t="s">
        <v>0</v>
      </c>
      <c r="Y164" s="13" t="s">
        <v>10</v>
      </c>
      <c r="Z164" s="13" t="s">
        <v>0</v>
      </c>
      <c r="AA164" s="14"/>
      <c r="AB164" s="13" t="s">
        <v>0</v>
      </c>
      <c r="AC164" s="13" t="s">
        <v>0</v>
      </c>
      <c r="AD164" s="13" t="s">
        <v>0</v>
      </c>
      <c r="AE164" s="15">
        <v>0</v>
      </c>
    </row>
    <row r="165" spans="1:31" ht="14.15" customHeight="1" x14ac:dyDescent="0.25">
      <c r="A165" s="12" t="s">
        <v>0</v>
      </c>
      <c r="B165" s="13" t="s">
        <v>1</v>
      </c>
      <c r="C165" s="13" t="s">
        <v>997</v>
      </c>
      <c r="D165" s="14">
        <v>44126</v>
      </c>
      <c r="E165" s="14">
        <v>44126</v>
      </c>
      <c r="F165" s="14">
        <v>44136</v>
      </c>
      <c r="G165" s="13" t="s">
        <v>3</v>
      </c>
      <c r="H165" s="13" t="s">
        <v>4</v>
      </c>
      <c r="I165" s="15">
        <v>-72252.479999999996</v>
      </c>
      <c r="J165" s="13" t="s">
        <v>5</v>
      </c>
      <c r="K165" s="13" t="s">
        <v>6</v>
      </c>
      <c r="L165" s="15">
        <v>-6065595.7000000002</v>
      </c>
      <c r="M165" s="15">
        <v>-72252.479999999996</v>
      </c>
      <c r="N165" s="16" t="str">
        <f>IF(M165="","",IF(M165&lt;0,-M165&amp;"_"&amp;COUNTIF(M$2:M165,M165),M165&amp;"_"&amp;COUNTIF(M$2:M165,M165)))</f>
        <v>72252.48_1</v>
      </c>
      <c r="O165" s="17" t="str">
        <f t="shared" si="2"/>
        <v/>
      </c>
      <c r="P165" s="13" t="s">
        <v>998</v>
      </c>
      <c r="Q165" s="13" t="s">
        <v>992</v>
      </c>
      <c r="R165" s="13" t="s">
        <v>0</v>
      </c>
      <c r="S165" s="13" t="s">
        <v>0</v>
      </c>
      <c r="T165" s="13" t="s">
        <v>9</v>
      </c>
      <c r="U165" s="13" t="s">
        <v>0</v>
      </c>
      <c r="V165" s="13" t="s">
        <v>0</v>
      </c>
      <c r="W165" s="13" t="s">
        <v>0</v>
      </c>
      <c r="X165" s="13" t="s">
        <v>0</v>
      </c>
      <c r="Y165" s="13" t="s">
        <v>10</v>
      </c>
      <c r="Z165" s="13" t="s">
        <v>0</v>
      </c>
      <c r="AA165" s="14"/>
      <c r="AB165" s="13" t="s">
        <v>0</v>
      </c>
      <c r="AC165" s="13" t="s">
        <v>0</v>
      </c>
      <c r="AD165" s="13" t="s">
        <v>0</v>
      </c>
      <c r="AE165" s="15">
        <v>0</v>
      </c>
    </row>
    <row r="166" spans="1:31" ht="14.15" customHeight="1" x14ac:dyDescent="0.25">
      <c r="A166" s="12" t="s">
        <v>0</v>
      </c>
      <c r="B166" s="13" t="s">
        <v>1</v>
      </c>
      <c r="C166" s="13" t="s">
        <v>155</v>
      </c>
      <c r="D166" s="14">
        <v>44031</v>
      </c>
      <c r="E166" s="14">
        <v>44031</v>
      </c>
      <c r="F166" s="14">
        <v>44034</v>
      </c>
      <c r="G166" s="13" t="s">
        <v>3</v>
      </c>
      <c r="H166" s="13" t="s">
        <v>4</v>
      </c>
      <c r="I166" s="15">
        <v>-72008.08</v>
      </c>
      <c r="J166" s="13" t="s">
        <v>5</v>
      </c>
      <c r="K166" s="13" t="s">
        <v>6</v>
      </c>
      <c r="L166" s="15">
        <v>-6045078.3200000003</v>
      </c>
      <c r="M166" s="15">
        <v>-72008.08</v>
      </c>
      <c r="N166" s="16" t="str">
        <f>IF(M166="","",IF(M166&lt;0,-M166&amp;"_"&amp;COUNTIF(M$2:M166,M166),M166&amp;"_"&amp;COUNTIF(M$2:M166,M166)))</f>
        <v>72008.08_1</v>
      </c>
      <c r="O166" s="17" t="str">
        <f t="shared" si="2"/>
        <v/>
      </c>
      <c r="P166" s="13" t="s">
        <v>156</v>
      </c>
      <c r="Q166" s="13" t="s">
        <v>152</v>
      </c>
      <c r="R166" s="13" t="s">
        <v>0</v>
      </c>
      <c r="S166" s="13" t="s">
        <v>0</v>
      </c>
      <c r="T166" s="13" t="s">
        <v>9</v>
      </c>
      <c r="U166" s="13" t="s">
        <v>0</v>
      </c>
      <c r="V166" s="13" t="s">
        <v>0</v>
      </c>
      <c r="W166" s="13" t="s">
        <v>0</v>
      </c>
      <c r="X166" s="13" t="s">
        <v>0</v>
      </c>
      <c r="Y166" s="13" t="s">
        <v>10</v>
      </c>
      <c r="Z166" s="13" t="s">
        <v>0</v>
      </c>
      <c r="AA166" s="14"/>
      <c r="AB166" s="13" t="s">
        <v>0</v>
      </c>
      <c r="AC166" s="13" t="s">
        <v>0</v>
      </c>
      <c r="AD166" s="13" t="s">
        <v>0</v>
      </c>
      <c r="AE166" s="15">
        <v>0</v>
      </c>
    </row>
    <row r="167" spans="1:31" ht="14.15" customHeight="1" x14ac:dyDescent="0.25">
      <c r="A167" s="12" t="s">
        <v>0</v>
      </c>
      <c r="B167" s="13" t="s">
        <v>1</v>
      </c>
      <c r="C167" s="13" t="s">
        <v>3057</v>
      </c>
      <c r="D167" s="14">
        <v>44283</v>
      </c>
      <c r="E167" s="14">
        <v>44283</v>
      </c>
      <c r="F167" s="14">
        <v>44290</v>
      </c>
      <c r="G167" s="13" t="s">
        <v>3</v>
      </c>
      <c r="H167" s="13" t="s">
        <v>4</v>
      </c>
      <c r="I167" s="15">
        <v>-71995.75</v>
      </c>
      <c r="J167" s="13" t="s">
        <v>5</v>
      </c>
      <c r="K167" s="13" t="s">
        <v>6</v>
      </c>
      <c r="L167" s="15">
        <v>-6044043.21</v>
      </c>
      <c r="M167" s="15">
        <v>-71995.75</v>
      </c>
      <c r="N167" s="16" t="str">
        <f>IF(M167="","",IF(M167&lt;0,-M167&amp;"_"&amp;COUNTIF(M$2:M167,M167),M167&amp;"_"&amp;COUNTIF(M$2:M167,M167)))</f>
        <v>71995.75_1</v>
      </c>
      <c r="O167" s="17" t="str">
        <f t="shared" si="2"/>
        <v/>
      </c>
      <c r="P167" s="13" t="s">
        <v>3058</v>
      </c>
      <c r="Q167" s="13" t="s">
        <v>3048</v>
      </c>
      <c r="R167" s="13" t="s">
        <v>0</v>
      </c>
      <c r="S167" s="13" t="s">
        <v>0</v>
      </c>
      <c r="T167" s="13" t="s">
        <v>9</v>
      </c>
      <c r="U167" s="13" t="s">
        <v>0</v>
      </c>
      <c r="V167" s="13" t="s">
        <v>0</v>
      </c>
      <c r="W167" s="13" t="s">
        <v>0</v>
      </c>
      <c r="X167" s="13" t="s">
        <v>0</v>
      </c>
      <c r="Y167" s="13" t="s">
        <v>10</v>
      </c>
      <c r="Z167" s="13" t="s">
        <v>0</v>
      </c>
      <c r="AA167" s="14"/>
      <c r="AB167" s="13" t="s">
        <v>0</v>
      </c>
      <c r="AC167" s="13" t="s">
        <v>0</v>
      </c>
      <c r="AD167" s="13" t="s">
        <v>0</v>
      </c>
      <c r="AE167" s="15">
        <v>0</v>
      </c>
    </row>
    <row r="168" spans="1:31" ht="14.15" customHeight="1" x14ac:dyDescent="0.25">
      <c r="A168" s="12" t="s">
        <v>0</v>
      </c>
      <c r="B168" s="13" t="s">
        <v>1</v>
      </c>
      <c r="C168" s="13" t="s">
        <v>961</v>
      </c>
      <c r="D168" s="14">
        <v>44123</v>
      </c>
      <c r="E168" s="14">
        <v>44123</v>
      </c>
      <c r="F168" s="14">
        <v>44128</v>
      </c>
      <c r="G168" s="13" t="s">
        <v>3</v>
      </c>
      <c r="H168" s="13" t="s">
        <v>4</v>
      </c>
      <c r="I168" s="15">
        <v>-71236.42</v>
      </c>
      <c r="J168" s="13" t="s">
        <v>5</v>
      </c>
      <c r="K168" s="13" t="s">
        <v>6</v>
      </c>
      <c r="L168" s="15">
        <v>-5980297.46</v>
      </c>
      <c r="M168" s="15">
        <v>-71236.42</v>
      </c>
      <c r="N168" s="16" t="str">
        <f>IF(M168="","",IF(M168&lt;0,-M168&amp;"_"&amp;COUNTIF(M$2:M168,M168),M168&amp;"_"&amp;COUNTIF(M$2:M168,M168)))</f>
        <v>71236.42_1</v>
      </c>
      <c r="O168" s="17" t="str">
        <f t="shared" si="2"/>
        <v/>
      </c>
      <c r="P168" s="13" t="s">
        <v>962</v>
      </c>
      <c r="Q168" s="13" t="s">
        <v>958</v>
      </c>
      <c r="R168" s="13" t="s">
        <v>0</v>
      </c>
      <c r="S168" s="13" t="s">
        <v>0</v>
      </c>
      <c r="T168" s="13" t="s">
        <v>9</v>
      </c>
      <c r="U168" s="13" t="s">
        <v>0</v>
      </c>
      <c r="V168" s="13" t="s">
        <v>0</v>
      </c>
      <c r="W168" s="13" t="s">
        <v>0</v>
      </c>
      <c r="X168" s="13" t="s">
        <v>0</v>
      </c>
      <c r="Y168" s="13" t="s">
        <v>10</v>
      </c>
      <c r="Z168" s="13" t="s">
        <v>0</v>
      </c>
      <c r="AA168" s="14"/>
      <c r="AB168" s="13" t="s">
        <v>0</v>
      </c>
      <c r="AC168" s="13" t="s">
        <v>0</v>
      </c>
      <c r="AD168" s="13" t="s">
        <v>0</v>
      </c>
      <c r="AE168" s="15">
        <v>0</v>
      </c>
    </row>
    <row r="169" spans="1:31" ht="14.15" customHeight="1" x14ac:dyDescent="0.25">
      <c r="A169" s="12" t="s">
        <v>0</v>
      </c>
      <c r="B169" s="13" t="s">
        <v>1</v>
      </c>
      <c r="C169" s="13" t="s">
        <v>2839</v>
      </c>
      <c r="D169" s="14">
        <v>44270</v>
      </c>
      <c r="E169" s="14">
        <v>44270</v>
      </c>
      <c r="F169" s="14">
        <v>44275</v>
      </c>
      <c r="G169" s="13" t="s">
        <v>3</v>
      </c>
      <c r="H169" s="13" t="s">
        <v>4</v>
      </c>
      <c r="I169" s="15">
        <v>-71081.78</v>
      </c>
      <c r="J169" s="13" t="s">
        <v>5</v>
      </c>
      <c r="K169" s="13" t="s">
        <v>6</v>
      </c>
      <c r="L169" s="15">
        <v>-5967315.4299999997</v>
      </c>
      <c r="M169" s="15">
        <v>-71081.78</v>
      </c>
      <c r="N169" s="16" t="str">
        <f>IF(M169="","",IF(M169&lt;0,-M169&amp;"_"&amp;COUNTIF(M$2:M169,M169),M169&amp;"_"&amp;COUNTIF(M$2:M169,M169)))</f>
        <v>71081.78_1</v>
      </c>
      <c r="O169" s="17" t="str">
        <f t="shared" si="2"/>
        <v/>
      </c>
      <c r="P169" s="13" t="s">
        <v>2840</v>
      </c>
      <c r="Q169" s="13" t="s">
        <v>2838</v>
      </c>
      <c r="R169" s="13" t="s">
        <v>0</v>
      </c>
      <c r="S169" s="13" t="s">
        <v>0</v>
      </c>
      <c r="T169" s="13" t="s">
        <v>9</v>
      </c>
      <c r="U169" s="13" t="s">
        <v>0</v>
      </c>
      <c r="V169" s="13" t="s">
        <v>0</v>
      </c>
      <c r="W169" s="13" t="s">
        <v>0</v>
      </c>
      <c r="X169" s="13" t="s">
        <v>0</v>
      </c>
      <c r="Y169" s="13" t="s">
        <v>10</v>
      </c>
      <c r="Z169" s="13" t="s">
        <v>0</v>
      </c>
      <c r="AA169" s="14"/>
      <c r="AB169" s="13" t="s">
        <v>0</v>
      </c>
      <c r="AC169" s="13" t="s">
        <v>0</v>
      </c>
      <c r="AD169" s="13" t="s">
        <v>0</v>
      </c>
      <c r="AE169" s="15">
        <v>0</v>
      </c>
    </row>
    <row r="170" spans="1:31" ht="14.15" customHeight="1" x14ac:dyDescent="0.25">
      <c r="A170" s="12" t="s">
        <v>0</v>
      </c>
      <c r="B170" s="13" t="s">
        <v>1</v>
      </c>
      <c r="C170" s="13" t="s">
        <v>1769</v>
      </c>
      <c r="D170" s="14">
        <v>44181</v>
      </c>
      <c r="E170" s="14">
        <v>44181</v>
      </c>
      <c r="F170" s="14">
        <v>44186</v>
      </c>
      <c r="G170" s="13" t="s">
        <v>3</v>
      </c>
      <c r="H170" s="13" t="s">
        <v>4</v>
      </c>
      <c r="I170" s="15">
        <v>-70977.27</v>
      </c>
      <c r="J170" s="13" t="s">
        <v>5</v>
      </c>
      <c r="K170" s="13" t="s">
        <v>6</v>
      </c>
      <c r="L170" s="15">
        <v>-5958541.8200000003</v>
      </c>
      <c r="M170" s="15">
        <v>-70977.27</v>
      </c>
      <c r="N170" s="16" t="str">
        <f>IF(M170="","",IF(M170&lt;0,-M170&amp;"_"&amp;COUNTIF(M$2:M170,M170),M170&amp;"_"&amp;COUNTIF(M$2:M170,M170)))</f>
        <v>70977.27_1</v>
      </c>
      <c r="O170" s="17" t="str">
        <f t="shared" si="2"/>
        <v/>
      </c>
      <c r="P170" s="13" t="s">
        <v>1770</v>
      </c>
      <c r="Q170" s="13" t="s">
        <v>1766</v>
      </c>
      <c r="R170" s="13" t="s">
        <v>0</v>
      </c>
      <c r="S170" s="13" t="s">
        <v>0</v>
      </c>
      <c r="T170" s="13" t="s">
        <v>9</v>
      </c>
      <c r="U170" s="13" t="s">
        <v>0</v>
      </c>
      <c r="V170" s="13" t="s">
        <v>0</v>
      </c>
      <c r="W170" s="13" t="s">
        <v>0</v>
      </c>
      <c r="X170" s="13" t="s">
        <v>0</v>
      </c>
      <c r="Y170" s="13" t="s">
        <v>10</v>
      </c>
      <c r="Z170" s="13" t="s">
        <v>0</v>
      </c>
      <c r="AA170" s="14"/>
      <c r="AB170" s="13" t="s">
        <v>0</v>
      </c>
      <c r="AC170" s="13" t="s">
        <v>0</v>
      </c>
      <c r="AD170" s="13" t="s">
        <v>0</v>
      </c>
      <c r="AE170" s="15">
        <v>0</v>
      </c>
    </row>
    <row r="171" spans="1:31" ht="14.15" customHeight="1" x14ac:dyDescent="0.25">
      <c r="A171" s="12" t="s">
        <v>0</v>
      </c>
      <c r="B171" s="13" t="s">
        <v>1</v>
      </c>
      <c r="C171" s="13" t="s">
        <v>1090</v>
      </c>
      <c r="D171" s="14">
        <v>44135</v>
      </c>
      <c r="E171" s="14">
        <v>44135</v>
      </c>
      <c r="F171" s="14">
        <v>44140</v>
      </c>
      <c r="G171" s="13" t="s">
        <v>3</v>
      </c>
      <c r="H171" s="13" t="s">
        <v>4</v>
      </c>
      <c r="I171" s="15">
        <v>-70921.31</v>
      </c>
      <c r="J171" s="13" t="s">
        <v>5</v>
      </c>
      <c r="K171" s="13" t="s">
        <v>6</v>
      </c>
      <c r="L171" s="15">
        <v>-5953843.9800000004</v>
      </c>
      <c r="M171" s="15">
        <v>-70921.31</v>
      </c>
      <c r="N171" s="16" t="str">
        <f>IF(M171="","",IF(M171&lt;0,-M171&amp;"_"&amp;COUNTIF(M$2:M171,M171),M171&amp;"_"&amp;COUNTIF(M$2:M171,M171)))</f>
        <v>70921.31_1</v>
      </c>
      <c r="O171" s="17" t="str">
        <f t="shared" si="2"/>
        <v/>
      </c>
      <c r="P171" s="13" t="s">
        <v>1091</v>
      </c>
      <c r="Q171" s="13" t="s">
        <v>1083</v>
      </c>
      <c r="R171" s="13" t="s">
        <v>0</v>
      </c>
      <c r="S171" s="13" t="s">
        <v>0</v>
      </c>
      <c r="T171" s="13" t="s">
        <v>9</v>
      </c>
      <c r="U171" s="13" t="s">
        <v>0</v>
      </c>
      <c r="V171" s="13" t="s">
        <v>0</v>
      </c>
      <c r="W171" s="13" t="s">
        <v>0</v>
      </c>
      <c r="X171" s="13" t="s">
        <v>0</v>
      </c>
      <c r="Y171" s="13" t="s">
        <v>10</v>
      </c>
      <c r="Z171" s="13" t="s">
        <v>0</v>
      </c>
      <c r="AA171" s="14"/>
      <c r="AB171" s="13" t="s">
        <v>0</v>
      </c>
      <c r="AC171" s="13" t="s">
        <v>0</v>
      </c>
      <c r="AD171" s="13" t="s">
        <v>0</v>
      </c>
      <c r="AE171" s="15">
        <v>0</v>
      </c>
    </row>
    <row r="172" spans="1:31" ht="14.15" customHeight="1" x14ac:dyDescent="0.25">
      <c r="A172" s="12" t="s">
        <v>0</v>
      </c>
      <c r="B172" s="13" t="s">
        <v>1</v>
      </c>
      <c r="C172" s="13" t="s">
        <v>1539</v>
      </c>
      <c r="D172" s="14">
        <v>44165</v>
      </c>
      <c r="E172" s="14">
        <v>44165</v>
      </c>
      <c r="F172" s="14">
        <v>44168</v>
      </c>
      <c r="G172" s="13" t="s">
        <v>3</v>
      </c>
      <c r="H172" s="13" t="s">
        <v>4</v>
      </c>
      <c r="I172" s="15">
        <v>-70921.31</v>
      </c>
      <c r="J172" s="13" t="s">
        <v>5</v>
      </c>
      <c r="K172" s="13" t="s">
        <v>6</v>
      </c>
      <c r="L172" s="15">
        <v>-5953843.9699999997</v>
      </c>
      <c r="M172" s="15">
        <v>-70921.31</v>
      </c>
      <c r="N172" s="16" t="str">
        <f>IF(M172="","",IF(M172&lt;0,-M172&amp;"_"&amp;COUNTIF(M$2:M172,M172),M172&amp;"_"&amp;COUNTIF(M$2:M172,M172)))</f>
        <v>70921.31_2</v>
      </c>
      <c r="O172" s="17" t="str">
        <f t="shared" si="2"/>
        <v/>
      </c>
      <c r="P172" s="13" t="s">
        <v>1540</v>
      </c>
      <c r="Q172" s="13" t="s">
        <v>1541</v>
      </c>
      <c r="R172" s="13" t="s">
        <v>0</v>
      </c>
      <c r="S172" s="13" t="s">
        <v>0</v>
      </c>
      <c r="T172" s="13" t="s">
        <v>9</v>
      </c>
      <c r="U172" s="13" t="s">
        <v>0</v>
      </c>
      <c r="V172" s="13" t="s">
        <v>0</v>
      </c>
      <c r="W172" s="13" t="s">
        <v>0</v>
      </c>
      <c r="X172" s="13" t="s">
        <v>0</v>
      </c>
      <c r="Y172" s="13" t="s">
        <v>10</v>
      </c>
      <c r="Z172" s="13" t="s">
        <v>0</v>
      </c>
      <c r="AA172" s="14"/>
      <c r="AB172" s="13" t="s">
        <v>0</v>
      </c>
      <c r="AC172" s="13" t="s">
        <v>0</v>
      </c>
      <c r="AD172" s="13" t="s">
        <v>0</v>
      </c>
      <c r="AE172" s="15">
        <v>0</v>
      </c>
    </row>
    <row r="173" spans="1:31" ht="14.15" customHeight="1" x14ac:dyDescent="0.25">
      <c r="A173" s="12" t="s">
        <v>0</v>
      </c>
      <c r="B173" s="13" t="s">
        <v>1</v>
      </c>
      <c r="C173" s="13" t="s">
        <v>4207</v>
      </c>
      <c r="D173" s="14">
        <v>44365</v>
      </c>
      <c r="E173" s="14">
        <v>44365</v>
      </c>
      <c r="F173" s="14">
        <v>44368</v>
      </c>
      <c r="G173" s="13" t="s">
        <v>3</v>
      </c>
      <c r="H173" s="13" t="s">
        <v>4</v>
      </c>
      <c r="I173" s="15">
        <v>-70582.52</v>
      </c>
      <c r="J173" s="13" t="s">
        <v>5</v>
      </c>
      <c r="K173" s="13" t="s">
        <v>6</v>
      </c>
      <c r="L173" s="15">
        <v>-5925402.5499999998</v>
      </c>
      <c r="M173" s="15">
        <v>-70582.52</v>
      </c>
      <c r="N173" s="16" t="str">
        <f>IF(M173="","",IF(M173&lt;0,-M173&amp;"_"&amp;COUNTIF(M$2:M173,M173),M173&amp;"_"&amp;COUNTIF(M$2:M173,M173)))</f>
        <v>70582.52_1</v>
      </c>
      <c r="O173" s="17" t="str">
        <f t="shared" si="2"/>
        <v/>
      </c>
      <c r="P173" s="13" t="s">
        <v>4208</v>
      </c>
      <c r="Q173" s="13" t="s">
        <v>4209</v>
      </c>
      <c r="R173" s="13" t="s">
        <v>0</v>
      </c>
      <c r="S173" s="13" t="s">
        <v>0</v>
      </c>
      <c r="T173" s="13" t="s">
        <v>9</v>
      </c>
      <c r="U173" s="13" t="s">
        <v>0</v>
      </c>
      <c r="V173" s="13" t="s">
        <v>0</v>
      </c>
      <c r="W173" s="13" t="s">
        <v>0</v>
      </c>
      <c r="X173" s="13" t="s">
        <v>0</v>
      </c>
      <c r="Y173" s="13" t="s">
        <v>10</v>
      </c>
      <c r="Z173" s="13" t="s">
        <v>0</v>
      </c>
      <c r="AA173" s="14"/>
      <c r="AB173" s="13" t="s">
        <v>0</v>
      </c>
      <c r="AC173" s="13" t="s">
        <v>0</v>
      </c>
      <c r="AD173" s="13" t="s">
        <v>0</v>
      </c>
      <c r="AE173" s="15">
        <v>0</v>
      </c>
    </row>
    <row r="174" spans="1:31" ht="14.15" customHeight="1" x14ac:dyDescent="0.25">
      <c r="A174" s="12" t="s">
        <v>0</v>
      </c>
      <c r="B174" s="13" t="s">
        <v>1</v>
      </c>
      <c r="C174" s="13" t="s">
        <v>1411</v>
      </c>
      <c r="D174" s="14">
        <v>44154</v>
      </c>
      <c r="E174" s="14">
        <v>44154</v>
      </c>
      <c r="F174" s="14">
        <v>44159</v>
      </c>
      <c r="G174" s="13" t="s">
        <v>3</v>
      </c>
      <c r="H174" s="13" t="s">
        <v>4</v>
      </c>
      <c r="I174" s="15">
        <v>-70500.009999999995</v>
      </c>
      <c r="J174" s="13" t="s">
        <v>5</v>
      </c>
      <c r="K174" s="13" t="s">
        <v>6</v>
      </c>
      <c r="L174" s="15">
        <v>-5918475.8399999999</v>
      </c>
      <c r="M174" s="15">
        <v>-70500.009999999995</v>
      </c>
      <c r="N174" s="16" t="str">
        <f>IF(M174="","",IF(M174&lt;0,-M174&amp;"_"&amp;COUNTIF(M$2:M174,M174),M174&amp;"_"&amp;COUNTIF(M$2:M174,M174)))</f>
        <v>70500.01_1</v>
      </c>
      <c r="O174" s="17" t="str">
        <f t="shared" si="2"/>
        <v/>
      </c>
      <c r="P174" s="13" t="s">
        <v>1412</v>
      </c>
      <c r="Q174" s="13" t="s">
        <v>1408</v>
      </c>
      <c r="R174" s="13" t="s">
        <v>0</v>
      </c>
      <c r="S174" s="13" t="s">
        <v>0</v>
      </c>
      <c r="T174" s="13" t="s">
        <v>9</v>
      </c>
      <c r="U174" s="13" t="s">
        <v>0</v>
      </c>
      <c r="V174" s="13" t="s">
        <v>0</v>
      </c>
      <c r="W174" s="13" t="s">
        <v>0</v>
      </c>
      <c r="X174" s="13" t="s">
        <v>0</v>
      </c>
      <c r="Y174" s="13" t="s">
        <v>10</v>
      </c>
      <c r="Z174" s="13" t="s">
        <v>0</v>
      </c>
      <c r="AA174" s="14"/>
      <c r="AB174" s="13" t="s">
        <v>0</v>
      </c>
      <c r="AC174" s="13" t="s">
        <v>0</v>
      </c>
      <c r="AD174" s="13" t="s">
        <v>0</v>
      </c>
      <c r="AE174" s="15">
        <v>0</v>
      </c>
    </row>
    <row r="175" spans="1:31" ht="14.15" customHeight="1" x14ac:dyDescent="0.25">
      <c r="A175" s="12" t="s">
        <v>0</v>
      </c>
      <c r="B175" s="13" t="s">
        <v>1</v>
      </c>
      <c r="C175" s="13" t="s">
        <v>4315</v>
      </c>
      <c r="D175" s="14">
        <v>44372</v>
      </c>
      <c r="E175" s="14">
        <v>44372</v>
      </c>
      <c r="F175" s="14">
        <v>44376</v>
      </c>
      <c r="G175" s="13" t="s">
        <v>3</v>
      </c>
      <c r="H175" s="13" t="s">
        <v>4</v>
      </c>
      <c r="I175" s="15">
        <v>-70278</v>
      </c>
      <c r="J175" s="13" t="s">
        <v>5</v>
      </c>
      <c r="K175" s="13" t="s">
        <v>6</v>
      </c>
      <c r="L175" s="15">
        <v>-5899838.0999999996</v>
      </c>
      <c r="M175" s="15">
        <v>-70278</v>
      </c>
      <c r="N175" s="16" t="str">
        <f>IF(M175="","",IF(M175&lt;0,-M175&amp;"_"&amp;COUNTIF(M$2:M175,M175),M175&amp;"_"&amp;COUNTIF(M$2:M175,M175)))</f>
        <v>70278_1</v>
      </c>
      <c r="O175" s="17" t="str">
        <f t="shared" si="2"/>
        <v/>
      </c>
      <c r="P175" s="13" t="s">
        <v>4316</v>
      </c>
      <c r="Q175" s="13" t="s">
        <v>4312</v>
      </c>
      <c r="R175" s="13" t="s">
        <v>0</v>
      </c>
      <c r="S175" s="13" t="s">
        <v>0</v>
      </c>
      <c r="T175" s="13" t="s">
        <v>9</v>
      </c>
      <c r="U175" s="13" t="s">
        <v>0</v>
      </c>
      <c r="V175" s="13" t="s">
        <v>0</v>
      </c>
      <c r="W175" s="13" t="s">
        <v>0</v>
      </c>
      <c r="X175" s="13" t="s">
        <v>0</v>
      </c>
      <c r="Y175" s="13" t="s">
        <v>10</v>
      </c>
      <c r="Z175" s="13" t="s">
        <v>0</v>
      </c>
      <c r="AA175" s="14"/>
      <c r="AB175" s="13" t="s">
        <v>0</v>
      </c>
      <c r="AC175" s="13" t="s">
        <v>0</v>
      </c>
      <c r="AD175" s="13" t="s">
        <v>0</v>
      </c>
      <c r="AE175" s="15">
        <v>0</v>
      </c>
    </row>
    <row r="176" spans="1:31" ht="14.15" customHeight="1" x14ac:dyDescent="0.25">
      <c r="A176" s="12" t="s">
        <v>0</v>
      </c>
      <c r="B176" s="13" t="s">
        <v>1</v>
      </c>
      <c r="C176" s="13" t="s">
        <v>4280</v>
      </c>
      <c r="D176" s="14">
        <v>44370</v>
      </c>
      <c r="E176" s="14">
        <v>44370</v>
      </c>
      <c r="F176" s="14">
        <v>44377</v>
      </c>
      <c r="G176" s="13" t="s">
        <v>3</v>
      </c>
      <c r="H176" s="13" t="s">
        <v>4</v>
      </c>
      <c r="I176" s="15">
        <v>-70064.820000000007</v>
      </c>
      <c r="J176" s="13" t="s">
        <v>5</v>
      </c>
      <c r="K176" s="13" t="s">
        <v>6</v>
      </c>
      <c r="L176" s="15">
        <v>-5881941.6399999997</v>
      </c>
      <c r="M176" s="15">
        <v>-70064.820000000007</v>
      </c>
      <c r="N176" s="16" t="str">
        <f>IF(M176="","",IF(M176&lt;0,-M176&amp;"_"&amp;COUNTIF(M$2:M176,M176),M176&amp;"_"&amp;COUNTIF(M$2:M176,M176)))</f>
        <v>70064.82_1</v>
      </c>
      <c r="O176" s="17" t="str">
        <f t="shared" si="2"/>
        <v/>
      </c>
      <c r="P176" s="13" t="s">
        <v>4281</v>
      </c>
      <c r="Q176" s="13" t="s">
        <v>4269</v>
      </c>
      <c r="R176" s="13" t="s">
        <v>0</v>
      </c>
      <c r="S176" s="13" t="s">
        <v>0</v>
      </c>
      <c r="T176" s="13" t="s">
        <v>9</v>
      </c>
      <c r="U176" s="13" t="s">
        <v>0</v>
      </c>
      <c r="V176" s="13" t="s">
        <v>0</v>
      </c>
      <c r="W176" s="13" t="s">
        <v>0</v>
      </c>
      <c r="X176" s="13" t="s">
        <v>0</v>
      </c>
      <c r="Y176" s="13" t="s">
        <v>10</v>
      </c>
      <c r="Z176" s="13" t="s">
        <v>0</v>
      </c>
      <c r="AA176" s="14"/>
      <c r="AB176" s="13" t="s">
        <v>0</v>
      </c>
      <c r="AC176" s="13" t="s">
        <v>0</v>
      </c>
      <c r="AD176" s="13" t="s">
        <v>0</v>
      </c>
      <c r="AE176" s="15">
        <v>0</v>
      </c>
    </row>
    <row r="177" spans="1:31" ht="14.15" customHeight="1" x14ac:dyDescent="0.25">
      <c r="A177" s="12" t="s">
        <v>0</v>
      </c>
      <c r="B177" s="13" t="s">
        <v>1</v>
      </c>
      <c r="C177" s="13" t="s">
        <v>1795</v>
      </c>
      <c r="D177" s="14">
        <v>44183</v>
      </c>
      <c r="E177" s="14">
        <v>44183</v>
      </c>
      <c r="F177" s="14">
        <v>44187</v>
      </c>
      <c r="G177" s="13" t="s">
        <v>3</v>
      </c>
      <c r="H177" s="13" t="s">
        <v>4</v>
      </c>
      <c r="I177" s="15">
        <v>-68695.759999999995</v>
      </c>
      <c r="J177" s="13" t="s">
        <v>5</v>
      </c>
      <c r="K177" s="13" t="s">
        <v>6</v>
      </c>
      <c r="L177" s="15">
        <v>-5767009.0499999998</v>
      </c>
      <c r="M177" s="15">
        <v>-68695.759999999995</v>
      </c>
      <c r="N177" s="16" t="str">
        <f>IF(M177="","",IF(M177&lt;0,-M177&amp;"_"&amp;COUNTIF(M$2:M177,M177),M177&amp;"_"&amp;COUNTIF(M$2:M177,M177)))</f>
        <v>68695.76_1</v>
      </c>
      <c r="O177" s="17" t="str">
        <f t="shared" si="2"/>
        <v/>
      </c>
      <c r="P177" s="13" t="s">
        <v>1796</v>
      </c>
      <c r="Q177" s="13" t="s">
        <v>1792</v>
      </c>
      <c r="R177" s="13" t="s">
        <v>0</v>
      </c>
      <c r="S177" s="13" t="s">
        <v>0</v>
      </c>
      <c r="T177" s="13" t="s">
        <v>9</v>
      </c>
      <c r="U177" s="13" t="s">
        <v>0</v>
      </c>
      <c r="V177" s="13" t="s">
        <v>0</v>
      </c>
      <c r="W177" s="13" t="s">
        <v>0</v>
      </c>
      <c r="X177" s="13" t="s">
        <v>0</v>
      </c>
      <c r="Y177" s="13" t="s">
        <v>10</v>
      </c>
      <c r="Z177" s="13" t="s">
        <v>0</v>
      </c>
      <c r="AA177" s="14"/>
      <c r="AB177" s="13" t="s">
        <v>0</v>
      </c>
      <c r="AC177" s="13" t="s">
        <v>0</v>
      </c>
      <c r="AD177" s="13" t="s">
        <v>0</v>
      </c>
      <c r="AE177" s="15">
        <v>0</v>
      </c>
    </row>
    <row r="178" spans="1:31" ht="14.15" customHeight="1" x14ac:dyDescent="0.25">
      <c r="A178" s="12" t="s">
        <v>0</v>
      </c>
      <c r="B178" s="13" t="s">
        <v>1</v>
      </c>
      <c r="C178" s="13" t="s">
        <v>107</v>
      </c>
      <c r="D178" s="14">
        <v>44025</v>
      </c>
      <c r="E178" s="14">
        <v>44025</v>
      </c>
      <c r="F178" s="14">
        <v>44030</v>
      </c>
      <c r="G178" s="13" t="s">
        <v>3</v>
      </c>
      <c r="H178" s="13" t="s">
        <v>4</v>
      </c>
      <c r="I178" s="15">
        <v>-68613.22</v>
      </c>
      <c r="J178" s="13" t="s">
        <v>5</v>
      </c>
      <c r="K178" s="13" t="s">
        <v>6</v>
      </c>
      <c r="L178" s="15">
        <v>-5760079.8200000003</v>
      </c>
      <c r="M178" s="15">
        <v>-68613.22</v>
      </c>
      <c r="N178" s="16" t="str">
        <f>IF(M178="","",IF(M178&lt;0,-M178&amp;"_"&amp;COUNTIF(M$2:M178,M178),M178&amp;"_"&amp;COUNTIF(M$2:M178,M178)))</f>
        <v>68613.22_1</v>
      </c>
      <c r="O178" s="17" t="str">
        <f t="shared" si="2"/>
        <v/>
      </c>
      <c r="P178" s="13" t="s">
        <v>108</v>
      </c>
      <c r="Q178" s="13" t="s">
        <v>104</v>
      </c>
      <c r="R178" s="13" t="s">
        <v>0</v>
      </c>
      <c r="S178" s="13" t="s">
        <v>0</v>
      </c>
      <c r="T178" s="13" t="s">
        <v>9</v>
      </c>
      <c r="U178" s="13" t="s">
        <v>0</v>
      </c>
      <c r="V178" s="13" t="s">
        <v>0</v>
      </c>
      <c r="W178" s="13" t="s">
        <v>0</v>
      </c>
      <c r="X178" s="13" t="s">
        <v>0</v>
      </c>
      <c r="Y178" s="13" t="s">
        <v>10</v>
      </c>
      <c r="Z178" s="13" t="s">
        <v>0</v>
      </c>
      <c r="AA178" s="14"/>
      <c r="AB178" s="13" t="s">
        <v>0</v>
      </c>
      <c r="AC178" s="13" t="s">
        <v>0</v>
      </c>
      <c r="AD178" s="13" t="s">
        <v>0</v>
      </c>
      <c r="AE178" s="15">
        <v>0</v>
      </c>
    </row>
    <row r="179" spans="1:31" ht="14.15" customHeight="1" x14ac:dyDescent="0.25">
      <c r="A179" s="12" t="s">
        <v>0</v>
      </c>
      <c r="B179" s="13" t="s">
        <v>1</v>
      </c>
      <c r="C179" s="13" t="s">
        <v>3055</v>
      </c>
      <c r="D179" s="14">
        <v>44283</v>
      </c>
      <c r="E179" s="14">
        <v>44283</v>
      </c>
      <c r="F179" s="14">
        <v>44290</v>
      </c>
      <c r="G179" s="13" t="s">
        <v>3</v>
      </c>
      <c r="H179" s="13" t="s">
        <v>4</v>
      </c>
      <c r="I179" s="15">
        <v>-68488.990000000005</v>
      </c>
      <c r="J179" s="13" t="s">
        <v>5</v>
      </c>
      <c r="K179" s="13" t="s">
        <v>6</v>
      </c>
      <c r="L179" s="15">
        <v>-5749650.71</v>
      </c>
      <c r="M179" s="15">
        <v>-68488.990000000005</v>
      </c>
      <c r="N179" s="16" t="str">
        <f>IF(M179="","",IF(M179&lt;0,-M179&amp;"_"&amp;COUNTIF(M$2:M179,M179),M179&amp;"_"&amp;COUNTIF(M$2:M179,M179)))</f>
        <v>68488.99_1</v>
      </c>
      <c r="O179" s="17" t="str">
        <f t="shared" si="2"/>
        <v/>
      </c>
      <c r="P179" s="13" t="s">
        <v>3056</v>
      </c>
      <c r="Q179" s="13" t="s">
        <v>3048</v>
      </c>
      <c r="R179" s="13" t="s">
        <v>0</v>
      </c>
      <c r="S179" s="13" t="s">
        <v>0</v>
      </c>
      <c r="T179" s="13" t="s">
        <v>9</v>
      </c>
      <c r="U179" s="13" t="s">
        <v>0</v>
      </c>
      <c r="V179" s="13" t="s">
        <v>0</v>
      </c>
      <c r="W179" s="13" t="s">
        <v>0</v>
      </c>
      <c r="X179" s="13" t="s">
        <v>0</v>
      </c>
      <c r="Y179" s="13" t="s">
        <v>10</v>
      </c>
      <c r="Z179" s="13" t="s">
        <v>0</v>
      </c>
      <c r="AA179" s="14"/>
      <c r="AB179" s="13" t="s">
        <v>0</v>
      </c>
      <c r="AC179" s="13" t="s">
        <v>0</v>
      </c>
      <c r="AD179" s="13" t="s">
        <v>0</v>
      </c>
      <c r="AE179" s="15">
        <v>0</v>
      </c>
    </row>
    <row r="180" spans="1:31" ht="14.15" customHeight="1" x14ac:dyDescent="0.25">
      <c r="A180" s="12" t="s">
        <v>0</v>
      </c>
      <c r="B180" s="13" t="s">
        <v>1</v>
      </c>
      <c r="C180" s="13" t="s">
        <v>2802</v>
      </c>
      <c r="D180" s="14">
        <v>44265</v>
      </c>
      <c r="E180" s="14">
        <v>44265</v>
      </c>
      <c r="F180" s="14">
        <v>44268</v>
      </c>
      <c r="G180" s="13" t="s">
        <v>3</v>
      </c>
      <c r="H180" s="13" t="s">
        <v>4</v>
      </c>
      <c r="I180" s="15">
        <v>-68298.33</v>
      </c>
      <c r="J180" s="13" t="s">
        <v>5</v>
      </c>
      <c r="K180" s="13" t="s">
        <v>6</v>
      </c>
      <c r="L180" s="15">
        <v>-5733644.7999999998</v>
      </c>
      <c r="M180" s="15">
        <v>-68298.33</v>
      </c>
      <c r="N180" s="16" t="str">
        <f>IF(M180="","",IF(M180&lt;0,-M180&amp;"_"&amp;COUNTIF(M$2:M180,M180),M180&amp;"_"&amp;COUNTIF(M$2:M180,M180)))</f>
        <v>68298.33_1</v>
      </c>
      <c r="O180" s="17" t="str">
        <f t="shared" si="2"/>
        <v/>
      </c>
      <c r="P180" s="13" t="s">
        <v>2803</v>
      </c>
      <c r="Q180" s="13" t="s">
        <v>2801</v>
      </c>
      <c r="R180" s="13" t="s">
        <v>0</v>
      </c>
      <c r="S180" s="13" t="s">
        <v>0</v>
      </c>
      <c r="T180" s="13" t="s">
        <v>9</v>
      </c>
      <c r="U180" s="13" t="s">
        <v>0</v>
      </c>
      <c r="V180" s="13" t="s">
        <v>0</v>
      </c>
      <c r="W180" s="13" t="s">
        <v>0</v>
      </c>
      <c r="X180" s="13" t="s">
        <v>0</v>
      </c>
      <c r="Y180" s="13" t="s">
        <v>10</v>
      </c>
      <c r="Z180" s="13" t="s">
        <v>0</v>
      </c>
      <c r="AA180" s="14"/>
      <c r="AB180" s="13" t="s">
        <v>0</v>
      </c>
      <c r="AC180" s="13" t="s">
        <v>0</v>
      </c>
      <c r="AD180" s="13" t="s">
        <v>0</v>
      </c>
      <c r="AE180" s="15">
        <v>0</v>
      </c>
    </row>
    <row r="181" spans="1:31" ht="14.15" customHeight="1" x14ac:dyDescent="0.25">
      <c r="A181" s="12" t="s">
        <v>0</v>
      </c>
      <c r="B181" s="13" t="s">
        <v>1</v>
      </c>
      <c r="C181" s="13" t="s">
        <v>3175</v>
      </c>
      <c r="D181" s="14">
        <v>44299</v>
      </c>
      <c r="E181" s="14">
        <v>44299</v>
      </c>
      <c r="F181" s="14">
        <v>44308</v>
      </c>
      <c r="G181" s="13" t="s">
        <v>3</v>
      </c>
      <c r="H181" s="13" t="s">
        <v>4</v>
      </c>
      <c r="I181" s="15">
        <v>-67924.44</v>
      </c>
      <c r="J181" s="13" t="s">
        <v>5</v>
      </c>
      <c r="K181" s="13" t="s">
        <v>6</v>
      </c>
      <c r="L181" s="15">
        <v>-5702256.7400000002</v>
      </c>
      <c r="M181" s="15">
        <v>-67924.44</v>
      </c>
      <c r="N181" s="16" t="str">
        <f>IF(M181="","",IF(M181&lt;0,-M181&amp;"_"&amp;COUNTIF(M$2:M181,M181),M181&amp;"_"&amp;COUNTIF(M$2:M181,M181)))</f>
        <v>67924.44_1</v>
      </c>
      <c r="O181" s="17" t="str">
        <f t="shared" si="2"/>
        <v/>
      </c>
      <c r="P181" s="13" t="s">
        <v>3176</v>
      </c>
      <c r="Q181" s="13" t="s">
        <v>3170</v>
      </c>
      <c r="R181" s="13" t="s">
        <v>0</v>
      </c>
      <c r="S181" s="13" t="s">
        <v>0</v>
      </c>
      <c r="T181" s="13" t="s">
        <v>9</v>
      </c>
      <c r="U181" s="13" t="s">
        <v>0</v>
      </c>
      <c r="V181" s="13" t="s">
        <v>0</v>
      </c>
      <c r="W181" s="13" t="s">
        <v>0</v>
      </c>
      <c r="X181" s="13" t="s">
        <v>0</v>
      </c>
      <c r="Y181" s="13" t="s">
        <v>10</v>
      </c>
      <c r="Z181" s="13" t="s">
        <v>0</v>
      </c>
      <c r="AA181" s="14"/>
      <c r="AB181" s="13" t="s">
        <v>0</v>
      </c>
      <c r="AC181" s="13" t="s">
        <v>0</v>
      </c>
      <c r="AD181" s="13" t="s">
        <v>0</v>
      </c>
      <c r="AE181" s="15">
        <v>0</v>
      </c>
    </row>
    <row r="182" spans="1:31" ht="14.15" customHeight="1" x14ac:dyDescent="0.25">
      <c r="A182" s="12" t="s">
        <v>0</v>
      </c>
      <c r="B182" s="13" t="s">
        <v>1</v>
      </c>
      <c r="C182" s="13" t="s">
        <v>3153</v>
      </c>
      <c r="D182" s="14">
        <v>44297</v>
      </c>
      <c r="E182" s="14">
        <v>44297</v>
      </c>
      <c r="F182" s="14">
        <v>44306</v>
      </c>
      <c r="G182" s="13" t="s">
        <v>3</v>
      </c>
      <c r="H182" s="13" t="s">
        <v>4</v>
      </c>
      <c r="I182" s="15">
        <v>-67901.149999999994</v>
      </c>
      <c r="J182" s="13" t="s">
        <v>5</v>
      </c>
      <c r="K182" s="13" t="s">
        <v>6</v>
      </c>
      <c r="L182" s="15">
        <v>-5700301.54</v>
      </c>
      <c r="M182" s="15">
        <v>-67901.149999999994</v>
      </c>
      <c r="N182" s="16" t="str">
        <f>IF(M182="","",IF(M182&lt;0,-M182&amp;"_"&amp;COUNTIF(M$2:M182,M182),M182&amp;"_"&amp;COUNTIF(M$2:M182,M182)))</f>
        <v>67901.15_1</v>
      </c>
      <c r="O182" s="17" t="str">
        <f t="shared" si="2"/>
        <v/>
      </c>
      <c r="P182" s="13" t="s">
        <v>3154</v>
      </c>
      <c r="Q182" s="13" t="s">
        <v>3152</v>
      </c>
      <c r="R182" s="13" t="s">
        <v>0</v>
      </c>
      <c r="S182" s="13" t="s">
        <v>0</v>
      </c>
      <c r="T182" s="13" t="s">
        <v>9</v>
      </c>
      <c r="U182" s="13" t="s">
        <v>0</v>
      </c>
      <c r="V182" s="13" t="s">
        <v>0</v>
      </c>
      <c r="W182" s="13" t="s">
        <v>0</v>
      </c>
      <c r="X182" s="13" t="s">
        <v>0</v>
      </c>
      <c r="Y182" s="13" t="s">
        <v>10</v>
      </c>
      <c r="Z182" s="13" t="s">
        <v>0</v>
      </c>
      <c r="AA182" s="14"/>
      <c r="AB182" s="13" t="s">
        <v>0</v>
      </c>
      <c r="AC182" s="13" t="s">
        <v>0</v>
      </c>
      <c r="AD182" s="13" t="s">
        <v>0</v>
      </c>
      <c r="AE182" s="15">
        <v>0</v>
      </c>
    </row>
    <row r="183" spans="1:31" ht="14.15" customHeight="1" x14ac:dyDescent="0.25">
      <c r="A183" s="12" t="s">
        <v>0</v>
      </c>
      <c r="B183" s="13" t="s">
        <v>1</v>
      </c>
      <c r="C183" s="13" t="s">
        <v>585</v>
      </c>
      <c r="D183" s="14">
        <v>44079</v>
      </c>
      <c r="E183" s="14">
        <v>44079</v>
      </c>
      <c r="F183" s="14">
        <v>44082</v>
      </c>
      <c r="G183" s="13" t="s">
        <v>3</v>
      </c>
      <c r="H183" s="13" t="s">
        <v>4</v>
      </c>
      <c r="I183" s="15">
        <v>-67573.66</v>
      </c>
      <c r="J183" s="13" t="s">
        <v>5</v>
      </c>
      <c r="K183" s="13" t="s">
        <v>6</v>
      </c>
      <c r="L183" s="15">
        <v>-5672808.7599999998</v>
      </c>
      <c r="M183" s="15">
        <v>-67573.66</v>
      </c>
      <c r="N183" s="16" t="str">
        <f>IF(M183="","",IF(M183&lt;0,-M183&amp;"_"&amp;COUNTIF(M$2:M183,M183),M183&amp;"_"&amp;COUNTIF(M$2:M183,M183)))</f>
        <v>67573.66_1</v>
      </c>
      <c r="O183" s="17" t="str">
        <f t="shared" si="2"/>
        <v/>
      </c>
      <c r="P183" s="13" t="s">
        <v>586</v>
      </c>
      <c r="Q183" s="13" t="s">
        <v>587</v>
      </c>
      <c r="R183" s="13" t="s">
        <v>0</v>
      </c>
      <c r="S183" s="13" t="s">
        <v>0</v>
      </c>
      <c r="T183" s="13" t="s">
        <v>9</v>
      </c>
      <c r="U183" s="13" t="s">
        <v>0</v>
      </c>
      <c r="V183" s="13" t="s">
        <v>0</v>
      </c>
      <c r="W183" s="13" t="s">
        <v>0</v>
      </c>
      <c r="X183" s="13" t="s">
        <v>0</v>
      </c>
      <c r="Y183" s="13" t="s">
        <v>10</v>
      </c>
      <c r="Z183" s="13" t="s">
        <v>0</v>
      </c>
      <c r="AA183" s="14"/>
      <c r="AB183" s="13" t="s">
        <v>0</v>
      </c>
      <c r="AC183" s="13" t="s">
        <v>0</v>
      </c>
      <c r="AD183" s="13" t="s">
        <v>0</v>
      </c>
      <c r="AE183" s="15">
        <v>0</v>
      </c>
    </row>
    <row r="184" spans="1:31" ht="14.15" customHeight="1" x14ac:dyDescent="0.25">
      <c r="A184" s="12" t="s">
        <v>0</v>
      </c>
      <c r="B184" s="13" t="s">
        <v>1</v>
      </c>
      <c r="C184" s="13" t="s">
        <v>1246</v>
      </c>
      <c r="D184" s="14">
        <v>44143</v>
      </c>
      <c r="E184" s="14">
        <v>44143</v>
      </c>
      <c r="F184" s="14">
        <v>44146</v>
      </c>
      <c r="G184" s="13" t="s">
        <v>3</v>
      </c>
      <c r="H184" s="13" t="s">
        <v>4</v>
      </c>
      <c r="I184" s="15">
        <v>-67524.039999999994</v>
      </c>
      <c r="J184" s="13" t="s">
        <v>5</v>
      </c>
      <c r="K184" s="13" t="s">
        <v>6</v>
      </c>
      <c r="L184" s="15">
        <v>-5668643.1600000001</v>
      </c>
      <c r="M184" s="15">
        <v>-67524.039999999994</v>
      </c>
      <c r="N184" s="16" t="str">
        <f>IF(M184="","",IF(M184&lt;0,-M184&amp;"_"&amp;COUNTIF(M$2:M184,M184),M184&amp;"_"&amp;COUNTIF(M$2:M184,M184)))</f>
        <v>67524.04_1</v>
      </c>
      <c r="O184" s="17" t="str">
        <f t="shared" si="2"/>
        <v/>
      </c>
      <c r="P184" s="13" t="s">
        <v>1247</v>
      </c>
      <c r="Q184" s="13" t="s">
        <v>1245</v>
      </c>
      <c r="R184" s="13" t="s">
        <v>0</v>
      </c>
      <c r="S184" s="13" t="s">
        <v>0</v>
      </c>
      <c r="T184" s="13" t="s">
        <v>9</v>
      </c>
      <c r="U184" s="13" t="s">
        <v>0</v>
      </c>
      <c r="V184" s="13" t="s">
        <v>0</v>
      </c>
      <c r="W184" s="13" t="s">
        <v>0</v>
      </c>
      <c r="X184" s="13" t="s">
        <v>0</v>
      </c>
      <c r="Y184" s="13" t="s">
        <v>10</v>
      </c>
      <c r="Z184" s="13" t="s">
        <v>0</v>
      </c>
      <c r="AA184" s="14"/>
      <c r="AB184" s="13" t="s">
        <v>0</v>
      </c>
      <c r="AC184" s="13" t="s">
        <v>0</v>
      </c>
      <c r="AD184" s="13" t="s">
        <v>0</v>
      </c>
      <c r="AE184" s="15">
        <v>0</v>
      </c>
    </row>
    <row r="185" spans="1:31" ht="14.15" customHeight="1" x14ac:dyDescent="0.25">
      <c r="A185" s="12" t="s">
        <v>0</v>
      </c>
      <c r="B185" s="13" t="s">
        <v>1</v>
      </c>
      <c r="C185" s="13" t="s">
        <v>1260</v>
      </c>
      <c r="D185" s="14">
        <v>44143</v>
      </c>
      <c r="E185" s="14">
        <v>44143</v>
      </c>
      <c r="F185" s="14">
        <v>44149</v>
      </c>
      <c r="G185" s="13" t="s">
        <v>3</v>
      </c>
      <c r="H185" s="13" t="s">
        <v>4</v>
      </c>
      <c r="I185" s="15">
        <v>-67515.289999999994</v>
      </c>
      <c r="J185" s="13" t="s">
        <v>5</v>
      </c>
      <c r="K185" s="13" t="s">
        <v>6</v>
      </c>
      <c r="L185" s="15">
        <v>-5667908.5899999999</v>
      </c>
      <c r="M185" s="15">
        <v>-67515.289999999994</v>
      </c>
      <c r="N185" s="16" t="str">
        <f>IF(M185="","",IF(M185&lt;0,-M185&amp;"_"&amp;COUNTIF(M$2:M185,M185),M185&amp;"_"&amp;COUNTIF(M$2:M185,M185)))</f>
        <v>67515.29_1</v>
      </c>
      <c r="O185" s="17" t="str">
        <f t="shared" si="2"/>
        <v/>
      </c>
      <c r="P185" s="13" t="s">
        <v>1261</v>
      </c>
      <c r="Q185" s="13" t="s">
        <v>1245</v>
      </c>
      <c r="R185" s="13" t="s">
        <v>0</v>
      </c>
      <c r="S185" s="13" t="s">
        <v>0</v>
      </c>
      <c r="T185" s="13" t="s">
        <v>9</v>
      </c>
      <c r="U185" s="13" t="s">
        <v>0</v>
      </c>
      <c r="V185" s="13" t="s">
        <v>0</v>
      </c>
      <c r="W185" s="13" t="s">
        <v>0</v>
      </c>
      <c r="X185" s="13" t="s">
        <v>0</v>
      </c>
      <c r="Y185" s="13" t="s">
        <v>10</v>
      </c>
      <c r="Z185" s="13" t="s">
        <v>0</v>
      </c>
      <c r="AA185" s="14"/>
      <c r="AB185" s="13" t="s">
        <v>0</v>
      </c>
      <c r="AC185" s="13" t="s">
        <v>0</v>
      </c>
      <c r="AD185" s="13" t="s">
        <v>0</v>
      </c>
      <c r="AE185" s="15">
        <v>0</v>
      </c>
    </row>
    <row r="186" spans="1:31" ht="14.15" customHeight="1" x14ac:dyDescent="0.25">
      <c r="A186" s="12" t="s">
        <v>0</v>
      </c>
      <c r="B186" s="13" t="s">
        <v>1</v>
      </c>
      <c r="C186" s="13" t="s">
        <v>2547</v>
      </c>
      <c r="D186" s="14">
        <v>44239</v>
      </c>
      <c r="E186" s="14">
        <v>44239</v>
      </c>
      <c r="F186" s="14">
        <v>44243</v>
      </c>
      <c r="G186" s="13" t="s">
        <v>3</v>
      </c>
      <c r="H186" s="13" t="s">
        <v>4</v>
      </c>
      <c r="I186" s="15">
        <v>-67066.3</v>
      </c>
      <c r="J186" s="13" t="s">
        <v>5</v>
      </c>
      <c r="K186" s="13" t="s">
        <v>6</v>
      </c>
      <c r="L186" s="15">
        <v>-5630215.8899999997</v>
      </c>
      <c r="M186" s="15">
        <v>-67066.3</v>
      </c>
      <c r="N186" s="16" t="str">
        <f>IF(M186="","",IF(M186&lt;0,-M186&amp;"_"&amp;COUNTIF(M$2:M186,M186),M186&amp;"_"&amp;COUNTIF(M$2:M186,M186)))</f>
        <v>67066.3_1</v>
      </c>
      <c r="O186" s="17" t="str">
        <f t="shared" si="2"/>
        <v/>
      </c>
      <c r="P186" s="13" t="s">
        <v>2548</v>
      </c>
      <c r="Q186" s="13" t="s">
        <v>2549</v>
      </c>
      <c r="R186" s="13" t="s">
        <v>0</v>
      </c>
      <c r="S186" s="13" t="s">
        <v>0</v>
      </c>
      <c r="T186" s="13" t="s">
        <v>9</v>
      </c>
      <c r="U186" s="13" t="s">
        <v>0</v>
      </c>
      <c r="V186" s="13" t="s">
        <v>0</v>
      </c>
      <c r="W186" s="13" t="s">
        <v>0</v>
      </c>
      <c r="X186" s="13" t="s">
        <v>0</v>
      </c>
      <c r="Y186" s="13" t="s">
        <v>10</v>
      </c>
      <c r="Z186" s="13" t="s">
        <v>0</v>
      </c>
      <c r="AA186" s="14"/>
      <c r="AB186" s="13" t="s">
        <v>0</v>
      </c>
      <c r="AC186" s="13" t="s">
        <v>0</v>
      </c>
      <c r="AD186" s="13" t="s">
        <v>0</v>
      </c>
      <c r="AE186" s="15">
        <v>0</v>
      </c>
    </row>
    <row r="187" spans="1:31" ht="14.15" customHeight="1" x14ac:dyDescent="0.25">
      <c r="A187" s="12" t="s">
        <v>0</v>
      </c>
      <c r="B187" s="13" t="s">
        <v>1</v>
      </c>
      <c r="C187" s="13" t="s">
        <v>2815</v>
      </c>
      <c r="D187" s="14">
        <v>44266</v>
      </c>
      <c r="E187" s="14">
        <v>44266</v>
      </c>
      <c r="F187" s="14">
        <v>44272</v>
      </c>
      <c r="G187" s="13" t="s">
        <v>3</v>
      </c>
      <c r="H187" s="13" t="s">
        <v>4</v>
      </c>
      <c r="I187" s="15">
        <v>-66729.31</v>
      </c>
      <c r="J187" s="13" t="s">
        <v>5</v>
      </c>
      <c r="K187" s="13" t="s">
        <v>6</v>
      </c>
      <c r="L187" s="15">
        <v>-5601925.5700000003</v>
      </c>
      <c r="M187" s="15">
        <v>-66729.31</v>
      </c>
      <c r="N187" s="16" t="str">
        <f>IF(M187="","",IF(M187&lt;0,-M187&amp;"_"&amp;COUNTIF(M$2:M187,M187),M187&amp;"_"&amp;COUNTIF(M$2:M187,M187)))</f>
        <v>66729.31_1</v>
      </c>
      <c r="O187" s="17" t="str">
        <f t="shared" si="2"/>
        <v/>
      </c>
      <c r="P187" s="13" t="s">
        <v>2816</v>
      </c>
      <c r="Q187" s="13" t="s">
        <v>2810</v>
      </c>
      <c r="R187" s="13" t="s">
        <v>0</v>
      </c>
      <c r="S187" s="13" t="s">
        <v>0</v>
      </c>
      <c r="T187" s="13" t="s">
        <v>9</v>
      </c>
      <c r="U187" s="13" t="s">
        <v>0</v>
      </c>
      <c r="V187" s="13" t="s">
        <v>0</v>
      </c>
      <c r="W187" s="13" t="s">
        <v>0</v>
      </c>
      <c r="X187" s="13" t="s">
        <v>0</v>
      </c>
      <c r="Y187" s="13" t="s">
        <v>10</v>
      </c>
      <c r="Z187" s="13" t="s">
        <v>0</v>
      </c>
      <c r="AA187" s="14"/>
      <c r="AB187" s="13" t="s">
        <v>0</v>
      </c>
      <c r="AC187" s="13" t="s">
        <v>0</v>
      </c>
      <c r="AD187" s="13" t="s">
        <v>0</v>
      </c>
      <c r="AE187" s="15">
        <v>0</v>
      </c>
    </row>
    <row r="188" spans="1:31" ht="14.15" customHeight="1" x14ac:dyDescent="0.25">
      <c r="A188" s="12" t="s">
        <v>0</v>
      </c>
      <c r="B188" s="13" t="s">
        <v>1</v>
      </c>
      <c r="C188" s="13" t="s">
        <v>1182</v>
      </c>
      <c r="D188" s="14">
        <v>44140</v>
      </c>
      <c r="E188" s="14">
        <v>44140</v>
      </c>
      <c r="F188" s="14">
        <v>44146</v>
      </c>
      <c r="G188" s="13" t="s">
        <v>3</v>
      </c>
      <c r="H188" s="13" t="s">
        <v>4</v>
      </c>
      <c r="I188" s="15">
        <v>-66656.39</v>
      </c>
      <c r="J188" s="13" t="s">
        <v>5</v>
      </c>
      <c r="K188" s="13" t="s">
        <v>6</v>
      </c>
      <c r="L188" s="15">
        <v>-5595803.9400000004</v>
      </c>
      <c r="M188" s="15">
        <v>-66656.39</v>
      </c>
      <c r="N188" s="16" t="str">
        <f>IF(M188="","",IF(M188&lt;0,-M188&amp;"_"&amp;COUNTIF(M$2:M188,M188),M188&amp;"_"&amp;COUNTIF(M$2:M188,M188)))</f>
        <v>66656.39_1</v>
      </c>
      <c r="O188" s="17" t="str">
        <f t="shared" si="2"/>
        <v/>
      </c>
      <c r="P188" s="13" t="s">
        <v>1183</v>
      </c>
      <c r="Q188" s="13" t="s">
        <v>1165</v>
      </c>
      <c r="R188" s="13" t="s">
        <v>0</v>
      </c>
      <c r="S188" s="13" t="s">
        <v>0</v>
      </c>
      <c r="T188" s="13" t="s">
        <v>9</v>
      </c>
      <c r="U188" s="13" t="s">
        <v>0</v>
      </c>
      <c r="V188" s="13" t="s">
        <v>0</v>
      </c>
      <c r="W188" s="13" t="s">
        <v>0</v>
      </c>
      <c r="X188" s="13" t="s">
        <v>0</v>
      </c>
      <c r="Y188" s="13" t="s">
        <v>10</v>
      </c>
      <c r="Z188" s="13" t="s">
        <v>0</v>
      </c>
      <c r="AA188" s="14"/>
      <c r="AB188" s="13" t="s">
        <v>0</v>
      </c>
      <c r="AC188" s="13" t="s">
        <v>0</v>
      </c>
      <c r="AD188" s="13" t="s">
        <v>0</v>
      </c>
      <c r="AE188" s="15">
        <v>0</v>
      </c>
    </row>
    <row r="189" spans="1:31" ht="14.15" customHeight="1" x14ac:dyDescent="0.25">
      <c r="A189" s="12" t="s">
        <v>0</v>
      </c>
      <c r="B189" s="13" t="s">
        <v>1</v>
      </c>
      <c r="C189" s="13" t="s">
        <v>408</v>
      </c>
      <c r="D189" s="14">
        <v>44062</v>
      </c>
      <c r="E189" s="14">
        <v>44062</v>
      </c>
      <c r="F189" s="14">
        <v>44079</v>
      </c>
      <c r="G189" s="13" t="s">
        <v>3</v>
      </c>
      <c r="H189" s="13" t="s">
        <v>4</v>
      </c>
      <c r="I189" s="15">
        <v>-66596.34</v>
      </c>
      <c r="J189" s="13" t="s">
        <v>5</v>
      </c>
      <c r="K189" s="13" t="s">
        <v>6</v>
      </c>
      <c r="L189" s="15">
        <v>-5590762.7400000002</v>
      </c>
      <c r="M189" s="15">
        <v>-66596.34</v>
      </c>
      <c r="N189" s="16" t="str">
        <f>IF(M189="","",IF(M189&lt;0,-M189&amp;"_"&amp;COUNTIF(M$2:M189,M189),M189&amp;"_"&amp;COUNTIF(M$2:M189,M189)))</f>
        <v>66596.34_1</v>
      </c>
      <c r="O189" s="17" t="str">
        <f t="shared" si="2"/>
        <v/>
      </c>
      <c r="P189" s="13" t="s">
        <v>409</v>
      </c>
      <c r="Q189" s="13" t="s">
        <v>403</v>
      </c>
      <c r="R189" s="13" t="s">
        <v>0</v>
      </c>
      <c r="S189" s="13" t="s">
        <v>0</v>
      </c>
      <c r="T189" s="13" t="s">
        <v>9</v>
      </c>
      <c r="U189" s="13" t="s">
        <v>0</v>
      </c>
      <c r="V189" s="13" t="s">
        <v>0</v>
      </c>
      <c r="W189" s="13" t="s">
        <v>0</v>
      </c>
      <c r="X189" s="13" t="s">
        <v>0</v>
      </c>
      <c r="Y189" s="13" t="s">
        <v>10</v>
      </c>
      <c r="Z189" s="13" t="s">
        <v>0</v>
      </c>
      <c r="AA189" s="14"/>
      <c r="AB189" s="13" t="s">
        <v>0</v>
      </c>
      <c r="AC189" s="13" t="s">
        <v>0</v>
      </c>
      <c r="AD189" s="13" t="s">
        <v>0</v>
      </c>
      <c r="AE189" s="15">
        <v>0</v>
      </c>
    </row>
    <row r="190" spans="1:31" ht="14.15" customHeight="1" x14ac:dyDescent="0.25">
      <c r="A190" s="12" t="s">
        <v>0</v>
      </c>
      <c r="B190" s="13" t="s">
        <v>289</v>
      </c>
      <c r="C190" s="13" t="s">
        <v>1556</v>
      </c>
      <c r="D190" s="14">
        <v>44165</v>
      </c>
      <c r="E190" s="14">
        <v>44165</v>
      </c>
      <c r="F190" s="14">
        <v>44171</v>
      </c>
      <c r="G190" s="13" t="s">
        <v>48</v>
      </c>
      <c r="H190" s="13" t="s">
        <v>4</v>
      </c>
      <c r="I190" s="15">
        <v>-66516.09</v>
      </c>
      <c r="J190" s="13" t="s">
        <v>5</v>
      </c>
      <c r="K190" s="13" t="s">
        <v>6</v>
      </c>
      <c r="L190" s="15">
        <v>-5584025.7599999998</v>
      </c>
      <c r="M190" s="15">
        <v>-66516.09</v>
      </c>
      <c r="N190" s="16" t="str">
        <f>IF(M190="","",IF(M190&lt;0,-M190&amp;"_"&amp;COUNTIF(M$2:M190,M190),M190&amp;"_"&amp;COUNTIF(M$2:M190,M190)))</f>
        <v>66516.09_1</v>
      </c>
      <c r="O190" s="17" t="str">
        <f t="shared" si="2"/>
        <v/>
      </c>
      <c r="P190" s="13" t="s">
        <v>1557</v>
      </c>
      <c r="Q190" s="13" t="s">
        <v>1557</v>
      </c>
      <c r="R190" s="13" t="s">
        <v>294</v>
      </c>
      <c r="S190" s="13" t="s">
        <v>0</v>
      </c>
      <c r="T190" s="13" t="s">
        <v>9</v>
      </c>
      <c r="U190" s="13" t="s">
        <v>295</v>
      </c>
      <c r="V190" s="13" t="s">
        <v>0</v>
      </c>
      <c r="W190" s="13" t="s">
        <v>0</v>
      </c>
      <c r="X190" s="13" t="s">
        <v>0</v>
      </c>
      <c r="Y190" s="13" t="s">
        <v>291</v>
      </c>
      <c r="Z190" s="13" t="s">
        <v>0</v>
      </c>
      <c r="AA190" s="14"/>
      <c r="AB190" s="13" t="s">
        <v>0</v>
      </c>
      <c r="AC190" s="13" t="s">
        <v>0</v>
      </c>
      <c r="AD190" s="13" t="s">
        <v>0</v>
      </c>
      <c r="AE190" s="15">
        <v>0</v>
      </c>
    </row>
    <row r="191" spans="1:31" ht="14.15" customHeight="1" x14ac:dyDescent="0.25">
      <c r="A191" s="12" t="s">
        <v>0</v>
      </c>
      <c r="B191" s="13" t="s">
        <v>1</v>
      </c>
      <c r="C191" s="13" t="s">
        <v>3313</v>
      </c>
      <c r="D191" s="14">
        <v>44314</v>
      </c>
      <c r="E191" s="14">
        <v>44314</v>
      </c>
      <c r="F191" s="14">
        <v>44323</v>
      </c>
      <c r="G191" s="13" t="s">
        <v>3</v>
      </c>
      <c r="H191" s="13" t="s">
        <v>4</v>
      </c>
      <c r="I191" s="15">
        <v>-66390.84</v>
      </c>
      <c r="J191" s="13" t="s">
        <v>5</v>
      </c>
      <c r="K191" s="13" t="s">
        <v>6</v>
      </c>
      <c r="L191" s="15">
        <v>-5573511.0199999996</v>
      </c>
      <c r="M191" s="15">
        <v>-66390.84</v>
      </c>
      <c r="N191" s="16" t="str">
        <f>IF(M191="","",IF(M191&lt;0,-M191&amp;"_"&amp;COUNTIF(M$2:M191,M191),M191&amp;"_"&amp;COUNTIF(M$2:M191,M191)))</f>
        <v>66390.84_1</v>
      </c>
      <c r="O191" s="17" t="str">
        <f t="shared" si="2"/>
        <v/>
      </c>
      <c r="P191" s="13" t="s">
        <v>3314</v>
      </c>
      <c r="Q191" s="13" t="s">
        <v>3284</v>
      </c>
      <c r="R191" s="13" t="s">
        <v>0</v>
      </c>
      <c r="S191" s="13" t="s">
        <v>0</v>
      </c>
      <c r="T191" s="13" t="s">
        <v>9</v>
      </c>
      <c r="U191" s="13" t="s">
        <v>0</v>
      </c>
      <c r="V191" s="13" t="s">
        <v>0</v>
      </c>
      <c r="W191" s="13" t="s">
        <v>0</v>
      </c>
      <c r="X191" s="13" t="s">
        <v>0</v>
      </c>
      <c r="Y191" s="13" t="s">
        <v>10</v>
      </c>
      <c r="Z191" s="13" t="s">
        <v>0</v>
      </c>
      <c r="AA191" s="14"/>
      <c r="AB191" s="13" t="s">
        <v>0</v>
      </c>
      <c r="AC191" s="13" t="s">
        <v>0</v>
      </c>
      <c r="AD191" s="13" t="s">
        <v>0</v>
      </c>
      <c r="AE191" s="15">
        <v>0</v>
      </c>
    </row>
    <row r="192" spans="1:31" ht="14.15" customHeight="1" x14ac:dyDescent="0.25">
      <c r="A192" s="12" t="s">
        <v>0</v>
      </c>
      <c r="B192" s="13" t="s">
        <v>1</v>
      </c>
      <c r="C192" s="13" t="s">
        <v>622</v>
      </c>
      <c r="D192" s="14">
        <v>44083</v>
      </c>
      <c r="E192" s="14">
        <v>44083</v>
      </c>
      <c r="F192" s="14">
        <v>44086</v>
      </c>
      <c r="G192" s="13" t="s">
        <v>3</v>
      </c>
      <c r="H192" s="13" t="s">
        <v>4</v>
      </c>
      <c r="I192" s="15">
        <v>-66298.58</v>
      </c>
      <c r="J192" s="13" t="s">
        <v>5</v>
      </c>
      <c r="K192" s="13" t="s">
        <v>6</v>
      </c>
      <c r="L192" s="15">
        <v>-5565765.79</v>
      </c>
      <c r="M192" s="15">
        <v>-66298.58</v>
      </c>
      <c r="N192" s="16" t="str">
        <f>IF(M192="","",IF(M192&lt;0,-M192&amp;"_"&amp;COUNTIF(M$2:M192,M192),M192&amp;"_"&amp;COUNTIF(M$2:M192,M192)))</f>
        <v>66298.58_1</v>
      </c>
      <c r="O192" s="17" t="str">
        <f t="shared" si="2"/>
        <v/>
      </c>
      <c r="P192" s="13" t="s">
        <v>623</v>
      </c>
      <c r="Q192" s="13" t="s">
        <v>624</v>
      </c>
      <c r="R192" s="13" t="s">
        <v>0</v>
      </c>
      <c r="S192" s="13" t="s">
        <v>0</v>
      </c>
      <c r="T192" s="13" t="s">
        <v>9</v>
      </c>
      <c r="U192" s="13" t="s">
        <v>0</v>
      </c>
      <c r="V192" s="13" t="s">
        <v>0</v>
      </c>
      <c r="W192" s="13" t="s">
        <v>0</v>
      </c>
      <c r="X192" s="13" t="s">
        <v>0</v>
      </c>
      <c r="Y192" s="13" t="s">
        <v>10</v>
      </c>
      <c r="Z192" s="13" t="s">
        <v>0</v>
      </c>
      <c r="AA192" s="14"/>
      <c r="AB192" s="13" t="s">
        <v>0</v>
      </c>
      <c r="AC192" s="13" t="s">
        <v>0</v>
      </c>
      <c r="AD192" s="13" t="s">
        <v>0</v>
      </c>
      <c r="AE192" s="15">
        <v>0</v>
      </c>
    </row>
    <row r="193" spans="1:31" ht="14.15" customHeight="1" x14ac:dyDescent="0.25">
      <c r="A193" s="12" t="s">
        <v>0</v>
      </c>
      <c r="B193" s="13" t="s">
        <v>1</v>
      </c>
      <c r="C193" s="13" t="s">
        <v>2665</v>
      </c>
      <c r="D193" s="14">
        <v>44253</v>
      </c>
      <c r="E193" s="14">
        <v>44253</v>
      </c>
      <c r="F193" s="14">
        <v>44257</v>
      </c>
      <c r="G193" s="13" t="s">
        <v>3</v>
      </c>
      <c r="H193" s="13" t="s">
        <v>4</v>
      </c>
      <c r="I193" s="15">
        <v>-66097.56</v>
      </c>
      <c r="J193" s="13" t="s">
        <v>5</v>
      </c>
      <c r="K193" s="13" t="s">
        <v>6</v>
      </c>
      <c r="L193" s="15">
        <v>-5548890.1600000001</v>
      </c>
      <c r="M193" s="15">
        <v>-66097.56</v>
      </c>
      <c r="N193" s="16" t="str">
        <f>IF(M193="","",IF(M193&lt;0,-M193&amp;"_"&amp;COUNTIF(M$2:M193,M193),M193&amp;"_"&amp;COUNTIF(M$2:M193,M193)))</f>
        <v>66097.56_1</v>
      </c>
      <c r="O193" s="17" t="str">
        <f t="shared" si="2"/>
        <v/>
      </c>
      <c r="P193" s="13" t="s">
        <v>2666</v>
      </c>
      <c r="Q193" s="13" t="s">
        <v>2660</v>
      </c>
      <c r="R193" s="13" t="s">
        <v>0</v>
      </c>
      <c r="S193" s="13" t="s">
        <v>0</v>
      </c>
      <c r="T193" s="13" t="s">
        <v>9</v>
      </c>
      <c r="U193" s="13" t="s">
        <v>0</v>
      </c>
      <c r="V193" s="13" t="s">
        <v>0</v>
      </c>
      <c r="W193" s="13" t="s">
        <v>0</v>
      </c>
      <c r="X193" s="13" t="s">
        <v>0</v>
      </c>
      <c r="Y193" s="13" t="s">
        <v>10</v>
      </c>
      <c r="Z193" s="13" t="s">
        <v>0</v>
      </c>
      <c r="AA193" s="14"/>
      <c r="AB193" s="13" t="s">
        <v>0</v>
      </c>
      <c r="AC193" s="13" t="s">
        <v>0</v>
      </c>
      <c r="AD193" s="13" t="s">
        <v>0</v>
      </c>
      <c r="AE193" s="15">
        <v>0</v>
      </c>
    </row>
    <row r="194" spans="1:31" ht="14.15" customHeight="1" x14ac:dyDescent="0.25">
      <c r="A194" s="12" t="s">
        <v>0</v>
      </c>
      <c r="B194" s="13" t="s">
        <v>1</v>
      </c>
      <c r="C194" s="13" t="s">
        <v>2985</v>
      </c>
      <c r="D194" s="14">
        <v>44279</v>
      </c>
      <c r="E194" s="14">
        <v>44279</v>
      </c>
      <c r="F194" s="14">
        <v>44287</v>
      </c>
      <c r="G194" s="13" t="s">
        <v>3</v>
      </c>
      <c r="H194" s="13" t="s">
        <v>4</v>
      </c>
      <c r="I194" s="15">
        <v>-65842.820000000007</v>
      </c>
      <c r="J194" s="13" t="s">
        <v>5</v>
      </c>
      <c r="K194" s="13" t="s">
        <v>6</v>
      </c>
      <c r="L194" s="15">
        <v>-5527504.7400000002</v>
      </c>
      <c r="M194" s="15">
        <v>-65842.820000000007</v>
      </c>
      <c r="N194" s="16" t="str">
        <f>IF(M194="","",IF(M194&lt;0,-M194&amp;"_"&amp;COUNTIF(M$2:M194,M194),M194&amp;"_"&amp;COUNTIF(M$2:M194,M194)))</f>
        <v>65842.82_1</v>
      </c>
      <c r="O194" s="17" t="str">
        <f t="shared" ref="O194:O257" si="3">IF(COUNTIF(N:N,N194)=2,"x","")</f>
        <v/>
      </c>
      <c r="P194" s="13" t="s">
        <v>2986</v>
      </c>
      <c r="Q194" s="13" t="s">
        <v>2978</v>
      </c>
      <c r="R194" s="13" t="s">
        <v>0</v>
      </c>
      <c r="S194" s="13" t="s">
        <v>0</v>
      </c>
      <c r="T194" s="13" t="s">
        <v>9</v>
      </c>
      <c r="U194" s="13" t="s">
        <v>0</v>
      </c>
      <c r="V194" s="13" t="s">
        <v>0</v>
      </c>
      <c r="W194" s="13" t="s">
        <v>0</v>
      </c>
      <c r="X194" s="13" t="s">
        <v>0</v>
      </c>
      <c r="Y194" s="13" t="s">
        <v>10</v>
      </c>
      <c r="Z194" s="13" t="s">
        <v>0</v>
      </c>
      <c r="AA194" s="14"/>
      <c r="AB194" s="13" t="s">
        <v>0</v>
      </c>
      <c r="AC194" s="13" t="s">
        <v>0</v>
      </c>
      <c r="AD194" s="13" t="s">
        <v>0</v>
      </c>
      <c r="AE194" s="15">
        <v>0</v>
      </c>
    </row>
    <row r="195" spans="1:31" ht="14.15" customHeight="1" x14ac:dyDescent="0.25">
      <c r="A195" s="12" t="s">
        <v>0</v>
      </c>
      <c r="B195" s="13" t="s">
        <v>1</v>
      </c>
      <c r="C195" s="13" t="s">
        <v>11</v>
      </c>
      <c r="D195" s="14">
        <v>44014</v>
      </c>
      <c r="E195" s="14">
        <v>44014</v>
      </c>
      <c r="F195" s="14">
        <v>44018</v>
      </c>
      <c r="G195" s="13" t="s">
        <v>3</v>
      </c>
      <c r="H195" s="13" t="s">
        <v>4</v>
      </c>
      <c r="I195" s="15">
        <v>-65171.93</v>
      </c>
      <c r="J195" s="13" t="s">
        <v>5</v>
      </c>
      <c r="K195" s="13" t="s">
        <v>6</v>
      </c>
      <c r="L195" s="15">
        <v>-5471183.5199999996</v>
      </c>
      <c r="M195" s="15">
        <v>-65171.93</v>
      </c>
      <c r="N195" s="16" t="str">
        <f>IF(M195="","",IF(M195&lt;0,-M195&amp;"_"&amp;COUNTIF(M$2:M195,M195),M195&amp;"_"&amp;COUNTIF(M$2:M195,M195)))</f>
        <v>65171.93_1</v>
      </c>
      <c r="O195" s="17" t="str">
        <f t="shared" si="3"/>
        <v/>
      </c>
      <c r="P195" s="13" t="s">
        <v>12</v>
      </c>
      <c r="Q195" s="13" t="s">
        <v>8</v>
      </c>
      <c r="R195" s="13" t="s">
        <v>0</v>
      </c>
      <c r="S195" s="13" t="s">
        <v>0</v>
      </c>
      <c r="T195" s="13" t="s">
        <v>9</v>
      </c>
      <c r="U195" s="13" t="s">
        <v>0</v>
      </c>
      <c r="V195" s="13" t="s">
        <v>0</v>
      </c>
      <c r="W195" s="13" t="s">
        <v>0</v>
      </c>
      <c r="X195" s="13" t="s">
        <v>0</v>
      </c>
      <c r="Y195" s="13" t="s">
        <v>10</v>
      </c>
      <c r="Z195" s="13" t="s">
        <v>0</v>
      </c>
      <c r="AA195" s="14"/>
      <c r="AB195" s="13" t="s">
        <v>0</v>
      </c>
      <c r="AC195" s="13" t="s">
        <v>0</v>
      </c>
      <c r="AD195" s="13" t="s">
        <v>0</v>
      </c>
      <c r="AE195" s="15">
        <v>0</v>
      </c>
    </row>
    <row r="196" spans="1:31" ht="14.15" customHeight="1" x14ac:dyDescent="0.25">
      <c r="A196" s="12" t="s">
        <v>0</v>
      </c>
      <c r="B196" s="13" t="s">
        <v>1</v>
      </c>
      <c r="C196" s="13" t="s">
        <v>585</v>
      </c>
      <c r="D196" s="14">
        <v>44079</v>
      </c>
      <c r="E196" s="14">
        <v>44079</v>
      </c>
      <c r="F196" s="14">
        <v>44082</v>
      </c>
      <c r="G196" s="13" t="s">
        <v>3</v>
      </c>
      <c r="H196" s="13" t="s">
        <v>4</v>
      </c>
      <c r="I196" s="15">
        <v>-65160.61</v>
      </c>
      <c r="J196" s="13" t="s">
        <v>5</v>
      </c>
      <c r="K196" s="13" t="s">
        <v>6</v>
      </c>
      <c r="L196" s="15">
        <v>-5470233.21</v>
      </c>
      <c r="M196" s="15">
        <v>-65160.61</v>
      </c>
      <c r="N196" s="16" t="str">
        <f>IF(M196="","",IF(M196&lt;0,-M196&amp;"_"&amp;COUNTIF(M$2:M196,M196),M196&amp;"_"&amp;COUNTIF(M$2:M196,M196)))</f>
        <v>65160.61_1</v>
      </c>
      <c r="O196" s="17" t="str">
        <f t="shared" si="3"/>
        <v/>
      </c>
      <c r="P196" s="13" t="s">
        <v>586</v>
      </c>
      <c r="Q196" s="13" t="s">
        <v>587</v>
      </c>
      <c r="R196" s="13" t="s">
        <v>0</v>
      </c>
      <c r="S196" s="13" t="s">
        <v>0</v>
      </c>
      <c r="T196" s="13" t="s">
        <v>9</v>
      </c>
      <c r="U196" s="13" t="s">
        <v>0</v>
      </c>
      <c r="V196" s="13" t="s">
        <v>0</v>
      </c>
      <c r="W196" s="13" t="s">
        <v>0</v>
      </c>
      <c r="X196" s="13" t="s">
        <v>0</v>
      </c>
      <c r="Y196" s="13" t="s">
        <v>10</v>
      </c>
      <c r="Z196" s="13" t="s">
        <v>0</v>
      </c>
      <c r="AA196" s="14"/>
      <c r="AB196" s="13" t="s">
        <v>0</v>
      </c>
      <c r="AC196" s="13" t="s">
        <v>0</v>
      </c>
      <c r="AD196" s="13" t="s">
        <v>0</v>
      </c>
      <c r="AE196" s="15">
        <v>0</v>
      </c>
    </row>
    <row r="197" spans="1:31" ht="14.15" customHeight="1" x14ac:dyDescent="0.25">
      <c r="A197" s="12" t="s">
        <v>0</v>
      </c>
      <c r="B197" s="13" t="s">
        <v>1</v>
      </c>
      <c r="C197" s="13" t="s">
        <v>1048</v>
      </c>
      <c r="D197" s="14">
        <v>44131</v>
      </c>
      <c r="E197" s="14">
        <v>44131</v>
      </c>
      <c r="F197" s="14">
        <v>44136</v>
      </c>
      <c r="G197" s="13" t="s">
        <v>3</v>
      </c>
      <c r="H197" s="13" t="s">
        <v>4</v>
      </c>
      <c r="I197" s="15">
        <v>-64672.83</v>
      </c>
      <c r="J197" s="13" t="s">
        <v>5</v>
      </c>
      <c r="K197" s="13" t="s">
        <v>6</v>
      </c>
      <c r="L197" s="15">
        <v>-5429284.0800000001</v>
      </c>
      <c r="M197" s="15">
        <v>-64672.83</v>
      </c>
      <c r="N197" s="16" t="str">
        <f>IF(M197="","",IF(M197&lt;0,-M197&amp;"_"&amp;COUNTIF(M$2:M197,M197),M197&amp;"_"&amp;COUNTIF(M$2:M197,M197)))</f>
        <v>64672.83_1</v>
      </c>
      <c r="O197" s="17" t="str">
        <f t="shared" si="3"/>
        <v/>
      </c>
      <c r="P197" s="13" t="s">
        <v>1049</v>
      </c>
      <c r="Q197" s="13" t="s">
        <v>1041</v>
      </c>
      <c r="R197" s="13" t="s">
        <v>0</v>
      </c>
      <c r="S197" s="13" t="s">
        <v>0</v>
      </c>
      <c r="T197" s="13" t="s">
        <v>9</v>
      </c>
      <c r="U197" s="13" t="s">
        <v>0</v>
      </c>
      <c r="V197" s="13" t="s">
        <v>0</v>
      </c>
      <c r="W197" s="13" t="s">
        <v>0</v>
      </c>
      <c r="X197" s="13" t="s">
        <v>0</v>
      </c>
      <c r="Y197" s="13" t="s">
        <v>10</v>
      </c>
      <c r="Z197" s="13" t="s">
        <v>0</v>
      </c>
      <c r="AA197" s="14"/>
      <c r="AB197" s="13" t="s">
        <v>0</v>
      </c>
      <c r="AC197" s="13" t="s">
        <v>0</v>
      </c>
      <c r="AD197" s="13" t="s">
        <v>0</v>
      </c>
      <c r="AE197" s="15">
        <v>0</v>
      </c>
    </row>
    <row r="198" spans="1:31" ht="14.15" customHeight="1" x14ac:dyDescent="0.25">
      <c r="A198" s="12" t="s">
        <v>0</v>
      </c>
      <c r="B198" s="13" t="s">
        <v>1</v>
      </c>
      <c r="C198" s="13" t="s">
        <v>3472</v>
      </c>
      <c r="D198" s="14">
        <v>44320</v>
      </c>
      <c r="E198" s="14">
        <v>44320</v>
      </c>
      <c r="F198" s="14">
        <v>44328</v>
      </c>
      <c r="G198" s="13" t="s">
        <v>3</v>
      </c>
      <c r="H198" s="13" t="s">
        <v>4</v>
      </c>
      <c r="I198" s="15">
        <v>-64484.58</v>
      </c>
      <c r="J198" s="13" t="s">
        <v>5</v>
      </c>
      <c r="K198" s="13" t="s">
        <v>6</v>
      </c>
      <c r="L198" s="15">
        <v>-5413480.4900000002</v>
      </c>
      <c r="M198" s="15">
        <v>-64484.58</v>
      </c>
      <c r="N198" s="16" t="str">
        <f>IF(M198="","",IF(M198&lt;0,-M198&amp;"_"&amp;COUNTIF(M$2:M198,M198),M198&amp;"_"&amp;COUNTIF(M$2:M198,M198)))</f>
        <v>64484.58_1</v>
      </c>
      <c r="O198" s="17" t="str">
        <f t="shared" si="3"/>
        <v/>
      </c>
      <c r="P198" s="13" t="s">
        <v>3473</v>
      </c>
      <c r="Q198" s="13" t="s">
        <v>3453</v>
      </c>
      <c r="R198" s="13" t="s">
        <v>0</v>
      </c>
      <c r="S198" s="13" t="s">
        <v>0</v>
      </c>
      <c r="T198" s="13" t="s">
        <v>9</v>
      </c>
      <c r="U198" s="13" t="s">
        <v>0</v>
      </c>
      <c r="V198" s="13" t="s">
        <v>0</v>
      </c>
      <c r="W198" s="13" t="s">
        <v>0</v>
      </c>
      <c r="X198" s="13" t="s">
        <v>0</v>
      </c>
      <c r="Y198" s="13" t="s">
        <v>10</v>
      </c>
      <c r="Z198" s="13" t="s">
        <v>0</v>
      </c>
      <c r="AA198" s="14"/>
      <c r="AB198" s="13" t="s">
        <v>0</v>
      </c>
      <c r="AC198" s="13" t="s">
        <v>0</v>
      </c>
      <c r="AD198" s="13" t="s">
        <v>0</v>
      </c>
      <c r="AE198" s="15">
        <v>0</v>
      </c>
    </row>
    <row r="199" spans="1:31" ht="14.15" customHeight="1" x14ac:dyDescent="0.25">
      <c r="A199" s="12" t="s">
        <v>0</v>
      </c>
      <c r="B199" s="13" t="s">
        <v>1</v>
      </c>
      <c r="C199" s="13" t="s">
        <v>3760</v>
      </c>
      <c r="D199" s="14">
        <v>44341</v>
      </c>
      <c r="E199" s="14">
        <v>44341</v>
      </c>
      <c r="F199" s="14">
        <v>44344</v>
      </c>
      <c r="G199" s="13" t="s">
        <v>3</v>
      </c>
      <c r="H199" s="13" t="s">
        <v>4</v>
      </c>
      <c r="I199" s="15">
        <v>-64007.71</v>
      </c>
      <c r="J199" s="13" t="s">
        <v>5</v>
      </c>
      <c r="K199" s="13" t="s">
        <v>6</v>
      </c>
      <c r="L199" s="15">
        <v>-5373447.25</v>
      </c>
      <c r="M199" s="15">
        <v>-64007.71</v>
      </c>
      <c r="N199" s="16" t="str">
        <f>IF(M199="","",IF(M199&lt;0,-M199&amp;"_"&amp;COUNTIF(M$2:M199,M199),M199&amp;"_"&amp;COUNTIF(M$2:M199,M199)))</f>
        <v>64007.71_1</v>
      </c>
      <c r="O199" s="17" t="str">
        <f t="shared" si="3"/>
        <v/>
      </c>
      <c r="P199" s="13" t="s">
        <v>3761</v>
      </c>
      <c r="Q199" s="13" t="s">
        <v>3762</v>
      </c>
      <c r="R199" s="13" t="s">
        <v>0</v>
      </c>
      <c r="S199" s="13" t="s">
        <v>0</v>
      </c>
      <c r="T199" s="13" t="s">
        <v>9</v>
      </c>
      <c r="U199" s="13" t="s">
        <v>0</v>
      </c>
      <c r="V199" s="13" t="s">
        <v>0</v>
      </c>
      <c r="W199" s="13" t="s">
        <v>0</v>
      </c>
      <c r="X199" s="13" t="s">
        <v>0</v>
      </c>
      <c r="Y199" s="13" t="s">
        <v>10</v>
      </c>
      <c r="Z199" s="13" t="s">
        <v>0</v>
      </c>
      <c r="AA199" s="14"/>
      <c r="AB199" s="13" t="s">
        <v>0</v>
      </c>
      <c r="AC199" s="13" t="s">
        <v>0</v>
      </c>
      <c r="AD199" s="13" t="s">
        <v>0</v>
      </c>
      <c r="AE199" s="15">
        <v>0</v>
      </c>
    </row>
    <row r="200" spans="1:31" ht="14.15" customHeight="1" x14ac:dyDescent="0.25">
      <c r="A200" s="12" t="s">
        <v>0</v>
      </c>
      <c r="B200" s="13" t="s">
        <v>1</v>
      </c>
      <c r="C200" s="13" t="s">
        <v>1345</v>
      </c>
      <c r="D200" s="14">
        <v>44150</v>
      </c>
      <c r="E200" s="14">
        <v>44150</v>
      </c>
      <c r="F200" s="14">
        <v>44154</v>
      </c>
      <c r="G200" s="13" t="s">
        <v>3</v>
      </c>
      <c r="H200" s="13" t="s">
        <v>4</v>
      </c>
      <c r="I200" s="15">
        <v>-63398.99</v>
      </c>
      <c r="J200" s="13" t="s">
        <v>5</v>
      </c>
      <c r="K200" s="13" t="s">
        <v>6</v>
      </c>
      <c r="L200" s="15">
        <v>-5322345.21</v>
      </c>
      <c r="M200" s="15">
        <v>-63398.99</v>
      </c>
      <c r="N200" s="16" t="str">
        <f>IF(M200="","",IF(M200&lt;0,-M200&amp;"_"&amp;COUNTIF(M$2:M200,M200),M200&amp;"_"&amp;COUNTIF(M$2:M200,M200)))</f>
        <v>63398.99_1</v>
      </c>
      <c r="O200" s="17" t="str">
        <f t="shared" si="3"/>
        <v/>
      </c>
      <c r="P200" s="13" t="s">
        <v>1346</v>
      </c>
      <c r="Q200" s="13" t="s">
        <v>1338</v>
      </c>
      <c r="R200" s="13" t="s">
        <v>0</v>
      </c>
      <c r="S200" s="13" t="s">
        <v>0</v>
      </c>
      <c r="T200" s="13" t="s">
        <v>9</v>
      </c>
      <c r="U200" s="13" t="s">
        <v>0</v>
      </c>
      <c r="V200" s="13" t="s">
        <v>0</v>
      </c>
      <c r="W200" s="13" t="s">
        <v>0</v>
      </c>
      <c r="X200" s="13" t="s">
        <v>0</v>
      </c>
      <c r="Y200" s="13" t="s">
        <v>10</v>
      </c>
      <c r="Z200" s="13" t="s">
        <v>0</v>
      </c>
      <c r="AA200" s="14"/>
      <c r="AB200" s="13" t="s">
        <v>0</v>
      </c>
      <c r="AC200" s="13" t="s">
        <v>0</v>
      </c>
      <c r="AD200" s="13" t="s">
        <v>0</v>
      </c>
      <c r="AE200" s="15">
        <v>0</v>
      </c>
    </row>
    <row r="201" spans="1:31" ht="14.15" customHeight="1" x14ac:dyDescent="0.25">
      <c r="A201" s="12" t="s">
        <v>0</v>
      </c>
      <c r="B201" s="13" t="s">
        <v>289</v>
      </c>
      <c r="C201" s="13" t="s">
        <v>300</v>
      </c>
      <c r="D201" s="14">
        <v>44042</v>
      </c>
      <c r="E201" s="14">
        <v>44042</v>
      </c>
      <c r="F201" s="14">
        <v>44056</v>
      </c>
      <c r="G201" s="13" t="s">
        <v>48</v>
      </c>
      <c r="H201" s="13" t="s">
        <v>4</v>
      </c>
      <c r="I201" s="15">
        <v>-63352.67</v>
      </c>
      <c r="J201" s="13" t="s">
        <v>5</v>
      </c>
      <c r="K201" s="13" t="s">
        <v>6</v>
      </c>
      <c r="L201" s="15">
        <v>-5318456.6500000004</v>
      </c>
      <c r="M201" s="15">
        <v>-63352.67</v>
      </c>
      <c r="N201" s="16" t="str">
        <f>IF(M201="","",IF(M201&lt;0,-M201&amp;"_"&amp;COUNTIF(M$2:M201,M201),M201&amp;"_"&amp;COUNTIF(M$2:M201,M201)))</f>
        <v>63352.67_1</v>
      </c>
      <c r="O201" s="17" t="str">
        <f t="shared" si="3"/>
        <v/>
      </c>
      <c r="P201" s="13" t="s">
        <v>301</v>
      </c>
      <c r="Q201" s="13" t="s">
        <v>301</v>
      </c>
      <c r="R201" s="13" t="s">
        <v>302</v>
      </c>
      <c r="S201" s="13" t="s">
        <v>0</v>
      </c>
      <c r="T201" s="13" t="s">
        <v>9</v>
      </c>
      <c r="U201" s="13" t="s">
        <v>295</v>
      </c>
      <c r="V201" s="13" t="s">
        <v>0</v>
      </c>
      <c r="W201" s="13" t="s">
        <v>0</v>
      </c>
      <c r="X201" s="13" t="s">
        <v>0</v>
      </c>
      <c r="Y201" s="13" t="s">
        <v>291</v>
      </c>
      <c r="Z201" s="13" t="s">
        <v>0</v>
      </c>
      <c r="AA201" s="14"/>
      <c r="AB201" s="13" t="s">
        <v>0</v>
      </c>
      <c r="AC201" s="13" t="s">
        <v>0</v>
      </c>
      <c r="AD201" s="13" t="s">
        <v>0</v>
      </c>
      <c r="AE201" s="15">
        <v>0</v>
      </c>
    </row>
    <row r="202" spans="1:31" ht="14.15" customHeight="1" x14ac:dyDescent="0.25">
      <c r="A202" s="12" t="s">
        <v>0</v>
      </c>
      <c r="B202" s="13" t="s">
        <v>1</v>
      </c>
      <c r="C202" s="13" t="s">
        <v>2751</v>
      </c>
      <c r="D202" s="14">
        <v>44260</v>
      </c>
      <c r="E202" s="14">
        <v>44260</v>
      </c>
      <c r="F202" s="14">
        <v>44265</v>
      </c>
      <c r="G202" s="13" t="s">
        <v>3</v>
      </c>
      <c r="H202" s="13" t="s">
        <v>4</v>
      </c>
      <c r="I202" s="15">
        <v>-63175.68</v>
      </c>
      <c r="J202" s="13" t="s">
        <v>5</v>
      </c>
      <c r="K202" s="13" t="s">
        <v>6</v>
      </c>
      <c r="L202" s="15">
        <v>-5303598.34</v>
      </c>
      <c r="M202" s="15">
        <v>-63175.68</v>
      </c>
      <c r="N202" s="16" t="str">
        <f>IF(M202="","",IF(M202&lt;0,-M202&amp;"_"&amp;COUNTIF(M$2:M202,M202),M202&amp;"_"&amp;COUNTIF(M$2:M202,M202)))</f>
        <v>63175.68_1</v>
      </c>
      <c r="O202" s="17" t="str">
        <f t="shared" si="3"/>
        <v/>
      </c>
      <c r="P202" s="13" t="s">
        <v>2752</v>
      </c>
      <c r="Q202" s="13" t="s">
        <v>2746</v>
      </c>
      <c r="R202" s="13" t="s">
        <v>0</v>
      </c>
      <c r="S202" s="13" t="s">
        <v>0</v>
      </c>
      <c r="T202" s="13" t="s">
        <v>9</v>
      </c>
      <c r="U202" s="13" t="s">
        <v>0</v>
      </c>
      <c r="V202" s="13" t="s">
        <v>0</v>
      </c>
      <c r="W202" s="13" t="s">
        <v>0</v>
      </c>
      <c r="X202" s="13" t="s">
        <v>0</v>
      </c>
      <c r="Y202" s="13" t="s">
        <v>10</v>
      </c>
      <c r="Z202" s="13" t="s">
        <v>0</v>
      </c>
      <c r="AA202" s="14"/>
      <c r="AB202" s="13" t="s">
        <v>0</v>
      </c>
      <c r="AC202" s="13" t="s">
        <v>0</v>
      </c>
      <c r="AD202" s="13" t="s">
        <v>0</v>
      </c>
      <c r="AE202" s="15">
        <v>0</v>
      </c>
    </row>
    <row r="203" spans="1:31" ht="14.15" customHeight="1" x14ac:dyDescent="0.25">
      <c r="A203" s="12" t="s">
        <v>0</v>
      </c>
      <c r="B203" s="13" t="s">
        <v>1</v>
      </c>
      <c r="C203" s="13" t="s">
        <v>93</v>
      </c>
      <c r="D203" s="14">
        <v>44023</v>
      </c>
      <c r="E203" s="14">
        <v>44023</v>
      </c>
      <c r="F203" s="14">
        <v>44033</v>
      </c>
      <c r="G203" s="13" t="s">
        <v>3</v>
      </c>
      <c r="H203" s="13" t="s">
        <v>4</v>
      </c>
      <c r="I203" s="15">
        <v>-62980.79</v>
      </c>
      <c r="J203" s="13" t="s">
        <v>5</v>
      </c>
      <c r="K203" s="13" t="s">
        <v>6</v>
      </c>
      <c r="L203" s="15">
        <v>-5287237.32</v>
      </c>
      <c r="M203" s="15">
        <v>-62980.79</v>
      </c>
      <c r="N203" s="16" t="str">
        <f>IF(M203="","",IF(M203&lt;0,-M203&amp;"_"&amp;COUNTIF(M$2:M203,M203),M203&amp;"_"&amp;COUNTIF(M$2:M203,M203)))</f>
        <v>62980.79_1</v>
      </c>
      <c r="O203" s="17" t="str">
        <f t="shared" si="3"/>
        <v/>
      </c>
      <c r="P203" s="13" t="s">
        <v>94</v>
      </c>
      <c r="Q203" s="13" t="s">
        <v>90</v>
      </c>
      <c r="R203" s="13" t="s">
        <v>0</v>
      </c>
      <c r="S203" s="13" t="s">
        <v>0</v>
      </c>
      <c r="T203" s="13" t="s">
        <v>9</v>
      </c>
      <c r="U203" s="13" t="s">
        <v>0</v>
      </c>
      <c r="V203" s="13" t="s">
        <v>0</v>
      </c>
      <c r="W203" s="13" t="s">
        <v>0</v>
      </c>
      <c r="X203" s="13" t="s">
        <v>0</v>
      </c>
      <c r="Y203" s="13" t="s">
        <v>10</v>
      </c>
      <c r="Z203" s="13" t="s">
        <v>0</v>
      </c>
      <c r="AA203" s="14"/>
      <c r="AB203" s="13" t="s">
        <v>0</v>
      </c>
      <c r="AC203" s="13" t="s">
        <v>0</v>
      </c>
      <c r="AD203" s="13" t="s">
        <v>0</v>
      </c>
      <c r="AE203" s="15">
        <v>0</v>
      </c>
    </row>
    <row r="204" spans="1:31" ht="14.15" customHeight="1" x14ac:dyDescent="0.25">
      <c r="A204" s="12" t="s">
        <v>0</v>
      </c>
      <c r="B204" s="13" t="s">
        <v>1</v>
      </c>
      <c r="C204" s="13" t="s">
        <v>3618</v>
      </c>
      <c r="D204" s="14">
        <v>44329</v>
      </c>
      <c r="E204" s="14">
        <v>44329</v>
      </c>
      <c r="F204" s="14">
        <v>44336</v>
      </c>
      <c r="G204" s="13" t="s">
        <v>3</v>
      </c>
      <c r="H204" s="13" t="s">
        <v>4</v>
      </c>
      <c r="I204" s="15">
        <v>-62716.05</v>
      </c>
      <c r="J204" s="13" t="s">
        <v>5</v>
      </c>
      <c r="K204" s="13" t="s">
        <v>6</v>
      </c>
      <c r="L204" s="15">
        <v>-5265012.4000000004</v>
      </c>
      <c r="M204" s="15">
        <v>-62716.05</v>
      </c>
      <c r="N204" s="16" t="str">
        <f>IF(M204="","",IF(M204&lt;0,-M204&amp;"_"&amp;COUNTIF(M$2:M204,M204),M204&amp;"_"&amp;COUNTIF(M$2:M204,M204)))</f>
        <v>62716.05_1</v>
      </c>
      <c r="O204" s="17" t="str">
        <f t="shared" si="3"/>
        <v/>
      </c>
      <c r="P204" s="13" t="s">
        <v>3619</v>
      </c>
      <c r="Q204" s="13" t="s">
        <v>3603</v>
      </c>
      <c r="R204" s="13" t="s">
        <v>0</v>
      </c>
      <c r="S204" s="13" t="s">
        <v>0</v>
      </c>
      <c r="T204" s="13" t="s">
        <v>9</v>
      </c>
      <c r="U204" s="13" t="s">
        <v>0</v>
      </c>
      <c r="V204" s="13" t="s">
        <v>0</v>
      </c>
      <c r="W204" s="13" t="s">
        <v>0</v>
      </c>
      <c r="X204" s="13" t="s">
        <v>0</v>
      </c>
      <c r="Y204" s="13" t="s">
        <v>10</v>
      </c>
      <c r="Z204" s="13" t="s">
        <v>0</v>
      </c>
      <c r="AA204" s="14"/>
      <c r="AB204" s="13" t="s">
        <v>0</v>
      </c>
      <c r="AC204" s="13" t="s">
        <v>0</v>
      </c>
      <c r="AD204" s="13" t="s">
        <v>0</v>
      </c>
      <c r="AE204" s="15">
        <v>0</v>
      </c>
    </row>
    <row r="205" spans="1:31" ht="14.15" customHeight="1" x14ac:dyDescent="0.25">
      <c r="A205" s="12" t="s">
        <v>0</v>
      </c>
      <c r="B205" s="13" t="s">
        <v>1</v>
      </c>
      <c r="C205" s="13" t="s">
        <v>3044</v>
      </c>
      <c r="D205" s="14">
        <v>44282</v>
      </c>
      <c r="E205" s="14">
        <v>44282</v>
      </c>
      <c r="F205" s="14">
        <v>44290</v>
      </c>
      <c r="G205" s="13" t="s">
        <v>3</v>
      </c>
      <c r="H205" s="13" t="s">
        <v>4</v>
      </c>
      <c r="I205" s="15">
        <v>-62504.54</v>
      </c>
      <c r="J205" s="13" t="s">
        <v>5</v>
      </c>
      <c r="K205" s="13" t="s">
        <v>6</v>
      </c>
      <c r="L205" s="15">
        <v>-5247256.13</v>
      </c>
      <c r="M205" s="15">
        <v>-62504.54</v>
      </c>
      <c r="N205" s="16" t="str">
        <f>IF(M205="","",IF(M205&lt;0,-M205&amp;"_"&amp;COUNTIF(M$2:M205,M205),M205&amp;"_"&amp;COUNTIF(M$2:M205,M205)))</f>
        <v>62504.54_1</v>
      </c>
      <c r="O205" s="17" t="str">
        <f t="shared" si="3"/>
        <v/>
      </c>
      <c r="P205" s="13" t="s">
        <v>3045</v>
      </c>
      <c r="Q205" s="13" t="s">
        <v>3035</v>
      </c>
      <c r="R205" s="13" t="s">
        <v>0</v>
      </c>
      <c r="S205" s="13" t="s">
        <v>0</v>
      </c>
      <c r="T205" s="13" t="s">
        <v>9</v>
      </c>
      <c r="U205" s="13" t="s">
        <v>0</v>
      </c>
      <c r="V205" s="13" t="s">
        <v>0</v>
      </c>
      <c r="W205" s="13" t="s">
        <v>0</v>
      </c>
      <c r="X205" s="13" t="s">
        <v>0</v>
      </c>
      <c r="Y205" s="13" t="s">
        <v>10</v>
      </c>
      <c r="Z205" s="13" t="s">
        <v>0</v>
      </c>
      <c r="AA205" s="14"/>
      <c r="AB205" s="13" t="s">
        <v>0</v>
      </c>
      <c r="AC205" s="13" t="s">
        <v>0</v>
      </c>
      <c r="AD205" s="13" t="s">
        <v>0</v>
      </c>
      <c r="AE205" s="15">
        <v>0</v>
      </c>
    </row>
    <row r="206" spans="1:31" ht="14.15" customHeight="1" x14ac:dyDescent="0.25">
      <c r="A206" s="12" t="s">
        <v>0</v>
      </c>
      <c r="B206" s="13" t="s">
        <v>1</v>
      </c>
      <c r="C206" s="13" t="s">
        <v>4369</v>
      </c>
      <c r="D206" s="14">
        <v>44376</v>
      </c>
      <c r="E206" s="14">
        <v>44376</v>
      </c>
      <c r="F206" s="14">
        <v>44384</v>
      </c>
      <c r="G206" s="13" t="s">
        <v>3</v>
      </c>
      <c r="H206" s="13" t="s">
        <v>4</v>
      </c>
      <c r="I206" s="15">
        <v>-62438.03</v>
      </c>
      <c r="J206" s="13" t="s">
        <v>5</v>
      </c>
      <c r="K206" s="13" t="s">
        <v>6</v>
      </c>
      <c r="L206" s="15">
        <v>-5241672.6100000003</v>
      </c>
      <c r="M206" s="15">
        <v>-62438.03</v>
      </c>
      <c r="N206" s="16" t="str">
        <f>IF(M206="","",IF(M206&lt;0,-M206&amp;"_"&amp;COUNTIF(M$2:M206,M206),M206&amp;"_"&amp;COUNTIF(M$2:M206,M206)))</f>
        <v>62438.03_1</v>
      </c>
      <c r="O206" s="17" t="str">
        <f t="shared" si="3"/>
        <v/>
      </c>
      <c r="P206" s="13" t="s">
        <v>4370</v>
      </c>
      <c r="Q206" s="13" t="s">
        <v>4350</v>
      </c>
      <c r="R206" s="13" t="s">
        <v>0</v>
      </c>
      <c r="S206" s="13" t="s">
        <v>0</v>
      </c>
      <c r="T206" s="13" t="s">
        <v>9</v>
      </c>
      <c r="U206" s="13" t="s">
        <v>0</v>
      </c>
      <c r="V206" s="13" t="s">
        <v>0</v>
      </c>
      <c r="W206" s="13" t="s">
        <v>0</v>
      </c>
      <c r="X206" s="13" t="s">
        <v>0</v>
      </c>
      <c r="Y206" s="13" t="s">
        <v>10</v>
      </c>
      <c r="Z206" s="13" t="s">
        <v>0</v>
      </c>
      <c r="AA206" s="14"/>
      <c r="AB206" s="13" t="s">
        <v>0</v>
      </c>
      <c r="AC206" s="13" t="s">
        <v>0</v>
      </c>
      <c r="AD206" s="13" t="s">
        <v>0</v>
      </c>
      <c r="AE206" s="15">
        <v>0</v>
      </c>
    </row>
    <row r="207" spans="1:31" ht="14.15" customHeight="1" x14ac:dyDescent="0.25">
      <c r="A207" s="12" t="s">
        <v>0</v>
      </c>
      <c r="B207" s="13" t="s">
        <v>1</v>
      </c>
      <c r="C207" s="13" t="s">
        <v>3751</v>
      </c>
      <c r="D207" s="14">
        <v>44340</v>
      </c>
      <c r="E207" s="14">
        <v>44340</v>
      </c>
      <c r="F207" s="14">
        <v>44345</v>
      </c>
      <c r="G207" s="13" t="s">
        <v>3</v>
      </c>
      <c r="H207" s="13" t="s">
        <v>4</v>
      </c>
      <c r="I207" s="15">
        <v>-62431.199999999997</v>
      </c>
      <c r="J207" s="13" t="s">
        <v>5</v>
      </c>
      <c r="K207" s="13" t="s">
        <v>6</v>
      </c>
      <c r="L207" s="15">
        <v>-5241099.24</v>
      </c>
      <c r="M207" s="15">
        <v>-62431.199999999997</v>
      </c>
      <c r="N207" s="16" t="str">
        <f>IF(M207="","",IF(M207&lt;0,-M207&amp;"_"&amp;COUNTIF(M$2:M207,M207),M207&amp;"_"&amp;COUNTIF(M$2:M207,M207)))</f>
        <v>62431.2_1</v>
      </c>
      <c r="O207" s="17" t="str">
        <f t="shared" si="3"/>
        <v/>
      </c>
      <c r="P207" s="13" t="s">
        <v>3752</v>
      </c>
      <c r="Q207" s="13" t="s">
        <v>3753</v>
      </c>
      <c r="R207" s="13" t="s">
        <v>0</v>
      </c>
      <c r="S207" s="13" t="s">
        <v>0</v>
      </c>
      <c r="T207" s="13" t="s">
        <v>9</v>
      </c>
      <c r="U207" s="13" t="s">
        <v>0</v>
      </c>
      <c r="V207" s="13" t="s">
        <v>0</v>
      </c>
      <c r="W207" s="13" t="s">
        <v>0</v>
      </c>
      <c r="X207" s="13" t="s">
        <v>0</v>
      </c>
      <c r="Y207" s="13" t="s">
        <v>10</v>
      </c>
      <c r="Z207" s="13" t="s">
        <v>0</v>
      </c>
      <c r="AA207" s="14"/>
      <c r="AB207" s="13" t="s">
        <v>0</v>
      </c>
      <c r="AC207" s="13" t="s">
        <v>0</v>
      </c>
      <c r="AD207" s="13" t="s">
        <v>0</v>
      </c>
      <c r="AE207" s="15">
        <v>0</v>
      </c>
    </row>
    <row r="208" spans="1:31" ht="14.15" customHeight="1" x14ac:dyDescent="0.25">
      <c r="A208" s="12" t="s">
        <v>0</v>
      </c>
      <c r="B208" s="13" t="s">
        <v>1</v>
      </c>
      <c r="C208" s="13" t="s">
        <v>508</v>
      </c>
      <c r="D208" s="14">
        <v>44069</v>
      </c>
      <c r="E208" s="14">
        <v>44069</v>
      </c>
      <c r="F208" s="14">
        <v>44072</v>
      </c>
      <c r="G208" s="13" t="s">
        <v>3</v>
      </c>
      <c r="H208" s="13" t="s">
        <v>4</v>
      </c>
      <c r="I208" s="15">
        <v>-62299.37</v>
      </c>
      <c r="J208" s="13" t="s">
        <v>5</v>
      </c>
      <c r="K208" s="13" t="s">
        <v>6</v>
      </c>
      <c r="L208" s="15">
        <v>-5230032.1100000003</v>
      </c>
      <c r="M208" s="15">
        <v>-62299.37</v>
      </c>
      <c r="N208" s="16" t="str">
        <f>IF(M208="","",IF(M208&lt;0,-M208&amp;"_"&amp;COUNTIF(M$2:M208,M208),M208&amp;"_"&amp;COUNTIF(M$2:M208,M208)))</f>
        <v>62299.37_1</v>
      </c>
      <c r="O208" s="17" t="str">
        <f t="shared" si="3"/>
        <v/>
      </c>
      <c r="P208" s="13" t="s">
        <v>509</v>
      </c>
      <c r="Q208" s="13" t="s">
        <v>510</v>
      </c>
      <c r="R208" s="13" t="s">
        <v>0</v>
      </c>
      <c r="S208" s="13" t="s">
        <v>0</v>
      </c>
      <c r="T208" s="13" t="s">
        <v>9</v>
      </c>
      <c r="U208" s="13" t="s">
        <v>0</v>
      </c>
      <c r="V208" s="13" t="s">
        <v>0</v>
      </c>
      <c r="W208" s="13" t="s">
        <v>0</v>
      </c>
      <c r="X208" s="13" t="s">
        <v>0</v>
      </c>
      <c r="Y208" s="13" t="s">
        <v>10</v>
      </c>
      <c r="Z208" s="13" t="s">
        <v>0</v>
      </c>
      <c r="AA208" s="14"/>
      <c r="AB208" s="13" t="s">
        <v>0</v>
      </c>
      <c r="AC208" s="13" t="s">
        <v>0</v>
      </c>
      <c r="AD208" s="13" t="s">
        <v>0</v>
      </c>
      <c r="AE208" s="15">
        <v>0</v>
      </c>
    </row>
    <row r="209" spans="1:31" ht="14.15" customHeight="1" x14ac:dyDescent="0.25">
      <c r="A209" s="12" t="s">
        <v>0</v>
      </c>
      <c r="B209" s="13" t="s">
        <v>1</v>
      </c>
      <c r="C209" s="13" t="s">
        <v>3606</v>
      </c>
      <c r="D209" s="14">
        <v>44329</v>
      </c>
      <c r="E209" s="14">
        <v>44329</v>
      </c>
      <c r="F209" s="14">
        <v>44336</v>
      </c>
      <c r="G209" s="13" t="s">
        <v>3</v>
      </c>
      <c r="H209" s="13" t="s">
        <v>4</v>
      </c>
      <c r="I209" s="15">
        <v>-61993.62</v>
      </c>
      <c r="J209" s="13" t="s">
        <v>5</v>
      </c>
      <c r="K209" s="13" t="s">
        <v>6</v>
      </c>
      <c r="L209" s="15">
        <v>-5204364.4000000004</v>
      </c>
      <c r="M209" s="15">
        <v>-61993.62</v>
      </c>
      <c r="N209" s="16" t="str">
        <f>IF(M209="","",IF(M209&lt;0,-M209&amp;"_"&amp;COUNTIF(M$2:M209,M209),M209&amp;"_"&amp;COUNTIF(M$2:M209,M209)))</f>
        <v>61993.62_1</v>
      </c>
      <c r="O209" s="17" t="str">
        <f t="shared" si="3"/>
        <v/>
      </c>
      <c r="P209" s="13" t="s">
        <v>3607</v>
      </c>
      <c r="Q209" s="13" t="s">
        <v>3603</v>
      </c>
      <c r="R209" s="13" t="s">
        <v>0</v>
      </c>
      <c r="S209" s="13" t="s">
        <v>0</v>
      </c>
      <c r="T209" s="13" t="s">
        <v>9</v>
      </c>
      <c r="U209" s="13" t="s">
        <v>0</v>
      </c>
      <c r="V209" s="13" t="s">
        <v>0</v>
      </c>
      <c r="W209" s="13" t="s">
        <v>0</v>
      </c>
      <c r="X209" s="13" t="s">
        <v>0</v>
      </c>
      <c r="Y209" s="13" t="s">
        <v>10</v>
      </c>
      <c r="Z209" s="13" t="s">
        <v>0</v>
      </c>
      <c r="AA209" s="14"/>
      <c r="AB209" s="13" t="s">
        <v>0</v>
      </c>
      <c r="AC209" s="13" t="s">
        <v>0</v>
      </c>
      <c r="AD209" s="13" t="s">
        <v>0</v>
      </c>
      <c r="AE209" s="15">
        <v>0</v>
      </c>
    </row>
    <row r="210" spans="1:31" ht="14.15" customHeight="1" x14ac:dyDescent="0.25">
      <c r="A210" s="12" t="s">
        <v>0</v>
      </c>
      <c r="B210" s="13" t="s">
        <v>1</v>
      </c>
      <c r="C210" s="13" t="s">
        <v>653</v>
      </c>
      <c r="D210" s="14">
        <v>44085</v>
      </c>
      <c r="E210" s="14">
        <v>44085</v>
      </c>
      <c r="F210" s="14">
        <v>44098</v>
      </c>
      <c r="G210" s="13" t="s">
        <v>3</v>
      </c>
      <c r="H210" s="13" t="s">
        <v>4</v>
      </c>
      <c r="I210" s="15">
        <v>-61423.99</v>
      </c>
      <c r="J210" s="13" t="s">
        <v>5</v>
      </c>
      <c r="K210" s="13" t="s">
        <v>6</v>
      </c>
      <c r="L210" s="15">
        <v>-5156543.96</v>
      </c>
      <c r="M210" s="15">
        <v>-61423.99</v>
      </c>
      <c r="N210" s="16" t="str">
        <f>IF(M210="","",IF(M210&lt;0,-M210&amp;"_"&amp;COUNTIF(M$2:M210,M210),M210&amp;"_"&amp;COUNTIF(M$2:M210,M210)))</f>
        <v>61423.99_1</v>
      </c>
      <c r="O210" s="17" t="str">
        <f t="shared" si="3"/>
        <v/>
      </c>
      <c r="P210" s="13" t="s">
        <v>654</v>
      </c>
      <c r="Q210" s="13" t="s">
        <v>650</v>
      </c>
      <c r="R210" s="13" t="s">
        <v>0</v>
      </c>
      <c r="S210" s="13" t="s">
        <v>0</v>
      </c>
      <c r="T210" s="13" t="s">
        <v>9</v>
      </c>
      <c r="U210" s="13" t="s">
        <v>0</v>
      </c>
      <c r="V210" s="13" t="s">
        <v>0</v>
      </c>
      <c r="W210" s="13" t="s">
        <v>0</v>
      </c>
      <c r="X210" s="13" t="s">
        <v>0</v>
      </c>
      <c r="Y210" s="13" t="s">
        <v>10</v>
      </c>
      <c r="Z210" s="13" t="s">
        <v>0</v>
      </c>
      <c r="AA210" s="14"/>
      <c r="AB210" s="13" t="s">
        <v>0</v>
      </c>
      <c r="AC210" s="13" t="s">
        <v>0</v>
      </c>
      <c r="AD210" s="13" t="s">
        <v>0</v>
      </c>
      <c r="AE210" s="15">
        <v>0</v>
      </c>
    </row>
    <row r="211" spans="1:31" ht="14.15" customHeight="1" x14ac:dyDescent="0.25">
      <c r="A211" s="12" t="s">
        <v>0</v>
      </c>
      <c r="B211" s="13" t="s">
        <v>1</v>
      </c>
      <c r="C211" s="13" t="s">
        <v>176</v>
      </c>
      <c r="D211" s="14">
        <v>44034</v>
      </c>
      <c r="E211" s="14">
        <v>44034</v>
      </c>
      <c r="F211" s="14">
        <v>44040</v>
      </c>
      <c r="G211" s="13" t="s">
        <v>3</v>
      </c>
      <c r="H211" s="13" t="s">
        <v>4</v>
      </c>
      <c r="I211" s="15">
        <v>-61220.86</v>
      </c>
      <c r="J211" s="13" t="s">
        <v>5</v>
      </c>
      <c r="K211" s="13" t="s">
        <v>6</v>
      </c>
      <c r="L211" s="15">
        <v>-5139491.2</v>
      </c>
      <c r="M211" s="15">
        <v>-61220.86</v>
      </c>
      <c r="N211" s="16" t="str">
        <f>IF(M211="","",IF(M211&lt;0,-M211&amp;"_"&amp;COUNTIF(M$2:M211,M211),M211&amp;"_"&amp;COUNTIF(M$2:M211,M211)))</f>
        <v>61220.86_1</v>
      </c>
      <c r="O211" s="17" t="str">
        <f t="shared" si="3"/>
        <v/>
      </c>
      <c r="P211" s="13" t="s">
        <v>177</v>
      </c>
      <c r="Q211" s="13" t="s">
        <v>175</v>
      </c>
      <c r="R211" s="13" t="s">
        <v>0</v>
      </c>
      <c r="S211" s="13" t="s">
        <v>0</v>
      </c>
      <c r="T211" s="13" t="s">
        <v>9</v>
      </c>
      <c r="U211" s="13" t="s">
        <v>0</v>
      </c>
      <c r="V211" s="13" t="s">
        <v>0</v>
      </c>
      <c r="W211" s="13" t="s">
        <v>0</v>
      </c>
      <c r="X211" s="13" t="s">
        <v>0</v>
      </c>
      <c r="Y211" s="13" t="s">
        <v>10</v>
      </c>
      <c r="Z211" s="13" t="s">
        <v>0</v>
      </c>
      <c r="AA211" s="14"/>
      <c r="AB211" s="13" t="s">
        <v>0</v>
      </c>
      <c r="AC211" s="13" t="s">
        <v>0</v>
      </c>
      <c r="AD211" s="13" t="s">
        <v>0</v>
      </c>
      <c r="AE211" s="15">
        <v>0</v>
      </c>
    </row>
    <row r="212" spans="1:31" ht="14.15" customHeight="1" x14ac:dyDescent="0.25">
      <c r="A212" s="12" t="s">
        <v>0</v>
      </c>
      <c r="B212" s="13" t="s">
        <v>1</v>
      </c>
      <c r="C212" s="13" t="s">
        <v>648</v>
      </c>
      <c r="D212" s="14">
        <v>44085</v>
      </c>
      <c r="E212" s="14">
        <v>44085</v>
      </c>
      <c r="F212" s="14">
        <v>44090</v>
      </c>
      <c r="G212" s="13" t="s">
        <v>3</v>
      </c>
      <c r="H212" s="13" t="s">
        <v>4</v>
      </c>
      <c r="I212" s="15">
        <v>-60914.67</v>
      </c>
      <c r="J212" s="13" t="s">
        <v>5</v>
      </c>
      <c r="K212" s="13" t="s">
        <v>6</v>
      </c>
      <c r="L212" s="15">
        <v>-5113786.55</v>
      </c>
      <c r="M212" s="15">
        <v>-60914.67</v>
      </c>
      <c r="N212" s="16" t="str">
        <f>IF(M212="","",IF(M212&lt;0,-M212&amp;"_"&amp;COUNTIF(M$2:M212,M212),M212&amp;"_"&amp;COUNTIF(M$2:M212,M212)))</f>
        <v>60914.67_1</v>
      </c>
      <c r="O212" s="17" t="str">
        <f t="shared" si="3"/>
        <v/>
      </c>
      <c r="P212" s="13" t="s">
        <v>649</v>
      </c>
      <c r="Q212" s="13" t="s">
        <v>650</v>
      </c>
      <c r="R212" s="13" t="s">
        <v>0</v>
      </c>
      <c r="S212" s="13" t="s">
        <v>0</v>
      </c>
      <c r="T212" s="13" t="s">
        <v>9</v>
      </c>
      <c r="U212" s="13" t="s">
        <v>0</v>
      </c>
      <c r="V212" s="13" t="s">
        <v>0</v>
      </c>
      <c r="W212" s="13" t="s">
        <v>0</v>
      </c>
      <c r="X212" s="13" t="s">
        <v>0</v>
      </c>
      <c r="Y212" s="13" t="s">
        <v>10</v>
      </c>
      <c r="Z212" s="13" t="s">
        <v>0</v>
      </c>
      <c r="AA212" s="14"/>
      <c r="AB212" s="13" t="s">
        <v>0</v>
      </c>
      <c r="AC212" s="13" t="s">
        <v>0</v>
      </c>
      <c r="AD212" s="13" t="s">
        <v>0</v>
      </c>
      <c r="AE212" s="15">
        <v>0</v>
      </c>
    </row>
    <row r="213" spans="1:31" ht="14.15" customHeight="1" x14ac:dyDescent="0.25">
      <c r="A213" s="12" t="s">
        <v>0</v>
      </c>
      <c r="B213" s="13" t="s">
        <v>1</v>
      </c>
      <c r="C213" s="13" t="s">
        <v>1771</v>
      </c>
      <c r="D213" s="14">
        <v>44181</v>
      </c>
      <c r="E213" s="14">
        <v>44181</v>
      </c>
      <c r="F213" s="14">
        <v>44186</v>
      </c>
      <c r="G213" s="13" t="s">
        <v>3</v>
      </c>
      <c r="H213" s="13" t="s">
        <v>4</v>
      </c>
      <c r="I213" s="15">
        <v>-60773.120000000003</v>
      </c>
      <c r="J213" s="13" t="s">
        <v>5</v>
      </c>
      <c r="K213" s="13" t="s">
        <v>6</v>
      </c>
      <c r="L213" s="15">
        <v>-5101903.42</v>
      </c>
      <c r="M213" s="15">
        <v>-60773.120000000003</v>
      </c>
      <c r="N213" s="16" t="str">
        <f>IF(M213="","",IF(M213&lt;0,-M213&amp;"_"&amp;COUNTIF(M$2:M213,M213),M213&amp;"_"&amp;COUNTIF(M$2:M213,M213)))</f>
        <v>60773.12_1</v>
      </c>
      <c r="O213" s="17" t="str">
        <f t="shared" si="3"/>
        <v/>
      </c>
      <c r="P213" s="13" t="s">
        <v>1772</v>
      </c>
      <c r="Q213" s="13" t="s">
        <v>1766</v>
      </c>
      <c r="R213" s="13" t="s">
        <v>0</v>
      </c>
      <c r="S213" s="13" t="s">
        <v>0</v>
      </c>
      <c r="T213" s="13" t="s">
        <v>9</v>
      </c>
      <c r="U213" s="13" t="s">
        <v>0</v>
      </c>
      <c r="V213" s="13" t="s">
        <v>0</v>
      </c>
      <c r="W213" s="13" t="s">
        <v>0</v>
      </c>
      <c r="X213" s="13" t="s">
        <v>0</v>
      </c>
      <c r="Y213" s="13" t="s">
        <v>10</v>
      </c>
      <c r="Z213" s="13" t="s">
        <v>0</v>
      </c>
      <c r="AA213" s="14"/>
      <c r="AB213" s="13" t="s">
        <v>0</v>
      </c>
      <c r="AC213" s="13" t="s">
        <v>0</v>
      </c>
      <c r="AD213" s="13" t="s">
        <v>0</v>
      </c>
      <c r="AE213" s="15">
        <v>0</v>
      </c>
    </row>
    <row r="214" spans="1:31" ht="14.15" customHeight="1" x14ac:dyDescent="0.25">
      <c r="A214" s="12" t="s">
        <v>0</v>
      </c>
      <c r="B214" s="13" t="s">
        <v>1</v>
      </c>
      <c r="C214" s="13" t="s">
        <v>3177</v>
      </c>
      <c r="D214" s="14">
        <v>44299</v>
      </c>
      <c r="E214" s="14">
        <v>44299</v>
      </c>
      <c r="F214" s="14">
        <v>44308</v>
      </c>
      <c r="G214" s="13" t="s">
        <v>3</v>
      </c>
      <c r="H214" s="13" t="s">
        <v>4</v>
      </c>
      <c r="I214" s="15">
        <v>-60748.480000000003</v>
      </c>
      <c r="J214" s="13" t="s">
        <v>5</v>
      </c>
      <c r="K214" s="13" t="s">
        <v>6</v>
      </c>
      <c r="L214" s="15">
        <v>-5099834.9000000004</v>
      </c>
      <c r="M214" s="15">
        <v>-60748.480000000003</v>
      </c>
      <c r="N214" s="16" t="str">
        <f>IF(M214="","",IF(M214&lt;0,-M214&amp;"_"&amp;COUNTIF(M$2:M214,M214),M214&amp;"_"&amp;COUNTIF(M$2:M214,M214)))</f>
        <v>60748.48_1</v>
      </c>
      <c r="O214" s="17" t="str">
        <f t="shared" si="3"/>
        <v/>
      </c>
      <c r="P214" s="13" t="s">
        <v>3178</v>
      </c>
      <c r="Q214" s="13" t="s">
        <v>3170</v>
      </c>
      <c r="R214" s="13" t="s">
        <v>0</v>
      </c>
      <c r="S214" s="13" t="s">
        <v>0</v>
      </c>
      <c r="T214" s="13" t="s">
        <v>9</v>
      </c>
      <c r="U214" s="13" t="s">
        <v>0</v>
      </c>
      <c r="V214" s="13" t="s">
        <v>0</v>
      </c>
      <c r="W214" s="13" t="s">
        <v>0</v>
      </c>
      <c r="X214" s="13" t="s">
        <v>0</v>
      </c>
      <c r="Y214" s="13" t="s">
        <v>10</v>
      </c>
      <c r="Z214" s="13" t="s">
        <v>0</v>
      </c>
      <c r="AA214" s="14"/>
      <c r="AB214" s="13" t="s">
        <v>0</v>
      </c>
      <c r="AC214" s="13" t="s">
        <v>0</v>
      </c>
      <c r="AD214" s="13" t="s">
        <v>0</v>
      </c>
      <c r="AE214" s="15">
        <v>0</v>
      </c>
    </row>
    <row r="215" spans="1:31" ht="14.15" customHeight="1" x14ac:dyDescent="0.25">
      <c r="A215" s="12" t="s">
        <v>0</v>
      </c>
      <c r="B215" s="13" t="s">
        <v>1</v>
      </c>
      <c r="C215" s="13" t="s">
        <v>2350</v>
      </c>
      <c r="D215" s="14">
        <v>44224</v>
      </c>
      <c r="E215" s="14">
        <v>44224</v>
      </c>
      <c r="F215" s="14">
        <v>44229</v>
      </c>
      <c r="G215" s="13" t="s">
        <v>3</v>
      </c>
      <c r="H215" s="13" t="s">
        <v>4</v>
      </c>
      <c r="I215" s="15">
        <v>-60642.49</v>
      </c>
      <c r="J215" s="13" t="s">
        <v>5</v>
      </c>
      <c r="K215" s="13" t="s">
        <v>6</v>
      </c>
      <c r="L215" s="15">
        <v>-5090937.04</v>
      </c>
      <c r="M215" s="15">
        <v>-60642.49</v>
      </c>
      <c r="N215" s="16" t="str">
        <f>IF(M215="","",IF(M215&lt;0,-M215&amp;"_"&amp;COUNTIF(M$2:M215,M215),M215&amp;"_"&amp;COUNTIF(M$2:M215,M215)))</f>
        <v>60642.49_1</v>
      </c>
      <c r="O215" s="17" t="str">
        <f t="shared" si="3"/>
        <v/>
      </c>
      <c r="P215" s="13" t="s">
        <v>2351</v>
      </c>
      <c r="Q215" s="13" t="s">
        <v>2345</v>
      </c>
      <c r="R215" s="13" t="s">
        <v>0</v>
      </c>
      <c r="S215" s="13" t="s">
        <v>0</v>
      </c>
      <c r="T215" s="13" t="s">
        <v>9</v>
      </c>
      <c r="U215" s="13" t="s">
        <v>0</v>
      </c>
      <c r="V215" s="13" t="s">
        <v>0</v>
      </c>
      <c r="W215" s="13" t="s">
        <v>0</v>
      </c>
      <c r="X215" s="13" t="s">
        <v>0</v>
      </c>
      <c r="Y215" s="13" t="s">
        <v>10</v>
      </c>
      <c r="Z215" s="13" t="s">
        <v>0</v>
      </c>
      <c r="AA215" s="14"/>
      <c r="AB215" s="13" t="s">
        <v>0</v>
      </c>
      <c r="AC215" s="13" t="s">
        <v>0</v>
      </c>
      <c r="AD215" s="13" t="s">
        <v>0</v>
      </c>
      <c r="AE215" s="15">
        <v>0</v>
      </c>
    </row>
    <row r="216" spans="1:31" ht="14.15" customHeight="1" x14ac:dyDescent="0.25">
      <c r="A216" s="12" t="s">
        <v>0</v>
      </c>
      <c r="B216" s="13" t="s">
        <v>1</v>
      </c>
      <c r="C216" s="13" t="s">
        <v>2739</v>
      </c>
      <c r="D216" s="14">
        <v>44259</v>
      </c>
      <c r="E216" s="14">
        <v>44259</v>
      </c>
      <c r="F216" s="14">
        <v>44265</v>
      </c>
      <c r="G216" s="13" t="s">
        <v>3</v>
      </c>
      <c r="H216" s="13" t="s">
        <v>4</v>
      </c>
      <c r="I216" s="15">
        <v>-60634.44</v>
      </c>
      <c r="J216" s="13" t="s">
        <v>5</v>
      </c>
      <c r="K216" s="13" t="s">
        <v>6</v>
      </c>
      <c r="L216" s="15">
        <v>-5090261.24</v>
      </c>
      <c r="M216" s="15">
        <v>-60634.44</v>
      </c>
      <c r="N216" s="16" t="str">
        <f>IF(M216="","",IF(M216&lt;0,-M216&amp;"_"&amp;COUNTIF(M$2:M216,M216),M216&amp;"_"&amp;COUNTIF(M$2:M216,M216)))</f>
        <v>60634.44_1</v>
      </c>
      <c r="O216" s="17" t="str">
        <f t="shared" si="3"/>
        <v/>
      </c>
      <c r="P216" s="13" t="s">
        <v>2740</v>
      </c>
      <c r="Q216" s="13" t="s">
        <v>2741</v>
      </c>
      <c r="R216" s="13" t="s">
        <v>0</v>
      </c>
      <c r="S216" s="13" t="s">
        <v>0</v>
      </c>
      <c r="T216" s="13" t="s">
        <v>9</v>
      </c>
      <c r="U216" s="13" t="s">
        <v>0</v>
      </c>
      <c r="V216" s="13" t="s">
        <v>0</v>
      </c>
      <c r="W216" s="13" t="s">
        <v>0</v>
      </c>
      <c r="X216" s="13" t="s">
        <v>0</v>
      </c>
      <c r="Y216" s="13" t="s">
        <v>10</v>
      </c>
      <c r="Z216" s="13" t="s">
        <v>0</v>
      </c>
      <c r="AA216" s="14"/>
      <c r="AB216" s="13" t="s">
        <v>0</v>
      </c>
      <c r="AC216" s="13" t="s">
        <v>0</v>
      </c>
      <c r="AD216" s="13" t="s">
        <v>0</v>
      </c>
      <c r="AE216" s="15">
        <v>0</v>
      </c>
    </row>
    <row r="217" spans="1:31" ht="14.15" customHeight="1" x14ac:dyDescent="0.25">
      <c r="A217" s="12" t="s">
        <v>0</v>
      </c>
      <c r="B217" s="13" t="s">
        <v>1</v>
      </c>
      <c r="C217" s="13" t="s">
        <v>3321</v>
      </c>
      <c r="D217" s="14">
        <v>44314</v>
      </c>
      <c r="E217" s="14">
        <v>44314</v>
      </c>
      <c r="F217" s="14">
        <v>44323</v>
      </c>
      <c r="G217" s="13" t="s">
        <v>3</v>
      </c>
      <c r="H217" s="13" t="s">
        <v>4</v>
      </c>
      <c r="I217" s="15">
        <v>-60497.04</v>
      </c>
      <c r="J217" s="13" t="s">
        <v>5</v>
      </c>
      <c r="K217" s="13" t="s">
        <v>6</v>
      </c>
      <c r="L217" s="15">
        <v>-5078726.51</v>
      </c>
      <c r="M217" s="15">
        <v>-60497.04</v>
      </c>
      <c r="N217" s="16" t="str">
        <f>IF(M217="","",IF(M217&lt;0,-M217&amp;"_"&amp;COUNTIF(M$2:M217,M217),M217&amp;"_"&amp;COUNTIF(M$2:M217,M217)))</f>
        <v>60497.04_1</v>
      </c>
      <c r="O217" s="17" t="str">
        <f t="shared" si="3"/>
        <v/>
      </c>
      <c r="P217" s="13" t="s">
        <v>3322</v>
      </c>
      <c r="Q217" s="13" t="s">
        <v>3284</v>
      </c>
      <c r="R217" s="13" t="s">
        <v>0</v>
      </c>
      <c r="S217" s="13" t="s">
        <v>0</v>
      </c>
      <c r="T217" s="13" t="s">
        <v>9</v>
      </c>
      <c r="U217" s="13" t="s">
        <v>0</v>
      </c>
      <c r="V217" s="13" t="s">
        <v>0</v>
      </c>
      <c r="W217" s="13" t="s">
        <v>0</v>
      </c>
      <c r="X217" s="13" t="s">
        <v>0</v>
      </c>
      <c r="Y217" s="13" t="s">
        <v>10</v>
      </c>
      <c r="Z217" s="13" t="s">
        <v>0</v>
      </c>
      <c r="AA217" s="14"/>
      <c r="AB217" s="13" t="s">
        <v>0</v>
      </c>
      <c r="AC217" s="13" t="s">
        <v>0</v>
      </c>
      <c r="AD217" s="13" t="s">
        <v>0</v>
      </c>
      <c r="AE217" s="15">
        <v>0</v>
      </c>
    </row>
    <row r="218" spans="1:31" ht="14.15" customHeight="1" x14ac:dyDescent="0.25">
      <c r="A218" s="12" t="s">
        <v>0</v>
      </c>
      <c r="B218" s="13" t="s">
        <v>1</v>
      </c>
      <c r="C218" s="13" t="s">
        <v>446</v>
      </c>
      <c r="D218" s="14">
        <v>44066</v>
      </c>
      <c r="E218" s="14">
        <v>44066</v>
      </c>
      <c r="F218" s="14">
        <v>44069</v>
      </c>
      <c r="G218" s="13" t="s">
        <v>3</v>
      </c>
      <c r="H218" s="13" t="s">
        <v>4</v>
      </c>
      <c r="I218" s="15">
        <v>-60425.27</v>
      </c>
      <c r="J218" s="13" t="s">
        <v>5</v>
      </c>
      <c r="K218" s="13" t="s">
        <v>6</v>
      </c>
      <c r="L218" s="15">
        <v>-5072701.42</v>
      </c>
      <c r="M218" s="15">
        <v>-60425.27</v>
      </c>
      <c r="N218" s="16" t="str">
        <f>IF(M218="","",IF(M218&lt;0,-M218&amp;"_"&amp;COUNTIF(M$2:M218,M218),M218&amp;"_"&amp;COUNTIF(M$2:M218,M218)))</f>
        <v>60425.27_1</v>
      </c>
      <c r="O218" s="17" t="str">
        <f t="shared" si="3"/>
        <v/>
      </c>
      <c r="P218" s="13" t="s">
        <v>447</v>
      </c>
      <c r="Q218" s="13" t="s">
        <v>445</v>
      </c>
      <c r="R218" s="13" t="s">
        <v>0</v>
      </c>
      <c r="S218" s="13" t="s">
        <v>0</v>
      </c>
      <c r="T218" s="13" t="s">
        <v>9</v>
      </c>
      <c r="U218" s="13" t="s">
        <v>0</v>
      </c>
      <c r="V218" s="13" t="s">
        <v>0</v>
      </c>
      <c r="W218" s="13" t="s">
        <v>0</v>
      </c>
      <c r="X218" s="13" t="s">
        <v>0</v>
      </c>
      <c r="Y218" s="13" t="s">
        <v>10</v>
      </c>
      <c r="Z218" s="13" t="s">
        <v>0</v>
      </c>
      <c r="AA218" s="14"/>
      <c r="AB218" s="13" t="s">
        <v>0</v>
      </c>
      <c r="AC218" s="13" t="s">
        <v>0</v>
      </c>
      <c r="AD218" s="13" t="s">
        <v>0</v>
      </c>
      <c r="AE218" s="15">
        <v>0</v>
      </c>
    </row>
    <row r="219" spans="1:31" ht="14.15" customHeight="1" x14ac:dyDescent="0.25">
      <c r="A219" s="12" t="s">
        <v>0</v>
      </c>
      <c r="B219" s="13" t="s">
        <v>1</v>
      </c>
      <c r="C219" s="13" t="s">
        <v>2183</v>
      </c>
      <c r="D219" s="14">
        <v>44210</v>
      </c>
      <c r="E219" s="14">
        <v>44210</v>
      </c>
      <c r="F219" s="14">
        <v>44216</v>
      </c>
      <c r="G219" s="13" t="s">
        <v>3</v>
      </c>
      <c r="H219" s="13" t="s">
        <v>4</v>
      </c>
      <c r="I219" s="15">
        <v>-60412.79</v>
      </c>
      <c r="J219" s="13" t="s">
        <v>5</v>
      </c>
      <c r="K219" s="13" t="s">
        <v>6</v>
      </c>
      <c r="L219" s="15">
        <v>-5071653.72</v>
      </c>
      <c r="M219" s="15">
        <v>-60412.79</v>
      </c>
      <c r="N219" s="16" t="str">
        <f>IF(M219="","",IF(M219&lt;0,-M219&amp;"_"&amp;COUNTIF(M$2:M219,M219),M219&amp;"_"&amp;COUNTIF(M$2:M219,M219)))</f>
        <v>60412.79_1</v>
      </c>
      <c r="O219" s="17" t="str">
        <f t="shared" si="3"/>
        <v/>
      </c>
      <c r="P219" s="13" t="s">
        <v>2184</v>
      </c>
      <c r="Q219" s="13" t="s">
        <v>2176</v>
      </c>
      <c r="R219" s="13" t="s">
        <v>0</v>
      </c>
      <c r="S219" s="13" t="s">
        <v>0</v>
      </c>
      <c r="T219" s="13" t="s">
        <v>9</v>
      </c>
      <c r="U219" s="13" t="s">
        <v>0</v>
      </c>
      <c r="V219" s="13" t="s">
        <v>0</v>
      </c>
      <c r="W219" s="13" t="s">
        <v>0</v>
      </c>
      <c r="X219" s="13" t="s">
        <v>0</v>
      </c>
      <c r="Y219" s="13" t="s">
        <v>10</v>
      </c>
      <c r="Z219" s="13" t="s">
        <v>0</v>
      </c>
      <c r="AA219" s="14"/>
      <c r="AB219" s="13" t="s">
        <v>0</v>
      </c>
      <c r="AC219" s="13" t="s">
        <v>0</v>
      </c>
      <c r="AD219" s="13" t="s">
        <v>0</v>
      </c>
      <c r="AE219" s="15">
        <v>0</v>
      </c>
    </row>
    <row r="220" spans="1:31" ht="14.15" customHeight="1" x14ac:dyDescent="0.25">
      <c r="A220" s="12" t="s">
        <v>0</v>
      </c>
      <c r="B220" s="13" t="s">
        <v>1</v>
      </c>
      <c r="C220" s="13" t="s">
        <v>857</v>
      </c>
      <c r="D220" s="14">
        <v>44108</v>
      </c>
      <c r="E220" s="14">
        <v>44108</v>
      </c>
      <c r="F220" s="14">
        <v>44130</v>
      </c>
      <c r="G220" s="13" t="s">
        <v>3</v>
      </c>
      <c r="H220" s="13" t="s">
        <v>4</v>
      </c>
      <c r="I220" s="15">
        <v>-60308.94</v>
      </c>
      <c r="J220" s="13" t="s">
        <v>5</v>
      </c>
      <c r="K220" s="13" t="s">
        <v>6</v>
      </c>
      <c r="L220" s="15">
        <v>-5062935.51</v>
      </c>
      <c r="M220" s="15">
        <v>-60308.94</v>
      </c>
      <c r="N220" s="16" t="str">
        <f>IF(M220="","",IF(M220&lt;0,-M220&amp;"_"&amp;COUNTIF(M$2:M220,M220),M220&amp;"_"&amp;COUNTIF(M$2:M220,M220)))</f>
        <v>60308.94_1</v>
      </c>
      <c r="O220" s="17" t="str">
        <f t="shared" si="3"/>
        <v/>
      </c>
      <c r="P220" s="13" t="s">
        <v>858</v>
      </c>
      <c r="Q220" s="13" t="s">
        <v>850</v>
      </c>
      <c r="R220" s="13" t="s">
        <v>0</v>
      </c>
      <c r="S220" s="13" t="s">
        <v>0</v>
      </c>
      <c r="T220" s="13" t="s">
        <v>9</v>
      </c>
      <c r="U220" s="13" t="s">
        <v>0</v>
      </c>
      <c r="V220" s="13" t="s">
        <v>0</v>
      </c>
      <c r="W220" s="13" t="s">
        <v>0</v>
      </c>
      <c r="X220" s="13" t="s">
        <v>0</v>
      </c>
      <c r="Y220" s="13" t="s">
        <v>10</v>
      </c>
      <c r="Z220" s="13" t="s">
        <v>0</v>
      </c>
      <c r="AA220" s="14"/>
      <c r="AB220" s="13" t="s">
        <v>0</v>
      </c>
      <c r="AC220" s="13" t="s">
        <v>0</v>
      </c>
      <c r="AD220" s="13" t="s">
        <v>0</v>
      </c>
      <c r="AE220" s="15">
        <v>0</v>
      </c>
    </row>
    <row r="221" spans="1:31" ht="14.15" customHeight="1" x14ac:dyDescent="0.25">
      <c r="A221" s="12" t="s">
        <v>0</v>
      </c>
      <c r="B221" s="13" t="s">
        <v>1</v>
      </c>
      <c r="C221" s="13" t="s">
        <v>526</v>
      </c>
      <c r="D221" s="14">
        <v>44073</v>
      </c>
      <c r="E221" s="14">
        <v>44073</v>
      </c>
      <c r="F221" s="14">
        <v>44082</v>
      </c>
      <c r="G221" s="13" t="s">
        <v>3</v>
      </c>
      <c r="H221" s="13" t="s">
        <v>4</v>
      </c>
      <c r="I221" s="15">
        <v>-60157.08</v>
      </c>
      <c r="J221" s="13" t="s">
        <v>5</v>
      </c>
      <c r="K221" s="13" t="s">
        <v>6</v>
      </c>
      <c r="L221" s="15">
        <v>-5050186.87</v>
      </c>
      <c r="M221" s="15">
        <v>-60157.08</v>
      </c>
      <c r="N221" s="16" t="str">
        <f>IF(M221="","",IF(M221&lt;0,-M221&amp;"_"&amp;COUNTIF(M$2:M221,M221),M221&amp;"_"&amp;COUNTIF(M$2:M221,M221)))</f>
        <v>60157.08_1</v>
      </c>
      <c r="O221" s="17" t="str">
        <f t="shared" si="3"/>
        <v/>
      </c>
      <c r="P221" s="13" t="s">
        <v>527</v>
      </c>
      <c r="Q221" s="13" t="s">
        <v>525</v>
      </c>
      <c r="R221" s="13" t="s">
        <v>0</v>
      </c>
      <c r="S221" s="13" t="s">
        <v>0</v>
      </c>
      <c r="T221" s="13" t="s">
        <v>9</v>
      </c>
      <c r="U221" s="13" t="s">
        <v>0</v>
      </c>
      <c r="V221" s="13" t="s">
        <v>0</v>
      </c>
      <c r="W221" s="13" t="s">
        <v>0</v>
      </c>
      <c r="X221" s="13" t="s">
        <v>0</v>
      </c>
      <c r="Y221" s="13" t="s">
        <v>10</v>
      </c>
      <c r="Z221" s="13" t="s">
        <v>0</v>
      </c>
      <c r="AA221" s="14"/>
      <c r="AB221" s="13" t="s">
        <v>0</v>
      </c>
      <c r="AC221" s="13" t="s">
        <v>0</v>
      </c>
      <c r="AD221" s="13" t="s">
        <v>0</v>
      </c>
      <c r="AE221" s="15">
        <v>0</v>
      </c>
    </row>
    <row r="222" spans="1:31" ht="14.15" customHeight="1" x14ac:dyDescent="0.25">
      <c r="A222" s="12" t="s">
        <v>0</v>
      </c>
      <c r="B222" s="13" t="s">
        <v>1</v>
      </c>
      <c r="C222" s="13" t="s">
        <v>3216</v>
      </c>
      <c r="D222" s="14">
        <v>44303</v>
      </c>
      <c r="E222" s="14">
        <v>44303</v>
      </c>
      <c r="F222" s="14">
        <v>44308</v>
      </c>
      <c r="G222" s="13" t="s">
        <v>3</v>
      </c>
      <c r="H222" s="13" t="s">
        <v>4</v>
      </c>
      <c r="I222" s="15">
        <v>-60129.66</v>
      </c>
      <c r="J222" s="13" t="s">
        <v>5</v>
      </c>
      <c r="K222" s="13" t="s">
        <v>6</v>
      </c>
      <c r="L222" s="15">
        <v>-5047884.96</v>
      </c>
      <c r="M222" s="15">
        <v>-60129.66</v>
      </c>
      <c r="N222" s="16" t="str">
        <f>IF(M222="","",IF(M222&lt;0,-M222&amp;"_"&amp;COUNTIF(M$2:M222,M222),M222&amp;"_"&amp;COUNTIF(M$2:M222,M222)))</f>
        <v>60129.66_1</v>
      </c>
      <c r="O222" s="17" t="str">
        <f t="shared" si="3"/>
        <v/>
      </c>
      <c r="P222" s="13" t="s">
        <v>3217</v>
      </c>
      <c r="Q222" s="13" t="s">
        <v>3215</v>
      </c>
      <c r="R222" s="13" t="s">
        <v>0</v>
      </c>
      <c r="S222" s="13" t="s">
        <v>0</v>
      </c>
      <c r="T222" s="13" t="s">
        <v>9</v>
      </c>
      <c r="U222" s="13" t="s">
        <v>0</v>
      </c>
      <c r="V222" s="13" t="s">
        <v>0</v>
      </c>
      <c r="W222" s="13" t="s">
        <v>0</v>
      </c>
      <c r="X222" s="13" t="s">
        <v>0</v>
      </c>
      <c r="Y222" s="13" t="s">
        <v>10</v>
      </c>
      <c r="Z222" s="13" t="s">
        <v>0</v>
      </c>
      <c r="AA222" s="14"/>
      <c r="AB222" s="13" t="s">
        <v>0</v>
      </c>
      <c r="AC222" s="13" t="s">
        <v>0</v>
      </c>
      <c r="AD222" s="13" t="s">
        <v>0</v>
      </c>
      <c r="AE222" s="15">
        <v>0</v>
      </c>
    </row>
    <row r="223" spans="1:31" ht="14.15" customHeight="1" x14ac:dyDescent="0.25">
      <c r="A223" s="12" t="s">
        <v>0</v>
      </c>
      <c r="B223" s="13" t="s">
        <v>1</v>
      </c>
      <c r="C223" s="13" t="s">
        <v>3222</v>
      </c>
      <c r="D223" s="14">
        <v>44304</v>
      </c>
      <c r="E223" s="14">
        <v>44304</v>
      </c>
      <c r="F223" s="14">
        <v>44308</v>
      </c>
      <c r="G223" s="13" t="s">
        <v>3</v>
      </c>
      <c r="H223" s="13" t="s">
        <v>4</v>
      </c>
      <c r="I223" s="15">
        <v>-60119.39</v>
      </c>
      <c r="J223" s="13" t="s">
        <v>5</v>
      </c>
      <c r="K223" s="13" t="s">
        <v>6</v>
      </c>
      <c r="L223" s="15">
        <v>-5047022.79</v>
      </c>
      <c r="M223" s="15">
        <v>-60119.39</v>
      </c>
      <c r="N223" s="16" t="str">
        <f>IF(M223="","",IF(M223&lt;0,-M223&amp;"_"&amp;COUNTIF(M$2:M223,M223),M223&amp;"_"&amp;COUNTIF(M$2:M223,M223)))</f>
        <v>60119.39_1</v>
      </c>
      <c r="O223" s="17" t="str">
        <f t="shared" si="3"/>
        <v/>
      </c>
      <c r="P223" s="13" t="s">
        <v>3223</v>
      </c>
      <c r="Q223" s="13" t="s">
        <v>3224</v>
      </c>
      <c r="R223" s="13" t="s">
        <v>0</v>
      </c>
      <c r="S223" s="13" t="s">
        <v>0</v>
      </c>
      <c r="T223" s="13" t="s">
        <v>9</v>
      </c>
      <c r="U223" s="13" t="s">
        <v>0</v>
      </c>
      <c r="V223" s="13" t="s">
        <v>0</v>
      </c>
      <c r="W223" s="13" t="s">
        <v>0</v>
      </c>
      <c r="X223" s="13" t="s">
        <v>0</v>
      </c>
      <c r="Y223" s="13" t="s">
        <v>10</v>
      </c>
      <c r="Z223" s="13" t="s">
        <v>0</v>
      </c>
      <c r="AA223" s="14"/>
      <c r="AB223" s="13" t="s">
        <v>0</v>
      </c>
      <c r="AC223" s="13" t="s">
        <v>0</v>
      </c>
      <c r="AD223" s="13" t="s">
        <v>0</v>
      </c>
      <c r="AE223" s="15">
        <v>0</v>
      </c>
    </row>
    <row r="224" spans="1:31" ht="14.15" customHeight="1" x14ac:dyDescent="0.25">
      <c r="A224" s="12" t="s">
        <v>0</v>
      </c>
      <c r="B224" s="13" t="s">
        <v>1</v>
      </c>
      <c r="C224" s="13" t="s">
        <v>2164</v>
      </c>
      <c r="D224" s="14">
        <v>44209</v>
      </c>
      <c r="E224" s="14">
        <v>44209</v>
      </c>
      <c r="F224" s="14">
        <v>44219</v>
      </c>
      <c r="G224" s="13" t="s">
        <v>3</v>
      </c>
      <c r="H224" s="13" t="s">
        <v>4</v>
      </c>
      <c r="I224" s="15">
        <v>-60097.7</v>
      </c>
      <c r="J224" s="13" t="s">
        <v>5</v>
      </c>
      <c r="K224" s="13" t="s">
        <v>6</v>
      </c>
      <c r="L224" s="15">
        <v>-5045201.92</v>
      </c>
      <c r="M224" s="15">
        <v>-60097.7</v>
      </c>
      <c r="N224" s="16" t="str">
        <f>IF(M224="","",IF(M224&lt;0,-M224&amp;"_"&amp;COUNTIF(M$2:M224,M224),M224&amp;"_"&amp;COUNTIF(M$2:M224,M224)))</f>
        <v>60097.7_1</v>
      </c>
      <c r="O224" s="17" t="str">
        <f t="shared" si="3"/>
        <v/>
      </c>
      <c r="P224" s="13" t="s">
        <v>2165</v>
      </c>
      <c r="Q224" s="13" t="s">
        <v>2159</v>
      </c>
      <c r="R224" s="13" t="s">
        <v>0</v>
      </c>
      <c r="S224" s="13" t="s">
        <v>0</v>
      </c>
      <c r="T224" s="13" t="s">
        <v>9</v>
      </c>
      <c r="U224" s="13" t="s">
        <v>0</v>
      </c>
      <c r="V224" s="13" t="s">
        <v>0</v>
      </c>
      <c r="W224" s="13" t="s">
        <v>0</v>
      </c>
      <c r="X224" s="13" t="s">
        <v>0</v>
      </c>
      <c r="Y224" s="13" t="s">
        <v>10</v>
      </c>
      <c r="Z224" s="13" t="s">
        <v>0</v>
      </c>
      <c r="AA224" s="14"/>
      <c r="AB224" s="13" t="s">
        <v>0</v>
      </c>
      <c r="AC224" s="13" t="s">
        <v>0</v>
      </c>
      <c r="AD224" s="13" t="s">
        <v>0</v>
      </c>
      <c r="AE224" s="15">
        <v>0</v>
      </c>
    </row>
    <row r="225" spans="1:31" ht="14.15" customHeight="1" x14ac:dyDescent="0.25">
      <c r="A225" s="12" t="s">
        <v>0</v>
      </c>
      <c r="B225" s="13" t="s">
        <v>1</v>
      </c>
      <c r="C225" s="13" t="s">
        <v>698</v>
      </c>
      <c r="D225" s="14">
        <v>44090</v>
      </c>
      <c r="E225" s="14">
        <v>44090</v>
      </c>
      <c r="F225" s="14">
        <v>44098</v>
      </c>
      <c r="G225" s="13" t="s">
        <v>3</v>
      </c>
      <c r="H225" s="13" t="s">
        <v>4</v>
      </c>
      <c r="I225" s="15">
        <v>-59730.5</v>
      </c>
      <c r="J225" s="13" t="s">
        <v>5</v>
      </c>
      <c r="K225" s="13" t="s">
        <v>6</v>
      </c>
      <c r="L225" s="15">
        <v>-5014375.4800000004</v>
      </c>
      <c r="M225" s="15">
        <v>-59730.5</v>
      </c>
      <c r="N225" s="16" t="str">
        <f>IF(M225="","",IF(M225&lt;0,-M225&amp;"_"&amp;COUNTIF(M$2:M225,M225),M225&amp;"_"&amp;COUNTIF(M$2:M225,M225)))</f>
        <v>59730.5_1</v>
      </c>
      <c r="O225" s="17" t="str">
        <f t="shared" si="3"/>
        <v/>
      </c>
      <c r="P225" s="13" t="s">
        <v>699</v>
      </c>
      <c r="Q225" s="13" t="s">
        <v>687</v>
      </c>
      <c r="R225" s="13" t="s">
        <v>0</v>
      </c>
      <c r="S225" s="13" t="s">
        <v>0</v>
      </c>
      <c r="T225" s="13" t="s">
        <v>9</v>
      </c>
      <c r="U225" s="13" t="s">
        <v>0</v>
      </c>
      <c r="V225" s="13" t="s">
        <v>0</v>
      </c>
      <c r="W225" s="13" t="s">
        <v>0</v>
      </c>
      <c r="X225" s="13" t="s">
        <v>0</v>
      </c>
      <c r="Y225" s="13" t="s">
        <v>10</v>
      </c>
      <c r="Z225" s="13" t="s">
        <v>0</v>
      </c>
      <c r="AA225" s="14"/>
      <c r="AB225" s="13" t="s">
        <v>0</v>
      </c>
      <c r="AC225" s="13" t="s">
        <v>0</v>
      </c>
      <c r="AD225" s="13" t="s">
        <v>0</v>
      </c>
      <c r="AE225" s="15">
        <v>0</v>
      </c>
    </row>
    <row r="226" spans="1:31" ht="14.15" customHeight="1" x14ac:dyDescent="0.25">
      <c r="A226" s="12" t="s">
        <v>0</v>
      </c>
      <c r="B226" s="13" t="s">
        <v>1</v>
      </c>
      <c r="C226" s="13" t="s">
        <v>1088</v>
      </c>
      <c r="D226" s="14">
        <v>44135</v>
      </c>
      <c r="E226" s="14">
        <v>44135</v>
      </c>
      <c r="F226" s="14">
        <v>44138</v>
      </c>
      <c r="G226" s="13" t="s">
        <v>3</v>
      </c>
      <c r="H226" s="13" t="s">
        <v>4</v>
      </c>
      <c r="I226" s="15">
        <v>-59499.05</v>
      </c>
      <c r="J226" s="13" t="s">
        <v>5</v>
      </c>
      <c r="K226" s="13" t="s">
        <v>6</v>
      </c>
      <c r="L226" s="15">
        <v>-4994945.25</v>
      </c>
      <c r="M226" s="15">
        <v>-59499.05</v>
      </c>
      <c r="N226" s="16" t="str">
        <f>IF(M226="","",IF(M226&lt;0,-M226&amp;"_"&amp;COUNTIF(M$2:M226,M226),M226&amp;"_"&amp;COUNTIF(M$2:M226,M226)))</f>
        <v>59499.05_1</v>
      </c>
      <c r="O226" s="17" t="str">
        <f t="shared" si="3"/>
        <v/>
      </c>
      <c r="P226" s="13" t="s">
        <v>1089</v>
      </c>
      <c r="Q226" s="13" t="s">
        <v>1083</v>
      </c>
      <c r="R226" s="13" t="s">
        <v>0</v>
      </c>
      <c r="S226" s="13" t="s">
        <v>0</v>
      </c>
      <c r="T226" s="13" t="s">
        <v>9</v>
      </c>
      <c r="U226" s="13" t="s">
        <v>0</v>
      </c>
      <c r="V226" s="13" t="s">
        <v>0</v>
      </c>
      <c r="W226" s="13" t="s">
        <v>0</v>
      </c>
      <c r="X226" s="13" t="s">
        <v>0</v>
      </c>
      <c r="Y226" s="13" t="s">
        <v>10</v>
      </c>
      <c r="Z226" s="13" t="s">
        <v>0</v>
      </c>
      <c r="AA226" s="14"/>
      <c r="AB226" s="13" t="s">
        <v>0</v>
      </c>
      <c r="AC226" s="13" t="s">
        <v>0</v>
      </c>
      <c r="AD226" s="13" t="s">
        <v>0</v>
      </c>
      <c r="AE226" s="15">
        <v>0</v>
      </c>
    </row>
    <row r="227" spans="1:31" ht="14.15" customHeight="1" x14ac:dyDescent="0.25">
      <c r="A227" s="12" t="s">
        <v>0</v>
      </c>
      <c r="B227" s="13" t="s">
        <v>1</v>
      </c>
      <c r="C227" s="13" t="s">
        <v>3862</v>
      </c>
      <c r="D227" s="14">
        <v>44351</v>
      </c>
      <c r="E227" s="14">
        <v>44351</v>
      </c>
      <c r="F227" s="14">
        <v>44357</v>
      </c>
      <c r="G227" s="13" t="s">
        <v>3</v>
      </c>
      <c r="H227" s="13" t="s">
        <v>4</v>
      </c>
      <c r="I227" s="15">
        <v>-59463.68</v>
      </c>
      <c r="J227" s="13" t="s">
        <v>5</v>
      </c>
      <c r="K227" s="13" t="s">
        <v>6</v>
      </c>
      <c r="L227" s="15">
        <v>-4991975.9400000004</v>
      </c>
      <c r="M227" s="15">
        <v>-59463.68</v>
      </c>
      <c r="N227" s="16" t="str">
        <f>IF(M227="","",IF(M227&lt;0,-M227&amp;"_"&amp;COUNTIF(M$2:M227,M227),M227&amp;"_"&amp;COUNTIF(M$2:M227,M227)))</f>
        <v>59463.68_1</v>
      </c>
      <c r="O227" s="17" t="str">
        <f t="shared" si="3"/>
        <v/>
      </c>
      <c r="P227" s="13" t="s">
        <v>3863</v>
      </c>
      <c r="Q227" s="13" t="s">
        <v>3857</v>
      </c>
      <c r="R227" s="13" t="s">
        <v>0</v>
      </c>
      <c r="S227" s="13" t="s">
        <v>0</v>
      </c>
      <c r="T227" s="13" t="s">
        <v>9</v>
      </c>
      <c r="U227" s="13" t="s">
        <v>0</v>
      </c>
      <c r="V227" s="13" t="s">
        <v>0</v>
      </c>
      <c r="W227" s="13" t="s">
        <v>0</v>
      </c>
      <c r="X227" s="13" t="s">
        <v>0</v>
      </c>
      <c r="Y227" s="13" t="s">
        <v>10</v>
      </c>
      <c r="Z227" s="13" t="s">
        <v>0</v>
      </c>
      <c r="AA227" s="14"/>
      <c r="AB227" s="13" t="s">
        <v>0</v>
      </c>
      <c r="AC227" s="13" t="s">
        <v>0</v>
      </c>
      <c r="AD227" s="13" t="s">
        <v>0</v>
      </c>
      <c r="AE227" s="15">
        <v>0</v>
      </c>
    </row>
    <row r="228" spans="1:31" ht="14.15" customHeight="1" x14ac:dyDescent="0.25">
      <c r="A228" s="12" t="s">
        <v>0</v>
      </c>
      <c r="B228" s="13" t="s">
        <v>1</v>
      </c>
      <c r="C228" s="13" t="s">
        <v>63</v>
      </c>
      <c r="D228" s="14">
        <v>44018</v>
      </c>
      <c r="E228" s="14">
        <v>44018</v>
      </c>
      <c r="F228" s="14">
        <v>44021</v>
      </c>
      <c r="G228" s="13" t="s">
        <v>3</v>
      </c>
      <c r="H228" s="13" t="s">
        <v>4</v>
      </c>
      <c r="I228" s="15">
        <v>-59293.98</v>
      </c>
      <c r="J228" s="13" t="s">
        <v>5</v>
      </c>
      <c r="K228" s="13" t="s">
        <v>6</v>
      </c>
      <c r="L228" s="15">
        <v>-4977729.62</v>
      </c>
      <c r="M228" s="15">
        <v>-59293.98</v>
      </c>
      <c r="N228" s="16" t="str">
        <f>IF(M228="","",IF(M228&lt;0,-M228&amp;"_"&amp;COUNTIF(M$2:M228,M228),M228&amp;"_"&amp;COUNTIF(M$2:M228,M228)))</f>
        <v>59293.98_1</v>
      </c>
      <c r="O228" s="17" t="str">
        <f t="shared" si="3"/>
        <v/>
      </c>
      <c r="P228" s="13" t="s">
        <v>64</v>
      </c>
      <c r="Q228" s="13" t="s">
        <v>62</v>
      </c>
      <c r="R228" s="13" t="s">
        <v>0</v>
      </c>
      <c r="S228" s="13" t="s">
        <v>0</v>
      </c>
      <c r="T228" s="13" t="s">
        <v>9</v>
      </c>
      <c r="U228" s="13" t="s">
        <v>0</v>
      </c>
      <c r="V228" s="13" t="s">
        <v>0</v>
      </c>
      <c r="W228" s="13" t="s">
        <v>0</v>
      </c>
      <c r="X228" s="13" t="s">
        <v>0</v>
      </c>
      <c r="Y228" s="13" t="s">
        <v>10</v>
      </c>
      <c r="Z228" s="13" t="s">
        <v>0</v>
      </c>
      <c r="AA228" s="14"/>
      <c r="AB228" s="13" t="s">
        <v>0</v>
      </c>
      <c r="AC228" s="13" t="s">
        <v>0</v>
      </c>
      <c r="AD228" s="13" t="s">
        <v>0</v>
      </c>
      <c r="AE228" s="15">
        <v>0</v>
      </c>
    </row>
    <row r="229" spans="1:31" ht="14.15" customHeight="1" x14ac:dyDescent="0.25">
      <c r="A229" s="12" t="s">
        <v>0</v>
      </c>
      <c r="B229" s="13" t="s">
        <v>1</v>
      </c>
      <c r="C229" s="13" t="s">
        <v>443</v>
      </c>
      <c r="D229" s="14">
        <v>44066</v>
      </c>
      <c r="E229" s="14">
        <v>44066</v>
      </c>
      <c r="F229" s="14">
        <v>44069</v>
      </c>
      <c r="G229" s="13" t="s">
        <v>3</v>
      </c>
      <c r="H229" s="13" t="s">
        <v>4</v>
      </c>
      <c r="I229" s="15">
        <v>-59082.51</v>
      </c>
      <c r="J229" s="13" t="s">
        <v>5</v>
      </c>
      <c r="K229" s="13" t="s">
        <v>6</v>
      </c>
      <c r="L229" s="15">
        <v>-4959976.71</v>
      </c>
      <c r="M229" s="15">
        <v>-59082.51</v>
      </c>
      <c r="N229" s="16" t="str">
        <f>IF(M229="","",IF(M229&lt;0,-M229&amp;"_"&amp;COUNTIF(M$2:M229,M229),M229&amp;"_"&amp;COUNTIF(M$2:M229,M229)))</f>
        <v>59082.51_1</v>
      </c>
      <c r="O229" s="17" t="str">
        <f t="shared" si="3"/>
        <v/>
      </c>
      <c r="P229" s="13" t="s">
        <v>444</v>
      </c>
      <c r="Q229" s="13" t="s">
        <v>445</v>
      </c>
      <c r="R229" s="13" t="s">
        <v>0</v>
      </c>
      <c r="S229" s="13" t="s">
        <v>0</v>
      </c>
      <c r="T229" s="13" t="s">
        <v>9</v>
      </c>
      <c r="U229" s="13" t="s">
        <v>0</v>
      </c>
      <c r="V229" s="13" t="s">
        <v>0</v>
      </c>
      <c r="W229" s="13" t="s">
        <v>0</v>
      </c>
      <c r="X229" s="13" t="s">
        <v>0</v>
      </c>
      <c r="Y229" s="13" t="s">
        <v>10</v>
      </c>
      <c r="Z229" s="13" t="s">
        <v>0</v>
      </c>
      <c r="AA229" s="14"/>
      <c r="AB229" s="13" t="s">
        <v>0</v>
      </c>
      <c r="AC229" s="13" t="s">
        <v>0</v>
      </c>
      <c r="AD229" s="13" t="s">
        <v>0</v>
      </c>
      <c r="AE229" s="15">
        <v>0</v>
      </c>
    </row>
    <row r="230" spans="1:31" ht="14.15" customHeight="1" x14ac:dyDescent="0.25">
      <c r="A230" s="12" t="s">
        <v>0</v>
      </c>
      <c r="B230" s="13" t="s">
        <v>1</v>
      </c>
      <c r="C230" s="13" t="s">
        <v>528</v>
      </c>
      <c r="D230" s="14">
        <v>44073</v>
      </c>
      <c r="E230" s="14">
        <v>44073</v>
      </c>
      <c r="F230" s="14">
        <v>44082</v>
      </c>
      <c r="G230" s="13" t="s">
        <v>3</v>
      </c>
      <c r="H230" s="13" t="s">
        <v>4</v>
      </c>
      <c r="I230" s="15">
        <v>-59072.26</v>
      </c>
      <c r="J230" s="13" t="s">
        <v>5</v>
      </c>
      <c r="K230" s="13" t="s">
        <v>6</v>
      </c>
      <c r="L230" s="15">
        <v>-4959116.2300000004</v>
      </c>
      <c r="M230" s="15">
        <v>-59072.26</v>
      </c>
      <c r="N230" s="16" t="str">
        <f>IF(M230="","",IF(M230&lt;0,-M230&amp;"_"&amp;COUNTIF(M$2:M230,M230),M230&amp;"_"&amp;COUNTIF(M$2:M230,M230)))</f>
        <v>59072.26_1</v>
      </c>
      <c r="O230" s="17" t="str">
        <f t="shared" si="3"/>
        <v/>
      </c>
      <c r="P230" s="13" t="s">
        <v>529</v>
      </c>
      <c r="Q230" s="13" t="s">
        <v>525</v>
      </c>
      <c r="R230" s="13" t="s">
        <v>0</v>
      </c>
      <c r="S230" s="13" t="s">
        <v>0</v>
      </c>
      <c r="T230" s="13" t="s">
        <v>9</v>
      </c>
      <c r="U230" s="13" t="s">
        <v>0</v>
      </c>
      <c r="V230" s="13" t="s">
        <v>0</v>
      </c>
      <c r="W230" s="13" t="s">
        <v>0</v>
      </c>
      <c r="X230" s="13" t="s">
        <v>0</v>
      </c>
      <c r="Y230" s="13" t="s">
        <v>10</v>
      </c>
      <c r="Z230" s="13" t="s">
        <v>0</v>
      </c>
      <c r="AA230" s="14"/>
      <c r="AB230" s="13" t="s">
        <v>0</v>
      </c>
      <c r="AC230" s="13" t="s">
        <v>0</v>
      </c>
      <c r="AD230" s="13" t="s">
        <v>0</v>
      </c>
      <c r="AE230" s="15">
        <v>0</v>
      </c>
    </row>
    <row r="231" spans="1:31" ht="14.15" customHeight="1" x14ac:dyDescent="0.25">
      <c r="A231" s="12" t="s">
        <v>0</v>
      </c>
      <c r="B231" s="13" t="s">
        <v>1</v>
      </c>
      <c r="C231" s="13" t="s">
        <v>2561</v>
      </c>
      <c r="D231" s="14">
        <v>44240</v>
      </c>
      <c r="E231" s="14">
        <v>44240</v>
      </c>
      <c r="F231" s="14">
        <v>44251</v>
      </c>
      <c r="G231" s="13" t="s">
        <v>3</v>
      </c>
      <c r="H231" s="13" t="s">
        <v>4</v>
      </c>
      <c r="I231" s="15">
        <v>-59007.65</v>
      </c>
      <c r="J231" s="13" t="s">
        <v>5</v>
      </c>
      <c r="K231" s="13" t="s">
        <v>6</v>
      </c>
      <c r="L231" s="15">
        <v>-4953692.22</v>
      </c>
      <c r="M231" s="15">
        <v>-59007.65</v>
      </c>
      <c r="N231" s="16" t="str">
        <f>IF(M231="","",IF(M231&lt;0,-M231&amp;"_"&amp;COUNTIF(M$2:M231,M231),M231&amp;"_"&amp;COUNTIF(M$2:M231,M231)))</f>
        <v>59007.65_1</v>
      </c>
      <c r="O231" s="17" t="str">
        <f t="shared" si="3"/>
        <v/>
      </c>
      <c r="P231" s="13" t="s">
        <v>2562</v>
      </c>
      <c r="Q231" s="13" t="s">
        <v>2560</v>
      </c>
      <c r="R231" s="13" t="s">
        <v>0</v>
      </c>
      <c r="S231" s="13" t="s">
        <v>0</v>
      </c>
      <c r="T231" s="13" t="s">
        <v>9</v>
      </c>
      <c r="U231" s="13" t="s">
        <v>0</v>
      </c>
      <c r="V231" s="13" t="s">
        <v>0</v>
      </c>
      <c r="W231" s="13" t="s">
        <v>0</v>
      </c>
      <c r="X231" s="13" t="s">
        <v>0</v>
      </c>
      <c r="Y231" s="13" t="s">
        <v>10</v>
      </c>
      <c r="Z231" s="13" t="s">
        <v>0</v>
      </c>
      <c r="AA231" s="14"/>
      <c r="AB231" s="13" t="s">
        <v>0</v>
      </c>
      <c r="AC231" s="13" t="s">
        <v>0</v>
      </c>
      <c r="AD231" s="13" t="s">
        <v>0</v>
      </c>
      <c r="AE231" s="15">
        <v>0</v>
      </c>
    </row>
    <row r="232" spans="1:31" ht="14.15" customHeight="1" x14ac:dyDescent="0.25">
      <c r="A232" s="12" t="s">
        <v>0</v>
      </c>
      <c r="B232" s="13" t="s">
        <v>1</v>
      </c>
      <c r="C232" s="13" t="s">
        <v>1364</v>
      </c>
      <c r="D232" s="14">
        <v>44151</v>
      </c>
      <c r="E232" s="14">
        <v>44151</v>
      </c>
      <c r="F232" s="14">
        <v>44154</v>
      </c>
      <c r="G232" s="13" t="s">
        <v>3</v>
      </c>
      <c r="H232" s="13" t="s">
        <v>4</v>
      </c>
      <c r="I232" s="15">
        <v>-58876.23</v>
      </c>
      <c r="J232" s="13" t="s">
        <v>5</v>
      </c>
      <c r="K232" s="13" t="s">
        <v>6</v>
      </c>
      <c r="L232" s="15">
        <v>-4942659.51</v>
      </c>
      <c r="M232" s="15">
        <v>-58876.23</v>
      </c>
      <c r="N232" s="16" t="str">
        <f>IF(M232="","",IF(M232&lt;0,-M232&amp;"_"&amp;COUNTIF(M$2:M232,M232),M232&amp;"_"&amp;COUNTIF(M$2:M232,M232)))</f>
        <v>58876.23_1</v>
      </c>
      <c r="O232" s="17" t="str">
        <f t="shared" si="3"/>
        <v/>
      </c>
      <c r="P232" s="13" t="s">
        <v>1365</v>
      </c>
      <c r="Q232" s="13" t="s">
        <v>1363</v>
      </c>
      <c r="R232" s="13" t="s">
        <v>0</v>
      </c>
      <c r="S232" s="13" t="s">
        <v>0</v>
      </c>
      <c r="T232" s="13" t="s">
        <v>9</v>
      </c>
      <c r="U232" s="13" t="s">
        <v>0</v>
      </c>
      <c r="V232" s="13" t="s">
        <v>0</v>
      </c>
      <c r="W232" s="13" t="s">
        <v>0</v>
      </c>
      <c r="X232" s="13" t="s">
        <v>0</v>
      </c>
      <c r="Y232" s="13" t="s">
        <v>10</v>
      </c>
      <c r="Z232" s="13" t="s">
        <v>0</v>
      </c>
      <c r="AA232" s="14"/>
      <c r="AB232" s="13" t="s">
        <v>0</v>
      </c>
      <c r="AC232" s="13" t="s">
        <v>0</v>
      </c>
      <c r="AD232" s="13" t="s">
        <v>0</v>
      </c>
      <c r="AE232" s="15">
        <v>0</v>
      </c>
    </row>
    <row r="233" spans="1:31" ht="14.15" customHeight="1" x14ac:dyDescent="0.25">
      <c r="A233" s="12" t="s">
        <v>0</v>
      </c>
      <c r="B233" s="13" t="s">
        <v>1</v>
      </c>
      <c r="C233" s="13" t="s">
        <v>414</v>
      </c>
      <c r="D233" s="14">
        <v>44063</v>
      </c>
      <c r="E233" s="14">
        <v>44063</v>
      </c>
      <c r="F233" s="14">
        <v>44069</v>
      </c>
      <c r="G233" s="13" t="s">
        <v>3</v>
      </c>
      <c r="H233" s="13" t="s">
        <v>4</v>
      </c>
      <c r="I233" s="15">
        <v>-58788.49</v>
      </c>
      <c r="J233" s="13" t="s">
        <v>5</v>
      </c>
      <c r="K233" s="13" t="s">
        <v>6</v>
      </c>
      <c r="L233" s="15">
        <v>-4935293.74</v>
      </c>
      <c r="M233" s="15">
        <v>-58788.49</v>
      </c>
      <c r="N233" s="16" t="str">
        <f>IF(M233="","",IF(M233&lt;0,-M233&amp;"_"&amp;COUNTIF(M$2:M233,M233),M233&amp;"_"&amp;COUNTIF(M$2:M233,M233)))</f>
        <v>58788.49_1</v>
      </c>
      <c r="O233" s="17" t="str">
        <f t="shared" si="3"/>
        <v/>
      </c>
      <c r="P233" s="13" t="s">
        <v>415</v>
      </c>
      <c r="Q233" s="13" t="s">
        <v>416</v>
      </c>
      <c r="R233" s="13" t="s">
        <v>0</v>
      </c>
      <c r="S233" s="13" t="s">
        <v>0</v>
      </c>
      <c r="T233" s="13" t="s">
        <v>9</v>
      </c>
      <c r="U233" s="13" t="s">
        <v>0</v>
      </c>
      <c r="V233" s="13" t="s">
        <v>0</v>
      </c>
      <c r="W233" s="13" t="s">
        <v>0</v>
      </c>
      <c r="X233" s="13" t="s">
        <v>0</v>
      </c>
      <c r="Y233" s="13" t="s">
        <v>10</v>
      </c>
      <c r="Z233" s="13" t="s">
        <v>0</v>
      </c>
      <c r="AA233" s="14"/>
      <c r="AB233" s="13" t="s">
        <v>0</v>
      </c>
      <c r="AC233" s="13" t="s">
        <v>0</v>
      </c>
      <c r="AD233" s="13" t="s">
        <v>0</v>
      </c>
      <c r="AE233" s="15">
        <v>0</v>
      </c>
    </row>
    <row r="234" spans="1:31" ht="14.15" customHeight="1" x14ac:dyDescent="0.25">
      <c r="A234" s="12" t="s">
        <v>0</v>
      </c>
      <c r="B234" s="13" t="s">
        <v>1</v>
      </c>
      <c r="C234" s="13" t="s">
        <v>1174</v>
      </c>
      <c r="D234" s="14">
        <v>44140</v>
      </c>
      <c r="E234" s="14">
        <v>44140</v>
      </c>
      <c r="F234" s="14">
        <v>44145</v>
      </c>
      <c r="G234" s="13" t="s">
        <v>3</v>
      </c>
      <c r="H234" s="13" t="s">
        <v>4</v>
      </c>
      <c r="I234" s="15">
        <v>-58711.69</v>
      </c>
      <c r="J234" s="13" t="s">
        <v>5</v>
      </c>
      <c r="K234" s="13" t="s">
        <v>6</v>
      </c>
      <c r="L234" s="15">
        <v>-4928846.38</v>
      </c>
      <c r="M234" s="15">
        <v>-58711.69</v>
      </c>
      <c r="N234" s="16" t="str">
        <f>IF(M234="","",IF(M234&lt;0,-M234&amp;"_"&amp;COUNTIF(M$2:M234,M234),M234&amp;"_"&amp;COUNTIF(M$2:M234,M234)))</f>
        <v>58711.69_1</v>
      </c>
      <c r="O234" s="17" t="str">
        <f t="shared" si="3"/>
        <v/>
      </c>
      <c r="P234" s="13" t="s">
        <v>1175</v>
      </c>
      <c r="Q234" s="13" t="s">
        <v>1165</v>
      </c>
      <c r="R234" s="13" t="s">
        <v>0</v>
      </c>
      <c r="S234" s="13" t="s">
        <v>0</v>
      </c>
      <c r="T234" s="13" t="s">
        <v>9</v>
      </c>
      <c r="U234" s="13" t="s">
        <v>0</v>
      </c>
      <c r="V234" s="13" t="s">
        <v>0</v>
      </c>
      <c r="W234" s="13" t="s">
        <v>0</v>
      </c>
      <c r="X234" s="13" t="s">
        <v>0</v>
      </c>
      <c r="Y234" s="13" t="s">
        <v>10</v>
      </c>
      <c r="Z234" s="13" t="s">
        <v>0</v>
      </c>
      <c r="AA234" s="14"/>
      <c r="AB234" s="13" t="s">
        <v>0</v>
      </c>
      <c r="AC234" s="13" t="s">
        <v>0</v>
      </c>
      <c r="AD234" s="13" t="s">
        <v>0</v>
      </c>
      <c r="AE234" s="15">
        <v>0</v>
      </c>
    </row>
    <row r="235" spans="1:31" ht="14.15" customHeight="1" x14ac:dyDescent="0.25">
      <c r="A235" s="12" t="s">
        <v>0</v>
      </c>
      <c r="B235" s="13" t="s">
        <v>1</v>
      </c>
      <c r="C235" s="13" t="s">
        <v>438</v>
      </c>
      <c r="D235" s="14">
        <v>44065</v>
      </c>
      <c r="E235" s="14">
        <v>44065</v>
      </c>
      <c r="F235" s="14">
        <v>44068</v>
      </c>
      <c r="G235" s="13" t="s">
        <v>3</v>
      </c>
      <c r="H235" s="13" t="s">
        <v>4</v>
      </c>
      <c r="I235" s="15">
        <v>-58577.91</v>
      </c>
      <c r="J235" s="13" t="s">
        <v>5</v>
      </c>
      <c r="K235" s="13" t="s">
        <v>6</v>
      </c>
      <c r="L235" s="15">
        <v>-4917615.54</v>
      </c>
      <c r="M235" s="15">
        <v>-58577.91</v>
      </c>
      <c r="N235" s="16" t="str">
        <f>IF(M235="","",IF(M235&lt;0,-M235&amp;"_"&amp;COUNTIF(M$2:M235,M235),M235&amp;"_"&amp;COUNTIF(M$2:M235,M235)))</f>
        <v>58577.91_1</v>
      </c>
      <c r="O235" s="17" t="str">
        <f t="shared" si="3"/>
        <v/>
      </c>
      <c r="P235" s="13" t="s">
        <v>439</v>
      </c>
      <c r="Q235" s="13" t="s">
        <v>440</v>
      </c>
      <c r="R235" s="13" t="s">
        <v>0</v>
      </c>
      <c r="S235" s="13" t="s">
        <v>0</v>
      </c>
      <c r="T235" s="13" t="s">
        <v>9</v>
      </c>
      <c r="U235" s="13" t="s">
        <v>0</v>
      </c>
      <c r="V235" s="13" t="s">
        <v>0</v>
      </c>
      <c r="W235" s="13" t="s">
        <v>0</v>
      </c>
      <c r="X235" s="13" t="s">
        <v>0</v>
      </c>
      <c r="Y235" s="13" t="s">
        <v>10</v>
      </c>
      <c r="Z235" s="13" t="s">
        <v>0</v>
      </c>
      <c r="AA235" s="14"/>
      <c r="AB235" s="13" t="s">
        <v>0</v>
      </c>
      <c r="AC235" s="13" t="s">
        <v>0</v>
      </c>
      <c r="AD235" s="13" t="s">
        <v>0</v>
      </c>
      <c r="AE235" s="15">
        <v>0</v>
      </c>
    </row>
    <row r="236" spans="1:31" ht="14.15" customHeight="1" x14ac:dyDescent="0.25">
      <c r="A236" s="12" t="s">
        <v>0</v>
      </c>
      <c r="B236" s="13" t="s">
        <v>1</v>
      </c>
      <c r="C236" s="13" t="s">
        <v>4280</v>
      </c>
      <c r="D236" s="14">
        <v>44370</v>
      </c>
      <c r="E236" s="14">
        <v>44370</v>
      </c>
      <c r="F236" s="14">
        <v>44377</v>
      </c>
      <c r="G236" s="13" t="s">
        <v>3</v>
      </c>
      <c r="H236" s="13" t="s">
        <v>4</v>
      </c>
      <c r="I236" s="15">
        <v>-58204</v>
      </c>
      <c r="J236" s="13" t="s">
        <v>5</v>
      </c>
      <c r="K236" s="13" t="s">
        <v>6</v>
      </c>
      <c r="L236" s="15">
        <v>-4886225.8</v>
      </c>
      <c r="M236" s="15">
        <v>-58204</v>
      </c>
      <c r="N236" s="16" t="str">
        <f>IF(M236="","",IF(M236&lt;0,-M236&amp;"_"&amp;COUNTIF(M$2:M236,M236),M236&amp;"_"&amp;COUNTIF(M$2:M236,M236)))</f>
        <v>58204_1</v>
      </c>
      <c r="O236" s="17" t="str">
        <f t="shared" si="3"/>
        <v/>
      </c>
      <c r="P236" s="13" t="s">
        <v>4281</v>
      </c>
      <c r="Q236" s="13" t="s">
        <v>4269</v>
      </c>
      <c r="R236" s="13" t="s">
        <v>0</v>
      </c>
      <c r="S236" s="13" t="s">
        <v>0</v>
      </c>
      <c r="T236" s="13" t="s">
        <v>9</v>
      </c>
      <c r="U236" s="13" t="s">
        <v>0</v>
      </c>
      <c r="V236" s="13" t="s">
        <v>0</v>
      </c>
      <c r="W236" s="13" t="s">
        <v>0</v>
      </c>
      <c r="X236" s="13" t="s">
        <v>0</v>
      </c>
      <c r="Y236" s="13" t="s">
        <v>10</v>
      </c>
      <c r="Z236" s="13" t="s">
        <v>0</v>
      </c>
      <c r="AA236" s="14"/>
      <c r="AB236" s="13" t="s">
        <v>0</v>
      </c>
      <c r="AC236" s="13" t="s">
        <v>0</v>
      </c>
      <c r="AD236" s="13" t="s">
        <v>0</v>
      </c>
      <c r="AE236" s="15">
        <v>0</v>
      </c>
    </row>
    <row r="237" spans="1:31" ht="14.15" customHeight="1" x14ac:dyDescent="0.25">
      <c r="A237" s="12" t="s">
        <v>0</v>
      </c>
      <c r="B237" s="13" t="s">
        <v>1</v>
      </c>
      <c r="C237" s="13" t="s">
        <v>4031</v>
      </c>
      <c r="D237" s="14">
        <v>44358</v>
      </c>
      <c r="E237" s="14">
        <v>44358</v>
      </c>
      <c r="F237" s="14">
        <v>44364</v>
      </c>
      <c r="G237" s="13" t="s">
        <v>3</v>
      </c>
      <c r="H237" s="13" t="s">
        <v>4</v>
      </c>
      <c r="I237" s="15">
        <v>-58202.89</v>
      </c>
      <c r="J237" s="13" t="s">
        <v>5</v>
      </c>
      <c r="K237" s="13" t="s">
        <v>6</v>
      </c>
      <c r="L237" s="15">
        <v>-4886132.62</v>
      </c>
      <c r="M237" s="15">
        <v>-58202.89</v>
      </c>
      <c r="N237" s="16" t="str">
        <f>IF(M237="","",IF(M237&lt;0,-M237&amp;"_"&amp;COUNTIF(M$2:M237,M237),M237&amp;"_"&amp;COUNTIF(M$2:M237,M237)))</f>
        <v>58202.89_1</v>
      </c>
      <c r="O237" s="17" t="str">
        <f t="shared" si="3"/>
        <v/>
      </c>
      <c r="P237" s="13" t="s">
        <v>4032</v>
      </c>
      <c r="Q237" s="13" t="s">
        <v>4006</v>
      </c>
      <c r="R237" s="13" t="s">
        <v>0</v>
      </c>
      <c r="S237" s="13" t="s">
        <v>0</v>
      </c>
      <c r="T237" s="13" t="s">
        <v>9</v>
      </c>
      <c r="U237" s="13" t="s">
        <v>0</v>
      </c>
      <c r="V237" s="13" t="s">
        <v>0</v>
      </c>
      <c r="W237" s="13" t="s">
        <v>0</v>
      </c>
      <c r="X237" s="13" t="s">
        <v>0</v>
      </c>
      <c r="Y237" s="13" t="s">
        <v>10</v>
      </c>
      <c r="Z237" s="13" t="s">
        <v>0</v>
      </c>
      <c r="AA237" s="14"/>
      <c r="AB237" s="13" t="s">
        <v>0</v>
      </c>
      <c r="AC237" s="13" t="s">
        <v>0</v>
      </c>
      <c r="AD237" s="13" t="s">
        <v>0</v>
      </c>
      <c r="AE237" s="15">
        <v>0</v>
      </c>
    </row>
    <row r="238" spans="1:31" ht="14.15" customHeight="1" x14ac:dyDescent="0.25">
      <c r="A238" s="12" t="s">
        <v>0</v>
      </c>
      <c r="B238" s="13" t="s">
        <v>1</v>
      </c>
      <c r="C238" s="13" t="s">
        <v>429</v>
      </c>
      <c r="D238" s="14">
        <v>44064</v>
      </c>
      <c r="E238" s="14">
        <v>44064</v>
      </c>
      <c r="F238" s="14">
        <v>44069</v>
      </c>
      <c r="G238" s="13" t="s">
        <v>3</v>
      </c>
      <c r="H238" s="13" t="s">
        <v>4</v>
      </c>
      <c r="I238" s="15">
        <v>-57846.33</v>
      </c>
      <c r="J238" s="13" t="s">
        <v>5</v>
      </c>
      <c r="K238" s="13" t="s">
        <v>6</v>
      </c>
      <c r="L238" s="15">
        <v>-4856199.4000000004</v>
      </c>
      <c r="M238" s="15">
        <v>-57846.33</v>
      </c>
      <c r="N238" s="16" t="str">
        <f>IF(M238="","",IF(M238&lt;0,-M238&amp;"_"&amp;COUNTIF(M$2:M238,M238),M238&amp;"_"&amp;COUNTIF(M$2:M238,M238)))</f>
        <v>57846.33_1</v>
      </c>
      <c r="O238" s="17" t="str">
        <f t="shared" si="3"/>
        <v/>
      </c>
      <c r="P238" s="13" t="s">
        <v>430</v>
      </c>
      <c r="Q238" s="13" t="s">
        <v>431</v>
      </c>
      <c r="R238" s="13" t="s">
        <v>0</v>
      </c>
      <c r="S238" s="13" t="s">
        <v>0</v>
      </c>
      <c r="T238" s="13" t="s">
        <v>9</v>
      </c>
      <c r="U238" s="13" t="s">
        <v>0</v>
      </c>
      <c r="V238" s="13" t="s">
        <v>0</v>
      </c>
      <c r="W238" s="13" t="s">
        <v>0</v>
      </c>
      <c r="X238" s="13" t="s">
        <v>0</v>
      </c>
      <c r="Y238" s="13" t="s">
        <v>10</v>
      </c>
      <c r="Z238" s="13" t="s">
        <v>0</v>
      </c>
      <c r="AA238" s="14"/>
      <c r="AB238" s="13" t="s">
        <v>0</v>
      </c>
      <c r="AC238" s="13" t="s">
        <v>0</v>
      </c>
      <c r="AD238" s="13" t="s">
        <v>0</v>
      </c>
      <c r="AE238" s="15">
        <v>0</v>
      </c>
    </row>
    <row r="239" spans="1:31" ht="14.15" customHeight="1" x14ac:dyDescent="0.25">
      <c r="A239" s="12" t="s">
        <v>0</v>
      </c>
      <c r="B239" s="13" t="s">
        <v>1</v>
      </c>
      <c r="C239" s="13" t="s">
        <v>432</v>
      </c>
      <c r="D239" s="14">
        <v>44064</v>
      </c>
      <c r="E239" s="14">
        <v>44064</v>
      </c>
      <c r="F239" s="14">
        <v>44069</v>
      </c>
      <c r="G239" s="13" t="s">
        <v>3</v>
      </c>
      <c r="H239" s="13" t="s">
        <v>4</v>
      </c>
      <c r="I239" s="15">
        <v>-57683.26</v>
      </c>
      <c r="J239" s="13" t="s">
        <v>5</v>
      </c>
      <c r="K239" s="13" t="s">
        <v>6</v>
      </c>
      <c r="L239" s="15">
        <v>-4842509.68</v>
      </c>
      <c r="M239" s="15">
        <v>-57683.26</v>
      </c>
      <c r="N239" s="16" t="str">
        <f>IF(M239="","",IF(M239&lt;0,-M239&amp;"_"&amp;COUNTIF(M$2:M239,M239),M239&amp;"_"&amp;COUNTIF(M$2:M239,M239)))</f>
        <v>57683.26_1</v>
      </c>
      <c r="O239" s="17" t="str">
        <f t="shared" si="3"/>
        <v/>
      </c>
      <c r="P239" s="13" t="s">
        <v>433</v>
      </c>
      <c r="Q239" s="13" t="s">
        <v>431</v>
      </c>
      <c r="R239" s="13" t="s">
        <v>0</v>
      </c>
      <c r="S239" s="13" t="s">
        <v>0</v>
      </c>
      <c r="T239" s="13" t="s">
        <v>9</v>
      </c>
      <c r="U239" s="13" t="s">
        <v>0</v>
      </c>
      <c r="V239" s="13" t="s">
        <v>0</v>
      </c>
      <c r="W239" s="13" t="s">
        <v>0</v>
      </c>
      <c r="X239" s="13" t="s">
        <v>0</v>
      </c>
      <c r="Y239" s="13" t="s">
        <v>10</v>
      </c>
      <c r="Z239" s="13" t="s">
        <v>0</v>
      </c>
      <c r="AA239" s="14"/>
      <c r="AB239" s="13" t="s">
        <v>0</v>
      </c>
      <c r="AC239" s="13" t="s">
        <v>0</v>
      </c>
      <c r="AD239" s="13" t="s">
        <v>0</v>
      </c>
      <c r="AE239" s="15">
        <v>0</v>
      </c>
    </row>
    <row r="240" spans="1:31" ht="14.15" customHeight="1" x14ac:dyDescent="0.25">
      <c r="A240" s="12" t="s">
        <v>0</v>
      </c>
      <c r="B240" s="13" t="s">
        <v>1</v>
      </c>
      <c r="C240" s="13" t="s">
        <v>2520</v>
      </c>
      <c r="D240" s="14">
        <v>44237</v>
      </c>
      <c r="E240" s="14">
        <v>44237</v>
      </c>
      <c r="F240" s="14">
        <v>44243</v>
      </c>
      <c r="G240" s="13" t="s">
        <v>3</v>
      </c>
      <c r="H240" s="13" t="s">
        <v>4</v>
      </c>
      <c r="I240" s="15">
        <v>-57647.81</v>
      </c>
      <c r="J240" s="13" t="s">
        <v>5</v>
      </c>
      <c r="K240" s="13" t="s">
        <v>6</v>
      </c>
      <c r="L240" s="15">
        <v>-4839533.6500000004</v>
      </c>
      <c r="M240" s="15">
        <v>-57647.81</v>
      </c>
      <c r="N240" s="16" t="str">
        <f>IF(M240="","",IF(M240&lt;0,-M240&amp;"_"&amp;COUNTIF(M$2:M240,M240),M240&amp;"_"&amp;COUNTIF(M$2:M240,M240)))</f>
        <v>57647.81_1</v>
      </c>
      <c r="O240" s="17" t="str">
        <f t="shared" si="3"/>
        <v/>
      </c>
      <c r="P240" s="13" t="s">
        <v>2521</v>
      </c>
      <c r="Q240" s="13" t="s">
        <v>2517</v>
      </c>
      <c r="R240" s="13" t="s">
        <v>0</v>
      </c>
      <c r="S240" s="13" t="s">
        <v>0</v>
      </c>
      <c r="T240" s="13" t="s">
        <v>9</v>
      </c>
      <c r="U240" s="13" t="s">
        <v>0</v>
      </c>
      <c r="V240" s="13" t="s">
        <v>0</v>
      </c>
      <c r="W240" s="13" t="s">
        <v>0</v>
      </c>
      <c r="X240" s="13" t="s">
        <v>0</v>
      </c>
      <c r="Y240" s="13" t="s">
        <v>10</v>
      </c>
      <c r="Z240" s="13" t="s">
        <v>0</v>
      </c>
      <c r="AA240" s="14"/>
      <c r="AB240" s="13" t="s">
        <v>0</v>
      </c>
      <c r="AC240" s="13" t="s">
        <v>0</v>
      </c>
      <c r="AD240" s="13" t="s">
        <v>0</v>
      </c>
      <c r="AE240" s="15">
        <v>0</v>
      </c>
    </row>
    <row r="241" spans="1:31" ht="14.15" customHeight="1" x14ac:dyDescent="0.25">
      <c r="A241" s="12" t="s">
        <v>0</v>
      </c>
      <c r="B241" s="13" t="s">
        <v>1</v>
      </c>
      <c r="C241" s="13" t="s">
        <v>735</v>
      </c>
      <c r="D241" s="14">
        <v>44095</v>
      </c>
      <c r="E241" s="14">
        <v>44095</v>
      </c>
      <c r="F241" s="14">
        <v>44100</v>
      </c>
      <c r="G241" s="13" t="s">
        <v>3</v>
      </c>
      <c r="H241" s="13" t="s">
        <v>4</v>
      </c>
      <c r="I241" s="15">
        <v>-57582.31</v>
      </c>
      <c r="J241" s="13" t="s">
        <v>5</v>
      </c>
      <c r="K241" s="13" t="s">
        <v>6</v>
      </c>
      <c r="L241" s="15">
        <v>-4834034.92</v>
      </c>
      <c r="M241" s="15">
        <v>-57582.31</v>
      </c>
      <c r="N241" s="16" t="str">
        <f>IF(M241="","",IF(M241&lt;0,-M241&amp;"_"&amp;COUNTIF(M$2:M241,M241),M241&amp;"_"&amp;COUNTIF(M$2:M241,M241)))</f>
        <v>57582.31_1</v>
      </c>
      <c r="O241" s="17" t="str">
        <f t="shared" si="3"/>
        <v/>
      </c>
      <c r="P241" s="13" t="s">
        <v>736</v>
      </c>
      <c r="Q241" s="13" t="s">
        <v>726</v>
      </c>
      <c r="R241" s="13" t="s">
        <v>0</v>
      </c>
      <c r="S241" s="13" t="s">
        <v>0</v>
      </c>
      <c r="T241" s="13" t="s">
        <v>9</v>
      </c>
      <c r="U241" s="13" t="s">
        <v>0</v>
      </c>
      <c r="V241" s="13" t="s">
        <v>0</v>
      </c>
      <c r="W241" s="13" t="s">
        <v>0</v>
      </c>
      <c r="X241" s="13" t="s">
        <v>0</v>
      </c>
      <c r="Y241" s="13" t="s">
        <v>10</v>
      </c>
      <c r="Z241" s="13" t="s">
        <v>0</v>
      </c>
      <c r="AA241" s="14"/>
      <c r="AB241" s="13" t="s">
        <v>0</v>
      </c>
      <c r="AC241" s="13" t="s">
        <v>0</v>
      </c>
      <c r="AD241" s="13" t="s">
        <v>0</v>
      </c>
      <c r="AE241" s="15">
        <v>0</v>
      </c>
    </row>
    <row r="242" spans="1:31" ht="14.15" customHeight="1" x14ac:dyDescent="0.25">
      <c r="A242" s="12" t="s">
        <v>0</v>
      </c>
      <c r="B242" s="13" t="s">
        <v>1</v>
      </c>
      <c r="C242" s="13" t="s">
        <v>1979</v>
      </c>
      <c r="D242" s="14">
        <v>44196</v>
      </c>
      <c r="E242" s="14">
        <v>44196</v>
      </c>
      <c r="F242" s="14">
        <v>44201</v>
      </c>
      <c r="G242" s="13" t="s">
        <v>3</v>
      </c>
      <c r="H242" s="13" t="s">
        <v>4</v>
      </c>
      <c r="I242" s="15">
        <v>-57509.05</v>
      </c>
      <c r="J242" s="13" t="s">
        <v>5</v>
      </c>
      <c r="K242" s="13" t="s">
        <v>6</v>
      </c>
      <c r="L242" s="15">
        <v>-4827884.75</v>
      </c>
      <c r="M242" s="15">
        <v>-57509.05</v>
      </c>
      <c r="N242" s="16" t="str">
        <f>IF(M242="","",IF(M242&lt;0,-M242&amp;"_"&amp;COUNTIF(M$2:M242,M242),M242&amp;"_"&amp;COUNTIF(M$2:M242,M242)))</f>
        <v>57509.05_1</v>
      </c>
      <c r="O242" s="17" t="str">
        <f t="shared" si="3"/>
        <v/>
      </c>
      <c r="P242" s="13" t="s">
        <v>1980</v>
      </c>
      <c r="Q242" s="13" t="s">
        <v>1976</v>
      </c>
      <c r="R242" s="13" t="s">
        <v>0</v>
      </c>
      <c r="S242" s="13" t="s">
        <v>0</v>
      </c>
      <c r="T242" s="13" t="s">
        <v>9</v>
      </c>
      <c r="U242" s="13" t="s">
        <v>0</v>
      </c>
      <c r="V242" s="13" t="s">
        <v>0</v>
      </c>
      <c r="W242" s="13" t="s">
        <v>0</v>
      </c>
      <c r="X242" s="13" t="s">
        <v>0</v>
      </c>
      <c r="Y242" s="13" t="s">
        <v>10</v>
      </c>
      <c r="Z242" s="13" t="s">
        <v>0</v>
      </c>
      <c r="AA242" s="14"/>
      <c r="AB242" s="13" t="s">
        <v>0</v>
      </c>
      <c r="AC242" s="13" t="s">
        <v>0</v>
      </c>
      <c r="AD242" s="13" t="s">
        <v>0</v>
      </c>
      <c r="AE242" s="15">
        <v>0</v>
      </c>
    </row>
    <row r="243" spans="1:31" ht="14.15" customHeight="1" x14ac:dyDescent="0.25">
      <c r="A243" s="12" t="s">
        <v>0</v>
      </c>
      <c r="B243" s="13" t="s">
        <v>1</v>
      </c>
      <c r="C243" s="13" t="s">
        <v>369</v>
      </c>
      <c r="D243" s="14">
        <v>44053</v>
      </c>
      <c r="E243" s="14">
        <v>44053</v>
      </c>
      <c r="F243" s="14">
        <v>44059</v>
      </c>
      <c r="G243" s="13" t="s">
        <v>3</v>
      </c>
      <c r="H243" s="13" t="s">
        <v>4</v>
      </c>
      <c r="I243" s="15">
        <v>-57470.55</v>
      </c>
      <c r="J243" s="13" t="s">
        <v>5</v>
      </c>
      <c r="K243" s="13" t="s">
        <v>6</v>
      </c>
      <c r="L243" s="15">
        <v>-4824652.67</v>
      </c>
      <c r="M243" s="15">
        <v>-57470.55</v>
      </c>
      <c r="N243" s="16" t="str">
        <f>IF(M243="","",IF(M243&lt;0,-M243&amp;"_"&amp;COUNTIF(M$2:M243,M243),M243&amp;"_"&amp;COUNTIF(M$2:M243,M243)))</f>
        <v>57470.55_1</v>
      </c>
      <c r="O243" s="17" t="str">
        <f t="shared" si="3"/>
        <v/>
      </c>
      <c r="P243" s="13" t="s">
        <v>370</v>
      </c>
      <c r="Q243" s="13" t="s">
        <v>371</v>
      </c>
      <c r="R243" s="13" t="s">
        <v>0</v>
      </c>
      <c r="S243" s="13" t="s">
        <v>0</v>
      </c>
      <c r="T243" s="13" t="s">
        <v>9</v>
      </c>
      <c r="U243" s="13" t="s">
        <v>0</v>
      </c>
      <c r="V243" s="13" t="s">
        <v>0</v>
      </c>
      <c r="W243" s="13" t="s">
        <v>0</v>
      </c>
      <c r="X243" s="13" t="s">
        <v>0</v>
      </c>
      <c r="Y243" s="13" t="s">
        <v>10</v>
      </c>
      <c r="Z243" s="13" t="s">
        <v>0</v>
      </c>
      <c r="AA243" s="14"/>
      <c r="AB243" s="13" t="s">
        <v>0</v>
      </c>
      <c r="AC243" s="13" t="s">
        <v>0</v>
      </c>
      <c r="AD243" s="13" t="s">
        <v>0</v>
      </c>
      <c r="AE243" s="15">
        <v>0</v>
      </c>
    </row>
    <row r="244" spans="1:31" ht="14.15" customHeight="1" x14ac:dyDescent="0.25">
      <c r="A244" s="12" t="s">
        <v>0</v>
      </c>
      <c r="B244" s="13" t="s">
        <v>1</v>
      </c>
      <c r="C244" s="13" t="s">
        <v>2677</v>
      </c>
      <c r="D244" s="14">
        <v>44253</v>
      </c>
      <c r="E244" s="14">
        <v>44253</v>
      </c>
      <c r="F244" s="14">
        <v>44258</v>
      </c>
      <c r="G244" s="13" t="s">
        <v>3</v>
      </c>
      <c r="H244" s="13" t="s">
        <v>4</v>
      </c>
      <c r="I244" s="15">
        <v>-57126.36</v>
      </c>
      <c r="J244" s="13" t="s">
        <v>5</v>
      </c>
      <c r="K244" s="13" t="s">
        <v>6</v>
      </c>
      <c r="L244" s="15">
        <v>-4795757.92</v>
      </c>
      <c r="M244" s="15">
        <v>-57126.36</v>
      </c>
      <c r="N244" s="16" t="str">
        <f>IF(M244="","",IF(M244&lt;0,-M244&amp;"_"&amp;COUNTIF(M$2:M244,M244),M244&amp;"_"&amp;COUNTIF(M$2:M244,M244)))</f>
        <v>57126.36_1</v>
      </c>
      <c r="O244" s="17" t="str">
        <f t="shared" si="3"/>
        <v/>
      </c>
      <c r="P244" s="13" t="s">
        <v>2678</v>
      </c>
      <c r="Q244" s="13" t="s">
        <v>2660</v>
      </c>
      <c r="R244" s="13" t="s">
        <v>0</v>
      </c>
      <c r="S244" s="13" t="s">
        <v>0</v>
      </c>
      <c r="T244" s="13" t="s">
        <v>9</v>
      </c>
      <c r="U244" s="13" t="s">
        <v>0</v>
      </c>
      <c r="V244" s="13" t="s">
        <v>0</v>
      </c>
      <c r="W244" s="13" t="s">
        <v>0</v>
      </c>
      <c r="X244" s="13" t="s">
        <v>0</v>
      </c>
      <c r="Y244" s="13" t="s">
        <v>10</v>
      </c>
      <c r="Z244" s="13" t="s">
        <v>0</v>
      </c>
      <c r="AA244" s="14"/>
      <c r="AB244" s="13" t="s">
        <v>0</v>
      </c>
      <c r="AC244" s="13" t="s">
        <v>0</v>
      </c>
      <c r="AD244" s="13" t="s">
        <v>0</v>
      </c>
      <c r="AE244" s="15">
        <v>0</v>
      </c>
    </row>
    <row r="245" spans="1:31" ht="14.15" customHeight="1" x14ac:dyDescent="0.25">
      <c r="A245" s="12" t="s">
        <v>0</v>
      </c>
      <c r="B245" s="13" t="s">
        <v>1</v>
      </c>
      <c r="C245" s="13" t="s">
        <v>32</v>
      </c>
      <c r="D245" s="14">
        <v>44015</v>
      </c>
      <c r="E245" s="14">
        <v>44015</v>
      </c>
      <c r="F245" s="14">
        <v>44030</v>
      </c>
      <c r="G245" s="13" t="s">
        <v>3</v>
      </c>
      <c r="H245" s="13" t="s">
        <v>4</v>
      </c>
      <c r="I245" s="15">
        <v>-57125.14</v>
      </c>
      <c r="J245" s="13" t="s">
        <v>5</v>
      </c>
      <c r="K245" s="13" t="s">
        <v>6</v>
      </c>
      <c r="L245" s="15">
        <v>-4795655.5</v>
      </c>
      <c r="M245" s="15">
        <v>-57125.14</v>
      </c>
      <c r="N245" s="16" t="str">
        <f>IF(M245="","",IF(M245&lt;0,-M245&amp;"_"&amp;COUNTIF(M$2:M245,M245),M245&amp;"_"&amp;COUNTIF(M$2:M245,M245)))</f>
        <v>57125.14_1</v>
      </c>
      <c r="O245" s="17" t="str">
        <f t="shared" si="3"/>
        <v/>
      </c>
      <c r="P245" s="13" t="s">
        <v>33</v>
      </c>
      <c r="Q245" s="13" t="s">
        <v>27</v>
      </c>
      <c r="R245" s="13" t="s">
        <v>0</v>
      </c>
      <c r="S245" s="13" t="s">
        <v>0</v>
      </c>
      <c r="T245" s="13" t="s">
        <v>9</v>
      </c>
      <c r="U245" s="13" t="s">
        <v>0</v>
      </c>
      <c r="V245" s="13" t="s">
        <v>0</v>
      </c>
      <c r="W245" s="13" t="s">
        <v>0</v>
      </c>
      <c r="X245" s="13" t="s">
        <v>0</v>
      </c>
      <c r="Y245" s="13" t="s">
        <v>10</v>
      </c>
      <c r="Z245" s="13" t="s">
        <v>0</v>
      </c>
      <c r="AA245" s="14"/>
      <c r="AB245" s="13" t="s">
        <v>0</v>
      </c>
      <c r="AC245" s="13" t="s">
        <v>0</v>
      </c>
      <c r="AD245" s="13" t="s">
        <v>0</v>
      </c>
      <c r="AE245" s="15">
        <v>0</v>
      </c>
    </row>
    <row r="246" spans="1:31" ht="14.15" customHeight="1" x14ac:dyDescent="0.25">
      <c r="A246" s="12" t="s">
        <v>0</v>
      </c>
      <c r="B246" s="13" t="s">
        <v>1</v>
      </c>
      <c r="C246" s="13" t="s">
        <v>4321</v>
      </c>
      <c r="D246" s="14">
        <v>44372</v>
      </c>
      <c r="E246" s="14">
        <v>44372</v>
      </c>
      <c r="F246" s="14">
        <v>44377</v>
      </c>
      <c r="G246" s="13" t="s">
        <v>3</v>
      </c>
      <c r="H246" s="13" t="s">
        <v>4</v>
      </c>
      <c r="I246" s="15">
        <v>-57113.22</v>
      </c>
      <c r="J246" s="13" t="s">
        <v>5</v>
      </c>
      <c r="K246" s="13" t="s">
        <v>6</v>
      </c>
      <c r="L246" s="15">
        <v>-4794654.82</v>
      </c>
      <c r="M246" s="15">
        <v>-57113.22</v>
      </c>
      <c r="N246" s="16" t="str">
        <f>IF(M246="","",IF(M246&lt;0,-M246&amp;"_"&amp;COUNTIF(M$2:M246,M246),M246&amp;"_"&amp;COUNTIF(M$2:M246,M246)))</f>
        <v>57113.22_1</v>
      </c>
      <c r="O246" s="17" t="str">
        <f t="shared" si="3"/>
        <v/>
      </c>
      <c r="P246" s="13" t="s">
        <v>4322</v>
      </c>
      <c r="Q246" s="13" t="s">
        <v>4312</v>
      </c>
      <c r="R246" s="13" t="s">
        <v>0</v>
      </c>
      <c r="S246" s="13" t="s">
        <v>0</v>
      </c>
      <c r="T246" s="13" t="s">
        <v>9</v>
      </c>
      <c r="U246" s="13" t="s">
        <v>0</v>
      </c>
      <c r="V246" s="13" t="s">
        <v>0</v>
      </c>
      <c r="W246" s="13" t="s">
        <v>0</v>
      </c>
      <c r="X246" s="13" t="s">
        <v>0</v>
      </c>
      <c r="Y246" s="13" t="s">
        <v>10</v>
      </c>
      <c r="Z246" s="13" t="s">
        <v>0</v>
      </c>
      <c r="AA246" s="14"/>
      <c r="AB246" s="13" t="s">
        <v>0</v>
      </c>
      <c r="AC246" s="13" t="s">
        <v>0</v>
      </c>
      <c r="AD246" s="13" t="s">
        <v>0</v>
      </c>
      <c r="AE246" s="15">
        <v>0</v>
      </c>
    </row>
    <row r="247" spans="1:31" ht="14.15" customHeight="1" x14ac:dyDescent="0.25">
      <c r="A247" s="12" t="s">
        <v>0</v>
      </c>
      <c r="B247" s="13" t="s">
        <v>1</v>
      </c>
      <c r="C247" s="13" t="s">
        <v>419</v>
      </c>
      <c r="D247" s="14">
        <v>44063</v>
      </c>
      <c r="E247" s="14">
        <v>44063</v>
      </c>
      <c r="F247" s="14">
        <v>44069</v>
      </c>
      <c r="G247" s="13" t="s">
        <v>3</v>
      </c>
      <c r="H247" s="13" t="s">
        <v>4</v>
      </c>
      <c r="I247" s="15">
        <v>-57064.93</v>
      </c>
      <c r="J247" s="13" t="s">
        <v>5</v>
      </c>
      <c r="K247" s="13" t="s">
        <v>6</v>
      </c>
      <c r="L247" s="15">
        <v>-4790600.87</v>
      </c>
      <c r="M247" s="15">
        <v>-57064.93</v>
      </c>
      <c r="N247" s="16" t="str">
        <f>IF(M247="","",IF(M247&lt;0,-M247&amp;"_"&amp;COUNTIF(M$2:M247,M247),M247&amp;"_"&amp;COUNTIF(M$2:M247,M247)))</f>
        <v>57064.93_1</v>
      </c>
      <c r="O247" s="17" t="str">
        <f t="shared" si="3"/>
        <v/>
      </c>
      <c r="P247" s="13" t="s">
        <v>420</v>
      </c>
      <c r="Q247" s="13" t="s">
        <v>416</v>
      </c>
      <c r="R247" s="13" t="s">
        <v>0</v>
      </c>
      <c r="S247" s="13" t="s">
        <v>0</v>
      </c>
      <c r="T247" s="13" t="s">
        <v>9</v>
      </c>
      <c r="U247" s="13" t="s">
        <v>0</v>
      </c>
      <c r="V247" s="13" t="s">
        <v>0</v>
      </c>
      <c r="W247" s="13" t="s">
        <v>0</v>
      </c>
      <c r="X247" s="13" t="s">
        <v>0</v>
      </c>
      <c r="Y247" s="13" t="s">
        <v>10</v>
      </c>
      <c r="Z247" s="13" t="s">
        <v>0</v>
      </c>
      <c r="AA247" s="14"/>
      <c r="AB247" s="13" t="s">
        <v>0</v>
      </c>
      <c r="AC247" s="13" t="s">
        <v>0</v>
      </c>
      <c r="AD247" s="13" t="s">
        <v>0</v>
      </c>
      <c r="AE247" s="15">
        <v>0</v>
      </c>
    </row>
    <row r="248" spans="1:31" ht="14.15" customHeight="1" x14ac:dyDescent="0.25">
      <c r="A248" s="12" t="s">
        <v>0</v>
      </c>
      <c r="B248" s="13" t="s">
        <v>1</v>
      </c>
      <c r="C248" s="13" t="s">
        <v>3476</v>
      </c>
      <c r="D248" s="14">
        <v>44320</v>
      </c>
      <c r="E248" s="14">
        <v>44320</v>
      </c>
      <c r="F248" s="14">
        <v>44328</v>
      </c>
      <c r="G248" s="13" t="s">
        <v>3</v>
      </c>
      <c r="H248" s="13" t="s">
        <v>4</v>
      </c>
      <c r="I248" s="15">
        <v>-56926.400000000001</v>
      </c>
      <c r="J248" s="13" t="s">
        <v>5</v>
      </c>
      <c r="K248" s="13" t="s">
        <v>6</v>
      </c>
      <c r="L248" s="15">
        <v>-4778971.28</v>
      </c>
      <c r="M248" s="15">
        <v>-56926.400000000001</v>
      </c>
      <c r="N248" s="16" t="str">
        <f>IF(M248="","",IF(M248&lt;0,-M248&amp;"_"&amp;COUNTIF(M$2:M248,M248),M248&amp;"_"&amp;COUNTIF(M$2:M248,M248)))</f>
        <v>56926.4_1</v>
      </c>
      <c r="O248" s="17" t="str">
        <f t="shared" si="3"/>
        <v/>
      </c>
      <c r="P248" s="13" t="s">
        <v>3477</v>
      </c>
      <c r="Q248" s="13" t="s">
        <v>3453</v>
      </c>
      <c r="R248" s="13" t="s">
        <v>0</v>
      </c>
      <c r="S248" s="13" t="s">
        <v>0</v>
      </c>
      <c r="T248" s="13" t="s">
        <v>9</v>
      </c>
      <c r="U248" s="13" t="s">
        <v>0</v>
      </c>
      <c r="V248" s="13" t="s">
        <v>0</v>
      </c>
      <c r="W248" s="13" t="s">
        <v>0</v>
      </c>
      <c r="X248" s="13" t="s">
        <v>0</v>
      </c>
      <c r="Y248" s="13" t="s">
        <v>10</v>
      </c>
      <c r="Z248" s="13" t="s">
        <v>0</v>
      </c>
      <c r="AA248" s="14"/>
      <c r="AB248" s="13" t="s">
        <v>0</v>
      </c>
      <c r="AC248" s="13" t="s">
        <v>0</v>
      </c>
      <c r="AD248" s="13" t="s">
        <v>0</v>
      </c>
      <c r="AE248" s="15">
        <v>0</v>
      </c>
    </row>
    <row r="249" spans="1:31" ht="14.15" customHeight="1" x14ac:dyDescent="0.25">
      <c r="A249" s="12" t="s">
        <v>0</v>
      </c>
      <c r="B249" s="13" t="s">
        <v>1</v>
      </c>
      <c r="C249" s="13" t="s">
        <v>4317</v>
      </c>
      <c r="D249" s="14">
        <v>44372</v>
      </c>
      <c r="E249" s="14">
        <v>44372</v>
      </c>
      <c r="F249" s="14">
        <v>44376</v>
      </c>
      <c r="G249" s="13" t="s">
        <v>3</v>
      </c>
      <c r="H249" s="13" t="s">
        <v>4</v>
      </c>
      <c r="I249" s="15">
        <v>-56784</v>
      </c>
      <c r="J249" s="13" t="s">
        <v>5</v>
      </c>
      <c r="K249" s="13" t="s">
        <v>6</v>
      </c>
      <c r="L249" s="15">
        <v>-4767016.8</v>
      </c>
      <c r="M249" s="15">
        <v>-56784</v>
      </c>
      <c r="N249" s="16" t="str">
        <f>IF(M249="","",IF(M249&lt;0,-M249&amp;"_"&amp;COUNTIF(M$2:M249,M249),M249&amp;"_"&amp;COUNTIF(M$2:M249,M249)))</f>
        <v>56784_1</v>
      </c>
      <c r="O249" s="17" t="str">
        <f t="shared" si="3"/>
        <v/>
      </c>
      <c r="P249" s="13" t="s">
        <v>4318</v>
      </c>
      <c r="Q249" s="13" t="s">
        <v>4312</v>
      </c>
      <c r="R249" s="13" t="s">
        <v>0</v>
      </c>
      <c r="S249" s="13" t="s">
        <v>0</v>
      </c>
      <c r="T249" s="13" t="s">
        <v>9</v>
      </c>
      <c r="U249" s="13" t="s">
        <v>0</v>
      </c>
      <c r="V249" s="13" t="s">
        <v>0</v>
      </c>
      <c r="W249" s="13" t="s">
        <v>0</v>
      </c>
      <c r="X249" s="13" t="s">
        <v>0</v>
      </c>
      <c r="Y249" s="13" t="s">
        <v>10</v>
      </c>
      <c r="Z249" s="13" t="s">
        <v>0</v>
      </c>
      <c r="AA249" s="14"/>
      <c r="AB249" s="13" t="s">
        <v>0</v>
      </c>
      <c r="AC249" s="13" t="s">
        <v>0</v>
      </c>
      <c r="AD249" s="13" t="s">
        <v>0</v>
      </c>
      <c r="AE249" s="15">
        <v>0</v>
      </c>
    </row>
    <row r="250" spans="1:31" ht="14.15" customHeight="1" x14ac:dyDescent="0.25">
      <c r="A250" s="12" t="s">
        <v>0</v>
      </c>
      <c r="B250" s="13" t="s">
        <v>1</v>
      </c>
      <c r="C250" s="13" t="s">
        <v>1050</v>
      </c>
      <c r="D250" s="14">
        <v>44131</v>
      </c>
      <c r="E250" s="14">
        <v>44131</v>
      </c>
      <c r="F250" s="14">
        <v>44138</v>
      </c>
      <c r="G250" s="13" t="s">
        <v>3</v>
      </c>
      <c r="H250" s="13" t="s">
        <v>4</v>
      </c>
      <c r="I250" s="15">
        <v>-56607.26</v>
      </c>
      <c r="J250" s="13" t="s">
        <v>5</v>
      </c>
      <c r="K250" s="13" t="s">
        <v>6</v>
      </c>
      <c r="L250" s="15">
        <v>-4752179.4800000004</v>
      </c>
      <c r="M250" s="15">
        <v>-56607.26</v>
      </c>
      <c r="N250" s="16" t="str">
        <f>IF(M250="","",IF(M250&lt;0,-M250&amp;"_"&amp;COUNTIF(M$2:M250,M250),M250&amp;"_"&amp;COUNTIF(M$2:M250,M250)))</f>
        <v>56607.26_1</v>
      </c>
      <c r="O250" s="17" t="str">
        <f t="shared" si="3"/>
        <v/>
      </c>
      <c r="P250" s="13" t="s">
        <v>1051</v>
      </c>
      <c r="Q250" s="13" t="s">
        <v>1041</v>
      </c>
      <c r="R250" s="13" t="s">
        <v>0</v>
      </c>
      <c r="S250" s="13" t="s">
        <v>0</v>
      </c>
      <c r="T250" s="13" t="s">
        <v>9</v>
      </c>
      <c r="U250" s="13" t="s">
        <v>0</v>
      </c>
      <c r="V250" s="13" t="s">
        <v>0</v>
      </c>
      <c r="W250" s="13" t="s">
        <v>0</v>
      </c>
      <c r="X250" s="13" t="s">
        <v>0</v>
      </c>
      <c r="Y250" s="13" t="s">
        <v>10</v>
      </c>
      <c r="Z250" s="13" t="s">
        <v>0</v>
      </c>
      <c r="AA250" s="14"/>
      <c r="AB250" s="13" t="s">
        <v>0</v>
      </c>
      <c r="AC250" s="13" t="s">
        <v>0</v>
      </c>
      <c r="AD250" s="13" t="s">
        <v>0</v>
      </c>
      <c r="AE250" s="15">
        <v>0</v>
      </c>
    </row>
    <row r="251" spans="1:31" ht="14.15" customHeight="1" x14ac:dyDescent="0.25">
      <c r="A251" s="12" t="s">
        <v>0</v>
      </c>
      <c r="B251" s="13" t="s">
        <v>1</v>
      </c>
      <c r="C251" s="13" t="s">
        <v>1212</v>
      </c>
      <c r="D251" s="14">
        <v>44140</v>
      </c>
      <c r="E251" s="14">
        <v>44140</v>
      </c>
      <c r="F251" s="14">
        <v>44149</v>
      </c>
      <c r="G251" s="13" t="s">
        <v>3</v>
      </c>
      <c r="H251" s="13" t="s">
        <v>4</v>
      </c>
      <c r="I251" s="15">
        <v>-56524.99</v>
      </c>
      <c r="J251" s="13" t="s">
        <v>5</v>
      </c>
      <c r="K251" s="13" t="s">
        <v>6</v>
      </c>
      <c r="L251" s="15">
        <v>-4745272.91</v>
      </c>
      <c r="M251" s="15">
        <v>-56524.99</v>
      </c>
      <c r="N251" s="16" t="str">
        <f>IF(M251="","",IF(M251&lt;0,-M251&amp;"_"&amp;COUNTIF(M$2:M251,M251),M251&amp;"_"&amp;COUNTIF(M$2:M251,M251)))</f>
        <v>56524.99_1</v>
      </c>
      <c r="O251" s="17" t="str">
        <f t="shared" si="3"/>
        <v/>
      </c>
      <c r="P251" s="13" t="s">
        <v>1213</v>
      </c>
      <c r="Q251" s="13" t="s">
        <v>1165</v>
      </c>
      <c r="R251" s="13" t="s">
        <v>0</v>
      </c>
      <c r="S251" s="13" t="s">
        <v>0</v>
      </c>
      <c r="T251" s="13" t="s">
        <v>9</v>
      </c>
      <c r="U251" s="13" t="s">
        <v>0</v>
      </c>
      <c r="V251" s="13" t="s">
        <v>0</v>
      </c>
      <c r="W251" s="13" t="s">
        <v>0</v>
      </c>
      <c r="X251" s="13" t="s">
        <v>0</v>
      </c>
      <c r="Y251" s="13" t="s">
        <v>10</v>
      </c>
      <c r="Z251" s="13" t="s">
        <v>0</v>
      </c>
      <c r="AA251" s="14"/>
      <c r="AB251" s="13" t="s">
        <v>0</v>
      </c>
      <c r="AC251" s="13" t="s">
        <v>0</v>
      </c>
      <c r="AD251" s="13" t="s">
        <v>0</v>
      </c>
      <c r="AE251" s="15">
        <v>0</v>
      </c>
    </row>
    <row r="252" spans="1:31" ht="14.15" customHeight="1" x14ac:dyDescent="0.25">
      <c r="A252" s="12" t="s">
        <v>0</v>
      </c>
      <c r="B252" s="13" t="s">
        <v>1</v>
      </c>
      <c r="C252" s="13" t="s">
        <v>3079</v>
      </c>
      <c r="D252" s="14">
        <v>44285</v>
      </c>
      <c r="E252" s="14">
        <v>44285</v>
      </c>
      <c r="F252" s="14">
        <v>44290</v>
      </c>
      <c r="G252" s="13" t="s">
        <v>3</v>
      </c>
      <c r="H252" s="13" t="s">
        <v>4</v>
      </c>
      <c r="I252" s="15">
        <v>-56198.65</v>
      </c>
      <c r="J252" s="13" t="s">
        <v>5</v>
      </c>
      <c r="K252" s="13" t="s">
        <v>6</v>
      </c>
      <c r="L252" s="15">
        <v>-4717876.67</v>
      </c>
      <c r="M252" s="15">
        <v>-56198.65</v>
      </c>
      <c r="N252" s="16" t="str">
        <f>IF(M252="","",IF(M252&lt;0,-M252&amp;"_"&amp;COUNTIF(M$2:M252,M252),M252&amp;"_"&amp;COUNTIF(M$2:M252,M252)))</f>
        <v>56198.65_1</v>
      </c>
      <c r="O252" s="17" t="str">
        <f t="shared" si="3"/>
        <v/>
      </c>
      <c r="P252" s="13" t="s">
        <v>3080</v>
      </c>
      <c r="Q252" s="13" t="s">
        <v>3074</v>
      </c>
      <c r="R252" s="13" t="s">
        <v>0</v>
      </c>
      <c r="S252" s="13" t="s">
        <v>0</v>
      </c>
      <c r="T252" s="13" t="s">
        <v>9</v>
      </c>
      <c r="U252" s="13" t="s">
        <v>0</v>
      </c>
      <c r="V252" s="13" t="s">
        <v>0</v>
      </c>
      <c r="W252" s="13" t="s">
        <v>0</v>
      </c>
      <c r="X252" s="13" t="s">
        <v>0</v>
      </c>
      <c r="Y252" s="13" t="s">
        <v>10</v>
      </c>
      <c r="Z252" s="13" t="s">
        <v>0</v>
      </c>
      <c r="AA252" s="14"/>
      <c r="AB252" s="13" t="s">
        <v>0</v>
      </c>
      <c r="AC252" s="13" t="s">
        <v>0</v>
      </c>
      <c r="AD252" s="13" t="s">
        <v>0</v>
      </c>
      <c r="AE252" s="15">
        <v>0</v>
      </c>
    </row>
    <row r="253" spans="1:31" ht="14.15" customHeight="1" x14ac:dyDescent="0.25">
      <c r="A253" s="12" t="s">
        <v>0</v>
      </c>
      <c r="B253" s="13" t="s">
        <v>1</v>
      </c>
      <c r="C253" s="13" t="s">
        <v>98</v>
      </c>
      <c r="D253" s="14">
        <v>44024</v>
      </c>
      <c r="E253" s="14">
        <v>44024</v>
      </c>
      <c r="F253" s="14">
        <v>44028</v>
      </c>
      <c r="G253" s="13" t="s">
        <v>3</v>
      </c>
      <c r="H253" s="13" t="s">
        <v>4</v>
      </c>
      <c r="I253" s="15">
        <v>-56057.66</v>
      </c>
      <c r="J253" s="13" t="s">
        <v>5</v>
      </c>
      <c r="K253" s="13" t="s">
        <v>6</v>
      </c>
      <c r="L253" s="15">
        <v>-4706040.5599999996</v>
      </c>
      <c r="M253" s="15">
        <v>-56057.66</v>
      </c>
      <c r="N253" s="16" t="str">
        <f>IF(M253="","",IF(M253&lt;0,-M253&amp;"_"&amp;COUNTIF(M$2:M253,M253),M253&amp;"_"&amp;COUNTIF(M$2:M253,M253)))</f>
        <v>56057.66_1</v>
      </c>
      <c r="O253" s="17" t="str">
        <f t="shared" si="3"/>
        <v/>
      </c>
      <c r="P253" s="13" t="s">
        <v>99</v>
      </c>
      <c r="Q253" s="13" t="s">
        <v>97</v>
      </c>
      <c r="R253" s="13" t="s">
        <v>0</v>
      </c>
      <c r="S253" s="13" t="s">
        <v>0</v>
      </c>
      <c r="T253" s="13" t="s">
        <v>9</v>
      </c>
      <c r="U253" s="13" t="s">
        <v>0</v>
      </c>
      <c r="V253" s="13" t="s">
        <v>0</v>
      </c>
      <c r="W253" s="13" t="s">
        <v>0</v>
      </c>
      <c r="X253" s="13" t="s">
        <v>0</v>
      </c>
      <c r="Y253" s="13" t="s">
        <v>10</v>
      </c>
      <c r="Z253" s="13" t="s">
        <v>0</v>
      </c>
      <c r="AA253" s="14"/>
      <c r="AB253" s="13" t="s">
        <v>0</v>
      </c>
      <c r="AC253" s="13" t="s">
        <v>0</v>
      </c>
      <c r="AD253" s="13" t="s">
        <v>0</v>
      </c>
      <c r="AE253" s="15">
        <v>0</v>
      </c>
    </row>
    <row r="254" spans="1:31" ht="14.15" customHeight="1" x14ac:dyDescent="0.25">
      <c r="A254" s="12" t="s">
        <v>0</v>
      </c>
      <c r="B254" s="13" t="s">
        <v>1</v>
      </c>
      <c r="C254" s="13" t="s">
        <v>25</v>
      </c>
      <c r="D254" s="14">
        <v>44015</v>
      </c>
      <c r="E254" s="14">
        <v>44015</v>
      </c>
      <c r="F254" s="14">
        <v>44019</v>
      </c>
      <c r="G254" s="13" t="s">
        <v>3</v>
      </c>
      <c r="H254" s="13" t="s">
        <v>4</v>
      </c>
      <c r="I254" s="15">
        <v>-55977.5</v>
      </c>
      <c r="J254" s="13" t="s">
        <v>5</v>
      </c>
      <c r="K254" s="13" t="s">
        <v>6</v>
      </c>
      <c r="L254" s="15">
        <v>-4699311.13</v>
      </c>
      <c r="M254" s="15">
        <v>-55977.5</v>
      </c>
      <c r="N254" s="16" t="str">
        <f>IF(M254="","",IF(M254&lt;0,-M254&amp;"_"&amp;COUNTIF(M$2:M254,M254),M254&amp;"_"&amp;COUNTIF(M$2:M254,M254)))</f>
        <v>55977.5_1</v>
      </c>
      <c r="O254" s="17" t="str">
        <f t="shared" si="3"/>
        <v/>
      </c>
      <c r="P254" s="13" t="s">
        <v>26</v>
      </c>
      <c r="Q254" s="13" t="s">
        <v>27</v>
      </c>
      <c r="R254" s="13" t="s">
        <v>0</v>
      </c>
      <c r="S254" s="13" t="s">
        <v>0</v>
      </c>
      <c r="T254" s="13" t="s">
        <v>9</v>
      </c>
      <c r="U254" s="13" t="s">
        <v>0</v>
      </c>
      <c r="V254" s="13" t="s">
        <v>0</v>
      </c>
      <c r="W254" s="13" t="s">
        <v>0</v>
      </c>
      <c r="X254" s="13" t="s">
        <v>0</v>
      </c>
      <c r="Y254" s="13" t="s">
        <v>10</v>
      </c>
      <c r="Z254" s="13" t="s">
        <v>0</v>
      </c>
      <c r="AA254" s="14"/>
      <c r="AB254" s="13" t="s">
        <v>0</v>
      </c>
      <c r="AC254" s="13" t="s">
        <v>0</v>
      </c>
      <c r="AD254" s="13" t="s">
        <v>0</v>
      </c>
      <c r="AE254" s="15">
        <v>0</v>
      </c>
    </row>
    <row r="255" spans="1:31" ht="14.15" customHeight="1" x14ac:dyDescent="0.25">
      <c r="A255" s="12" t="s">
        <v>0</v>
      </c>
      <c r="B255" s="13" t="s">
        <v>1</v>
      </c>
      <c r="C255" s="13" t="s">
        <v>3631</v>
      </c>
      <c r="D255" s="14">
        <v>44330</v>
      </c>
      <c r="E255" s="14">
        <v>44330</v>
      </c>
      <c r="F255" s="14">
        <v>44336</v>
      </c>
      <c r="G255" s="13" t="s">
        <v>3</v>
      </c>
      <c r="H255" s="13" t="s">
        <v>4</v>
      </c>
      <c r="I255" s="15">
        <v>-55253.61</v>
      </c>
      <c r="J255" s="13" t="s">
        <v>5</v>
      </c>
      <c r="K255" s="13" t="s">
        <v>6</v>
      </c>
      <c r="L255" s="15">
        <v>-4638540.5599999996</v>
      </c>
      <c r="M255" s="15">
        <v>-55253.61</v>
      </c>
      <c r="N255" s="16" t="str">
        <f>IF(M255="","",IF(M255&lt;0,-M255&amp;"_"&amp;COUNTIF(M$2:M255,M255),M255&amp;"_"&amp;COUNTIF(M$2:M255,M255)))</f>
        <v>55253.61_1</v>
      </c>
      <c r="O255" s="17" t="str">
        <f t="shared" si="3"/>
        <v/>
      </c>
      <c r="P255" s="13" t="s">
        <v>3632</v>
      </c>
      <c r="Q255" s="13" t="s">
        <v>3624</v>
      </c>
      <c r="R255" s="13" t="s">
        <v>0</v>
      </c>
      <c r="S255" s="13" t="s">
        <v>0</v>
      </c>
      <c r="T255" s="13" t="s">
        <v>9</v>
      </c>
      <c r="U255" s="13" t="s">
        <v>0</v>
      </c>
      <c r="V255" s="13" t="s">
        <v>0</v>
      </c>
      <c r="W255" s="13" t="s">
        <v>0</v>
      </c>
      <c r="X255" s="13" t="s">
        <v>0</v>
      </c>
      <c r="Y255" s="13" t="s">
        <v>10</v>
      </c>
      <c r="Z255" s="13" t="s">
        <v>0</v>
      </c>
      <c r="AA255" s="14"/>
      <c r="AB255" s="13" t="s">
        <v>0</v>
      </c>
      <c r="AC255" s="13" t="s">
        <v>0</v>
      </c>
      <c r="AD255" s="13" t="s">
        <v>0</v>
      </c>
      <c r="AE255" s="15">
        <v>0</v>
      </c>
    </row>
    <row r="256" spans="1:31" ht="14.15" customHeight="1" x14ac:dyDescent="0.25">
      <c r="A256" s="12" t="s">
        <v>0</v>
      </c>
      <c r="B256" s="13" t="s">
        <v>1</v>
      </c>
      <c r="C256" s="13" t="s">
        <v>690</v>
      </c>
      <c r="D256" s="14">
        <v>44090</v>
      </c>
      <c r="E256" s="14">
        <v>44090</v>
      </c>
      <c r="F256" s="14">
        <v>44096</v>
      </c>
      <c r="G256" s="13" t="s">
        <v>3</v>
      </c>
      <c r="H256" s="13" t="s">
        <v>4</v>
      </c>
      <c r="I256" s="15">
        <v>-54739.3</v>
      </c>
      <c r="J256" s="13" t="s">
        <v>5</v>
      </c>
      <c r="K256" s="13" t="s">
        <v>6</v>
      </c>
      <c r="L256" s="15">
        <v>-4595364.2300000004</v>
      </c>
      <c r="M256" s="15">
        <v>-54739.3</v>
      </c>
      <c r="N256" s="16" t="str">
        <f>IF(M256="","",IF(M256&lt;0,-M256&amp;"_"&amp;COUNTIF(M$2:M256,M256),M256&amp;"_"&amp;COUNTIF(M$2:M256,M256)))</f>
        <v>54739.3_1</v>
      </c>
      <c r="O256" s="17" t="str">
        <f t="shared" si="3"/>
        <v/>
      </c>
      <c r="P256" s="13" t="s">
        <v>691</v>
      </c>
      <c r="Q256" s="13" t="s">
        <v>687</v>
      </c>
      <c r="R256" s="13" t="s">
        <v>0</v>
      </c>
      <c r="S256" s="13" t="s">
        <v>0</v>
      </c>
      <c r="T256" s="13" t="s">
        <v>9</v>
      </c>
      <c r="U256" s="13" t="s">
        <v>0</v>
      </c>
      <c r="V256" s="13" t="s">
        <v>0</v>
      </c>
      <c r="W256" s="13" t="s">
        <v>0</v>
      </c>
      <c r="X256" s="13" t="s">
        <v>0</v>
      </c>
      <c r="Y256" s="13" t="s">
        <v>10</v>
      </c>
      <c r="Z256" s="13" t="s">
        <v>0</v>
      </c>
      <c r="AA256" s="14"/>
      <c r="AB256" s="13" t="s">
        <v>0</v>
      </c>
      <c r="AC256" s="13" t="s">
        <v>0</v>
      </c>
      <c r="AD256" s="13" t="s">
        <v>0</v>
      </c>
      <c r="AE256" s="15">
        <v>0</v>
      </c>
    </row>
    <row r="257" spans="1:31" ht="14.15" customHeight="1" x14ac:dyDescent="0.25">
      <c r="A257" s="12" t="s">
        <v>0</v>
      </c>
      <c r="B257" s="13" t="s">
        <v>1</v>
      </c>
      <c r="C257" s="13" t="s">
        <v>2187</v>
      </c>
      <c r="D257" s="14">
        <v>44210</v>
      </c>
      <c r="E257" s="14">
        <v>44210</v>
      </c>
      <c r="F257" s="14">
        <v>44217</v>
      </c>
      <c r="G257" s="13" t="s">
        <v>3</v>
      </c>
      <c r="H257" s="13" t="s">
        <v>4</v>
      </c>
      <c r="I257" s="15">
        <v>-54591.41</v>
      </c>
      <c r="J257" s="13" t="s">
        <v>5</v>
      </c>
      <c r="K257" s="13" t="s">
        <v>6</v>
      </c>
      <c r="L257" s="15">
        <v>-4582948.87</v>
      </c>
      <c r="M257" s="15">
        <v>-54591.41</v>
      </c>
      <c r="N257" s="16" t="str">
        <f>IF(M257="","",IF(M257&lt;0,-M257&amp;"_"&amp;COUNTIF(M$2:M257,M257),M257&amp;"_"&amp;COUNTIF(M$2:M257,M257)))</f>
        <v>54591.41_1</v>
      </c>
      <c r="O257" s="17" t="str">
        <f t="shared" si="3"/>
        <v/>
      </c>
      <c r="P257" s="13" t="s">
        <v>2188</v>
      </c>
      <c r="Q257" s="13" t="s">
        <v>2176</v>
      </c>
      <c r="R257" s="13" t="s">
        <v>0</v>
      </c>
      <c r="S257" s="13" t="s">
        <v>0</v>
      </c>
      <c r="T257" s="13" t="s">
        <v>9</v>
      </c>
      <c r="U257" s="13" t="s">
        <v>0</v>
      </c>
      <c r="V257" s="13" t="s">
        <v>0</v>
      </c>
      <c r="W257" s="13" t="s">
        <v>0</v>
      </c>
      <c r="X257" s="13" t="s">
        <v>0</v>
      </c>
      <c r="Y257" s="13" t="s">
        <v>10</v>
      </c>
      <c r="Z257" s="13" t="s">
        <v>0</v>
      </c>
      <c r="AA257" s="14"/>
      <c r="AB257" s="13" t="s">
        <v>0</v>
      </c>
      <c r="AC257" s="13" t="s">
        <v>0</v>
      </c>
      <c r="AD257" s="13" t="s">
        <v>0</v>
      </c>
      <c r="AE257" s="15">
        <v>0</v>
      </c>
    </row>
    <row r="258" spans="1:31" ht="14.15" customHeight="1" x14ac:dyDescent="0.25">
      <c r="A258" s="12" t="s">
        <v>0</v>
      </c>
      <c r="B258" s="13" t="s">
        <v>1</v>
      </c>
      <c r="C258" s="13" t="s">
        <v>1198</v>
      </c>
      <c r="D258" s="14">
        <v>44140</v>
      </c>
      <c r="E258" s="14">
        <v>44140</v>
      </c>
      <c r="F258" s="14">
        <v>44146</v>
      </c>
      <c r="G258" s="13" t="s">
        <v>3</v>
      </c>
      <c r="H258" s="13" t="s">
        <v>4</v>
      </c>
      <c r="I258" s="15">
        <v>-54467.09</v>
      </c>
      <c r="J258" s="13" t="s">
        <v>5</v>
      </c>
      <c r="K258" s="13" t="s">
        <v>6</v>
      </c>
      <c r="L258" s="15">
        <v>-4572512.21</v>
      </c>
      <c r="M258" s="15">
        <v>-54467.09</v>
      </c>
      <c r="N258" s="16" t="str">
        <f>IF(M258="","",IF(M258&lt;0,-M258&amp;"_"&amp;COUNTIF(M$2:M258,M258),M258&amp;"_"&amp;COUNTIF(M$2:M258,M258)))</f>
        <v>54467.09_1</v>
      </c>
      <c r="O258" s="17" t="str">
        <f t="shared" ref="O258:O321" si="4">IF(COUNTIF(N:N,N258)=2,"x","")</f>
        <v/>
      </c>
      <c r="P258" s="13" t="s">
        <v>1199</v>
      </c>
      <c r="Q258" s="13" t="s">
        <v>1165</v>
      </c>
      <c r="R258" s="13" t="s">
        <v>0</v>
      </c>
      <c r="S258" s="13" t="s">
        <v>0</v>
      </c>
      <c r="T258" s="13" t="s">
        <v>9</v>
      </c>
      <c r="U258" s="13" t="s">
        <v>0</v>
      </c>
      <c r="V258" s="13" t="s">
        <v>0</v>
      </c>
      <c r="W258" s="13" t="s">
        <v>0</v>
      </c>
      <c r="X258" s="13" t="s">
        <v>0</v>
      </c>
      <c r="Y258" s="13" t="s">
        <v>10</v>
      </c>
      <c r="Z258" s="13" t="s">
        <v>0</v>
      </c>
      <c r="AA258" s="14"/>
      <c r="AB258" s="13" t="s">
        <v>0</v>
      </c>
      <c r="AC258" s="13" t="s">
        <v>0</v>
      </c>
      <c r="AD258" s="13" t="s">
        <v>0</v>
      </c>
      <c r="AE258" s="15">
        <v>0</v>
      </c>
    </row>
    <row r="259" spans="1:31" ht="14.15" customHeight="1" x14ac:dyDescent="0.25">
      <c r="A259" s="12" t="s">
        <v>0</v>
      </c>
      <c r="B259" s="13" t="s">
        <v>1</v>
      </c>
      <c r="C259" s="13" t="s">
        <v>3258</v>
      </c>
      <c r="D259" s="14">
        <v>44310</v>
      </c>
      <c r="E259" s="14">
        <v>44310</v>
      </c>
      <c r="F259" s="14">
        <v>44315</v>
      </c>
      <c r="G259" s="13" t="s">
        <v>3</v>
      </c>
      <c r="H259" s="13" t="s">
        <v>4</v>
      </c>
      <c r="I259" s="15">
        <v>-54414.03</v>
      </c>
      <c r="J259" s="13" t="s">
        <v>5</v>
      </c>
      <c r="K259" s="13" t="s">
        <v>6</v>
      </c>
      <c r="L259" s="15">
        <v>-4568057.82</v>
      </c>
      <c r="M259" s="15">
        <v>-54414.03</v>
      </c>
      <c r="N259" s="16" t="str">
        <f>IF(M259="","",IF(M259&lt;0,-M259&amp;"_"&amp;COUNTIF(M$2:M259,M259),M259&amp;"_"&amp;COUNTIF(M$2:M259,M259)))</f>
        <v>54414.03_1</v>
      </c>
      <c r="O259" s="17" t="str">
        <f t="shared" si="4"/>
        <v/>
      </c>
      <c r="P259" s="13" t="s">
        <v>3259</v>
      </c>
      <c r="Q259" s="13" t="s">
        <v>3260</v>
      </c>
      <c r="R259" s="13" t="s">
        <v>0</v>
      </c>
      <c r="S259" s="13" t="s">
        <v>0</v>
      </c>
      <c r="T259" s="13" t="s">
        <v>9</v>
      </c>
      <c r="U259" s="13" t="s">
        <v>0</v>
      </c>
      <c r="V259" s="13" t="s">
        <v>0</v>
      </c>
      <c r="W259" s="13" t="s">
        <v>0</v>
      </c>
      <c r="X259" s="13" t="s">
        <v>0</v>
      </c>
      <c r="Y259" s="13" t="s">
        <v>10</v>
      </c>
      <c r="Z259" s="13" t="s">
        <v>0</v>
      </c>
      <c r="AA259" s="14"/>
      <c r="AB259" s="13" t="s">
        <v>0</v>
      </c>
      <c r="AC259" s="13" t="s">
        <v>0</v>
      </c>
      <c r="AD259" s="13" t="s">
        <v>0</v>
      </c>
      <c r="AE259" s="15">
        <v>0</v>
      </c>
    </row>
    <row r="260" spans="1:31" ht="14.15" customHeight="1" x14ac:dyDescent="0.25">
      <c r="A260" s="12" t="s">
        <v>0</v>
      </c>
      <c r="B260" s="13" t="s">
        <v>1</v>
      </c>
      <c r="C260" s="13" t="s">
        <v>4335</v>
      </c>
      <c r="D260" s="14">
        <v>44374</v>
      </c>
      <c r="E260" s="14">
        <v>44374</v>
      </c>
      <c r="F260" s="14">
        <v>44376</v>
      </c>
      <c r="G260" s="13" t="s">
        <v>3</v>
      </c>
      <c r="H260" s="13" t="s">
        <v>4</v>
      </c>
      <c r="I260" s="15">
        <v>-54345.96</v>
      </c>
      <c r="J260" s="13" t="s">
        <v>5</v>
      </c>
      <c r="K260" s="13" t="s">
        <v>6</v>
      </c>
      <c r="L260" s="15">
        <v>-4562343.34</v>
      </c>
      <c r="M260" s="15">
        <v>-54345.96</v>
      </c>
      <c r="N260" s="16" t="str">
        <f>IF(M260="","",IF(M260&lt;0,-M260&amp;"_"&amp;COUNTIF(M$2:M260,M260),M260&amp;"_"&amp;COUNTIF(M$2:M260,M260)))</f>
        <v>54345.96_1</v>
      </c>
      <c r="O260" s="17" t="str">
        <f t="shared" si="4"/>
        <v/>
      </c>
      <c r="P260" s="13" t="s">
        <v>4336</v>
      </c>
      <c r="Q260" s="13" t="s">
        <v>4334</v>
      </c>
      <c r="R260" s="13" t="s">
        <v>0</v>
      </c>
      <c r="S260" s="13" t="s">
        <v>0</v>
      </c>
      <c r="T260" s="13" t="s">
        <v>9</v>
      </c>
      <c r="U260" s="13" t="s">
        <v>0</v>
      </c>
      <c r="V260" s="13" t="s">
        <v>0</v>
      </c>
      <c r="W260" s="13" t="s">
        <v>0</v>
      </c>
      <c r="X260" s="13" t="s">
        <v>0</v>
      </c>
      <c r="Y260" s="13" t="s">
        <v>10</v>
      </c>
      <c r="Z260" s="13" t="s">
        <v>0</v>
      </c>
      <c r="AA260" s="14"/>
      <c r="AB260" s="13" t="s">
        <v>0</v>
      </c>
      <c r="AC260" s="13" t="s">
        <v>0</v>
      </c>
      <c r="AD260" s="13" t="s">
        <v>0</v>
      </c>
      <c r="AE260" s="15">
        <v>0</v>
      </c>
    </row>
    <row r="261" spans="1:31" ht="14.15" customHeight="1" x14ac:dyDescent="0.25">
      <c r="A261" s="12" t="s">
        <v>0</v>
      </c>
      <c r="B261" s="13" t="s">
        <v>1</v>
      </c>
      <c r="C261" s="13" t="s">
        <v>83</v>
      </c>
      <c r="D261" s="14">
        <v>44021</v>
      </c>
      <c r="E261" s="14">
        <v>44021</v>
      </c>
      <c r="F261" s="14">
        <v>44032</v>
      </c>
      <c r="G261" s="13" t="s">
        <v>3</v>
      </c>
      <c r="H261" s="13" t="s">
        <v>4</v>
      </c>
      <c r="I261" s="15">
        <v>-54318.78</v>
      </c>
      <c r="J261" s="13" t="s">
        <v>5</v>
      </c>
      <c r="K261" s="13" t="s">
        <v>6</v>
      </c>
      <c r="L261" s="15">
        <v>-4560061.58</v>
      </c>
      <c r="M261" s="15">
        <v>-54318.78</v>
      </c>
      <c r="N261" s="16" t="str">
        <f>IF(M261="","",IF(M261&lt;0,-M261&amp;"_"&amp;COUNTIF(M$2:M261,M261),M261&amp;"_"&amp;COUNTIF(M$2:M261,M261)))</f>
        <v>54318.78_1</v>
      </c>
      <c r="O261" s="17" t="str">
        <f t="shared" si="4"/>
        <v/>
      </c>
      <c r="P261" s="13" t="s">
        <v>84</v>
      </c>
      <c r="Q261" s="13" t="s">
        <v>85</v>
      </c>
      <c r="R261" s="13" t="s">
        <v>0</v>
      </c>
      <c r="S261" s="13" t="s">
        <v>0</v>
      </c>
      <c r="T261" s="13" t="s">
        <v>9</v>
      </c>
      <c r="U261" s="13" t="s">
        <v>0</v>
      </c>
      <c r="V261" s="13" t="s">
        <v>0</v>
      </c>
      <c r="W261" s="13" t="s">
        <v>0</v>
      </c>
      <c r="X261" s="13" t="s">
        <v>0</v>
      </c>
      <c r="Y261" s="13" t="s">
        <v>10</v>
      </c>
      <c r="Z261" s="13" t="s">
        <v>0</v>
      </c>
      <c r="AA261" s="14"/>
      <c r="AB261" s="13" t="s">
        <v>0</v>
      </c>
      <c r="AC261" s="13" t="s">
        <v>0</v>
      </c>
      <c r="AD261" s="13" t="s">
        <v>0</v>
      </c>
      <c r="AE261" s="15">
        <v>0</v>
      </c>
    </row>
    <row r="262" spans="1:31" ht="14.15" customHeight="1" x14ac:dyDescent="0.25">
      <c r="A262" s="12" t="s">
        <v>0</v>
      </c>
      <c r="B262" s="13" t="s">
        <v>1</v>
      </c>
      <c r="C262" s="13" t="s">
        <v>2123</v>
      </c>
      <c r="D262" s="14">
        <v>44201</v>
      </c>
      <c r="E262" s="14">
        <v>44201</v>
      </c>
      <c r="F262" s="14">
        <v>44214</v>
      </c>
      <c r="G262" s="13" t="s">
        <v>3</v>
      </c>
      <c r="H262" s="13" t="s">
        <v>4</v>
      </c>
      <c r="I262" s="15">
        <v>-54200.72</v>
      </c>
      <c r="J262" s="13" t="s">
        <v>5</v>
      </c>
      <c r="K262" s="13" t="s">
        <v>6</v>
      </c>
      <c r="L262" s="15">
        <v>-4550150.4400000004</v>
      </c>
      <c r="M262" s="15">
        <v>-54200.72</v>
      </c>
      <c r="N262" s="16" t="str">
        <f>IF(M262="","",IF(M262&lt;0,-M262&amp;"_"&amp;COUNTIF(M$2:M262,M262),M262&amp;"_"&amp;COUNTIF(M$2:M262,M262)))</f>
        <v>54200.72_1</v>
      </c>
      <c r="O262" s="17" t="str">
        <f t="shared" si="4"/>
        <v/>
      </c>
      <c r="P262" s="13" t="s">
        <v>2124</v>
      </c>
      <c r="Q262" s="13" t="s">
        <v>2116</v>
      </c>
      <c r="R262" s="13" t="s">
        <v>0</v>
      </c>
      <c r="S262" s="13" t="s">
        <v>0</v>
      </c>
      <c r="T262" s="13" t="s">
        <v>9</v>
      </c>
      <c r="U262" s="13" t="s">
        <v>0</v>
      </c>
      <c r="V262" s="13" t="s">
        <v>0</v>
      </c>
      <c r="W262" s="13" t="s">
        <v>0</v>
      </c>
      <c r="X262" s="13" t="s">
        <v>0</v>
      </c>
      <c r="Y262" s="13" t="s">
        <v>10</v>
      </c>
      <c r="Z262" s="13" t="s">
        <v>0</v>
      </c>
      <c r="AA262" s="14"/>
      <c r="AB262" s="13" t="s">
        <v>0</v>
      </c>
      <c r="AC262" s="13" t="s">
        <v>0</v>
      </c>
      <c r="AD262" s="13" t="s">
        <v>0</v>
      </c>
      <c r="AE262" s="15">
        <v>0</v>
      </c>
    </row>
    <row r="263" spans="1:31" ht="14.15" customHeight="1" x14ac:dyDescent="0.25">
      <c r="A263" s="12" t="s">
        <v>0</v>
      </c>
      <c r="B263" s="13" t="s">
        <v>1</v>
      </c>
      <c r="C263" s="13" t="s">
        <v>3614</v>
      </c>
      <c r="D263" s="14">
        <v>44329</v>
      </c>
      <c r="E263" s="14">
        <v>44329</v>
      </c>
      <c r="F263" s="14">
        <v>44336</v>
      </c>
      <c r="G263" s="13" t="s">
        <v>3</v>
      </c>
      <c r="H263" s="13" t="s">
        <v>4</v>
      </c>
      <c r="I263" s="15">
        <v>-54121.46</v>
      </c>
      <c r="J263" s="13" t="s">
        <v>5</v>
      </c>
      <c r="K263" s="13" t="s">
        <v>6</v>
      </c>
      <c r="L263" s="15">
        <v>-4543496.57</v>
      </c>
      <c r="M263" s="15">
        <v>-54121.46</v>
      </c>
      <c r="N263" s="16" t="str">
        <f>IF(M263="","",IF(M263&lt;0,-M263&amp;"_"&amp;COUNTIF(M$2:M263,M263),M263&amp;"_"&amp;COUNTIF(M$2:M263,M263)))</f>
        <v>54121.46_1</v>
      </c>
      <c r="O263" s="17" t="str">
        <f t="shared" si="4"/>
        <v/>
      </c>
      <c r="P263" s="13" t="s">
        <v>3615</v>
      </c>
      <c r="Q263" s="13" t="s">
        <v>3603</v>
      </c>
      <c r="R263" s="13" t="s">
        <v>0</v>
      </c>
      <c r="S263" s="13" t="s">
        <v>0</v>
      </c>
      <c r="T263" s="13" t="s">
        <v>9</v>
      </c>
      <c r="U263" s="13" t="s">
        <v>0</v>
      </c>
      <c r="V263" s="13" t="s">
        <v>0</v>
      </c>
      <c r="W263" s="13" t="s">
        <v>0</v>
      </c>
      <c r="X263" s="13" t="s">
        <v>0</v>
      </c>
      <c r="Y263" s="13" t="s">
        <v>10</v>
      </c>
      <c r="Z263" s="13" t="s">
        <v>0</v>
      </c>
      <c r="AA263" s="14"/>
      <c r="AB263" s="13" t="s">
        <v>0</v>
      </c>
      <c r="AC263" s="13" t="s">
        <v>0</v>
      </c>
      <c r="AD263" s="13" t="s">
        <v>0</v>
      </c>
      <c r="AE263" s="15">
        <v>0</v>
      </c>
    </row>
    <row r="264" spans="1:31" ht="14.15" customHeight="1" x14ac:dyDescent="0.25">
      <c r="A264" s="12" t="s">
        <v>0</v>
      </c>
      <c r="B264" s="13" t="s">
        <v>1</v>
      </c>
      <c r="C264" s="13" t="s">
        <v>4319</v>
      </c>
      <c r="D264" s="14">
        <v>44372</v>
      </c>
      <c r="E264" s="14">
        <v>44372</v>
      </c>
      <c r="F264" s="14">
        <v>44376</v>
      </c>
      <c r="G264" s="13" t="s">
        <v>3</v>
      </c>
      <c r="H264" s="13" t="s">
        <v>4</v>
      </c>
      <c r="I264" s="15">
        <v>-54121</v>
      </c>
      <c r="J264" s="13" t="s">
        <v>5</v>
      </c>
      <c r="K264" s="13" t="s">
        <v>6</v>
      </c>
      <c r="L264" s="15">
        <v>-4543457.95</v>
      </c>
      <c r="M264" s="15">
        <v>-54121</v>
      </c>
      <c r="N264" s="16" t="str">
        <f>IF(M264="","",IF(M264&lt;0,-M264&amp;"_"&amp;COUNTIF(M$2:M264,M264),M264&amp;"_"&amp;COUNTIF(M$2:M264,M264)))</f>
        <v>54121_1</v>
      </c>
      <c r="O264" s="17" t="str">
        <f t="shared" si="4"/>
        <v/>
      </c>
      <c r="P264" s="13" t="s">
        <v>4320</v>
      </c>
      <c r="Q264" s="13" t="s">
        <v>4312</v>
      </c>
      <c r="R264" s="13" t="s">
        <v>0</v>
      </c>
      <c r="S264" s="13" t="s">
        <v>0</v>
      </c>
      <c r="T264" s="13" t="s">
        <v>9</v>
      </c>
      <c r="U264" s="13" t="s">
        <v>0</v>
      </c>
      <c r="V264" s="13" t="s">
        <v>0</v>
      </c>
      <c r="W264" s="13" t="s">
        <v>0</v>
      </c>
      <c r="X264" s="13" t="s">
        <v>0</v>
      </c>
      <c r="Y264" s="13" t="s">
        <v>10</v>
      </c>
      <c r="Z264" s="13" t="s">
        <v>0</v>
      </c>
      <c r="AA264" s="14"/>
      <c r="AB264" s="13" t="s">
        <v>0</v>
      </c>
      <c r="AC264" s="13" t="s">
        <v>0</v>
      </c>
      <c r="AD264" s="13" t="s">
        <v>0</v>
      </c>
      <c r="AE264" s="15">
        <v>0</v>
      </c>
    </row>
    <row r="265" spans="1:31" ht="14.15" customHeight="1" x14ac:dyDescent="0.25">
      <c r="A265" s="12" t="s">
        <v>0</v>
      </c>
      <c r="B265" s="13" t="s">
        <v>1</v>
      </c>
      <c r="C265" s="13" t="s">
        <v>3305</v>
      </c>
      <c r="D265" s="14">
        <v>44314</v>
      </c>
      <c r="E265" s="14">
        <v>44314</v>
      </c>
      <c r="F265" s="14">
        <v>44323</v>
      </c>
      <c r="G265" s="13" t="s">
        <v>3</v>
      </c>
      <c r="H265" s="13" t="s">
        <v>4</v>
      </c>
      <c r="I265" s="15">
        <v>-54064.2</v>
      </c>
      <c r="J265" s="13" t="s">
        <v>5</v>
      </c>
      <c r="K265" s="13" t="s">
        <v>6</v>
      </c>
      <c r="L265" s="15">
        <v>-4538689.59</v>
      </c>
      <c r="M265" s="15">
        <v>-54064.2</v>
      </c>
      <c r="N265" s="16" t="str">
        <f>IF(M265="","",IF(M265&lt;0,-M265&amp;"_"&amp;COUNTIF(M$2:M265,M265),M265&amp;"_"&amp;COUNTIF(M$2:M265,M265)))</f>
        <v>54064.2_1</v>
      </c>
      <c r="O265" s="17" t="str">
        <f t="shared" si="4"/>
        <v/>
      </c>
      <c r="P265" s="13" t="s">
        <v>3306</v>
      </c>
      <c r="Q265" s="13" t="s">
        <v>3284</v>
      </c>
      <c r="R265" s="13" t="s">
        <v>0</v>
      </c>
      <c r="S265" s="13" t="s">
        <v>0</v>
      </c>
      <c r="T265" s="13" t="s">
        <v>9</v>
      </c>
      <c r="U265" s="13" t="s">
        <v>0</v>
      </c>
      <c r="V265" s="13" t="s">
        <v>0</v>
      </c>
      <c r="W265" s="13" t="s">
        <v>0</v>
      </c>
      <c r="X265" s="13" t="s">
        <v>0</v>
      </c>
      <c r="Y265" s="13" t="s">
        <v>10</v>
      </c>
      <c r="Z265" s="13" t="s">
        <v>0</v>
      </c>
      <c r="AA265" s="14"/>
      <c r="AB265" s="13" t="s">
        <v>0</v>
      </c>
      <c r="AC265" s="13" t="s">
        <v>0</v>
      </c>
      <c r="AD265" s="13" t="s">
        <v>0</v>
      </c>
      <c r="AE265" s="15">
        <v>0</v>
      </c>
    </row>
    <row r="266" spans="1:31" ht="14.15" customHeight="1" x14ac:dyDescent="0.25">
      <c r="A266" s="12" t="s">
        <v>0</v>
      </c>
      <c r="B266" s="13" t="s">
        <v>1</v>
      </c>
      <c r="C266" s="13" t="s">
        <v>1343</v>
      </c>
      <c r="D266" s="14">
        <v>44150</v>
      </c>
      <c r="E266" s="14">
        <v>44150</v>
      </c>
      <c r="F266" s="14">
        <v>44154</v>
      </c>
      <c r="G266" s="13" t="s">
        <v>3</v>
      </c>
      <c r="H266" s="13" t="s">
        <v>4</v>
      </c>
      <c r="I266" s="15">
        <v>-54036.09</v>
      </c>
      <c r="J266" s="13" t="s">
        <v>5</v>
      </c>
      <c r="K266" s="13" t="s">
        <v>6</v>
      </c>
      <c r="L266" s="15">
        <v>-4536329.76</v>
      </c>
      <c r="M266" s="15">
        <v>-54036.09</v>
      </c>
      <c r="N266" s="16" t="str">
        <f>IF(M266="","",IF(M266&lt;0,-M266&amp;"_"&amp;COUNTIF(M$2:M266,M266),M266&amp;"_"&amp;COUNTIF(M$2:M266,M266)))</f>
        <v>54036.09_1</v>
      </c>
      <c r="O266" s="17" t="str">
        <f t="shared" si="4"/>
        <v/>
      </c>
      <c r="P266" s="13" t="s">
        <v>1344</v>
      </c>
      <c r="Q266" s="13" t="s">
        <v>1338</v>
      </c>
      <c r="R266" s="13" t="s">
        <v>0</v>
      </c>
      <c r="S266" s="13" t="s">
        <v>0</v>
      </c>
      <c r="T266" s="13" t="s">
        <v>9</v>
      </c>
      <c r="U266" s="13" t="s">
        <v>0</v>
      </c>
      <c r="V266" s="13" t="s">
        <v>0</v>
      </c>
      <c r="W266" s="13" t="s">
        <v>0</v>
      </c>
      <c r="X266" s="13" t="s">
        <v>0</v>
      </c>
      <c r="Y266" s="13" t="s">
        <v>10</v>
      </c>
      <c r="Z266" s="13" t="s">
        <v>0</v>
      </c>
      <c r="AA266" s="14"/>
      <c r="AB266" s="13" t="s">
        <v>0</v>
      </c>
      <c r="AC266" s="13" t="s">
        <v>0</v>
      </c>
      <c r="AD266" s="13" t="s">
        <v>0</v>
      </c>
      <c r="AE266" s="15">
        <v>0</v>
      </c>
    </row>
    <row r="267" spans="1:31" ht="14.15" customHeight="1" x14ac:dyDescent="0.25">
      <c r="A267" s="12" t="s">
        <v>0</v>
      </c>
      <c r="B267" s="13" t="s">
        <v>1</v>
      </c>
      <c r="C267" s="13" t="s">
        <v>3079</v>
      </c>
      <c r="D267" s="14">
        <v>44285</v>
      </c>
      <c r="E267" s="14">
        <v>44285</v>
      </c>
      <c r="F267" s="14">
        <v>44290</v>
      </c>
      <c r="G267" s="13" t="s">
        <v>3</v>
      </c>
      <c r="H267" s="13" t="s">
        <v>4</v>
      </c>
      <c r="I267" s="15">
        <v>-53778.71</v>
      </c>
      <c r="J267" s="13" t="s">
        <v>5</v>
      </c>
      <c r="K267" s="13" t="s">
        <v>6</v>
      </c>
      <c r="L267" s="15">
        <v>-4514722.7</v>
      </c>
      <c r="M267" s="15">
        <v>-53778.71</v>
      </c>
      <c r="N267" s="16" t="str">
        <f>IF(M267="","",IF(M267&lt;0,-M267&amp;"_"&amp;COUNTIF(M$2:M267,M267),M267&amp;"_"&amp;COUNTIF(M$2:M267,M267)))</f>
        <v>53778.71_1</v>
      </c>
      <c r="O267" s="17" t="str">
        <f t="shared" si="4"/>
        <v/>
      </c>
      <c r="P267" s="13" t="s">
        <v>3080</v>
      </c>
      <c r="Q267" s="13" t="s">
        <v>3074</v>
      </c>
      <c r="R267" s="13" t="s">
        <v>0</v>
      </c>
      <c r="S267" s="13" t="s">
        <v>0</v>
      </c>
      <c r="T267" s="13" t="s">
        <v>9</v>
      </c>
      <c r="U267" s="13" t="s">
        <v>0</v>
      </c>
      <c r="V267" s="13" t="s">
        <v>0</v>
      </c>
      <c r="W267" s="13" t="s">
        <v>0</v>
      </c>
      <c r="X267" s="13" t="s">
        <v>0</v>
      </c>
      <c r="Y267" s="13" t="s">
        <v>10</v>
      </c>
      <c r="Z267" s="13" t="s">
        <v>0</v>
      </c>
      <c r="AA267" s="14"/>
      <c r="AB267" s="13" t="s">
        <v>0</v>
      </c>
      <c r="AC267" s="13" t="s">
        <v>0</v>
      </c>
      <c r="AD267" s="13" t="s">
        <v>0</v>
      </c>
      <c r="AE267" s="15">
        <v>0</v>
      </c>
    </row>
    <row r="268" spans="1:31" ht="14.15" customHeight="1" x14ac:dyDescent="0.25">
      <c r="A268" s="12" t="s">
        <v>0</v>
      </c>
      <c r="B268" s="13" t="s">
        <v>1</v>
      </c>
      <c r="C268" s="13" t="s">
        <v>3614</v>
      </c>
      <c r="D268" s="14">
        <v>44329</v>
      </c>
      <c r="E268" s="14">
        <v>44329</v>
      </c>
      <c r="F268" s="14">
        <v>44336</v>
      </c>
      <c r="G268" s="13" t="s">
        <v>3</v>
      </c>
      <c r="H268" s="13" t="s">
        <v>4</v>
      </c>
      <c r="I268" s="15">
        <v>-53763.35</v>
      </c>
      <c r="J268" s="13" t="s">
        <v>5</v>
      </c>
      <c r="K268" s="13" t="s">
        <v>6</v>
      </c>
      <c r="L268" s="15">
        <v>-4513433.2300000004</v>
      </c>
      <c r="M268" s="15">
        <v>-53763.35</v>
      </c>
      <c r="N268" s="16" t="str">
        <f>IF(M268="","",IF(M268&lt;0,-M268&amp;"_"&amp;COUNTIF(M$2:M268,M268),M268&amp;"_"&amp;COUNTIF(M$2:M268,M268)))</f>
        <v>53763.35_1</v>
      </c>
      <c r="O268" s="17" t="str">
        <f t="shared" si="4"/>
        <v/>
      </c>
      <c r="P268" s="13" t="s">
        <v>3615</v>
      </c>
      <c r="Q268" s="13" t="s">
        <v>3603</v>
      </c>
      <c r="R268" s="13" t="s">
        <v>0</v>
      </c>
      <c r="S268" s="13" t="s">
        <v>0</v>
      </c>
      <c r="T268" s="13" t="s">
        <v>9</v>
      </c>
      <c r="U268" s="13" t="s">
        <v>0</v>
      </c>
      <c r="V268" s="13" t="s">
        <v>0</v>
      </c>
      <c r="W268" s="13" t="s">
        <v>0</v>
      </c>
      <c r="X268" s="13" t="s">
        <v>0</v>
      </c>
      <c r="Y268" s="13" t="s">
        <v>10</v>
      </c>
      <c r="Z268" s="13" t="s">
        <v>0</v>
      </c>
      <c r="AA268" s="14"/>
      <c r="AB268" s="13" t="s">
        <v>0</v>
      </c>
      <c r="AC268" s="13" t="s">
        <v>0</v>
      </c>
      <c r="AD268" s="13" t="s">
        <v>0</v>
      </c>
      <c r="AE268" s="15">
        <v>0</v>
      </c>
    </row>
    <row r="269" spans="1:31" ht="14.15" customHeight="1" x14ac:dyDescent="0.25">
      <c r="A269" s="12" t="s">
        <v>0</v>
      </c>
      <c r="B269" s="13" t="s">
        <v>1</v>
      </c>
      <c r="C269" s="13" t="s">
        <v>386</v>
      </c>
      <c r="D269" s="14">
        <v>44060</v>
      </c>
      <c r="E269" s="14">
        <v>44060</v>
      </c>
      <c r="F269" s="14">
        <v>44065</v>
      </c>
      <c r="G269" s="13" t="s">
        <v>3</v>
      </c>
      <c r="H269" s="13" t="s">
        <v>4</v>
      </c>
      <c r="I269" s="15">
        <v>-53697.37</v>
      </c>
      <c r="J269" s="13" t="s">
        <v>5</v>
      </c>
      <c r="K269" s="13" t="s">
        <v>6</v>
      </c>
      <c r="L269" s="15">
        <v>-4507894.21</v>
      </c>
      <c r="M269" s="15">
        <v>-53697.37</v>
      </c>
      <c r="N269" s="16" t="str">
        <f>IF(M269="","",IF(M269&lt;0,-M269&amp;"_"&amp;COUNTIF(M$2:M269,M269),M269&amp;"_"&amp;COUNTIF(M$2:M269,M269)))</f>
        <v>53697.37_1</v>
      </c>
      <c r="O269" s="17" t="str">
        <f t="shared" si="4"/>
        <v/>
      </c>
      <c r="P269" s="13" t="s">
        <v>387</v>
      </c>
      <c r="Q269" s="13" t="s">
        <v>388</v>
      </c>
      <c r="R269" s="13" t="s">
        <v>0</v>
      </c>
      <c r="S269" s="13" t="s">
        <v>0</v>
      </c>
      <c r="T269" s="13" t="s">
        <v>9</v>
      </c>
      <c r="U269" s="13" t="s">
        <v>0</v>
      </c>
      <c r="V269" s="13" t="s">
        <v>0</v>
      </c>
      <c r="W269" s="13" t="s">
        <v>0</v>
      </c>
      <c r="X269" s="13" t="s">
        <v>0</v>
      </c>
      <c r="Y269" s="13" t="s">
        <v>10</v>
      </c>
      <c r="Z269" s="13" t="s">
        <v>0</v>
      </c>
      <c r="AA269" s="14"/>
      <c r="AB269" s="13" t="s">
        <v>0</v>
      </c>
      <c r="AC269" s="13" t="s">
        <v>0</v>
      </c>
      <c r="AD269" s="13" t="s">
        <v>0</v>
      </c>
      <c r="AE269" s="15">
        <v>0</v>
      </c>
    </row>
    <row r="270" spans="1:31" ht="14.15" customHeight="1" x14ac:dyDescent="0.25">
      <c r="A270" s="12" t="s">
        <v>0</v>
      </c>
      <c r="B270" s="13" t="s">
        <v>1</v>
      </c>
      <c r="C270" s="13" t="s">
        <v>2853</v>
      </c>
      <c r="D270" s="14">
        <v>44272</v>
      </c>
      <c r="E270" s="14">
        <v>44272</v>
      </c>
      <c r="F270" s="14">
        <v>44279</v>
      </c>
      <c r="G270" s="13" t="s">
        <v>3</v>
      </c>
      <c r="H270" s="13" t="s">
        <v>4</v>
      </c>
      <c r="I270" s="15">
        <v>-53570.76</v>
      </c>
      <c r="J270" s="13" t="s">
        <v>5</v>
      </c>
      <c r="K270" s="13" t="s">
        <v>6</v>
      </c>
      <c r="L270" s="15">
        <v>-4497265.3</v>
      </c>
      <c r="M270" s="15">
        <v>-53570.76</v>
      </c>
      <c r="N270" s="16" t="str">
        <f>IF(M270="","",IF(M270&lt;0,-M270&amp;"_"&amp;COUNTIF(M$2:M270,M270),M270&amp;"_"&amp;COUNTIF(M$2:M270,M270)))</f>
        <v>53570.76_1</v>
      </c>
      <c r="O270" s="17" t="str">
        <f t="shared" si="4"/>
        <v/>
      </c>
      <c r="P270" s="13" t="s">
        <v>2854</v>
      </c>
      <c r="Q270" s="13" t="s">
        <v>2848</v>
      </c>
      <c r="R270" s="13" t="s">
        <v>0</v>
      </c>
      <c r="S270" s="13" t="s">
        <v>0</v>
      </c>
      <c r="T270" s="13" t="s">
        <v>9</v>
      </c>
      <c r="U270" s="13" t="s">
        <v>0</v>
      </c>
      <c r="V270" s="13" t="s">
        <v>0</v>
      </c>
      <c r="W270" s="13" t="s">
        <v>0</v>
      </c>
      <c r="X270" s="13" t="s">
        <v>0</v>
      </c>
      <c r="Y270" s="13" t="s">
        <v>10</v>
      </c>
      <c r="Z270" s="13" t="s">
        <v>0</v>
      </c>
      <c r="AA270" s="14"/>
      <c r="AB270" s="13" t="s">
        <v>0</v>
      </c>
      <c r="AC270" s="13" t="s">
        <v>0</v>
      </c>
      <c r="AD270" s="13" t="s">
        <v>0</v>
      </c>
      <c r="AE270" s="15">
        <v>0</v>
      </c>
    </row>
    <row r="271" spans="1:31" ht="14.15" customHeight="1" x14ac:dyDescent="0.25">
      <c r="A271" s="12" t="s">
        <v>0</v>
      </c>
      <c r="B271" s="13" t="s">
        <v>1</v>
      </c>
      <c r="C271" s="13" t="s">
        <v>3261</v>
      </c>
      <c r="D271" s="14">
        <v>44310</v>
      </c>
      <c r="E271" s="14">
        <v>44310</v>
      </c>
      <c r="F271" s="14">
        <v>44315</v>
      </c>
      <c r="G271" s="13" t="s">
        <v>3</v>
      </c>
      <c r="H271" s="13" t="s">
        <v>4</v>
      </c>
      <c r="I271" s="15">
        <v>-53495.5</v>
      </c>
      <c r="J271" s="13" t="s">
        <v>5</v>
      </c>
      <c r="K271" s="13" t="s">
        <v>6</v>
      </c>
      <c r="L271" s="15">
        <v>-4490947.2300000004</v>
      </c>
      <c r="M271" s="15">
        <v>-53495.5</v>
      </c>
      <c r="N271" s="16" t="str">
        <f>IF(M271="","",IF(M271&lt;0,-M271&amp;"_"&amp;COUNTIF(M$2:M271,M271),M271&amp;"_"&amp;COUNTIF(M$2:M271,M271)))</f>
        <v>53495.5_1</v>
      </c>
      <c r="O271" s="17" t="str">
        <f t="shared" si="4"/>
        <v/>
      </c>
      <c r="P271" s="13" t="s">
        <v>3262</v>
      </c>
      <c r="Q271" s="13" t="s">
        <v>3260</v>
      </c>
      <c r="R271" s="13" t="s">
        <v>0</v>
      </c>
      <c r="S271" s="13" t="s">
        <v>0</v>
      </c>
      <c r="T271" s="13" t="s">
        <v>9</v>
      </c>
      <c r="U271" s="13" t="s">
        <v>0</v>
      </c>
      <c r="V271" s="13" t="s">
        <v>0</v>
      </c>
      <c r="W271" s="13" t="s">
        <v>0</v>
      </c>
      <c r="X271" s="13" t="s">
        <v>0</v>
      </c>
      <c r="Y271" s="13" t="s">
        <v>10</v>
      </c>
      <c r="Z271" s="13" t="s">
        <v>0</v>
      </c>
      <c r="AA271" s="14"/>
      <c r="AB271" s="13" t="s">
        <v>0</v>
      </c>
      <c r="AC271" s="13" t="s">
        <v>0</v>
      </c>
      <c r="AD271" s="13" t="s">
        <v>0</v>
      </c>
      <c r="AE271" s="15">
        <v>0</v>
      </c>
    </row>
    <row r="272" spans="1:31" ht="14.15" customHeight="1" x14ac:dyDescent="0.25">
      <c r="A272" s="12" t="s">
        <v>0</v>
      </c>
      <c r="B272" s="13" t="s">
        <v>1</v>
      </c>
      <c r="C272" s="13" t="s">
        <v>4365</v>
      </c>
      <c r="D272" s="14">
        <v>44376</v>
      </c>
      <c r="E272" s="14">
        <v>44376</v>
      </c>
      <c r="F272" s="14">
        <v>44382</v>
      </c>
      <c r="G272" s="13" t="s">
        <v>3</v>
      </c>
      <c r="H272" s="13" t="s">
        <v>4</v>
      </c>
      <c r="I272" s="15">
        <v>-53466.720000000001</v>
      </c>
      <c r="J272" s="13" t="s">
        <v>5</v>
      </c>
      <c r="K272" s="13" t="s">
        <v>6</v>
      </c>
      <c r="L272" s="15">
        <v>-4488531.1399999997</v>
      </c>
      <c r="M272" s="15">
        <v>-53466.720000000001</v>
      </c>
      <c r="N272" s="16" t="str">
        <f>IF(M272="","",IF(M272&lt;0,-M272&amp;"_"&amp;COUNTIF(M$2:M272,M272),M272&amp;"_"&amp;COUNTIF(M$2:M272,M272)))</f>
        <v>53466.72_1</v>
      </c>
      <c r="O272" s="17" t="str">
        <f t="shared" si="4"/>
        <v/>
      </c>
      <c r="P272" s="13" t="s">
        <v>4366</v>
      </c>
      <c r="Q272" s="13" t="s">
        <v>4350</v>
      </c>
      <c r="R272" s="13" t="s">
        <v>0</v>
      </c>
      <c r="S272" s="13" t="s">
        <v>0</v>
      </c>
      <c r="T272" s="13" t="s">
        <v>9</v>
      </c>
      <c r="U272" s="13" t="s">
        <v>0</v>
      </c>
      <c r="V272" s="13" t="s">
        <v>0</v>
      </c>
      <c r="W272" s="13" t="s">
        <v>0</v>
      </c>
      <c r="X272" s="13" t="s">
        <v>0</v>
      </c>
      <c r="Y272" s="13" t="s">
        <v>10</v>
      </c>
      <c r="Z272" s="13" t="s">
        <v>0</v>
      </c>
      <c r="AA272" s="14"/>
      <c r="AB272" s="13" t="s">
        <v>0</v>
      </c>
      <c r="AC272" s="13" t="s">
        <v>0</v>
      </c>
      <c r="AD272" s="13" t="s">
        <v>0</v>
      </c>
      <c r="AE272" s="15">
        <v>0</v>
      </c>
    </row>
    <row r="273" spans="1:31" ht="14.15" customHeight="1" x14ac:dyDescent="0.25">
      <c r="A273" s="12" t="s">
        <v>0</v>
      </c>
      <c r="B273" s="13" t="s">
        <v>1</v>
      </c>
      <c r="C273" s="13" t="s">
        <v>233</v>
      </c>
      <c r="D273" s="14">
        <v>44039</v>
      </c>
      <c r="E273" s="14">
        <v>44039</v>
      </c>
      <c r="F273" s="14">
        <v>44042</v>
      </c>
      <c r="G273" s="13" t="s">
        <v>3</v>
      </c>
      <c r="H273" s="13" t="s">
        <v>4</v>
      </c>
      <c r="I273" s="15">
        <v>-53452.86</v>
      </c>
      <c r="J273" s="13" t="s">
        <v>5</v>
      </c>
      <c r="K273" s="13" t="s">
        <v>6</v>
      </c>
      <c r="L273" s="15">
        <v>-4487367.5999999996</v>
      </c>
      <c r="M273" s="15">
        <v>-53452.86</v>
      </c>
      <c r="N273" s="16" t="str">
        <f>IF(M273="","",IF(M273&lt;0,-M273&amp;"_"&amp;COUNTIF(M$2:M273,M273),M273&amp;"_"&amp;COUNTIF(M$2:M273,M273)))</f>
        <v>53452.86_1</v>
      </c>
      <c r="O273" s="17" t="str">
        <f t="shared" si="4"/>
        <v/>
      </c>
      <c r="P273" s="13" t="s">
        <v>234</v>
      </c>
      <c r="Q273" s="13" t="s">
        <v>230</v>
      </c>
      <c r="R273" s="13" t="s">
        <v>0</v>
      </c>
      <c r="S273" s="13" t="s">
        <v>0</v>
      </c>
      <c r="T273" s="13" t="s">
        <v>9</v>
      </c>
      <c r="U273" s="13" t="s">
        <v>0</v>
      </c>
      <c r="V273" s="13" t="s">
        <v>0</v>
      </c>
      <c r="W273" s="13" t="s">
        <v>0</v>
      </c>
      <c r="X273" s="13" t="s">
        <v>0</v>
      </c>
      <c r="Y273" s="13" t="s">
        <v>10</v>
      </c>
      <c r="Z273" s="13" t="s">
        <v>0</v>
      </c>
      <c r="AA273" s="14"/>
      <c r="AB273" s="13" t="s">
        <v>0</v>
      </c>
      <c r="AC273" s="13" t="s">
        <v>0</v>
      </c>
      <c r="AD273" s="13" t="s">
        <v>0</v>
      </c>
      <c r="AE273" s="15">
        <v>0</v>
      </c>
    </row>
    <row r="274" spans="1:31" ht="14.15" customHeight="1" x14ac:dyDescent="0.25">
      <c r="A274" s="12" t="s">
        <v>0</v>
      </c>
      <c r="B274" s="13" t="s">
        <v>1</v>
      </c>
      <c r="C274" s="13" t="s">
        <v>2829</v>
      </c>
      <c r="D274" s="14">
        <v>44269</v>
      </c>
      <c r="E274" s="14">
        <v>44269</v>
      </c>
      <c r="F274" s="14">
        <v>44275</v>
      </c>
      <c r="G274" s="13" t="s">
        <v>3</v>
      </c>
      <c r="H274" s="13" t="s">
        <v>4</v>
      </c>
      <c r="I274" s="15">
        <v>-53259.41</v>
      </c>
      <c r="J274" s="13" t="s">
        <v>5</v>
      </c>
      <c r="K274" s="13" t="s">
        <v>6</v>
      </c>
      <c r="L274" s="15">
        <v>-4471127.47</v>
      </c>
      <c r="M274" s="15">
        <v>-53259.41</v>
      </c>
      <c r="N274" s="16" t="str">
        <f>IF(M274="","",IF(M274&lt;0,-M274&amp;"_"&amp;COUNTIF(M$2:M274,M274),M274&amp;"_"&amp;COUNTIF(M$2:M274,M274)))</f>
        <v>53259.41_1</v>
      </c>
      <c r="O274" s="17" t="str">
        <f t="shared" si="4"/>
        <v/>
      </c>
      <c r="P274" s="13" t="s">
        <v>2830</v>
      </c>
      <c r="Q274" s="13" t="s">
        <v>2831</v>
      </c>
      <c r="R274" s="13" t="s">
        <v>0</v>
      </c>
      <c r="S274" s="13" t="s">
        <v>0</v>
      </c>
      <c r="T274" s="13" t="s">
        <v>9</v>
      </c>
      <c r="U274" s="13" t="s">
        <v>0</v>
      </c>
      <c r="V274" s="13" t="s">
        <v>0</v>
      </c>
      <c r="W274" s="13" t="s">
        <v>0</v>
      </c>
      <c r="X274" s="13" t="s">
        <v>0</v>
      </c>
      <c r="Y274" s="13" t="s">
        <v>10</v>
      </c>
      <c r="Z274" s="13" t="s">
        <v>0</v>
      </c>
      <c r="AA274" s="14"/>
      <c r="AB274" s="13" t="s">
        <v>0</v>
      </c>
      <c r="AC274" s="13" t="s">
        <v>0</v>
      </c>
      <c r="AD274" s="13" t="s">
        <v>0</v>
      </c>
      <c r="AE274" s="15">
        <v>0</v>
      </c>
    </row>
    <row r="275" spans="1:31" ht="14.15" customHeight="1" x14ac:dyDescent="0.25">
      <c r="A275" s="12" t="s">
        <v>0</v>
      </c>
      <c r="B275" s="13" t="s">
        <v>1</v>
      </c>
      <c r="C275" s="13" t="s">
        <v>2808</v>
      </c>
      <c r="D275" s="14">
        <v>44266</v>
      </c>
      <c r="E275" s="14">
        <v>44266</v>
      </c>
      <c r="F275" s="14">
        <v>44271</v>
      </c>
      <c r="G275" s="13" t="s">
        <v>3</v>
      </c>
      <c r="H275" s="13" t="s">
        <v>4</v>
      </c>
      <c r="I275" s="15">
        <v>-53146.54</v>
      </c>
      <c r="J275" s="13" t="s">
        <v>5</v>
      </c>
      <c r="K275" s="13" t="s">
        <v>6</v>
      </c>
      <c r="L275" s="15">
        <v>-4461652.03</v>
      </c>
      <c r="M275" s="15">
        <v>-53146.54</v>
      </c>
      <c r="N275" s="16" t="str">
        <f>IF(M275="","",IF(M275&lt;0,-M275&amp;"_"&amp;COUNTIF(M$2:M275,M275),M275&amp;"_"&amp;COUNTIF(M$2:M275,M275)))</f>
        <v>53146.54_1</v>
      </c>
      <c r="O275" s="17" t="str">
        <f t="shared" si="4"/>
        <v/>
      </c>
      <c r="P275" s="13" t="s">
        <v>2809</v>
      </c>
      <c r="Q275" s="13" t="s">
        <v>2810</v>
      </c>
      <c r="R275" s="13" t="s">
        <v>0</v>
      </c>
      <c r="S275" s="13" t="s">
        <v>0</v>
      </c>
      <c r="T275" s="13" t="s">
        <v>9</v>
      </c>
      <c r="U275" s="13" t="s">
        <v>0</v>
      </c>
      <c r="V275" s="13" t="s">
        <v>0</v>
      </c>
      <c r="W275" s="13" t="s">
        <v>0</v>
      </c>
      <c r="X275" s="13" t="s">
        <v>0</v>
      </c>
      <c r="Y275" s="13" t="s">
        <v>10</v>
      </c>
      <c r="Z275" s="13" t="s">
        <v>0</v>
      </c>
      <c r="AA275" s="14"/>
      <c r="AB275" s="13" t="s">
        <v>0</v>
      </c>
      <c r="AC275" s="13" t="s">
        <v>0</v>
      </c>
      <c r="AD275" s="13" t="s">
        <v>0</v>
      </c>
      <c r="AE275" s="15">
        <v>0</v>
      </c>
    </row>
    <row r="276" spans="1:31" ht="14.15" customHeight="1" x14ac:dyDescent="0.25">
      <c r="A276" s="12" t="s">
        <v>0</v>
      </c>
      <c r="B276" s="13" t="s">
        <v>1</v>
      </c>
      <c r="C276" s="13" t="s">
        <v>1214</v>
      </c>
      <c r="D276" s="14">
        <v>44140</v>
      </c>
      <c r="E276" s="14">
        <v>44140</v>
      </c>
      <c r="F276" s="14">
        <v>44151</v>
      </c>
      <c r="G276" s="13" t="s">
        <v>3</v>
      </c>
      <c r="H276" s="13" t="s">
        <v>4</v>
      </c>
      <c r="I276" s="15">
        <v>-53122.080000000002</v>
      </c>
      <c r="J276" s="13" t="s">
        <v>5</v>
      </c>
      <c r="K276" s="13" t="s">
        <v>6</v>
      </c>
      <c r="L276" s="15">
        <v>-4459598.62</v>
      </c>
      <c r="M276" s="15">
        <v>-53122.080000000002</v>
      </c>
      <c r="N276" s="16" t="str">
        <f>IF(M276="","",IF(M276&lt;0,-M276&amp;"_"&amp;COUNTIF(M$2:M276,M276),M276&amp;"_"&amp;COUNTIF(M$2:M276,M276)))</f>
        <v>53122.08_1</v>
      </c>
      <c r="O276" s="17" t="str">
        <f t="shared" si="4"/>
        <v/>
      </c>
      <c r="P276" s="13" t="s">
        <v>1215</v>
      </c>
      <c r="Q276" s="13" t="s">
        <v>1165</v>
      </c>
      <c r="R276" s="13" t="s">
        <v>0</v>
      </c>
      <c r="S276" s="13" t="s">
        <v>0</v>
      </c>
      <c r="T276" s="13" t="s">
        <v>9</v>
      </c>
      <c r="U276" s="13" t="s">
        <v>0</v>
      </c>
      <c r="V276" s="13" t="s">
        <v>0</v>
      </c>
      <c r="W276" s="13" t="s">
        <v>0</v>
      </c>
      <c r="X276" s="13" t="s">
        <v>0</v>
      </c>
      <c r="Y276" s="13" t="s">
        <v>10</v>
      </c>
      <c r="Z276" s="13" t="s">
        <v>0</v>
      </c>
      <c r="AA276" s="14"/>
      <c r="AB276" s="13" t="s">
        <v>0</v>
      </c>
      <c r="AC276" s="13" t="s">
        <v>0</v>
      </c>
      <c r="AD276" s="13" t="s">
        <v>0</v>
      </c>
      <c r="AE276" s="15">
        <v>0</v>
      </c>
    </row>
    <row r="277" spans="1:31" ht="14.15" customHeight="1" x14ac:dyDescent="0.25">
      <c r="A277" s="12" t="s">
        <v>0</v>
      </c>
      <c r="B277" s="13" t="s">
        <v>1</v>
      </c>
      <c r="C277" s="13" t="s">
        <v>2992</v>
      </c>
      <c r="D277" s="14">
        <v>44280</v>
      </c>
      <c r="E277" s="14">
        <v>44280</v>
      </c>
      <c r="F277" s="14">
        <v>44286</v>
      </c>
      <c r="G277" s="13" t="s">
        <v>3</v>
      </c>
      <c r="H277" s="13" t="s">
        <v>4</v>
      </c>
      <c r="I277" s="15">
        <v>-52845.5</v>
      </c>
      <c r="J277" s="13" t="s">
        <v>5</v>
      </c>
      <c r="K277" s="13" t="s">
        <v>6</v>
      </c>
      <c r="L277" s="15">
        <v>-4436379.7300000004</v>
      </c>
      <c r="M277" s="15">
        <v>-52845.5</v>
      </c>
      <c r="N277" s="16" t="str">
        <f>IF(M277="","",IF(M277&lt;0,-M277&amp;"_"&amp;COUNTIF(M$2:M277,M277),M277&amp;"_"&amp;COUNTIF(M$2:M277,M277)))</f>
        <v>52845.5_1</v>
      </c>
      <c r="O277" s="17" t="str">
        <f t="shared" si="4"/>
        <v/>
      </c>
      <c r="P277" s="13" t="s">
        <v>2993</v>
      </c>
      <c r="Q277" s="13" t="s">
        <v>2989</v>
      </c>
      <c r="R277" s="13" t="s">
        <v>0</v>
      </c>
      <c r="S277" s="13" t="s">
        <v>0</v>
      </c>
      <c r="T277" s="13" t="s">
        <v>9</v>
      </c>
      <c r="U277" s="13" t="s">
        <v>0</v>
      </c>
      <c r="V277" s="13" t="s">
        <v>0</v>
      </c>
      <c r="W277" s="13" t="s">
        <v>0</v>
      </c>
      <c r="X277" s="13" t="s">
        <v>0</v>
      </c>
      <c r="Y277" s="13" t="s">
        <v>10</v>
      </c>
      <c r="Z277" s="13" t="s">
        <v>0</v>
      </c>
      <c r="AA277" s="14"/>
      <c r="AB277" s="13" t="s">
        <v>0</v>
      </c>
      <c r="AC277" s="13" t="s">
        <v>0</v>
      </c>
      <c r="AD277" s="13" t="s">
        <v>0</v>
      </c>
      <c r="AE277" s="15">
        <v>0</v>
      </c>
    </row>
    <row r="278" spans="1:31" ht="14.15" customHeight="1" x14ac:dyDescent="0.25">
      <c r="A278" s="12" t="s">
        <v>0</v>
      </c>
      <c r="B278" s="13" t="s">
        <v>1</v>
      </c>
      <c r="C278" s="13" t="s">
        <v>2987</v>
      </c>
      <c r="D278" s="14">
        <v>44280</v>
      </c>
      <c r="E278" s="14">
        <v>44280</v>
      </c>
      <c r="F278" s="14">
        <v>44286</v>
      </c>
      <c r="G278" s="13" t="s">
        <v>3</v>
      </c>
      <c r="H278" s="13" t="s">
        <v>4</v>
      </c>
      <c r="I278" s="15">
        <v>-52528.11</v>
      </c>
      <c r="J278" s="13" t="s">
        <v>5</v>
      </c>
      <c r="K278" s="13" t="s">
        <v>6</v>
      </c>
      <c r="L278" s="15">
        <v>-4409734.83</v>
      </c>
      <c r="M278" s="15">
        <v>-52528.11</v>
      </c>
      <c r="N278" s="16" t="str">
        <f>IF(M278="","",IF(M278&lt;0,-M278&amp;"_"&amp;COUNTIF(M$2:M278,M278),M278&amp;"_"&amp;COUNTIF(M$2:M278,M278)))</f>
        <v>52528.11_1</v>
      </c>
      <c r="O278" s="17" t="str">
        <f t="shared" si="4"/>
        <v/>
      </c>
      <c r="P278" s="13" t="s">
        <v>2988</v>
      </c>
      <c r="Q278" s="13" t="s">
        <v>2989</v>
      </c>
      <c r="R278" s="13" t="s">
        <v>0</v>
      </c>
      <c r="S278" s="13" t="s">
        <v>0</v>
      </c>
      <c r="T278" s="13" t="s">
        <v>9</v>
      </c>
      <c r="U278" s="13" t="s">
        <v>0</v>
      </c>
      <c r="V278" s="13" t="s">
        <v>0</v>
      </c>
      <c r="W278" s="13" t="s">
        <v>0</v>
      </c>
      <c r="X278" s="13" t="s">
        <v>0</v>
      </c>
      <c r="Y278" s="13" t="s">
        <v>10</v>
      </c>
      <c r="Z278" s="13" t="s">
        <v>0</v>
      </c>
      <c r="AA278" s="14"/>
      <c r="AB278" s="13" t="s">
        <v>0</v>
      </c>
      <c r="AC278" s="13" t="s">
        <v>0</v>
      </c>
      <c r="AD278" s="13" t="s">
        <v>0</v>
      </c>
      <c r="AE278" s="15">
        <v>0</v>
      </c>
    </row>
    <row r="279" spans="1:31" ht="14.15" customHeight="1" x14ac:dyDescent="0.25">
      <c r="A279" s="12" t="s">
        <v>0</v>
      </c>
      <c r="B279" s="13" t="s">
        <v>1</v>
      </c>
      <c r="C279" s="13" t="s">
        <v>2817</v>
      </c>
      <c r="D279" s="14">
        <v>44266</v>
      </c>
      <c r="E279" s="14">
        <v>44266</v>
      </c>
      <c r="F279" s="14">
        <v>44272</v>
      </c>
      <c r="G279" s="13" t="s">
        <v>3</v>
      </c>
      <c r="H279" s="13" t="s">
        <v>4</v>
      </c>
      <c r="I279" s="15">
        <v>-52470.07</v>
      </c>
      <c r="J279" s="13" t="s">
        <v>5</v>
      </c>
      <c r="K279" s="13" t="s">
        <v>6</v>
      </c>
      <c r="L279" s="15">
        <v>-4404862.38</v>
      </c>
      <c r="M279" s="15">
        <v>-52470.07</v>
      </c>
      <c r="N279" s="16" t="str">
        <f>IF(M279="","",IF(M279&lt;0,-M279&amp;"_"&amp;COUNTIF(M$2:M279,M279),M279&amp;"_"&amp;COUNTIF(M$2:M279,M279)))</f>
        <v>52470.07_1</v>
      </c>
      <c r="O279" s="17" t="str">
        <f t="shared" si="4"/>
        <v/>
      </c>
      <c r="P279" s="13" t="s">
        <v>2818</v>
      </c>
      <c r="Q279" s="13" t="s">
        <v>2810</v>
      </c>
      <c r="R279" s="13" t="s">
        <v>0</v>
      </c>
      <c r="S279" s="13" t="s">
        <v>0</v>
      </c>
      <c r="T279" s="13" t="s">
        <v>9</v>
      </c>
      <c r="U279" s="13" t="s">
        <v>0</v>
      </c>
      <c r="V279" s="13" t="s">
        <v>0</v>
      </c>
      <c r="W279" s="13" t="s">
        <v>0</v>
      </c>
      <c r="X279" s="13" t="s">
        <v>0</v>
      </c>
      <c r="Y279" s="13" t="s">
        <v>10</v>
      </c>
      <c r="Z279" s="13" t="s">
        <v>0</v>
      </c>
      <c r="AA279" s="14"/>
      <c r="AB279" s="13" t="s">
        <v>0</v>
      </c>
      <c r="AC279" s="13" t="s">
        <v>0</v>
      </c>
      <c r="AD279" s="13" t="s">
        <v>0</v>
      </c>
      <c r="AE279" s="15">
        <v>0</v>
      </c>
    </row>
    <row r="280" spans="1:31" ht="14.15" customHeight="1" x14ac:dyDescent="0.25">
      <c r="A280" s="12" t="s">
        <v>0</v>
      </c>
      <c r="B280" s="13" t="s">
        <v>1</v>
      </c>
      <c r="C280" s="13" t="s">
        <v>251</v>
      </c>
      <c r="D280" s="14">
        <v>44041</v>
      </c>
      <c r="E280" s="14">
        <v>44041</v>
      </c>
      <c r="F280" s="14">
        <v>44053</v>
      </c>
      <c r="G280" s="13" t="s">
        <v>3</v>
      </c>
      <c r="H280" s="13" t="s">
        <v>4</v>
      </c>
      <c r="I280" s="15">
        <v>-52454.3</v>
      </c>
      <c r="J280" s="13" t="s">
        <v>5</v>
      </c>
      <c r="K280" s="13" t="s">
        <v>6</v>
      </c>
      <c r="L280" s="15">
        <v>-4403538.49</v>
      </c>
      <c r="M280" s="15">
        <v>-52454.3</v>
      </c>
      <c r="N280" s="16" t="str">
        <f>IF(M280="","",IF(M280&lt;0,-M280&amp;"_"&amp;COUNTIF(M$2:M280,M280),M280&amp;"_"&amp;COUNTIF(M$2:M280,M280)))</f>
        <v>52454.3_1</v>
      </c>
      <c r="O280" s="17" t="str">
        <f t="shared" si="4"/>
        <v/>
      </c>
      <c r="P280" s="13" t="s">
        <v>252</v>
      </c>
      <c r="Q280" s="13" t="s">
        <v>250</v>
      </c>
      <c r="R280" s="13" t="s">
        <v>0</v>
      </c>
      <c r="S280" s="13" t="s">
        <v>0</v>
      </c>
      <c r="T280" s="13" t="s">
        <v>9</v>
      </c>
      <c r="U280" s="13" t="s">
        <v>0</v>
      </c>
      <c r="V280" s="13" t="s">
        <v>0</v>
      </c>
      <c r="W280" s="13" t="s">
        <v>0</v>
      </c>
      <c r="X280" s="13" t="s">
        <v>0</v>
      </c>
      <c r="Y280" s="13" t="s">
        <v>10</v>
      </c>
      <c r="Z280" s="13" t="s">
        <v>0</v>
      </c>
      <c r="AA280" s="14"/>
      <c r="AB280" s="13" t="s">
        <v>0</v>
      </c>
      <c r="AC280" s="13" t="s">
        <v>0</v>
      </c>
      <c r="AD280" s="13" t="s">
        <v>0</v>
      </c>
      <c r="AE280" s="15">
        <v>0</v>
      </c>
    </row>
    <row r="281" spans="1:31" ht="14.15" customHeight="1" x14ac:dyDescent="0.25">
      <c r="A281" s="12" t="s">
        <v>0</v>
      </c>
      <c r="B281" s="13" t="s">
        <v>1</v>
      </c>
      <c r="C281" s="13" t="s">
        <v>404</v>
      </c>
      <c r="D281" s="14">
        <v>44062</v>
      </c>
      <c r="E281" s="14">
        <v>44062</v>
      </c>
      <c r="F281" s="14">
        <v>44065</v>
      </c>
      <c r="G281" s="13" t="s">
        <v>3</v>
      </c>
      <c r="H281" s="13" t="s">
        <v>4</v>
      </c>
      <c r="I281" s="15">
        <v>-52340.77</v>
      </c>
      <c r="J281" s="13" t="s">
        <v>5</v>
      </c>
      <c r="K281" s="13" t="s">
        <v>6</v>
      </c>
      <c r="L281" s="15">
        <v>-4394007.6399999997</v>
      </c>
      <c r="M281" s="15">
        <v>-52340.77</v>
      </c>
      <c r="N281" s="16" t="str">
        <f>IF(M281="","",IF(M281&lt;0,-M281&amp;"_"&amp;COUNTIF(M$2:M281,M281),M281&amp;"_"&amp;COUNTIF(M$2:M281,M281)))</f>
        <v>52340.77_1</v>
      </c>
      <c r="O281" s="17" t="str">
        <f t="shared" si="4"/>
        <v/>
      </c>
      <c r="P281" s="13" t="s">
        <v>405</v>
      </c>
      <c r="Q281" s="13" t="s">
        <v>403</v>
      </c>
      <c r="R281" s="13" t="s">
        <v>0</v>
      </c>
      <c r="S281" s="13" t="s">
        <v>0</v>
      </c>
      <c r="T281" s="13" t="s">
        <v>9</v>
      </c>
      <c r="U281" s="13" t="s">
        <v>0</v>
      </c>
      <c r="V281" s="13" t="s">
        <v>0</v>
      </c>
      <c r="W281" s="13" t="s">
        <v>0</v>
      </c>
      <c r="X281" s="13" t="s">
        <v>0</v>
      </c>
      <c r="Y281" s="13" t="s">
        <v>10</v>
      </c>
      <c r="Z281" s="13" t="s">
        <v>0</v>
      </c>
      <c r="AA281" s="14"/>
      <c r="AB281" s="13" t="s">
        <v>0</v>
      </c>
      <c r="AC281" s="13" t="s">
        <v>0</v>
      </c>
      <c r="AD281" s="13" t="s">
        <v>0</v>
      </c>
      <c r="AE281" s="15">
        <v>0</v>
      </c>
    </row>
    <row r="282" spans="1:31" ht="14.15" customHeight="1" x14ac:dyDescent="0.25">
      <c r="A282" s="12" t="s">
        <v>0</v>
      </c>
      <c r="B282" s="13" t="s">
        <v>1</v>
      </c>
      <c r="C282" s="13" t="s">
        <v>2266</v>
      </c>
      <c r="D282" s="14">
        <v>44216</v>
      </c>
      <c r="E282" s="14">
        <v>44216</v>
      </c>
      <c r="F282" s="14">
        <v>44224</v>
      </c>
      <c r="G282" s="13" t="s">
        <v>3</v>
      </c>
      <c r="H282" s="13" t="s">
        <v>4</v>
      </c>
      <c r="I282" s="15">
        <v>-52064.03</v>
      </c>
      <c r="J282" s="13" t="s">
        <v>5</v>
      </c>
      <c r="K282" s="13" t="s">
        <v>6</v>
      </c>
      <c r="L282" s="15">
        <v>-4370775.32</v>
      </c>
      <c r="M282" s="15">
        <v>-52064.03</v>
      </c>
      <c r="N282" s="16" t="str">
        <f>IF(M282="","",IF(M282&lt;0,-M282&amp;"_"&amp;COUNTIF(M$2:M282,M282),M282&amp;"_"&amp;COUNTIF(M$2:M282,M282)))</f>
        <v>52064.03_1</v>
      </c>
      <c r="O282" s="17" t="str">
        <f t="shared" si="4"/>
        <v/>
      </c>
      <c r="P282" s="13" t="s">
        <v>2267</v>
      </c>
      <c r="Q282" s="13" t="s">
        <v>2255</v>
      </c>
      <c r="R282" s="13" t="s">
        <v>0</v>
      </c>
      <c r="S282" s="13" t="s">
        <v>0</v>
      </c>
      <c r="T282" s="13" t="s">
        <v>9</v>
      </c>
      <c r="U282" s="13" t="s">
        <v>0</v>
      </c>
      <c r="V282" s="13" t="s">
        <v>0</v>
      </c>
      <c r="W282" s="13" t="s">
        <v>0</v>
      </c>
      <c r="X282" s="13" t="s">
        <v>0</v>
      </c>
      <c r="Y282" s="13" t="s">
        <v>10</v>
      </c>
      <c r="Z282" s="13" t="s">
        <v>0</v>
      </c>
      <c r="AA282" s="14"/>
      <c r="AB282" s="13" t="s">
        <v>0</v>
      </c>
      <c r="AC282" s="13" t="s">
        <v>0</v>
      </c>
      <c r="AD282" s="13" t="s">
        <v>0</v>
      </c>
      <c r="AE282" s="15">
        <v>0</v>
      </c>
    </row>
    <row r="283" spans="1:31" ht="14.15" customHeight="1" x14ac:dyDescent="0.25">
      <c r="A283" s="12" t="s">
        <v>0</v>
      </c>
      <c r="B283" s="13" t="s">
        <v>1</v>
      </c>
      <c r="C283" s="13" t="s">
        <v>1329</v>
      </c>
      <c r="D283" s="14">
        <v>44149</v>
      </c>
      <c r="E283" s="14">
        <v>44149</v>
      </c>
      <c r="F283" s="14">
        <v>44151</v>
      </c>
      <c r="G283" s="13" t="s">
        <v>3</v>
      </c>
      <c r="H283" s="13" t="s">
        <v>4</v>
      </c>
      <c r="I283" s="15">
        <v>-51999.17</v>
      </c>
      <c r="J283" s="13" t="s">
        <v>5</v>
      </c>
      <c r="K283" s="13" t="s">
        <v>6</v>
      </c>
      <c r="L283" s="15">
        <v>-4365330.32</v>
      </c>
      <c r="M283" s="15">
        <v>-51999.17</v>
      </c>
      <c r="N283" s="16" t="str">
        <f>IF(M283="","",IF(M283&lt;0,-M283&amp;"_"&amp;COUNTIF(M$2:M283,M283),M283&amp;"_"&amp;COUNTIF(M$2:M283,M283)))</f>
        <v>51999.17_1</v>
      </c>
      <c r="O283" s="17" t="str">
        <f t="shared" si="4"/>
        <v/>
      </c>
      <c r="P283" s="13" t="s">
        <v>1330</v>
      </c>
      <c r="Q283" s="13" t="s">
        <v>1331</v>
      </c>
      <c r="R283" s="13" t="s">
        <v>0</v>
      </c>
      <c r="S283" s="13" t="s">
        <v>0</v>
      </c>
      <c r="T283" s="13" t="s">
        <v>9</v>
      </c>
      <c r="U283" s="13" t="s">
        <v>0</v>
      </c>
      <c r="V283" s="13" t="s">
        <v>0</v>
      </c>
      <c r="W283" s="13" t="s">
        <v>0</v>
      </c>
      <c r="X283" s="13" t="s">
        <v>0</v>
      </c>
      <c r="Y283" s="13" t="s">
        <v>10</v>
      </c>
      <c r="Z283" s="13" t="s">
        <v>0</v>
      </c>
      <c r="AA283" s="14"/>
      <c r="AB283" s="13" t="s">
        <v>0</v>
      </c>
      <c r="AC283" s="13" t="s">
        <v>0</v>
      </c>
      <c r="AD283" s="13" t="s">
        <v>0</v>
      </c>
      <c r="AE283" s="15">
        <v>0</v>
      </c>
    </row>
    <row r="284" spans="1:31" ht="14.15" customHeight="1" x14ac:dyDescent="0.25">
      <c r="A284" s="12" t="s">
        <v>0</v>
      </c>
      <c r="B284" s="13" t="s">
        <v>1</v>
      </c>
      <c r="C284" s="13" t="s">
        <v>3553</v>
      </c>
      <c r="D284" s="14">
        <v>44324</v>
      </c>
      <c r="E284" s="14">
        <v>44324</v>
      </c>
      <c r="F284" s="14">
        <v>44340</v>
      </c>
      <c r="G284" s="13" t="s">
        <v>3</v>
      </c>
      <c r="H284" s="13" t="s">
        <v>4</v>
      </c>
      <c r="I284" s="15">
        <v>-51992.76</v>
      </c>
      <c r="J284" s="13" t="s">
        <v>5</v>
      </c>
      <c r="K284" s="13" t="s">
        <v>6</v>
      </c>
      <c r="L284" s="15">
        <v>-4364792.2</v>
      </c>
      <c r="M284" s="15">
        <v>-51992.76</v>
      </c>
      <c r="N284" s="16" t="str">
        <f>IF(M284="","",IF(M284&lt;0,-M284&amp;"_"&amp;COUNTIF(M$2:M284,M284),M284&amp;"_"&amp;COUNTIF(M$2:M284,M284)))</f>
        <v>51992.76_1</v>
      </c>
      <c r="O284" s="17" t="str">
        <f t="shared" si="4"/>
        <v/>
      </c>
      <c r="P284" s="13" t="s">
        <v>3554</v>
      </c>
      <c r="Q284" s="13" t="s">
        <v>3512</v>
      </c>
      <c r="R284" s="13" t="s">
        <v>0</v>
      </c>
      <c r="S284" s="13" t="s">
        <v>0</v>
      </c>
      <c r="T284" s="13" t="s">
        <v>9</v>
      </c>
      <c r="U284" s="13" t="s">
        <v>0</v>
      </c>
      <c r="V284" s="13" t="s">
        <v>0</v>
      </c>
      <c r="W284" s="13" t="s">
        <v>0</v>
      </c>
      <c r="X284" s="13" t="s">
        <v>0</v>
      </c>
      <c r="Y284" s="13" t="s">
        <v>10</v>
      </c>
      <c r="Z284" s="13" t="s">
        <v>0</v>
      </c>
      <c r="AA284" s="14"/>
      <c r="AB284" s="13" t="s">
        <v>0</v>
      </c>
      <c r="AC284" s="13" t="s">
        <v>0</v>
      </c>
      <c r="AD284" s="13" t="s">
        <v>0</v>
      </c>
      <c r="AE284" s="15">
        <v>0</v>
      </c>
    </row>
    <row r="285" spans="1:31" ht="14.15" customHeight="1" x14ac:dyDescent="0.25">
      <c r="A285" s="12" t="s">
        <v>0</v>
      </c>
      <c r="B285" s="13" t="s">
        <v>1</v>
      </c>
      <c r="C285" s="13" t="s">
        <v>2189</v>
      </c>
      <c r="D285" s="14">
        <v>44210</v>
      </c>
      <c r="E285" s="14">
        <v>44210</v>
      </c>
      <c r="F285" s="14">
        <v>44217</v>
      </c>
      <c r="G285" s="13" t="s">
        <v>3</v>
      </c>
      <c r="H285" s="13" t="s">
        <v>4</v>
      </c>
      <c r="I285" s="15">
        <v>-51962.93</v>
      </c>
      <c r="J285" s="13" t="s">
        <v>5</v>
      </c>
      <c r="K285" s="13" t="s">
        <v>6</v>
      </c>
      <c r="L285" s="15">
        <v>-4362287.9800000004</v>
      </c>
      <c r="M285" s="15">
        <v>-51962.93</v>
      </c>
      <c r="N285" s="16" t="str">
        <f>IF(M285="","",IF(M285&lt;0,-M285&amp;"_"&amp;COUNTIF(M$2:M285,M285),M285&amp;"_"&amp;COUNTIF(M$2:M285,M285)))</f>
        <v>51962.93_1</v>
      </c>
      <c r="O285" s="17" t="str">
        <f t="shared" si="4"/>
        <v/>
      </c>
      <c r="P285" s="13" t="s">
        <v>2190</v>
      </c>
      <c r="Q285" s="13" t="s">
        <v>2176</v>
      </c>
      <c r="R285" s="13" t="s">
        <v>0</v>
      </c>
      <c r="S285" s="13" t="s">
        <v>0</v>
      </c>
      <c r="T285" s="13" t="s">
        <v>9</v>
      </c>
      <c r="U285" s="13" t="s">
        <v>0</v>
      </c>
      <c r="V285" s="13" t="s">
        <v>0</v>
      </c>
      <c r="W285" s="13" t="s">
        <v>0</v>
      </c>
      <c r="X285" s="13" t="s">
        <v>0</v>
      </c>
      <c r="Y285" s="13" t="s">
        <v>10</v>
      </c>
      <c r="Z285" s="13" t="s">
        <v>0</v>
      </c>
      <c r="AA285" s="14"/>
      <c r="AB285" s="13" t="s">
        <v>0</v>
      </c>
      <c r="AC285" s="13" t="s">
        <v>0</v>
      </c>
      <c r="AD285" s="13" t="s">
        <v>0</v>
      </c>
      <c r="AE285" s="15">
        <v>0</v>
      </c>
    </row>
    <row r="286" spans="1:31" ht="14.15" customHeight="1" x14ac:dyDescent="0.25">
      <c r="A286" s="12" t="s">
        <v>0</v>
      </c>
      <c r="B286" s="13" t="s">
        <v>1</v>
      </c>
      <c r="C286" s="13" t="s">
        <v>178</v>
      </c>
      <c r="D286" s="14">
        <v>44034</v>
      </c>
      <c r="E286" s="14">
        <v>44034</v>
      </c>
      <c r="F286" s="14">
        <v>44040</v>
      </c>
      <c r="G286" s="13" t="s">
        <v>3</v>
      </c>
      <c r="H286" s="13" t="s">
        <v>4</v>
      </c>
      <c r="I286" s="15">
        <v>-51732.15</v>
      </c>
      <c r="J286" s="13" t="s">
        <v>5</v>
      </c>
      <c r="K286" s="13" t="s">
        <v>6</v>
      </c>
      <c r="L286" s="15">
        <v>-4342914</v>
      </c>
      <c r="M286" s="15">
        <v>-51732.15</v>
      </c>
      <c r="N286" s="16" t="str">
        <f>IF(M286="","",IF(M286&lt;0,-M286&amp;"_"&amp;COUNTIF(M$2:M286,M286),M286&amp;"_"&amp;COUNTIF(M$2:M286,M286)))</f>
        <v>51732.15_1</v>
      </c>
      <c r="O286" s="17" t="str">
        <f t="shared" si="4"/>
        <v/>
      </c>
      <c r="P286" s="13" t="s">
        <v>179</v>
      </c>
      <c r="Q286" s="13" t="s">
        <v>175</v>
      </c>
      <c r="R286" s="13" t="s">
        <v>0</v>
      </c>
      <c r="S286" s="13" t="s">
        <v>0</v>
      </c>
      <c r="T286" s="13" t="s">
        <v>9</v>
      </c>
      <c r="U286" s="13" t="s">
        <v>0</v>
      </c>
      <c r="V286" s="13" t="s">
        <v>0</v>
      </c>
      <c r="W286" s="13" t="s">
        <v>0</v>
      </c>
      <c r="X286" s="13" t="s">
        <v>0</v>
      </c>
      <c r="Y286" s="13" t="s">
        <v>10</v>
      </c>
      <c r="Z286" s="13" t="s">
        <v>0</v>
      </c>
      <c r="AA286" s="14"/>
      <c r="AB286" s="13" t="s">
        <v>0</v>
      </c>
      <c r="AC286" s="13" t="s">
        <v>0</v>
      </c>
      <c r="AD286" s="13" t="s">
        <v>0</v>
      </c>
      <c r="AE286" s="15">
        <v>0</v>
      </c>
    </row>
    <row r="287" spans="1:31" ht="14.15" customHeight="1" x14ac:dyDescent="0.25">
      <c r="A287" s="12" t="s">
        <v>0</v>
      </c>
      <c r="B287" s="13" t="s">
        <v>1</v>
      </c>
      <c r="C287" s="13" t="s">
        <v>3758</v>
      </c>
      <c r="D287" s="14">
        <v>44340</v>
      </c>
      <c r="E287" s="14">
        <v>44340</v>
      </c>
      <c r="F287" s="14">
        <v>44345</v>
      </c>
      <c r="G287" s="13" t="s">
        <v>3</v>
      </c>
      <c r="H287" s="13" t="s">
        <v>4</v>
      </c>
      <c r="I287" s="15">
        <v>-51617.52</v>
      </c>
      <c r="J287" s="13" t="s">
        <v>5</v>
      </c>
      <c r="K287" s="13" t="s">
        <v>6</v>
      </c>
      <c r="L287" s="15">
        <v>-4333290.8099999996</v>
      </c>
      <c r="M287" s="15">
        <v>-51617.52</v>
      </c>
      <c r="N287" s="16" t="str">
        <f>IF(M287="","",IF(M287&lt;0,-M287&amp;"_"&amp;COUNTIF(M$2:M287,M287),M287&amp;"_"&amp;COUNTIF(M$2:M287,M287)))</f>
        <v>51617.52_1</v>
      </c>
      <c r="O287" s="17" t="str">
        <f t="shared" si="4"/>
        <v/>
      </c>
      <c r="P287" s="13" t="s">
        <v>3759</v>
      </c>
      <c r="Q287" s="13" t="s">
        <v>3753</v>
      </c>
      <c r="R287" s="13" t="s">
        <v>0</v>
      </c>
      <c r="S287" s="13" t="s">
        <v>0</v>
      </c>
      <c r="T287" s="13" t="s">
        <v>9</v>
      </c>
      <c r="U287" s="13" t="s">
        <v>0</v>
      </c>
      <c r="V287" s="13" t="s">
        <v>0</v>
      </c>
      <c r="W287" s="13" t="s">
        <v>0</v>
      </c>
      <c r="X287" s="13" t="s">
        <v>0</v>
      </c>
      <c r="Y287" s="13" t="s">
        <v>10</v>
      </c>
      <c r="Z287" s="13" t="s">
        <v>0</v>
      </c>
      <c r="AA287" s="14"/>
      <c r="AB287" s="13" t="s">
        <v>0</v>
      </c>
      <c r="AC287" s="13" t="s">
        <v>0</v>
      </c>
      <c r="AD287" s="13" t="s">
        <v>0</v>
      </c>
      <c r="AE287" s="15">
        <v>0</v>
      </c>
    </row>
    <row r="288" spans="1:31" ht="14.15" customHeight="1" x14ac:dyDescent="0.25">
      <c r="A288" s="12" t="s">
        <v>0</v>
      </c>
      <c r="B288" s="13" t="s">
        <v>1</v>
      </c>
      <c r="C288" s="13" t="s">
        <v>1382</v>
      </c>
      <c r="D288" s="14">
        <v>44153</v>
      </c>
      <c r="E288" s="14">
        <v>44153</v>
      </c>
      <c r="F288" s="14">
        <v>44159</v>
      </c>
      <c r="G288" s="13" t="s">
        <v>3</v>
      </c>
      <c r="H288" s="13" t="s">
        <v>4</v>
      </c>
      <c r="I288" s="15">
        <v>-51573.04</v>
      </c>
      <c r="J288" s="13" t="s">
        <v>5</v>
      </c>
      <c r="K288" s="13" t="s">
        <v>6</v>
      </c>
      <c r="L288" s="15">
        <v>-4329556.71</v>
      </c>
      <c r="M288" s="15">
        <v>-51573.04</v>
      </c>
      <c r="N288" s="16" t="str">
        <f>IF(M288="","",IF(M288&lt;0,-M288&amp;"_"&amp;COUNTIF(M$2:M288,M288),M288&amp;"_"&amp;COUNTIF(M$2:M288,M288)))</f>
        <v>51573.04_1</v>
      </c>
      <c r="O288" s="17" t="str">
        <f t="shared" si="4"/>
        <v/>
      </c>
      <c r="P288" s="13" t="s">
        <v>1383</v>
      </c>
      <c r="Q288" s="13" t="s">
        <v>1381</v>
      </c>
      <c r="R288" s="13" t="s">
        <v>0</v>
      </c>
      <c r="S288" s="13" t="s">
        <v>0</v>
      </c>
      <c r="T288" s="13" t="s">
        <v>9</v>
      </c>
      <c r="U288" s="13" t="s">
        <v>0</v>
      </c>
      <c r="V288" s="13" t="s">
        <v>0</v>
      </c>
      <c r="W288" s="13" t="s">
        <v>0</v>
      </c>
      <c r="X288" s="13" t="s">
        <v>0</v>
      </c>
      <c r="Y288" s="13" t="s">
        <v>10</v>
      </c>
      <c r="Z288" s="13" t="s">
        <v>0</v>
      </c>
      <c r="AA288" s="14"/>
      <c r="AB288" s="13" t="s">
        <v>0</v>
      </c>
      <c r="AC288" s="13" t="s">
        <v>0</v>
      </c>
      <c r="AD288" s="13" t="s">
        <v>0</v>
      </c>
      <c r="AE288" s="15">
        <v>0</v>
      </c>
    </row>
    <row r="289" spans="1:31" ht="14.15" customHeight="1" x14ac:dyDescent="0.25">
      <c r="A289" s="12" t="s">
        <v>0</v>
      </c>
      <c r="B289" s="13" t="s">
        <v>1</v>
      </c>
      <c r="C289" s="13" t="s">
        <v>961</v>
      </c>
      <c r="D289" s="14">
        <v>44123</v>
      </c>
      <c r="E289" s="14">
        <v>44123</v>
      </c>
      <c r="F289" s="14">
        <v>44128</v>
      </c>
      <c r="G289" s="13" t="s">
        <v>3</v>
      </c>
      <c r="H289" s="13" t="s">
        <v>4</v>
      </c>
      <c r="I289" s="15">
        <v>-51465.65</v>
      </c>
      <c r="J289" s="13" t="s">
        <v>5</v>
      </c>
      <c r="K289" s="13" t="s">
        <v>6</v>
      </c>
      <c r="L289" s="15">
        <v>-4320541.32</v>
      </c>
      <c r="M289" s="15">
        <v>-51465.65</v>
      </c>
      <c r="N289" s="16" t="str">
        <f>IF(M289="","",IF(M289&lt;0,-M289&amp;"_"&amp;COUNTIF(M$2:M289,M289),M289&amp;"_"&amp;COUNTIF(M$2:M289,M289)))</f>
        <v>51465.65_1</v>
      </c>
      <c r="O289" s="17" t="str">
        <f t="shared" si="4"/>
        <v/>
      </c>
      <c r="P289" s="13" t="s">
        <v>962</v>
      </c>
      <c r="Q289" s="13" t="s">
        <v>958</v>
      </c>
      <c r="R289" s="13" t="s">
        <v>0</v>
      </c>
      <c r="S289" s="13" t="s">
        <v>0</v>
      </c>
      <c r="T289" s="13" t="s">
        <v>9</v>
      </c>
      <c r="U289" s="13" t="s">
        <v>0</v>
      </c>
      <c r="V289" s="13" t="s">
        <v>0</v>
      </c>
      <c r="W289" s="13" t="s">
        <v>0</v>
      </c>
      <c r="X289" s="13" t="s">
        <v>0</v>
      </c>
      <c r="Y289" s="13" t="s">
        <v>10</v>
      </c>
      <c r="Z289" s="13" t="s">
        <v>0</v>
      </c>
      <c r="AA289" s="14"/>
      <c r="AB289" s="13" t="s">
        <v>0</v>
      </c>
      <c r="AC289" s="13" t="s">
        <v>0</v>
      </c>
      <c r="AD289" s="13" t="s">
        <v>0</v>
      </c>
      <c r="AE289" s="15">
        <v>0</v>
      </c>
    </row>
    <row r="290" spans="1:31" ht="14.15" customHeight="1" x14ac:dyDescent="0.25">
      <c r="A290" s="12" t="s">
        <v>0</v>
      </c>
      <c r="B290" s="13" t="s">
        <v>1</v>
      </c>
      <c r="C290" s="13" t="s">
        <v>2389</v>
      </c>
      <c r="D290" s="14">
        <v>44227</v>
      </c>
      <c r="E290" s="14">
        <v>44227</v>
      </c>
      <c r="F290" s="14">
        <v>44231</v>
      </c>
      <c r="G290" s="13" t="s">
        <v>3</v>
      </c>
      <c r="H290" s="13" t="s">
        <v>4</v>
      </c>
      <c r="I290" s="15">
        <v>-51227.47</v>
      </c>
      <c r="J290" s="13" t="s">
        <v>5</v>
      </c>
      <c r="K290" s="13" t="s">
        <v>6</v>
      </c>
      <c r="L290" s="15">
        <v>-4300546.1100000003</v>
      </c>
      <c r="M290" s="15">
        <v>-51227.47</v>
      </c>
      <c r="N290" s="16" t="str">
        <f>IF(M290="","",IF(M290&lt;0,-M290&amp;"_"&amp;COUNTIF(M$2:M290,M290),M290&amp;"_"&amp;COUNTIF(M$2:M290,M290)))</f>
        <v>51227.47_1</v>
      </c>
      <c r="O290" s="17" t="str">
        <f t="shared" si="4"/>
        <v/>
      </c>
      <c r="P290" s="13" t="s">
        <v>2390</v>
      </c>
      <c r="Q290" s="13" t="s">
        <v>2378</v>
      </c>
      <c r="R290" s="13" t="s">
        <v>0</v>
      </c>
      <c r="S290" s="13" t="s">
        <v>0</v>
      </c>
      <c r="T290" s="13" t="s">
        <v>9</v>
      </c>
      <c r="U290" s="13" t="s">
        <v>0</v>
      </c>
      <c r="V290" s="13" t="s">
        <v>0</v>
      </c>
      <c r="W290" s="13" t="s">
        <v>0</v>
      </c>
      <c r="X290" s="13" t="s">
        <v>0</v>
      </c>
      <c r="Y290" s="13" t="s">
        <v>10</v>
      </c>
      <c r="Z290" s="13" t="s">
        <v>0</v>
      </c>
      <c r="AA290" s="14"/>
      <c r="AB290" s="13" t="s">
        <v>0</v>
      </c>
      <c r="AC290" s="13" t="s">
        <v>0</v>
      </c>
      <c r="AD290" s="13" t="s">
        <v>0</v>
      </c>
      <c r="AE290" s="15">
        <v>0</v>
      </c>
    </row>
    <row r="291" spans="1:31" ht="14.15" customHeight="1" x14ac:dyDescent="0.25">
      <c r="A291" s="12" t="s">
        <v>0</v>
      </c>
      <c r="B291" s="13" t="s">
        <v>1</v>
      </c>
      <c r="C291" s="13" t="s">
        <v>2739</v>
      </c>
      <c r="D291" s="14">
        <v>44259</v>
      </c>
      <c r="E291" s="14">
        <v>44259</v>
      </c>
      <c r="F291" s="14">
        <v>44265</v>
      </c>
      <c r="G291" s="13" t="s">
        <v>3</v>
      </c>
      <c r="H291" s="13" t="s">
        <v>4</v>
      </c>
      <c r="I291" s="15">
        <v>-51207.43</v>
      </c>
      <c r="J291" s="13" t="s">
        <v>5</v>
      </c>
      <c r="K291" s="13" t="s">
        <v>6</v>
      </c>
      <c r="L291" s="15">
        <v>-4298863.75</v>
      </c>
      <c r="M291" s="15">
        <v>-51207.43</v>
      </c>
      <c r="N291" s="16" t="str">
        <f>IF(M291="","",IF(M291&lt;0,-M291&amp;"_"&amp;COUNTIF(M$2:M291,M291),M291&amp;"_"&amp;COUNTIF(M$2:M291,M291)))</f>
        <v>51207.43_1</v>
      </c>
      <c r="O291" s="17" t="str">
        <f t="shared" si="4"/>
        <v/>
      </c>
      <c r="P291" s="13" t="s">
        <v>2740</v>
      </c>
      <c r="Q291" s="13" t="s">
        <v>2741</v>
      </c>
      <c r="R291" s="13" t="s">
        <v>0</v>
      </c>
      <c r="S291" s="13" t="s">
        <v>0</v>
      </c>
      <c r="T291" s="13" t="s">
        <v>9</v>
      </c>
      <c r="U291" s="13" t="s">
        <v>0</v>
      </c>
      <c r="V291" s="13" t="s">
        <v>0</v>
      </c>
      <c r="W291" s="13" t="s">
        <v>0</v>
      </c>
      <c r="X291" s="13" t="s">
        <v>0</v>
      </c>
      <c r="Y291" s="13" t="s">
        <v>10</v>
      </c>
      <c r="Z291" s="13" t="s">
        <v>0</v>
      </c>
      <c r="AA291" s="14"/>
      <c r="AB291" s="13" t="s">
        <v>0</v>
      </c>
      <c r="AC291" s="13" t="s">
        <v>0</v>
      </c>
      <c r="AD291" s="13" t="s">
        <v>0</v>
      </c>
      <c r="AE291" s="15">
        <v>0</v>
      </c>
    </row>
    <row r="292" spans="1:31" ht="14.15" customHeight="1" x14ac:dyDescent="0.25">
      <c r="A292" s="12" t="s">
        <v>0</v>
      </c>
      <c r="B292" s="13" t="s">
        <v>1</v>
      </c>
      <c r="C292" s="13" t="s">
        <v>1090</v>
      </c>
      <c r="D292" s="14">
        <v>44135</v>
      </c>
      <c r="E292" s="14">
        <v>44135</v>
      </c>
      <c r="F292" s="14">
        <v>44140</v>
      </c>
      <c r="G292" s="13" t="s">
        <v>3</v>
      </c>
      <c r="H292" s="13" t="s">
        <v>4</v>
      </c>
      <c r="I292" s="15">
        <v>-51130.92</v>
      </c>
      <c r="J292" s="13" t="s">
        <v>5</v>
      </c>
      <c r="K292" s="13" t="s">
        <v>6</v>
      </c>
      <c r="L292" s="15">
        <v>-4292440.7300000004</v>
      </c>
      <c r="M292" s="15">
        <v>-51130.92</v>
      </c>
      <c r="N292" s="16" t="str">
        <f>IF(M292="","",IF(M292&lt;0,-M292&amp;"_"&amp;COUNTIF(M$2:M292,M292),M292&amp;"_"&amp;COUNTIF(M$2:M292,M292)))</f>
        <v>51130.92_1</v>
      </c>
      <c r="O292" s="17" t="str">
        <f t="shared" si="4"/>
        <v/>
      </c>
      <c r="P292" s="13" t="s">
        <v>1091</v>
      </c>
      <c r="Q292" s="13" t="s">
        <v>1083</v>
      </c>
      <c r="R292" s="13" t="s">
        <v>0</v>
      </c>
      <c r="S292" s="13" t="s">
        <v>0</v>
      </c>
      <c r="T292" s="13" t="s">
        <v>9</v>
      </c>
      <c r="U292" s="13" t="s">
        <v>0</v>
      </c>
      <c r="V292" s="13" t="s">
        <v>0</v>
      </c>
      <c r="W292" s="13" t="s">
        <v>0</v>
      </c>
      <c r="X292" s="13" t="s">
        <v>0</v>
      </c>
      <c r="Y292" s="13" t="s">
        <v>10</v>
      </c>
      <c r="Z292" s="13" t="s">
        <v>0</v>
      </c>
      <c r="AA292" s="14"/>
      <c r="AB292" s="13" t="s">
        <v>0</v>
      </c>
      <c r="AC292" s="13" t="s">
        <v>0</v>
      </c>
      <c r="AD292" s="13" t="s">
        <v>0</v>
      </c>
      <c r="AE292" s="15">
        <v>0</v>
      </c>
    </row>
    <row r="293" spans="1:31" ht="14.15" customHeight="1" x14ac:dyDescent="0.25">
      <c r="A293" s="12" t="s">
        <v>0</v>
      </c>
      <c r="B293" s="13" t="s">
        <v>1</v>
      </c>
      <c r="C293" s="13" t="s">
        <v>1332</v>
      </c>
      <c r="D293" s="14">
        <v>44149</v>
      </c>
      <c r="E293" s="14">
        <v>44149</v>
      </c>
      <c r="F293" s="14">
        <v>44153</v>
      </c>
      <c r="G293" s="13" t="s">
        <v>3</v>
      </c>
      <c r="H293" s="13" t="s">
        <v>4</v>
      </c>
      <c r="I293" s="15">
        <v>-50999.18</v>
      </c>
      <c r="J293" s="13" t="s">
        <v>5</v>
      </c>
      <c r="K293" s="13" t="s">
        <v>6</v>
      </c>
      <c r="L293" s="15">
        <v>-4281381.16</v>
      </c>
      <c r="M293" s="15">
        <v>-50999.18</v>
      </c>
      <c r="N293" s="16" t="str">
        <f>IF(M293="","",IF(M293&lt;0,-M293&amp;"_"&amp;COUNTIF(M$2:M293,M293),M293&amp;"_"&amp;COUNTIF(M$2:M293,M293)))</f>
        <v>50999.18_1</v>
      </c>
      <c r="O293" s="17" t="str">
        <f t="shared" si="4"/>
        <v/>
      </c>
      <c r="P293" s="13" t="s">
        <v>1333</v>
      </c>
      <c r="Q293" s="13" t="s">
        <v>1331</v>
      </c>
      <c r="R293" s="13" t="s">
        <v>0</v>
      </c>
      <c r="S293" s="13" t="s">
        <v>0</v>
      </c>
      <c r="T293" s="13" t="s">
        <v>9</v>
      </c>
      <c r="U293" s="13" t="s">
        <v>0</v>
      </c>
      <c r="V293" s="13" t="s">
        <v>0</v>
      </c>
      <c r="W293" s="13" t="s">
        <v>0</v>
      </c>
      <c r="X293" s="13" t="s">
        <v>0</v>
      </c>
      <c r="Y293" s="13" t="s">
        <v>10</v>
      </c>
      <c r="Z293" s="13" t="s">
        <v>0</v>
      </c>
      <c r="AA293" s="14"/>
      <c r="AB293" s="13" t="s">
        <v>0</v>
      </c>
      <c r="AC293" s="13" t="s">
        <v>0</v>
      </c>
      <c r="AD293" s="13" t="s">
        <v>0</v>
      </c>
      <c r="AE293" s="15">
        <v>0</v>
      </c>
    </row>
    <row r="294" spans="1:31" ht="14.15" customHeight="1" x14ac:dyDescent="0.25">
      <c r="A294" s="12" t="s">
        <v>0</v>
      </c>
      <c r="B294" s="13" t="s">
        <v>1</v>
      </c>
      <c r="C294" s="13" t="s">
        <v>2739</v>
      </c>
      <c r="D294" s="14">
        <v>44259</v>
      </c>
      <c r="E294" s="14">
        <v>44259</v>
      </c>
      <c r="F294" s="14">
        <v>44265</v>
      </c>
      <c r="G294" s="13" t="s">
        <v>3</v>
      </c>
      <c r="H294" s="13" t="s">
        <v>4</v>
      </c>
      <c r="I294" s="15">
        <v>-50963.63</v>
      </c>
      <c r="J294" s="13" t="s">
        <v>5</v>
      </c>
      <c r="K294" s="13" t="s">
        <v>6</v>
      </c>
      <c r="L294" s="15">
        <v>-4278396.74</v>
      </c>
      <c r="M294" s="15">
        <v>-50963.63</v>
      </c>
      <c r="N294" s="16" t="str">
        <f>IF(M294="","",IF(M294&lt;0,-M294&amp;"_"&amp;COUNTIF(M$2:M294,M294),M294&amp;"_"&amp;COUNTIF(M$2:M294,M294)))</f>
        <v>50963.63_1</v>
      </c>
      <c r="O294" s="17" t="str">
        <f t="shared" si="4"/>
        <v/>
      </c>
      <c r="P294" s="13" t="s">
        <v>2740</v>
      </c>
      <c r="Q294" s="13" t="s">
        <v>2741</v>
      </c>
      <c r="R294" s="13" t="s">
        <v>0</v>
      </c>
      <c r="S294" s="13" t="s">
        <v>0</v>
      </c>
      <c r="T294" s="13" t="s">
        <v>9</v>
      </c>
      <c r="U294" s="13" t="s">
        <v>0</v>
      </c>
      <c r="V294" s="13" t="s">
        <v>0</v>
      </c>
      <c r="W294" s="13" t="s">
        <v>0</v>
      </c>
      <c r="X294" s="13" t="s">
        <v>0</v>
      </c>
      <c r="Y294" s="13" t="s">
        <v>10</v>
      </c>
      <c r="Z294" s="13" t="s">
        <v>0</v>
      </c>
      <c r="AA294" s="14"/>
      <c r="AB294" s="13" t="s">
        <v>0</v>
      </c>
      <c r="AC294" s="13" t="s">
        <v>0</v>
      </c>
      <c r="AD294" s="13" t="s">
        <v>0</v>
      </c>
      <c r="AE294" s="15">
        <v>0</v>
      </c>
    </row>
    <row r="295" spans="1:31" ht="14.15" customHeight="1" x14ac:dyDescent="0.25">
      <c r="A295" s="12" t="s">
        <v>0</v>
      </c>
      <c r="B295" s="13" t="s">
        <v>1</v>
      </c>
      <c r="C295" s="13" t="s">
        <v>3103</v>
      </c>
      <c r="D295" s="14">
        <v>44287</v>
      </c>
      <c r="E295" s="14">
        <v>44287</v>
      </c>
      <c r="F295" s="14">
        <v>44294</v>
      </c>
      <c r="G295" s="13" t="s">
        <v>3</v>
      </c>
      <c r="H295" s="13" t="s">
        <v>4</v>
      </c>
      <c r="I295" s="15">
        <v>-50520.98</v>
      </c>
      <c r="J295" s="13" t="s">
        <v>5</v>
      </c>
      <c r="K295" s="13" t="s">
        <v>6</v>
      </c>
      <c r="L295" s="15">
        <v>-4241236.2699999996</v>
      </c>
      <c r="M295" s="15">
        <v>-50520.98</v>
      </c>
      <c r="N295" s="16" t="str">
        <f>IF(M295="","",IF(M295&lt;0,-M295&amp;"_"&amp;COUNTIF(M$2:M295,M295),M295&amp;"_"&amp;COUNTIF(M$2:M295,M295)))</f>
        <v>50520.98_1</v>
      </c>
      <c r="O295" s="17" t="str">
        <f t="shared" si="4"/>
        <v/>
      </c>
      <c r="P295" s="13" t="s">
        <v>3104</v>
      </c>
      <c r="Q295" s="13" t="s">
        <v>3102</v>
      </c>
      <c r="R295" s="13" t="s">
        <v>0</v>
      </c>
      <c r="S295" s="13" t="s">
        <v>0</v>
      </c>
      <c r="T295" s="13" t="s">
        <v>9</v>
      </c>
      <c r="U295" s="13" t="s">
        <v>0</v>
      </c>
      <c r="V295" s="13" t="s">
        <v>0</v>
      </c>
      <c r="W295" s="13" t="s">
        <v>0</v>
      </c>
      <c r="X295" s="13" t="s">
        <v>0</v>
      </c>
      <c r="Y295" s="13" t="s">
        <v>10</v>
      </c>
      <c r="Z295" s="13" t="s">
        <v>0</v>
      </c>
      <c r="AA295" s="14"/>
      <c r="AB295" s="13" t="s">
        <v>0</v>
      </c>
      <c r="AC295" s="13" t="s">
        <v>0</v>
      </c>
      <c r="AD295" s="13" t="s">
        <v>0</v>
      </c>
      <c r="AE295" s="15">
        <v>0</v>
      </c>
    </row>
    <row r="296" spans="1:31" ht="14.15" customHeight="1" x14ac:dyDescent="0.25">
      <c r="A296" s="12" t="s">
        <v>0</v>
      </c>
      <c r="B296" s="13" t="s">
        <v>1</v>
      </c>
      <c r="C296" s="13" t="s">
        <v>3179</v>
      </c>
      <c r="D296" s="14">
        <v>44299</v>
      </c>
      <c r="E296" s="14">
        <v>44299</v>
      </c>
      <c r="F296" s="14">
        <v>44308</v>
      </c>
      <c r="G296" s="13" t="s">
        <v>3</v>
      </c>
      <c r="H296" s="13" t="s">
        <v>4</v>
      </c>
      <c r="I296" s="15">
        <v>-50475.96</v>
      </c>
      <c r="J296" s="13" t="s">
        <v>5</v>
      </c>
      <c r="K296" s="13" t="s">
        <v>6</v>
      </c>
      <c r="L296" s="15">
        <v>-4237456.84</v>
      </c>
      <c r="M296" s="15">
        <v>-50475.96</v>
      </c>
      <c r="N296" s="16" t="str">
        <f>IF(M296="","",IF(M296&lt;0,-M296&amp;"_"&amp;COUNTIF(M$2:M296,M296),M296&amp;"_"&amp;COUNTIF(M$2:M296,M296)))</f>
        <v>50475.96_1</v>
      </c>
      <c r="O296" s="17" t="str">
        <f t="shared" si="4"/>
        <v/>
      </c>
      <c r="P296" s="13" t="s">
        <v>3180</v>
      </c>
      <c r="Q296" s="13" t="s">
        <v>3170</v>
      </c>
      <c r="R296" s="13" t="s">
        <v>0</v>
      </c>
      <c r="S296" s="13" t="s">
        <v>0</v>
      </c>
      <c r="T296" s="13" t="s">
        <v>9</v>
      </c>
      <c r="U296" s="13" t="s">
        <v>0</v>
      </c>
      <c r="V296" s="13" t="s">
        <v>0</v>
      </c>
      <c r="W296" s="13" t="s">
        <v>0</v>
      </c>
      <c r="X296" s="13" t="s">
        <v>0</v>
      </c>
      <c r="Y296" s="13" t="s">
        <v>10</v>
      </c>
      <c r="Z296" s="13" t="s">
        <v>0</v>
      </c>
      <c r="AA296" s="14"/>
      <c r="AB296" s="13" t="s">
        <v>0</v>
      </c>
      <c r="AC296" s="13" t="s">
        <v>0</v>
      </c>
      <c r="AD296" s="13" t="s">
        <v>0</v>
      </c>
      <c r="AE296" s="15">
        <v>0</v>
      </c>
    </row>
    <row r="297" spans="1:31" ht="14.15" customHeight="1" x14ac:dyDescent="0.25">
      <c r="A297" s="12" t="s">
        <v>0</v>
      </c>
      <c r="B297" s="13" t="s">
        <v>1</v>
      </c>
      <c r="C297" s="13" t="s">
        <v>182</v>
      </c>
      <c r="D297" s="14">
        <v>44034</v>
      </c>
      <c r="E297" s="14">
        <v>44034</v>
      </c>
      <c r="F297" s="14">
        <v>44040</v>
      </c>
      <c r="G297" s="13" t="s">
        <v>3</v>
      </c>
      <c r="H297" s="13" t="s">
        <v>4</v>
      </c>
      <c r="I297" s="15">
        <v>-49955.94</v>
      </c>
      <c r="J297" s="13" t="s">
        <v>5</v>
      </c>
      <c r="K297" s="13" t="s">
        <v>6</v>
      </c>
      <c r="L297" s="15">
        <v>-4193801.16</v>
      </c>
      <c r="M297" s="15">
        <v>-49955.94</v>
      </c>
      <c r="N297" s="16" t="str">
        <f>IF(M297="","",IF(M297&lt;0,-M297&amp;"_"&amp;COUNTIF(M$2:M297,M297),M297&amp;"_"&amp;COUNTIF(M$2:M297,M297)))</f>
        <v>49955.94_1</v>
      </c>
      <c r="O297" s="17" t="str">
        <f t="shared" si="4"/>
        <v/>
      </c>
      <c r="P297" s="13" t="s">
        <v>183</v>
      </c>
      <c r="Q297" s="13" t="s">
        <v>175</v>
      </c>
      <c r="R297" s="13" t="s">
        <v>0</v>
      </c>
      <c r="S297" s="13" t="s">
        <v>0</v>
      </c>
      <c r="T297" s="13" t="s">
        <v>9</v>
      </c>
      <c r="U297" s="13" t="s">
        <v>0</v>
      </c>
      <c r="V297" s="13" t="s">
        <v>0</v>
      </c>
      <c r="W297" s="13" t="s">
        <v>0</v>
      </c>
      <c r="X297" s="13" t="s">
        <v>0</v>
      </c>
      <c r="Y297" s="13" t="s">
        <v>10</v>
      </c>
      <c r="Z297" s="13" t="s">
        <v>0</v>
      </c>
      <c r="AA297" s="14"/>
      <c r="AB297" s="13" t="s">
        <v>0</v>
      </c>
      <c r="AC297" s="13" t="s">
        <v>0</v>
      </c>
      <c r="AD297" s="13" t="s">
        <v>0</v>
      </c>
      <c r="AE297" s="15">
        <v>0</v>
      </c>
    </row>
    <row r="298" spans="1:31" ht="14.15" customHeight="1" x14ac:dyDescent="0.25">
      <c r="A298" s="12" t="s">
        <v>0</v>
      </c>
      <c r="B298" s="13" t="s">
        <v>1</v>
      </c>
      <c r="C298" s="13" t="s">
        <v>2766</v>
      </c>
      <c r="D298" s="14">
        <v>44261</v>
      </c>
      <c r="E298" s="14">
        <v>44261</v>
      </c>
      <c r="F298" s="14">
        <v>44265</v>
      </c>
      <c r="G298" s="13" t="s">
        <v>3</v>
      </c>
      <c r="H298" s="13" t="s">
        <v>4</v>
      </c>
      <c r="I298" s="15">
        <v>-49894.34</v>
      </c>
      <c r="J298" s="13" t="s">
        <v>5</v>
      </c>
      <c r="K298" s="13" t="s">
        <v>6</v>
      </c>
      <c r="L298" s="15">
        <v>-4188629.84</v>
      </c>
      <c r="M298" s="15">
        <v>-49894.34</v>
      </c>
      <c r="N298" s="16" t="str">
        <f>IF(M298="","",IF(M298&lt;0,-M298&amp;"_"&amp;COUNTIF(M$2:M298,M298),M298&amp;"_"&amp;COUNTIF(M$2:M298,M298)))</f>
        <v>49894.34_1</v>
      </c>
      <c r="O298" s="17" t="str">
        <f t="shared" si="4"/>
        <v/>
      </c>
      <c r="P298" s="13" t="s">
        <v>2767</v>
      </c>
      <c r="Q298" s="13" t="s">
        <v>2763</v>
      </c>
      <c r="R298" s="13" t="s">
        <v>0</v>
      </c>
      <c r="S298" s="13" t="s">
        <v>0</v>
      </c>
      <c r="T298" s="13" t="s">
        <v>9</v>
      </c>
      <c r="U298" s="13" t="s">
        <v>0</v>
      </c>
      <c r="V298" s="13" t="s">
        <v>0</v>
      </c>
      <c r="W298" s="13" t="s">
        <v>0</v>
      </c>
      <c r="X298" s="13" t="s">
        <v>0</v>
      </c>
      <c r="Y298" s="13" t="s">
        <v>10</v>
      </c>
      <c r="Z298" s="13" t="s">
        <v>0</v>
      </c>
      <c r="AA298" s="14"/>
      <c r="AB298" s="13" t="s">
        <v>0</v>
      </c>
      <c r="AC298" s="13" t="s">
        <v>0</v>
      </c>
      <c r="AD298" s="13" t="s">
        <v>0</v>
      </c>
      <c r="AE298" s="15">
        <v>0</v>
      </c>
    </row>
    <row r="299" spans="1:31" ht="14.15" customHeight="1" x14ac:dyDescent="0.25">
      <c r="A299" s="12" t="s">
        <v>0</v>
      </c>
      <c r="B299" s="13" t="s">
        <v>1</v>
      </c>
      <c r="C299" s="13" t="s">
        <v>1129</v>
      </c>
      <c r="D299" s="14">
        <v>44137</v>
      </c>
      <c r="E299" s="14">
        <v>44137</v>
      </c>
      <c r="F299" s="14">
        <v>44145</v>
      </c>
      <c r="G299" s="13" t="s">
        <v>3</v>
      </c>
      <c r="H299" s="13" t="s">
        <v>4</v>
      </c>
      <c r="I299" s="15">
        <v>-49825.62</v>
      </c>
      <c r="J299" s="13" t="s">
        <v>5</v>
      </c>
      <c r="K299" s="13" t="s">
        <v>6</v>
      </c>
      <c r="L299" s="15">
        <v>-4182860.8</v>
      </c>
      <c r="M299" s="15">
        <v>-49825.62</v>
      </c>
      <c r="N299" s="16" t="str">
        <f>IF(M299="","",IF(M299&lt;0,-M299&amp;"_"&amp;COUNTIF(M$2:M299,M299),M299&amp;"_"&amp;COUNTIF(M$2:M299,M299)))</f>
        <v>49825.62_1</v>
      </c>
      <c r="O299" s="17" t="str">
        <f t="shared" si="4"/>
        <v/>
      </c>
      <c r="P299" s="13" t="s">
        <v>1130</v>
      </c>
      <c r="Q299" s="13" t="s">
        <v>1120</v>
      </c>
      <c r="R299" s="13" t="s">
        <v>0</v>
      </c>
      <c r="S299" s="13" t="s">
        <v>0</v>
      </c>
      <c r="T299" s="13" t="s">
        <v>9</v>
      </c>
      <c r="U299" s="13" t="s">
        <v>0</v>
      </c>
      <c r="V299" s="13" t="s">
        <v>0</v>
      </c>
      <c r="W299" s="13" t="s">
        <v>0</v>
      </c>
      <c r="X299" s="13" t="s">
        <v>0</v>
      </c>
      <c r="Y299" s="13" t="s">
        <v>10</v>
      </c>
      <c r="Z299" s="13" t="s">
        <v>0</v>
      </c>
      <c r="AA299" s="14"/>
      <c r="AB299" s="13" t="s">
        <v>0</v>
      </c>
      <c r="AC299" s="13" t="s">
        <v>0</v>
      </c>
      <c r="AD299" s="13" t="s">
        <v>0</v>
      </c>
      <c r="AE299" s="15">
        <v>0</v>
      </c>
    </row>
    <row r="300" spans="1:31" ht="14.15" customHeight="1" x14ac:dyDescent="0.25">
      <c r="A300" s="12" t="s">
        <v>0</v>
      </c>
      <c r="B300" s="13" t="s">
        <v>1</v>
      </c>
      <c r="C300" s="13" t="s">
        <v>1033</v>
      </c>
      <c r="D300" s="14">
        <v>44130</v>
      </c>
      <c r="E300" s="14">
        <v>44130</v>
      </c>
      <c r="F300" s="14">
        <v>44138</v>
      </c>
      <c r="G300" s="13" t="s">
        <v>3</v>
      </c>
      <c r="H300" s="13" t="s">
        <v>4</v>
      </c>
      <c r="I300" s="15">
        <v>-49814.06</v>
      </c>
      <c r="J300" s="13" t="s">
        <v>5</v>
      </c>
      <c r="K300" s="13" t="s">
        <v>6</v>
      </c>
      <c r="L300" s="15">
        <v>-4181890.34</v>
      </c>
      <c r="M300" s="15">
        <v>-49814.06</v>
      </c>
      <c r="N300" s="16" t="str">
        <f>IF(M300="","",IF(M300&lt;0,-M300&amp;"_"&amp;COUNTIF(M$2:M300,M300),M300&amp;"_"&amp;COUNTIF(M$2:M300,M300)))</f>
        <v>49814.06_1</v>
      </c>
      <c r="O300" s="17" t="str">
        <f t="shared" si="4"/>
        <v/>
      </c>
      <c r="P300" s="13" t="s">
        <v>1034</v>
      </c>
      <c r="Q300" s="13" t="s">
        <v>1024</v>
      </c>
      <c r="R300" s="13" t="s">
        <v>0</v>
      </c>
      <c r="S300" s="13" t="s">
        <v>0</v>
      </c>
      <c r="T300" s="13" t="s">
        <v>9</v>
      </c>
      <c r="U300" s="13" t="s">
        <v>0</v>
      </c>
      <c r="V300" s="13" t="s">
        <v>0</v>
      </c>
      <c r="W300" s="13" t="s">
        <v>0</v>
      </c>
      <c r="X300" s="13" t="s">
        <v>0</v>
      </c>
      <c r="Y300" s="13" t="s">
        <v>10</v>
      </c>
      <c r="Z300" s="13" t="s">
        <v>0</v>
      </c>
      <c r="AA300" s="14"/>
      <c r="AB300" s="13" t="s">
        <v>0</v>
      </c>
      <c r="AC300" s="13" t="s">
        <v>0</v>
      </c>
      <c r="AD300" s="13" t="s">
        <v>0</v>
      </c>
      <c r="AE300" s="15">
        <v>0</v>
      </c>
    </row>
    <row r="301" spans="1:31" ht="14.15" customHeight="1" x14ac:dyDescent="0.25">
      <c r="A301" s="12" t="s">
        <v>0</v>
      </c>
      <c r="B301" s="13" t="s">
        <v>1</v>
      </c>
      <c r="C301" s="13" t="s">
        <v>2860</v>
      </c>
      <c r="D301" s="14">
        <v>44273</v>
      </c>
      <c r="E301" s="14">
        <v>44273</v>
      </c>
      <c r="F301" s="14">
        <v>44279</v>
      </c>
      <c r="G301" s="13" t="s">
        <v>3</v>
      </c>
      <c r="H301" s="13" t="s">
        <v>4</v>
      </c>
      <c r="I301" s="15">
        <v>-49796.05</v>
      </c>
      <c r="J301" s="13" t="s">
        <v>5</v>
      </c>
      <c r="K301" s="13" t="s">
        <v>6</v>
      </c>
      <c r="L301" s="15">
        <v>-4180378.4</v>
      </c>
      <c r="M301" s="15">
        <v>-49796.05</v>
      </c>
      <c r="N301" s="16" t="str">
        <f>IF(M301="","",IF(M301&lt;0,-M301&amp;"_"&amp;COUNTIF(M$2:M301,M301),M301&amp;"_"&amp;COUNTIF(M$2:M301,M301)))</f>
        <v>49796.05_1</v>
      </c>
      <c r="O301" s="17" t="str">
        <f t="shared" si="4"/>
        <v/>
      </c>
      <c r="P301" s="13" t="s">
        <v>2861</v>
      </c>
      <c r="Q301" s="13" t="s">
        <v>2857</v>
      </c>
      <c r="R301" s="13" t="s">
        <v>0</v>
      </c>
      <c r="S301" s="13" t="s">
        <v>0</v>
      </c>
      <c r="T301" s="13" t="s">
        <v>9</v>
      </c>
      <c r="U301" s="13" t="s">
        <v>0</v>
      </c>
      <c r="V301" s="13" t="s">
        <v>0</v>
      </c>
      <c r="W301" s="13" t="s">
        <v>0</v>
      </c>
      <c r="X301" s="13" t="s">
        <v>0</v>
      </c>
      <c r="Y301" s="13" t="s">
        <v>10</v>
      </c>
      <c r="Z301" s="13" t="s">
        <v>0</v>
      </c>
      <c r="AA301" s="14"/>
      <c r="AB301" s="13" t="s">
        <v>0</v>
      </c>
      <c r="AC301" s="13" t="s">
        <v>0</v>
      </c>
      <c r="AD301" s="13" t="s">
        <v>0</v>
      </c>
      <c r="AE301" s="15">
        <v>0</v>
      </c>
    </row>
    <row r="302" spans="1:31" ht="14.15" customHeight="1" x14ac:dyDescent="0.25">
      <c r="A302" s="12" t="s">
        <v>0</v>
      </c>
      <c r="B302" s="13" t="s">
        <v>1</v>
      </c>
      <c r="C302" s="13" t="s">
        <v>321</v>
      </c>
      <c r="D302" s="14">
        <v>44043</v>
      </c>
      <c r="E302" s="14">
        <v>44043</v>
      </c>
      <c r="F302" s="14">
        <v>44057</v>
      </c>
      <c r="G302" s="13" t="s">
        <v>3</v>
      </c>
      <c r="H302" s="13" t="s">
        <v>4</v>
      </c>
      <c r="I302" s="15">
        <v>-49773.04</v>
      </c>
      <c r="J302" s="13" t="s">
        <v>5</v>
      </c>
      <c r="K302" s="13" t="s">
        <v>6</v>
      </c>
      <c r="L302" s="15">
        <v>-4178446.71</v>
      </c>
      <c r="M302" s="15">
        <v>-49773.04</v>
      </c>
      <c r="N302" s="16" t="str">
        <f>IF(M302="","",IF(M302&lt;0,-M302&amp;"_"&amp;COUNTIF(M$2:M302,M302),M302&amp;"_"&amp;COUNTIF(M$2:M302,M302)))</f>
        <v>49773.04_1</v>
      </c>
      <c r="O302" s="17" t="str">
        <f t="shared" si="4"/>
        <v/>
      </c>
      <c r="P302" s="13" t="s">
        <v>322</v>
      </c>
      <c r="Q302" s="13" t="s">
        <v>316</v>
      </c>
      <c r="R302" s="13" t="s">
        <v>0</v>
      </c>
      <c r="S302" s="13" t="s">
        <v>0</v>
      </c>
      <c r="T302" s="13" t="s">
        <v>9</v>
      </c>
      <c r="U302" s="13" t="s">
        <v>0</v>
      </c>
      <c r="V302" s="13" t="s">
        <v>0</v>
      </c>
      <c r="W302" s="13" t="s">
        <v>0</v>
      </c>
      <c r="X302" s="13" t="s">
        <v>0</v>
      </c>
      <c r="Y302" s="13" t="s">
        <v>10</v>
      </c>
      <c r="Z302" s="13" t="s">
        <v>0</v>
      </c>
      <c r="AA302" s="14"/>
      <c r="AB302" s="13" t="s">
        <v>0</v>
      </c>
      <c r="AC302" s="13" t="s">
        <v>0</v>
      </c>
      <c r="AD302" s="13" t="s">
        <v>0</v>
      </c>
      <c r="AE302" s="15">
        <v>0</v>
      </c>
    </row>
    <row r="303" spans="1:31" ht="14.15" customHeight="1" x14ac:dyDescent="0.25">
      <c r="A303" s="12" t="s">
        <v>0</v>
      </c>
      <c r="B303" s="13" t="s">
        <v>1</v>
      </c>
      <c r="C303" s="13" t="s">
        <v>1544</v>
      </c>
      <c r="D303" s="14">
        <v>44165</v>
      </c>
      <c r="E303" s="14">
        <v>44165</v>
      </c>
      <c r="F303" s="14">
        <v>44170</v>
      </c>
      <c r="G303" s="13" t="s">
        <v>3</v>
      </c>
      <c r="H303" s="13" t="s">
        <v>4</v>
      </c>
      <c r="I303" s="15">
        <v>-49672.26</v>
      </c>
      <c r="J303" s="13" t="s">
        <v>5</v>
      </c>
      <c r="K303" s="13" t="s">
        <v>6</v>
      </c>
      <c r="L303" s="15">
        <v>-4169986.23</v>
      </c>
      <c r="M303" s="15">
        <v>-49672.26</v>
      </c>
      <c r="N303" s="16" t="str">
        <f>IF(M303="","",IF(M303&lt;0,-M303&amp;"_"&amp;COUNTIF(M$2:M303,M303),M303&amp;"_"&amp;COUNTIF(M$2:M303,M303)))</f>
        <v>49672.26_1</v>
      </c>
      <c r="O303" s="17" t="str">
        <f t="shared" si="4"/>
        <v/>
      </c>
      <c r="P303" s="13" t="s">
        <v>1545</v>
      </c>
      <c r="Q303" s="13" t="s">
        <v>1541</v>
      </c>
      <c r="R303" s="13" t="s">
        <v>0</v>
      </c>
      <c r="S303" s="13" t="s">
        <v>0</v>
      </c>
      <c r="T303" s="13" t="s">
        <v>9</v>
      </c>
      <c r="U303" s="13" t="s">
        <v>0</v>
      </c>
      <c r="V303" s="13" t="s">
        <v>0</v>
      </c>
      <c r="W303" s="13" t="s">
        <v>0</v>
      </c>
      <c r="X303" s="13" t="s">
        <v>0</v>
      </c>
      <c r="Y303" s="13" t="s">
        <v>10</v>
      </c>
      <c r="Z303" s="13" t="s">
        <v>0</v>
      </c>
      <c r="AA303" s="14"/>
      <c r="AB303" s="13" t="s">
        <v>0</v>
      </c>
      <c r="AC303" s="13" t="s">
        <v>0</v>
      </c>
      <c r="AD303" s="13" t="s">
        <v>0</v>
      </c>
      <c r="AE303" s="15">
        <v>0</v>
      </c>
    </row>
    <row r="304" spans="1:31" ht="14.15" customHeight="1" x14ac:dyDescent="0.25">
      <c r="A304" s="12" t="s">
        <v>0</v>
      </c>
      <c r="B304" s="13" t="s">
        <v>1</v>
      </c>
      <c r="C304" s="13" t="s">
        <v>2199</v>
      </c>
      <c r="D304" s="14">
        <v>44211</v>
      </c>
      <c r="E304" s="14">
        <v>44211</v>
      </c>
      <c r="F304" s="14">
        <v>44217</v>
      </c>
      <c r="G304" s="13" t="s">
        <v>3</v>
      </c>
      <c r="H304" s="13" t="s">
        <v>4</v>
      </c>
      <c r="I304" s="15">
        <v>-49630.45</v>
      </c>
      <c r="J304" s="13" t="s">
        <v>5</v>
      </c>
      <c r="K304" s="13" t="s">
        <v>6</v>
      </c>
      <c r="L304" s="15">
        <v>-4166476.28</v>
      </c>
      <c r="M304" s="15">
        <v>-49630.45</v>
      </c>
      <c r="N304" s="16" t="str">
        <f>IF(M304="","",IF(M304&lt;0,-M304&amp;"_"&amp;COUNTIF(M$2:M304,M304),M304&amp;"_"&amp;COUNTIF(M$2:M304,M304)))</f>
        <v>49630.45_1</v>
      </c>
      <c r="O304" s="17" t="str">
        <f t="shared" si="4"/>
        <v/>
      </c>
      <c r="P304" s="13" t="s">
        <v>2200</v>
      </c>
      <c r="Q304" s="13" t="s">
        <v>2201</v>
      </c>
      <c r="R304" s="13" t="s">
        <v>0</v>
      </c>
      <c r="S304" s="13" t="s">
        <v>0</v>
      </c>
      <c r="T304" s="13" t="s">
        <v>9</v>
      </c>
      <c r="U304" s="13" t="s">
        <v>0</v>
      </c>
      <c r="V304" s="13" t="s">
        <v>0</v>
      </c>
      <c r="W304" s="13" t="s">
        <v>0</v>
      </c>
      <c r="X304" s="13" t="s">
        <v>0</v>
      </c>
      <c r="Y304" s="13" t="s">
        <v>10</v>
      </c>
      <c r="Z304" s="13" t="s">
        <v>0</v>
      </c>
      <c r="AA304" s="14"/>
      <c r="AB304" s="13" t="s">
        <v>0</v>
      </c>
      <c r="AC304" s="13" t="s">
        <v>0</v>
      </c>
      <c r="AD304" s="13" t="s">
        <v>0</v>
      </c>
      <c r="AE304" s="15">
        <v>0</v>
      </c>
    </row>
    <row r="305" spans="1:31" ht="14.15" customHeight="1" x14ac:dyDescent="0.25">
      <c r="A305" s="12" t="s">
        <v>0</v>
      </c>
      <c r="B305" s="13" t="s">
        <v>1</v>
      </c>
      <c r="C305" s="13" t="s">
        <v>3519</v>
      </c>
      <c r="D305" s="14">
        <v>44324</v>
      </c>
      <c r="E305" s="14">
        <v>44324</v>
      </c>
      <c r="F305" s="14">
        <v>44329</v>
      </c>
      <c r="G305" s="13" t="s">
        <v>3</v>
      </c>
      <c r="H305" s="13" t="s">
        <v>4</v>
      </c>
      <c r="I305" s="15">
        <v>-49562.21</v>
      </c>
      <c r="J305" s="13" t="s">
        <v>5</v>
      </c>
      <c r="K305" s="13" t="s">
        <v>6</v>
      </c>
      <c r="L305" s="15">
        <v>-4160747.53</v>
      </c>
      <c r="M305" s="15">
        <v>-49562.21</v>
      </c>
      <c r="N305" s="16" t="str">
        <f>IF(M305="","",IF(M305&lt;0,-M305&amp;"_"&amp;COUNTIF(M$2:M305,M305),M305&amp;"_"&amp;COUNTIF(M$2:M305,M305)))</f>
        <v>49562.21_1</v>
      </c>
      <c r="O305" s="17" t="str">
        <f t="shared" si="4"/>
        <v/>
      </c>
      <c r="P305" s="13" t="s">
        <v>3520</v>
      </c>
      <c r="Q305" s="13" t="s">
        <v>3512</v>
      </c>
      <c r="R305" s="13" t="s">
        <v>0</v>
      </c>
      <c r="S305" s="13" t="s">
        <v>0</v>
      </c>
      <c r="T305" s="13" t="s">
        <v>9</v>
      </c>
      <c r="U305" s="13" t="s">
        <v>0</v>
      </c>
      <c r="V305" s="13" t="s">
        <v>0</v>
      </c>
      <c r="W305" s="13" t="s">
        <v>0</v>
      </c>
      <c r="X305" s="13" t="s">
        <v>0</v>
      </c>
      <c r="Y305" s="13" t="s">
        <v>10</v>
      </c>
      <c r="Z305" s="13" t="s">
        <v>0</v>
      </c>
      <c r="AA305" s="14"/>
      <c r="AB305" s="13" t="s">
        <v>0</v>
      </c>
      <c r="AC305" s="13" t="s">
        <v>0</v>
      </c>
      <c r="AD305" s="13" t="s">
        <v>0</v>
      </c>
      <c r="AE305" s="15">
        <v>0</v>
      </c>
    </row>
    <row r="306" spans="1:31" ht="14.15" customHeight="1" x14ac:dyDescent="0.25">
      <c r="A306" s="12" t="s">
        <v>0</v>
      </c>
      <c r="B306" s="13" t="s">
        <v>1</v>
      </c>
      <c r="C306" s="13" t="s">
        <v>150</v>
      </c>
      <c r="D306" s="14">
        <v>44031</v>
      </c>
      <c r="E306" s="14">
        <v>44031</v>
      </c>
      <c r="F306" s="14">
        <v>44034</v>
      </c>
      <c r="G306" s="13" t="s">
        <v>3</v>
      </c>
      <c r="H306" s="13" t="s">
        <v>4</v>
      </c>
      <c r="I306" s="15">
        <v>-49533.61</v>
      </c>
      <c r="J306" s="13" t="s">
        <v>5</v>
      </c>
      <c r="K306" s="13" t="s">
        <v>6</v>
      </c>
      <c r="L306" s="15">
        <v>-4158346.56</v>
      </c>
      <c r="M306" s="15">
        <v>-49533.61</v>
      </c>
      <c r="N306" s="16" t="str">
        <f>IF(M306="","",IF(M306&lt;0,-M306&amp;"_"&amp;COUNTIF(M$2:M306,M306),M306&amp;"_"&amp;COUNTIF(M$2:M306,M306)))</f>
        <v>49533.61_1</v>
      </c>
      <c r="O306" s="17" t="str">
        <f t="shared" si="4"/>
        <v/>
      </c>
      <c r="P306" s="13" t="s">
        <v>151</v>
      </c>
      <c r="Q306" s="13" t="s">
        <v>152</v>
      </c>
      <c r="R306" s="13" t="s">
        <v>0</v>
      </c>
      <c r="S306" s="13" t="s">
        <v>0</v>
      </c>
      <c r="T306" s="13" t="s">
        <v>9</v>
      </c>
      <c r="U306" s="13" t="s">
        <v>0</v>
      </c>
      <c r="V306" s="13" t="s">
        <v>0</v>
      </c>
      <c r="W306" s="13" t="s">
        <v>0</v>
      </c>
      <c r="X306" s="13" t="s">
        <v>0</v>
      </c>
      <c r="Y306" s="13" t="s">
        <v>10</v>
      </c>
      <c r="Z306" s="13" t="s">
        <v>0</v>
      </c>
      <c r="AA306" s="14"/>
      <c r="AB306" s="13" t="s">
        <v>0</v>
      </c>
      <c r="AC306" s="13" t="s">
        <v>0</v>
      </c>
      <c r="AD306" s="13" t="s">
        <v>0</v>
      </c>
      <c r="AE306" s="15">
        <v>0</v>
      </c>
    </row>
    <row r="307" spans="1:31" ht="14.15" customHeight="1" x14ac:dyDescent="0.25">
      <c r="A307" s="12" t="s">
        <v>0</v>
      </c>
      <c r="B307" s="13" t="s">
        <v>1</v>
      </c>
      <c r="C307" s="13" t="s">
        <v>1433</v>
      </c>
      <c r="D307" s="14">
        <v>44157</v>
      </c>
      <c r="E307" s="14">
        <v>44157</v>
      </c>
      <c r="F307" s="14">
        <v>44161</v>
      </c>
      <c r="G307" s="13" t="s">
        <v>3</v>
      </c>
      <c r="H307" s="13" t="s">
        <v>4</v>
      </c>
      <c r="I307" s="15">
        <v>-49469.14</v>
      </c>
      <c r="J307" s="13" t="s">
        <v>5</v>
      </c>
      <c r="K307" s="13" t="s">
        <v>6</v>
      </c>
      <c r="L307" s="15">
        <v>-4152934.3</v>
      </c>
      <c r="M307" s="15">
        <v>-49469.14</v>
      </c>
      <c r="N307" s="16" t="str">
        <f>IF(M307="","",IF(M307&lt;0,-M307&amp;"_"&amp;COUNTIF(M$2:M307,M307),M307&amp;"_"&amp;COUNTIF(M$2:M307,M307)))</f>
        <v>49469.14_1</v>
      </c>
      <c r="O307" s="17" t="str">
        <f t="shared" si="4"/>
        <v/>
      </c>
      <c r="P307" s="13" t="s">
        <v>1434</v>
      </c>
      <c r="Q307" s="13" t="s">
        <v>1435</v>
      </c>
      <c r="R307" s="13" t="s">
        <v>0</v>
      </c>
      <c r="S307" s="13" t="s">
        <v>0</v>
      </c>
      <c r="T307" s="13" t="s">
        <v>9</v>
      </c>
      <c r="U307" s="13" t="s">
        <v>0</v>
      </c>
      <c r="V307" s="13" t="s">
        <v>0</v>
      </c>
      <c r="W307" s="13" t="s">
        <v>0</v>
      </c>
      <c r="X307" s="13" t="s">
        <v>0</v>
      </c>
      <c r="Y307" s="13" t="s">
        <v>10</v>
      </c>
      <c r="Z307" s="13" t="s">
        <v>0</v>
      </c>
      <c r="AA307" s="14"/>
      <c r="AB307" s="13" t="s">
        <v>0</v>
      </c>
      <c r="AC307" s="13" t="s">
        <v>0</v>
      </c>
      <c r="AD307" s="13" t="s">
        <v>0</v>
      </c>
      <c r="AE307" s="15">
        <v>0</v>
      </c>
    </row>
    <row r="308" spans="1:31" ht="14.15" customHeight="1" x14ac:dyDescent="0.25">
      <c r="A308" s="12" t="s">
        <v>0</v>
      </c>
      <c r="B308" s="13" t="s">
        <v>1</v>
      </c>
      <c r="C308" s="13" t="s">
        <v>4019</v>
      </c>
      <c r="D308" s="14">
        <v>44358</v>
      </c>
      <c r="E308" s="14">
        <v>44358</v>
      </c>
      <c r="F308" s="14">
        <v>44363</v>
      </c>
      <c r="G308" s="13" t="s">
        <v>3</v>
      </c>
      <c r="H308" s="13" t="s">
        <v>4</v>
      </c>
      <c r="I308" s="15">
        <v>-49018.27</v>
      </c>
      <c r="J308" s="13" t="s">
        <v>5</v>
      </c>
      <c r="K308" s="13" t="s">
        <v>6</v>
      </c>
      <c r="L308" s="15">
        <v>-4115083.77</v>
      </c>
      <c r="M308" s="15">
        <v>-49018.27</v>
      </c>
      <c r="N308" s="16" t="str">
        <f>IF(M308="","",IF(M308&lt;0,-M308&amp;"_"&amp;COUNTIF(M$2:M308,M308),M308&amp;"_"&amp;COUNTIF(M$2:M308,M308)))</f>
        <v>49018.27_1</v>
      </c>
      <c r="O308" s="17" t="str">
        <f t="shared" si="4"/>
        <v/>
      </c>
      <c r="P308" s="13" t="s">
        <v>4020</v>
      </c>
      <c r="Q308" s="13" t="s">
        <v>4006</v>
      </c>
      <c r="R308" s="13" t="s">
        <v>0</v>
      </c>
      <c r="S308" s="13" t="s">
        <v>0</v>
      </c>
      <c r="T308" s="13" t="s">
        <v>9</v>
      </c>
      <c r="U308" s="13" t="s">
        <v>0</v>
      </c>
      <c r="V308" s="13" t="s">
        <v>0</v>
      </c>
      <c r="W308" s="13" t="s">
        <v>0</v>
      </c>
      <c r="X308" s="13" t="s">
        <v>0</v>
      </c>
      <c r="Y308" s="13" t="s">
        <v>10</v>
      </c>
      <c r="Z308" s="13" t="s">
        <v>0</v>
      </c>
      <c r="AA308" s="14"/>
      <c r="AB308" s="13" t="s">
        <v>0</v>
      </c>
      <c r="AC308" s="13" t="s">
        <v>0</v>
      </c>
      <c r="AD308" s="13" t="s">
        <v>0</v>
      </c>
      <c r="AE308" s="15">
        <v>0</v>
      </c>
    </row>
    <row r="309" spans="1:31" ht="14.15" customHeight="1" x14ac:dyDescent="0.25">
      <c r="A309" s="12" t="s">
        <v>0</v>
      </c>
      <c r="B309" s="13" t="s">
        <v>1</v>
      </c>
      <c r="C309" s="13" t="s">
        <v>601</v>
      </c>
      <c r="D309" s="14">
        <v>44082</v>
      </c>
      <c r="E309" s="14">
        <v>44082</v>
      </c>
      <c r="F309" s="14">
        <v>44086</v>
      </c>
      <c r="G309" s="13" t="s">
        <v>3</v>
      </c>
      <c r="H309" s="13" t="s">
        <v>4</v>
      </c>
      <c r="I309" s="15">
        <v>-49009.21</v>
      </c>
      <c r="J309" s="13" t="s">
        <v>5</v>
      </c>
      <c r="K309" s="13" t="s">
        <v>6</v>
      </c>
      <c r="L309" s="15">
        <v>-4114323.18</v>
      </c>
      <c r="M309" s="15">
        <v>-49009.21</v>
      </c>
      <c r="N309" s="16" t="str">
        <f>IF(M309="","",IF(M309&lt;0,-M309&amp;"_"&amp;COUNTIF(M$2:M309,M309),M309&amp;"_"&amp;COUNTIF(M$2:M309,M309)))</f>
        <v>49009.21_1</v>
      </c>
      <c r="O309" s="17" t="str">
        <f t="shared" si="4"/>
        <v/>
      </c>
      <c r="P309" s="13" t="s">
        <v>602</v>
      </c>
      <c r="Q309" s="13" t="s">
        <v>603</v>
      </c>
      <c r="R309" s="13" t="s">
        <v>0</v>
      </c>
      <c r="S309" s="13" t="s">
        <v>0</v>
      </c>
      <c r="T309" s="13" t="s">
        <v>9</v>
      </c>
      <c r="U309" s="13" t="s">
        <v>0</v>
      </c>
      <c r="V309" s="13" t="s">
        <v>0</v>
      </c>
      <c r="W309" s="13" t="s">
        <v>0</v>
      </c>
      <c r="X309" s="13" t="s">
        <v>0</v>
      </c>
      <c r="Y309" s="13" t="s">
        <v>10</v>
      </c>
      <c r="Z309" s="13" t="s">
        <v>0</v>
      </c>
      <c r="AA309" s="14"/>
      <c r="AB309" s="13" t="s">
        <v>0</v>
      </c>
      <c r="AC309" s="13" t="s">
        <v>0</v>
      </c>
      <c r="AD309" s="13" t="s">
        <v>0</v>
      </c>
      <c r="AE309" s="15">
        <v>0</v>
      </c>
    </row>
    <row r="310" spans="1:31" ht="14.15" customHeight="1" x14ac:dyDescent="0.25">
      <c r="A310" s="12" t="s">
        <v>0</v>
      </c>
      <c r="B310" s="13" t="s">
        <v>1</v>
      </c>
      <c r="C310" s="13" t="s">
        <v>2533</v>
      </c>
      <c r="D310" s="14">
        <v>44238</v>
      </c>
      <c r="E310" s="14">
        <v>44238</v>
      </c>
      <c r="F310" s="14">
        <v>44243</v>
      </c>
      <c r="G310" s="13" t="s">
        <v>3</v>
      </c>
      <c r="H310" s="13" t="s">
        <v>4</v>
      </c>
      <c r="I310" s="15">
        <v>-48961.15</v>
      </c>
      <c r="J310" s="13" t="s">
        <v>5</v>
      </c>
      <c r="K310" s="13" t="s">
        <v>6</v>
      </c>
      <c r="L310" s="15">
        <v>-4110288.54</v>
      </c>
      <c r="M310" s="15">
        <v>-48961.15</v>
      </c>
      <c r="N310" s="16" t="str">
        <f>IF(M310="","",IF(M310&lt;0,-M310&amp;"_"&amp;COUNTIF(M$2:M310,M310),M310&amp;"_"&amp;COUNTIF(M$2:M310,M310)))</f>
        <v>48961.15_1</v>
      </c>
      <c r="O310" s="17" t="str">
        <f t="shared" si="4"/>
        <v/>
      </c>
      <c r="P310" s="13" t="s">
        <v>2534</v>
      </c>
      <c r="Q310" s="13" t="s">
        <v>2528</v>
      </c>
      <c r="R310" s="13" t="s">
        <v>0</v>
      </c>
      <c r="S310" s="13" t="s">
        <v>0</v>
      </c>
      <c r="T310" s="13" t="s">
        <v>9</v>
      </c>
      <c r="U310" s="13" t="s">
        <v>0</v>
      </c>
      <c r="V310" s="13" t="s">
        <v>0</v>
      </c>
      <c r="W310" s="13" t="s">
        <v>0</v>
      </c>
      <c r="X310" s="13" t="s">
        <v>0</v>
      </c>
      <c r="Y310" s="13" t="s">
        <v>10</v>
      </c>
      <c r="Z310" s="13" t="s">
        <v>0</v>
      </c>
      <c r="AA310" s="14"/>
      <c r="AB310" s="13" t="s">
        <v>0</v>
      </c>
      <c r="AC310" s="13" t="s">
        <v>0</v>
      </c>
      <c r="AD310" s="13" t="s">
        <v>0</v>
      </c>
      <c r="AE310" s="15">
        <v>0</v>
      </c>
    </row>
    <row r="311" spans="1:31" ht="14.15" customHeight="1" x14ac:dyDescent="0.25">
      <c r="A311" s="12" t="s">
        <v>0</v>
      </c>
      <c r="B311" s="13" t="s">
        <v>1</v>
      </c>
      <c r="C311" s="13" t="s">
        <v>3216</v>
      </c>
      <c r="D311" s="14">
        <v>44303</v>
      </c>
      <c r="E311" s="14">
        <v>44303</v>
      </c>
      <c r="F311" s="14">
        <v>44308</v>
      </c>
      <c r="G311" s="13" t="s">
        <v>3</v>
      </c>
      <c r="H311" s="13" t="s">
        <v>4</v>
      </c>
      <c r="I311" s="15">
        <v>-48902.9</v>
      </c>
      <c r="J311" s="13" t="s">
        <v>5</v>
      </c>
      <c r="K311" s="13" t="s">
        <v>6</v>
      </c>
      <c r="L311" s="15">
        <v>-4105398.45</v>
      </c>
      <c r="M311" s="15">
        <v>-48902.9</v>
      </c>
      <c r="N311" s="16" t="str">
        <f>IF(M311="","",IF(M311&lt;0,-M311&amp;"_"&amp;COUNTIF(M$2:M311,M311),M311&amp;"_"&amp;COUNTIF(M$2:M311,M311)))</f>
        <v>48902.9_1</v>
      </c>
      <c r="O311" s="17" t="str">
        <f t="shared" si="4"/>
        <v/>
      </c>
      <c r="P311" s="13" t="s">
        <v>3217</v>
      </c>
      <c r="Q311" s="13" t="s">
        <v>3215</v>
      </c>
      <c r="R311" s="13" t="s">
        <v>0</v>
      </c>
      <c r="S311" s="13" t="s">
        <v>0</v>
      </c>
      <c r="T311" s="13" t="s">
        <v>9</v>
      </c>
      <c r="U311" s="13" t="s">
        <v>0</v>
      </c>
      <c r="V311" s="13" t="s">
        <v>0</v>
      </c>
      <c r="W311" s="13" t="s">
        <v>0</v>
      </c>
      <c r="X311" s="13" t="s">
        <v>0</v>
      </c>
      <c r="Y311" s="13" t="s">
        <v>10</v>
      </c>
      <c r="Z311" s="13" t="s">
        <v>0</v>
      </c>
      <c r="AA311" s="14"/>
      <c r="AB311" s="13" t="s">
        <v>0</v>
      </c>
      <c r="AC311" s="13" t="s">
        <v>0</v>
      </c>
      <c r="AD311" s="13" t="s">
        <v>0</v>
      </c>
      <c r="AE311" s="15">
        <v>0</v>
      </c>
    </row>
    <row r="312" spans="1:31" ht="14.15" customHeight="1" x14ac:dyDescent="0.25">
      <c r="A312" s="12" t="s">
        <v>0</v>
      </c>
      <c r="B312" s="13" t="s">
        <v>1</v>
      </c>
      <c r="C312" s="13" t="s">
        <v>800</v>
      </c>
      <c r="D312" s="14">
        <v>44103</v>
      </c>
      <c r="E312" s="14">
        <v>44103</v>
      </c>
      <c r="F312" s="14">
        <v>44107</v>
      </c>
      <c r="G312" s="13" t="s">
        <v>3</v>
      </c>
      <c r="H312" s="13" t="s">
        <v>4</v>
      </c>
      <c r="I312" s="15">
        <v>-48830.6</v>
      </c>
      <c r="J312" s="13" t="s">
        <v>5</v>
      </c>
      <c r="K312" s="13" t="s">
        <v>6</v>
      </c>
      <c r="L312" s="15">
        <v>-4099328.88</v>
      </c>
      <c r="M312" s="15">
        <v>-48830.6</v>
      </c>
      <c r="N312" s="16" t="str">
        <f>IF(M312="","",IF(M312&lt;0,-M312&amp;"_"&amp;COUNTIF(M$2:M312,M312),M312&amp;"_"&amp;COUNTIF(M$2:M312,M312)))</f>
        <v>48830.6_1</v>
      </c>
      <c r="O312" s="17" t="str">
        <f t="shared" si="4"/>
        <v/>
      </c>
      <c r="P312" s="13" t="s">
        <v>801</v>
      </c>
      <c r="Q312" s="13" t="s">
        <v>802</v>
      </c>
      <c r="R312" s="13" t="s">
        <v>0</v>
      </c>
      <c r="S312" s="13" t="s">
        <v>0</v>
      </c>
      <c r="T312" s="13" t="s">
        <v>9</v>
      </c>
      <c r="U312" s="13" t="s">
        <v>0</v>
      </c>
      <c r="V312" s="13" t="s">
        <v>0</v>
      </c>
      <c r="W312" s="13" t="s">
        <v>0</v>
      </c>
      <c r="X312" s="13" t="s">
        <v>0</v>
      </c>
      <c r="Y312" s="13" t="s">
        <v>10</v>
      </c>
      <c r="Z312" s="13" t="s">
        <v>0</v>
      </c>
      <c r="AA312" s="14"/>
      <c r="AB312" s="13" t="s">
        <v>0</v>
      </c>
      <c r="AC312" s="13" t="s">
        <v>0</v>
      </c>
      <c r="AD312" s="13" t="s">
        <v>0</v>
      </c>
      <c r="AE312" s="15">
        <v>0</v>
      </c>
    </row>
    <row r="313" spans="1:31" ht="14.15" customHeight="1" x14ac:dyDescent="0.25">
      <c r="A313" s="12" t="s">
        <v>0</v>
      </c>
      <c r="B313" s="13" t="s">
        <v>1</v>
      </c>
      <c r="C313" s="13" t="s">
        <v>3100</v>
      </c>
      <c r="D313" s="14">
        <v>44287</v>
      </c>
      <c r="E313" s="14">
        <v>44287</v>
      </c>
      <c r="F313" s="14">
        <v>44294</v>
      </c>
      <c r="G313" s="13" t="s">
        <v>3</v>
      </c>
      <c r="H313" s="13" t="s">
        <v>4</v>
      </c>
      <c r="I313" s="15">
        <v>-48789.08</v>
      </c>
      <c r="J313" s="13" t="s">
        <v>5</v>
      </c>
      <c r="K313" s="13" t="s">
        <v>6</v>
      </c>
      <c r="L313" s="15">
        <v>-4095843.27</v>
      </c>
      <c r="M313" s="15">
        <v>-48789.08</v>
      </c>
      <c r="N313" s="16" t="str">
        <f>IF(M313="","",IF(M313&lt;0,-M313&amp;"_"&amp;COUNTIF(M$2:M313,M313),M313&amp;"_"&amp;COUNTIF(M$2:M313,M313)))</f>
        <v>48789.08_1</v>
      </c>
      <c r="O313" s="17" t="str">
        <f t="shared" si="4"/>
        <v/>
      </c>
      <c r="P313" s="13" t="s">
        <v>3101</v>
      </c>
      <c r="Q313" s="13" t="s">
        <v>3102</v>
      </c>
      <c r="R313" s="13" t="s">
        <v>0</v>
      </c>
      <c r="S313" s="13" t="s">
        <v>0</v>
      </c>
      <c r="T313" s="13" t="s">
        <v>9</v>
      </c>
      <c r="U313" s="13" t="s">
        <v>0</v>
      </c>
      <c r="V313" s="13" t="s">
        <v>0</v>
      </c>
      <c r="W313" s="13" t="s">
        <v>0</v>
      </c>
      <c r="X313" s="13" t="s">
        <v>0</v>
      </c>
      <c r="Y313" s="13" t="s">
        <v>10</v>
      </c>
      <c r="Z313" s="13" t="s">
        <v>0</v>
      </c>
      <c r="AA313" s="14"/>
      <c r="AB313" s="13" t="s">
        <v>0</v>
      </c>
      <c r="AC313" s="13" t="s">
        <v>0</v>
      </c>
      <c r="AD313" s="13" t="s">
        <v>0</v>
      </c>
      <c r="AE313" s="15">
        <v>0</v>
      </c>
    </row>
    <row r="314" spans="1:31" ht="14.15" customHeight="1" x14ac:dyDescent="0.25">
      <c r="A314" s="12" t="s">
        <v>0</v>
      </c>
      <c r="B314" s="13" t="s">
        <v>1</v>
      </c>
      <c r="C314" s="13" t="s">
        <v>861</v>
      </c>
      <c r="D314" s="14">
        <v>44110</v>
      </c>
      <c r="E314" s="14">
        <v>44110</v>
      </c>
      <c r="F314" s="14">
        <v>44117</v>
      </c>
      <c r="G314" s="13" t="s">
        <v>3</v>
      </c>
      <c r="H314" s="13" t="s">
        <v>4</v>
      </c>
      <c r="I314" s="15">
        <v>-48702</v>
      </c>
      <c r="J314" s="13" t="s">
        <v>5</v>
      </c>
      <c r="K314" s="13" t="s">
        <v>6</v>
      </c>
      <c r="L314" s="15">
        <v>-4088532.9</v>
      </c>
      <c r="M314" s="15">
        <v>-48702</v>
      </c>
      <c r="N314" s="16" t="str">
        <f>IF(M314="","",IF(M314&lt;0,-M314&amp;"_"&amp;COUNTIF(M$2:M314,M314),M314&amp;"_"&amp;COUNTIF(M$2:M314,M314)))</f>
        <v>48702_1</v>
      </c>
      <c r="O314" s="17" t="str">
        <f t="shared" si="4"/>
        <v/>
      </c>
      <c r="P314" s="13" t="s">
        <v>862</v>
      </c>
      <c r="Q314" s="13" t="s">
        <v>863</v>
      </c>
      <c r="R314" s="13" t="s">
        <v>0</v>
      </c>
      <c r="S314" s="13" t="s">
        <v>0</v>
      </c>
      <c r="T314" s="13" t="s">
        <v>9</v>
      </c>
      <c r="U314" s="13" t="s">
        <v>0</v>
      </c>
      <c r="V314" s="13" t="s">
        <v>0</v>
      </c>
      <c r="W314" s="13" t="s">
        <v>0</v>
      </c>
      <c r="X314" s="13" t="s">
        <v>0</v>
      </c>
      <c r="Y314" s="13" t="s">
        <v>10</v>
      </c>
      <c r="Z314" s="13" t="s">
        <v>0</v>
      </c>
      <c r="AA314" s="14"/>
      <c r="AB314" s="13" t="s">
        <v>0</v>
      </c>
      <c r="AC314" s="13" t="s">
        <v>0</v>
      </c>
      <c r="AD314" s="13" t="s">
        <v>0</v>
      </c>
      <c r="AE314" s="15">
        <v>0</v>
      </c>
    </row>
    <row r="315" spans="1:31" ht="14.15" customHeight="1" x14ac:dyDescent="0.25">
      <c r="A315" s="12" t="s">
        <v>0</v>
      </c>
      <c r="B315" s="13" t="s">
        <v>1</v>
      </c>
      <c r="C315" s="13" t="s">
        <v>3633</v>
      </c>
      <c r="D315" s="14">
        <v>44330</v>
      </c>
      <c r="E315" s="14">
        <v>44330</v>
      </c>
      <c r="F315" s="14">
        <v>44339</v>
      </c>
      <c r="G315" s="13" t="s">
        <v>3</v>
      </c>
      <c r="H315" s="13" t="s">
        <v>4</v>
      </c>
      <c r="I315" s="15">
        <v>-48690.15</v>
      </c>
      <c r="J315" s="13" t="s">
        <v>5</v>
      </c>
      <c r="K315" s="13" t="s">
        <v>6</v>
      </c>
      <c r="L315" s="15">
        <v>-4087538.09</v>
      </c>
      <c r="M315" s="15">
        <v>-48690.15</v>
      </c>
      <c r="N315" s="16" t="str">
        <f>IF(M315="","",IF(M315&lt;0,-M315&amp;"_"&amp;COUNTIF(M$2:M315,M315),M315&amp;"_"&amp;COUNTIF(M$2:M315,M315)))</f>
        <v>48690.15_1</v>
      </c>
      <c r="O315" s="17" t="str">
        <f t="shared" si="4"/>
        <v/>
      </c>
      <c r="P315" s="13" t="s">
        <v>3634</v>
      </c>
      <c r="Q315" s="13" t="s">
        <v>3624</v>
      </c>
      <c r="R315" s="13" t="s">
        <v>0</v>
      </c>
      <c r="S315" s="13" t="s">
        <v>0</v>
      </c>
      <c r="T315" s="13" t="s">
        <v>9</v>
      </c>
      <c r="U315" s="13" t="s">
        <v>0</v>
      </c>
      <c r="V315" s="13" t="s">
        <v>0</v>
      </c>
      <c r="W315" s="13" t="s">
        <v>0</v>
      </c>
      <c r="X315" s="13" t="s">
        <v>0</v>
      </c>
      <c r="Y315" s="13" t="s">
        <v>10</v>
      </c>
      <c r="Z315" s="13" t="s">
        <v>0</v>
      </c>
      <c r="AA315" s="14"/>
      <c r="AB315" s="13" t="s">
        <v>0</v>
      </c>
      <c r="AC315" s="13" t="s">
        <v>0</v>
      </c>
      <c r="AD315" s="13" t="s">
        <v>0</v>
      </c>
      <c r="AE315" s="15">
        <v>0</v>
      </c>
    </row>
    <row r="316" spans="1:31" ht="14.15" customHeight="1" x14ac:dyDescent="0.25">
      <c r="A316" s="12" t="s">
        <v>0</v>
      </c>
      <c r="B316" s="13" t="s">
        <v>1</v>
      </c>
      <c r="C316" s="13" t="s">
        <v>3834</v>
      </c>
      <c r="D316" s="14">
        <v>44348</v>
      </c>
      <c r="E316" s="14">
        <v>44348</v>
      </c>
      <c r="F316" s="14">
        <v>44356</v>
      </c>
      <c r="G316" s="13" t="s">
        <v>3</v>
      </c>
      <c r="H316" s="13" t="s">
        <v>4</v>
      </c>
      <c r="I316" s="15">
        <v>-48672</v>
      </c>
      <c r="J316" s="13" t="s">
        <v>5</v>
      </c>
      <c r="K316" s="13" t="s">
        <v>6</v>
      </c>
      <c r="L316" s="15">
        <v>-4086014.4</v>
      </c>
      <c r="M316" s="15">
        <v>-48672</v>
      </c>
      <c r="N316" s="16" t="str">
        <f>IF(M316="","",IF(M316&lt;0,-M316&amp;"_"&amp;COUNTIF(M$2:M316,M316),M316&amp;"_"&amp;COUNTIF(M$2:M316,M316)))</f>
        <v>48672_1</v>
      </c>
      <c r="O316" s="17" t="str">
        <f t="shared" si="4"/>
        <v/>
      </c>
      <c r="P316" s="13" t="s">
        <v>3835</v>
      </c>
      <c r="Q316" s="13" t="s">
        <v>3836</v>
      </c>
      <c r="R316" s="13" t="s">
        <v>0</v>
      </c>
      <c r="S316" s="13" t="s">
        <v>0</v>
      </c>
      <c r="T316" s="13" t="s">
        <v>9</v>
      </c>
      <c r="U316" s="13" t="s">
        <v>0</v>
      </c>
      <c r="V316" s="13" t="s">
        <v>0</v>
      </c>
      <c r="W316" s="13" t="s">
        <v>0</v>
      </c>
      <c r="X316" s="13" t="s">
        <v>0</v>
      </c>
      <c r="Y316" s="13" t="s">
        <v>10</v>
      </c>
      <c r="Z316" s="13" t="s">
        <v>0</v>
      </c>
      <c r="AA316" s="14"/>
      <c r="AB316" s="13" t="s">
        <v>0</v>
      </c>
      <c r="AC316" s="13" t="s">
        <v>0</v>
      </c>
      <c r="AD316" s="13" t="s">
        <v>0</v>
      </c>
      <c r="AE316" s="15">
        <v>0</v>
      </c>
    </row>
    <row r="317" spans="1:31" ht="14.15" customHeight="1" x14ac:dyDescent="0.25">
      <c r="A317" s="12" t="s">
        <v>0</v>
      </c>
      <c r="B317" s="13" t="s">
        <v>1</v>
      </c>
      <c r="C317" s="13" t="s">
        <v>3311</v>
      </c>
      <c r="D317" s="14">
        <v>44314</v>
      </c>
      <c r="E317" s="14">
        <v>44314</v>
      </c>
      <c r="F317" s="14">
        <v>44323</v>
      </c>
      <c r="G317" s="13" t="s">
        <v>3</v>
      </c>
      <c r="H317" s="13" t="s">
        <v>4</v>
      </c>
      <c r="I317" s="15">
        <v>-48657.78</v>
      </c>
      <c r="J317" s="13" t="s">
        <v>5</v>
      </c>
      <c r="K317" s="13" t="s">
        <v>6</v>
      </c>
      <c r="L317" s="15">
        <v>-4084820.63</v>
      </c>
      <c r="M317" s="15">
        <v>-48657.78</v>
      </c>
      <c r="N317" s="16" t="str">
        <f>IF(M317="","",IF(M317&lt;0,-M317&amp;"_"&amp;COUNTIF(M$2:M317,M317),M317&amp;"_"&amp;COUNTIF(M$2:M317,M317)))</f>
        <v>48657.78_1</v>
      </c>
      <c r="O317" s="17" t="str">
        <f t="shared" si="4"/>
        <v/>
      </c>
      <c r="P317" s="13" t="s">
        <v>3312</v>
      </c>
      <c r="Q317" s="13" t="s">
        <v>3284</v>
      </c>
      <c r="R317" s="13" t="s">
        <v>0</v>
      </c>
      <c r="S317" s="13" t="s">
        <v>0</v>
      </c>
      <c r="T317" s="13" t="s">
        <v>9</v>
      </c>
      <c r="U317" s="13" t="s">
        <v>0</v>
      </c>
      <c r="V317" s="13" t="s">
        <v>0</v>
      </c>
      <c r="W317" s="13" t="s">
        <v>0</v>
      </c>
      <c r="X317" s="13" t="s">
        <v>0</v>
      </c>
      <c r="Y317" s="13" t="s">
        <v>10</v>
      </c>
      <c r="Z317" s="13" t="s">
        <v>0</v>
      </c>
      <c r="AA317" s="14"/>
      <c r="AB317" s="13" t="s">
        <v>0</v>
      </c>
      <c r="AC317" s="13" t="s">
        <v>0</v>
      </c>
      <c r="AD317" s="13" t="s">
        <v>0</v>
      </c>
      <c r="AE317" s="15">
        <v>0</v>
      </c>
    </row>
    <row r="318" spans="1:31" ht="14.15" customHeight="1" x14ac:dyDescent="0.25">
      <c r="A318" s="12" t="s">
        <v>0</v>
      </c>
      <c r="B318" s="13" t="s">
        <v>1</v>
      </c>
      <c r="C318" s="13" t="s">
        <v>4317</v>
      </c>
      <c r="D318" s="14">
        <v>44372</v>
      </c>
      <c r="E318" s="14">
        <v>44372</v>
      </c>
      <c r="F318" s="14">
        <v>44376</v>
      </c>
      <c r="G318" s="13" t="s">
        <v>3</v>
      </c>
      <c r="H318" s="13" t="s">
        <v>4</v>
      </c>
      <c r="I318" s="15">
        <v>-48438</v>
      </c>
      <c r="J318" s="13" t="s">
        <v>5</v>
      </c>
      <c r="K318" s="13" t="s">
        <v>6</v>
      </c>
      <c r="L318" s="15">
        <v>-4066370.1</v>
      </c>
      <c r="M318" s="15">
        <v>-48438</v>
      </c>
      <c r="N318" s="16" t="str">
        <f>IF(M318="","",IF(M318&lt;0,-M318&amp;"_"&amp;COUNTIF(M$2:M318,M318),M318&amp;"_"&amp;COUNTIF(M$2:M318,M318)))</f>
        <v>48438_1</v>
      </c>
      <c r="O318" s="17" t="str">
        <f t="shared" si="4"/>
        <v/>
      </c>
      <c r="P318" s="13" t="s">
        <v>4318</v>
      </c>
      <c r="Q318" s="13" t="s">
        <v>4312</v>
      </c>
      <c r="R318" s="13" t="s">
        <v>0</v>
      </c>
      <c r="S318" s="13" t="s">
        <v>0</v>
      </c>
      <c r="T318" s="13" t="s">
        <v>9</v>
      </c>
      <c r="U318" s="13" t="s">
        <v>0</v>
      </c>
      <c r="V318" s="13" t="s">
        <v>0</v>
      </c>
      <c r="W318" s="13" t="s">
        <v>0</v>
      </c>
      <c r="X318" s="13" t="s">
        <v>0</v>
      </c>
      <c r="Y318" s="13" t="s">
        <v>10</v>
      </c>
      <c r="Z318" s="13" t="s">
        <v>0</v>
      </c>
      <c r="AA318" s="14"/>
      <c r="AB318" s="13" t="s">
        <v>0</v>
      </c>
      <c r="AC318" s="13" t="s">
        <v>0</v>
      </c>
      <c r="AD318" s="13" t="s">
        <v>0</v>
      </c>
      <c r="AE318" s="15">
        <v>0</v>
      </c>
    </row>
    <row r="319" spans="1:31" ht="14.15" customHeight="1" x14ac:dyDescent="0.25">
      <c r="A319" s="12" t="s">
        <v>0</v>
      </c>
      <c r="B319" s="13" t="s">
        <v>289</v>
      </c>
      <c r="C319" s="13" t="s">
        <v>1992</v>
      </c>
      <c r="D319" s="14">
        <v>44196</v>
      </c>
      <c r="E319" s="14">
        <v>44196</v>
      </c>
      <c r="F319" s="14">
        <v>44203</v>
      </c>
      <c r="G319" s="13" t="s">
        <v>48</v>
      </c>
      <c r="H319" s="13" t="s">
        <v>4</v>
      </c>
      <c r="I319" s="15">
        <v>-48401.82</v>
      </c>
      <c r="J319" s="13" t="s">
        <v>5</v>
      </c>
      <c r="K319" s="13" t="s">
        <v>6</v>
      </c>
      <c r="L319" s="15">
        <v>-4063332.79</v>
      </c>
      <c r="M319" s="15">
        <v>-48401.82</v>
      </c>
      <c r="N319" s="16" t="str">
        <f>IF(M319="","",IF(M319&lt;0,-M319&amp;"_"&amp;COUNTIF(M$2:M319,M319),M319&amp;"_"&amp;COUNTIF(M$2:M319,M319)))</f>
        <v>48401.82_1</v>
      </c>
      <c r="O319" s="17" t="str">
        <f t="shared" si="4"/>
        <v/>
      </c>
      <c r="P319" s="13" t="s">
        <v>1993</v>
      </c>
      <c r="Q319" s="13" t="s">
        <v>1993</v>
      </c>
      <c r="R319" s="13" t="s">
        <v>1994</v>
      </c>
      <c r="S319" s="13" t="s">
        <v>0</v>
      </c>
      <c r="T319" s="13" t="s">
        <v>9</v>
      </c>
      <c r="U319" s="13" t="s">
        <v>1995</v>
      </c>
      <c r="V319" s="13" t="s">
        <v>0</v>
      </c>
      <c r="W319" s="13" t="s">
        <v>0</v>
      </c>
      <c r="X319" s="13" t="s">
        <v>0</v>
      </c>
      <c r="Y319" s="13" t="s">
        <v>0</v>
      </c>
      <c r="Z319" s="13" t="s">
        <v>0</v>
      </c>
      <c r="AA319" s="14"/>
      <c r="AB319" s="13" t="s">
        <v>0</v>
      </c>
      <c r="AC319" s="13" t="s">
        <v>0</v>
      </c>
      <c r="AD319" s="13" t="s">
        <v>0</v>
      </c>
      <c r="AE319" s="15">
        <v>0</v>
      </c>
    </row>
    <row r="320" spans="1:31" ht="14.15" customHeight="1" x14ac:dyDescent="0.25">
      <c r="A320" s="12" t="s">
        <v>0</v>
      </c>
      <c r="B320" s="13" t="s">
        <v>1</v>
      </c>
      <c r="C320" s="13" t="s">
        <v>757</v>
      </c>
      <c r="D320" s="14">
        <v>44097</v>
      </c>
      <c r="E320" s="14">
        <v>44097</v>
      </c>
      <c r="F320" s="14">
        <v>44112</v>
      </c>
      <c r="G320" s="13" t="s">
        <v>3</v>
      </c>
      <c r="H320" s="13" t="s">
        <v>4</v>
      </c>
      <c r="I320" s="15">
        <v>-48151.35</v>
      </c>
      <c r="J320" s="13" t="s">
        <v>5</v>
      </c>
      <c r="K320" s="13" t="s">
        <v>6</v>
      </c>
      <c r="L320" s="15">
        <v>-4042305.83</v>
      </c>
      <c r="M320" s="15">
        <v>-48151.35</v>
      </c>
      <c r="N320" s="16" t="str">
        <f>IF(M320="","",IF(M320&lt;0,-M320&amp;"_"&amp;COUNTIF(M$2:M320,M320),M320&amp;"_"&amp;COUNTIF(M$2:M320,M320)))</f>
        <v>48151.35_1</v>
      </c>
      <c r="O320" s="17" t="str">
        <f t="shared" si="4"/>
        <v/>
      </c>
      <c r="P320" s="13" t="s">
        <v>758</v>
      </c>
      <c r="Q320" s="13" t="s">
        <v>754</v>
      </c>
      <c r="R320" s="13" t="s">
        <v>0</v>
      </c>
      <c r="S320" s="13" t="s">
        <v>0</v>
      </c>
      <c r="T320" s="13" t="s">
        <v>9</v>
      </c>
      <c r="U320" s="13" t="s">
        <v>0</v>
      </c>
      <c r="V320" s="13" t="s">
        <v>0</v>
      </c>
      <c r="W320" s="13" t="s">
        <v>0</v>
      </c>
      <c r="X320" s="13" t="s">
        <v>0</v>
      </c>
      <c r="Y320" s="13" t="s">
        <v>10</v>
      </c>
      <c r="Z320" s="13" t="s">
        <v>0</v>
      </c>
      <c r="AA320" s="14"/>
      <c r="AB320" s="13" t="s">
        <v>0</v>
      </c>
      <c r="AC320" s="13" t="s">
        <v>0</v>
      </c>
      <c r="AD320" s="13" t="s">
        <v>0</v>
      </c>
      <c r="AE320" s="15">
        <v>0</v>
      </c>
    </row>
    <row r="321" spans="1:31" ht="14.15" customHeight="1" x14ac:dyDescent="0.25">
      <c r="A321" s="12" t="s">
        <v>0</v>
      </c>
      <c r="B321" s="13" t="s">
        <v>1</v>
      </c>
      <c r="C321" s="13" t="s">
        <v>735</v>
      </c>
      <c r="D321" s="14">
        <v>44095</v>
      </c>
      <c r="E321" s="14">
        <v>44095</v>
      </c>
      <c r="F321" s="14">
        <v>44100</v>
      </c>
      <c r="G321" s="13" t="s">
        <v>3</v>
      </c>
      <c r="H321" s="13" t="s">
        <v>4</v>
      </c>
      <c r="I321" s="15">
        <v>-47916.54</v>
      </c>
      <c r="J321" s="13" t="s">
        <v>5</v>
      </c>
      <c r="K321" s="13" t="s">
        <v>6</v>
      </c>
      <c r="L321" s="15">
        <v>-4022593.53</v>
      </c>
      <c r="M321" s="15">
        <v>-47916.54</v>
      </c>
      <c r="N321" s="16" t="str">
        <f>IF(M321="","",IF(M321&lt;0,-M321&amp;"_"&amp;COUNTIF(M$2:M321,M321),M321&amp;"_"&amp;COUNTIF(M$2:M321,M321)))</f>
        <v>47916.54_1</v>
      </c>
      <c r="O321" s="17" t="str">
        <f t="shared" si="4"/>
        <v/>
      </c>
      <c r="P321" s="13" t="s">
        <v>736</v>
      </c>
      <c r="Q321" s="13" t="s">
        <v>726</v>
      </c>
      <c r="R321" s="13" t="s">
        <v>0</v>
      </c>
      <c r="S321" s="13" t="s">
        <v>0</v>
      </c>
      <c r="T321" s="13" t="s">
        <v>9</v>
      </c>
      <c r="U321" s="13" t="s">
        <v>0</v>
      </c>
      <c r="V321" s="13" t="s">
        <v>0</v>
      </c>
      <c r="W321" s="13" t="s">
        <v>0</v>
      </c>
      <c r="X321" s="13" t="s">
        <v>0</v>
      </c>
      <c r="Y321" s="13" t="s">
        <v>10</v>
      </c>
      <c r="Z321" s="13" t="s">
        <v>0</v>
      </c>
      <c r="AA321" s="14"/>
      <c r="AB321" s="13" t="s">
        <v>0</v>
      </c>
      <c r="AC321" s="13" t="s">
        <v>0</v>
      </c>
      <c r="AD321" s="13" t="s">
        <v>0</v>
      </c>
      <c r="AE321" s="15">
        <v>0</v>
      </c>
    </row>
    <row r="322" spans="1:31" ht="14.15" customHeight="1" x14ac:dyDescent="0.25">
      <c r="A322" s="12" t="s">
        <v>0</v>
      </c>
      <c r="B322" s="13" t="s">
        <v>1</v>
      </c>
      <c r="C322" s="13" t="s">
        <v>3323</v>
      </c>
      <c r="D322" s="14">
        <v>44314</v>
      </c>
      <c r="E322" s="14">
        <v>44314</v>
      </c>
      <c r="F322" s="14">
        <v>44323</v>
      </c>
      <c r="G322" s="13" t="s">
        <v>3</v>
      </c>
      <c r="H322" s="13" t="s">
        <v>4</v>
      </c>
      <c r="I322" s="15">
        <v>-47850.77</v>
      </c>
      <c r="J322" s="13" t="s">
        <v>5</v>
      </c>
      <c r="K322" s="13" t="s">
        <v>6</v>
      </c>
      <c r="L322" s="15">
        <v>-4017072.14</v>
      </c>
      <c r="M322" s="15">
        <v>-47850.77</v>
      </c>
      <c r="N322" s="16" t="str">
        <f>IF(M322="","",IF(M322&lt;0,-M322&amp;"_"&amp;COUNTIF(M$2:M322,M322),M322&amp;"_"&amp;COUNTIF(M$2:M322,M322)))</f>
        <v>47850.77_1</v>
      </c>
      <c r="O322" s="17" t="str">
        <f t="shared" ref="O322:O385" si="5">IF(COUNTIF(N:N,N322)=2,"x","")</f>
        <v/>
      </c>
      <c r="P322" s="13" t="s">
        <v>3324</v>
      </c>
      <c r="Q322" s="13" t="s">
        <v>3284</v>
      </c>
      <c r="R322" s="13" t="s">
        <v>0</v>
      </c>
      <c r="S322" s="13" t="s">
        <v>0</v>
      </c>
      <c r="T322" s="13" t="s">
        <v>9</v>
      </c>
      <c r="U322" s="13" t="s">
        <v>0</v>
      </c>
      <c r="V322" s="13" t="s">
        <v>0</v>
      </c>
      <c r="W322" s="13" t="s">
        <v>0</v>
      </c>
      <c r="X322" s="13" t="s">
        <v>0</v>
      </c>
      <c r="Y322" s="13" t="s">
        <v>10</v>
      </c>
      <c r="Z322" s="13" t="s">
        <v>0</v>
      </c>
      <c r="AA322" s="14"/>
      <c r="AB322" s="13" t="s">
        <v>0</v>
      </c>
      <c r="AC322" s="13" t="s">
        <v>0</v>
      </c>
      <c r="AD322" s="13" t="s">
        <v>0</v>
      </c>
      <c r="AE322" s="15">
        <v>0</v>
      </c>
    </row>
    <row r="323" spans="1:31" ht="14.15" customHeight="1" x14ac:dyDescent="0.25">
      <c r="A323" s="12" t="s">
        <v>0</v>
      </c>
      <c r="B323" s="13" t="s">
        <v>1</v>
      </c>
      <c r="C323" s="13" t="s">
        <v>504</v>
      </c>
      <c r="D323" s="14">
        <v>44068</v>
      </c>
      <c r="E323" s="14">
        <v>44068</v>
      </c>
      <c r="F323" s="14">
        <v>44079</v>
      </c>
      <c r="G323" s="13" t="s">
        <v>3</v>
      </c>
      <c r="H323" s="13" t="s">
        <v>4</v>
      </c>
      <c r="I323" s="15">
        <v>-47774.22</v>
      </c>
      <c r="J323" s="13" t="s">
        <v>5</v>
      </c>
      <c r="K323" s="13" t="s">
        <v>6</v>
      </c>
      <c r="L323" s="15">
        <v>-4010645.77</v>
      </c>
      <c r="M323" s="15">
        <v>-47774.22</v>
      </c>
      <c r="N323" s="16" t="str">
        <f>IF(M323="","",IF(M323&lt;0,-M323&amp;"_"&amp;COUNTIF(M$2:M323,M323),M323&amp;"_"&amp;COUNTIF(M$2:M323,M323)))</f>
        <v>47774.22_1</v>
      </c>
      <c r="O323" s="17" t="str">
        <f t="shared" si="5"/>
        <v/>
      </c>
      <c r="P323" s="13" t="s">
        <v>505</v>
      </c>
      <c r="Q323" s="13" t="s">
        <v>501</v>
      </c>
      <c r="R323" s="13" t="s">
        <v>0</v>
      </c>
      <c r="S323" s="13" t="s">
        <v>0</v>
      </c>
      <c r="T323" s="13" t="s">
        <v>9</v>
      </c>
      <c r="U323" s="13" t="s">
        <v>0</v>
      </c>
      <c r="V323" s="13" t="s">
        <v>0</v>
      </c>
      <c r="W323" s="13" t="s">
        <v>0</v>
      </c>
      <c r="X323" s="13" t="s">
        <v>0</v>
      </c>
      <c r="Y323" s="13" t="s">
        <v>10</v>
      </c>
      <c r="Z323" s="13" t="s">
        <v>0</v>
      </c>
      <c r="AA323" s="14"/>
      <c r="AB323" s="13" t="s">
        <v>0</v>
      </c>
      <c r="AC323" s="13" t="s">
        <v>0</v>
      </c>
      <c r="AD323" s="13" t="s">
        <v>0</v>
      </c>
      <c r="AE323" s="15">
        <v>0</v>
      </c>
    </row>
    <row r="324" spans="1:31" ht="14.15" customHeight="1" x14ac:dyDescent="0.25">
      <c r="A324" s="12" t="s">
        <v>0</v>
      </c>
      <c r="B324" s="13" t="s">
        <v>1</v>
      </c>
      <c r="C324" s="13" t="s">
        <v>608</v>
      </c>
      <c r="D324" s="14">
        <v>44082</v>
      </c>
      <c r="E324" s="14">
        <v>44082</v>
      </c>
      <c r="F324" s="14">
        <v>44086</v>
      </c>
      <c r="G324" s="13" t="s">
        <v>3</v>
      </c>
      <c r="H324" s="13" t="s">
        <v>4</v>
      </c>
      <c r="I324" s="15">
        <v>-47376</v>
      </c>
      <c r="J324" s="13" t="s">
        <v>5</v>
      </c>
      <c r="K324" s="13" t="s">
        <v>6</v>
      </c>
      <c r="L324" s="15">
        <v>-3977215.2</v>
      </c>
      <c r="M324" s="15">
        <v>-47376</v>
      </c>
      <c r="N324" s="16" t="str">
        <f>IF(M324="","",IF(M324&lt;0,-M324&amp;"_"&amp;COUNTIF(M$2:M324,M324),M324&amp;"_"&amp;COUNTIF(M$2:M324,M324)))</f>
        <v>47376_1</v>
      </c>
      <c r="O324" s="17" t="str">
        <f t="shared" si="5"/>
        <v/>
      </c>
      <c r="P324" s="13" t="s">
        <v>609</v>
      </c>
      <c r="Q324" s="13" t="s">
        <v>603</v>
      </c>
      <c r="R324" s="13" t="s">
        <v>0</v>
      </c>
      <c r="S324" s="13" t="s">
        <v>0</v>
      </c>
      <c r="T324" s="13" t="s">
        <v>9</v>
      </c>
      <c r="U324" s="13" t="s">
        <v>0</v>
      </c>
      <c r="V324" s="13" t="s">
        <v>0</v>
      </c>
      <c r="W324" s="13" t="s">
        <v>0</v>
      </c>
      <c r="X324" s="13" t="s">
        <v>0</v>
      </c>
      <c r="Y324" s="13" t="s">
        <v>10</v>
      </c>
      <c r="Z324" s="13" t="s">
        <v>0</v>
      </c>
      <c r="AA324" s="14"/>
      <c r="AB324" s="13" t="s">
        <v>0</v>
      </c>
      <c r="AC324" s="13" t="s">
        <v>0</v>
      </c>
      <c r="AD324" s="13" t="s">
        <v>0</v>
      </c>
      <c r="AE324" s="15">
        <v>0</v>
      </c>
    </row>
    <row r="325" spans="1:31" ht="14.15" customHeight="1" x14ac:dyDescent="0.25">
      <c r="A325" s="12" t="s">
        <v>0</v>
      </c>
      <c r="B325" s="13" t="s">
        <v>1</v>
      </c>
      <c r="C325" s="13" t="s">
        <v>2663</v>
      </c>
      <c r="D325" s="14">
        <v>44253</v>
      </c>
      <c r="E325" s="14">
        <v>44253</v>
      </c>
      <c r="F325" s="14">
        <v>44257</v>
      </c>
      <c r="G325" s="13" t="s">
        <v>3</v>
      </c>
      <c r="H325" s="13" t="s">
        <v>4</v>
      </c>
      <c r="I325" s="15">
        <v>-47319.519999999997</v>
      </c>
      <c r="J325" s="13" t="s">
        <v>5</v>
      </c>
      <c r="K325" s="13" t="s">
        <v>6</v>
      </c>
      <c r="L325" s="15">
        <v>-3972473.7</v>
      </c>
      <c r="M325" s="15">
        <v>-47319.519999999997</v>
      </c>
      <c r="N325" s="16" t="str">
        <f>IF(M325="","",IF(M325&lt;0,-M325&amp;"_"&amp;COUNTIF(M$2:M325,M325),M325&amp;"_"&amp;COUNTIF(M$2:M325,M325)))</f>
        <v>47319.52_1</v>
      </c>
      <c r="O325" s="17" t="str">
        <f t="shared" si="5"/>
        <v/>
      </c>
      <c r="P325" s="13" t="s">
        <v>2664</v>
      </c>
      <c r="Q325" s="13" t="s">
        <v>2660</v>
      </c>
      <c r="R325" s="13" t="s">
        <v>0</v>
      </c>
      <c r="S325" s="13" t="s">
        <v>0</v>
      </c>
      <c r="T325" s="13" t="s">
        <v>9</v>
      </c>
      <c r="U325" s="13" t="s">
        <v>0</v>
      </c>
      <c r="V325" s="13" t="s">
        <v>0</v>
      </c>
      <c r="W325" s="13" t="s">
        <v>0</v>
      </c>
      <c r="X325" s="13" t="s">
        <v>0</v>
      </c>
      <c r="Y325" s="13" t="s">
        <v>10</v>
      </c>
      <c r="Z325" s="13" t="s">
        <v>0</v>
      </c>
      <c r="AA325" s="14"/>
      <c r="AB325" s="13" t="s">
        <v>0</v>
      </c>
      <c r="AC325" s="13" t="s">
        <v>0</v>
      </c>
      <c r="AD325" s="13" t="s">
        <v>0</v>
      </c>
      <c r="AE325" s="15">
        <v>0</v>
      </c>
    </row>
    <row r="326" spans="1:31" ht="14.15" customHeight="1" x14ac:dyDescent="0.25">
      <c r="A326" s="12" t="s">
        <v>0</v>
      </c>
      <c r="B326" s="13" t="s">
        <v>1</v>
      </c>
      <c r="C326" s="13" t="s">
        <v>4205</v>
      </c>
      <c r="D326" s="14">
        <v>44364</v>
      </c>
      <c r="E326" s="14">
        <v>44364</v>
      </c>
      <c r="F326" s="14">
        <v>44371</v>
      </c>
      <c r="G326" s="13" t="s">
        <v>3</v>
      </c>
      <c r="H326" s="13" t="s">
        <v>4</v>
      </c>
      <c r="I326" s="15">
        <v>-47316.69</v>
      </c>
      <c r="J326" s="13" t="s">
        <v>5</v>
      </c>
      <c r="K326" s="13" t="s">
        <v>6</v>
      </c>
      <c r="L326" s="15">
        <v>-3972236.13</v>
      </c>
      <c r="M326" s="15">
        <v>-47316.69</v>
      </c>
      <c r="N326" s="16" t="str">
        <f>IF(M326="","",IF(M326&lt;0,-M326&amp;"_"&amp;COUNTIF(M$2:M326,M326),M326&amp;"_"&amp;COUNTIF(M$2:M326,M326)))</f>
        <v>47316.69_1</v>
      </c>
      <c r="O326" s="17" t="str">
        <f t="shared" si="5"/>
        <v/>
      </c>
      <c r="P326" s="13" t="s">
        <v>4206</v>
      </c>
      <c r="Q326" s="13" t="s">
        <v>4180</v>
      </c>
      <c r="R326" s="13" t="s">
        <v>0</v>
      </c>
      <c r="S326" s="13" t="s">
        <v>0</v>
      </c>
      <c r="T326" s="13" t="s">
        <v>9</v>
      </c>
      <c r="U326" s="13" t="s">
        <v>0</v>
      </c>
      <c r="V326" s="13" t="s">
        <v>0</v>
      </c>
      <c r="W326" s="13" t="s">
        <v>0</v>
      </c>
      <c r="X326" s="13" t="s">
        <v>0</v>
      </c>
      <c r="Y326" s="13" t="s">
        <v>10</v>
      </c>
      <c r="Z326" s="13" t="s">
        <v>0</v>
      </c>
      <c r="AA326" s="14"/>
      <c r="AB326" s="13" t="s">
        <v>0</v>
      </c>
      <c r="AC326" s="13" t="s">
        <v>0</v>
      </c>
      <c r="AD326" s="13" t="s">
        <v>0</v>
      </c>
      <c r="AE326" s="15">
        <v>0</v>
      </c>
    </row>
    <row r="327" spans="1:31" ht="14.15" customHeight="1" x14ac:dyDescent="0.25">
      <c r="A327" s="12" t="s">
        <v>0</v>
      </c>
      <c r="B327" s="13" t="s">
        <v>1</v>
      </c>
      <c r="C327" s="13" t="s">
        <v>588</v>
      </c>
      <c r="D327" s="14">
        <v>44079</v>
      </c>
      <c r="E327" s="14">
        <v>44079</v>
      </c>
      <c r="F327" s="14">
        <v>44098</v>
      </c>
      <c r="G327" s="13" t="s">
        <v>3</v>
      </c>
      <c r="H327" s="13" t="s">
        <v>4</v>
      </c>
      <c r="I327" s="15">
        <v>-47227.42</v>
      </c>
      <c r="J327" s="13" t="s">
        <v>5</v>
      </c>
      <c r="K327" s="13" t="s">
        <v>6</v>
      </c>
      <c r="L327" s="15">
        <v>-3964741.91</v>
      </c>
      <c r="M327" s="15">
        <v>-47227.42</v>
      </c>
      <c r="N327" s="16" t="str">
        <f>IF(M327="","",IF(M327&lt;0,-M327&amp;"_"&amp;COUNTIF(M$2:M327,M327),M327&amp;"_"&amp;COUNTIF(M$2:M327,M327)))</f>
        <v>47227.42_1</v>
      </c>
      <c r="O327" s="17" t="str">
        <f t="shared" si="5"/>
        <v/>
      </c>
      <c r="P327" s="13" t="s">
        <v>589</v>
      </c>
      <c r="Q327" s="13" t="s">
        <v>587</v>
      </c>
      <c r="R327" s="13" t="s">
        <v>0</v>
      </c>
      <c r="S327" s="13" t="s">
        <v>0</v>
      </c>
      <c r="T327" s="13" t="s">
        <v>9</v>
      </c>
      <c r="U327" s="13" t="s">
        <v>0</v>
      </c>
      <c r="V327" s="13" t="s">
        <v>0</v>
      </c>
      <c r="W327" s="13" t="s">
        <v>0</v>
      </c>
      <c r="X327" s="13" t="s">
        <v>0</v>
      </c>
      <c r="Y327" s="13" t="s">
        <v>10</v>
      </c>
      <c r="Z327" s="13" t="s">
        <v>0</v>
      </c>
      <c r="AA327" s="14"/>
      <c r="AB327" s="13" t="s">
        <v>0</v>
      </c>
      <c r="AC327" s="13" t="s">
        <v>0</v>
      </c>
      <c r="AD327" s="13" t="s">
        <v>0</v>
      </c>
      <c r="AE327" s="15">
        <v>0</v>
      </c>
    </row>
    <row r="328" spans="1:31" ht="14.15" customHeight="1" x14ac:dyDescent="0.25">
      <c r="A328" s="12" t="s">
        <v>0</v>
      </c>
      <c r="B328" s="13" t="s">
        <v>1</v>
      </c>
      <c r="C328" s="13" t="s">
        <v>848</v>
      </c>
      <c r="D328" s="14">
        <v>44108</v>
      </c>
      <c r="E328" s="14">
        <v>44108</v>
      </c>
      <c r="F328" s="14">
        <v>44111</v>
      </c>
      <c r="G328" s="13" t="s">
        <v>3</v>
      </c>
      <c r="H328" s="13" t="s">
        <v>4</v>
      </c>
      <c r="I328" s="15">
        <v>-47088.73</v>
      </c>
      <c r="J328" s="13" t="s">
        <v>5</v>
      </c>
      <c r="K328" s="13" t="s">
        <v>6</v>
      </c>
      <c r="L328" s="15">
        <v>-3953098.88</v>
      </c>
      <c r="M328" s="15">
        <v>-47088.73</v>
      </c>
      <c r="N328" s="16" t="str">
        <f>IF(M328="","",IF(M328&lt;0,-M328&amp;"_"&amp;COUNTIF(M$2:M328,M328),M328&amp;"_"&amp;COUNTIF(M$2:M328,M328)))</f>
        <v>47088.73_1</v>
      </c>
      <c r="O328" s="17" t="str">
        <f t="shared" si="5"/>
        <v/>
      </c>
      <c r="P328" s="13" t="s">
        <v>849</v>
      </c>
      <c r="Q328" s="13" t="s">
        <v>850</v>
      </c>
      <c r="R328" s="13" t="s">
        <v>0</v>
      </c>
      <c r="S328" s="13" t="s">
        <v>0</v>
      </c>
      <c r="T328" s="13" t="s">
        <v>9</v>
      </c>
      <c r="U328" s="13" t="s">
        <v>0</v>
      </c>
      <c r="V328" s="13" t="s">
        <v>0</v>
      </c>
      <c r="W328" s="13" t="s">
        <v>0</v>
      </c>
      <c r="X328" s="13" t="s">
        <v>0</v>
      </c>
      <c r="Y328" s="13" t="s">
        <v>10</v>
      </c>
      <c r="Z328" s="13" t="s">
        <v>0</v>
      </c>
      <c r="AA328" s="14"/>
      <c r="AB328" s="13" t="s">
        <v>0</v>
      </c>
      <c r="AC328" s="13" t="s">
        <v>0</v>
      </c>
      <c r="AD328" s="13" t="s">
        <v>0</v>
      </c>
      <c r="AE328" s="15">
        <v>0</v>
      </c>
    </row>
    <row r="329" spans="1:31" ht="14.15" customHeight="1" x14ac:dyDescent="0.25">
      <c r="A329" s="12" t="s">
        <v>0</v>
      </c>
      <c r="B329" s="13" t="s">
        <v>1</v>
      </c>
      <c r="C329" s="13" t="s">
        <v>3917</v>
      </c>
      <c r="D329" s="14">
        <v>44354</v>
      </c>
      <c r="E329" s="14">
        <v>44354</v>
      </c>
      <c r="F329" s="14">
        <v>44357</v>
      </c>
      <c r="G329" s="13" t="s">
        <v>3</v>
      </c>
      <c r="H329" s="13" t="s">
        <v>4</v>
      </c>
      <c r="I329" s="15">
        <v>-47073</v>
      </c>
      <c r="J329" s="13" t="s">
        <v>5</v>
      </c>
      <c r="K329" s="13" t="s">
        <v>6</v>
      </c>
      <c r="L329" s="15">
        <v>-3951778.35</v>
      </c>
      <c r="M329" s="15">
        <v>-47073</v>
      </c>
      <c r="N329" s="16" t="str">
        <f>IF(M329="","",IF(M329&lt;0,-M329&amp;"_"&amp;COUNTIF(M$2:M329,M329),M329&amp;"_"&amp;COUNTIF(M$2:M329,M329)))</f>
        <v>47073_1</v>
      </c>
      <c r="O329" s="17" t="str">
        <f t="shared" si="5"/>
        <v/>
      </c>
      <c r="P329" s="13" t="s">
        <v>3918</v>
      </c>
      <c r="Q329" s="13" t="s">
        <v>3914</v>
      </c>
      <c r="R329" s="13" t="s">
        <v>0</v>
      </c>
      <c r="S329" s="13" t="s">
        <v>0</v>
      </c>
      <c r="T329" s="13" t="s">
        <v>9</v>
      </c>
      <c r="U329" s="13" t="s">
        <v>0</v>
      </c>
      <c r="V329" s="13" t="s">
        <v>0</v>
      </c>
      <c r="W329" s="13" t="s">
        <v>0</v>
      </c>
      <c r="X329" s="13" t="s">
        <v>0</v>
      </c>
      <c r="Y329" s="13" t="s">
        <v>10</v>
      </c>
      <c r="Z329" s="13" t="s">
        <v>0</v>
      </c>
      <c r="AA329" s="14"/>
      <c r="AB329" s="13" t="s">
        <v>0</v>
      </c>
      <c r="AC329" s="13" t="s">
        <v>0</v>
      </c>
      <c r="AD329" s="13" t="s">
        <v>0</v>
      </c>
      <c r="AE329" s="15">
        <v>0</v>
      </c>
    </row>
    <row r="330" spans="1:31" ht="14.15" customHeight="1" x14ac:dyDescent="0.25">
      <c r="A330" s="12" t="s">
        <v>0</v>
      </c>
      <c r="B330" s="13" t="s">
        <v>1</v>
      </c>
      <c r="C330" s="13" t="s">
        <v>1495</v>
      </c>
      <c r="D330" s="14">
        <v>44160</v>
      </c>
      <c r="E330" s="14">
        <v>44160</v>
      </c>
      <c r="F330" s="14">
        <v>44165</v>
      </c>
      <c r="G330" s="13" t="s">
        <v>3</v>
      </c>
      <c r="H330" s="13" t="s">
        <v>4</v>
      </c>
      <c r="I330" s="15">
        <v>-46989.15</v>
      </c>
      <c r="J330" s="13" t="s">
        <v>5</v>
      </c>
      <c r="K330" s="13" t="s">
        <v>6</v>
      </c>
      <c r="L330" s="15">
        <v>-3944739.15</v>
      </c>
      <c r="M330" s="15">
        <v>-46989.15</v>
      </c>
      <c r="N330" s="16" t="str">
        <f>IF(M330="","",IF(M330&lt;0,-M330&amp;"_"&amp;COUNTIF(M$2:M330,M330),M330&amp;"_"&amp;COUNTIF(M$2:M330,M330)))</f>
        <v>46989.15_1</v>
      </c>
      <c r="O330" s="17" t="str">
        <f t="shared" si="5"/>
        <v/>
      </c>
      <c r="P330" s="13" t="s">
        <v>1496</v>
      </c>
      <c r="Q330" s="13" t="s">
        <v>1470</v>
      </c>
      <c r="R330" s="13" t="s">
        <v>0</v>
      </c>
      <c r="S330" s="13" t="s">
        <v>0</v>
      </c>
      <c r="T330" s="13" t="s">
        <v>9</v>
      </c>
      <c r="U330" s="13" t="s">
        <v>0</v>
      </c>
      <c r="V330" s="13" t="s">
        <v>0</v>
      </c>
      <c r="W330" s="13" t="s">
        <v>0</v>
      </c>
      <c r="X330" s="13" t="s">
        <v>0</v>
      </c>
      <c r="Y330" s="13" t="s">
        <v>10</v>
      </c>
      <c r="Z330" s="13" t="s">
        <v>0</v>
      </c>
      <c r="AA330" s="14"/>
      <c r="AB330" s="13" t="s">
        <v>0</v>
      </c>
      <c r="AC330" s="13" t="s">
        <v>0</v>
      </c>
      <c r="AD330" s="13" t="s">
        <v>0</v>
      </c>
      <c r="AE330" s="15">
        <v>0</v>
      </c>
    </row>
    <row r="331" spans="1:31" ht="14.15" customHeight="1" x14ac:dyDescent="0.25">
      <c r="A331" s="12" t="s">
        <v>0</v>
      </c>
      <c r="B331" s="13" t="s">
        <v>1</v>
      </c>
      <c r="C331" s="13" t="s">
        <v>1382</v>
      </c>
      <c r="D331" s="14">
        <v>44153</v>
      </c>
      <c r="E331" s="14">
        <v>44153</v>
      </c>
      <c r="F331" s="14">
        <v>44159</v>
      </c>
      <c r="G331" s="13" t="s">
        <v>3</v>
      </c>
      <c r="H331" s="13" t="s">
        <v>4</v>
      </c>
      <c r="I331" s="15">
        <v>-46986.13</v>
      </c>
      <c r="J331" s="13" t="s">
        <v>5</v>
      </c>
      <c r="K331" s="13" t="s">
        <v>6</v>
      </c>
      <c r="L331" s="15">
        <v>-3944485.61</v>
      </c>
      <c r="M331" s="15">
        <v>-46986.13</v>
      </c>
      <c r="N331" s="16" t="str">
        <f>IF(M331="","",IF(M331&lt;0,-M331&amp;"_"&amp;COUNTIF(M$2:M331,M331),M331&amp;"_"&amp;COUNTIF(M$2:M331,M331)))</f>
        <v>46986.13_1</v>
      </c>
      <c r="O331" s="17" t="str">
        <f t="shared" si="5"/>
        <v/>
      </c>
      <c r="P331" s="13" t="s">
        <v>1383</v>
      </c>
      <c r="Q331" s="13" t="s">
        <v>1381</v>
      </c>
      <c r="R331" s="13" t="s">
        <v>0</v>
      </c>
      <c r="S331" s="13" t="s">
        <v>0</v>
      </c>
      <c r="T331" s="13" t="s">
        <v>9</v>
      </c>
      <c r="U331" s="13" t="s">
        <v>0</v>
      </c>
      <c r="V331" s="13" t="s">
        <v>0</v>
      </c>
      <c r="W331" s="13" t="s">
        <v>0</v>
      </c>
      <c r="X331" s="13" t="s">
        <v>0</v>
      </c>
      <c r="Y331" s="13" t="s">
        <v>10</v>
      </c>
      <c r="Z331" s="13" t="s">
        <v>0</v>
      </c>
      <c r="AA331" s="14"/>
      <c r="AB331" s="13" t="s">
        <v>0</v>
      </c>
      <c r="AC331" s="13" t="s">
        <v>0</v>
      </c>
      <c r="AD331" s="13" t="s">
        <v>0</v>
      </c>
      <c r="AE331" s="15">
        <v>0</v>
      </c>
    </row>
    <row r="332" spans="1:31" ht="14.15" customHeight="1" x14ac:dyDescent="0.25">
      <c r="A332" s="12" t="s">
        <v>0</v>
      </c>
      <c r="B332" s="13" t="s">
        <v>1</v>
      </c>
      <c r="C332" s="13" t="s">
        <v>629</v>
      </c>
      <c r="D332" s="14">
        <v>44083</v>
      </c>
      <c r="E332" s="14">
        <v>44083</v>
      </c>
      <c r="F332" s="14">
        <v>44088</v>
      </c>
      <c r="G332" s="13" t="s">
        <v>3</v>
      </c>
      <c r="H332" s="13" t="s">
        <v>4</v>
      </c>
      <c r="I332" s="15">
        <v>-46791.82</v>
      </c>
      <c r="J332" s="13" t="s">
        <v>5</v>
      </c>
      <c r="K332" s="13" t="s">
        <v>6</v>
      </c>
      <c r="L332" s="15">
        <v>-3928173.29</v>
      </c>
      <c r="M332" s="15">
        <v>-46791.82</v>
      </c>
      <c r="N332" s="16" t="str">
        <f>IF(M332="","",IF(M332&lt;0,-M332&amp;"_"&amp;COUNTIF(M$2:M332,M332),M332&amp;"_"&amp;COUNTIF(M$2:M332,M332)))</f>
        <v>46791.82_1</v>
      </c>
      <c r="O332" s="17" t="str">
        <f t="shared" si="5"/>
        <v/>
      </c>
      <c r="P332" s="13" t="s">
        <v>630</v>
      </c>
      <c r="Q332" s="13" t="s">
        <v>624</v>
      </c>
      <c r="R332" s="13" t="s">
        <v>0</v>
      </c>
      <c r="S332" s="13" t="s">
        <v>0</v>
      </c>
      <c r="T332" s="13" t="s">
        <v>9</v>
      </c>
      <c r="U332" s="13" t="s">
        <v>0</v>
      </c>
      <c r="V332" s="13" t="s">
        <v>0</v>
      </c>
      <c r="W332" s="13" t="s">
        <v>0</v>
      </c>
      <c r="X332" s="13" t="s">
        <v>0</v>
      </c>
      <c r="Y332" s="13" t="s">
        <v>10</v>
      </c>
      <c r="Z332" s="13" t="s">
        <v>0</v>
      </c>
      <c r="AA332" s="14"/>
      <c r="AB332" s="13" t="s">
        <v>0</v>
      </c>
      <c r="AC332" s="13" t="s">
        <v>0</v>
      </c>
      <c r="AD332" s="13" t="s">
        <v>0</v>
      </c>
      <c r="AE332" s="15">
        <v>0</v>
      </c>
    </row>
    <row r="333" spans="1:31" ht="14.15" customHeight="1" x14ac:dyDescent="0.25">
      <c r="A333" s="12" t="s">
        <v>0</v>
      </c>
      <c r="B333" s="13" t="s">
        <v>1</v>
      </c>
      <c r="C333" s="13" t="s">
        <v>3484</v>
      </c>
      <c r="D333" s="14">
        <v>44320</v>
      </c>
      <c r="E333" s="14">
        <v>44320</v>
      </c>
      <c r="F333" s="14">
        <v>44329</v>
      </c>
      <c r="G333" s="13" t="s">
        <v>3</v>
      </c>
      <c r="H333" s="13" t="s">
        <v>4</v>
      </c>
      <c r="I333" s="15">
        <v>-46756.800000000003</v>
      </c>
      <c r="J333" s="13" t="s">
        <v>5</v>
      </c>
      <c r="K333" s="13" t="s">
        <v>6</v>
      </c>
      <c r="L333" s="15">
        <v>-3925233.36</v>
      </c>
      <c r="M333" s="15">
        <v>-46756.800000000003</v>
      </c>
      <c r="N333" s="16" t="str">
        <f>IF(M333="","",IF(M333&lt;0,-M333&amp;"_"&amp;COUNTIF(M$2:M333,M333),M333&amp;"_"&amp;COUNTIF(M$2:M333,M333)))</f>
        <v>46756.8_1</v>
      </c>
      <c r="O333" s="17" t="str">
        <f t="shared" si="5"/>
        <v/>
      </c>
      <c r="P333" s="13" t="s">
        <v>3485</v>
      </c>
      <c r="Q333" s="13" t="s">
        <v>3453</v>
      </c>
      <c r="R333" s="13" t="s">
        <v>0</v>
      </c>
      <c r="S333" s="13" t="s">
        <v>0</v>
      </c>
      <c r="T333" s="13" t="s">
        <v>9</v>
      </c>
      <c r="U333" s="13" t="s">
        <v>0</v>
      </c>
      <c r="V333" s="13" t="s">
        <v>0</v>
      </c>
      <c r="W333" s="13" t="s">
        <v>0</v>
      </c>
      <c r="X333" s="13" t="s">
        <v>0</v>
      </c>
      <c r="Y333" s="13" t="s">
        <v>10</v>
      </c>
      <c r="Z333" s="13" t="s">
        <v>0</v>
      </c>
      <c r="AA333" s="14"/>
      <c r="AB333" s="13" t="s">
        <v>0</v>
      </c>
      <c r="AC333" s="13" t="s">
        <v>0</v>
      </c>
      <c r="AD333" s="13" t="s">
        <v>0</v>
      </c>
      <c r="AE333" s="15">
        <v>0</v>
      </c>
    </row>
    <row r="334" spans="1:31" ht="14.15" customHeight="1" x14ac:dyDescent="0.25">
      <c r="A334" s="12" t="s">
        <v>0</v>
      </c>
      <c r="B334" s="13" t="s">
        <v>1</v>
      </c>
      <c r="C334" s="13" t="s">
        <v>3103</v>
      </c>
      <c r="D334" s="14">
        <v>44287</v>
      </c>
      <c r="E334" s="14">
        <v>44287</v>
      </c>
      <c r="F334" s="14">
        <v>44294</v>
      </c>
      <c r="G334" s="13" t="s">
        <v>3</v>
      </c>
      <c r="H334" s="13" t="s">
        <v>4</v>
      </c>
      <c r="I334" s="15">
        <v>-46696.54</v>
      </c>
      <c r="J334" s="13" t="s">
        <v>5</v>
      </c>
      <c r="K334" s="13" t="s">
        <v>6</v>
      </c>
      <c r="L334" s="15">
        <v>-3920174.53</v>
      </c>
      <c r="M334" s="15">
        <v>-46696.54</v>
      </c>
      <c r="N334" s="16" t="str">
        <f>IF(M334="","",IF(M334&lt;0,-M334&amp;"_"&amp;COUNTIF(M$2:M334,M334),M334&amp;"_"&amp;COUNTIF(M$2:M334,M334)))</f>
        <v>46696.54_1</v>
      </c>
      <c r="O334" s="17" t="str">
        <f t="shared" si="5"/>
        <v/>
      </c>
      <c r="P334" s="13" t="s">
        <v>3104</v>
      </c>
      <c r="Q334" s="13" t="s">
        <v>3102</v>
      </c>
      <c r="R334" s="13" t="s">
        <v>0</v>
      </c>
      <c r="S334" s="13" t="s">
        <v>0</v>
      </c>
      <c r="T334" s="13" t="s">
        <v>9</v>
      </c>
      <c r="U334" s="13" t="s">
        <v>0</v>
      </c>
      <c r="V334" s="13" t="s">
        <v>0</v>
      </c>
      <c r="W334" s="13" t="s">
        <v>0</v>
      </c>
      <c r="X334" s="13" t="s">
        <v>0</v>
      </c>
      <c r="Y334" s="13" t="s">
        <v>10</v>
      </c>
      <c r="Z334" s="13" t="s">
        <v>0</v>
      </c>
      <c r="AA334" s="14"/>
      <c r="AB334" s="13" t="s">
        <v>0</v>
      </c>
      <c r="AC334" s="13" t="s">
        <v>0</v>
      </c>
      <c r="AD334" s="13" t="s">
        <v>0</v>
      </c>
      <c r="AE334" s="15">
        <v>0</v>
      </c>
    </row>
    <row r="335" spans="1:31" ht="14.15" customHeight="1" x14ac:dyDescent="0.25">
      <c r="A335" s="12" t="s">
        <v>0</v>
      </c>
      <c r="B335" s="13" t="s">
        <v>1</v>
      </c>
      <c r="C335" s="13" t="s">
        <v>4337</v>
      </c>
      <c r="D335" s="14">
        <v>44374</v>
      </c>
      <c r="E335" s="14">
        <v>44374</v>
      </c>
      <c r="F335" s="14">
        <v>44376</v>
      </c>
      <c r="G335" s="13" t="s">
        <v>3</v>
      </c>
      <c r="H335" s="13" t="s">
        <v>4</v>
      </c>
      <c r="I335" s="15">
        <v>-46428.51</v>
      </c>
      <c r="J335" s="13" t="s">
        <v>5</v>
      </c>
      <c r="K335" s="13" t="s">
        <v>6</v>
      </c>
      <c r="L335" s="15">
        <v>-3897673.41</v>
      </c>
      <c r="M335" s="15">
        <v>-46428.51</v>
      </c>
      <c r="N335" s="16" t="str">
        <f>IF(M335="","",IF(M335&lt;0,-M335&amp;"_"&amp;COUNTIF(M$2:M335,M335),M335&amp;"_"&amp;COUNTIF(M$2:M335,M335)))</f>
        <v>46428.51_1</v>
      </c>
      <c r="O335" s="17" t="str">
        <f t="shared" si="5"/>
        <v/>
      </c>
      <c r="P335" s="13" t="s">
        <v>4338</v>
      </c>
      <c r="Q335" s="13" t="s">
        <v>4334</v>
      </c>
      <c r="R335" s="13" t="s">
        <v>0</v>
      </c>
      <c r="S335" s="13" t="s">
        <v>0</v>
      </c>
      <c r="T335" s="13" t="s">
        <v>9</v>
      </c>
      <c r="U335" s="13" t="s">
        <v>0</v>
      </c>
      <c r="V335" s="13" t="s">
        <v>0</v>
      </c>
      <c r="W335" s="13" t="s">
        <v>0</v>
      </c>
      <c r="X335" s="13" t="s">
        <v>0</v>
      </c>
      <c r="Y335" s="13" t="s">
        <v>10</v>
      </c>
      <c r="Z335" s="13" t="s">
        <v>0</v>
      </c>
      <c r="AA335" s="14"/>
      <c r="AB335" s="13" t="s">
        <v>0</v>
      </c>
      <c r="AC335" s="13" t="s">
        <v>0</v>
      </c>
      <c r="AD335" s="13" t="s">
        <v>0</v>
      </c>
      <c r="AE335" s="15">
        <v>0</v>
      </c>
    </row>
    <row r="336" spans="1:31" ht="14.15" customHeight="1" x14ac:dyDescent="0.25">
      <c r="A336" s="12" t="s">
        <v>0</v>
      </c>
      <c r="B336" s="13" t="s">
        <v>1</v>
      </c>
      <c r="C336" s="13" t="s">
        <v>134</v>
      </c>
      <c r="D336" s="14">
        <v>44028</v>
      </c>
      <c r="E336" s="14">
        <v>44028</v>
      </c>
      <c r="F336" s="14">
        <v>44032</v>
      </c>
      <c r="G336" s="13" t="s">
        <v>3</v>
      </c>
      <c r="H336" s="13" t="s">
        <v>4</v>
      </c>
      <c r="I336" s="15">
        <v>-46403.519999999997</v>
      </c>
      <c r="J336" s="13" t="s">
        <v>5</v>
      </c>
      <c r="K336" s="13" t="s">
        <v>6</v>
      </c>
      <c r="L336" s="15">
        <v>-3895575.5</v>
      </c>
      <c r="M336" s="15">
        <v>-46403.519999999997</v>
      </c>
      <c r="N336" s="16" t="str">
        <f>IF(M336="","",IF(M336&lt;0,-M336&amp;"_"&amp;COUNTIF(M$2:M336,M336),M336&amp;"_"&amp;COUNTIF(M$2:M336,M336)))</f>
        <v>46403.52_1</v>
      </c>
      <c r="O336" s="17" t="str">
        <f t="shared" si="5"/>
        <v/>
      </c>
      <c r="P336" s="13" t="s">
        <v>135</v>
      </c>
      <c r="Q336" s="13" t="s">
        <v>129</v>
      </c>
      <c r="R336" s="13" t="s">
        <v>0</v>
      </c>
      <c r="S336" s="13" t="s">
        <v>0</v>
      </c>
      <c r="T336" s="13" t="s">
        <v>9</v>
      </c>
      <c r="U336" s="13" t="s">
        <v>0</v>
      </c>
      <c r="V336" s="13" t="s">
        <v>0</v>
      </c>
      <c r="W336" s="13" t="s">
        <v>0</v>
      </c>
      <c r="X336" s="13" t="s">
        <v>0</v>
      </c>
      <c r="Y336" s="13" t="s">
        <v>10</v>
      </c>
      <c r="Z336" s="13" t="s">
        <v>0</v>
      </c>
      <c r="AA336" s="14"/>
      <c r="AB336" s="13" t="s">
        <v>0</v>
      </c>
      <c r="AC336" s="13" t="s">
        <v>0</v>
      </c>
      <c r="AD336" s="13" t="s">
        <v>0</v>
      </c>
      <c r="AE336" s="15">
        <v>0</v>
      </c>
    </row>
    <row r="337" spans="1:31" ht="14.15" customHeight="1" x14ac:dyDescent="0.25">
      <c r="A337" s="12" t="s">
        <v>0</v>
      </c>
      <c r="B337" s="13" t="s">
        <v>1</v>
      </c>
      <c r="C337" s="13" t="s">
        <v>2379</v>
      </c>
      <c r="D337" s="14">
        <v>44227</v>
      </c>
      <c r="E337" s="14">
        <v>44227</v>
      </c>
      <c r="F337" s="14">
        <v>44231</v>
      </c>
      <c r="G337" s="13" t="s">
        <v>3</v>
      </c>
      <c r="H337" s="13" t="s">
        <v>4</v>
      </c>
      <c r="I337" s="15">
        <v>-46392.75</v>
      </c>
      <c r="J337" s="13" t="s">
        <v>5</v>
      </c>
      <c r="K337" s="13" t="s">
        <v>6</v>
      </c>
      <c r="L337" s="15">
        <v>-3894671.3599999999</v>
      </c>
      <c r="M337" s="15">
        <v>-46392.75</v>
      </c>
      <c r="N337" s="16" t="str">
        <f>IF(M337="","",IF(M337&lt;0,-M337&amp;"_"&amp;COUNTIF(M$2:M337,M337),M337&amp;"_"&amp;COUNTIF(M$2:M337,M337)))</f>
        <v>46392.75_1</v>
      </c>
      <c r="O337" s="17" t="str">
        <f t="shared" si="5"/>
        <v/>
      </c>
      <c r="P337" s="13" t="s">
        <v>2380</v>
      </c>
      <c r="Q337" s="13" t="s">
        <v>2378</v>
      </c>
      <c r="R337" s="13" t="s">
        <v>0</v>
      </c>
      <c r="S337" s="13" t="s">
        <v>0</v>
      </c>
      <c r="T337" s="13" t="s">
        <v>9</v>
      </c>
      <c r="U337" s="13" t="s">
        <v>0</v>
      </c>
      <c r="V337" s="13" t="s">
        <v>0</v>
      </c>
      <c r="W337" s="13" t="s">
        <v>0</v>
      </c>
      <c r="X337" s="13" t="s">
        <v>0</v>
      </c>
      <c r="Y337" s="13" t="s">
        <v>10</v>
      </c>
      <c r="Z337" s="13" t="s">
        <v>0</v>
      </c>
      <c r="AA337" s="14"/>
      <c r="AB337" s="13" t="s">
        <v>0</v>
      </c>
      <c r="AC337" s="13" t="s">
        <v>0</v>
      </c>
      <c r="AD337" s="13" t="s">
        <v>0</v>
      </c>
      <c r="AE337" s="15">
        <v>0</v>
      </c>
    </row>
    <row r="338" spans="1:31" ht="14.15" customHeight="1" x14ac:dyDescent="0.25">
      <c r="A338" s="12" t="s">
        <v>0</v>
      </c>
      <c r="B338" s="13" t="s">
        <v>1</v>
      </c>
      <c r="C338" s="13" t="s">
        <v>153</v>
      </c>
      <c r="D338" s="14">
        <v>44031</v>
      </c>
      <c r="E338" s="14">
        <v>44031</v>
      </c>
      <c r="F338" s="14">
        <v>44034</v>
      </c>
      <c r="G338" s="13" t="s">
        <v>3</v>
      </c>
      <c r="H338" s="13" t="s">
        <v>4</v>
      </c>
      <c r="I338" s="15">
        <v>-46231.37</v>
      </c>
      <c r="J338" s="13" t="s">
        <v>5</v>
      </c>
      <c r="K338" s="13" t="s">
        <v>6</v>
      </c>
      <c r="L338" s="15">
        <v>-3881123.51</v>
      </c>
      <c r="M338" s="15">
        <v>-46231.37</v>
      </c>
      <c r="N338" s="16" t="str">
        <f>IF(M338="","",IF(M338&lt;0,-M338&amp;"_"&amp;COUNTIF(M$2:M338,M338),M338&amp;"_"&amp;COUNTIF(M$2:M338,M338)))</f>
        <v>46231.37_1</v>
      </c>
      <c r="O338" s="17" t="str">
        <f t="shared" si="5"/>
        <v/>
      </c>
      <c r="P338" s="13" t="s">
        <v>154</v>
      </c>
      <c r="Q338" s="13" t="s">
        <v>152</v>
      </c>
      <c r="R338" s="13" t="s">
        <v>0</v>
      </c>
      <c r="S338" s="13" t="s">
        <v>0</v>
      </c>
      <c r="T338" s="13" t="s">
        <v>9</v>
      </c>
      <c r="U338" s="13" t="s">
        <v>0</v>
      </c>
      <c r="V338" s="13" t="s">
        <v>0</v>
      </c>
      <c r="W338" s="13" t="s">
        <v>0</v>
      </c>
      <c r="X338" s="13" t="s">
        <v>0</v>
      </c>
      <c r="Y338" s="13" t="s">
        <v>10</v>
      </c>
      <c r="Z338" s="13" t="s">
        <v>0</v>
      </c>
      <c r="AA338" s="14"/>
      <c r="AB338" s="13" t="s">
        <v>0</v>
      </c>
      <c r="AC338" s="13" t="s">
        <v>0</v>
      </c>
      <c r="AD338" s="13" t="s">
        <v>0</v>
      </c>
      <c r="AE338" s="15">
        <v>0</v>
      </c>
    </row>
    <row r="339" spans="1:31" ht="14.15" customHeight="1" x14ac:dyDescent="0.25">
      <c r="A339" s="12" t="s">
        <v>0</v>
      </c>
      <c r="B339" s="13" t="s">
        <v>1</v>
      </c>
      <c r="C339" s="13" t="s">
        <v>2166</v>
      </c>
      <c r="D339" s="14">
        <v>44209</v>
      </c>
      <c r="E339" s="14">
        <v>44209</v>
      </c>
      <c r="F339" s="14">
        <v>44219</v>
      </c>
      <c r="G339" s="13" t="s">
        <v>3</v>
      </c>
      <c r="H339" s="13" t="s">
        <v>4</v>
      </c>
      <c r="I339" s="15">
        <v>-46143.02</v>
      </c>
      <c r="J339" s="13" t="s">
        <v>5</v>
      </c>
      <c r="K339" s="13" t="s">
        <v>6</v>
      </c>
      <c r="L339" s="15">
        <v>-3873706.53</v>
      </c>
      <c r="M339" s="15">
        <v>-46143.02</v>
      </c>
      <c r="N339" s="16" t="str">
        <f>IF(M339="","",IF(M339&lt;0,-M339&amp;"_"&amp;COUNTIF(M$2:M339,M339),M339&amp;"_"&amp;COUNTIF(M$2:M339,M339)))</f>
        <v>46143.02_1</v>
      </c>
      <c r="O339" s="17" t="str">
        <f t="shared" si="5"/>
        <v/>
      </c>
      <c r="P339" s="13" t="s">
        <v>2167</v>
      </c>
      <c r="Q339" s="13" t="s">
        <v>2159</v>
      </c>
      <c r="R339" s="13" t="s">
        <v>0</v>
      </c>
      <c r="S339" s="13" t="s">
        <v>0</v>
      </c>
      <c r="T339" s="13" t="s">
        <v>9</v>
      </c>
      <c r="U339" s="13" t="s">
        <v>0</v>
      </c>
      <c r="V339" s="13" t="s">
        <v>0</v>
      </c>
      <c r="W339" s="13" t="s">
        <v>0</v>
      </c>
      <c r="X339" s="13" t="s">
        <v>0</v>
      </c>
      <c r="Y339" s="13" t="s">
        <v>10</v>
      </c>
      <c r="Z339" s="13" t="s">
        <v>0</v>
      </c>
      <c r="AA339" s="14"/>
      <c r="AB339" s="13" t="s">
        <v>0</v>
      </c>
      <c r="AC339" s="13" t="s">
        <v>0</v>
      </c>
      <c r="AD339" s="13" t="s">
        <v>0</v>
      </c>
      <c r="AE339" s="15">
        <v>0</v>
      </c>
    </row>
    <row r="340" spans="1:31" ht="14.15" customHeight="1" x14ac:dyDescent="0.25">
      <c r="A340" s="12" t="s">
        <v>0</v>
      </c>
      <c r="B340" s="13" t="s">
        <v>1</v>
      </c>
      <c r="C340" s="13" t="s">
        <v>4045</v>
      </c>
      <c r="D340" s="14">
        <v>44358</v>
      </c>
      <c r="E340" s="14">
        <v>44358</v>
      </c>
      <c r="F340" s="14">
        <v>44364</v>
      </c>
      <c r="G340" s="13" t="s">
        <v>3</v>
      </c>
      <c r="H340" s="13" t="s">
        <v>4</v>
      </c>
      <c r="I340" s="15">
        <v>-45930.35</v>
      </c>
      <c r="J340" s="13" t="s">
        <v>5</v>
      </c>
      <c r="K340" s="13" t="s">
        <v>6</v>
      </c>
      <c r="L340" s="15">
        <v>-3855852.88</v>
      </c>
      <c r="M340" s="15">
        <v>-45930.35</v>
      </c>
      <c r="N340" s="16" t="str">
        <f>IF(M340="","",IF(M340&lt;0,-M340&amp;"_"&amp;COUNTIF(M$2:M340,M340),M340&amp;"_"&amp;COUNTIF(M$2:M340,M340)))</f>
        <v>45930.35_1</v>
      </c>
      <c r="O340" s="17" t="str">
        <f t="shared" si="5"/>
        <v/>
      </c>
      <c r="P340" s="13" t="s">
        <v>4046</v>
      </c>
      <c r="Q340" s="13" t="s">
        <v>4006</v>
      </c>
      <c r="R340" s="13" t="s">
        <v>0</v>
      </c>
      <c r="S340" s="13" t="s">
        <v>0</v>
      </c>
      <c r="T340" s="13" t="s">
        <v>9</v>
      </c>
      <c r="U340" s="13" t="s">
        <v>0</v>
      </c>
      <c r="V340" s="13" t="s">
        <v>0</v>
      </c>
      <c r="W340" s="13" t="s">
        <v>0</v>
      </c>
      <c r="X340" s="13" t="s">
        <v>0</v>
      </c>
      <c r="Y340" s="13" t="s">
        <v>10</v>
      </c>
      <c r="Z340" s="13" t="s">
        <v>0</v>
      </c>
      <c r="AA340" s="14"/>
      <c r="AB340" s="13" t="s">
        <v>0</v>
      </c>
      <c r="AC340" s="13" t="s">
        <v>0</v>
      </c>
      <c r="AD340" s="13" t="s">
        <v>0</v>
      </c>
      <c r="AE340" s="15">
        <v>0</v>
      </c>
    </row>
    <row r="341" spans="1:31" ht="14.15" customHeight="1" x14ac:dyDescent="0.25">
      <c r="A341" s="12" t="s">
        <v>0</v>
      </c>
      <c r="B341" s="13" t="s">
        <v>1</v>
      </c>
      <c r="C341" s="13" t="s">
        <v>4280</v>
      </c>
      <c r="D341" s="14">
        <v>44370</v>
      </c>
      <c r="E341" s="14">
        <v>44370</v>
      </c>
      <c r="F341" s="14">
        <v>44377</v>
      </c>
      <c r="G341" s="13" t="s">
        <v>3</v>
      </c>
      <c r="H341" s="13" t="s">
        <v>4</v>
      </c>
      <c r="I341" s="15">
        <v>-45834.39</v>
      </c>
      <c r="J341" s="13" t="s">
        <v>5</v>
      </c>
      <c r="K341" s="13" t="s">
        <v>6</v>
      </c>
      <c r="L341" s="15">
        <v>-3847797.04</v>
      </c>
      <c r="M341" s="15">
        <v>-45834.39</v>
      </c>
      <c r="N341" s="16" t="str">
        <f>IF(M341="","",IF(M341&lt;0,-M341&amp;"_"&amp;COUNTIF(M$2:M341,M341),M341&amp;"_"&amp;COUNTIF(M$2:M341,M341)))</f>
        <v>45834.39_1</v>
      </c>
      <c r="O341" s="17" t="str">
        <f t="shared" si="5"/>
        <v/>
      </c>
      <c r="P341" s="13" t="s">
        <v>4281</v>
      </c>
      <c r="Q341" s="13" t="s">
        <v>4269</v>
      </c>
      <c r="R341" s="13" t="s">
        <v>0</v>
      </c>
      <c r="S341" s="13" t="s">
        <v>0</v>
      </c>
      <c r="T341" s="13" t="s">
        <v>9</v>
      </c>
      <c r="U341" s="13" t="s">
        <v>0</v>
      </c>
      <c r="V341" s="13" t="s">
        <v>0</v>
      </c>
      <c r="W341" s="13" t="s">
        <v>0</v>
      </c>
      <c r="X341" s="13" t="s">
        <v>0</v>
      </c>
      <c r="Y341" s="13" t="s">
        <v>10</v>
      </c>
      <c r="Z341" s="13" t="s">
        <v>0</v>
      </c>
      <c r="AA341" s="14"/>
      <c r="AB341" s="13" t="s">
        <v>0</v>
      </c>
      <c r="AC341" s="13" t="s">
        <v>0</v>
      </c>
      <c r="AD341" s="13" t="s">
        <v>0</v>
      </c>
      <c r="AE341" s="15">
        <v>0</v>
      </c>
    </row>
    <row r="342" spans="1:31" ht="14.15" customHeight="1" x14ac:dyDescent="0.25">
      <c r="A342" s="12" t="s">
        <v>0</v>
      </c>
      <c r="B342" s="13" t="s">
        <v>1</v>
      </c>
      <c r="C342" s="13" t="s">
        <v>3309</v>
      </c>
      <c r="D342" s="14">
        <v>44314</v>
      </c>
      <c r="E342" s="14">
        <v>44314</v>
      </c>
      <c r="F342" s="14">
        <v>44323</v>
      </c>
      <c r="G342" s="13" t="s">
        <v>3</v>
      </c>
      <c r="H342" s="13" t="s">
        <v>4</v>
      </c>
      <c r="I342" s="15">
        <v>-45738.31</v>
      </c>
      <c r="J342" s="13" t="s">
        <v>5</v>
      </c>
      <c r="K342" s="13" t="s">
        <v>6</v>
      </c>
      <c r="L342" s="15">
        <v>-3839731.12</v>
      </c>
      <c r="M342" s="15">
        <v>-45738.31</v>
      </c>
      <c r="N342" s="16" t="str">
        <f>IF(M342="","",IF(M342&lt;0,-M342&amp;"_"&amp;COUNTIF(M$2:M342,M342),M342&amp;"_"&amp;COUNTIF(M$2:M342,M342)))</f>
        <v>45738.31_1</v>
      </c>
      <c r="O342" s="17" t="str">
        <f t="shared" si="5"/>
        <v/>
      </c>
      <c r="P342" s="13" t="s">
        <v>3310</v>
      </c>
      <c r="Q342" s="13" t="s">
        <v>3284</v>
      </c>
      <c r="R342" s="13" t="s">
        <v>0</v>
      </c>
      <c r="S342" s="13" t="s">
        <v>0</v>
      </c>
      <c r="T342" s="13" t="s">
        <v>9</v>
      </c>
      <c r="U342" s="13" t="s">
        <v>0</v>
      </c>
      <c r="V342" s="13" t="s">
        <v>0</v>
      </c>
      <c r="W342" s="13" t="s">
        <v>0</v>
      </c>
      <c r="X342" s="13" t="s">
        <v>0</v>
      </c>
      <c r="Y342" s="13" t="s">
        <v>10</v>
      </c>
      <c r="Z342" s="13" t="s">
        <v>0</v>
      </c>
      <c r="AA342" s="14"/>
      <c r="AB342" s="13" t="s">
        <v>0</v>
      </c>
      <c r="AC342" s="13" t="s">
        <v>0</v>
      </c>
      <c r="AD342" s="13" t="s">
        <v>0</v>
      </c>
      <c r="AE342" s="15">
        <v>0</v>
      </c>
    </row>
    <row r="343" spans="1:31" ht="14.15" customHeight="1" x14ac:dyDescent="0.25">
      <c r="A343" s="12" t="s">
        <v>0</v>
      </c>
      <c r="B343" s="13" t="s">
        <v>1</v>
      </c>
      <c r="C343" s="13" t="s">
        <v>3937</v>
      </c>
      <c r="D343" s="14">
        <v>44354</v>
      </c>
      <c r="E343" s="14">
        <v>44354</v>
      </c>
      <c r="F343" s="14">
        <v>44359</v>
      </c>
      <c r="G343" s="13" t="s">
        <v>3</v>
      </c>
      <c r="H343" s="13" t="s">
        <v>4</v>
      </c>
      <c r="I343" s="15">
        <v>-45704.77</v>
      </c>
      <c r="J343" s="13" t="s">
        <v>5</v>
      </c>
      <c r="K343" s="13" t="s">
        <v>6</v>
      </c>
      <c r="L343" s="15">
        <v>-3836915.44</v>
      </c>
      <c r="M343" s="15">
        <v>-45704.77</v>
      </c>
      <c r="N343" s="16" t="str">
        <f>IF(M343="","",IF(M343&lt;0,-M343&amp;"_"&amp;COUNTIF(M$2:M343,M343),M343&amp;"_"&amp;COUNTIF(M$2:M343,M343)))</f>
        <v>45704.77_1</v>
      </c>
      <c r="O343" s="17" t="str">
        <f t="shared" si="5"/>
        <v/>
      </c>
      <c r="P343" s="13" t="s">
        <v>3938</v>
      </c>
      <c r="Q343" s="13" t="s">
        <v>3914</v>
      </c>
      <c r="R343" s="13" t="s">
        <v>0</v>
      </c>
      <c r="S343" s="13" t="s">
        <v>0</v>
      </c>
      <c r="T343" s="13" t="s">
        <v>9</v>
      </c>
      <c r="U343" s="13" t="s">
        <v>0</v>
      </c>
      <c r="V343" s="13" t="s">
        <v>0</v>
      </c>
      <c r="W343" s="13" t="s">
        <v>0</v>
      </c>
      <c r="X343" s="13" t="s">
        <v>0</v>
      </c>
      <c r="Y343" s="13" t="s">
        <v>10</v>
      </c>
      <c r="Z343" s="13" t="s">
        <v>0</v>
      </c>
      <c r="AA343" s="14"/>
      <c r="AB343" s="13" t="s">
        <v>0</v>
      </c>
      <c r="AC343" s="13" t="s">
        <v>0</v>
      </c>
      <c r="AD343" s="13" t="s">
        <v>0</v>
      </c>
      <c r="AE343" s="15">
        <v>0</v>
      </c>
    </row>
    <row r="344" spans="1:31" ht="14.15" customHeight="1" x14ac:dyDescent="0.25">
      <c r="A344" s="12" t="s">
        <v>0</v>
      </c>
      <c r="B344" s="13" t="s">
        <v>1</v>
      </c>
      <c r="C344" s="13" t="s">
        <v>1797</v>
      </c>
      <c r="D344" s="14">
        <v>44183</v>
      </c>
      <c r="E344" s="14">
        <v>44183</v>
      </c>
      <c r="F344" s="14">
        <v>44187</v>
      </c>
      <c r="G344" s="13" t="s">
        <v>3</v>
      </c>
      <c r="H344" s="13" t="s">
        <v>4</v>
      </c>
      <c r="I344" s="15">
        <v>-45665.95</v>
      </c>
      <c r="J344" s="13" t="s">
        <v>5</v>
      </c>
      <c r="K344" s="13" t="s">
        <v>6</v>
      </c>
      <c r="L344" s="15">
        <v>-3833656.5</v>
      </c>
      <c r="M344" s="15">
        <v>-45665.95</v>
      </c>
      <c r="N344" s="16" t="str">
        <f>IF(M344="","",IF(M344&lt;0,-M344&amp;"_"&amp;COUNTIF(M$2:M344,M344),M344&amp;"_"&amp;COUNTIF(M$2:M344,M344)))</f>
        <v>45665.95_1</v>
      </c>
      <c r="O344" s="17" t="str">
        <f t="shared" si="5"/>
        <v/>
      </c>
      <c r="P344" s="13" t="s">
        <v>1798</v>
      </c>
      <c r="Q344" s="13" t="s">
        <v>1792</v>
      </c>
      <c r="R344" s="13" t="s">
        <v>0</v>
      </c>
      <c r="S344" s="13" t="s">
        <v>0</v>
      </c>
      <c r="T344" s="13" t="s">
        <v>9</v>
      </c>
      <c r="U344" s="13" t="s">
        <v>0</v>
      </c>
      <c r="V344" s="13" t="s">
        <v>0</v>
      </c>
      <c r="W344" s="13" t="s">
        <v>0</v>
      </c>
      <c r="X344" s="13" t="s">
        <v>0</v>
      </c>
      <c r="Y344" s="13" t="s">
        <v>10</v>
      </c>
      <c r="Z344" s="13" t="s">
        <v>0</v>
      </c>
      <c r="AA344" s="14"/>
      <c r="AB344" s="13" t="s">
        <v>0</v>
      </c>
      <c r="AC344" s="13" t="s">
        <v>0</v>
      </c>
      <c r="AD344" s="13" t="s">
        <v>0</v>
      </c>
      <c r="AE344" s="15">
        <v>0</v>
      </c>
    </row>
    <row r="345" spans="1:31" ht="14.15" customHeight="1" x14ac:dyDescent="0.25">
      <c r="A345" s="12" t="s">
        <v>0</v>
      </c>
      <c r="B345" s="13" t="s">
        <v>1</v>
      </c>
      <c r="C345" s="13" t="s">
        <v>3236</v>
      </c>
      <c r="D345" s="14">
        <v>44306</v>
      </c>
      <c r="E345" s="14">
        <v>44306</v>
      </c>
      <c r="F345" s="14">
        <v>44311</v>
      </c>
      <c r="G345" s="13" t="s">
        <v>3</v>
      </c>
      <c r="H345" s="13" t="s">
        <v>4</v>
      </c>
      <c r="I345" s="15">
        <v>-45522.06</v>
      </c>
      <c r="J345" s="13" t="s">
        <v>5</v>
      </c>
      <c r="K345" s="13" t="s">
        <v>6</v>
      </c>
      <c r="L345" s="15">
        <v>-3821576.94</v>
      </c>
      <c r="M345" s="15">
        <v>-45522.06</v>
      </c>
      <c r="N345" s="16" t="str">
        <f>IF(M345="","",IF(M345&lt;0,-M345&amp;"_"&amp;COUNTIF(M$2:M345,M345),M345&amp;"_"&amp;COUNTIF(M$2:M345,M345)))</f>
        <v>45522.06_1</v>
      </c>
      <c r="O345" s="17" t="str">
        <f t="shared" si="5"/>
        <v/>
      </c>
      <c r="P345" s="13" t="s">
        <v>3237</v>
      </c>
      <c r="Q345" s="13" t="s">
        <v>3229</v>
      </c>
      <c r="R345" s="13" t="s">
        <v>0</v>
      </c>
      <c r="S345" s="13" t="s">
        <v>0</v>
      </c>
      <c r="T345" s="13" t="s">
        <v>9</v>
      </c>
      <c r="U345" s="13" t="s">
        <v>0</v>
      </c>
      <c r="V345" s="13" t="s">
        <v>0</v>
      </c>
      <c r="W345" s="13" t="s">
        <v>0</v>
      </c>
      <c r="X345" s="13" t="s">
        <v>0</v>
      </c>
      <c r="Y345" s="13" t="s">
        <v>10</v>
      </c>
      <c r="Z345" s="13" t="s">
        <v>0</v>
      </c>
      <c r="AA345" s="14"/>
      <c r="AB345" s="13" t="s">
        <v>0</v>
      </c>
      <c r="AC345" s="13" t="s">
        <v>0</v>
      </c>
      <c r="AD345" s="13" t="s">
        <v>0</v>
      </c>
      <c r="AE345" s="15">
        <v>0</v>
      </c>
    </row>
    <row r="346" spans="1:31" ht="14.15" customHeight="1" x14ac:dyDescent="0.25">
      <c r="A346" s="12" t="s">
        <v>0</v>
      </c>
      <c r="B346" s="13" t="s">
        <v>1</v>
      </c>
      <c r="C346" s="13" t="s">
        <v>1512</v>
      </c>
      <c r="D346" s="14">
        <v>44163</v>
      </c>
      <c r="E346" s="14">
        <v>44163</v>
      </c>
      <c r="F346" s="14">
        <v>44168</v>
      </c>
      <c r="G346" s="13" t="s">
        <v>3</v>
      </c>
      <c r="H346" s="13" t="s">
        <v>4</v>
      </c>
      <c r="I346" s="15">
        <v>-45459.14</v>
      </c>
      <c r="J346" s="13" t="s">
        <v>5</v>
      </c>
      <c r="K346" s="13" t="s">
        <v>6</v>
      </c>
      <c r="L346" s="15">
        <v>-3816294.8</v>
      </c>
      <c r="M346" s="15">
        <v>-45459.14</v>
      </c>
      <c r="N346" s="16" t="str">
        <f>IF(M346="","",IF(M346&lt;0,-M346&amp;"_"&amp;COUNTIF(M$2:M346,M346),M346&amp;"_"&amp;COUNTIF(M$2:M346,M346)))</f>
        <v>45459.14_1</v>
      </c>
      <c r="O346" s="17" t="str">
        <f t="shared" si="5"/>
        <v/>
      </c>
      <c r="P346" s="13" t="s">
        <v>1513</v>
      </c>
      <c r="Q346" s="13" t="s">
        <v>1509</v>
      </c>
      <c r="R346" s="13" t="s">
        <v>0</v>
      </c>
      <c r="S346" s="13" t="s">
        <v>0</v>
      </c>
      <c r="T346" s="13" t="s">
        <v>9</v>
      </c>
      <c r="U346" s="13" t="s">
        <v>0</v>
      </c>
      <c r="V346" s="13" t="s">
        <v>0</v>
      </c>
      <c r="W346" s="13" t="s">
        <v>0</v>
      </c>
      <c r="X346" s="13" t="s">
        <v>0</v>
      </c>
      <c r="Y346" s="13" t="s">
        <v>10</v>
      </c>
      <c r="Z346" s="13" t="s">
        <v>0</v>
      </c>
      <c r="AA346" s="14"/>
      <c r="AB346" s="13" t="s">
        <v>0</v>
      </c>
      <c r="AC346" s="13" t="s">
        <v>0</v>
      </c>
      <c r="AD346" s="13" t="s">
        <v>0</v>
      </c>
      <c r="AE346" s="15">
        <v>0</v>
      </c>
    </row>
    <row r="347" spans="1:31" ht="14.15" customHeight="1" x14ac:dyDescent="0.25">
      <c r="A347" s="12" t="s">
        <v>0</v>
      </c>
      <c r="B347" s="13" t="s">
        <v>1</v>
      </c>
      <c r="C347" s="13" t="s">
        <v>846</v>
      </c>
      <c r="D347" s="14">
        <v>44107</v>
      </c>
      <c r="E347" s="14">
        <v>44107</v>
      </c>
      <c r="F347" s="14">
        <v>44126</v>
      </c>
      <c r="G347" s="13" t="s">
        <v>3</v>
      </c>
      <c r="H347" s="13" t="s">
        <v>4</v>
      </c>
      <c r="I347" s="15">
        <v>-45341.01</v>
      </c>
      <c r="J347" s="13" t="s">
        <v>5</v>
      </c>
      <c r="K347" s="13" t="s">
        <v>6</v>
      </c>
      <c r="L347" s="15">
        <v>-3806377.8</v>
      </c>
      <c r="M347" s="15">
        <v>-45341.01</v>
      </c>
      <c r="N347" s="16" t="str">
        <f>IF(M347="","",IF(M347&lt;0,-M347&amp;"_"&amp;COUNTIF(M$2:M347,M347),M347&amp;"_"&amp;COUNTIF(M$2:M347,M347)))</f>
        <v>45341.01_1</v>
      </c>
      <c r="O347" s="17" t="str">
        <f t="shared" si="5"/>
        <v/>
      </c>
      <c r="P347" s="13" t="s">
        <v>847</v>
      </c>
      <c r="Q347" s="13" t="s">
        <v>841</v>
      </c>
      <c r="R347" s="13" t="s">
        <v>0</v>
      </c>
      <c r="S347" s="13" t="s">
        <v>0</v>
      </c>
      <c r="T347" s="13" t="s">
        <v>9</v>
      </c>
      <c r="U347" s="13" t="s">
        <v>0</v>
      </c>
      <c r="V347" s="13" t="s">
        <v>0</v>
      </c>
      <c r="W347" s="13" t="s">
        <v>0</v>
      </c>
      <c r="X347" s="13" t="s">
        <v>0</v>
      </c>
      <c r="Y347" s="13" t="s">
        <v>10</v>
      </c>
      <c r="Z347" s="13" t="s">
        <v>0</v>
      </c>
      <c r="AA347" s="14"/>
      <c r="AB347" s="13" t="s">
        <v>0</v>
      </c>
      <c r="AC347" s="13" t="s">
        <v>0</v>
      </c>
      <c r="AD347" s="13" t="s">
        <v>0</v>
      </c>
      <c r="AE347" s="15">
        <v>0</v>
      </c>
    </row>
    <row r="348" spans="1:31" ht="14.15" customHeight="1" x14ac:dyDescent="0.25">
      <c r="A348" s="12" t="s">
        <v>0</v>
      </c>
      <c r="B348" s="13" t="s">
        <v>1</v>
      </c>
      <c r="C348" s="13" t="s">
        <v>1775</v>
      </c>
      <c r="D348" s="14">
        <v>44182</v>
      </c>
      <c r="E348" s="14">
        <v>44182</v>
      </c>
      <c r="F348" s="14">
        <v>44188</v>
      </c>
      <c r="G348" s="13" t="s">
        <v>3</v>
      </c>
      <c r="H348" s="13" t="s">
        <v>4</v>
      </c>
      <c r="I348" s="15">
        <v>-45074.93</v>
      </c>
      <c r="J348" s="13" t="s">
        <v>5</v>
      </c>
      <c r="K348" s="13" t="s">
        <v>6</v>
      </c>
      <c r="L348" s="15">
        <v>-3784040.38</v>
      </c>
      <c r="M348" s="15">
        <v>-45074.93</v>
      </c>
      <c r="N348" s="16" t="str">
        <f>IF(M348="","",IF(M348&lt;0,-M348&amp;"_"&amp;COUNTIF(M$2:M348,M348),M348&amp;"_"&amp;COUNTIF(M$2:M348,M348)))</f>
        <v>45074.93_1</v>
      </c>
      <c r="O348" s="17" t="str">
        <f t="shared" si="5"/>
        <v/>
      </c>
      <c r="P348" s="13" t="s">
        <v>1776</v>
      </c>
      <c r="Q348" s="13" t="s">
        <v>1777</v>
      </c>
      <c r="R348" s="13" t="s">
        <v>0</v>
      </c>
      <c r="S348" s="13" t="s">
        <v>0</v>
      </c>
      <c r="T348" s="13" t="s">
        <v>9</v>
      </c>
      <c r="U348" s="13" t="s">
        <v>0</v>
      </c>
      <c r="V348" s="13" t="s">
        <v>0</v>
      </c>
      <c r="W348" s="13" t="s">
        <v>0</v>
      </c>
      <c r="X348" s="13" t="s">
        <v>0</v>
      </c>
      <c r="Y348" s="13" t="s">
        <v>10</v>
      </c>
      <c r="Z348" s="13" t="s">
        <v>0</v>
      </c>
      <c r="AA348" s="14"/>
      <c r="AB348" s="13" t="s">
        <v>0</v>
      </c>
      <c r="AC348" s="13" t="s">
        <v>0</v>
      </c>
      <c r="AD348" s="13" t="s">
        <v>0</v>
      </c>
      <c r="AE348" s="15">
        <v>0</v>
      </c>
    </row>
    <row r="349" spans="1:31" ht="14.15" customHeight="1" x14ac:dyDescent="0.25">
      <c r="A349" s="12" t="s">
        <v>0</v>
      </c>
      <c r="B349" s="13" t="s">
        <v>1</v>
      </c>
      <c r="C349" s="13" t="s">
        <v>3933</v>
      </c>
      <c r="D349" s="14">
        <v>44354</v>
      </c>
      <c r="E349" s="14">
        <v>44354</v>
      </c>
      <c r="F349" s="14">
        <v>44359</v>
      </c>
      <c r="G349" s="13" t="s">
        <v>3</v>
      </c>
      <c r="H349" s="13" t="s">
        <v>4</v>
      </c>
      <c r="I349" s="15">
        <v>-44981.41</v>
      </c>
      <c r="J349" s="13" t="s">
        <v>5</v>
      </c>
      <c r="K349" s="13" t="s">
        <v>6</v>
      </c>
      <c r="L349" s="15">
        <v>-3776189.37</v>
      </c>
      <c r="M349" s="15">
        <v>-44981.41</v>
      </c>
      <c r="N349" s="16" t="str">
        <f>IF(M349="","",IF(M349&lt;0,-M349&amp;"_"&amp;COUNTIF(M$2:M349,M349),M349&amp;"_"&amp;COUNTIF(M$2:M349,M349)))</f>
        <v>44981.41_1</v>
      </c>
      <c r="O349" s="17" t="str">
        <f t="shared" si="5"/>
        <v/>
      </c>
      <c r="P349" s="13" t="s">
        <v>3934</v>
      </c>
      <c r="Q349" s="13" t="s">
        <v>3914</v>
      </c>
      <c r="R349" s="13" t="s">
        <v>0</v>
      </c>
      <c r="S349" s="13" t="s">
        <v>0</v>
      </c>
      <c r="T349" s="13" t="s">
        <v>9</v>
      </c>
      <c r="U349" s="13" t="s">
        <v>0</v>
      </c>
      <c r="V349" s="13" t="s">
        <v>0</v>
      </c>
      <c r="W349" s="13" t="s">
        <v>0</v>
      </c>
      <c r="X349" s="13" t="s">
        <v>0</v>
      </c>
      <c r="Y349" s="13" t="s">
        <v>10</v>
      </c>
      <c r="Z349" s="13" t="s">
        <v>0</v>
      </c>
      <c r="AA349" s="14"/>
      <c r="AB349" s="13" t="s">
        <v>0</v>
      </c>
      <c r="AC349" s="13" t="s">
        <v>0</v>
      </c>
      <c r="AD349" s="13" t="s">
        <v>0</v>
      </c>
      <c r="AE349" s="15">
        <v>0</v>
      </c>
    </row>
    <row r="350" spans="1:31" ht="14.15" customHeight="1" x14ac:dyDescent="0.25">
      <c r="A350" s="12" t="s">
        <v>0</v>
      </c>
      <c r="B350" s="13" t="s">
        <v>1</v>
      </c>
      <c r="C350" s="13" t="s">
        <v>3949</v>
      </c>
      <c r="D350" s="14">
        <v>44355</v>
      </c>
      <c r="E350" s="14">
        <v>44355</v>
      </c>
      <c r="F350" s="14">
        <v>44361</v>
      </c>
      <c r="G350" s="13" t="s">
        <v>3</v>
      </c>
      <c r="H350" s="13" t="s">
        <v>4</v>
      </c>
      <c r="I350" s="15">
        <v>-44969.31</v>
      </c>
      <c r="J350" s="13" t="s">
        <v>5</v>
      </c>
      <c r="K350" s="13" t="s">
        <v>6</v>
      </c>
      <c r="L350" s="15">
        <v>-3775173.57</v>
      </c>
      <c r="M350" s="15">
        <v>-44969.31</v>
      </c>
      <c r="N350" s="16" t="str">
        <f>IF(M350="","",IF(M350&lt;0,-M350&amp;"_"&amp;COUNTIF(M$2:M350,M350),M350&amp;"_"&amp;COUNTIF(M$2:M350,M350)))</f>
        <v>44969.31_1</v>
      </c>
      <c r="O350" s="17" t="str">
        <f t="shared" si="5"/>
        <v/>
      </c>
      <c r="P350" s="13" t="s">
        <v>3900</v>
      </c>
      <c r="Q350" s="13" t="s">
        <v>3946</v>
      </c>
      <c r="R350" s="13" t="s">
        <v>0</v>
      </c>
      <c r="S350" s="13" t="s">
        <v>0</v>
      </c>
      <c r="T350" s="13" t="s">
        <v>9</v>
      </c>
      <c r="U350" s="13" t="s">
        <v>0</v>
      </c>
      <c r="V350" s="13" t="s">
        <v>0</v>
      </c>
      <c r="W350" s="13" t="s">
        <v>0</v>
      </c>
      <c r="X350" s="13" t="s">
        <v>0</v>
      </c>
      <c r="Y350" s="13" t="s">
        <v>10</v>
      </c>
      <c r="Z350" s="13" t="s">
        <v>0</v>
      </c>
      <c r="AA350" s="14"/>
      <c r="AB350" s="13" t="s">
        <v>0</v>
      </c>
      <c r="AC350" s="13" t="s">
        <v>0</v>
      </c>
      <c r="AD350" s="13" t="s">
        <v>0</v>
      </c>
      <c r="AE350" s="15">
        <v>0</v>
      </c>
    </row>
    <row r="351" spans="1:31" ht="14.15" customHeight="1" x14ac:dyDescent="0.25">
      <c r="A351" s="12" t="s">
        <v>0</v>
      </c>
      <c r="B351" s="13" t="s">
        <v>1</v>
      </c>
      <c r="C351" s="13" t="s">
        <v>3682</v>
      </c>
      <c r="D351" s="14">
        <v>44335</v>
      </c>
      <c r="E351" s="14">
        <v>44335</v>
      </c>
      <c r="F351" s="14">
        <v>44341</v>
      </c>
      <c r="G351" s="13" t="s">
        <v>3</v>
      </c>
      <c r="H351" s="13" t="s">
        <v>4</v>
      </c>
      <c r="I351" s="15">
        <v>-44897.760000000002</v>
      </c>
      <c r="J351" s="13" t="s">
        <v>5</v>
      </c>
      <c r="K351" s="13" t="s">
        <v>6</v>
      </c>
      <c r="L351" s="15">
        <v>-3769166.95</v>
      </c>
      <c r="M351" s="15">
        <v>-44897.760000000002</v>
      </c>
      <c r="N351" s="16" t="str">
        <f>IF(M351="","",IF(M351&lt;0,-M351&amp;"_"&amp;COUNTIF(M$2:M351,M351),M351&amp;"_"&amp;COUNTIF(M$2:M351,M351)))</f>
        <v>44897.76_1</v>
      </c>
      <c r="O351" s="17" t="str">
        <f t="shared" si="5"/>
        <v/>
      </c>
      <c r="P351" s="13" t="s">
        <v>3683</v>
      </c>
      <c r="Q351" s="13" t="s">
        <v>3665</v>
      </c>
      <c r="R351" s="13" t="s">
        <v>0</v>
      </c>
      <c r="S351" s="13" t="s">
        <v>0</v>
      </c>
      <c r="T351" s="13" t="s">
        <v>9</v>
      </c>
      <c r="U351" s="13" t="s">
        <v>0</v>
      </c>
      <c r="V351" s="13" t="s">
        <v>0</v>
      </c>
      <c r="W351" s="13" t="s">
        <v>0</v>
      </c>
      <c r="X351" s="13" t="s">
        <v>0</v>
      </c>
      <c r="Y351" s="13" t="s">
        <v>10</v>
      </c>
      <c r="Z351" s="13" t="s">
        <v>0</v>
      </c>
      <c r="AA351" s="14"/>
      <c r="AB351" s="13" t="s">
        <v>0</v>
      </c>
      <c r="AC351" s="13" t="s">
        <v>0</v>
      </c>
      <c r="AD351" s="13" t="s">
        <v>0</v>
      </c>
      <c r="AE351" s="15">
        <v>0</v>
      </c>
    </row>
    <row r="352" spans="1:31" ht="14.15" customHeight="1" x14ac:dyDescent="0.25">
      <c r="A352" s="12" t="s">
        <v>0</v>
      </c>
      <c r="B352" s="13" t="s">
        <v>1</v>
      </c>
      <c r="C352" s="13" t="s">
        <v>1196</v>
      </c>
      <c r="D352" s="14">
        <v>44140</v>
      </c>
      <c r="E352" s="14">
        <v>44140</v>
      </c>
      <c r="F352" s="14">
        <v>44146</v>
      </c>
      <c r="G352" s="13" t="s">
        <v>3</v>
      </c>
      <c r="H352" s="13" t="s">
        <v>4</v>
      </c>
      <c r="I352" s="15">
        <v>-44747.56</v>
      </c>
      <c r="J352" s="13" t="s">
        <v>5</v>
      </c>
      <c r="K352" s="13" t="s">
        <v>6</v>
      </c>
      <c r="L352" s="15">
        <v>-3756557.66</v>
      </c>
      <c r="M352" s="15">
        <v>-44747.56</v>
      </c>
      <c r="N352" s="16" t="str">
        <f>IF(M352="","",IF(M352&lt;0,-M352&amp;"_"&amp;COUNTIF(M$2:M352,M352),M352&amp;"_"&amp;COUNTIF(M$2:M352,M352)))</f>
        <v>44747.56_1</v>
      </c>
      <c r="O352" s="17" t="str">
        <f t="shared" si="5"/>
        <v/>
      </c>
      <c r="P352" s="13" t="s">
        <v>1197</v>
      </c>
      <c r="Q352" s="13" t="s">
        <v>1165</v>
      </c>
      <c r="R352" s="13" t="s">
        <v>0</v>
      </c>
      <c r="S352" s="13" t="s">
        <v>0</v>
      </c>
      <c r="T352" s="13" t="s">
        <v>9</v>
      </c>
      <c r="U352" s="13" t="s">
        <v>0</v>
      </c>
      <c r="V352" s="13" t="s">
        <v>0</v>
      </c>
      <c r="W352" s="13" t="s">
        <v>0</v>
      </c>
      <c r="X352" s="13" t="s">
        <v>0</v>
      </c>
      <c r="Y352" s="13" t="s">
        <v>10</v>
      </c>
      <c r="Z352" s="13" t="s">
        <v>0</v>
      </c>
      <c r="AA352" s="14"/>
      <c r="AB352" s="13" t="s">
        <v>0</v>
      </c>
      <c r="AC352" s="13" t="s">
        <v>0</v>
      </c>
      <c r="AD352" s="13" t="s">
        <v>0</v>
      </c>
      <c r="AE352" s="15">
        <v>0</v>
      </c>
    </row>
    <row r="353" spans="1:31" ht="14.15" customHeight="1" x14ac:dyDescent="0.25">
      <c r="A353" s="12" t="s">
        <v>0</v>
      </c>
      <c r="B353" s="13" t="s">
        <v>289</v>
      </c>
      <c r="C353" s="13" t="s">
        <v>2708</v>
      </c>
      <c r="D353" s="14">
        <v>44255</v>
      </c>
      <c r="E353" s="14">
        <v>44255</v>
      </c>
      <c r="F353" s="14">
        <v>44262</v>
      </c>
      <c r="G353" s="13" t="s">
        <v>48</v>
      </c>
      <c r="H353" s="13" t="s">
        <v>4</v>
      </c>
      <c r="I353" s="15">
        <v>-44655.26</v>
      </c>
      <c r="J353" s="13" t="s">
        <v>5</v>
      </c>
      <c r="K353" s="13" t="s">
        <v>6</v>
      </c>
      <c r="L353" s="15">
        <v>-3748809.08</v>
      </c>
      <c r="M353" s="15">
        <v>-44655.26</v>
      </c>
      <c r="N353" s="16" t="str">
        <f>IF(M353="","",IF(M353&lt;0,-M353&amp;"_"&amp;COUNTIF(M$2:M353,M353),M353&amp;"_"&amp;COUNTIF(M$2:M353,M353)))</f>
        <v>44655.26_1</v>
      </c>
      <c r="O353" s="17" t="str">
        <f t="shared" si="5"/>
        <v/>
      </c>
      <c r="P353" s="13" t="s">
        <v>2709</v>
      </c>
      <c r="Q353" s="13" t="s">
        <v>2710</v>
      </c>
      <c r="R353" s="13" t="s">
        <v>1994</v>
      </c>
      <c r="S353" s="13" t="s">
        <v>0</v>
      </c>
      <c r="T353" s="13" t="s">
        <v>9</v>
      </c>
      <c r="U353" s="13" t="s">
        <v>1995</v>
      </c>
      <c r="V353" s="13" t="s">
        <v>0</v>
      </c>
      <c r="W353" s="13" t="s">
        <v>0</v>
      </c>
      <c r="X353" s="13" t="s">
        <v>0</v>
      </c>
      <c r="Y353" s="13" t="s">
        <v>0</v>
      </c>
      <c r="Z353" s="13" t="s">
        <v>0</v>
      </c>
      <c r="AA353" s="14"/>
      <c r="AB353" s="13" t="s">
        <v>0</v>
      </c>
      <c r="AC353" s="13" t="s">
        <v>0</v>
      </c>
      <c r="AD353" s="13" t="s">
        <v>0</v>
      </c>
      <c r="AE353" s="15">
        <v>0</v>
      </c>
    </row>
    <row r="354" spans="1:31" ht="14.15" customHeight="1" x14ac:dyDescent="0.25">
      <c r="A354" s="12" t="s">
        <v>0</v>
      </c>
      <c r="B354" s="13" t="s">
        <v>1</v>
      </c>
      <c r="C354" s="13" t="s">
        <v>3949</v>
      </c>
      <c r="D354" s="14">
        <v>44355</v>
      </c>
      <c r="E354" s="14">
        <v>44355</v>
      </c>
      <c r="F354" s="14">
        <v>44361</v>
      </c>
      <c r="G354" s="13" t="s">
        <v>3</v>
      </c>
      <c r="H354" s="13" t="s">
        <v>4</v>
      </c>
      <c r="I354" s="15">
        <v>-44567.51</v>
      </c>
      <c r="J354" s="13" t="s">
        <v>5</v>
      </c>
      <c r="K354" s="13" t="s">
        <v>6</v>
      </c>
      <c r="L354" s="15">
        <v>-3741442.47</v>
      </c>
      <c r="M354" s="15">
        <v>-44567.51</v>
      </c>
      <c r="N354" s="16" t="str">
        <f>IF(M354="","",IF(M354&lt;0,-M354&amp;"_"&amp;COUNTIF(M$2:M354,M354),M354&amp;"_"&amp;COUNTIF(M$2:M354,M354)))</f>
        <v>44567.51_1</v>
      </c>
      <c r="O354" s="17" t="str">
        <f t="shared" si="5"/>
        <v/>
      </c>
      <c r="P354" s="13" t="s">
        <v>3900</v>
      </c>
      <c r="Q354" s="13" t="s">
        <v>3946</v>
      </c>
      <c r="R354" s="13" t="s">
        <v>0</v>
      </c>
      <c r="S354" s="13" t="s">
        <v>0</v>
      </c>
      <c r="T354" s="13" t="s">
        <v>9</v>
      </c>
      <c r="U354" s="13" t="s">
        <v>0</v>
      </c>
      <c r="V354" s="13" t="s">
        <v>0</v>
      </c>
      <c r="W354" s="13" t="s">
        <v>0</v>
      </c>
      <c r="X354" s="13" t="s">
        <v>0</v>
      </c>
      <c r="Y354" s="13" t="s">
        <v>10</v>
      </c>
      <c r="Z354" s="13" t="s">
        <v>0</v>
      </c>
      <c r="AA354" s="14"/>
      <c r="AB354" s="13" t="s">
        <v>0</v>
      </c>
      <c r="AC354" s="13" t="s">
        <v>0</v>
      </c>
      <c r="AD354" s="13" t="s">
        <v>0</v>
      </c>
      <c r="AE354" s="15">
        <v>0</v>
      </c>
    </row>
    <row r="355" spans="1:31" ht="14.15" customHeight="1" x14ac:dyDescent="0.25">
      <c r="A355" s="12" t="s">
        <v>0</v>
      </c>
      <c r="B355" s="13" t="s">
        <v>1</v>
      </c>
      <c r="C355" s="13" t="s">
        <v>3754</v>
      </c>
      <c r="D355" s="14">
        <v>44340</v>
      </c>
      <c r="E355" s="14">
        <v>44340</v>
      </c>
      <c r="F355" s="14">
        <v>44345</v>
      </c>
      <c r="G355" s="13" t="s">
        <v>3</v>
      </c>
      <c r="H355" s="13" t="s">
        <v>4</v>
      </c>
      <c r="I355" s="15">
        <v>-44304</v>
      </c>
      <c r="J355" s="13" t="s">
        <v>5</v>
      </c>
      <c r="K355" s="13" t="s">
        <v>6</v>
      </c>
      <c r="L355" s="15">
        <v>-3719320.8</v>
      </c>
      <c r="M355" s="15">
        <v>-44304</v>
      </c>
      <c r="N355" s="16" t="str">
        <f>IF(M355="","",IF(M355&lt;0,-M355&amp;"_"&amp;COUNTIF(M$2:M355,M355),M355&amp;"_"&amp;COUNTIF(M$2:M355,M355)))</f>
        <v>44304_1</v>
      </c>
      <c r="O355" s="17" t="str">
        <f t="shared" si="5"/>
        <v/>
      </c>
      <c r="P355" s="13" t="s">
        <v>3755</v>
      </c>
      <c r="Q355" s="13" t="s">
        <v>3753</v>
      </c>
      <c r="R355" s="13" t="s">
        <v>0</v>
      </c>
      <c r="S355" s="13" t="s">
        <v>0</v>
      </c>
      <c r="T355" s="13" t="s">
        <v>9</v>
      </c>
      <c r="U355" s="13" t="s">
        <v>0</v>
      </c>
      <c r="V355" s="13" t="s">
        <v>0</v>
      </c>
      <c r="W355" s="13" t="s">
        <v>0</v>
      </c>
      <c r="X355" s="13" t="s">
        <v>0</v>
      </c>
      <c r="Y355" s="13" t="s">
        <v>10</v>
      </c>
      <c r="Z355" s="13" t="s">
        <v>0</v>
      </c>
      <c r="AA355" s="14"/>
      <c r="AB355" s="13" t="s">
        <v>0</v>
      </c>
      <c r="AC355" s="13" t="s">
        <v>0</v>
      </c>
      <c r="AD355" s="13" t="s">
        <v>0</v>
      </c>
      <c r="AE355" s="15">
        <v>0</v>
      </c>
    </row>
    <row r="356" spans="1:31" ht="14.15" customHeight="1" x14ac:dyDescent="0.25">
      <c r="A356" s="12" t="s">
        <v>0</v>
      </c>
      <c r="B356" s="13" t="s">
        <v>1</v>
      </c>
      <c r="C356" s="13" t="s">
        <v>764</v>
      </c>
      <c r="D356" s="14">
        <v>44098</v>
      </c>
      <c r="E356" s="14">
        <v>44098</v>
      </c>
      <c r="F356" s="14">
        <v>44112</v>
      </c>
      <c r="G356" s="13" t="s">
        <v>3</v>
      </c>
      <c r="H356" s="13" t="s">
        <v>4</v>
      </c>
      <c r="I356" s="15">
        <v>-44299.24</v>
      </c>
      <c r="J356" s="13" t="s">
        <v>5</v>
      </c>
      <c r="K356" s="13" t="s">
        <v>6</v>
      </c>
      <c r="L356" s="15">
        <v>-3718921.2</v>
      </c>
      <c r="M356" s="15">
        <v>-44299.24</v>
      </c>
      <c r="N356" s="16" t="str">
        <f>IF(M356="","",IF(M356&lt;0,-M356&amp;"_"&amp;COUNTIF(M$2:M356,M356),M356&amp;"_"&amp;COUNTIF(M$2:M356,M356)))</f>
        <v>44299.24_1</v>
      </c>
      <c r="O356" s="17" t="str">
        <f t="shared" si="5"/>
        <v/>
      </c>
      <c r="P356" s="13" t="s">
        <v>765</v>
      </c>
      <c r="Q356" s="13" t="s">
        <v>761</v>
      </c>
      <c r="R356" s="13" t="s">
        <v>0</v>
      </c>
      <c r="S356" s="13" t="s">
        <v>0</v>
      </c>
      <c r="T356" s="13" t="s">
        <v>9</v>
      </c>
      <c r="U356" s="13" t="s">
        <v>0</v>
      </c>
      <c r="V356" s="13" t="s">
        <v>0</v>
      </c>
      <c r="W356" s="13" t="s">
        <v>0</v>
      </c>
      <c r="X356" s="13" t="s">
        <v>0</v>
      </c>
      <c r="Y356" s="13" t="s">
        <v>10</v>
      </c>
      <c r="Z356" s="13" t="s">
        <v>0</v>
      </c>
      <c r="AA356" s="14"/>
      <c r="AB356" s="13" t="s">
        <v>0</v>
      </c>
      <c r="AC356" s="13" t="s">
        <v>0</v>
      </c>
      <c r="AD356" s="13" t="s">
        <v>0</v>
      </c>
      <c r="AE356" s="15">
        <v>0</v>
      </c>
    </row>
    <row r="357" spans="1:31" ht="14.15" customHeight="1" x14ac:dyDescent="0.25">
      <c r="A357" s="12" t="s">
        <v>0</v>
      </c>
      <c r="B357" s="13" t="s">
        <v>1</v>
      </c>
      <c r="C357" s="13" t="s">
        <v>2605</v>
      </c>
      <c r="D357" s="14">
        <v>44243</v>
      </c>
      <c r="E357" s="14">
        <v>44243</v>
      </c>
      <c r="F357" s="14">
        <v>44252</v>
      </c>
      <c r="G357" s="13" t="s">
        <v>3</v>
      </c>
      <c r="H357" s="13" t="s">
        <v>4</v>
      </c>
      <c r="I357" s="15">
        <v>-44291.15</v>
      </c>
      <c r="J357" s="13" t="s">
        <v>5</v>
      </c>
      <c r="K357" s="13" t="s">
        <v>6</v>
      </c>
      <c r="L357" s="15">
        <v>-3718242.04</v>
      </c>
      <c r="M357" s="15">
        <v>-44291.15</v>
      </c>
      <c r="N357" s="16" t="str">
        <f>IF(M357="","",IF(M357&lt;0,-M357&amp;"_"&amp;COUNTIF(M$2:M357,M357),M357&amp;"_"&amp;COUNTIF(M$2:M357,M357)))</f>
        <v>44291.15_1</v>
      </c>
      <c r="O357" s="17" t="str">
        <f t="shared" si="5"/>
        <v/>
      </c>
      <c r="P357" s="13" t="s">
        <v>2606</v>
      </c>
      <c r="Q357" s="13" t="s">
        <v>2574</v>
      </c>
      <c r="R357" s="13" t="s">
        <v>0</v>
      </c>
      <c r="S357" s="13" t="s">
        <v>0</v>
      </c>
      <c r="T357" s="13" t="s">
        <v>9</v>
      </c>
      <c r="U357" s="13" t="s">
        <v>0</v>
      </c>
      <c r="V357" s="13" t="s">
        <v>0</v>
      </c>
      <c r="W357" s="13" t="s">
        <v>0</v>
      </c>
      <c r="X357" s="13" t="s">
        <v>0</v>
      </c>
      <c r="Y357" s="13" t="s">
        <v>10</v>
      </c>
      <c r="Z357" s="13" t="s">
        <v>0</v>
      </c>
      <c r="AA357" s="14"/>
      <c r="AB357" s="13" t="s">
        <v>0</v>
      </c>
      <c r="AC357" s="13" t="s">
        <v>0</v>
      </c>
      <c r="AD357" s="13" t="s">
        <v>0</v>
      </c>
      <c r="AE357" s="15">
        <v>0</v>
      </c>
    </row>
    <row r="358" spans="1:31" ht="14.15" customHeight="1" x14ac:dyDescent="0.25">
      <c r="A358" s="12" t="s">
        <v>0</v>
      </c>
      <c r="B358" s="13" t="s">
        <v>1</v>
      </c>
      <c r="C358" s="13" t="s">
        <v>2179</v>
      </c>
      <c r="D358" s="14">
        <v>44210</v>
      </c>
      <c r="E358" s="14">
        <v>44210</v>
      </c>
      <c r="F358" s="14">
        <v>44216</v>
      </c>
      <c r="G358" s="13" t="s">
        <v>3</v>
      </c>
      <c r="H358" s="13" t="s">
        <v>4</v>
      </c>
      <c r="I358" s="15">
        <v>-44290.99</v>
      </c>
      <c r="J358" s="13" t="s">
        <v>5</v>
      </c>
      <c r="K358" s="13" t="s">
        <v>6</v>
      </c>
      <c r="L358" s="15">
        <v>-3718228.61</v>
      </c>
      <c r="M358" s="15">
        <v>-44290.99</v>
      </c>
      <c r="N358" s="16" t="str">
        <f>IF(M358="","",IF(M358&lt;0,-M358&amp;"_"&amp;COUNTIF(M$2:M358,M358),M358&amp;"_"&amp;COUNTIF(M$2:M358,M358)))</f>
        <v>44290.99_1</v>
      </c>
      <c r="O358" s="17" t="str">
        <f t="shared" si="5"/>
        <v/>
      </c>
      <c r="P358" s="13" t="s">
        <v>2180</v>
      </c>
      <c r="Q358" s="13" t="s">
        <v>2176</v>
      </c>
      <c r="R358" s="13" t="s">
        <v>0</v>
      </c>
      <c r="S358" s="13" t="s">
        <v>0</v>
      </c>
      <c r="T358" s="13" t="s">
        <v>9</v>
      </c>
      <c r="U358" s="13" t="s">
        <v>0</v>
      </c>
      <c r="V358" s="13" t="s">
        <v>0</v>
      </c>
      <c r="W358" s="13" t="s">
        <v>0</v>
      </c>
      <c r="X358" s="13" t="s">
        <v>0</v>
      </c>
      <c r="Y358" s="13" t="s">
        <v>10</v>
      </c>
      <c r="Z358" s="13" t="s">
        <v>0</v>
      </c>
      <c r="AA358" s="14"/>
      <c r="AB358" s="13" t="s">
        <v>0</v>
      </c>
      <c r="AC358" s="13" t="s">
        <v>0</v>
      </c>
      <c r="AD358" s="13" t="s">
        <v>0</v>
      </c>
      <c r="AE358" s="15">
        <v>0</v>
      </c>
    </row>
    <row r="359" spans="1:31" ht="14.15" customHeight="1" x14ac:dyDescent="0.25">
      <c r="A359" s="12" t="s">
        <v>0</v>
      </c>
      <c r="B359" s="13" t="s">
        <v>1</v>
      </c>
      <c r="C359" s="13" t="s">
        <v>720</v>
      </c>
      <c r="D359" s="14">
        <v>44094</v>
      </c>
      <c r="E359" s="14">
        <v>44094</v>
      </c>
      <c r="F359" s="14">
        <v>44098</v>
      </c>
      <c r="G359" s="13" t="s">
        <v>3</v>
      </c>
      <c r="H359" s="13" t="s">
        <v>4</v>
      </c>
      <c r="I359" s="15">
        <v>-44234.9</v>
      </c>
      <c r="J359" s="13" t="s">
        <v>5</v>
      </c>
      <c r="K359" s="13" t="s">
        <v>6</v>
      </c>
      <c r="L359" s="15">
        <v>-3713519.86</v>
      </c>
      <c r="M359" s="15">
        <v>-44234.9</v>
      </c>
      <c r="N359" s="16" t="str">
        <f>IF(M359="","",IF(M359&lt;0,-M359&amp;"_"&amp;COUNTIF(M$2:M359,M359),M359&amp;"_"&amp;COUNTIF(M$2:M359,M359)))</f>
        <v>44234.9_1</v>
      </c>
      <c r="O359" s="17" t="str">
        <f t="shared" si="5"/>
        <v/>
      </c>
      <c r="P359" s="13" t="s">
        <v>721</v>
      </c>
      <c r="Q359" s="13" t="s">
        <v>719</v>
      </c>
      <c r="R359" s="13" t="s">
        <v>0</v>
      </c>
      <c r="S359" s="13" t="s">
        <v>0</v>
      </c>
      <c r="T359" s="13" t="s">
        <v>9</v>
      </c>
      <c r="U359" s="13" t="s">
        <v>0</v>
      </c>
      <c r="V359" s="13" t="s">
        <v>0</v>
      </c>
      <c r="W359" s="13" t="s">
        <v>0</v>
      </c>
      <c r="X359" s="13" t="s">
        <v>0</v>
      </c>
      <c r="Y359" s="13" t="s">
        <v>10</v>
      </c>
      <c r="Z359" s="13" t="s">
        <v>0</v>
      </c>
      <c r="AA359" s="14"/>
      <c r="AB359" s="13" t="s">
        <v>0</v>
      </c>
      <c r="AC359" s="13" t="s">
        <v>0</v>
      </c>
      <c r="AD359" s="13" t="s">
        <v>0</v>
      </c>
      <c r="AE359" s="15">
        <v>0</v>
      </c>
    </row>
    <row r="360" spans="1:31" ht="14.15" customHeight="1" x14ac:dyDescent="0.25">
      <c r="A360" s="12" t="s">
        <v>0</v>
      </c>
      <c r="B360" s="13" t="s">
        <v>1</v>
      </c>
      <c r="C360" s="13" t="s">
        <v>192</v>
      </c>
      <c r="D360" s="14">
        <v>44034</v>
      </c>
      <c r="E360" s="14">
        <v>44034</v>
      </c>
      <c r="F360" s="14">
        <v>44049</v>
      </c>
      <c r="G360" s="13" t="s">
        <v>3</v>
      </c>
      <c r="H360" s="13" t="s">
        <v>4</v>
      </c>
      <c r="I360" s="15">
        <v>-43657.14</v>
      </c>
      <c r="J360" s="13" t="s">
        <v>5</v>
      </c>
      <c r="K360" s="13" t="s">
        <v>6</v>
      </c>
      <c r="L360" s="15">
        <v>-3665016.9</v>
      </c>
      <c r="M360" s="15">
        <v>-43657.14</v>
      </c>
      <c r="N360" s="16" t="str">
        <f>IF(M360="","",IF(M360&lt;0,-M360&amp;"_"&amp;COUNTIF(M$2:M360,M360),M360&amp;"_"&amp;COUNTIF(M$2:M360,M360)))</f>
        <v>43657.14_1</v>
      </c>
      <c r="O360" s="17" t="str">
        <f t="shared" si="5"/>
        <v/>
      </c>
      <c r="P360" s="13" t="s">
        <v>193</v>
      </c>
      <c r="Q360" s="13" t="s">
        <v>175</v>
      </c>
      <c r="R360" s="13" t="s">
        <v>0</v>
      </c>
      <c r="S360" s="13" t="s">
        <v>0</v>
      </c>
      <c r="T360" s="13" t="s">
        <v>9</v>
      </c>
      <c r="U360" s="13" t="s">
        <v>0</v>
      </c>
      <c r="V360" s="13" t="s">
        <v>0</v>
      </c>
      <c r="W360" s="13" t="s">
        <v>0</v>
      </c>
      <c r="X360" s="13" t="s">
        <v>0</v>
      </c>
      <c r="Y360" s="13" t="s">
        <v>10</v>
      </c>
      <c r="Z360" s="13" t="s">
        <v>0</v>
      </c>
      <c r="AA360" s="14"/>
      <c r="AB360" s="13" t="s">
        <v>0</v>
      </c>
      <c r="AC360" s="13" t="s">
        <v>0</v>
      </c>
      <c r="AD360" s="13" t="s">
        <v>0</v>
      </c>
      <c r="AE360" s="15">
        <v>0</v>
      </c>
    </row>
    <row r="361" spans="1:31" ht="14.15" customHeight="1" x14ac:dyDescent="0.25">
      <c r="A361" s="12" t="s">
        <v>0</v>
      </c>
      <c r="B361" s="13" t="s">
        <v>1</v>
      </c>
      <c r="C361" s="13" t="s">
        <v>3159</v>
      </c>
      <c r="D361" s="14">
        <v>44297</v>
      </c>
      <c r="E361" s="14">
        <v>44297</v>
      </c>
      <c r="F361" s="14">
        <v>44308</v>
      </c>
      <c r="G361" s="13" t="s">
        <v>3</v>
      </c>
      <c r="H361" s="13" t="s">
        <v>4</v>
      </c>
      <c r="I361" s="15">
        <v>-43636.5</v>
      </c>
      <c r="J361" s="13" t="s">
        <v>5</v>
      </c>
      <c r="K361" s="13" t="s">
        <v>6</v>
      </c>
      <c r="L361" s="15">
        <v>-3663284.19</v>
      </c>
      <c r="M361" s="15">
        <v>-43636.5</v>
      </c>
      <c r="N361" s="16" t="str">
        <f>IF(M361="","",IF(M361&lt;0,-M361&amp;"_"&amp;COUNTIF(M$2:M361,M361),M361&amp;"_"&amp;COUNTIF(M$2:M361,M361)))</f>
        <v>43636.5_1</v>
      </c>
      <c r="O361" s="17" t="str">
        <f t="shared" si="5"/>
        <v/>
      </c>
      <c r="P361" s="13" t="s">
        <v>3160</v>
      </c>
      <c r="Q361" s="13" t="s">
        <v>3152</v>
      </c>
      <c r="R361" s="13" t="s">
        <v>0</v>
      </c>
      <c r="S361" s="13" t="s">
        <v>0</v>
      </c>
      <c r="T361" s="13" t="s">
        <v>9</v>
      </c>
      <c r="U361" s="13" t="s">
        <v>0</v>
      </c>
      <c r="V361" s="13" t="s">
        <v>0</v>
      </c>
      <c r="W361" s="13" t="s">
        <v>0</v>
      </c>
      <c r="X361" s="13" t="s">
        <v>0</v>
      </c>
      <c r="Y361" s="13" t="s">
        <v>10</v>
      </c>
      <c r="Z361" s="13" t="s">
        <v>0</v>
      </c>
      <c r="AA361" s="14"/>
      <c r="AB361" s="13" t="s">
        <v>0</v>
      </c>
      <c r="AC361" s="13" t="s">
        <v>0</v>
      </c>
      <c r="AD361" s="13" t="s">
        <v>0</v>
      </c>
      <c r="AE361" s="15">
        <v>0</v>
      </c>
    </row>
    <row r="362" spans="1:31" ht="14.15" customHeight="1" x14ac:dyDescent="0.25">
      <c r="A362" s="12" t="s">
        <v>0</v>
      </c>
      <c r="B362" s="13" t="s">
        <v>1</v>
      </c>
      <c r="C362" s="13" t="s">
        <v>1121</v>
      </c>
      <c r="D362" s="14">
        <v>44137</v>
      </c>
      <c r="E362" s="14">
        <v>44137</v>
      </c>
      <c r="F362" s="14">
        <v>44139</v>
      </c>
      <c r="G362" s="13" t="s">
        <v>3</v>
      </c>
      <c r="H362" s="13" t="s">
        <v>4</v>
      </c>
      <c r="I362" s="15">
        <v>-43581.279999999999</v>
      </c>
      <c r="J362" s="13" t="s">
        <v>5</v>
      </c>
      <c r="K362" s="13" t="s">
        <v>6</v>
      </c>
      <c r="L362" s="15">
        <v>-3658648.46</v>
      </c>
      <c r="M362" s="15">
        <v>-43581.279999999999</v>
      </c>
      <c r="N362" s="16" t="str">
        <f>IF(M362="","",IF(M362&lt;0,-M362&amp;"_"&amp;COUNTIF(M$2:M362,M362),M362&amp;"_"&amp;COUNTIF(M$2:M362,M362)))</f>
        <v>43581.28_1</v>
      </c>
      <c r="O362" s="17" t="str">
        <f t="shared" si="5"/>
        <v/>
      </c>
      <c r="P362" s="13" t="s">
        <v>1122</v>
      </c>
      <c r="Q362" s="13" t="s">
        <v>1120</v>
      </c>
      <c r="R362" s="13" t="s">
        <v>0</v>
      </c>
      <c r="S362" s="13" t="s">
        <v>0</v>
      </c>
      <c r="T362" s="13" t="s">
        <v>9</v>
      </c>
      <c r="U362" s="13" t="s">
        <v>0</v>
      </c>
      <c r="V362" s="13" t="s">
        <v>0</v>
      </c>
      <c r="W362" s="13" t="s">
        <v>0</v>
      </c>
      <c r="X362" s="13" t="s">
        <v>0</v>
      </c>
      <c r="Y362" s="13" t="s">
        <v>10</v>
      </c>
      <c r="Z362" s="13" t="s">
        <v>0</v>
      </c>
      <c r="AA362" s="14"/>
      <c r="AB362" s="13" t="s">
        <v>0</v>
      </c>
      <c r="AC362" s="13" t="s">
        <v>0</v>
      </c>
      <c r="AD362" s="13" t="s">
        <v>0</v>
      </c>
      <c r="AE362" s="15">
        <v>0</v>
      </c>
    </row>
    <row r="363" spans="1:31" ht="14.15" customHeight="1" x14ac:dyDescent="0.25">
      <c r="A363" s="12" t="s">
        <v>0</v>
      </c>
      <c r="B363" s="13" t="s">
        <v>1</v>
      </c>
      <c r="C363" s="13" t="s">
        <v>3527</v>
      </c>
      <c r="D363" s="14">
        <v>44324</v>
      </c>
      <c r="E363" s="14">
        <v>44324</v>
      </c>
      <c r="F363" s="14">
        <v>44333</v>
      </c>
      <c r="G363" s="13" t="s">
        <v>3</v>
      </c>
      <c r="H363" s="13" t="s">
        <v>4</v>
      </c>
      <c r="I363" s="15">
        <v>-43526.55</v>
      </c>
      <c r="J363" s="13" t="s">
        <v>5</v>
      </c>
      <c r="K363" s="13" t="s">
        <v>6</v>
      </c>
      <c r="L363" s="15">
        <v>-3654053.88</v>
      </c>
      <c r="M363" s="15">
        <v>-43526.55</v>
      </c>
      <c r="N363" s="16" t="str">
        <f>IF(M363="","",IF(M363&lt;0,-M363&amp;"_"&amp;COUNTIF(M$2:M363,M363),M363&amp;"_"&amp;COUNTIF(M$2:M363,M363)))</f>
        <v>43526.55_1</v>
      </c>
      <c r="O363" s="17" t="str">
        <f t="shared" si="5"/>
        <v/>
      </c>
      <c r="P363" s="13" t="s">
        <v>3528</v>
      </c>
      <c r="Q363" s="13" t="s">
        <v>3512</v>
      </c>
      <c r="R363" s="13" t="s">
        <v>0</v>
      </c>
      <c r="S363" s="13" t="s">
        <v>0</v>
      </c>
      <c r="T363" s="13" t="s">
        <v>9</v>
      </c>
      <c r="U363" s="13" t="s">
        <v>0</v>
      </c>
      <c r="V363" s="13" t="s">
        <v>0</v>
      </c>
      <c r="W363" s="13" t="s">
        <v>0</v>
      </c>
      <c r="X363" s="13" t="s">
        <v>0</v>
      </c>
      <c r="Y363" s="13" t="s">
        <v>10</v>
      </c>
      <c r="Z363" s="13" t="s">
        <v>0</v>
      </c>
      <c r="AA363" s="14"/>
      <c r="AB363" s="13" t="s">
        <v>0</v>
      </c>
      <c r="AC363" s="13" t="s">
        <v>0</v>
      </c>
      <c r="AD363" s="13" t="s">
        <v>0</v>
      </c>
      <c r="AE363" s="15">
        <v>0</v>
      </c>
    </row>
    <row r="364" spans="1:31" ht="14.15" customHeight="1" x14ac:dyDescent="0.25">
      <c r="A364" s="12" t="s">
        <v>0</v>
      </c>
      <c r="B364" s="13" t="s">
        <v>1</v>
      </c>
      <c r="C364" s="13" t="s">
        <v>2485</v>
      </c>
      <c r="D364" s="14">
        <v>44234</v>
      </c>
      <c r="E364" s="14">
        <v>44234</v>
      </c>
      <c r="F364" s="14">
        <v>44241</v>
      </c>
      <c r="G364" s="13" t="s">
        <v>3</v>
      </c>
      <c r="H364" s="13" t="s">
        <v>4</v>
      </c>
      <c r="I364" s="15">
        <v>-43283.69</v>
      </c>
      <c r="J364" s="13" t="s">
        <v>5</v>
      </c>
      <c r="K364" s="13" t="s">
        <v>6</v>
      </c>
      <c r="L364" s="15">
        <v>-3633665.78</v>
      </c>
      <c r="M364" s="15">
        <v>-43283.69</v>
      </c>
      <c r="N364" s="16" t="str">
        <f>IF(M364="","",IF(M364&lt;0,-M364&amp;"_"&amp;COUNTIF(M$2:M364,M364),M364&amp;"_"&amp;COUNTIF(M$2:M364,M364)))</f>
        <v>43283.69_1</v>
      </c>
      <c r="O364" s="17" t="str">
        <f t="shared" si="5"/>
        <v/>
      </c>
      <c r="P364" s="13" t="s">
        <v>2486</v>
      </c>
      <c r="Q364" s="13" t="s">
        <v>2462</v>
      </c>
      <c r="R364" s="13" t="s">
        <v>0</v>
      </c>
      <c r="S364" s="13" t="s">
        <v>0</v>
      </c>
      <c r="T364" s="13" t="s">
        <v>9</v>
      </c>
      <c r="U364" s="13" t="s">
        <v>0</v>
      </c>
      <c r="V364" s="13" t="s">
        <v>0</v>
      </c>
      <c r="W364" s="13" t="s">
        <v>0</v>
      </c>
      <c r="X364" s="13" t="s">
        <v>0</v>
      </c>
      <c r="Y364" s="13" t="s">
        <v>10</v>
      </c>
      <c r="Z364" s="13" t="s">
        <v>0</v>
      </c>
      <c r="AA364" s="14"/>
      <c r="AB364" s="13" t="s">
        <v>0</v>
      </c>
      <c r="AC364" s="13" t="s">
        <v>0</v>
      </c>
      <c r="AD364" s="13" t="s">
        <v>0</v>
      </c>
      <c r="AE364" s="15">
        <v>0</v>
      </c>
    </row>
    <row r="365" spans="1:31" ht="14.15" customHeight="1" x14ac:dyDescent="0.25">
      <c r="A365" s="12" t="s">
        <v>0</v>
      </c>
      <c r="B365" s="13" t="s">
        <v>1</v>
      </c>
      <c r="C365" s="13" t="s">
        <v>4103</v>
      </c>
      <c r="D365" s="14">
        <v>44362</v>
      </c>
      <c r="E365" s="14">
        <v>44362</v>
      </c>
      <c r="F365" s="14">
        <v>44367</v>
      </c>
      <c r="G365" s="13" t="s">
        <v>3</v>
      </c>
      <c r="H365" s="13" t="s">
        <v>4</v>
      </c>
      <c r="I365" s="15">
        <v>-43251.360000000001</v>
      </c>
      <c r="J365" s="13" t="s">
        <v>5</v>
      </c>
      <c r="K365" s="13" t="s">
        <v>6</v>
      </c>
      <c r="L365" s="15">
        <v>-3630951.67</v>
      </c>
      <c r="M365" s="15">
        <v>-43251.360000000001</v>
      </c>
      <c r="N365" s="16" t="str">
        <f>IF(M365="","",IF(M365&lt;0,-M365&amp;"_"&amp;COUNTIF(M$2:M365,M365),M365&amp;"_"&amp;COUNTIF(M$2:M365,M365)))</f>
        <v>43251.36_1</v>
      </c>
      <c r="O365" s="17" t="str">
        <f t="shared" si="5"/>
        <v/>
      </c>
      <c r="P365" s="13" t="s">
        <v>4104</v>
      </c>
      <c r="Q365" s="13" t="s">
        <v>4100</v>
      </c>
      <c r="R365" s="13" t="s">
        <v>0</v>
      </c>
      <c r="S365" s="13" t="s">
        <v>0</v>
      </c>
      <c r="T365" s="13" t="s">
        <v>9</v>
      </c>
      <c r="U365" s="13" t="s">
        <v>0</v>
      </c>
      <c r="V365" s="13" t="s">
        <v>0</v>
      </c>
      <c r="W365" s="13" t="s">
        <v>0</v>
      </c>
      <c r="X365" s="13" t="s">
        <v>0</v>
      </c>
      <c r="Y365" s="13" t="s">
        <v>10</v>
      </c>
      <c r="Z365" s="13" t="s">
        <v>0</v>
      </c>
      <c r="AA365" s="14"/>
      <c r="AB365" s="13" t="s">
        <v>0</v>
      </c>
      <c r="AC365" s="13" t="s">
        <v>0</v>
      </c>
      <c r="AD365" s="13" t="s">
        <v>0</v>
      </c>
      <c r="AE365" s="15">
        <v>0</v>
      </c>
    </row>
    <row r="366" spans="1:31" ht="14.15" customHeight="1" x14ac:dyDescent="0.25">
      <c r="A366" s="12" t="s">
        <v>0</v>
      </c>
      <c r="B366" s="13" t="s">
        <v>1</v>
      </c>
      <c r="C366" s="13" t="s">
        <v>1334</v>
      </c>
      <c r="D366" s="14">
        <v>44149</v>
      </c>
      <c r="E366" s="14">
        <v>44149</v>
      </c>
      <c r="F366" s="14">
        <v>44153</v>
      </c>
      <c r="G366" s="13" t="s">
        <v>3</v>
      </c>
      <c r="H366" s="13" t="s">
        <v>4</v>
      </c>
      <c r="I366" s="15">
        <v>-43199.31</v>
      </c>
      <c r="J366" s="13" t="s">
        <v>5</v>
      </c>
      <c r="K366" s="13" t="s">
        <v>6</v>
      </c>
      <c r="L366" s="15">
        <v>-3626582.07</v>
      </c>
      <c r="M366" s="15">
        <v>-43199.31</v>
      </c>
      <c r="N366" s="16" t="str">
        <f>IF(M366="","",IF(M366&lt;0,-M366&amp;"_"&amp;COUNTIF(M$2:M366,M366),M366&amp;"_"&amp;COUNTIF(M$2:M366,M366)))</f>
        <v>43199.31_1</v>
      </c>
      <c r="O366" s="17" t="str">
        <f t="shared" si="5"/>
        <v/>
      </c>
      <c r="P366" s="13" t="s">
        <v>1335</v>
      </c>
      <c r="Q366" s="13" t="s">
        <v>1331</v>
      </c>
      <c r="R366" s="13" t="s">
        <v>0</v>
      </c>
      <c r="S366" s="13" t="s">
        <v>0</v>
      </c>
      <c r="T366" s="13" t="s">
        <v>9</v>
      </c>
      <c r="U366" s="13" t="s">
        <v>0</v>
      </c>
      <c r="V366" s="13" t="s">
        <v>0</v>
      </c>
      <c r="W366" s="13" t="s">
        <v>0</v>
      </c>
      <c r="X366" s="13" t="s">
        <v>0</v>
      </c>
      <c r="Y366" s="13" t="s">
        <v>10</v>
      </c>
      <c r="Z366" s="13" t="s">
        <v>0</v>
      </c>
      <c r="AA366" s="14"/>
      <c r="AB366" s="13" t="s">
        <v>0</v>
      </c>
      <c r="AC366" s="13" t="s">
        <v>0</v>
      </c>
      <c r="AD366" s="13" t="s">
        <v>0</v>
      </c>
      <c r="AE366" s="15">
        <v>0</v>
      </c>
    </row>
    <row r="367" spans="1:31" ht="14.15" customHeight="1" x14ac:dyDescent="0.25">
      <c r="A367" s="12" t="s">
        <v>0</v>
      </c>
      <c r="B367" s="13" t="s">
        <v>1</v>
      </c>
      <c r="C367" s="13" t="s">
        <v>3470</v>
      </c>
      <c r="D367" s="14">
        <v>44320</v>
      </c>
      <c r="E367" s="14">
        <v>44320</v>
      </c>
      <c r="F367" s="14">
        <v>44328</v>
      </c>
      <c r="G367" s="13" t="s">
        <v>3</v>
      </c>
      <c r="H367" s="13" t="s">
        <v>4</v>
      </c>
      <c r="I367" s="15">
        <v>-43035.1</v>
      </c>
      <c r="J367" s="13" t="s">
        <v>5</v>
      </c>
      <c r="K367" s="13" t="s">
        <v>6</v>
      </c>
      <c r="L367" s="15">
        <v>-3612796.65</v>
      </c>
      <c r="M367" s="15">
        <v>-43035.1</v>
      </c>
      <c r="N367" s="16" t="str">
        <f>IF(M367="","",IF(M367&lt;0,-M367&amp;"_"&amp;COUNTIF(M$2:M367,M367),M367&amp;"_"&amp;COUNTIF(M$2:M367,M367)))</f>
        <v>43035.1_1</v>
      </c>
      <c r="O367" s="17" t="str">
        <f t="shared" si="5"/>
        <v/>
      </c>
      <c r="P367" s="13" t="s">
        <v>3471</v>
      </c>
      <c r="Q367" s="13" t="s">
        <v>3453</v>
      </c>
      <c r="R367" s="13" t="s">
        <v>0</v>
      </c>
      <c r="S367" s="13" t="s">
        <v>0</v>
      </c>
      <c r="T367" s="13" t="s">
        <v>9</v>
      </c>
      <c r="U367" s="13" t="s">
        <v>0</v>
      </c>
      <c r="V367" s="13" t="s">
        <v>0</v>
      </c>
      <c r="W367" s="13" t="s">
        <v>0</v>
      </c>
      <c r="X367" s="13" t="s">
        <v>0</v>
      </c>
      <c r="Y367" s="13" t="s">
        <v>10</v>
      </c>
      <c r="Z367" s="13" t="s">
        <v>0</v>
      </c>
      <c r="AA367" s="14"/>
      <c r="AB367" s="13" t="s">
        <v>0</v>
      </c>
      <c r="AC367" s="13" t="s">
        <v>0</v>
      </c>
      <c r="AD367" s="13" t="s">
        <v>0</v>
      </c>
      <c r="AE367" s="15">
        <v>0</v>
      </c>
    </row>
    <row r="368" spans="1:31" ht="14.15" customHeight="1" x14ac:dyDescent="0.25">
      <c r="A368" s="12" t="s">
        <v>0</v>
      </c>
      <c r="B368" s="13" t="s">
        <v>1</v>
      </c>
      <c r="C368" s="13" t="s">
        <v>1256</v>
      </c>
      <c r="D368" s="14">
        <v>44143</v>
      </c>
      <c r="E368" s="14">
        <v>44143</v>
      </c>
      <c r="F368" s="14">
        <v>44149</v>
      </c>
      <c r="G368" s="13" t="s">
        <v>3</v>
      </c>
      <c r="H368" s="13" t="s">
        <v>4</v>
      </c>
      <c r="I368" s="15">
        <v>-43008.37</v>
      </c>
      <c r="J368" s="13" t="s">
        <v>5</v>
      </c>
      <c r="K368" s="13" t="s">
        <v>6</v>
      </c>
      <c r="L368" s="15">
        <v>-3610552.66</v>
      </c>
      <c r="M368" s="15">
        <v>-43008.37</v>
      </c>
      <c r="N368" s="16" t="str">
        <f>IF(M368="","",IF(M368&lt;0,-M368&amp;"_"&amp;COUNTIF(M$2:M368,M368),M368&amp;"_"&amp;COUNTIF(M$2:M368,M368)))</f>
        <v>43008.37_1</v>
      </c>
      <c r="O368" s="17" t="str">
        <f t="shared" si="5"/>
        <v/>
      </c>
      <c r="P368" s="13" t="s">
        <v>1257</v>
      </c>
      <c r="Q368" s="13" t="s">
        <v>1245</v>
      </c>
      <c r="R368" s="13" t="s">
        <v>0</v>
      </c>
      <c r="S368" s="13" t="s">
        <v>0</v>
      </c>
      <c r="T368" s="13" t="s">
        <v>9</v>
      </c>
      <c r="U368" s="13" t="s">
        <v>0</v>
      </c>
      <c r="V368" s="13" t="s">
        <v>0</v>
      </c>
      <c r="W368" s="13" t="s">
        <v>0</v>
      </c>
      <c r="X368" s="13" t="s">
        <v>0</v>
      </c>
      <c r="Y368" s="13" t="s">
        <v>10</v>
      </c>
      <c r="Z368" s="13" t="s">
        <v>0</v>
      </c>
      <c r="AA368" s="14"/>
      <c r="AB368" s="13" t="s">
        <v>0</v>
      </c>
      <c r="AC368" s="13" t="s">
        <v>0</v>
      </c>
      <c r="AD368" s="13" t="s">
        <v>0</v>
      </c>
      <c r="AE368" s="15">
        <v>0</v>
      </c>
    </row>
    <row r="369" spans="1:31" ht="14.15" customHeight="1" x14ac:dyDescent="0.25">
      <c r="A369" s="12" t="s">
        <v>0</v>
      </c>
      <c r="B369" s="13" t="s">
        <v>1</v>
      </c>
      <c r="C369" s="13" t="s">
        <v>2383</v>
      </c>
      <c r="D369" s="14">
        <v>44227</v>
      </c>
      <c r="E369" s="14">
        <v>44227</v>
      </c>
      <c r="F369" s="14">
        <v>44231</v>
      </c>
      <c r="G369" s="13" t="s">
        <v>3</v>
      </c>
      <c r="H369" s="13" t="s">
        <v>4</v>
      </c>
      <c r="I369" s="15">
        <v>-42998.16</v>
      </c>
      <c r="J369" s="13" t="s">
        <v>5</v>
      </c>
      <c r="K369" s="13" t="s">
        <v>6</v>
      </c>
      <c r="L369" s="15">
        <v>-3609695.53</v>
      </c>
      <c r="M369" s="15">
        <v>-42998.16</v>
      </c>
      <c r="N369" s="16" t="str">
        <f>IF(M369="","",IF(M369&lt;0,-M369&amp;"_"&amp;COUNTIF(M$2:M369,M369),M369&amp;"_"&amp;COUNTIF(M$2:M369,M369)))</f>
        <v>42998.16_1</v>
      </c>
      <c r="O369" s="17" t="str">
        <f t="shared" si="5"/>
        <v/>
      </c>
      <c r="P369" s="13" t="s">
        <v>2384</v>
      </c>
      <c r="Q369" s="13" t="s">
        <v>2378</v>
      </c>
      <c r="R369" s="13" t="s">
        <v>0</v>
      </c>
      <c r="S369" s="13" t="s">
        <v>0</v>
      </c>
      <c r="T369" s="13" t="s">
        <v>9</v>
      </c>
      <c r="U369" s="13" t="s">
        <v>0</v>
      </c>
      <c r="V369" s="13" t="s">
        <v>0</v>
      </c>
      <c r="W369" s="13" t="s">
        <v>0</v>
      </c>
      <c r="X369" s="13" t="s">
        <v>0</v>
      </c>
      <c r="Y369" s="13" t="s">
        <v>10</v>
      </c>
      <c r="Z369" s="13" t="s">
        <v>0</v>
      </c>
      <c r="AA369" s="14"/>
      <c r="AB369" s="13" t="s">
        <v>0</v>
      </c>
      <c r="AC369" s="13" t="s">
        <v>0</v>
      </c>
      <c r="AD369" s="13" t="s">
        <v>0</v>
      </c>
      <c r="AE369" s="15">
        <v>0</v>
      </c>
    </row>
    <row r="370" spans="1:31" ht="14.15" customHeight="1" x14ac:dyDescent="0.25">
      <c r="A370" s="12" t="s">
        <v>0</v>
      </c>
      <c r="B370" s="13" t="s">
        <v>1</v>
      </c>
      <c r="C370" s="13" t="s">
        <v>2260</v>
      </c>
      <c r="D370" s="14">
        <v>44216</v>
      </c>
      <c r="E370" s="14">
        <v>44216</v>
      </c>
      <c r="F370" s="14">
        <v>44223</v>
      </c>
      <c r="G370" s="13" t="s">
        <v>3</v>
      </c>
      <c r="H370" s="13" t="s">
        <v>4</v>
      </c>
      <c r="I370" s="15">
        <v>-42689.74</v>
      </c>
      <c r="J370" s="13" t="s">
        <v>5</v>
      </c>
      <c r="K370" s="13" t="s">
        <v>6</v>
      </c>
      <c r="L370" s="15">
        <v>-3583803.67</v>
      </c>
      <c r="M370" s="15">
        <v>-42689.74</v>
      </c>
      <c r="N370" s="16" t="str">
        <f>IF(M370="","",IF(M370&lt;0,-M370&amp;"_"&amp;COUNTIF(M$2:M370,M370),M370&amp;"_"&amp;COUNTIF(M$2:M370,M370)))</f>
        <v>42689.74_1</v>
      </c>
      <c r="O370" s="17" t="str">
        <f t="shared" si="5"/>
        <v/>
      </c>
      <c r="P370" s="13" t="s">
        <v>2261</v>
      </c>
      <c r="Q370" s="13" t="s">
        <v>2255</v>
      </c>
      <c r="R370" s="13" t="s">
        <v>0</v>
      </c>
      <c r="S370" s="13" t="s">
        <v>0</v>
      </c>
      <c r="T370" s="13" t="s">
        <v>9</v>
      </c>
      <c r="U370" s="13" t="s">
        <v>0</v>
      </c>
      <c r="V370" s="13" t="s">
        <v>0</v>
      </c>
      <c r="W370" s="13" t="s">
        <v>0</v>
      </c>
      <c r="X370" s="13" t="s">
        <v>0</v>
      </c>
      <c r="Y370" s="13" t="s">
        <v>10</v>
      </c>
      <c r="Z370" s="13" t="s">
        <v>0</v>
      </c>
      <c r="AA370" s="14"/>
      <c r="AB370" s="13" t="s">
        <v>0</v>
      </c>
      <c r="AC370" s="13" t="s">
        <v>0</v>
      </c>
      <c r="AD370" s="13" t="s">
        <v>0</v>
      </c>
      <c r="AE370" s="15">
        <v>0</v>
      </c>
    </row>
    <row r="371" spans="1:31" ht="14.15" customHeight="1" x14ac:dyDescent="0.25">
      <c r="A371" s="12" t="s">
        <v>0</v>
      </c>
      <c r="B371" s="13" t="s">
        <v>1</v>
      </c>
      <c r="C371" s="13" t="s">
        <v>317</v>
      </c>
      <c r="D371" s="14">
        <v>44043</v>
      </c>
      <c r="E371" s="14">
        <v>44043</v>
      </c>
      <c r="F371" s="14">
        <v>44057</v>
      </c>
      <c r="G371" s="13" t="s">
        <v>3</v>
      </c>
      <c r="H371" s="13" t="s">
        <v>4</v>
      </c>
      <c r="I371" s="15">
        <v>-42551.07</v>
      </c>
      <c r="J371" s="13" t="s">
        <v>5</v>
      </c>
      <c r="K371" s="13" t="s">
        <v>6</v>
      </c>
      <c r="L371" s="15">
        <v>-3572162.33</v>
      </c>
      <c r="M371" s="15">
        <v>-42551.07</v>
      </c>
      <c r="N371" s="16" t="str">
        <f>IF(M371="","",IF(M371&lt;0,-M371&amp;"_"&amp;COUNTIF(M$2:M371,M371),M371&amp;"_"&amp;COUNTIF(M$2:M371,M371)))</f>
        <v>42551.07_1</v>
      </c>
      <c r="O371" s="17" t="str">
        <f t="shared" si="5"/>
        <v/>
      </c>
      <c r="P371" s="13" t="s">
        <v>318</v>
      </c>
      <c r="Q371" s="13" t="s">
        <v>316</v>
      </c>
      <c r="R371" s="13" t="s">
        <v>0</v>
      </c>
      <c r="S371" s="13" t="s">
        <v>0</v>
      </c>
      <c r="T371" s="13" t="s">
        <v>9</v>
      </c>
      <c r="U371" s="13" t="s">
        <v>0</v>
      </c>
      <c r="V371" s="13" t="s">
        <v>0</v>
      </c>
      <c r="W371" s="13" t="s">
        <v>0</v>
      </c>
      <c r="X371" s="13" t="s">
        <v>0</v>
      </c>
      <c r="Y371" s="13" t="s">
        <v>10</v>
      </c>
      <c r="Z371" s="13" t="s">
        <v>0</v>
      </c>
      <c r="AA371" s="14"/>
      <c r="AB371" s="13" t="s">
        <v>0</v>
      </c>
      <c r="AC371" s="13" t="s">
        <v>0</v>
      </c>
      <c r="AD371" s="13" t="s">
        <v>0</v>
      </c>
      <c r="AE371" s="15">
        <v>0</v>
      </c>
    </row>
    <row r="372" spans="1:31" ht="14.15" customHeight="1" x14ac:dyDescent="0.25">
      <c r="A372" s="12" t="s">
        <v>0</v>
      </c>
      <c r="B372" s="13" t="s">
        <v>1</v>
      </c>
      <c r="C372" s="13" t="s">
        <v>3674</v>
      </c>
      <c r="D372" s="14">
        <v>44335</v>
      </c>
      <c r="E372" s="14">
        <v>44335</v>
      </c>
      <c r="F372" s="14">
        <v>44340</v>
      </c>
      <c r="G372" s="13" t="s">
        <v>3</v>
      </c>
      <c r="H372" s="13" t="s">
        <v>4</v>
      </c>
      <c r="I372" s="15">
        <v>-42548.69</v>
      </c>
      <c r="J372" s="13" t="s">
        <v>5</v>
      </c>
      <c r="K372" s="13" t="s">
        <v>6</v>
      </c>
      <c r="L372" s="15">
        <v>-3571962.53</v>
      </c>
      <c r="M372" s="15">
        <v>-42548.69</v>
      </c>
      <c r="N372" s="16" t="str">
        <f>IF(M372="","",IF(M372&lt;0,-M372&amp;"_"&amp;COUNTIF(M$2:M372,M372),M372&amp;"_"&amp;COUNTIF(M$2:M372,M372)))</f>
        <v>42548.69_1</v>
      </c>
      <c r="O372" s="17" t="str">
        <f t="shared" si="5"/>
        <v/>
      </c>
      <c r="P372" s="13" t="s">
        <v>3675</v>
      </c>
      <c r="Q372" s="13" t="s">
        <v>3665</v>
      </c>
      <c r="R372" s="13" t="s">
        <v>0</v>
      </c>
      <c r="S372" s="13" t="s">
        <v>0</v>
      </c>
      <c r="T372" s="13" t="s">
        <v>9</v>
      </c>
      <c r="U372" s="13" t="s">
        <v>0</v>
      </c>
      <c r="V372" s="13" t="s">
        <v>0</v>
      </c>
      <c r="W372" s="13" t="s">
        <v>0</v>
      </c>
      <c r="X372" s="13" t="s">
        <v>0</v>
      </c>
      <c r="Y372" s="13" t="s">
        <v>10</v>
      </c>
      <c r="Z372" s="13" t="s">
        <v>0</v>
      </c>
      <c r="AA372" s="14"/>
      <c r="AB372" s="13" t="s">
        <v>0</v>
      </c>
      <c r="AC372" s="13" t="s">
        <v>0</v>
      </c>
      <c r="AD372" s="13" t="s">
        <v>0</v>
      </c>
      <c r="AE372" s="15">
        <v>0</v>
      </c>
    </row>
    <row r="373" spans="1:31" ht="14.15" customHeight="1" x14ac:dyDescent="0.25">
      <c r="A373" s="12" t="s">
        <v>0</v>
      </c>
      <c r="B373" s="13" t="s">
        <v>1</v>
      </c>
      <c r="C373" s="13" t="s">
        <v>4178</v>
      </c>
      <c r="D373" s="14">
        <v>44364</v>
      </c>
      <c r="E373" s="14">
        <v>44364</v>
      </c>
      <c r="F373" s="14">
        <v>44368</v>
      </c>
      <c r="G373" s="13" t="s">
        <v>3</v>
      </c>
      <c r="H373" s="13" t="s">
        <v>4</v>
      </c>
      <c r="I373" s="15">
        <v>-42388.13</v>
      </c>
      <c r="J373" s="13" t="s">
        <v>5</v>
      </c>
      <c r="K373" s="13" t="s">
        <v>6</v>
      </c>
      <c r="L373" s="15">
        <v>-3558483.51</v>
      </c>
      <c r="M373" s="15">
        <v>-42388.13</v>
      </c>
      <c r="N373" s="16" t="str">
        <f>IF(M373="","",IF(M373&lt;0,-M373&amp;"_"&amp;COUNTIF(M$2:M373,M373),M373&amp;"_"&amp;COUNTIF(M$2:M373,M373)))</f>
        <v>42388.13_1</v>
      </c>
      <c r="O373" s="17" t="str">
        <f t="shared" si="5"/>
        <v/>
      </c>
      <c r="P373" s="13" t="s">
        <v>4179</v>
      </c>
      <c r="Q373" s="13" t="s">
        <v>4180</v>
      </c>
      <c r="R373" s="13" t="s">
        <v>0</v>
      </c>
      <c r="S373" s="13" t="s">
        <v>0</v>
      </c>
      <c r="T373" s="13" t="s">
        <v>9</v>
      </c>
      <c r="U373" s="13" t="s">
        <v>0</v>
      </c>
      <c r="V373" s="13" t="s">
        <v>0</v>
      </c>
      <c r="W373" s="13" t="s">
        <v>0</v>
      </c>
      <c r="X373" s="13" t="s">
        <v>0</v>
      </c>
      <c r="Y373" s="13" t="s">
        <v>10</v>
      </c>
      <c r="Z373" s="13" t="s">
        <v>0</v>
      </c>
      <c r="AA373" s="14"/>
      <c r="AB373" s="13" t="s">
        <v>0</v>
      </c>
      <c r="AC373" s="13" t="s">
        <v>0</v>
      </c>
      <c r="AD373" s="13" t="s">
        <v>0</v>
      </c>
      <c r="AE373" s="15">
        <v>0</v>
      </c>
    </row>
    <row r="374" spans="1:31" ht="14.15" customHeight="1" x14ac:dyDescent="0.25">
      <c r="A374" s="12" t="s">
        <v>0</v>
      </c>
      <c r="B374" s="13" t="s">
        <v>1</v>
      </c>
      <c r="C374" s="13" t="s">
        <v>2595</v>
      </c>
      <c r="D374" s="14">
        <v>44243</v>
      </c>
      <c r="E374" s="14">
        <v>44243</v>
      </c>
      <c r="F374" s="14">
        <v>44252</v>
      </c>
      <c r="G374" s="13" t="s">
        <v>3</v>
      </c>
      <c r="H374" s="13" t="s">
        <v>4</v>
      </c>
      <c r="I374" s="15">
        <v>-42265.68</v>
      </c>
      <c r="J374" s="13" t="s">
        <v>5</v>
      </c>
      <c r="K374" s="13" t="s">
        <v>6</v>
      </c>
      <c r="L374" s="15">
        <v>-3548203.84</v>
      </c>
      <c r="M374" s="15">
        <v>-42265.68</v>
      </c>
      <c r="N374" s="16" t="str">
        <f>IF(M374="","",IF(M374&lt;0,-M374&amp;"_"&amp;COUNTIF(M$2:M374,M374),M374&amp;"_"&amp;COUNTIF(M$2:M374,M374)))</f>
        <v>42265.68_1</v>
      </c>
      <c r="O374" s="17" t="str">
        <f t="shared" si="5"/>
        <v/>
      </c>
      <c r="P374" s="13" t="s">
        <v>2596</v>
      </c>
      <c r="Q374" s="13" t="s">
        <v>2574</v>
      </c>
      <c r="R374" s="13" t="s">
        <v>0</v>
      </c>
      <c r="S374" s="13" t="s">
        <v>0</v>
      </c>
      <c r="T374" s="13" t="s">
        <v>9</v>
      </c>
      <c r="U374" s="13" t="s">
        <v>0</v>
      </c>
      <c r="V374" s="13" t="s">
        <v>0</v>
      </c>
      <c r="W374" s="13" t="s">
        <v>0</v>
      </c>
      <c r="X374" s="13" t="s">
        <v>0</v>
      </c>
      <c r="Y374" s="13" t="s">
        <v>10</v>
      </c>
      <c r="Z374" s="13" t="s">
        <v>0</v>
      </c>
      <c r="AA374" s="14"/>
      <c r="AB374" s="13" t="s">
        <v>0</v>
      </c>
      <c r="AC374" s="13" t="s">
        <v>0</v>
      </c>
      <c r="AD374" s="13" t="s">
        <v>0</v>
      </c>
      <c r="AE374" s="15">
        <v>0</v>
      </c>
    </row>
    <row r="375" spans="1:31" ht="14.15" customHeight="1" x14ac:dyDescent="0.25">
      <c r="A375" s="12" t="s">
        <v>0</v>
      </c>
      <c r="B375" s="13" t="s">
        <v>1</v>
      </c>
      <c r="C375" s="13" t="s">
        <v>836</v>
      </c>
      <c r="D375" s="14">
        <v>44105</v>
      </c>
      <c r="E375" s="14">
        <v>44105</v>
      </c>
      <c r="F375" s="14">
        <v>44128</v>
      </c>
      <c r="G375" s="13" t="s">
        <v>3</v>
      </c>
      <c r="H375" s="13" t="s">
        <v>4</v>
      </c>
      <c r="I375" s="15">
        <v>-42236.04</v>
      </c>
      <c r="J375" s="13" t="s">
        <v>5</v>
      </c>
      <c r="K375" s="13" t="s">
        <v>6</v>
      </c>
      <c r="L375" s="15">
        <v>-3545715.56</v>
      </c>
      <c r="M375" s="15">
        <v>-42236.04</v>
      </c>
      <c r="N375" s="16" t="str">
        <f>IF(M375="","",IF(M375&lt;0,-M375&amp;"_"&amp;COUNTIF(M$2:M375,M375),M375&amp;"_"&amp;COUNTIF(M$2:M375,M375)))</f>
        <v>42236.04_1</v>
      </c>
      <c r="O375" s="17" t="str">
        <f t="shared" si="5"/>
        <v/>
      </c>
      <c r="P375" s="13" t="s">
        <v>837</v>
      </c>
      <c r="Q375" s="13" t="s">
        <v>838</v>
      </c>
      <c r="R375" s="13" t="s">
        <v>0</v>
      </c>
      <c r="S375" s="13" t="s">
        <v>0</v>
      </c>
      <c r="T375" s="13" t="s">
        <v>9</v>
      </c>
      <c r="U375" s="13" t="s">
        <v>0</v>
      </c>
      <c r="V375" s="13" t="s">
        <v>0</v>
      </c>
      <c r="W375" s="13" t="s">
        <v>0</v>
      </c>
      <c r="X375" s="13" t="s">
        <v>0</v>
      </c>
      <c r="Y375" s="13" t="s">
        <v>10</v>
      </c>
      <c r="Z375" s="13" t="s">
        <v>0</v>
      </c>
      <c r="AA375" s="14"/>
      <c r="AB375" s="13" t="s">
        <v>0</v>
      </c>
      <c r="AC375" s="13" t="s">
        <v>0</v>
      </c>
      <c r="AD375" s="13" t="s">
        <v>0</v>
      </c>
      <c r="AE375" s="15">
        <v>0</v>
      </c>
    </row>
    <row r="376" spans="1:31" ht="14.15" customHeight="1" x14ac:dyDescent="0.25">
      <c r="A376" s="12" t="s">
        <v>0</v>
      </c>
      <c r="B376" s="13" t="s">
        <v>1</v>
      </c>
      <c r="C376" s="13" t="s">
        <v>905</v>
      </c>
      <c r="D376" s="14">
        <v>44114</v>
      </c>
      <c r="E376" s="14">
        <v>44114</v>
      </c>
      <c r="F376" s="14">
        <v>44136</v>
      </c>
      <c r="G376" s="13" t="s">
        <v>3</v>
      </c>
      <c r="H376" s="13" t="s">
        <v>4</v>
      </c>
      <c r="I376" s="15">
        <v>-42208.61</v>
      </c>
      <c r="J376" s="13" t="s">
        <v>5</v>
      </c>
      <c r="K376" s="13" t="s">
        <v>6</v>
      </c>
      <c r="L376" s="15">
        <v>-3543412.81</v>
      </c>
      <c r="M376" s="15">
        <v>-42208.61</v>
      </c>
      <c r="N376" s="16" t="str">
        <f>IF(M376="","",IF(M376&lt;0,-M376&amp;"_"&amp;COUNTIF(M$2:M376,M376),M376&amp;"_"&amp;COUNTIF(M$2:M376,M376)))</f>
        <v>42208.61_1</v>
      </c>
      <c r="O376" s="17" t="str">
        <f t="shared" si="5"/>
        <v/>
      </c>
      <c r="P376" s="13" t="s">
        <v>906</v>
      </c>
      <c r="Q376" s="13" t="s">
        <v>900</v>
      </c>
      <c r="R376" s="13" t="s">
        <v>0</v>
      </c>
      <c r="S376" s="13" t="s">
        <v>0</v>
      </c>
      <c r="T376" s="13" t="s">
        <v>9</v>
      </c>
      <c r="U376" s="13" t="s">
        <v>0</v>
      </c>
      <c r="V376" s="13" t="s">
        <v>0</v>
      </c>
      <c r="W376" s="13" t="s">
        <v>0</v>
      </c>
      <c r="X376" s="13" t="s">
        <v>0</v>
      </c>
      <c r="Y376" s="13" t="s">
        <v>10</v>
      </c>
      <c r="Z376" s="13" t="s">
        <v>0</v>
      </c>
      <c r="AA376" s="14"/>
      <c r="AB376" s="13" t="s">
        <v>0</v>
      </c>
      <c r="AC376" s="13" t="s">
        <v>0</v>
      </c>
      <c r="AD376" s="13" t="s">
        <v>0</v>
      </c>
      <c r="AE376" s="15">
        <v>0</v>
      </c>
    </row>
    <row r="377" spans="1:31" ht="14.15" customHeight="1" x14ac:dyDescent="0.25">
      <c r="A377" s="12" t="s">
        <v>0</v>
      </c>
      <c r="B377" s="13" t="s">
        <v>1</v>
      </c>
      <c r="C377" s="13" t="s">
        <v>595</v>
      </c>
      <c r="D377" s="14">
        <v>44080</v>
      </c>
      <c r="E377" s="14">
        <v>44080</v>
      </c>
      <c r="F377" s="14">
        <v>44089</v>
      </c>
      <c r="G377" s="13" t="s">
        <v>3</v>
      </c>
      <c r="H377" s="13" t="s">
        <v>4</v>
      </c>
      <c r="I377" s="15">
        <v>-42102.27</v>
      </c>
      <c r="J377" s="13" t="s">
        <v>5</v>
      </c>
      <c r="K377" s="13" t="s">
        <v>6</v>
      </c>
      <c r="L377" s="15">
        <v>-3534485.57</v>
      </c>
      <c r="M377" s="15">
        <v>-42102.27</v>
      </c>
      <c r="N377" s="16" t="str">
        <f>IF(M377="","",IF(M377&lt;0,-M377&amp;"_"&amp;COUNTIF(M$2:M377,M377),M377&amp;"_"&amp;COUNTIF(M$2:M377,M377)))</f>
        <v>42102.27_1</v>
      </c>
      <c r="O377" s="17" t="str">
        <f t="shared" si="5"/>
        <v/>
      </c>
      <c r="P377" s="13" t="s">
        <v>596</v>
      </c>
      <c r="Q377" s="13" t="s">
        <v>594</v>
      </c>
      <c r="R377" s="13" t="s">
        <v>0</v>
      </c>
      <c r="S377" s="13" t="s">
        <v>0</v>
      </c>
      <c r="T377" s="13" t="s">
        <v>9</v>
      </c>
      <c r="U377" s="13" t="s">
        <v>0</v>
      </c>
      <c r="V377" s="13" t="s">
        <v>0</v>
      </c>
      <c r="W377" s="13" t="s">
        <v>0</v>
      </c>
      <c r="X377" s="13" t="s">
        <v>0</v>
      </c>
      <c r="Y377" s="13" t="s">
        <v>10</v>
      </c>
      <c r="Z377" s="13" t="s">
        <v>0</v>
      </c>
      <c r="AA377" s="14"/>
      <c r="AB377" s="13" t="s">
        <v>0</v>
      </c>
      <c r="AC377" s="13" t="s">
        <v>0</v>
      </c>
      <c r="AD377" s="13" t="s">
        <v>0</v>
      </c>
      <c r="AE377" s="15">
        <v>0</v>
      </c>
    </row>
    <row r="378" spans="1:31" ht="14.15" customHeight="1" x14ac:dyDescent="0.25">
      <c r="A378" s="12" t="s">
        <v>0</v>
      </c>
      <c r="B378" s="13" t="s">
        <v>1</v>
      </c>
      <c r="C378" s="13" t="s">
        <v>2860</v>
      </c>
      <c r="D378" s="14">
        <v>44273</v>
      </c>
      <c r="E378" s="14">
        <v>44273</v>
      </c>
      <c r="F378" s="14">
        <v>44279</v>
      </c>
      <c r="G378" s="13" t="s">
        <v>3</v>
      </c>
      <c r="H378" s="13" t="s">
        <v>4</v>
      </c>
      <c r="I378" s="15">
        <v>-41840.720000000001</v>
      </c>
      <c r="J378" s="13" t="s">
        <v>5</v>
      </c>
      <c r="K378" s="13" t="s">
        <v>6</v>
      </c>
      <c r="L378" s="15">
        <v>-3512528.44</v>
      </c>
      <c r="M378" s="15">
        <v>-41840.720000000001</v>
      </c>
      <c r="N378" s="16" t="str">
        <f>IF(M378="","",IF(M378&lt;0,-M378&amp;"_"&amp;COUNTIF(M$2:M378,M378),M378&amp;"_"&amp;COUNTIF(M$2:M378,M378)))</f>
        <v>41840.72_1</v>
      </c>
      <c r="O378" s="17" t="str">
        <f t="shared" si="5"/>
        <v/>
      </c>
      <c r="P378" s="13" t="s">
        <v>2861</v>
      </c>
      <c r="Q378" s="13" t="s">
        <v>2857</v>
      </c>
      <c r="R378" s="13" t="s">
        <v>0</v>
      </c>
      <c r="S378" s="13" t="s">
        <v>0</v>
      </c>
      <c r="T378" s="13" t="s">
        <v>9</v>
      </c>
      <c r="U378" s="13" t="s">
        <v>0</v>
      </c>
      <c r="V378" s="13" t="s">
        <v>0</v>
      </c>
      <c r="W378" s="13" t="s">
        <v>0</v>
      </c>
      <c r="X378" s="13" t="s">
        <v>0</v>
      </c>
      <c r="Y378" s="13" t="s">
        <v>10</v>
      </c>
      <c r="Z378" s="13" t="s">
        <v>0</v>
      </c>
      <c r="AA378" s="14"/>
      <c r="AB378" s="13" t="s">
        <v>0</v>
      </c>
      <c r="AC378" s="13" t="s">
        <v>0</v>
      </c>
      <c r="AD378" s="13" t="s">
        <v>0</v>
      </c>
      <c r="AE378" s="15">
        <v>0</v>
      </c>
    </row>
    <row r="379" spans="1:31" ht="14.15" customHeight="1" x14ac:dyDescent="0.25">
      <c r="A379" s="12" t="s">
        <v>0</v>
      </c>
      <c r="B379" s="13" t="s">
        <v>1</v>
      </c>
      <c r="C379" s="13" t="s">
        <v>952</v>
      </c>
      <c r="D379" s="14">
        <v>44122</v>
      </c>
      <c r="E379" s="14">
        <v>44122</v>
      </c>
      <c r="F379" s="14">
        <v>44126</v>
      </c>
      <c r="G379" s="13" t="s">
        <v>3</v>
      </c>
      <c r="H379" s="13" t="s">
        <v>4</v>
      </c>
      <c r="I379" s="15">
        <v>-41800.870000000003</v>
      </c>
      <c r="J379" s="13" t="s">
        <v>5</v>
      </c>
      <c r="K379" s="13" t="s">
        <v>6</v>
      </c>
      <c r="L379" s="15">
        <v>-3509183.04</v>
      </c>
      <c r="M379" s="15">
        <v>-41800.870000000003</v>
      </c>
      <c r="N379" s="16" t="str">
        <f>IF(M379="","",IF(M379&lt;0,-M379&amp;"_"&amp;COUNTIF(M$2:M379,M379),M379&amp;"_"&amp;COUNTIF(M$2:M379,M379)))</f>
        <v>41800.87_1</v>
      </c>
      <c r="O379" s="17" t="str">
        <f t="shared" si="5"/>
        <v/>
      </c>
      <c r="P379" s="13" t="s">
        <v>953</v>
      </c>
      <c r="Q379" s="13" t="s">
        <v>947</v>
      </c>
      <c r="R379" s="13" t="s">
        <v>0</v>
      </c>
      <c r="S379" s="13" t="s">
        <v>0</v>
      </c>
      <c r="T379" s="13" t="s">
        <v>9</v>
      </c>
      <c r="U379" s="13" t="s">
        <v>0</v>
      </c>
      <c r="V379" s="13" t="s">
        <v>0</v>
      </c>
      <c r="W379" s="13" t="s">
        <v>0</v>
      </c>
      <c r="X379" s="13" t="s">
        <v>0</v>
      </c>
      <c r="Y379" s="13" t="s">
        <v>10</v>
      </c>
      <c r="Z379" s="13" t="s">
        <v>0</v>
      </c>
      <c r="AA379" s="14"/>
      <c r="AB379" s="13" t="s">
        <v>0</v>
      </c>
      <c r="AC379" s="13" t="s">
        <v>0</v>
      </c>
      <c r="AD379" s="13" t="s">
        <v>0</v>
      </c>
      <c r="AE379" s="15">
        <v>0</v>
      </c>
    </row>
    <row r="380" spans="1:31" ht="14.15" customHeight="1" x14ac:dyDescent="0.25">
      <c r="A380" s="12" t="s">
        <v>0</v>
      </c>
      <c r="B380" s="13" t="s">
        <v>1</v>
      </c>
      <c r="C380" s="13" t="s">
        <v>1415</v>
      </c>
      <c r="D380" s="14">
        <v>44154</v>
      </c>
      <c r="E380" s="14">
        <v>44154</v>
      </c>
      <c r="F380" s="14">
        <v>44170</v>
      </c>
      <c r="G380" s="13" t="s">
        <v>3</v>
      </c>
      <c r="H380" s="13" t="s">
        <v>4</v>
      </c>
      <c r="I380" s="15">
        <v>-41742.370000000003</v>
      </c>
      <c r="J380" s="13" t="s">
        <v>5</v>
      </c>
      <c r="K380" s="13" t="s">
        <v>6</v>
      </c>
      <c r="L380" s="15">
        <v>-3504271.96</v>
      </c>
      <c r="M380" s="15">
        <v>-41742.370000000003</v>
      </c>
      <c r="N380" s="16" t="str">
        <f>IF(M380="","",IF(M380&lt;0,-M380&amp;"_"&amp;COUNTIF(M$2:M380,M380),M380&amp;"_"&amp;COUNTIF(M$2:M380,M380)))</f>
        <v>41742.37_1</v>
      </c>
      <c r="O380" s="17" t="str">
        <f t="shared" si="5"/>
        <v/>
      </c>
      <c r="P380" s="13" t="s">
        <v>1416</v>
      </c>
      <c r="Q380" s="13" t="s">
        <v>1408</v>
      </c>
      <c r="R380" s="13" t="s">
        <v>0</v>
      </c>
      <c r="S380" s="13" t="s">
        <v>0</v>
      </c>
      <c r="T380" s="13" t="s">
        <v>9</v>
      </c>
      <c r="U380" s="13" t="s">
        <v>0</v>
      </c>
      <c r="V380" s="13" t="s">
        <v>0</v>
      </c>
      <c r="W380" s="13" t="s">
        <v>0</v>
      </c>
      <c r="X380" s="13" t="s">
        <v>0</v>
      </c>
      <c r="Y380" s="13" t="s">
        <v>10</v>
      </c>
      <c r="Z380" s="13" t="s">
        <v>0</v>
      </c>
      <c r="AA380" s="14"/>
      <c r="AB380" s="13" t="s">
        <v>0</v>
      </c>
      <c r="AC380" s="13" t="s">
        <v>0</v>
      </c>
      <c r="AD380" s="13" t="s">
        <v>0</v>
      </c>
      <c r="AE380" s="15">
        <v>0</v>
      </c>
    </row>
    <row r="381" spans="1:31" ht="14.15" customHeight="1" x14ac:dyDescent="0.25">
      <c r="A381" s="12" t="s">
        <v>0</v>
      </c>
      <c r="B381" s="13" t="s">
        <v>1</v>
      </c>
      <c r="C381" s="13" t="s">
        <v>1887</v>
      </c>
      <c r="D381" s="14">
        <v>44189</v>
      </c>
      <c r="E381" s="14">
        <v>44189</v>
      </c>
      <c r="F381" s="14">
        <v>44194</v>
      </c>
      <c r="G381" s="13" t="s">
        <v>3</v>
      </c>
      <c r="H381" s="13" t="s">
        <v>4</v>
      </c>
      <c r="I381" s="15">
        <v>-41735.480000000003</v>
      </c>
      <c r="J381" s="13" t="s">
        <v>5</v>
      </c>
      <c r="K381" s="13" t="s">
        <v>6</v>
      </c>
      <c r="L381" s="15">
        <v>-3503693.55</v>
      </c>
      <c r="M381" s="15">
        <v>-41735.480000000003</v>
      </c>
      <c r="N381" s="16" t="str">
        <f>IF(M381="","",IF(M381&lt;0,-M381&amp;"_"&amp;COUNTIF(M$2:M381,M381),M381&amp;"_"&amp;COUNTIF(M$2:M381,M381)))</f>
        <v>41735.48_1</v>
      </c>
      <c r="O381" s="17" t="str">
        <f t="shared" si="5"/>
        <v/>
      </c>
      <c r="P381" s="13" t="s">
        <v>1888</v>
      </c>
      <c r="Q381" s="13" t="s">
        <v>1886</v>
      </c>
      <c r="R381" s="13" t="s">
        <v>0</v>
      </c>
      <c r="S381" s="13" t="s">
        <v>0</v>
      </c>
      <c r="T381" s="13" t="s">
        <v>9</v>
      </c>
      <c r="U381" s="13" t="s">
        <v>0</v>
      </c>
      <c r="V381" s="13" t="s">
        <v>0</v>
      </c>
      <c r="W381" s="13" t="s">
        <v>0</v>
      </c>
      <c r="X381" s="13" t="s">
        <v>0</v>
      </c>
      <c r="Y381" s="13" t="s">
        <v>10</v>
      </c>
      <c r="Z381" s="13" t="s">
        <v>0</v>
      </c>
      <c r="AA381" s="14"/>
      <c r="AB381" s="13" t="s">
        <v>0</v>
      </c>
      <c r="AC381" s="13" t="s">
        <v>0</v>
      </c>
      <c r="AD381" s="13" t="s">
        <v>0</v>
      </c>
      <c r="AE381" s="15">
        <v>0</v>
      </c>
    </row>
    <row r="382" spans="1:31" ht="14.15" customHeight="1" x14ac:dyDescent="0.25">
      <c r="A382" s="12" t="s">
        <v>0</v>
      </c>
      <c r="B382" s="13" t="s">
        <v>1</v>
      </c>
      <c r="C382" s="13" t="s">
        <v>773</v>
      </c>
      <c r="D382" s="14">
        <v>44100</v>
      </c>
      <c r="E382" s="14">
        <v>44100</v>
      </c>
      <c r="F382" s="14">
        <v>44104</v>
      </c>
      <c r="G382" s="13" t="s">
        <v>3</v>
      </c>
      <c r="H382" s="13" t="s">
        <v>4</v>
      </c>
      <c r="I382" s="15">
        <v>-41668.94</v>
      </c>
      <c r="J382" s="13" t="s">
        <v>5</v>
      </c>
      <c r="K382" s="13" t="s">
        <v>6</v>
      </c>
      <c r="L382" s="15">
        <v>-3498107.51</v>
      </c>
      <c r="M382" s="15">
        <v>-41668.94</v>
      </c>
      <c r="N382" s="16" t="str">
        <f>IF(M382="","",IF(M382&lt;0,-M382&amp;"_"&amp;COUNTIF(M$2:M382,M382),M382&amp;"_"&amp;COUNTIF(M$2:M382,M382)))</f>
        <v>41668.94_1</v>
      </c>
      <c r="O382" s="17" t="str">
        <f t="shared" si="5"/>
        <v/>
      </c>
      <c r="P382" s="13" t="s">
        <v>774</v>
      </c>
      <c r="Q382" s="13" t="s">
        <v>775</v>
      </c>
      <c r="R382" s="13" t="s">
        <v>0</v>
      </c>
      <c r="S382" s="13" t="s">
        <v>0</v>
      </c>
      <c r="T382" s="13" t="s">
        <v>9</v>
      </c>
      <c r="U382" s="13" t="s">
        <v>0</v>
      </c>
      <c r="V382" s="13" t="s">
        <v>0</v>
      </c>
      <c r="W382" s="13" t="s">
        <v>0</v>
      </c>
      <c r="X382" s="13" t="s">
        <v>0</v>
      </c>
      <c r="Y382" s="13" t="s">
        <v>10</v>
      </c>
      <c r="Z382" s="13" t="s">
        <v>0</v>
      </c>
      <c r="AA382" s="14"/>
      <c r="AB382" s="13" t="s">
        <v>0</v>
      </c>
      <c r="AC382" s="13" t="s">
        <v>0</v>
      </c>
      <c r="AD382" s="13" t="s">
        <v>0</v>
      </c>
      <c r="AE382" s="15">
        <v>0</v>
      </c>
    </row>
    <row r="383" spans="1:31" ht="14.15" customHeight="1" x14ac:dyDescent="0.25">
      <c r="A383" s="12" t="s">
        <v>0</v>
      </c>
      <c r="B383" s="13" t="s">
        <v>1</v>
      </c>
      <c r="C383" s="13" t="s">
        <v>1889</v>
      </c>
      <c r="D383" s="14">
        <v>44189</v>
      </c>
      <c r="E383" s="14">
        <v>44189</v>
      </c>
      <c r="F383" s="14">
        <v>44194</v>
      </c>
      <c r="G383" s="13" t="s">
        <v>3</v>
      </c>
      <c r="H383" s="13" t="s">
        <v>4</v>
      </c>
      <c r="I383" s="15">
        <v>-41630.81</v>
      </c>
      <c r="J383" s="13" t="s">
        <v>5</v>
      </c>
      <c r="K383" s="13" t="s">
        <v>6</v>
      </c>
      <c r="L383" s="15">
        <v>-3494906.5</v>
      </c>
      <c r="M383" s="15">
        <v>-41630.81</v>
      </c>
      <c r="N383" s="16" t="str">
        <f>IF(M383="","",IF(M383&lt;0,-M383&amp;"_"&amp;COUNTIF(M$2:M383,M383),M383&amp;"_"&amp;COUNTIF(M$2:M383,M383)))</f>
        <v>41630.81_1</v>
      </c>
      <c r="O383" s="17" t="str">
        <f t="shared" si="5"/>
        <v/>
      </c>
      <c r="P383" s="13" t="s">
        <v>1890</v>
      </c>
      <c r="Q383" s="13" t="s">
        <v>1886</v>
      </c>
      <c r="R383" s="13" t="s">
        <v>0</v>
      </c>
      <c r="S383" s="13" t="s">
        <v>0</v>
      </c>
      <c r="T383" s="13" t="s">
        <v>9</v>
      </c>
      <c r="U383" s="13" t="s">
        <v>0</v>
      </c>
      <c r="V383" s="13" t="s">
        <v>0</v>
      </c>
      <c r="W383" s="13" t="s">
        <v>0</v>
      </c>
      <c r="X383" s="13" t="s">
        <v>0</v>
      </c>
      <c r="Y383" s="13" t="s">
        <v>10</v>
      </c>
      <c r="Z383" s="13" t="s">
        <v>0</v>
      </c>
      <c r="AA383" s="14"/>
      <c r="AB383" s="13" t="s">
        <v>0</v>
      </c>
      <c r="AC383" s="13" t="s">
        <v>0</v>
      </c>
      <c r="AD383" s="13" t="s">
        <v>0</v>
      </c>
      <c r="AE383" s="15">
        <v>0</v>
      </c>
    </row>
    <row r="384" spans="1:31" ht="14.15" customHeight="1" x14ac:dyDescent="0.25">
      <c r="A384" s="12" t="s">
        <v>0</v>
      </c>
      <c r="B384" s="13" t="s">
        <v>1</v>
      </c>
      <c r="C384" s="13" t="s">
        <v>60</v>
      </c>
      <c r="D384" s="14">
        <v>44018</v>
      </c>
      <c r="E384" s="14">
        <v>44018</v>
      </c>
      <c r="F384" s="14">
        <v>44021</v>
      </c>
      <c r="G384" s="13" t="s">
        <v>3</v>
      </c>
      <c r="H384" s="13" t="s">
        <v>4</v>
      </c>
      <c r="I384" s="15">
        <v>-41609.81</v>
      </c>
      <c r="J384" s="13" t="s">
        <v>5</v>
      </c>
      <c r="K384" s="13" t="s">
        <v>6</v>
      </c>
      <c r="L384" s="15">
        <v>-3493143.55</v>
      </c>
      <c r="M384" s="15">
        <v>-41609.81</v>
      </c>
      <c r="N384" s="16" t="str">
        <f>IF(M384="","",IF(M384&lt;0,-M384&amp;"_"&amp;COUNTIF(M$2:M384,M384),M384&amp;"_"&amp;COUNTIF(M$2:M384,M384)))</f>
        <v>41609.81_1</v>
      </c>
      <c r="O384" s="17" t="str">
        <f t="shared" si="5"/>
        <v/>
      </c>
      <c r="P384" s="13" t="s">
        <v>61</v>
      </c>
      <c r="Q384" s="13" t="s">
        <v>62</v>
      </c>
      <c r="R384" s="13" t="s">
        <v>0</v>
      </c>
      <c r="S384" s="13" t="s">
        <v>0</v>
      </c>
      <c r="T384" s="13" t="s">
        <v>9</v>
      </c>
      <c r="U384" s="13" t="s">
        <v>0</v>
      </c>
      <c r="V384" s="13" t="s">
        <v>0</v>
      </c>
      <c r="W384" s="13" t="s">
        <v>0</v>
      </c>
      <c r="X384" s="13" t="s">
        <v>0</v>
      </c>
      <c r="Y384" s="13" t="s">
        <v>10</v>
      </c>
      <c r="Z384" s="13" t="s">
        <v>0</v>
      </c>
      <c r="AA384" s="14"/>
      <c r="AB384" s="13" t="s">
        <v>0</v>
      </c>
      <c r="AC384" s="13" t="s">
        <v>0</v>
      </c>
      <c r="AD384" s="13" t="s">
        <v>0</v>
      </c>
      <c r="AE384" s="15">
        <v>0</v>
      </c>
    </row>
    <row r="385" spans="1:31" ht="14.15" customHeight="1" x14ac:dyDescent="0.25">
      <c r="A385" s="12" t="s">
        <v>0</v>
      </c>
      <c r="B385" s="13" t="s">
        <v>1</v>
      </c>
      <c r="C385" s="13" t="s">
        <v>692</v>
      </c>
      <c r="D385" s="14">
        <v>44090</v>
      </c>
      <c r="E385" s="14">
        <v>44090</v>
      </c>
      <c r="F385" s="14">
        <v>44096</v>
      </c>
      <c r="G385" s="13" t="s">
        <v>3</v>
      </c>
      <c r="H385" s="13" t="s">
        <v>4</v>
      </c>
      <c r="I385" s="15">
        <v>-41595.69</v>
      </c>
      <c r="J385" s="13" t="s">
        <v>5</v>
      </c>
      <c r="K385" s="13" t="s">
        <v>6</v>
      </c>
      <c r="L385" s="15">
        <v>-3491958.18</v>
      </c>
      <c r="M385" s="15">
        <v>-41595.69</v>
      </c>
      <c r="N385" s="16" t="str">
        <f>IF(M385="","",IF(M385&lt;0,-M385&amp;"_"&amp;COUNTIF(M$2:M385,M385),M385&amp;"_"&amp;COUNTIF(M$2:M385,M385)))</f>
        <v>41595.69_1</v>
      </c>
      <c r="O385" s="17" t="str">
        <f t="shared" si="5"/>
        <v/>
      </c>
      <c r="P385" s="13" t="s">
        <v>693</v>
      </c>
      <c r="Q385" s="13" t="s">
        <v>687</v>
      </c>
      <c r="R385" s="13" t="s">
        <v>0</v>
      </c>
      <c r="S385" s="13" t="s">
        <v>0</v>
      </c>
      <c r="T385" s="13" t="s">
        <v>9</v>
      </c>
      <c r="U385" s="13" t="s">
        <v>0</v>
      </c>
      <c r="V385" s="13" t="s">
        <v>0</v>
      </c>
      <c r="W385" s="13" t="s">
        <v>0</v>
      </c>
      <c r="X385" s="13" t="s">
        <v>0</v>
      </c>
      <c r="Y385" s="13" t="s">
        <v>10</v>
      </c>
      <c r="Z385" s="13" t="s">
        <v>0</v>
      </c>
      <c r="AA385" s="14"/>
      <c r="AB385" s="13" t="s">
        <v>0</v>
      </c>
      <c r="AC385" s="13" t="s">
        <v>0</v>
      </c>
      <c r="AD385" s="13" t="s">
        <v>0</v>
      </c>
      <c r="AE385" s="15">
        <v>0</v>
      </c>
    </row>
    <row r="386" spans="1:31" ht="14.15" customHeight="1" x14ac:dyDescent="0.25">
      <c r="A386" s="12" t="s">
        <v>0</v>
      </c>
      <c r="B386" s="13" t="s">
        <v>1</v>
      </c>
      <c r="C386" s="13" t="s">
        <v>1044</v>
      </c>
      <c r="D386" s="14">
        <v>44131</v>
      </c>
      <c r="E386" s="14">
        <v>44131</v>
      </c>
      <c r="F386" s="14">
        <v>44136</v>
      </c>
      <c r="G386" s="13" t="s">
        <v>3</v>
      </c>
      <c r="H386" s="13" t="s">
        <v>4</v>
      </c>
      <c r="I386" s="15">
        <v>-41590.050000000003</v>
      </c>
      <c r="J386" s="13" t="s">
        <v>5</v>
      </c>
      <c r="K386" s="13" t="s">
        <v>6</v>
      </c>
      <c r="L386" s="15">
        <v>-3491484.7</v>
      </c>
      <c r="M386" s="15">
        <v>-41590.050000000003</v>
      </c>
      <c r="N386" s="16" t="str">
        <f>IF(M386="","",IF(M386&lt;0,-M386&amp;"_"&amp;COUNTIF(M$2:M386,M386),M386&amp;"_"&amp;COUNTIF(M$2:M386,M386)))</f>
        <v>41590.05_1</v>
      </c>
      <c r="O386" s="17" t="str">
        <f t="shared" ref="O386:O449" si="6">IF(COUNTIF(N:N,N386)=2,"x","")</f>
        <v/>
      </c>
      <c r="P386" s="13" t="s">
        <v>1045</v>
      </c>
      <c r="Q386" s="13" t="s">
        <v>1041</v>
      </c>
      <c r="R386" s="13" t="s">
        <v>0</v>
      </c>
      <c r="S386" s="13" t="s">
        <v>0</v>
      </c>
      <c r="T386" s="13" t="s">
        <v>9</v>
      </c>
      <c r="U386" s="13" t="s">
        <v>0</v>
      </c>
      <c r="V386" s="13" t="s">
        <v>0</v>
      </c>
      <c r="W386" s="13" t="s">
        <v>0</v>
      </c>
      <c r="X386" s="13" t="s">
        <v>0</v>
      </c>
      <c r="Y386" s="13" t="s">
        <v>10</v>
      </c>
      <c r="Z386" s="13" t="s">
        <v>0</v>
      </c>
      <c r="AA386" s="14"/>
      <c r="AB386" s="13" t="s">
        <v>0</v>
      </c>
      <c r="AC386" s="13" t="s">
        <v>0</v>
      </c>
      <c r="AD386" s="13" t="s">
        <v>0</v>
      </c>
      <c r="AE386" s="15">
        <v>0</v>
      </c>
    </row>
    <row r="387" spans="1:31" ht="14.15" customHeight="1" x14ac:dyDescent="0.25">
      <c r="A387" s="12" t="s">
        <v>0</v>
      </c>
      <c r="B387" s="13" t="s">
        <v>1</v>
      </c>
      <c r="C387" s="13" t="s">
        <v>3529</v>
      </c>
      <c r="D387" s="14">
        <v>44324</v>
      </c>
      <c r="E387" s="14">
        <v>44324</v>
      </c>
      <c r="F387" s="14">
        <v>44333</v>
      </c>
      <c r="G387" s="13" t="s">
        <v>3</v>
      </c>
      <c r="H387" s="13" t="s">
        <v>4</v>
      </c>
      <c r="I387" s="15">
        <v>-41520.67</v>
      </c>
      <c r="J387" s="13" t="s">
        <v>5</v>
      </c>
      <c r="K387" s="13" t="s">
        <v>6</v>
      </c>
      <c r="L387" s="15">
        <v>-3485660.25</v>
      </c>
      <c r="M387" s="15">
        <v>-41520.67</v>
      </c>
      <c r="N387" s="16" t="str">
        <f>IF(M387="","",IF(M387&lt;0,-M387&amp;"_"&amp;COUNTIF(M$2:M387,M387),M387&amp;"_"&amp;COUNTIF(M$2:M387,M387)))</f>
        <v>41520.67_1</v>
      </c>
      <c r="O387" s="17" t="str">
        <f t="shared" si="6"/>
        <v/>
      </c>
      <c r="P387" s="13" t="s">
        <v>3530</v>
      </c>
      <c r="Q387" s="13" t="s">
        <v>3512</v>
      </c>
      <c r="R387" s="13" t="s">
        <v>0</v>
      </c>
      <c r="S387" s="13" t="s">
        <v>0</v>
      </c>
      <c r="T387" s="13" t="s">
        <v>9</v>
      </c>
      <c r="U387" s="13" t="s">
        <v>0</v>
      </c>
      <c r="V387" s="13" t="s">
        <v>0</v>
      </c>
      <c r="W387" s="13" t="s">
        <v>0</v>
      </c>
      <c r="X387" s="13" t="s">
        <v>0</v>
      </c>
      <c r="Y387" s="13" t="s">
        <v>10</v>
      </c>
      <c r="Z387" s="13" t="s">
        <v>0</v>
      </c>
      <c r="AA387" s="14"/>
      <c r="AB387" s="13" t="s">
        <v>0</v>
      </c>
      <c r="AC387" s="13" t="s">
        <v>0</v>
      </c>
      <c r="AD387" s="13" t="s">
        <v>0</v>
      </c>
      <c r="AE387" s="15">
        <v>0</v>
      </c>
    </row>
    <row r="388" spans="1:31" ht="14.15" customHeight="1" x14ac:dyDescent="0.25">
      <c r="A388" s="12" t="s">
        <v>0</v>
      </c>
      <c r="B388" s="13" t="s">
        <v>1</v>
      </c>
      <c r="C388" s="13" t="s">
        <v>3642</v>
      </c>
      <c r="D388" s="14">
        <v>44331</v>
      </c>
      <c r="E388" s="14">
        <v>44331</v>
      </c>
      <c r="F388" s="14">
        <v>44336</v>
      </c>
      <c r="G388" s="13" t="s">
        <v>3</v>
      </c>
      <c r="H388" s="13" t="s">
        <v>4</v>
      </c>
      <c r="I388" s="15">
        <v>-41491.160000000003</v>
      </c>
      <c r="J388" s="13" t="s">
        <v>5</v>
      </c>
      <c r="K388" s="13" t="s">
        <v>6</v>
      </c>
      <c r="L388" s="15">
        <v>-3483182.88</v>
      </c>
      <c r="M388" s="15">
        <v>-41491.160000000003</v>
      </c>
      <c r="N388" s="16" t="str">
        <f>IF(M388="","",IF(M388&lt;0,-M388&amp;"_"&amp;COUNTIF(M$2:M388,M388),M388&amp;"_"&amp;COUNTIF(M$2:M388,M388)))</f>
        <v>41491.16_1</v>
      </c>
      <c r="O388" s="17" t="str">
        <f t="shared" si="6"/>
        <v/>
      </c>
      <c r="P388" s="13" t="s">
        <v>3643</v>
      </c>
      <c r="Q388" s="13" t="s">
        <v>3637</v>
      </c>
      <c r="R388" s="13" t="s">
        <v>0</v>
      </c>
      <c r="S388" s="13" t="s">
        <v>0</v>
      </c>
      <c r="T388" s="13" t="s">
        <v>9</v>
      </c>
      <c r="U388" s="13" t="s">
        <v>0</v>
      </c>
      <c r="V388" s="13" t="s">
        <v>0</v>
      </c>
      <c r="W388" s="13" t="s">
        <v>0</v>
      </c>
      <c r="X388" s="13" t="s">
        <v>0</v>
      </c>
      <c r="Y388" s="13" t="s">
        <v>10</v>
      </c>
      <c r="Z388" s="13" t="s">
        <v>0</v>
      </c>
      <c r="AA388" s="14"/>
      <c r="AB388" s="13" t="s">
        <v>0</v>
      </c>
      <c r="AC388" s="13" t="s">
        <v>0</v>
      </c>
      <c r="AD388" s="13" t="s">
        <v>0</v>
      </c>
      <c r="AE388" s="15">
        <v>0</v>
      </c>
    </row>
    <row r="389" spans="1:31" ht="14.15" customHeight="1" x14ac:dyDescent="0.25">
      <c r="A389" s="12" t="s">
        <v>0</v>
      </c>
      <c r="B389" s="13" t="s">
        <v>1</v>
      </c>
      <c r="C389" s="13" t="s">
        <v>3533</v>
      </c>
      <c r="D389" s="14">
        <v>44324</v>
      </c>
      <c r="E389" s="14">
        <v>44324</v>
      </c>
      <c r="F389" s="14">
        <v>44336</v>
      </c>
      <c r="G389" s="13" t="s">
        <v>3</v>
      </c>
      <c r="H389" s="13" t="s">
        <v>4</v>
      </c>
      <c r="I389" s="15">
        <v>-41470.67</v>
      </c>
      <c r="J389" s="13" t="s">
        <v>5</v>
      </c>
      <c r="K389" s="13" t="s">
        <v>6</v>
      </c>
      <c r="L389" s="15">
        <v>-3481462.75</v>
      </c>
      <c r="M389" s="15">
        <v>-41470.67</v>
      </c>
      <c r="N389" s="16" t="str">
        <f>IF(M389="","",IF(M389&lt;0,-M389&amp;"_"&amp;COUNTIF(M$2:M389,M389),M389&amp;"_"&amp;COUNTIF(M$2:M389,M389)))</f>
        <v>41470.67_1</v>
      </c>
      <c r="O389" s="17" t="str">
        <f t="shared" si="6"/>
        <v/>
      </c>
      <c r="P389" s="13" t="s">
        <v>3534</v>
      </c>
      <c r="Q389" s="13" t="s">
        <v>3512</v>
      </c>
      <c r="R389" s="13" t="s">
        <v>0</v>
      </c>
      <c r="S389" s="13" t="s">
        <v>0</v>
      </c>
      <c r="T389" s="13" t="s">
        <v>9</v>
      </c>
      <c r="U389" s="13" t="s">
        <v>0</v>
      </c>
      <c r="V389" s="13" t="s">
        <v>0</v>
      </c>
      <c r="W389" s="13" t="s">
        <v>0</v>
      </c>
      <c r="X389" s="13" t="s">
        <v>0</v>
      </c>
      <c r="Y389" s="13" t="s">
        <v>10</v>
      </c>
      <c r="Z389" s="13" t="s">
        <v>0</v>
      </c>
      <c r="AA389" s="14"/>
      <c r="AB389" s="13" t="s">
        <v>0</v>
      </c>
      <c r="AC389" s="13" t="s">
        <v>0</v>
      </c>
      <c r="AD389" s="13" t="s">
        <v>0</v>
      </c>
      <c r="AE389" s="15">
        <v>0</v>
      </c>
    </row>
    <row r="390" spans="1:31" ht="14.15" customHeight="1" x14ac:dyDescent="0.25">
      <c r="A390" s="12" t="s">
        <v>0</v>
      </c>
      <c r="B390" s="13" t="s">
        <v>1</v>
      </c>
      <c r="C390" s="13" t="s">
        <v>2185</v>
      </c>
      <c r="D390" s="14">
        <v>44210</v>
      </c>
      <c r="E390" s="14">
        <v>44210</v>
      </c>
      <c r="F390" s="14">
        <v>44217</v>
      </c>
      <c r="G390" s="13" t="s">
        <v>3</v>
      </c>
      <c r="H390" s="13" t="s">
        <v>4</v>
      </c>
      <c r="I390" s="15">
        <v>-41459.269999999997</v>
      </c>
      <c r="J390" s="13" t="s">
        <v>5</v>
      </c>
      <c r="K390" s="13" t="s">
        <v>6</v>
      </c>
      <c r="L390" s="15">
        <v>-3480505.72</v>
      </c>
      <c r="M390" s="15">
        <v>-41459.269999999997</v>
      </c>
      <c r="N390" s="16" t="str">
        <f>IF(M390="","",IF(M390&lt;0,-M390&amp;"_"&amp;COUNTIF(M$2:M390,M390),M390&amp;"_"&amp;COUNTIF(M$2:M390,M390)))</f>
        <v>41459.27_1</v>
      </c>
      <c r="O390" s="17" t="str">
        <f t="shared" si="6"/>
        <v/>
      </c>
      <c r="P390" s="13" t="s">
        <v>2186</v>
      </c>
      <c r="Q390" s="13" t="s">
        <v>2176</v>
      </c>
      <c r="R390" s="13" t="s">
        <v>0</v>
      </c>
      <c r="S390" s="13" t="s">
        <v>0</v>
      </c>
      <c r="T390" s="13" t="s">
        <v>9</v>
      </c>
      <c r="U390" s="13" t="s">
        <v>0</v>
      </c>
      <c r="V390" s="13" t="s">
        <v>0</v>
      </c>
      <c r="W390" s="13" t="s">
        <v>0</v>
      </c>
      <c r="X390" s="13" t="s">
        <v>0</v>
      </c>
      <c r="Y390" s="13" t="s">
        <v>10</v>
      </c>
      <c r="Z390" s="13" t="s">
        <v>0</v>
      </c>
      <c r="AA390" s="14"/>
      <c r="AB390" s="13" t="s">
        <v>0</v>
      </c>
      <c r="AC390" s="13" t="s">
        <v>0</v>
      </c>
      <c r="AD390" s="13" t="s">
        <v>0</v>
      </c>
      <c r="AE390" s="15">
        <v>0</v>
      </c>
    </row>
    <row r="391" spans="1:31" ht="14.15" customHeight="1" x14ac:dyDescent="0.25">
      <c r="A391" s="12" t="s">
        <v>0</v>
      </c>
      <c r="B391" s="13" t="s">
        <v>1</v>
      </c>
      <c r="C391" s="13" t="s">
        <v>2581</v>
      </c>
      <c r="D391" s="14">
        <v>44243</v>
      </c>
      <c r="E391" s="14">
        <v>44243</v>
      </c>
      <c r="F391" s="14">
        <v>44249</v>
      </c>
      <c r="G391" s="13" t="s">
        <v>3</v>
      </c>
      <c r="H391" s="13" t="s">
        <v>4</v>
      </c>
      <c r="I391" s="15">
        <v>-41459.040000000001</v>
      </c>
      <c r="J391" s="13" t="s">
        <v>5</v>
      </c>
      <c r="K391" s="13" t="s">
        <v>6</v>
      </c>
      <c r="L391" s="15">
        <v>-3480486.41</v>
      </c>
      <c r="M391" s="15">
        <v>-41459.040000000001</v>
      </c>
      <c r="N391" s="16" t="str">
        <f>IF(M391="","",IF(M391&lt;0,-M391&amp;"_"&amp;COUNTIF(M$2:M391,M391),M391&amp;"_"&amp;COUNTIF(M$2:M391,M391)))</f>
        <v>41459.04_1</v>
      </c>
      <c r="O391" s="17" t="str">
        <f t="shared" si="6"/>
        <v/>
      </c>
      <c r="P391" s="13" t="s">
        <v>2582</v>
      </c>
      <c r="Q391" s="13" t="s">
        <v>2574</v>
      </c>
      <c r="R391" s="13" t="s">
        <v>0</v>
      </c>
      <c r="S391" s="13" t="s">
        <v>0</v>
      </c>
      <c r="T391" s="13" t="s">
        <v>9</v>
      </c>
      <c r="U391" s="13" t="s">
        <v>0</v>
      </c>
      <c r="V391" s="13" t="s">
        <v>0</v>
      </c>
      <c r="W391" s="13" t="s">
        <v>0</v>
      </c>
      <c r="X391" s="13" t="s">
        <v>0</v>
      </c>
      <c r="Y391" s="13" t="s">
        <v>10</v>
      </c>
      <c r="Z391" s="13" t="s">
        <v>0</v>
      </c>
      <c r="AA391" s="14"/>
      <c r="AB391" s="13" t="s">
        <v>0</v>
      </c>
      <c r="AC391" s="13" t="s">
        <v>0</v>
      </c>
      <c r="AD391" s="13" t="s">
        <v>0</v>
      </c>
      <c r="AE391" s="15">
        <v>0</v>
      </c>
    </row>
    <row r="392" spans="1:31" ht="14.15" customHeight="1" x14ac:dyDescent="0.25">
      <c r="A392" s="12" t="s">
        <v>0</v>
      </c>
      <c r="B392" s="13" t="s">
        <v>1</v>
      </c>
      <c r="C392" s="13" t="s">
        <v>4045</v>
      </c>
      <c r="D392" s="14">
        <v>44358</v>
      </c>
      <c r="E392" s="14">
        <v>44358</v>
      </c>
      <c r="F392" s="14">
        <v>44364</v>
      </c>
      <c r="G392" s="13" t="s">
        <v>3</v>
      </c>
      <c r="H392" s="13" t="s">
        <v>4</v>
      </c>
      <c r="I392" s="15">
        <v>-41078.269999999997</v>
      </c>
      <c r="J392" s="13" t="s">
        <v>5</v>
      </c>
      <c r="K392" s="13" t="s">
        <v>6</v>
      </c>
      <c r="L392" s="15">
        <v>-3448520.77</v>
      </c>
      <c r="M392" s="15">
        <v>-41078.269999999997</v>
      </c>
      <c r="N392" s="16" t="str">
        <f>IF(M392="","",IF(M392&lt;0,-M392&amp;"_"&amp;COUNTIF(M$2:M392,M392),M392&amp;"_"&amp;COUNTIF(M$2:M392,M392)))</f>
        <v>41078.27_1</v>
      </c>
      <c r="O392" s="17" t="str">
        <f t="shared" si="6"/>
        <v/>
      </c>
      <c r="P392" s="13" t="s">
        <v>4046</v>
      </c>
      <c r="Q392" s="13" t="s">
        <v>4006</v>
      </c>
      <c r="R392" s="13" t="s">
        <v>0</v>
      </c>
      <c r="S392" s="13" t="s">
        <v>0</v>
      </c>
      <c r="T392" s="13" t="s">
        <v>9</v>
      </c>
      <c r="U392" s="13" t="s">
        <v>0</v>
      </c>
      <c r="V392" s="13" t="s">
        <v>0</v>
      </c>
      <c r="W392" s="13" t="s">
        <v>0</v>
      </c>
      <c r="X392" s="13" t="s">
        <v>0</v>
      </c>
      <c r="Y392" s="13" t="s">
        <v>10</v>
      </c>
      <c r="Z392" s="13" t="s">
        <v>0</v>
      </c>
      <c r="AA392" s="14"/>
      <c r="AB392" s="13" t="s">
        <v>0</v>
      </c>
      <c r="AC392" s="13" t="s">
        <v>0</v>
      </c>
      <c r="AD392" s="13" t="s">
        <v>0</v>
      </c>
      <c r="AE392" s="15">
        <v>0</v>
      </c>
    </row>
    <row r="393" spans="1:31" ht="14.15" customHeight="1" x14ac:dyDescent="0.25">
      <c r="A393" s="12" t="s">
        <v>0</v>
      </c>
      <c r="B393" s="13" t="s">
        <v>1</v>
      </c>
      <c r="C393" s="13" t="s">
        <v>4328</v>
      </c>
      <c r="D393" s="14">
        <v>44373</v>
      </c>
      <c r="E393" s="14">
        <v>44373</v>
      </c>
      <c r="F393" s="14">
        <v>44376</v>
      </c>
      <c r="G393" s="13" t="s">
        <v>3</v>
      </c>
      <c r="H393" s="13" t="s">
        <v>4</v>
      </c>
      <c r="I393" s="15">
        <v>-40842.83</v>
      </c>
      <c r="J393" s="13" t="s">
        <v>5</v>
      </c>
      <c r="K393" s="13" t="s">
        <v>6</v>
      </c>
      <c r="L393" s="15">
        <v>-3428755.57</v>
      </c>
      <c r="M393" s="15">
        <v>-40842.83</v>
      </c>
      <c r="N393" s="16" t="str">
        <f>IF(M393="","",IF(M393&lt;0,-M393&amp;"_"&amp;COUNTIF(M$2:M393,M393),M393&amp;"_"&amp;COUNTIF(M$2:M393,M393)))</f>
        <v>40842.83_1</v>
      </c>
      <c r="O393" s="17" t="str">
        <f t="shared" si="6"/>
        <v/>
      </c>
      <c r="P393" s="13" t="s">
        <v>4329</v>
      </c>
      <c r="Q393" s="13" t="s">
        <v>4325</v>
      </c>
      <c r="R393" s="13" t="s">
        <v>0</v>
      </c>
      <c r="S393" s="13" t="s">
        <v>0</v>
      </c>
      <c r="T393" s="13" t="s">
        <v>9</v>
      </c>
      <c r="U393" s="13" t="s">
        <v>0</v>
      </c>
      <c r="V393" s="13" t="s">
        <v>0</v>
      </c>
      <c r="W393" s="13" t="s">
        <v>0</v>
      </c>
      <c r="X393" s="13" t="s">
        <v>0</v>
      </c>
      <c r="Y393" s="13" t="s">
        <v>10</v>
      </c>
      <c r="Z393" s="13" t="s">
        <v>0</v>
      </c>
      <c r="AA393" s="14"/>
      <c r="AB393" s="13" t="s">
        <v>0</v>
      </c>
      <c r="AC393" s="13" t="s">
        <v>0</v>
      </c>
      <c r="AD393" s="13" t="s">
        <v>0</v>
      </c>
      <c r="AE393" s="15">
        <v>0</v>
      </c>
    </row>
    <row r="394" spans="1:31" ht="14.15" customHeight="1" x14ac:dyDescent="0.25">
      <c r="A394" s="12" t="s">
        <v>0</v>
      </c>
      <c r="B394" s="13" t="s">
        <v>1</v>
      </c>
      <c r="C394" s="13" t="s">
        <v>2939</v>
      </c>
      <c r="D394" s="14">
        <v>44276</v>
      </c>
      <c r="E394" s="14">
        <v>44276</v>
      </c>
      <c r="F394" s="14">
        <v>44286</v>
      </c>
      <c r="G394" s="13" t="s">
        <v>3</v>
      </c>
      <c r="H394" s="13" t="s">
        <v>4</v>
      </c>
      <c r="I394" s="15">
        <v>-40721.46</v>
      </c>
      <c r="J394" s="13" t="s">
        <v>5</v>
      </c>
      <c r="K394" s="13" t="s">
        <v>6</v>
      </c>
      <c r="L394" s="15">
        <v>-3418566.57</v>
      </c>
      <c r="M394" s="15">
        <v>-40721.46</v>
      </c>
      <c r="N394" s="16" t="str">
        <f>IF(M394="","",IF(M394&lt;0,-M394&amp;"_"&amp;COUNTIF(M$2:M394,M394),M394&amp;"_"&amp;COUNTIF(M$2:M394,M394)))</f>
        <v>40721.46_1</v>
      </c>
      <c r="O394" s="17" t="str">
        <f t="shared" si="6"/>
        <v/>
      </c>
      <c r="P394" s="13" t="s">
        <v>2940</v>
      </c>
      <c r="Q394" s="13" t="s">
        <v>2922</v>
      </c>
      <c r="R394" s="13" t="s">
        <v>0</v>
      </c>
      <c r="S394" s="13" t="s">
        <v>0</v>
      </c>
      <c r="T394" s="13" t="s">
        <v>9</v>
      </c>
      <c r="U394" s="13" t="s">
        <v>0</v>
      </c>
      <c r="V394" s="13" t="s">
        <v>0</v>
      </c>
      <c r="W394" s="13" t="s">
        <v>0</v>
      </c>
      <c r="X394" s="13" t="s">
        <v>0</v>
      </c>
      <c r="Y394" s="13" t="s">
        <v>10</v>
      </c>
      <c r="Z394" s="13" t="s">
        <v>0</v>
      </c>
      <c r="AA394" s="14"/>
      <c r="AB394" s="13" t="s">
        <v>0</v>
      </c>
      <c r="AC394" s="13" t="s">
        <v>0</v>
      </c>
      <c r="AD394" s="13" t="s">
        <v>0</v>
      </c>
      <c r="AE394" s="15">
        <v>0</v>
      </c>
    </row>
    <row r="395" spans="1:31" ht="14.15" customHeight="1" x14ac:dyDescent="0.25">
      <c r="A395" s="12" t="s">
        <v>0</v>
      </c>
      <c r="B395" s="13" t="s">
        <v>1</v>
      </c>
      <c r="C395" s="13" t="s">
        <v>1460</v>
      </c>
      <c r="D395" s="14">
        <v>44159</v>
      </c>
      <c r="E395" s="14">
        <v>44159</v>
      </c>
      <c r="F395" s="14">
        <v>44163</v>
      </c>
      <c r="G395" s="13" t="s">
        <v>3</v>
      </c>
      <c r="H395" s="13" t="s">
        <v>4</v>
      </c>
      <c r="I395" s="15">
        <v>-40580.06</v>
      </c>
      <c r="J395" s="13" t="s">
        <v>5</v>
      </c>
      <c r="K395" s="13" t="s">
        <v>6</v>
      </c>
      <c r="L395" s="15">
        <v>-3406696.04</v>
      </c>
      <c r="M395" s="15">
        <v>-40580.06</v>
      </c>
      <c r="N395" s="16" t="str">
        <f>IF(M395="","",IF(M395&lt;0,-M395&amp;"_"&amp;COUNTIF(M$2:M395,M395),M395&amp;"_"&amp;COUNTIF(M$2:M395,M395)))</f>
        <v>40580.06_1</v>
      </c>
      <c r="O395" s="17" t="str">
        <f t="shared" si="6"/>
        <v/>
      </c>
      <c r="P395" s="13" t="s">
        <v>1461</v>
      </c>
      <c r="Q395" s="13" t="s">
        <v>1455</v>
      </c>
      <c r="R395" s="13" t="s">
        <v>0</v>
      </c>
      <c r="S395" s="13" t="s">
        <v>0</v>
      </c>
      <c r="T395" s="13" t="s">
        <v>9</v>
      </c>
      <c r="U395" s="13" t="s">
        <v>0</v>
      </c>
      <c r="V395" s="13" t="s">
        <v>0</v>
      </c>
      <c r="W395" s="13" t="s">
        <v>0</v>
      </c>
      <c r="X395" s="13" t="s">
        <v>0</v>
      </c>
      <c r="Y395" s="13" t="s">
        <v>10</v>
      </c>
      <c r="Z395" s="13" t="s">
        <v>0</v>
      </c>
      <c r="AA395" s="14"/>
      <c r="AB395" s="13" t="s">
        <v>0</v>
      </c>
      <c r="AC395" s="13" t="s">
        <v>0</v>
      </c>
      <c r="AD395" s="13" t="s">
        <v>0</v>
      </c>
      <c r="AE395" s="15">
        <v>0</v>
      </c>
    </row>
    <row r="396" spans="1:31" ht="14.15" customHeight="1" x14ac:dyDescent="0.25">
      <c r="A396" s="12" t="s">
        <v>0</v>
      </c>
      <c r="B396" s="13" t="s">
        <v>1</v>
      </c>
      <c r="C396" s="13" t="s">
        <v>724</v>
      </c>
      <c r="D396" s="14">
        <v>44095</v>
      </c>
      <c r="E396" s="14">
        <v>44095</v>
      </c>
      <c r="F396" s="14">
        <v>44098</v>
      </c>
      <c r="G396" s="13" t="s">
        <v>3</v>
      </c>
      <c r="H396" s="13" t="s">
        <v>4</v>
      </c>
      <c r="I396" s="15">
        <v>-40450.68</v>
      </c>
      <c r="J396" s="13" t="s">
        <v>5</v>
      </c>
      <c r="K396" s="13" t="s">
        <v>6</v>
      </c>
      <c r="L396" s="15">
        <v>-3395834.59</v>
      </c>
      <c r="M396" s="15">
        <v>-40450.68</v>
      </c>
      <c r="N396" s="16" t="str">
        <f>IF(M396="","",IF(M396&lt;0,-M396&amp;"_"&amp;COUNTIF(M$2:M396,M396),M396&amp;"_"&amp;COUNTIF(M$2:M396,M396)))</f>
        <v>40450.68_1</v>
      </c>
      <c r="O396" s="17" t="str">
        <f t="shared" si="6"/>
        <v/>
      </c>
      <c r="P396" s="13" t="s">
        <v>725</v>
      </c>
      <c r="Q396" s="13" t="s">
        <v>726</v>
      </c>
      <c r="R396" s="13" t="s">
        <v>0</v>
      </c>
      <c r="S396" s="13" t="s">
        <v>0</v>
      </c>
      <c r="T396" s="13" t="s">
        <v>9</v>
      </c>
      <c r="U396" s="13" t="s">
        <v>0</v>
      </c>
      <c r="V396" s="13" t="s">
        <v>0</v>
      </c>
      <c r="W396" s="13" t="s">
        <v>0</v>
      </c>
      <c r="X396" s="13" t="s">
        <v>0</v>
      </c>
      <c r="Y396" s="13" t="s">
        <v>10</v>
      </c>
      <c r="Z396" s="13" t="s">
        <v>0</v>
      </c>
      <c r="AA396" s="14"/>
      <c r="AB396" s="13" t="s">
        <v>0</v>
      </c>
      <c r="AC396" s="13" t="s">
        <v>0</v>
      </c>
      <c r="AD396" s="13" t="s">
        <v>0</v>
      </c>
      <c r="AE396" s="15">
        <v>0</v>
      </c>
    </row>
    <row r="397" spans="1:31" ht="14.15" customHeight="1" x14ac:dyDescent="0.25">
      <c r="A397" s="12" t="s">
        <v>0</v>
      </c>
      <c r="B397" s="13" t="s">
        <v>1</v>
      </c>
      <c r="C397" s="13" t="s">
        <v>4017</v>
      </c>
      <c r="D397" s="14">
        <v>44358</v>
      </c>
      <c r="E397" s="14">
        <v>44358</v>
      </c>
      <c r="F397" s="14">
        <v>44363</v>
      </c>
      <c r="G397" s="13" t="s">
        <v>3</v>
      </c>
      <c r="H397" s="13" t="s">
        <v>4</v>
      </c>
      <c r="I397" s="15">
        <v>-40331.360000000001</v>
      </c>
      <c r="J397" s="13" t="s">
        <v>5</v>
      </c>
      <c r="K397" s="13" t="s">
        <v>6</v>
      </c>
      <c r="L397" s="15">
        <v>-3385817.67</v>
      </c>
      <c r="M397" s="15">
        <v>-40331.360000000001</v>
      </c>
      <c r="N397" s="16" t="str">
        <f>IF(M397="","",IF(M397&lt;0,-M397&amp;"_"&amp;COUNTIF(M$2:M397,M397),M397&amp;"_"&amp;COUNTIF(M$2:M397,M397)))</f>
        <v>40331.36_1</v>
      </c>
      <c r="O397" s="17" t="str">
        <f t="shared" si="6"/>
        <v/>
      </c>
      <c r="P397" s="13" t="s">
        <v>4018</v>
      </c>
      <c r="Q397" s="13" t="s">
        <v>4006</v>
      </c>
      <c r="R397" s="13" t="s">
        <v>0</v>
      </c>
      <c r="S397" s="13" t="s">
        <v>0</v>
      </c>
      <c r="T397" s="13" t="s">
        <v>9</v>
      </c>
      <c r="U397" s="13" t="s">
        <v>0</v>
      </c>
      <c r="V397" s="13" t="s">
        <v>0</v>
      </c>
      <c r="W397" s="13" t="s">
        <v>0</v>
      </c>
      <c r="X397" s="13" t="s">
        <v>0</v>
      </c>
      <c r="Y397" s="13" t="s">
        <v>10</v>
      </c>
      <c r="Z397" s="13" t="s">
        <v>0</v>
      </c>
      <c r="AA397" s="14"/>
      <c r="AB397" s="13" t="s">
        <v>0</v>
      </c>
      <c r="AC397" s="13" t="s">
        <v>0</v>
      </c>
      <c r="AD397" s="13" t="s">
        <v>0</v>
      </c>
      <c r="AE397" s="15">
        <v>0</v>
      </c>
    </row>
    <row r="398" spans="1:31" ht="14.15" customHeight="1" x14ac:dyDescent="0.25">
      <c r="A398" s="12" t="s">
        <v>0</v>
      </c>
      <c r="B398" s="13" t="s">
        <v>1</v>
      </c>
      <c r="C398" s="13" t="s">
        <v>2951</v>
      </c>
      <c r="D398" s="14">
        <v>44276</v>
      </c>
      <c r="E398" s="14">
        <v>44276</v>
      </c>
      <c r="F398" s="14">
        <v>44286</v>
      </c>
      <c r="G398" s="13" t="s">
        <v>3</v>
      </c>
      <c r="H398" s="13" t="s">
        <v>4</v>
      </c>
      <c r="I398" s="15">
        <v>-40192.519999999997</v>
      </c>
      <c r="J398" s="13" t="s">
        <v>5</v>
      </c>
      <c r="K398" s="13" t="s">
        <v>6</v>
      </c>
      <c r="L398" s="15">
        <v>-3374162.05</v>
      </c>
      <c r="M398" s="15">
        <v>-40192.519999999997</v>
      </c>
      <c r="N398" s="16" t="str">
        <f>IF(M398="","",IF(M398&lt;0,-M398&amp;"_"&amp;COUNTIF(M$2:M398,M398),M398&amp;"_"&amp;COUNTIF(M$2:M398,M398)))</f>
        <v>40192.52_1</v>
      </c>
      <c r="O398" s="17" t="str">
        <f t="shared" si="6"/>
        <v/>
      </c>
      <c r="P398" s="13" t="s">
        <v>2952</v>
      </c>
      <c r="Q398" s="13" t="s">
        <v>2922</v>
      </c>
      <c r="R398" s="13" t="s">
        <v>0</v>
      </c>
      <c r="S398" s="13" t="s">
        <v>0</v>
      </c>
      <c r="T398" s="13" t="s">
        <v>9</v>
      </c>
      <c r="U398" s="13" t="s">
        <v>0</v>
      </c>
      <c r="V398" s="13" t="s">
        <v>0</v>
      </c>
      <c r="W398" s="13" t="s">
        <v>0</v>
      </c>
      <c r="X398" s="13" t="s">
        <v>0</v>
      </c>
      <c r="Y398" s="13" t="s">
        <v>10</v>
      </c>
      <c r="Z398" s="13" t="s">
        <v>0</v>
      </c>
      <c r="AA398" s="14"/>
      <c r="AB398" s="13" t="s">
        <v>0</v>
      </c>
      <c r="AC398" s="13" t="s">
        <v>0</v>
      </c>
      <c r="AD398" s="13" t="s">
        <v>0</v>
      </c>
      <c r="AE398" s="15">
        <v>0</v>
      </c>
    </row>
    <row r="399" spans="1:31" ht="14.15" customHeight="1" x14ac:dyDescent="0.25">
      <c r="A399" s="12" t="s">
        <v>0</v>
      </c>
      <c r="B399" s="13" t="s">
        <v>1</v>
      </c>
      <c r="C399" s="13" t="s">
        <v>2202</v>
      </c>
      <c r="D399" s="14">
        <v>44211</v>
      </c>
      <c r="E399" s="14">
        <v>44211</v>
      </c>
      <c r="F399" s="14">
        <v>44217</v>
      </c>
      <c r="G399" s="13" t="s">
        <v>3</v>
      </c>
      <c r="H399" s="13" t="s">
        <v>4</v>
      </c>
      <c r="I399" s="15">
        <v>-40074.28</v>
      </c>
      <c r="J399" s="13" t="s">
        <v>5</v>
      </c>
      <c r="K399" s="13" t="s">
        <v>6</v>
      </c>
      <c r="L399" s="15">
        <v>-3364235.81</v>
      </c>
      <c r="M399" s="15">
        <v>-40074.28</v>
      </c>
      <c r="N399" s="16" t="str">
        <f>IF(M399="","",IF(M399&lt;0,-M399&amp;"_"&amp;COUNTIF(M$2:M399,M399),M399&amp;"_"&amp;COUNTIF(M$2:M399,M399)))</f>
        <v>40074.28_1</v>
      </c>
      <c r="O399" s="17" t="str">
        <f t="shared" si="6"/>
        <v/>
      </c>
      <c r="P399" s="13" t="s">
        <v>2203</v>
      </c>
      <c r="Q399" s="13" t="s">
        <v>2201</v>
      </c>
      <c r="R399" s="13" t="s">
        <v>0</v>
      </c>
      <c r="S399" s="13" t="s">
        <v>0</v>
      </c>
      <c r="T399" s="13" t="s">
        <v>9</v>
      </c>
      <c r="U399" s="13" t="s">
        <v>0</v>
      </c>
      <c r="V399" s="13" t="s">
        <v>0</v>
      </c>
      <c r="W399" s="13" t="s">
        <v>0</v>
      </c>
      <c r="X399" s="13" t="s">
        <v>0</v>
      </c>
      <c r="Y399" s="13" t="s">
        <v>10</v>
      </c>
      <c r="Z399" s="13" t="s">
        <v>0</v>
      </c>
      <c r="AA399" s="14"/>
      <c r="AB399" s="13" t="s">
        <v>0</v>
      </c>
      <c r="AC399" s="13" t="s">
        <v>0</v>
      </c>
      <c r="AD399" s="13" t="s">
        <v>0</v>
      </c>
      <c r="AE399" s="15">
        <v>0</v>
      </c>
    </row>
    <row r="400" spans="1:31" ht="14.15" customHeight="1" x14ac:dyDescent="0.25">
      <c r="A400" s="12" t="s">
        <v>0</v>
      </c>
      <c r="B400" s="13" t="s">
        <v>1</v>
      </c>
      <c r="C400" s="13" t="s">
        <v>450</v>
      </c>
      <c r="D400" s="14">
        <v>44066</v>
      </c>
      <c r="E400" s="14">
        <v>44066</v>
      </c>
      <c r="F400" s="14">
        <v>44070</v>
      </c>
      <c r="G400" s="13" t="s">
        <v>3</v>
      </c>
      <c r="H400" s="13" t="s">
        <v>4</v>
      </c>
      <c r="I400" s="15">
        <v>-40048.43</v>
      </c>
      <c r="J400" s="13" t="s">
        <v>5</v>
      </c>
      <c r="K400" s="13" t="s">
        <v>6</v>
      </c>
      <c r="L400" s="15">
        <v>-3362065.7</v>
      </c>
      <c r="M400" s="15">
        <v>-40048.43</v>
      </c>
      <c r="N400" s="16" t="str">
        <f>IF(M400="","",IF(M400&lt;0,-M400&amp;"_"&amp;COUNTIF(M$2:M400,M400),M400&amp;"_"&amp;COUNTIF(M$2:M400,M400)))</f>
        <v>40048.43_1</v>
      </c>
      <c r="O400" s="17" t="str">
        <f t="shared" si="6"/>
        <v/>
      </c>
      <c r="P400" s="13" t="s">
        <v>451</v>
      </c>
      <c r="Q400" s="13" t="s">
        <v>445</v>
      </c>
      <c r="R400" s="13" t="s">
        <v>0</v>
      </c>
      <c r="S400" s="13" t="s">
        <v>0</v>
      </c>
      <c r="T400" s="13" t="s">
        <v>9</v>
      </c>
      <c r="U400" s="13" t="s">
        <v>0</v>
      </c>
      <c r="V400" s="13" t="s">
        <v>0</v>
      </c>
      <c r="W400" s="13" t="s">
        <v>0</v>
      </c>
      <c r="X400" s="13" t="s">
        <v>0</v>
      </c>
      <c r="Y400" s="13" t="s">
        <v>10</v>
      </c>
      <c r="Z400" s="13" t="s">
        <v>0</v>
      </c>
      <c r="AA400" s="14"/>
      <c r="AB400" s="13" t="s">
        <v>0</v>
      </c>
      <c r="AC400" s="13" t="s">
        <v>0</v>
      </c>
      <c r="AD400" s="13" t="s">
        <v>0</v>
      </c>
      <c r="AE400" s="15">
        <v>0</v>
      </c>
    </row>
    <row r="401" spans="1:31" ht="14.15" customHeight="1" x14ac:dyDescent="0.25">
      <c r="A401" s="12" t="s">
        <v>0</v>
      </c>
      <c r="B401" s="13" t="s">
        <v>1</v>
      </c>
      <c r="C401" s="13" t="s">
        <v>2049</v>
      </c>
      <c r="D401" s="14">
        <v>44198</v>
      </c>
      <c r="E401" s="14">
        <v>44198</v>
      </c>
      <c r="F401" s="14">
        <v>44201</v>
      </c>
      <c r="G401" s="13" t="s">
        <v>3</v>
      </c>
      <c r="H401" s="13" t="s">
        <v>4</v>
      </c>
      <c r="I401" s="15">
        <v>-40018.25</v>
      </c>
      <c r="J401" s="13" t="s">
        <v>5</v>
      </c>
      <c r="K401" s="13" t="s">
        <v>6</v>
      </c>
      <c r="L401" s="15">
        <v>-3359532.08</v>
      </c>
      <c r="M401" s="15">
        <v>-40018.25</v>
      </c>
      <c r="N401" s="16" t="str">
        <f>IF(M401="","",IF(M401&lt;0,-M401&amp;"_"&amp;COUNTIF(M$2:M401,M401),M401&amp;"_"&amp;COUNTIF(M$2:M401,M401)))</f>
        <v>40018.25_1</v>
      </c>
      <c r="O401" s="17" t="str">
        <f t="shared" si="6"/>
        <v/>
      </c>
      <c r="P401" s="13" t="s">
        <v>2050</v>
      </c>
      <c r="Q401" s="13" t="s">
        <v>2051</v>
      </c>
      <c r="R401" s="13" t="s">
        <v>0</v>
      </c>
      <c r="S401" s="13" t="s">
        <v>0</v>
      </c>
      <c r="T401" s="13" t="s">
        <v>9</v>
      </c>
      <c r="U401" s="13" t="s">
        <v>0</v>
      </c>
      <c r="V401" s="13" t="s">
        <v>0</v>
      </c>
      <c r="W401" s="13" t="s">
        <v>0</v>
      </c>
      <c r="X401" s="13" t="s">
        <v>0</v>
      </c>
      <c r="Y401" s="13" t="s">
        <v>10</v>
      </c>
      <c r="Z401" s="13" t="s">
        <v>0</v>
      </c>
      <c r="AA401" s="14"/>
      <c r="AB401" s="13" t="s">
        <v>0</v>
      </c>
      <c r="AC401" s="13" t="s">
        <v>0</v>
      </c>
      <c r="AD401" s="13" t="s">
        <v>0</v>
      </c>
      <c r="AE401" s="15">
        <v>0</v>
      </c>
    </row>
    <row r="402" spans="1:31" ht="14.15" customHeight="1" x14ac:dyDescent="0.25">
      <c r="A402" s="12" t="s">
        <v>0</v>
      </c>
      <c r="B402" s="13" t="s">
        <v>1</v>
      </c>
      <c r="C402" s="13" t="s">
        <v>4189</v>
      </c>
      <c r="D402" s="14">
        <v>44364</v>
      </c>
      <c r="E402" s="14">
        <v>44364</v>
      </c>
      <c r="F402" s="14">
        <v>44370</v>
      </c>
      <c r="G402" s="13" t="s">
        <v>3</v>
      </c>
      <c r="H402" s="13" t="s">
        <v>4</v>
      </c>
      <c r="I402" s="15">
        <v>-39915.75</v>
      </c>
      <c r="J402" s="13" t="s">
        <v>5</v>
      </c>
      <c r="K402" s="13" t="s">
        <v>6</v>
      </c>
      <c r="L402" s="15">
        <v>-3350927.21</v>
      </c>
      <c r="M402" s="15">
        <v>-39915.75</v>
      </c>
      <c r="N402" s="16" t="str">
        <f>IF(M402="","",IF(M402&lt;0,-M402&amp;"_"&amp;COUNTIF(M$2:M402,M402),M402&amp;"_"&amp;COUNTIF(M$2:M402,M402)))</f>
        <v>39915.75_1</v>
      </c>
      <c r="O402" s="17" t="str">
        <f t="shared" si="6"/>
        <v/>
      </c>
      <c r="P402" s="13" t="s">
        <v>4190</v>
      </c>
      <c r="Q402" s="13" t="s">
        <v>4180</v>
      </c>
      <c r="R402" s="13" t="s">
        <v>0</v>
      </c>
      <c r="S402" s="13" t="s">
        <v>0</v>
      </c>
      <c r="T402" s="13" t="s">
        <v>9</v>
      </c>
      <c r="U402" s="13" t="s">
        <v>0</v>
      </c>
      <c r="V402" s="13" t="s">
        <v>0</v>
      </c>
      <c r="W402" s="13" t="s">
        <v>0</v>
      </c>
      <c r="X402" s="13" t="s">
        <v>0</v>
      </c>
      <c r="Y402" s="13" t="s">
        <v>10</v>
      </c>
      <c r="Z402" s="13" t="s">
        <v>0</v>
      </c>
      <c r="AA402" s="14"/>
      <c r="AB402" s="13" t="s">
        <v>0</v>
      </c>
      <c r="AC402" s="13" t="s">
        <v>0</v>
      </c>
      <c r="AD402" s="13" t="s">
        <v>0</v>
      </c>
      <c r="AE402" s="15">
        <v>0</v>
      </c>
    </row>
    <row r="403" spans="1:31" ht="14.15" customHeight="1" x14ac:dyDescent="0.25">
      <c r="A403" s="12" t="s">
        <v>0</v>
      </c>
      <c r="B403" s="13" t="s">
        <v>1</v>
      </c>
      <c r="C403" s="13" t="s">
        <v>2581</v>
      </c>
      <c r="D403" s="14">
        <v>44243</v>
      </c>
      <c r="E403" s="14">
        <v>44243</v>
      </c>
      <c r="F403" s="14">
        <v>44249</v>
      </c>
      <c r="G403" s="13" t="s">
        <v>3</v>
      </c>
      <c r="H403" s="13" t="s">
        <v>4</v>
      </c>
      <c r="I403" s="15">
        <v>-39563.769999999997</v>
      </c>
      <c r="J403" s="13" t="s">
        <v>5</v>
      </c>
      <c r="K403" s="13" t="s">
        <v>6</v>
      </c>
      <c r="L403" s="15">
        <v>-3321378.49</v>
      </c>
      <c r="M403" s="15">
        <v>-39563.769999999997</v>
      </c>
      <c r="N403" s="16" t="str">
        <f>IF(M403="","",IF(M403&lt;0,-M403&amp;"_"&amp;COUNTIF(M$2:M403,M403),M403&amp;"_"&amp;COUNTIF(M$2:M403,M403)))</f>
        <v>39563.77_1</v>
      </c>
      <c r="O403" s="17" t="str">
        <f t="shared" si="6"/>
        <v/>
      </c>
      <c r="P403" s="13" t="s">
        <v>2582</v>
      </c>
      <c r="Q403" s="13" t="s">
        <v>2574</v>
      </c>
      <c r="R403" s="13" t="s">
        <v>0</v>
      </c>
      <c r="S403" s="13" t="s">
        <v>0</v>
      </c>
      <c r="T403" s="13" t="s">
        <v>9</v>
      </c>
      <c r="U403" s="13" t="s">
        <v>0</v>
      </c>
      <c r="V403" s="13" t="s">
        <v>0</v>
      </c>
      <c r="W403" s="13" t="s">
        <v>0</v>
      </c>
      <c r="X403" s="13" t="s">
        <v>0</v>
      </c>
      <c r="Y403" s="13" t="s">
        <v>10</v>
      </c>
      <c r="Z403" s="13" t="s">
        <v>0</v>
      </c>
      <c r="AA403" s="14"/>
      <c r="AB403" s="13" t="s">
        <v>0</v>
      </c>
      <c r="AC403" s="13" t="s">
        <v>0</v>
      </c>
      <c r="AD403" s="13" t="s">
        <v>0</v>
      </c>
      <c r="AE403" s="15">
        <v>0</v>
      </c>
    </row>
    <row r="404" spans="1:31" ht="14.15" customHeight="1" x14ac:dyDescent="0.25">
      <c r="A404" s="12" t="s">
        <v>0</v>
      </c>
      <c r="B404" s="13" t="s">
        <v>1</v>
      </c>
      <c r="C404" s="13" t="s">
        <v>4178</v>
      </c>
      <c r="D404" s="14">
        <v>44364</v>
      </c>
      <c r="E404" s="14">
        <v>44364</v>
      </c>
      <c r="F404" s="14">
        <v>44368</v>
      </c>
      <c r="G404" s="13" t="s">
        <v>3</v>
      </c>
      <c r="H404" s="13" t="s">
        <v>4</v>
      </c>
      <c r="I404" s="15">
        <v>-39536.870000000003</v>
      </c>
      <c r="J404" s="13" t="s">
        <v>5</v>
      </c>
      <c r="K404" s="13" t="s">
        <v>6</v>
      </c>
      <c r="L404" s="15">
        <v>-3319120.24</v>
      </c>
      <c r="M404" s="15">
        <v>-39536.870000000003</v>
      </c>
      <c r="N404" s="16" t="str">
        <f>IF(M404="","",IF(M404&lt;0,-M404&amp;"_"&amp;COUNTIF(M$2:M404,M404),M404&amp;"_"&amp;COUNTIF(M$2:M404,M404)))</f>
        <v>39536.87_1</v>
      </c>
      <c r="O404" s="17" t="str">
        <f t="shared" si="6"/>
        <v/>
      </c>
      <c r="P404" s="13" t="s">
        <v>4179</v>
      </c>
      <c r="Q404" s="13" t="s">
        <v>4180</v>
      </c>
      <c r="R404" s="13" t="s">
        <v>0</v>
      </c>
      <c r="S404" s="13" t="s">
        <v>0</v>
      </c>
      <c r="T404" s="13" t="s">
        <v>9</v>
      </c>
      <c r="U404" s="13" t="s">
        <v>0</v>
      </c>
      <c r="V404" s="13" t="s">
        <v>0</v>
      </c>
      <c r="W404" s="13" t="s">
        <v>0</v>
      </c>
      <c r="X404" s="13" t="s">
        <v>0</v>
      </c>
      <c r="Y404" s="13" t="s">
        <v>10</v>
      </c>
      <c r="Z404" s="13" t="s">
        <v>0</v>
      </c>
      <c r="AA404" s="14"/>
      <c r="AB404" s="13" t="s">
        <v>0</v>
      </c>
      <c r="AC404" s="13" t="s">
        <v>0</v>
      </c>
      <c r="AD404" s="13" t="s">
        <v>0</v>
      </c>
      <c r="AE404" s="15">
        <v>0</v>
      </c>
    </row>
    <row r="405" spans="1:31" ht="14.15" customHeight="1" x14ac:dyDescent="0.25">
      <c r="A405" s="12" t="s">
        <v>0</v>
      </c>
      <c r="B405" s="13" t="s">
        <v>1</v>
      </c>
      <c r="C405" s="13" t="s">
        <v>2572</v>
      </c>
      <c r="D405" s="14">
        <v>44243</v>
      </c>
      <c r="E405" s="14">
        <v>44243</v>
      </c>
      <c r="F405" s="14">
        <v>44249</v>
      </c>
      <c r="G405" s="13" t="s">
        <v>3</v>
      </c>
      <c r="H405" s="13" t="s">
        <v>4</v>
      </c>
      <c r="I405" s="15">
        <v>-39480.910000000003</v>
      </c>
      <c r="J405" s="13" t="s">
        <v>5</v>
      </c>
      <c r="K405" s="13" t="s">
        <v>6</v>
      </c>
      <c r="L405" s="15">
        <v>-3314422.39</v>
      </c>
      <c r="M405" s="15">
        <v>-39480.910000000003</v>
      </c>
      <c r="N405" s="16" t="str">
        <f>IF(M405="","",IF(M405&lt;0,-M405&amp;"_"&amp;COUNTIF(M$2:M405,M405),M405&amp;"_"&amp;COUNTIF(M$2:M405,M405)))</f>
        <v>39480.91_1</v>
      </c>
      <c r="O405" s="17" t="str">
        <f t="shared" si="6"/>
        <v/>
      </c>
      <c r="P405" s="13" t="s">
        <v>2573</v>
      </c>
      <c r="Q405" s="13" t="s">
        <v>2574</v>
      </c>
      <c r="R405" s="13" t="s">
        <v>0</v>
      </c>
      <c r="S405" s="13" t="s">
        <v>0</v>
      </c>
      <c r="T405" s="13" t="s">
        <v>9</v>
      </c>
      <c r="U405" s="13" t="s">
        <v>0</v>
      </c>
      <c r="V405" s="13" t="s">
        <v>0</v>
      </c>
      <c r="W405" s="13" t="s">
        <v>0</v>
      </c>
      <c r="X405" s="13" t="s">
        <v>0</v>
      </c>
      <c r="Y405" s="13" t="s">
        <v>10</v>
      </c>
      <c r="Z405" s="13" t="s">
        <v>0</v>
      </c>
      <c r="AA405" s="14"/>
      <c r="AB405" s="13" t="s">
        <v>0</v>
      </c>
      <c r="AC405" s="13" t="s">
        <v>0</v>
      </c>
      <c r="AD405" s="13" t="s">
        <v>0</v>
      </c>
      <c r="AE405" s="15">
        <v>0</v>
      </c>
    </row>
    <row r="406" spans="1:31" ht="14.15" customHeight="1" x14ac:dyDescent="0.25">
      <c r="A406" s="12" t="s">
        <v>0</v>
      </c>
      <c r="B406" s="13" t="s">
        <v>1</v>
      </c>
      <c r="C406" s="13" t="s">
        <v>2172</v>
      </c>
      <c r="D406" s="14">
        <v>44209</v>
      </c>
      <c r="E406" s="14">
        <v>44209</v>
      </c>
      <c r="F406" s="14">
        <v>44228</v>
      </c>
      <c r="G406" s="13" t="s">
        <v>3</v>
      </c>
      <c r="H406" s="13" t="s">
        <v>4</v>
      </c>
      <c r="I406" s="15">
        <v>-39477.120000000003</v>
      </c>
      <c r="J406" s="13" t="s">
        <v>5</v>
      </c>
      <c r="K406" s="13" t="s">
        <v>6</v>
      </c>
      <c r="L406" s="15">
        <v>-3314104.22</v>
      </c>
      <c r="M406" s="15">
        <v>-39477.120000000003</v>
      </c>
      <c r="N406" s="16" t="str">
        <f>IF(M406="","",IF(M406&lt;0,-M406&amp;"_"&amp;COUNTIF(M$2:M406,M406),M406&amp;"_"&amp;COUNTIF(M$2:M406,M406)))</f>
        <v>39477.12_1</v>
      </c>
      <c r="O406" s="17" t="str">
        <f t="shared" si="6"/>
        <v/>
      </c>
      <c r="P406" s="13" t="s">
        <v>2173</v>
      </c>
      <c r="Q406" s="13" t="s">
        <v>2159</v>
      </c>
      <c r="R406" s="13" t="s">
        <v>0</v>
      </c>
      <c r="S406" s="13" t="s">
        <v>0</v>
      </c>
      <c r="T406" s="13" t="s">
        <v>9</v>
      </c>
      <c r="U406" s="13" t="s">
        <v>0</v>
      </c>
      <c r="V406" s="13" t="s">
        <v>0</v>
      </c>
      <c r="W406" s="13" t="s">
        <v>0</v>
      </c>
      <c r="X406" s="13" t="s">
        <v>0</v>
      </c>
      <c r="Y406" s="13" t="s">
        <v>10</v>
      </c>
      <c r="Z406" s="13" t="s">
        <v>0</v>
      </c>
      <c r="AA406" s="14"/>
      <c r="AB406" s="13" t="s">
        <v>0</v>
      </c>
      <c r="AC406" s="13" t="s">
        <v>0</v>
      </c>
      <c r="AD406" s="13" t="s">
        <v>0</v>
      </c>
      <c r="AE406" s="15">
        <v>0</v>
      </c>
    </row>
    <row r="407" spans="1:31" ht="14.15" customHeight="1" x14ac:dyDescent="0.25">
      <c r="A407" s="12" t="s">
        <v>0</v>
      </c>
      <c r="B407" s="13" t="s">
        <v>1</v>
      </c>
      <c r="C407" s="13" t="s">
        <v>793</v>
      </c>
      <c r="D407" s="14">
        <v>44101</v>
      </c>
      <c r="E407" s="14">
        <v>44101</v>
      </c>
      <c r="F407" s="14">
        <v>44107</v>
      </c>
      <c r="G407" s="13" t="s">
        <v>3</v>
      </c>
      <c r="H407" s="13" t="s">
        <v>4</v>
      </c>
      <c r="I407" s="15">
        <v>-39254.17</v>
      </c>
      <c r="J407" s="13" t="s">
        <v>5</v>
      </c>
      <c r="K407" s="13" t="s">
        <v>6</v>
      </c>
      <c r="L407" s="15">
        <v>-3295387.57</v>
      </c>
      <c r="M407" s="15">
        <v>-39254.17</v>
      </c>
      <c r="N407" s="16" t="str">
        <f>IF(M407="","",IF(M407&lt;0,-M407&amp;"_"&amp;COUNTIF(M$2:M407,M407),M407&amp;"_"&amp;COUNTIF(M$2:M407,M407)))</f>
        <v>39254.17_1</v>
      </c>
      <c r="O407" s="17" t="str">
        <f t="shared" si="6"/>
        <v/>
      </c>
      <c r="P407" s="13" t="s">
        <v>794</v>
      </c>
      <c r="Q407" s="13" t="s">
        <v>784</v>
      </c>
      <c r="R407" s="13" t="s">
        <v>0</v>
      </c>
      <c r="S407" s="13" t="s">
        <v>0</v>
      </c>
      <c r="T407" s="13" t="s">
        <v>9</v>
      </c>
      <c r="U407" s="13" t="s">
        <v>0</v>
      </c>
      <c r="V407" s="13" t="s">
        <v>0</v>
      </c>
      <c r="W407" s="13" t="s">
        <v>0</v>
      </c>
      <c r="X407" s="13" t="s">
        <v>0</v>
      </c>
      <c r="Y407" s="13" t="s">
        <v>10</v>
      </c>
      <c r="Z407" s="13" t="s">
        <v>0</v>
      </c>
      <c r="AA407" s="14"/>
      <c r="AB407" s="13" t="s">
        <v>0</v>
      </c>
      <c r="AC407" s="13" t="s">
        <v>0</v>
      </c>
      <c r="AD407" s="13" t="s">
        <v>0</v>
      </c>
      <c r="AE407" s="15">
        <v>0</v>
      </c>
    </row>
    <row r="408" spans="1:31" ht="14.15" customHeight="1" x14ac:dyDescent="0.25">
      <c r="A408" s="12" t="s">
        <v>0</v>
      </c>
      <c r="B408" s="13" t="s">
        <v>1</v>
      </c>
      <c r="C408" s="13" t="s">
        <v>793</v>
      </c>
      <c r="D408" s="14">
        <v>44101</v>
      </c>
      <c r="E408" s="14">
        <v>44101</v>
      </c>
      <c r="F408" s="14">
        <v>44107</v>
      </c>
      <c r="G408" s="13" t="s">
        <v>3</v>
      </c>
      <c r="H408" s="13" t="s">
        <v>4</v>
      </c>
      <c r="I408" s="15">
        <v>-39233.25</v>
      </c>
      <c r="J408" s="13" t="s">
        <v>5</v>
      </c>
      <c r="K408" s="13" t="s">
        <v>6</v>
      </c>
      <c r="L408" s="15">
        <v>-3293631.34</v>
      </c>
      <c r="M408" s="15">
        <v>-39233.25</v>
      </c>
      <c r="N408" s="16" t="str">
        <f>IF(M408="","",IF(M408&lt;0,-M408&amp;"_"&amp;COUNTIF(M$2:M408,M408),M408&amp;"_"&amp;COUNTIF(M$2:M408,M408)))</f>
        <v>39233.25_1</v>
      </c>
      <c r="O408" s="17" t="str">
        <f t="shared" si="6"/>
        <v/>
      </c>
      <c r="P408" s="13" t="s">
        <v>794</v>
      </c>
      <c r="Q408" s="13" t="s">
        <v>784</v>
      </c>
      <c r="R408" s="13" t="s">
        <v>0</v>
      </c>
      <c r="S408" s="13" t="s">
        <v>0</v>
      </c>
      <c r="T408" s="13" t="s">
        <v>9</v>
      </c>
      <c r="U408" s="13" t="s">
        <v>0</v>
      </c>
      <c r="V408" s="13" t="s">
        <v>0</v>
      </c>
      <c r="W408" s="13" t="s">
        <v>0</v>
      </c>
      <c r="X408" s="13" t="s">
        <v>0</v>
      </c>
      <c r="Y408" s="13" t="s">
        <v>10</v>
      </c>
      <c r="Z408" s="13" t="s">
        <v>0</v>
      </c>
      <c r="AA408" s="14"/>
      <c r="AB408" s="13" t="s">
        <v>0</v>
      </c>
      <c r="AC408" s="13" t="s">
        <v>0</v>
      </c>
      <c r="AD408" s="13" t="s">
        <v>0</v>
      </c>
      <c r="AE408" s="15">
        <v>0</v>
      </c>
    </row>
    <row r="409" spans="1:31" ht="14.15" customHeight="1" x14ac:dyDescent="0.25">
      <c r="A409" s="12" t="s">
        <v>0</v>
      </c>
      <c r="B409" s="13" t="s">
        <v>1</v>
      </c>
      <c r="C409" s="13" t="s">
        <v>793</v>
      </c>
      <c r="D409" s="14">
        <v>44101</v>
      </c>
      <c r="E409" s="14">
        <v>44101</v>
      </c>
      <c r="F409" s="14">
        <v>44107</v>
      </c>
      <c r="G409" s="13" t="s">
        <v>3</v>
      </c>
      <c r="H409" s="13" t="s">
        <v>4</v>
      </c>
      <c r="I409" s="15">
        <v>-39233.25</v>
      </c>
      <c r="J409" s="13" t="s">
        <v>5</v>
      </c>
      <c r="K409" s="13" t="s">
        <v>6</v>
      </c>
      <c r="L409" s="15">
        <v>-3293631.34</v>
      </c>
      <c r="M409" s="15">
        <v>-39233.25</v>
      </c>
      <c r="N409" s="16" t="str">
        <f>IF(M409="","",IF(M409&lt;0,-M409&amp;"_"&amp;COUNTIF(M$2:M409,M409),M409&amp;"_"&amp;COUNTIF(M$2:M409,M409)))</f>
        <v>39233.25_2</v>
      </c>
      <c r="O409" s="17" t="str">
        <f t="shared" si="6"/>
        <v/>
      </c>
      <c r="P409" s="13" t="s">
        <v>794</v>
      </c>
      <c r="Q409" s="13" t="s">
        <v>784</v>
      </c>
      <c r="R409" s="13" t="s">
        <v>0</v>
      </c>
      <c r="S409" s="13" t="s">
        <v>0</v>
      </c>
      <c r="T409" s="13" t="s">
        <v>9</v>
      </c>
      <c r="U409" s="13" t="s">
        <v>0</v>
      </c>
      <c r="V409" s="13" t="s">
        <v>0</v>
      </c>
      <c r="W409" s="13" t="s">
        <v>0</v>
      </c>
      <c r="X409" s="13" t="s">
        <v>0</v>
      </c>
      <c r="Y409" s="13" t="s">
        <v>10</v>
      </c>
      <c r="Z409" s="13" t="s">
        <v>0</v>
      </c>
      <c r="AA409" s="14"/>
      <c r="AB409" s="13" t="s">
        <v>0</v>
      </c>
      <c r="AC409" s="13" t="s">
        <v>0</v>
      </c>
      <c r="AD409" s="13" t="s">
        <v>0</v>
      </c>
      <c r="AE409" s="15">
        <v>0</v>
      </c>
    </row>
    <row r="410" spans="1:31" ht="14.15" customHeight="1" x14ac:dyDescent="0.25">
      <c r="A410" s="12" t="s">
        <v>0</v>
      </c>
      <c r="B410" s="13" t="s">
        <v>1</v>
      </c>
      <c r="C410" s="13" t="s">
        <v>109</v>
      </c>
      <c r="D410" s="14">
        <v>44025</v>
      </c>
      <c r="E410" s="14">
        <v>44025</v>
      </c>
      <c r="F410" s="14">
        <v>44030</v>
      </c>
      <c r="G410" s="13" t="s">
        <v>3</v>
      </c>
      <c r="H410" s="13" t="s">
        <v>4</v>
      </c>
      <c r="I410" s="15">
        <v>-39066.99</v>
      </c>
      <c r="J410" s="13" t="s">
        <v>5</v>
      </c>
      <c r="K410" s="13" t="s">
        <v>6</v>
      </c>
      <c r="L410" s="15">
        <v>-3279673.81</v>
      </c>
      <c r="M410" s="15">
        <v>-39066.99</v>
      </c>
      <c r="N410" s="16" t="str">
        <f>IF(M410="","",IF(M410&lt;0,-M410&amp;"_"&amp;COUNTIF(M$2:M410,M410),M410&amp;"_"&amp;COUNTIF(M$2:M410,M410)))</f>
        <v>39066.99_1</v>
      </c>
      <c r="O410" s="17" t="str">
        <f t="shared" si="6"/>
        <v/>
      </c>
      <c r="P410" s="13" t="s">
        <v>110</v>
      </c>
      <c r="Q410" s="13" t="s">
        <v>104</v>
      </c>
      <c r="R410" s="13" t="s">
        <v>0</v>
      </c>
      <c r="S410" s="13" t="s">
        <v>0</v>
      </c>
      <c r="T410" s="13" t="s">
        <v>9</v>
      </c>
      <c r="U410" s="13" t="s">
        <v>0</v>
      </c>
      <c r="V410" s="13" t="s">
        <v>0</v>
      </c>
      <c r="W410" s="13" t="s">
        <v>0</v>
      </c>
      <c r="X410" s="13" t="s">
        <v>0</v>
      </c>
      <c r="Y410" s="13" t="s">
        <v>10</v>
      </c>
      <c r="Z410" s="13" t="s">
        <v>0</v>
      </c>
      <c r="AA410" s="14"/>
      <c r="AB410" s="13" t="s">
        <v>0</v>
      </c>
      <c r="AC410" s="13" t="s">
        <v>0</v>
      </c>
      <c r="AD410" s="13" t="s">
        <v>0</v>
      </c>
      <c r="AE410" s="15">
        <v>0</v>
      </c>
    </row>
    <row r="411" spans="1:31" ht="14.15" customHeight="1" x14ac:dyDescent="0.25">
      <c r="A411" s="12" t="s">
        <v>0</v>
      </c>
      <c r="B411" s="13" t="s">
        <v>1</v>
      </c>
      <c r="C411" s="13" t="s">
        <v>3756</v>
      </c>
      <c r="D411" s="14">
        <v>44340</v>
      </c>
      <c r="E411" s="14">
        <v>44340</v>
      </c>
      <c r="F411" s="14">
        <v>44345</v>
      </c>
      <c r="G411" s="13" t="s">
        <v>3</v>
      </c>
      <c r="H411" s="13" t="s">
        <v>4</v>
      </c>
      <c r="I411" s="15">
        <v>-39000</v>
      </c>
      <c r="J411" s="13" t="s">
        <v>5</v>
      </c>
      <c r="K411" s="13" t="s">
        <v>6</v>
      </c>
      <c r="L411" s="15">
        <v>-3274050</v>
      </c>
      <c r="M411" s="15">
        <v>-39000</v>
      </c>
      <c r="N411" s="16" t="str">
        <f>IF(M411="","",IF(M411&lt;0,-M411&amp;"_"&amp;COUNTIF(M$2:M411,M411),M411&amp;"_"&amp;COUNTIF(M$2:M411,M411)))</f>
        <v>39000_1</v>
      </c>
      <c r="O411" s="17" t="str">
        <f t="shared" si="6"/>
        <v/>
      </c>
      <c r="P411" s="13" t="s">
        <v>3757</v>
      </c>
      <c r="Q411" s="13" t="s">
        <v>3753</v>
      </c>
      <c r="R411" s="13" t="s">
        <v>0</v>
      </c>
      <c r="S411" s="13" t="s">
        <v>0</v>
      </c>
      <c r="T411" s="13" t="s">
        <v>9</v>
      </c>
      <c r="U411" s="13" t="s">
        <v>0</v>
      </c>
      <c r="V411" s="13" t="s">
        <v>0</v>
      </c>
      <c r="W411" s="13" t="s">
        <v>0</v>
      </c>
      <c r="X411" s="13" t="s">
        <v>0</v>
      </c>
      <c r="Y411" s="13" t="s">
        <v>10</v>
      </c>
      <c r="Z411" s="13" t="s">
        <v>0</v>
      </c>
      <c r="AA411" s="14"/>
      <c r="AB411" s="13" t="s">
        <v>0</v>
      </c>
      <c r="AC411" s="13" t="s">
        <v>0</v>
      </c>
      <c r="AD411" s="13" t="s">
        <v>0</v>
      </c>
      <c r="AE411" s="15">
        <v>0</v>
      </c>
    </row>
    <row r="412" spans="1:31" ht="14.15" customHeight="1" x14ac:dyDescent="0.25">
      <c r="A412" s="12" t="s">
        <v>0</v>
      </c>
      <c r="B412" s="13" t="s">
        <v>1</v>
      </c>
      <c r="C412" s="13" t="s">
        <v>2197</v>
      </c>
      <c r="D412" s="14">
        <v>44210</v>
      </c>
      <c r="E412" s="14">
        <v>44210</v>
      </c>
      <c r="F412" s="14">
        <v>44217</v>
      </c>
      <c r="G412" s="13" t="s">
        <v>3</v>
      </c>
      <c r="H412" s="13" t="s">
        <v>4</v>
      </c>
      <c r="I412" s="15">
        <v>-38943.96</v>
      </c>
      <c r="J412" s="13" t="s">
        <v>5</v>
      </c>
      <c r="K412" s="13" t="s">
        <v>6</v>
      </c>
      <c r="L412" s="15">
        <v>-3269345.44</v>
      </c>
      <c r="M412" s="15">
        <v>-38943.96</v>
      </c>
      <c r="N412" s="16" t="str">
        <f>IF(M412="","",IF(M412&lt;0,-M412&amp;"_"&amp;COUNTIF(M$2:M412,M412),M412&amp;"_"&amp;COUNTIF(M$2:M412,M412)))</f>
        <v>38943.96_1</v>
      </c>
      <c r="O412" s="17" t="str">
        <f t="shared" si="6"/>
        <v/>
      </c>
      <c r="P412" s="13" t="s">
        <v>2198</v>
      </c>
      <c r="Q412" s="13" t="s">
        <v>2176</v>
      </c>
      <c r="R412" s="13" t="s">
        <v>0</v>
      </c>
      <c r="S412" s="13" t="s">
        <v>0</v>
      </c>
      <c r="T412" s="13" t="s">
        <v>9</v>
      </c>
      <c r="U412" s="13" t="s">
        <v>0</v>
      </c>
      <c r="V412" s="13" t="s">
        <v>0</v>
      </c>
      <c r="W412" s="13" t="s">
        <v>0</v>
      </c>
      <c r="X412" s="13" t="s">
        <v>0</v>
      </c>
      <c r="Y412" s="13" t="s">
        <v>10</v>
      </c>
      <c r="Z412" s="13" t="s">
        <v>0</v>
      </c>
      <c r="AA412" s="14"/>
      <c r="AB412" s="13" t="s">
        <v>0</v>
      </c>
      <c r="AC412" s="13" t="s">
        <v>0</v>
      </c>
      <c r="AD412" s="13" t="s">
        <v>0</v>
      </c>
      <c r="AE412" s="15">
        <v>0</v>
      </c>
    </row>
    <row r="413" spans="1:31" ht="14.15" customHeight="1" x14ac:dyDescent="0.25">
      <c r="A413" s="12" t="s">
        <v>0</v>
      </c>
      <c r="B413" s="13" t="s">
        <v>1</v>
      </c>
      <c r="C413" s="13" t="s">
        <v>2794</v>
      </c>
      <c r="D413" s="14">
        <v>44264</v>
      </c>
      <c r="E413" s="14">
        <v>44264</v>
      </c>
      <c r="F413" s="14">
        <v>44266</v>
      </c>
      <c r="G413" s="13" t="s">
        <v>3</v>
      </c>
      <c r="H413" s="13" t="s">
        <v>4</v>
      </c>
      <c r="I413" s="15">
        <v>-38809.65</v>
      </c>
      <c r="J413" s="13" t="s">
        <v>5</v>
      </c>
      <c r="K413" s="13" t="s">
        <v>6</v>
      </c>
      <c r="L413" s="15">
        <v>-3258070.12</v>
      </c>
      <c r="M413" s="15">
        <v>-38809.65</v>
      </c>
      <c r="N413" s="16" t="str">
        <f>IF(M413="","",IF(M413&lt;0,-M413&amp;"_"&amp;COUNTIF(M$2:M413,M413),M413&amp;"_"&amp;COUNTIF(M$2:M413,M413)))</f>
        <v>38809.65_1</v>
      </c>
      <c r="O413" s="17" t="str">
        <f t="shared" si="6"/>
        <v/>
      </c>
      <c r="P413" s="13" t="s">
        <v>2795</v>
      </c>
      <c r="Q413" s="13" t="s">
        <v>2796</v>
      </c>
      <c r="R413" s="13" t="s">
        <v>0</v>
      </c>
      <c r="S413" s="13" t="s">
        <v>0</v>
      </c>
      <c r="T413" s="13" t="s">
        <v>9</v>
      </c>
      <c r="U413" s="13" t="s">
        <v>0</v>
      </c>
      <c r="V413" s="13" t="s">
        <v>0</v>
      </c>
      <c r="W413" s="13" t="s">
        <v>0</v>
      </c>
      <c r="X413" s="13" t="s">
        <v>0</v>
      </c>
      <c r="Y413" s="13" t="s">
        <v>10</v>
      </c>
      <c r="Z413" s="13" t="s">
        <v>0</v>
      </c>
      <c r="AA413" s="14"/>
      <c r="AB413" s="13" t="s">
        <v>0</v>
      </c>
      <c r="AC413" s="13" t="s">
        <v>0</v>
      </c>
      <c r="AD413" s="13" t="s">
        <v>0</v>
      </c>
      <c r="AE413" s="15">
        <v>0</v>
      </c>
    </row>
    <row r="414" spans="1:31" ht="14.15" customHeight="1" x14ac:dyDescent="0.25">
      <c r="A414" s="12" t="s">
        <v>0</v>
      </c>
      <c r="B414" s="13" t="s">
        <v>1</v>
      </c>
      <c r="C414" s="13" t="s">
        <v>4369</v>
      </c>
      <c r="D414" s="14">
        <v>44376</v>
      </c>
      <c r="E414" s="14">
        <v>44376</v>
      </c>
      <c r="F414" s="14">
        <v>44384</v>
      </c>
      <c r="G414" s="13" t="s">
        <v>3</v>
      </c>
      <c r="H414" s="13" t="s">
        <v>4</v>
      </c>
      <c r="I414" s="15">
        <v>-38778.43</v>
      </c>
      <c r="J414" s="13" t="s">
        <v>5</v>
      </c>
      <c r="K414" s="13" t="s">
        <v>6</v>
      </c>
      <c r="L414" s="15">
        <v>-3255449.2</v>
      </c>
      <c r="M414" s="15">
        <v>-38778.43</v>
      </c>
      <c r="N414" s="16" t="str">
        <f>IF(M414="","",IF(M414&lt;0,-M414&amp;"_"&amp;COUNTIF(M$2:M414,M414),M414&amp;"_"&amp;COUNTIF(M$2:M414,M414)))</f>
        <v>38778.43_1</v>
      </c>
      <c r="O414" s="17" t="str">
        <f t="shared" si="6"/>
        <v/>
      </c>
      <c r="P414" s="13" t="s">
        <v>4370</v>
      </c>
      <c r="Q414" s="13" t="s">
        <v>4350</v>
      </c>
      <c r="R414" s="13" t="s">
        <v>0</v>
      </c>
      <c r="S414" s="13" t="s">
        <v>0</v>
      </c>
      <c r="T414" s="13" t="s">
        <v>9</v>
      </c>
      <c r="U414" s="13" t="s">
        <v>0</v>
      </c>
      <c r="V414" s="13" t="s">
        <v>0</v>
      </c>
      <c r="W414" s="13" t="s">
        <v>0</v>
      </c>
      <c r="X414" s="13" t="s">
        <v>0</v>
      </c>
      <c r="Y414" s="13" t="s">
        <v>10</v>
      </c>
      <c r="Z414" s="13" t="s">
        <v>0</v>
      </c>
      <c r="AA414" s="14"/>
      <c r="AB414" s="13" t="s">
        <v>0</v>
      </c>
      <c r="AC414" s="13" t="s">
        <v>0</v>
      </c>
      <c r="AD414" s="13" t="s">
        <v>0</v>
      </c>
      <c r="AE414" s="15">
        <v>0</v>
      </c>
    </row>
    <row r="415" spans="1:31" ht="14.15" customHeight="1" x14ac:dyDescent="0.25">
      <c r="A415" s="12" t="s">
        <v>0</v>
      </c>
      <c r="B415" s="13" t="s">
        <v>1</v>
      </c>
      <c r="C415" s="13" t="s">
        <v>1460</v>
      </c>
      <c r="D415" s="14">
        <v>44159</v>
      </c>
      <c r="E415" s="14">
        <v>44159</v>
      </c>
      <c r="F415" s="14">
        <v>44163</v>
      </c>
      <c r="G415" s="13" t="s">
        <v>3</v>
      </c>
      <c r="H415" s="13" t="s">
        <v>4</v>
      </c>
      <c r="I415" s="15">
        <v>-38701.96</v>
      </c>
      <c r="J415" s="13" t="s">
        <v>5</v>
      </c>
      <c r="K415" s="13" t="s">
        <v>6</v>
      </c>
      <c r="L415" s="15">
        <v>-3249029.54</v>
      </c>
      <c r="M415" s="15">
        <v>-38701.96</v>
      </c>
      <c r="N415" s="16" t="str">
        <f>IF(M415="","",IF(M415&lt;0,-M415&amp;"_"&amp;COUNTIF(M$2:M415,M415),M415&amp;"_"&amp;COUNTIF(M$2:M415,M415)))</f>
        <v>38701.96_1</v>
      </c>
      <c r="O415" s="17" t="str">
        <f t="shared" si="6"/>
        <v/>
      </c>
      <c r="P415" s="13" t="s">
        <v>1461</v>
      </c>
      <c r="Q415" s="13" t="s">
        <v>1455</v>
      </c>
      <c r="R415" s="13" t="s">
        <v>0</v>
      </c>
      <c r="S415" s="13" t="s">
        <v>0</v>
      </c>
      <c r="T415" s="13" t="s">
        <v>9</v>
      </c>
      <c r="U415" s="13" t="s">
        <v>0</v>
      </c>
      <c r="V415" s="13" t="s">
        <v>0</v>
      </c>
      <c r="W415" s="13" t="s">
        <v>0</v>
      </c>
      <c r="X415" s="13" t="s">
        <v>0</v>
      </c>
      <c r="Y415" s="13" t="s">
        <v>10</v>
      </c>
      <c r="Z415" s="13" t="s">
        <v>0</v>
      </c>
      <c r="AA415" s="14"/>
      <c r="AB415" s="13" t="s">
        <v>0</v>
      </c>
      <c r="AC415" s="13" t="s">
        <v>0</v>
      </c>
      <c r="AD415" s="13" t="s">
        <v>0</v>
      </c>
      <c r="AE415" s="15">
        <v>0</v>
      </c>
    </row>
    <row r="416" spans="1:31" ht="14.15" customHeight="1" x14ac:dyDescent="0.25">
      <c r="A416" s="12" t="s">
        <v>0</v>
      </c>
      <c r="B416" s="13" t="s">
        <v>1</v>
      </c>
      <c r="C416" s="13" t="s">
        <v>2177</v>
      </c>
      <c r="D416" s="14">
        <v>44210</v>
      </c>
      <c r="E416" s="14">
        <v>44210</v>
      </c>
      <c r="F416" s="14">
        <v>44216</v>
      </c>
      <c r="G416" s="13" t="s">
        <v>3</v>
      </c>
      <c r="H416" s="13" t="s">
        <v>4</v>
      </c>
      <c r="I416" s="15">
        <v>-38685.93</v>
      </c>
      <c r="J416" s="13" t="s">
        <v>5</v>
      </c>
      <c r="K416" s="13" t="s">
        <v>6</v>
      </c>
      <c r="L416" s="15">
        <v>-3247683.82</v>
      </c>
      <c r="M416" s="15">
        <v>-38685.93</v>
      </c>
      <c r="N416" s="16" t="str">
        <f>IF(M416="","",IF(M416&lt;0,-M416&amp;"_"&amp;COUNTIF(M$2:M416,M416),M416&amp;"_"&amp;COUNTIF(M$2:M416,M416)))</f>
        <v>38685.93_1</v>
      </c>
      <c r="O416" s="17" t="str">
        <f t="shared" si="6"/>
        <v/>
      </c>
      <c r="P416" s="13" t="s">
        <v>2178</v>
      </c>
      <c r="Q416" s="13" t="s">
        <v>2176</v>
      </c>
      <c r="R416" s="13" t="s">
        <v>0</v>
      </c>
      <c r="S416" s="13" t="s">
        <v>0</v>
      </c>
      <c r="T416" s="13" t="s">
        <v>9</v>
      </c>
      <c r="U416" s="13" t="s">
        <v>0</v>
      </c>
      <c r="V416" s="13" t="s">
        <v>0</v>
      </c>
      <c r="W416" s="13" t="s">
        <v>0</v>
      </c>
      <c r="X416" s="13" t="s">
        <v>0</v>
      </c>
      <c r="Y416" s="13" t="s">
        <v>10</v>
      </c>
      <c r="Z416" s="13" t="s">
        <v>0</v>
      </c>
      <c r="AA416" s="14"/>
      <c r="AB416" s="13" t="s">
        <v>0</v>
      </c>
      <c r="AC416" s="13" t="s">
        <v>0</v>
      </c>
      <c r="AD416" s="13" t="s">
        <v>0</v>
      </c>
      <c r="AE416" s="15">
        <v>0</v>
      </c>
    </row>
    <row r="417" spans="1:31" ht="14.15" customHeight="1" x14ac:dyDescent="0.25">
      <c r="A417" s="12" t="s">
        <v>0</v>
      </c>
      <c r="B417" s="13" t="s">
        <v>1</v>
      </c>
      <c r="C417" s="13" t="s">
        <v>2755</v>
      </c>
      <c r="D417" s="14">
        <v>44260</v>
      </c>
      <c r="E417" s="14">
        <v>44260</v>
      </c>
      <c r="F417" s="14">
        <v>44265</v>
      </c>
      <c r="G417" s="13" t="s">
        <v>3</v>
      </c>
      <c r="H417" s="13" t="s">
        <v>4</v>
      </c>
      <c r="I417" s="15">
        <v>-38676.82</v>
      </c>
      <c r="J417" s="13" t="s">
        <v>5</v>
      </c>
      <c r="K417" s="13" t="s">
        <v>6</v>
      </c>
      <c r="L417" s="15">
        <v>-3246919.04</v>
      </c>
      <c r="M417" s="15">
        <v>-38676.82</v>
      </c>
      <c r="N417" s="16" t="str">
        <f>IF(M417="","",IF(M417&lt;0,-M417&amp;"_"&amp;COUNTIF(M$2:M417,M417),M417&amp;"_"&amp;COUNTIF(M$2:M417,M417)))</f>
        <v>38676.82_1</v>
      </c>
      <c r="O417" s="17" t="str">
        <f t="shared" si="6"/>
        <v/>
      </c>
      <c r="P417" s="13" t="s">
        <v>2756</v>
      </c>
      <c r="Q417" s="13" t="s">
        <v>2746</v>
      </c>
      <c r="R417" s="13" t="s">
        <v>0</v>
      </c>
      <c r="S417" s="13" t="s">
        <v>0</v>
      </c>
      <c r="T417" s="13" t="s">
        <v>9</v>
      </c>
      <c r="U417" s="13" t="s">
        <v>0</v>
      </c>
      <c r="V417" s="13" t="s">
        <v>0</v>
      </c>
      <c r="W417" s="13" t="s">
        <v>0</v>
      </c>
      <c r="X417" s="13" t="s">
        <v>0</v>
      </c>
      <c r="Y417" s="13" t="s">
        <v>10</v>
      </c>
      <c r="Z417" s="13" t="s">
        <v>0</v>
      </c>
      <c r="AA417" s="14"/>
      <c r="AB417" s="13" t="s">
        <v>0</v>
      </c>
      <c r="AC417" s="13" t="s">
        <v>0</v>
      </c>
      <c r="AD417" s="13" t="s">
        <v>0</v>
      </c>
      <c r="AE417" s="15">
        <v>0</v>
      </c>
    </row>
    <row r="418" spans="1:31" ht="14.15" customHeight="1" x14ac:dyDescent="0.25">
      <c r="A418" s="12" t="s">
        <v>0</v>
      </c>
      <c r="B418" s="13" t="s">
        <v>1</v>
      </c>
      <c r="C418" s="13" t="s">
        <v>3053</v>
      </c>
      <c r="D418" s="14">
        <v>44283</v>
      </c>
      <c r="E418" s="14">
        <v>44283</v>
      </c>
      <c r="F418" s="14">
        <v>44290</v>
      </c>
      <c r="G418" s="13" t="s">
        <v>3</v>
      </c>
      <c r="H418" s="13" t="s">
        <v>4</v>
      </c>
      <c r="I418" s="15">
        <v>-38602.879999999997</v>
      </c>
      <c r="J418" s="13" t="s">
        <v>5</v>
      </c>
      <c r="K418" s="13" t="s">
        <v>6</v>
      </c>
      <c r="L418" s="15">
        <v>-3240711.78</v>
      </c>
      <c r="M418" s="15">
        <v>-38602.879999999997</v>
      </c>
      <c r="N418" s="16" t="str">
        <f>IF(M418="","",IF(M418&lt;0,-M418&amp;"_"&amp;COUNTIF(M$2:M418,M418),M418&amp;"_"&amp;COUNTIF(M$2:M418,M418)))</f>
        <v>38602.88_1</v>
      </c>
      <c r="O418" s="17" t="str">
        <f t="shared" si="6"/>
        <v/>
      </c>
      <c r="P418" s="13" t="s">
        <v>3054</v>
      </c>
      <c r="Q418" s="13" t="s">
        <v>3048</v>
      </c>
      <c r="R418" s="13" t="s">
        <v>0</v>
      </c>
      <c r="S418" s="13" t="s">
        <v>0</v>
      </c>
      <c r="T418" s="13" t="s">
        <v>9</v>
      </c>
      <c r="U418" s="13" t="s">
        <v>0</v>
      </c>
      <c r="V418" s="13" t="s">
        <v>0</v>
      </c>
      <c r="W418" s="13" t="s">
        <v>0</v>
      </c>
      <c r="X418" s="13" t="s">
        <v>0</v>
      </c>
      <c r="Y418" s="13" t="s">
        <v>10</v>
      </c>
      <c r="Z418" s="13" t="s">
        <v>0</v>
      </c>
      <c r="AA418" s="14"/>
      <c r="AB418" s="13" t="s">
        <v>0</v>
      </c>
      <c r="AC418" s="13" t="s">
        <v>0</v>
      </c>
      <c r="AD418" s="13" t="s">
        <v>0</v>
      </c>
      <c r="AE418" s="15">
        <v>0</v>
      </c>
    </row>
    <row r="419" spans="1:31" ht="14.15" customHeight="1" x14ac:dyDescent="0.25">
      <c r="A419" s="12" t="s">
        <v>0</v>
      </c>
      <c r="B419" s="13" t="s">
        <v>1</v>
      </c>
      <c r="C419" s="13" t="s">
        <v>2187</v>
      </c>
      <c r="D419" s="14">
        <v>44210</v>
      </c>
      <c r="E419" s="14">
        <v>44210</v>
      </c>
      <c r="F419" s="14">
        <v>44217</v>
      </c>
      <c r="G419" s="13" t="s">
        <v>3</v>
      </c>
      <c r="H419" s="13" t="s">
        <v>4</v>
      </c>
      <c r="I419" s="15">
        <v>-38517.269999999997</v>
      </c>
      <c r="J419" s="13" t="s">
        <v>5</v>
      </c>
      <c r="K419" s="13" t="s">
        <v>6</v>
      </c>
      <c r="L419" s="15">
        <v>-3233524.82</v>
      </c>
      <c r="M419" s="15">
        <v>-38517.269999999997</v>
      </c>
      <c r="N419" s="16" t="str">
        <f>IF(M419="","",IF(M419&lt;0,-M419&amp;"_"&amp;COUNTIF(M$2:M419,M419),M419&amp;"_"&amp;COUNTIF(M$2:M419,M419)))</f>
        <v>38517.27_1</v>
      </c>
      <c r="O419" s="17" t="str">
        <f t="shared" si="6"/>
        <v/>
      </c>
      <c r="P419" s="13" t="s">
        <v>2188</v>
      </c>
      <c r="Q419" s="13" t="s">
        <v>2176</v>
      </c>
      <c r="R419" s="13" t="s">
        <v>0</v>
      </c>
      <c r="S419" s="13" t="s">
        <v>0</v>
      </c>
      <c r="T419" s="13" t="s">
        <v>9</v>
      </c>
      <c r="U419" s="13" t="s">
        <v>0</v>
      </c>
      <c r="V419" s="13" t="s">
        <v>0</v>
      </c>
      <c r="W419" s="13" t="s">
        <v>0</v>
      </c>
      <c r="X419" s="13" t="s">
        <v>0</v>
      </c>
      <c r="Y419" s="13" t="s">
        <v>10</v>
      </c>
      <c r="Z419" s="13" t="s">
        <v>0</v>
      </c>
      <c r="AA419" s="14"/>
      <c r="AB419" s="13" t="s">
        <v>0</v>
      </c>
      <c r="AC419" s="13" t="s">
        <v>0</v>
      </c>
      <c r="AD419" s="13" t="s">
        <v>0</v>
      </c>
      <c r="AE419" s="15">
        <v>0</v>
      </c>
    </row>
    <row r="420" spans="1:31" ht="14.15" customHeight="1" x14ac:dyDescent="0.25">
      <c r="A420" s="12" t="s">
        <v>0</v>
      </c>
      <c r="B420" s="13" t="s">
        <v>1</v>
      </c>
      <c r="C420" s="13" t="s">
        <v>1318</v>
      </c>
      <c r="D420" s="14">
        <v>44147</v>
      </c>
      <c r="E420" s="14">
        <v>44147</v>
      </c>
      <c r="F420" s="14">
        <v>44153</v>
      </c>
      <c r="G420" s="13" t="s">
        <v>3</v>
      </c>
      <c r="H420" s="13" t="s">
        <v>4</v>
      </c>
      <c r="I420" s="15">
        <v>-38485.5</v>
      </c>
      <c r="J420" s="13" t="s">
        <v>5</v>
      </c>
      <c r="K420" s="13" t="s">
        <v>6</v>
      </c>
      <c r="L420" s="15">
        <v>-3230857.73</v>
      </c>
      <c r="M420" s="15">
        <v>-38485.5</v>
      </c>
      <c r="N420" s="16" t="str">
        <f>IF(M420="","",IF(M420&lt;0,-M420&amp;"_"&amp;COUNTIF(M$2:M420,M420),M420&amp;"_"&amp;COUNTIF(M$2:M420,M420)))</f>
        <v>38485.5_1</v>
      </c>
      <c r="O420" s="17" t="str">
        <f t="shared" si="6"/>
        <v/>
      </c>
      <c r="P420" s="13" t="s">
        <v>1319</v>
      </c>
      <c r="Q420" s="13" t="s">
        <v>1313</v>
      </c>
      <c r="R420" s="13" t="s">
        <v>0</v>
      </c>
      <c r="S420" s="13" t="s">
        <v>0</v>
      </c>
      <c r="T420" s="13" t="s">
        <v>9</v>
      </c>
      <c r="U420" s="13" t="s">
        <v>0</v>
      </c>
      <c r="V420" s="13" t="s">
        <v>0</v>
      </c>
      <c r="W420" s="13" t="s">
        <v>0</v>
      </c>
      <c r="X420" s="13" t="s">
        <v>0</v>
      </c>
      <c r="Y420" s="13" t="s">
        <v>10</v>
      </c>
      <c r="Z420" s="13" t="s">
        <v>0</v>
      </c>
      <c r="AA420" s="14"/>
      <c r="AB420" s="13" t="s">
        <v>0</v>
      </c>
      <c r="AC420" s="13" t="s">
        <v>0</v>
      </c>
      <c r="AD420" s="13" t="s">
        <v>0</v>
      </c>
      <c r="AE420" s="15">
        <v>0</v>
      </c>
    </row>
    <row r="421" spans="1:31" ht="14.15" customHeight="1" x14ac:dyDescent="0.25">
      <c r="A421" s="12" t="s">
        <v>0</v>
      </c>
      <c r="B421" s="13" t="s">
        <v>1</v>
      </c>
      <c r="C421" s="13" t="s">
        <v>735</v>
      </c>
      <c r="D421" s="14">
        <v>44095</v>
      </c>
      <c r="E421" s="14">
        <v>44095</v>
      </c>
      <c r="F421" s="14">
        <v>44100</v>
      </c>
      <c r="G421" s="13" t="s">
        <v>3</v>
      </c>
      <c r="H421" s="13" t="s">
        <v>4</v>
      </c>
      <c r="I421" s="15">
        <v>-38430.89</v>
      </c>
      <c r="J421" s="13" t="s">
        <v>5</v>
      </c>
      <c r="K421" s="13" t="s">
        <v>6</v>
      </c>
      <c r="L421" s="15">
        <v>-3226273.22</v>
      </c>
      <c r="M421" s="15">
        <v>-38430.89</v>
      </c>
      <c r="N421" s="16" t="str">
        <f>IF(M421="","",IF(M421&lt;0,-M421&amp;"_"&amp;COUNTIF(M$2:M421,M421),M421&amp;"_"&amp;COUNTIF(M$2:M421,M421)))</f>
        <v>38430.89_1</v>
      </c>
      <c r="O421" s="17" t="str">
        <f t="shared" si="6"/>
        <v/>
      </c>
      <c r="P421" s="13" t="s">
        <v>736</v>
      </c>
      <c r="Q421" s="13" t="s">
        <v>726</v>
      </c>
      <c r="R421" s="13" t="s">
        <v>0</v>
      </c>
      <c r="S421" s="13" t="s">
        <v>0</v>
      </c>
      <c r="T421" s="13" t="s">
        <v>9</v>
      </c>
      <c r="U421" s="13" t="s">
        <v>0</v>
      </c>
      <c r="V421" s="13" t="s">
        <v>0</v>
      </c>
      <c r="W421" s="13" t="s">
        <v>0</v>
      </c>
      <c r="X421" s="13" t="s">
        <v>0</v>
      </c>
      <c r="Y421" s="13" t="s">
        <v>10</v>
      </c>
      <c r="Z421" s="13" t="s">
        <v>0</v>
      </c>
      <c r="AA421" s="14"/>
      <c r="AB421" s="13" t="s">
        <v>0</v>
      </c>
      <c r="AC421" s="13" t="s">
        <v>0</v>
      </c>
      <c r="AD421" s="13" t="s">
        <v>0</v>
      </c>
      <c r="AE421" s="15">
        <v>0</v>
      </c>
    </row>
    <row r="422" spans="1:31" ht="14.15" customHeight="1" x14ac:dyDescent="0.25">
      <c r="A422" s="12" t="s">
        <v>0</v>
      </c>
      <c r="B422" s="13" t="s">
        <v>1</v>
      </c>
      <c r="C422" s="13" t="s">
        <v>3935</v>
      </c>
      <c r="D422" s="14">
        <v>44354</v>
      </c>
      <c r="E422" s="14">
        <v>44354</v>
      </c>
      <c r="F422" s="14">
        <v>44359</v>
      </c>
      <c r="G422" s="13" t="s">
        <v>3</v>
      </c>
      <c r="H422" s="13" t="s">
        <v>4</v>
      </c>
      <c r="I422" s="15">
        <v>-38385.58</v>
      </c>
      <c r="J422" s="13" t="s">
        <v>5</v>
      </c>
      <c r="K422" s="13" t="s">
        <v>6</v>
      </c>
      <c r="L422" s="15">
        <v>-3222469.44</v>
      </c>
      <c r="M422" s="15">
        <v>-38385.58</v>
      </c>
      <c r="N422" s="16" t="str">
        <f>IF(M422="","",IF(M422&lt;0,-M422&amp;"_"&amp;COUNTIF(M$2:M422,M422),M422&amp;"_"&amp;COUNTIF(M$2:M422,M422)))</f>
        <v>38385.58_1</v>
      </c>
      <c r="O422" s="17" t="str">
        <f t="shared" si="6"/>
        <v/>
      </c>
      <c r="P422" s="13" t="s">
        <v>3936</v>
      </c>
      <c r="Q422" s="13" t="s">
        <v>3914</v>
      </c>
      <c r="R422" s="13" t="s">
        <v>0</v>
      </c>
      <c r="S422" s="13" t="s">
        <v>0</v>
      </c>
      <c r="T422" s="13" t="s">
        <v>9</v>
      </c>
      <c r="U422" s="13" t="s">
        <v>0</v>
      </c>
      <c r="V422" s="13" t="s">
        <v>0</v>
      </c>
      <c r="W422" s="13" t="s">
        <v>0</v>
      </c>
      <c r="X422" s="13" t="s">
        <v>0</v>
      </c>
      <c r="Y422" s="13" t="s">
        <v>10</v>
      </c>
      <c r="Z422" s="13" t="s">
        <v>0</v>
      </c>
      <c r="AA422" s="14"/>
      <c r="AB422" s="13" t="s">
        <v>0</v>
      </c>
      <c r="AC422" s="13" t="s">
        <v>0</v>
      </c>
      <c r="AD422" s="13" t="s">
        <v>0</v>
      </c>
      <c r="AE422" s="15">
        <v>0</v>
      </c>
    </row>
    <row r="423" spans="1:31" ht="14.15" customHeight="1" x14ac:dyDescent="0.25">
      <c r="A423" s="12" t="s">
        <v>0</v>
      </c>
      <c r="B423" s="13" t="s">
        <v>1</v>
      </c>
      <c r="C423" s="13" t="s">
        <v>705</v>
      </c>
      <c r="D423" s="14">
        <v>44091</v>
      </c>
      <c r="E423" s="14">
        <v>44091</v>
      </c>
      <c r="F423" s="14">
        <v>44112</v>
      </c>
      <c r="G423" s="13" t="s">
        <v>3</v>
      </c>
      <c r="H423" s="13" t="s">
        <v>4</v>
      </c>
      <c r="I423" s="15">
        <v>-38372.92</v>
      </c>
      <c r="J423" s="13" t="s">
        <v>5</v>
      </c>
      <c r="K423" s="13" t="s">
        <v>6</v>
      </c>
      <c r="L423" s="15">
        <v>-3221406.63</v>
      </c>
      <c r="M423" s="15">
        <v>-38372.92</v>
      </c>
      <c r="N423" s="16" t="str">
        <f>IF(M423="","",IF(M423&lt;0,-M423&amp;"_"&amp;COUNTIF(M$2:M423,M423),M423&amp;"_"&amp;COUNTIF(M$2:M423,M423)))</f>
        <v>38372.92_1</v>
      </c>
      <c r="O423" s="17" t="str">
        <f t="shared" si="6"/>
        <v/>
      </c>
      <c r="P423" s="13" t="s">
        <v>706</v>
      </c>
      <c r="Q423" s="13" t="s">
        <v>704</v>
      </c>
      <c r="R423" s="13" t="s">
        <v>0</v>
      </c>
      <c r="S423" s="13" t="s">
        <v>0</v>
      </c>
      <c r="T423" s="13" t="s">
        <v>9</v>
      </c>
      <c r="U423" s="13" t="s">
        <v>0</v>
      </c>
      <c r="V423" s="13" t="s">
        <v>0</v>
      </c>
      <c r="W423" s="13" t="s">
        <v>0</v>
      </c>
      <c r="X423" s="13" t="s">
        <v>0</v>
      </c>
      <c r="Y423" s="13" t="s">
        <v>10</v>
      </c>
      <c r="Z423" s="13" t="s">
        <v>0</v>
      </c>
      <c r="AA423" s="14"/>
      <c r="AB423" s="13" t="s">
        <v>0</v>
      </c>
      <c r="AC423" s="13" t="s">
        <v>0</v>
      </c>
      <c r="AD423" s="13" t="s">
        <v>0</v>
      </c>
      <c r="AE423" s="15">
        <v>0</v>
      </c>
    </row>
    <row r="424" spans="1:31" ht="14.15" customHeight="1" x14ac:dyDescent="0.25">
      <c r="A424" s="12" t="s">
        <v>0</v>
      </c>
      <c r="B424" s="13" t="s">
        <v>1</v>
      </c>
      <c r="C424" s="13" t="s">
        <v>639</v>
      </c>
      <c r="D424" s="14">
        <v>44084</v>
      </c>
      <c r="E424" s="14">
        <v>44084</v>
      </c>
      <c r="F424" s="14">
        <v>44098</v>
      </c>
      <c r="G424" s="13" t="s">
        <v>3</v>
      </c>
      <c r="H424" s="13" t="s">
        <v>4</v>
      </c>
      <c r="I424" s="15">
        <v>-38371.89</v>
      </c>
      <c r="J424" s="13" t="s">
        <v>5</v>
      </c>
      <c r="K424" s="13" t="s">
        <v>6</v>
      </c>
      <c r="L424" s="15">
        <v>-3221320.16</v>
      </c>
      <c r="M424" s="15">
        <v>-38371.89</v>
      </c>
      <c r="N424" s="16" t="str">
        <f>IF(M424="","",IF(M424&lt;0,-M424&amp;"_"&amp;COUNTIF(M$2:M424,M424),M424&amp;"_"&amp;COUNTIF(M$2:M424,M424)))</f>
        <v>38371.89_1</v>
      </c>
      <c r="O424" s="17" t="str">
        <f t="shared" si="6"/>
        <v/>
      </c>
      <c r="P424" s="13" t="s">
        <v>640</v>
      </c>
      <c r="Q424" s="13" t="s">
        <v>641</v>
      </c>
      <c r="R424" s="13" t="s">
        <v>0</v>
      </c>
      <c r="S424" s="13" t="s">
        <v>0</v>
      </c>
      <c r="T424" s="13" t="s">
        <v>9</v>
      </c>
      <c r="U424" s="13" t="s">
        <v>0</v>
      </c>
      <c r="V424" s="13" t="s">
        <v>0</v>
      </c>
      <c r="W424" s="13" t="s">
        <v>0</v>
      </c>
      <c r="X424" s="13" t="s">
        <v>0</v>
      </c>
      <c r="Y424" s="13" t="s">
        <v>10</v>
      </c>
      <c r="Z424" s="13" t="s">
        <v>0</v>
      </c>
      <c r="AA424" s="14"/>
      <c r="AB424" s="13" t="s">
        <v>0</v>
      </c>
      <c r="AC424" s="13" t="s">
        <v>0</v>
      </c>
      <c r="AD424" s="13" t="s">
        <v>0</v>
      </c>
      <c r="AE424" s="15">
        <v>0</v>
      </c>
    </row>
    <row r="425" spans="1:31" ht="14.15" customHeight="1" x14ac:dyDescent="0.25">
      <c r="A425" s="12" t="s">
        <v>0</v>
      </c>
      <c r="B425" s="13" t="s">
        <v>1</v>
      </c>
      <c r="C425" s="13" t="s">
        <v>961</v>
      </c>
      <c r="D425" s="14">
        <v>44123</v>
      </c>
      <c r="E425" s="14">
        <v>44123</v>
      </c>
      <c r="F425" s="14">
        <v>44128</v>
      </c>
      <c r="G425" s="13" t="s">
        <v>3</v>
      </c>
      <c r="H425" s="13" t="s">
        <v>4</v>
      </c>
      <c r="I425" s="15">
        <v>-38335.019999999997</v>
      </c>
      <c r="J425" s="13" t="s">
        <v>5</v>
      </c>
      <c r="K425" s="13" t="s">
        <v>6</v>
      </c>
      <c r="L425" s="15">
        <v>-3218224.93</v>
      </c>
      <c r="M425" s="15">
        <v>-38335.019999999997</v>
      </c>
      <c r="N425" s="16" t="str">
        <f>IF(M425="","",IF(M425&lt;0,-M425&amp;"_"&amp;COUNTIF(M$2:M425,M425),M425&amp;"_"&amp;COUNTIF(M$2:M425,M425)))</f>
        <v>38335.02_1</v>
      </c>
      <c r="O425" s="17" t="str">
        <f t="shared" si="6"/>
        <v/>
      </c>
      <c r="P425" s="13" t="s">
        <v>962</v>
      </c>
      <c r="Q425" s="13" t="s">
        <v>958</v>
      </c>
      <c r="R425" s="13" t="s">
        <v>0</v>
      </c>
      <c r="S425" s="13" t="s">
        <v>0</v>
      </c>
      <c r="T425" s="13" t="s">
        <v>9</v>
      </c>
      <c r="U425" s="13" t="s">
        <v>0</v>
      </c>
      <c r="V425" s="13" t="s">
        <v>0</v>
      </c>
      <c r="W425" s="13" t="s">
        <v>0</v>
      </c>
      <c r="X425" s="13" t="s">
        <v>0</v>
      </c>
      <c r="Y425" s="13" t="s">
        <v>10</v>
      </c>
      <c r="Z425" s="13" t="s">
        <v>0</v>
      </c>
      <c r="AA425" s="14"/>
      <c r="AB425" s="13" t="s">
        <v>0</v>
      </c>
      <c r="AC425" s="13" t="s">
        <v>0</v>
      </c>
      <c r="AD425" s="13" t="s">
        <v>0</v>
      </c>
      <c r="AE425" s="15">
        <v>0</v>
      </c>
    </row>
    <row r="426" spans="1:31" ht="14.15" customHeight="1" x14ac:dyDescent="0.25">
      <c r="A426" s="12" t="s">
        <v>0</v>
      </c>
      <c r="B426" s="13" t="s">
        <v>1</v>
      </c>
      <c r="C426" s="13" t="s">
        <v>2836</v>
      </c>
      <c r="D426" s="14">
        <v>44270</v>
      </c>
      <c r="E426" s="14">
        <v>44270</v>
      </c>
      <c r="F426" s="14">
        <v>44272</v>
      </c>
      <c r="G426" s="13" t="s">
        <v>3</v>
      </c>
      <c r="H426" s="13" t="s">
        <v>4</v>
      </c>
      <c r="I426" s="15">
        <v>-38283.760000000002</v>
      </c>
      <c r="J426" s="13" t="s">
        <v>5</v>
      </c>
      <c r="K426" s="13" t="s">
        <v>6</v>
      </c>
      <c r="L426" s="15">
        <v>-3213921.65</v>
      </c>
      <c r="M426" s="15">
        <v>-38283.760000000002</v>
      </c>
      <c r="N426" s="16" t="str">
        <f>IF(M426="","",IF(M426&lt;0,-M426&amp;"_"&amp;COUNTIF(M$2:M426,M426),M426&amp;"_"&amp;COUNTIF(M$2:M426,M426)))</f>
        <v>38283.76_1</v>
      </c>
      <c r="O426" s="17" t="str">
        <f t="shared" si="6"/>
        <v/>
      </c>
      <c r="P426" s="13" t="s">
        <v>2837</v>
      </c>
      <c r="Q426" s="13" t="s">
        <v>2838</v>
      </c>
      <c r="R426" s="13" t="s">
        <v>0</v>
      </c>
      <c r="S426" s="13" t="s">
        <v>0</v>
      </c>
      <c r="T426" s="13" t="s">
        <v>9</v>
      </c>
      <c r="U426" s="13" t="s">
        <v>0</v>
      </c>
      <c r="V426" s="13" t="s">
        <v>0</v>
      </c>
      <c r="W426" s="13" t="s">
        <v>0</v>
      </c>
      <c r="X426" s="13" t="s">
        <v>0</v>
      </c>
      <c r="Y426" s="13" t="s">
        <v>10</v>
      </c>
      <c r="Z426" s="13" t="s">
        <v>0</v>
      </c>
      <c r="AA426" s="14"/>
      <c r="AB426" s="13" t="s">
        <v>0</v>
      </c>
      <c r="AC426" s="13" t="s">
        <v>0</v>
      </c>
      <c r="AD426" s="13" t="s">
        <v>0</v>
      </c>
      <c r="AE426" s="15">
        <v>0</v>
      </c>
    </row>
    <row r="427" spans="1:31" ht="14.15" customHeight="1" x14ac:dyDescent="0.25">
      <c r="A427" s="12" t="s">
        <v>0</v>
      </c>
      <c r="B427" s="13" t="s">
        <v>1</v>
      </c>
      <c r="C427" s="13" t="s">
        <v>3529</v>
      </c>
      <c r="D427" s="14">
        <v>44324</v>
      </c>
      <c r="E427" s="14">
        <v>44324</v>
      </c>
      <c r="F427" s="14">
        <v>44333</v>
      </c>
      <c r="G427" s="13" t="s">
        <v>3</v>
      </c>
      <c r="H427" s="13" t="s">
        <v>4</v>
      </c>
      <c r="I427" s="15">
        <v>-38265.08</v>
      </c>
      <c r="J427" s="13" t="s">
        <v>5</v>
      </c>
      <c r="K427" s="13" t="s">
        <v>6</v>
      </c>
      <c r="L427" s="15">
        <v>-3212353.47</v>
      </c>
      <c r="M427" s="15">
        <v>-38265.08</v>
      </c>
      <c r="N427" s="16" t="str">
        <f>IF(M427="","",IF(M427&lt;0,-M427&amp;"_"&amp;COUNTIF(M$2:M427,M427),M427&amp;"_"&amp;COUNTIF(M$2:M427,M427)))</f>
        <v>38265.08_1</v>
      </c>
      <c r="O427" s="17" t="str">
        <f t="shared" si="6"/>
        <v/>
      </c>
      <c r="P427" s="13" t="s">
        <v>3530</v>
      </c>
      <c r="Q427" s="13" t="s">
        <v>3512</v>
      </c>
      <c r="R427" s="13" t="s">
        <v>0</v>
      </c>
      <c r="S427" s="13" t="s">
        <v>0</v>
      </c>
      <c r="T427" s="13" t="s">
        <v>9</v>
      </c>
      <c r="U427" s="13" t="s">
        <v>0</v>
      </c>
      <c r="V427" s="13" t="s">
        <v>0</v>
      </c>
      <c r="W427" s="13" t="s">
        <v>0</v>
      </c>
      <c r="X427" s="13" t="s">
        <v>0</v>
      </c>
      <c r="Y427" s="13" t="s">
        <v>10</v>
      </c>
      <c r="Z427" s="13" t="s">
        <v>0</v>
      </c>
      <c r="AA427" s="14"/>
      <c r="AB427" s="13" t="s">
        <v>0</v>
      </c>
      <c r="AC427" s="13" t="s">
        <v>0</v>
      </c>
      <c r="AD427" s="13" t="s">
        <v>0</v>
      </c>
      <c r="AE427" s="15">
        <v>0</v>
      </c>
    </row>
    <row r="428" spans="1:31" ht="14.15" customHeight="1" x14ac:dyDescent="0.25">
      <c r="A428" s="12" t="s">
        <v>0</v>
      </c>
      <c r="B428" s="13" t="s">
        <v>1</v>
      </c>
      <c r="C428" s="13" t="s">
        <v>3213</v>
      </c>
      <c r="D428" s="14">
        <v>44303</v>
      </c>
      <c r="E428" s="14">
        <v>44303</v>
      </c>
      <c r="F428" s="14">
        <v>44308</v>
      </c>
      <c r="G428" s="13" t="s">
        <v>3</v>
      </c>
      <c r="H428" s="13" t="s">
        <v>4</v>
      </c>
      <c r="I428" s="15">
        <v>-38184.080000000002</v>
      </c>
      <c r="J428" s="13" t="s">
        <v>5</v>
      </c>
      <c r="K428" s="13" t="s">
        <v>6</v>
      </c>
      <c r="L428" s="15">
        <v>-3205553.52</v>
      </c>
      <c r="M428" s="15">
        <v>-38184.080000000002</v>
      </c>
      <c r="N428" s="16" t="str">
        <f>IF(M428="","",IF(M428&lt;0,-M428&amp;"_"&amp;COUNTIF(M$2:M428,M428),M428&amp;"_"&amp;COUNTIF(M$2:M428,M428)))</f>
        <v>38184.08_1</v>
      </c>
      <c r="O428" s="17" t="str">
        <f t="shared" si="6"/>
        <v/>
      </c>
      <c r="P428" s="13" t="s">
        <v>3214</v>
      </c>
      <c r="Q428" s="13" t="s">
        <v>3215</v>
      </c>
      <c r="R428" s="13" t="s">
        <v>0</v>
      </c>
      <c r="S428" s="13" t="s">
        <v>0</v>
      </c>
      <c r="T428" s="13" t="s">
        <v>9</v>
      </c>
      <c r="U428" s="13" t="s">
        <v>0</v>
      </c>
      <c r="V428" s="13" t="s">
        <v>0</v>
      </c>
      <c r="W428" s="13" t="s">
        <v>0</v>
      </c>
      <c r="X428" s="13" t="s">
        <v>0</v>
      </c>
      <c r="Y428" s="13" t="s">
        <v>10</v>
      </c>
      <c r="Z428" s="13" t="s">
        <v>0</v>
      </c>
      <c r="AA428" s="14"/>
      <c r="AB428" s="13" t="s">
        <v>0</v>
      </c>
      <c r="AC428" s="13" t="s">
        <v>0</v>
      </c>
      <c r="AD428" s="13" t="s">
        <v>0</v>
      </c>
      <c r="AE428" s="15">
        <v>0</v>
      </c>
    </row>
    <row r="429" spans="1:31" ht="14.15" customHeight="1" x14ac:dyDescent="0.25">
      <c r="A429" s="12" t="s">
        <v>0</v>
      </c>
      <c r="B429" s="13" t="s">
        <v>1</v>
      </c>
      <c r="C429" s="13" t="s">
        <v>2360</v>
      </c>
      <c r="D429" s="14">
        <v>44224</v>
      </c>
      <c r="E429" s="14">
        <v>44224</v>
      </c>
      <c r="F429" s="14">
        <v>44231</v>
      </c>
      <c r="G429" s="13" t="s">
        <v>3</v>
      </c>
      <c r="H429" s="13" t="s">
        <v>4</v>
      </c>
      <c r="I429" s="15">
        <v>-38078.589999999997</v>
      </c>
      <c r="J429" s="13" t="s">
        <v>5</v>
      </c>
      <c r="K429" s="13" t="s">
        <v>6</v>
      </c>
      <c r="L429" s="15">
        <v>-3196697.63</v>
      </c>
      <c r="M429" s="15">
        <v>-38078.589999999997</v>
      </c>
      <c r="N429" s="16" t="str">
        <f>IF(M429="","",IF(M429&lt;0,-M429&amp;"_"&amp;COUNTIF(M$2:M429,M429),M429&amp;"_"&amp;COUNTIF(M$2:M429,M429)))</f>
        <v>38078.59_1</v>
      </c>
      <c r="O429" s="17" t="str">
        <f t="shared" si="6"/>
        <v/>
      </c>
      <c r="P429" s="13" t="s">
        <v>2361</v>
      </c>
      <c r="Q429" s="13" t="s">
        <v>2345</v>
      </c>
      <c r="R429" s="13" t="s">
        <v>0</v>
      </c>
      <c r="S429" s="13" t="s">
        <v>0</v>
      </c>
      <c r="T429" s="13" t="s">
        <v>9</v>
      </c>
      <c r="U429" s="13" t="s">
        <v>0</v>
      </c>
      <c r="V429" s="13" t="s">
        <v>0</v>
      </c>
      <c r="W429" s="13" t="s">
        <v>0</v>
      </c>
      <c r="X429" s="13" t="s">
        <v>0</v>
      </c>
      <c r="Y429" s="13" t="s">
        <v>10</v>
      </c>
      <c r="Z429" s="13" t="s">
        <v>0</v>
      </c>
      <c r="AA429" s="14"/>
      <c r="AB429" s="13" t="s">
        <v>0</v>
      </c>
      <c r="AC429" s="13" t="s">
        <v>0</v>
      </c>
      <c r="AD429" s="13" t="s">
        <v>0</v>
      </c>
      <c r="AE429" s="15">
        <v>0</v>
      </c>
    </row>
    <row r="430" spans="1:31" ht="14.15" customHeight="1" x14ac:dyDescent="0.25">
      <c r="A430" s="12" t="s">
        <v>0</v>
      </c>
      <c r="B430" s="13" t="s">
        <v>1</v>
      </c>
      <c r="C430" s="13" t="s">
        <v>1054</v>
      </c>
      <c r="D430" s="14">
        <v>44131</v>
      </c>
      <c r="E430" s="14">
        <v>44131</v>
      </c>
      <c r="F430" s="14">
        <v>44138</v>
      </c>
      <c r="G430" s="13" t="s">
        <v>3</v>
      </c>
      <c r="H430" s="13" t="s">
        <v>4</v>
      </c>
      <c r="I430" s="15">
        <v>-37971.480000000003</v>
      </c>
      <c r="J430" s="13" t="s">
        <v>5</v>
      </c>
      <c r="K430" s="13" t="s">
        <v>6</v>
      </c>
      <c r="L430" s="15">
        <v>-3187705.75</v>
      </c>
      <c r="M430" s="15">
        <v>-37971.480000000003</v>
      </c>
      <c r="N430" s="16" t="str">
        <f>IF(M430="","",IF(M430&lt;0,-M430&amp;"_"&amp;COUNTIF(M$2:M430,M430),M430&amp;"_"&amp;COUNTIF(M$2:M430,M430)))</f>
        <v>37971.48_1</v>
      </c>
      <c r="O430" s="17" t="str">
        <f t="shared" si="6"/>
        <v/>
      </c>
      <c r="P430" s="13" t="s">
        <v>1055</v>
      </c>
      <c r="Q430" s="13" t="s">
        <v>1041</v>
      </c>
      <c r="R430" s="13" t="s">
        <v>0</v>
      </c>
      <c r="S430" s="13" t="s">
        <v>0</v>
      </c>
      <c r="T430" s="13" t="s">
        <v>9</v>
      </c>
      <c r="U430" s="13" t="s">
        <v>0</v>
      </c>
      <c r="V430" s="13" t="s">
        <v>0</v>
      </c>
      <c r="W430" s="13" t="s">
        <v>0</v>
      </c>
      <c r="X430" s="13" t="s">
        <v>0</v>
      </c>
      <c r="Y430" s="13" t="s">
        <v>10</v>
      </c>
      <c r="Z430" s="13" t="s">
        <v>0</v>
      </c>
      <c r="AA430" s="14"/>
      <c r="AB430" s="13" t="s">
        <v>0</v>
      </c>
      <c r="AC430" s="13" t="s">
        <v>0</v>
      </c>
      <c r="AD430" s="13" t="s">
        <v>0</v>
      </c>
      <c r="AE430" s="15">
        <v>0</v>
      </c>
    </row>
    <row r="431" spans="1:31" ht="14.15" customHeight="1" x14ac:dyDescent="0.25">
      <c r="A431" s="12" t="s">
        <v>0</v>
      </c>
      <c r="B431" s="13" t="s">
        <v>1</v>
      </c>
      <c r="C431" s="13" t="s">
        <v>4045</v>
      </c>
      <c r="D431" s="14">
        <v>44358</v>
      </c>
      <c r="E431" s="14">
        <v>44358</v>
      </c>
      <c r="F431" s="14">
        <v>44364</v>
      </c>
      <c r="G431" s="13" t="s">
        <v>3</v>
      </c>
      <c r="H431" s="13" t="s">
        <v>4</v>
      </c>
      <c r="I431" s="15">
        <v>-37810.339999999997</v>
      </c>
      <c r="J431" s="13" t="s">
        <v>5</v>
      </c>
      <c r="K431" s="13" t="s">
        <v>6</v>
      </c>
      <c r="L431" s="15">
        <v>-3174178.04</v>
      </c>
      <c r="M431" s="15">
        <v>-37810.339999999997</v>
      </c>
      <c r="N431" s="16" t="str">
        <f>IF(M431="","",IF(M431&lt;0,-M431&amp;"_"&amp;COUNTIF(M$2:M431,M431),M431&amp;"_"&amp;COUNTIF(M$2:M431,M431)))</f>
        <v>37810.34_1</v>
      </c>
      <c r="O431" s="17" t="str">
        <f t="shared" si="6"/>
        <v/>
      </c>
      <c r="P431" s="13" t="s">
        <v>4046</v>
      </c>
      <c r="Q431" s="13" t="s">
        <v>4006</v>
      </c>
      <c r="R431" s="13" t="s">
        <v>0</v>
      </c>
      <c r="S431" s="13" t="s">
        <v>0</v>
      </c>
      <c r="T431" s="13" t="s">
        <v>9</v>
      </c>
      <c r="U431" s="13" t="s">
        <v>0</v>
      </c>
      <c r="V431" s="13" t="s">
        <v>0</v>
      </c>
      <c r="W431" s="13" t="s">
        <v>0</v>
      </c>
      <c r="X431" s="13" t="s">
        <v>0</v>
      </c>
      <c r="Y431" s="13" t="s">
        <v>10</v>
      </c>
      <c r="Z431" s="13" t="s">
        <v>0</v>
      </c>
      <c r="AA431" s="14"/>
      <c r="AB431" s="13" t="s">
        <v>0</v>
      </c>
      <c r="AC431" s="13" t="s">
        <v>0</v>
      </c>
      <c r="AD431" s="13" t="s">
        <v>0</v>
      </c>
      <c r="AE431" s="15">
        <v>0</v>
      </c>
    </row>
    <row r="432" spans="1:31" ht="14.15" customHeight="1" x14ac:dyDescent="0.25">
      <c r="A432" s="12" t="s">
        <v>0</v>
      </c>
      <c r="B432" s="13" t="s">
        <v>1</v>
      </c>
      <c r="C432" s="13" t="s">
        <v>1278</v>
      </c>
      <c r="D432" s="14">
        <v>44145</v>
      </c>
      <c r="E432" s="14">
        <v>44145</v>
      </c>
      <c r="F432" s="14">
        <v>44153</v>
      </c>
      <c r="G432" s="13" t="s">
        <v>3</v>
      </c>
      <c r="H432" s="13" t="s">
        <v>4</v>
      </c>
      <c r="I432" s="15">
        <v>-37799.4</v>
      </c>
      <c r="J432" s="13" t="s">
        <v>5</v>
      </c>
      <c r="K432" s="13" t="s">
        <v>6</v>
      </c>
      <c r="L432" s="15">
        <v>-3173259.63</v>
      </c>
      <c r="M432" s="15">
        <v>-37799.4</v>
      </c>
      <c r="N432" s="16" t="str">
        <f>IF(M432="","",IF(M432&lt;0,-M432&amp;"_"&amp;COUNTIF(M$2:M432,M432),M432&amp;"_"&amp;COUNTIF(M$2:M432,M432)))</f>
        <v>37799.4_1</v>
      </c>
      <c r="O432" s="17" t="str">
        <f t="shared" si="6"/>
        <v/>
      </c>
      <c r="P432" s="13" t="s">
        <v>1279</v>
      </c>
      <c r="Q432" s="13" t="s">
        <v>1277</v>
      </c>
      <c r="R432" s="13" t="s">
        <v>0</v>
      </c>
      <c r="S432" s="13" t="s">
        <v>0</v>
      </c>
      <c r="T432" s="13" t="s">
        <v>9</v>
      </c>
      <c r="U432" s="13" t="s">
        <v>0</v>
      </c>
      <c r="V432" s="13" t="s">
        <v>0</v>
      </c>
      <c r="W432" s="13" t="s">
        <v>0</v>
      </c>
      <c r="X432" s="13" t="s">
        <v>0</v>
      </c>
      <c r="Y432" s="13" t="s">
        <v>10</v>
      </c>
      <c r="Z432" s="13" t="s">
        <v>0</v>
      </c>
      <c r="AA432" s="14"/>
      <c r="AB432" s="13" t="s">
        <v>0</v>
      </c>
      <c r="AC432" s="13" t="s">
        <v>0</v>
      </c>
      <c r="AD432" s="13" t="s">
        <v>0</v>
      </c>
      <c r="AE432" s="15">
        <v>0</v>
      </c>
    </row>
    <row r="433" spans="1:31" ht="14.15" customHeight="1" x14ac:dyDescent="0.25">
      <c r="A433" s="12" t="s">
        <v>0</v>
      </c>
      <c r="B433" s="13" t="s">
        <v>1</v>
      </c>
      <c r="C433" s="13" t="s">
        <v>4308</v>
      </c>
      <c r="D433" s="14">
        <v>44371</v>
      </c>
      <c r="E433" s="14">
        <v>44371</v>
      </c>
      <c r="F433" s="14">
        <v>44377</v>
      </c>
      <c r="G433" s="13" t="s">
        <v>3</v>
      </c>
      <c r="H433" s="13" t="s">
        <v>4</v>
      </c>
      <c r="I433" s="15">
        <v>-37790.42</v>
      </c>
      <c r="J433" s="13" t="s">
        <v>5</v>
      </c>
      <c r="K433" s="13" t="s">
        <v>6</v>
      </c>
      <c r="L433" s="15">
        <v>-3172505.76</v>
      </c>
      <c r="M433" s="15">
        <v>-37790.42</v>
      </c>
      <c r="N433" s="16" t="str">
        <f>IF(M433="","",IF(M433&lt;0,-M433&amp;"_"&amp;COUNTIF(M$2:M433,M433),M433&amp;"_"&amp;COUNTIF(M$2:M433,M433)))</f>
        <v>37790.42_1</v>
      </c>
      <c r="O433" s="17" t="str">
        <f t="shared" si="6"/>
        <v/>
      </c>
      <c r="P433" s="13" t="s">
        <v>4309</v>
      </c>
      <c r="Q433" s="13" t="s">
        <v>4307</v>
      </c>
      <c r="R433" s="13" t="s">
        <v>0</v>
      </c>
      <c r="S433" s="13" t="s">
        <v>0</v>
      </c>
      <c r="T433" s="13" t="s">
        <v>9</v>
      </c>
      <c r="U433" s="13" t="s">
        <v>0</v>
      </c>
      <c r="V433" s="13" t="s">
        <v>0</v>
      </c>
      <c r="W433" s="13" t="s">
        <v>0</v>
      </c>
      <c r="X433" s="13" t="s">
        <v>0</v>
      </c>
      <c r="Y433" s="13" t="s">
        <v>10</v>
      </c>
      <c r="Z433" s="13" t="s">
        <v>0</v>
      </c>
      <c r="AA433" s="14"/>
      <c r="AB433" s="13" t="s">
        <v>0</v>
      </c>
      <c r="AC433" s="13" t="s">
        <v>0</v>
      </c>
      <c r="AD433" s="13" t="s">
        <v>0</v>
      </c>
      <c r="AE433" s="15">
        <v>0</v>
      </c>
    </row>
    <row r="434" spans="1:31" ht="14.15" customHeight="1" x14ac:dyDescent="0.25">
      <c r="A434" s="12" t="s">
        <v>0</v>
      </c>
      <c r="B434" s="13" t="s">
        <v>1</v>
      </c>
      <c r="C434" s="13" t="s">
        <v>4039</v>
      </c>
      <c r="D434" s="14">
        <v>44358</v>
      </c>
      <c r="E434" s="14">
        <v>44358</v>
      </c>
      <c r="F434" s="14">
        <v>44364</v>
      </c>
      <c r="G434" s="13" t="s">
        <v>3</v>
      </c>
      <c r="H434" s="13" t="s">
        <v>4</v>
      </c>
      <c r="I434" s="15">
        <v>-37608.589999999997</v>
      </c>
      <c r="J434" s="13" t="s">
        <v>5</v>
      </c>
      <c r="K434" s="13" t="s">
        <v>6</v>
      </c>
      <c r="L434" s="15">
        <v>-3157241.13</v>
      </c>
      <c r="M434" s="15">
        <v>-37608.589999999997</v>
      </c>
      <c r="N434" s="16" t="str">
        <f>IF(M434="","",IF(M434&lt;0,-M434&amp;"_"&amp;COUNTIF(M$2:M434,M434),M434&amp;"_"&amp;COUNTIF(M$2:M434,M434)))</f>
        <v>37608.59_1</v>
      </c>
      <c r="O434" s="17" t="str">
        <f t="shared" si="6"/>
        <v/>
      </c>
      <c r="P434" s="13" t="s">
        <v>4040</v>
      </c>
      <c r="Q434" s="13" t="s">
        <v>4006</v>
      </c>
      <c r="R434" s="13" t="s">
        <v>0</v>
      </c>
      <c r="S434" s="13" t="s">
        <v>0</v>
      </c>
      <c r="T434" s="13" t="s">
        <v>9</v>
      </c>
      <c r="U434" s="13" t="s">
        <v>0</v>
      </c>
      <c r="V434" s="13" t="s">
        <v>0</v>
      </c>
      <c r="W434" s="13" t="s">
        <v>0</v>
      </c>
      <c r="X434" s="13" t="s">
        <v>0</v>
      </c>
      <c r="Y434" s="13" t="s">
        <v>10</v>
      </c>
      <c r="Z434" s="13" t="s">
        <v>0</v>
      </c>
      <c r="AA434" s="14"/>
      <c r="AB434" s="13" t="s">
        <v>0</v>
      </c>
      <c r="AC434" s="13" t="s">
        <v>0</v>
      </c>
      <c r="AD434" s="13" t="s">
        <v>0</v>
      </c>
      <c r="AE434" s="15">
        <v>0</v>
      </c>
    </row>
    <row r="435" spans="1:31" ht="14.15" customHeight="1" x14ac:dyDescent="0.25">
      <c r="A435" s="12" t="s">
        <v>0</v>
      </c>
      <c r="B435" s="13" t="s">
        <v>1</v>
      </c>
      <c r="C435" s="13" t="s">
        <v>3501</v>
      </c>
      <c r="D435" s="14">
        <v>44323</v>
      </c>
      <c r="E435" s="14">
        <v>44323</v>
      </c>
      <c r="F435" s="14">
        <v>44326</v>
      </c>
      <c r="G435" s="13" t="s">
        <v>3</v>
      </c>
      <c r="H435" s="13" t="s">
        <v>4</v>
      </c>
      <c r="I435" s="15">
        <v>-37593.72</v>
      </c>
      <c r="J435" s="13" t="s">
        <v>5</v>
      </c>
      <c r="K435" s="13" t="s">
        <v>6</v>
      </c>
      <c r="L435" s="15">
        <v>-3155992.79</v>
      </c>
      <c r="M435" s="15">
        <v>-37593.72</v>
      </c>
      <c r="N435" s="16" t="str">
        <f>IF(M435="","",IF(M435&lt;0,-M435&amp;"_"&amp;COUNTIF(M$2:M435,M435),M435&amp;"_"&amp;COUNTIF(M$2:M435,M435)))</f>
        <v>37593.72_1</v>
      </c>
      <c r="O435" s="17" t="str">
        <f t="shared" si="6"/>
        <v/>
      </c>
      <c r="P435" s="13" t="s">
        <v>3502</v>
      </c>
      <c r="Q435" s="13" t="s">
        <v>3503</v>
      </c>
      <c r="R435" s="13" t="s">
        <v>0</v>
      </c>
      <c r="S435" s="13" t="s">
        <v>0</v>
      </c>
      <c r="T435" s="13" t="s">
        <v>9</v>
      </c>
      <c r="U435" s="13" t="s">
        <v>0</v>
      </c>
      <c r="V435" s="13" t="s">
        <v>0</v>
      </c>
      <c r="W435" s="13" t="s">
        <v>0</v>
      </c>
      <c r="X435" s="13" t="s">
        <v>0</v>
      </c>
      <c r="Y435" s="13" t="s">
        <v>10</v>
      </c>
      <c r="Z435" s="13" t="s">
        <v>0</v>
      </c>
      <c r="AA435" s="14"/>
      <c r="AB435" s="13" t="s">
        <v>0</v>
      </c>
      <c r="AC435" s="13" t="s">
        <v>0</v>
      </c>
      <c r="AD435" s="13" t="s">
        <v>0</v>
      </c>
      <c r="AE435" s="15">
        <v>0</v>
      </c>
    </row>
    <row r="436" spans="1:31" ht="14.15" customHeight="1" x14ac:dyDescent="0.25">
      <c r="A436" s="12" t="s">
        <v>0</v>
      </c>
      <c r="B436" s="13" t="s">
        <v>1</v>
      </c>
      <c r="C436" s="13" t="s">
        <v>2728</v>
      </c>
      <c r="D436" s="14">
        <v>44256</v>
      </c>
      <c r="E436" s="14">
        <v>44256</v>
      </c>
      <c r="F436" s="14">
        <v>44265</v>
      </c>
      <c r="G436" s="13" t="s">
        <v>3</v>
      </c>
      <c r="H436" s="13" t="s">
        <v>4</v>
      </c>
      <c r="I436" s="15">
        <v>-37490.15</v>
      </c>
      <c r="J436" s="13" t="s">
        <v>5</v>
      </c>
      <c r="K436" s="13" t="s">
        <v>6</v>
      </c>
      <c r="L436" s="15">
        <v>-3147298.09</v>
      </c>
      <c r="M436" s="15">
        <v>-37490.15</v>
      </c>
      <c r="N436" s="16" t="str">
        <f>IF(M436="","",IF(M436&lt;0,-M436&amp;"_"&amp;COUNTIF(M$2:M436,M436),M436&amp;"_"&amp;COUNTIF(M$2:M436,M436)))</f>
        <v>37490.15_1</v>
      </c>
      <c r="O436" s="17" t="str">
        <f t="shared" si="6"/>
        <v/>
      </c>
      <c r="P436" s="13" t="s">
        <v>2729</v>
      </c>
      <c r="Q436" s="13" t="s">
        <v>2730</v>
      </c>
      <c r="R436" s="13" t="s">
        <v>0</v>
      </c>
      <c r="S436" s="13" t="s">
        <v>0</v>
      </c>
      <c r="T436" s="13" t="s">
        <v>9</v>
      </c>
      <c r="U436" s="13" t="s">
        <v>0</v>
      </c>
      <c r="V436" s="13" t="s">
        <v>0</v>
      </c>
      <c r="W436" s="13" t="s">
        <v>0</v>
      </c>
      <c r="X436" s="13" t="s">
        <v>0</v>
      </c>
      <c r="Y436" s="13" t="s">
        <v>10</v>
      </c>
      <c r="Z436" s="13" t="s">
        <v>0</v>
      </c>
      <c r="AA436" s="14"/>
      <c r="AB436" s="13" t="s">
        <v>0</v>
      </c>
      <c r="AC436" s="13" t="s">
        <v>0</v>
      </c>
      <c r="AD436" s="13" t="s">
        <v>0</v>
      </c>
      <c r="AE436" s="15">
        <v>0</v>
      </c>
    </row>
    <row r="437" spans="1:31" ht="14.15" customHeight="1" x14ac:dyDescent="0.25">
      <c r="A437" s="12" t="s">
        <v>0</v>
      </c>
      <c r="B437" s="13" t="s">
        <v>1</v>
      </c>
      <c r="C437" s="13" t="s">
        <v>618</v>
      </c>
      <c r="D437" s="14">
        <v>44082</v>
      </c>
      <c r="E437" s="14">
        <v>44082</v>
      </c>
      <c r="F437" s="14">
        <v>44086</v>
      </c>
      <c r="G437" s="13" t="s">
        <v>3</v>
      </c>
      <c r="H437" s="13" t="s">
        <v>4</v>
      </c>
      <c r="I437" s="15">
        <v>-37436.99</v>
      </c>
      <c r="J437" s="13" t="s">
        <v>5</v>
      </c>
      <c r="K437" s="13" t="s">
        <v>6</v>
      </c>
      <c r="L437" s="15">
        <v>-3142835.31</v>
      </c>
      <c r="M437" s="15">
        <v>-37436.99</v>
      </c>
      <c r="N437" s="16" t="str">
        <f>IF(M437="","",IF(M437&lt;0,-M437&amp;"_"&amp;COUNTIF(M$2:M437,M437),M437&amp;"_"&amp;COUNTIF(M$2:M437,M437)))</f>
        <v>37436.99_1</v>
      </c>
      <c r="O437" s="17" t="str">
        <f t="shared" si="6"/>
        <v/>
      </c>
      <c r="P437" s="13" t="s">
        <v>619</v>
      </c>
      <c r="Q437" s="13" t="s">
        <v>603</v>
      </c>
      <c r="R437" s="13" t="s">
        <v>0</v>
      </c>
      <c r="S437" s="13" t="s">
        <v>0</v>
      </c>
      <c r="T437" s="13" t="s">
        <v>9</v>
      </c>
      <c r="U437" s="13" t="s">
        <v>0</v>
      </c>
      <c r="V437" s="13" t="s">
        <v>0</v>
      </c>
      <c r="W437" s="13" t="s">
        <v>0</v>
      </c>
      <c r="X437" s="13" t="s">
        <v>0</v>
      </c>
      <c r="Y437" s="13" t="s">
        <v>10</v>
      </c>
      <c r="Z437" s="13" t="s">
        <v>0</v>
      </c>
      <c r="AA437" s="14"/>
      <c r="AB437" s="13" t="s">
        <v>0</v>
      </c>
      <c r="AC437" s="13" t="s">
        <v>0</v>
      </c>
      <c r="AD437" s="13" t="s">
        <v>0</v>
      </c>
      <c r="AE437" s="15">
        <v>0</v>
      </c>
    </row>
    <row r="438" spans="1:31" ht="14.15" customHeight="1" x14ac:dyDescent="0.25">
      <c r="A438" s="12" t="s">
        <v>0</v>
      </c>
      <c r="B438" s="13" t="s">
        <v>1</v>
      </c>
      <c r="C438" s="13" t="s">
        <v>146</v>
      </c>
      <c r="D438" s="14">
        <v>44030</v>
      </c>
      <c r="E438" s="14">
        <v>44030</v>
      </c>
      <c r="F438" s="14">
        <v>44034</v>
      </c>
      <c r="G438" s="13" t="s">
        <v>3</v>
      </c>
      <c r="H438" s="13" t="s">
        <v>4</v>
      </c>
      <c r="I438" s="15">
        <v>-37320.36</v>
      </c>
      <c r="J438" s="13" t="s">
        <v>5</v>
      </c>
      <c r="K438" s="13" t="s">
        <v>6</v>
      </c>
      <c r="L438" s="15">
        <v>-3133044.22</v>
      </c>
      <c r="M438" s="15">
        <v>-37320.36</v>
      </c>
      <c r="N438" s="16" t="str">
        <f>IF(M438="","",IF(M438&lt;0,-M438&amp;"_"&amp;COUNTIF(M$2:M438,M438),M438&amp;"_"&amp;COUNTIF(M$2:M438,M438)))</f>
        <v>37320.36_1</v>
      </c>
      <c r="O438" s="17" t="str">
        <f t="shared" si="6"/>
        <v/>
      </c>
      <c r="P438" s="13" t="s">
        <v>147</v>
      </c>
      <c r="Q438" s="13" t="s">
        <v>145</v>
      </c>
      <c r="R438" s="13" t="s">
        <v>0</v>
      </c>
      <c r="S438" s="13" t="s">
        <v>0</v>
      </c>
      <c r="T438" s="13" t="s">
        <v>9</v>
      </c>
      <c r="U438" s="13" t="s">
        <v>0</v>
      </c>
      <c r="V438" s="13" t="s">
        <v>0</v>
      </c>
      <c r="W438" s="13" t="s">
        <v>0</v>
      </c>
      <c r="X438" s="13" t="s">
        <v>0</v>
      </c>
      <c r="Y438" s="13" t="s">
        <v>10</v>
      </c>
      <c r="Z438" s="13" t="s">
        <v>0</v>
      </c>
      <c r="AA438" s="14"/>
      <c r="AB438" s="13" t="s">
        <v>0</v>
      </c>
      <c r="AC438" s="13" t="s">
        <v>0</v>
      </c>
      <c r="AD438" s="13" t="s">
        <v>0</v>
      </c>
      <c r="AE438" s="15">
        <v>0</v>
      </c>
    </row>
    <row r="439" spans="1:31" ht="14.15" customHeight="1" x14ac:dyDescent="0.25">
      <c r="A439" s="12" t="s">
        <v>0</v>
      </c>
      <c r="B439" s="13" t="s">
        <v>1</v>
      </c>
      <c r="C439" s="13" t="s">
        <v>741</v>
      </c>
      <c r="D439" s="14">
        <v>44095</v>
      </c>
      <c r="E439" s="14">
        <v>44095</v>
      </c>
      <c r="F439" s="14">
        <v>44100</v>
      </c>
      <c r="G439" s="13" t="s">
        <v>3</v>
      </c>
      <c r="H439" s="13" t="s">
        <v>4</v>
      </c>
      <c r="I439" s="15">
        <v>-37276.61</v>
      </c>
      <c r="J439" s="13" t="s">
        <v>5</v>
      </c>
      <c r="K439" s="13" t="s">
        <v>6</v>
      </c>
      <c r="L439" s="15">
        <v>-3129371.41</v>
      </c>
      <c r="M439" s="15">
        <v>-37276.61</v>
      </c>
      <c r="N439" s="16" t="str">
        <f>IF(M439="","",IF(M439&lt;0,-M439&amp;"_"&amp;COUNTIF(M$2:M439,M439),M439&amp;"_"&amp;COUNTIF(M$2:M439,M439)))</f>
        <v>37276.61_1</v>
      </c>
      <c r="O439" s="17" t="str">
        <f t="shared" si="6"/>
        <v/>
      </c>
      <c r="P439" s="13" t="s">
        <v>742</v>
      </c>
      <c r="Q439" s="13" t="s">
        <v>726</v>
      </c>
      <c r="R439" s="13" t="s">
        <v>0</v>
      </c>
      <c r="S439" s="13" t="s">
        <v>0</v>
      </c>
      <c r="T439" s="13" t="s">
        <v>9</v>
      </c>
      <c r="U439" s="13" t="s">
        <v>0</v>
      </c>
      <c r="V439" s="13" t="s">
        <v>0</v>
      </c>
      <c r="W439" s="13" t="s">
        <v>0</v>
      </c>
      <c r="X439" s="13" t="s">
        <v>0</v>
      </c>
      <c r="Y439" s="13" t="s">
        <v>10</v>
      </c>
      <c r="Z439" s="13" t="s">
        <v>0</v>
      </c>
      <c r="AA439" s="14"/>
      <c r="AB439" s="13" t="s">
        <v>0</v>
      </c>
      <c r="AC439" s="13" t="s">
        <v>0</v>
      </c>
      <c r="AD439" s="13" t="s">
        <v>0</v>
      </c>
      <c r="AE439" s="15">
        <v>0</v>
      </c>
    </row>
    <row r="440" spans="1:31" ht="14.15" customHeight="1" x14ac:dyDescent="0.25">
      <c r="A440" s="12" t="s">
        <v>0</v>
      </c>
      <c r="B440" s="13" t="s">
        <v>1</v>
      </c>
      <c r="C440" s="13" t="s">
        <v>1127</v>
      </c>
      <c r="D440" s="14">
        <v>44137</v>
      </c>
      <c r="E440" s="14">
        <v>44137</v>
      </c>
      <c r="F440" s="14">
        <v>44139</v>
      </c>
      <c r="G440" s="13" t="s">
        <v>3</v>
      </c>
      <c r="H440" s="13" t="s">
        <v>4</v>
      </c>
      <c r="I440" s="15">
        <v>-37271.339999999997</v>
      </c>
      <c r="J440" s="13" t="s">
        <v>5</v>
      </c>
      <c r="K440" s="13" t="s">
        <v>6</v>
      </c>
      <c r="L440" s="15">
        <v>-3128928.99</v>
      </c>
      <c r="M440" s="15">
        <v>-37271.339999999997</v>
      </c>
      <c r="N440" s="16" t="str">
        <f>IF(M440="","",IF(M440&lt;0,-M440&amp;"_"&amp;COUNTIF(M$2:M440,M440),M440&amp;"_"&amp;COUNTIF(M$2:M440,M440)))</f>
        <v>37271.34_1</v>
      </c>
      <c r="O440" s="17" t="str">
        <f t="shared" si="6"/>
        <v/>
      </c>
      <c r="P440" s="13" t="s">
        <v>1128</v>
      </c>
      <c r="Q440" s="13" t="s">
        <v>1120</v>
      </c>
      <c r="R440" s="13" t="s">
        <v>0</v>
      </c>
      <c r="S440" s="13" t="s">
        <v>0</v>
      </c>
      <c r="T440" s="13" t="s">
        <v>9</v>
      </c>
      <c r="U440" s="13" t="s">
        <v>0</v>
      </c>
      <c r="V440" s="13" t="s">
        <v>0</v>
      </c>
      <c r="W440" s="13" t="s">
        <v>0</v>
      </c>
      <c r="X440" s="13" t="s">
        <v>0</v>
      </c>
      <c r="Y440" s="13" t="s">
        <v>10</v>
      </c>
      <c r="Z440" s="13" t="s">
        <v>0</v>
      </c>
      <c r="AA440" s="14"/>
      <c r="AB440" s="13" t="s">
        <v>0</v>
      </c>
      <c r="AC440" s="13" t="s">
        <v>0</v>
      </c>
      <c r="AD440" s="13" t="s">
        <v>0</v>
      </c>
      <c r="AE440" s="15">
        <v>0</v>
      </c>
    </row>
    <row r="441" spans="1:31" ht="14.15" customHeight="1" x14ac:dyDescent="0.25">
      <c r="A441" s="12" t="s">
        <v>0</v>
      </c>
      <c r="B441" s="13" t="s">
        <v>1</v>
      </c>
      <c r="C441" s="13" t="s">
        <v>202</v>
      </c>
      <c r="D441" s="14">
        <v>44034</v>
      </c>
      <c r="E441" s="14">
        <v>44034</v>
      </c>
      <c r="F441" s="14">
        <v>44049</v>
      </c>
      <c r="G441" s="13" t="s">
        <v>3</v>
      </c>
      <c r="H441" s="13" t="s">
        <v>4</v>
      </c>
      <c r="I441" s="15">
        <v>-37250.39</v>
      </c>
      <c r="J441" s="13" t="s">
        <v>5</v>
      </c>
      <c r="K441" s="13" t="s">
        <v>6</v>
      </c>
      <c r="L441" s="15">
        <v>-3127170.24</v>
      </c>
      <c r="M441" s="15">
        <v>-37250.39</v>
      </c>
      <c r="N441" s="16" t="str">
        <f>IF(M441="","",IF(M441&lt;0,-M441&amp;"_"&amp;COUNTIF(M$2:M441,M441),M441&amp;"_"&amp;COUNTIF(M$2:M441,M441)))</f>
        <v>37250.39_1</v>
      </c>
      <c r="O441" s="17" t="str">
        <f t="shared" si="6"/>
        <v/>
      </c>
      <c r="P441" s="13" t="s">
        <v>203</v>
      </c>
      <c r="Q441" s="13" t="s">
        <v>175</v>
      </c>
      <c r="R441" s="13" t="s">
        <v>0</v>
      </c>
      <c r="S441" s="13" t="s">
        <v>0</v>
      </c>
      <c r="T441" s="13" t="s">
        <v>9</v>
      </c>
      <c r="U441" s="13" t="s">
        <v>0</v>
      </c>
      <c r="V441" s="13" t="s">
        <v>0</v>
      </c>
      <c r="W441" s="13" t="s">
        <v>0</v>
      </c>
      <c r="X441" s="13" t="s">
        <v>0</v>
      </c>
      <c r="Y441" s="13" t="s">
        <v>10</v>
      </c>
      <c r="Z441" s="13" t="s">
        <v>0</v>
      </c>
      <c r="AA441" s="14"/>
      <c r="AB441" s="13" t="s">
        <v>0</v>
      </c>
      <c r="AC441" s="13" t="s">
        <v>0</v>
      </c>
      <c r="AD441" s="13" t="s">
        <v>0</v>
      </c>
      <c r="AE441" s="15">
        <v>0</v>
      </c>
    </row>
    <row r="442" spans="1:31" ht="14.15" customHeight="1" x14ac:dyDescent="0.25">
      <c r="A442" s="12" t="s">
        <v>0</v>
      </c>
      <c r="B442" s="13" t="s">
        <v>1</v>
      </c>
      <c r="C442" s="13" t="s">
        <v>4278</v>
      </c>
      <c r="D442" s="14">
        <v>44370</v>
      </c>
      <c r="E442" s="14">
        <v>44370</v>
      </c>
      <c r="F442" s="14">
        <v>44377</v>
      </c>
      <c r="G442" s="13" t="s">
        <v>3</v>
      </c>
      <c r="H442" s="13" t="s">
        <v>4</v>
      </c>
      <c r="I442" s="15">
        <v>-37196.57</v>
      </c>
      <c r="J442" s="13" t="s">
        <v>5</v>
      </c>
      <c r="K442" s="13" t="s">
        <v>6</v>
      </c>
      <c r="L442" s="15">
        <v>-3122652.05</v>
      </c>
      <c r="M442" s="15">
        <v>-37196.57</v>
      </c>
      <c r="N442" s="16" t="str">
        <f>IF(M442="","",IF(M442&lt;0,-M442&amp;"_"&amp;COUNTIF(M$2:M442,M442),M442&amp;"_"&amp;COUNTIF(M$2:M442,M442)))</f>
        <v>37196.57_1</v>
      </c>
      <c r="O442" s="17" t="str">
        <f t="shared" si="6"/>
        <v/>
      </c>
      <c r="P442" s="13" t="s">
        <v>4279</v>
      </c>
      <c r="Q442" s="13" t="s">
        <v>4269</v>
      </c>
      <c r="R442" s="13" t="s">
        <v>0</v>
      </c>
      <c r="S442" s="13" t="s">
        <v>0</v>
      </c>
      <c r="T442" s="13" t="s">
        <v>9</v>
      </c>
      <c r="U442" s="13" t="s">
        <v>0</v>
      </c>
      <c r="V442" s="13" t="s">
        <v>0</v>
      </c>
      <c r="W442" s="13" t="s">
        <v>0</v>
      </c>
      <c r="X442" s="13" t="s">
        <v>0</v>
      </c>
      <c r="Y442" s="13" t="s">
        <v>10</v>
      </c>
      <c r="Z442" s="13" t="s">
        <v>0</v>
      </c>
      <c r="AA442" s="14"/>
      <c r="AB442" s="13" t="s">
        <v>0</v>
      </c>
      <c r="AC442" s="13" t="s">
        <v>0</v>
      </c>
      <c r="AD442" s="13" t="s">
        <v>0</v>
      </c>
      <c r="AE442" s="15">
        <v>0</v>
      </c>
    </row>
    <row r="443" spans="1:31" ht="14.15" customHeight="1" x14ac:dyDescent="0.25">
      <c r="A443" s="12" t="s">
        <v>0</v>
      </c>
      <c r="B443" s="13" t="s">
        <v>1</v>
      </c>
      <c r="C443" s="13" t="s">
        <v>1112</v>
      </c>
      <c r="D443" s="14">
        <v>44136</v>
      </c>
      <c r="E443" s="14">
        <v>44136</v>
      </c>
      <c r="F443" s="14">
        <v>44139</v>
      </c>
      <c r="G443" s="13" t="s">
        <v>3</v>
      </c>
      <c r="H443" s="13" t="s">
        <v>4</v>
      </c>
      <c r="I443" s="15">
        <v>-37111.07</v>
      </c>
      <c r="J443" s="13" t="s">
        <v>5</v>
      </c>
      <c r="K443" s="13" t="s">
        <v>6</v>
      </c>
      <c r="L443" s="15">
        <v>-3115474.33</v>
      </c>
      <c r="M443" s="15">
        <v>-37111.07</v>
      </c>
      <c r="N443" s="16" t="str">
        <f>IF(M443="","",IF(M443&lt;0,-M443&amp;"_"&amp;COUNTIF(M$2:M443,M443),M443&amp;"_"&amp;COUNTIF(M$2:M443,M443)))</f>
        <v>37111.07_1</v>
      </c>
      <c r="O443" s="17" t="str">
        <f t="shared" si="6"/>
        <v/>
      </c>
      <c r="P443" s="13" t="s">
        <v>1113</v>
      </c>
      <c r="Q443" s="13" t="s">
        <v>1111</v>
      </c>
      <c r="R443" s="13" t="s">
        <v>0</v>
      </c>
      <c r="S443" s="13" t="s">
        <v>0</v>
      </c>
      <c r="T443" s="13" t="s">
        <v>9</v>
      </c>
      <c r="U443" s="13" t="s">
        <v>0</v>
      </c>
      <c r="V443" s="13" t="s">
        <v>0</v>
      </c>
      <c r="W443" s="13" t="s">
        <v>0</v>
      </c>
      <c r="X443" s="13" t="s">
        <v>0</v>
      </c>
      <c r="Y443" s="13" t="s">
        <v>10</v>
      </c>
      <c r="Z443" s="13" t="s">
        <v>0</v>
      </c>
      <c r="AA443" s="14"/>
      <c r="AB443" s="13" t="s">
        <v>0</v>
      </c>
      <c r="AC443" s="13" t="s">
        <v>0</v>
      </c>
      <c r="AD443" s="13" t="s">
        <v>0</v>
      </c>
      <c r="AE443" s="15">
        <v>0</v>
      </c>
    </row>
    <row r="444" spans="1:31" ht="14.15" customHeight="1" x14ac:dyDescent="0.25">
      <c r="A444" s="12" t="s">
        <v>0</v>
      </c>
      <c r="B444" s="13" t="s">
        <v>1</v>
      </c>
      <c r="C444" s="13" t="s">
        <v>2753</v>
      </c>
      <c r="D444" s="14">
        <v>44260</v>
      </c>
      <c r="E444" s="14">
        <v>44260</v>
      </c>
      <c r="F444" s="14">
        <v>44265</v>
      </c>
      <c r="G444" s="13" t="s">
        <v>3</v>
      </c>
      <c r="H444" s="13" t="s">
        <v>4</v>
      </c>
      <c r="I444" s="15">
        <v>-37040.160000000003</v>
      </c>
      <c r="J444" s="13" t="s">
        <v>5</v>
      </c>
      <c r="K444" s="13" t="s">
        <v>6</v>
      </c>
      <c r="L444" s="15">
        <v>-3109521.43</v>
      </c>
      <c r="M444" s="15">
        <v>-37040.160000000003</v>
      </c>
      <c r="N444" s="16" t="str">
        <f>IF(M444="","",IF(M444&lt;0,-M444&amp;"_"&amp;COUNTIF(M$2:M444,M444),M444&amp;"_"&amp;COUNTIF(M$2:M444,M444)))</f>
        <v>37040.16_1</v>
      </c>
      <c r="O444" s="17" t="str">
        <f t="shared" si="6"/>
        <v/>
      </c>
      <c r="P444" s="13" t="s">
        <v>2754</v>
      </c>
      <c r="Q444" s="13" t="s">
        <v>2746</v>
      </c>
      <c r="R444" s="13" t="s">
        <v>0</v>
      </c>
      <c r="S444" s="13" t="s">
        <v>0</v>
      </c>
      <c r="T444" s="13" t="s">
        <v>9</v>
      </c>
      <c r="U444" s="13" t="s">
        <v>0</v>
      </c>
      <c r="V444" s="13" t="s">
        <v>0</v>
      </c>
      <c r="W444" s="13" t="s">
        <v>0</v>
      </c>
      <c r="X444" s="13" t="s">
        <v>0</v>
      </c>
      <c r="Y444" s="13" t="s">
        <v>10</v>
      </c>
      <c r="Z444" s="13" t="s">
        <v>0</v>
      </c>
      <c r="AA444" s="14"/>
      <c r="AB444" s="13" t="s">
        <v>0</v>
      </c>
      <c r="AC444" s="13" t="s">
        <v>0</v>
      </c>
      <c r="AD444" s="13" t="s">
        <v>0</v>
      </c>
      <c r="AE444" s="15">
        <v>0</v>
      </c>
    </row>
    <row r="445" spans="1:31" ht="14.15" customHeight="1" x14ac:dyDescent="0.25">
      <c r="A445" s="12" t="s">
        <v>0</v>
      </c>
      <c r="B445" s="13" t="s">
        <v>1</v>
      </c>
      <c r="C445" s="13" t="s">
        <v>1033</v>
      </c>
      <c r="D445" s="14">
        <v>44130</v>
      </c>
      <c r="E445" s="14">
        <v>44130</v>
      </c>
      <c r="F445" s="14">
        <v>44138</v>
      </c>
      <c r="G445" s="13" t="s">
        <v>3</v>
      </c>
      <c r="H445" s="13" t="s">
        <v>4</v>
      </c>
      <c r="I445" s="15">
        <v>-36984.589999999997</v>
      </c>
      <c r="J445" s="13" t="s">
        <v>5</v>
      </c>
      <c r="K445" s="13" t="s">
        <v>6</v>
      </c>
      <c r="L445" s="15">
        <v>-3104856.33</v>
      </c>
      <c r="M445" s="15">
        <v>-36984.589999999997</v>
      </c>
      <c r="N445" s="16" t="str">
        <f>IF(M445="","",IF(M445&lt;0,-M445&amp;"_"&amp;COUNTIF(M$2:M445,M445),M445&amp;"_"&amp;COUNTIF(M$2:M445,M445)))</f>
        <v>36984.59_1</v>
      </c>
      <c r="O445" s="17" t="str">
        <f t="shared" si="6"/>
        <v/>
      </c>
      <c r="P445" s="13" t="s">
        <v>1034</v>
      </c>
      <c r="Q445" s="13" t="s">
        <v>1024</v>
      </c>
      <c r="R445" s="13" t="s">
        <v>0</v>
      </c>
      <c r="S445" s="13" t="s">
        <v>0</v>
      </c>
      <c r="T445" s="13" t="s">
        <v>9</v>
      </c>
      <c r="U445" s="13" t="s">
        <v>0</v>
      </c>
      <c r="V445" s="13" t="s">
        <v>0</v>
      </c>
      <c r="W445" s="13" t="s">
        <v>0</v>
      </c>
      <c r="X445" s="13" t="s">
        <v>0</v>
      </c>
      <c r="Y445" s="13" t="s">
        <v>10</v>
      </c>
      <c r="Z445" s="13" t="s">
        <v>0</v>
      </c>
      <c r="AA445" s="14"/>
      <c r="AB445" s="13" t="s">
        <v>0</v>
      </c>
      <c r="AC445" s="13" t="s">
        <v>0</v>
      </c>
      <c r="AD445" s="13" t="s">
        <v>0</v>
      </c>
      <c r="AE445" s="15">
        <v>0</v>
      </c>
    </row>
    <row r="446" spans="1:31" ht="14.15" customHeight="1" x14ac:dyDescent="0.25">
      <c r="A446" s="12" t="s">
        <v>0</v>
      </c>
      <c r="B446" s="13" t="s">
        <v>1</v>
      </c>
      <c r="C446" s="13" t="s">
        <v>3285</v>
      </c>
      <c r="D446" s="14">
        <v>44314</v>
      </c>
      <c r="E446" s="14">
        <v>44314</v>
      </c>
      <c r="F446" s="14">
        <v>44319</v>
      </c>
      <c r="G446" s="13" t="s">
        <v>3</v>
      </c>
      <c r="H446" s="13" t="s">
        <v>4</v>
      </c>
      <c r="I446" s="15">
        <v>-36902.46</v>
      </c>
      <c r="J446" s="13" t="s">
        <v>5</v>
      </c>
      <c r="K446" s="13" t="s">
        <v>6</v>
      </c>
      <c r="L446" s="15">
        <v>-3097961.52</v>
      </c>
      <c r="M446" s="15">
        <v>-36902.46</v>
      </c>
      <c r="N446" s="16" t="str">
        <f>IF(M446="","",IF(M446&lt;0,-M446&amp;"_"&amp;COUNTIF(M$2:M446,M446),M446&amp;"_"&amp;COUNTIF(M$2:M446,M446)))</f>
        <v>36902.46_1</v>
      </c>
      <c r="O446" s="17" t="str">
        <f t="shared" si="6"/>
        <v/>
      </c>
      <c r="P446" s="13" t="s">
        <v>3286</v>
      </c>
      <c r="Q446" s="13" t="s">
        <v>3284</v>
      </c>
      <c r="R446" s="13" t="s">
        <v>0</v>
      </c>
      <c r="S446" s="13" t="s">
        <v>0</v>
      </c>
      <c r="T446" s="13" t="s">
        <v>9</v>
      </c>
      <c r="U446" s="13" t="s">
        <v>0</v>
      </c>
      <c r="V446" s="13" t="s">
        <v>0</v>
      </c>
      <c r="W446" s="13" t="s">
        <v>0</v>
      </c>
      <c r="X446" s="13" t="s">
        <v>0</v>
      </c>
      <c r="Y446" s="13" t="s">
        <v>10</v>
      </c>
      <c r="Z446" s="13" t="s">
        <v>0</v>
      </c>
      <c r="AA446" s="14"/>
      <c r="AB446" s="13" t="s">
        <v>0</v>
      </c>
      <c r="AC446" s="13" t="s">
        <v>0</v>
      </c>
      <c r="AD446" s="13" t="s">
        <v>0</v>
      </c>
      <c r="AE446" s="15">
        <v>0</v>
      </c>
    </row>
    <row r="447" spans="1:31" ht="14.15" customHeight="1" x14ac:dyDescent="0.25">
      <c r="A447" s="12" t="s">
        <v>0</v>
      </c>
      <c r="B447" s="13" t="s">
        <v>1</v>
      </c>
      <c r="C447" s="13" t="s">
        <v>1550</v>
      </c>
      <c r="D447" s="14">
        <v>44165</v>
      </c>
      <c r="E447" s="14">
        <v>44165</v>
      </c>
      <c r="F447" s="14">
        <v>44172</v>
      </c>
      <c r="G447" s="13" t="s">
        <v>3</v>
      </c>
      <c r="H447" s="13" t="s">
        <v>4</v>
      </c>
      <c r="I447" s="15">
        <v>-36801.78</v>
      </c>
      <c r="J447" s="13" t="s">
        <v>5</v>
      </c>
      <c r="K447" s="13" t="s">
        <v>6</v>
      </c>
      <c r="L447" s="15">
        <v>-3089509.43</v>
      </c>
      <c r="M447" s="15">
        <v>-36801.78</v>
      </c>
      <c r="N447" s="16" t="str">
        <f>IF(M447="","",IF(M447&lt;0,-M447&amp;"_"&amp;COUNTIF(M$2:M447,M447),M447&amp;"_"&amp;COUNTIF(M$2:M447,M447)))</f>
        <v>36801.78_1</v>
      </c>
      <c r="O447" s="17" t="str">
        <f t="shared" si="6"/>
        <v/>
      </c>
      <c r="P447" s="13" t="s">
        <v>1551</v>
      </c>
      <c r="Q447" s="13" t="s">
        <v>1541</v>
      </c>
      <c r="R447" s="13" t="s">
        <v>0</v>
      </c>
      <c r="S447" s="13" t="s">
        <v>0</v>
      </c>
      <c r="T447" s="13" t="s">
        <v>9</v>
      </c>
      <c r="U447" s="13" t="s">
        <v>0</v>
      </c>
      <c r="V447" s="13" t="s">
        <v>0</v>
      </c>
      <c r="W447" s="13" t="s">
        <v>0</v>
      </c>
      <c r="X447" s="13" t="s">
        <v>0</v>
      </c>
      <c r="Y447" s="13" t="s">
        <v>10</v>
      </c>
      <c r="Z447" s="13" t="s">
        <v>0</v>
      </c>
      <c r="AA447" s="14"/>
      <c r="AB447" s="13" t="s">
        <v>0</v>
      </c>
      <c r="AC447" s="13" t="s">
        <v>0</v>
      </c>
      <c r="AD447" s="13" t="s">
        <v>0</v>
      </c>
      <c r="AE447" s="15">
        <v>0</v>
      </c>
    </row>
    <row r="448" spans="1:31" ht="14.15" customHeight="1" x14ac:dyDescent="0.25">
      <c r="A448" s="12" t="s">
        <v>0</v>
      </c>
      <c r="B448" s="13" t="s">
        <v>1</v>
      </c>
      <c r="C448" s="13" t="s">
        <v>2686</v>
      </c>
      <c r="D448" s="14">
        <v>44254</v>
      </c>
      <c r="E448" s="14">
        <v>44254</v>
      </c>
      <c r="F448" s="14">
        <v>44257</v>
      </c>
      <c r="G448" s="13" t="s">
        <v>3</v>
      </c>
      <c r="H448" s="13" t="s">
        <v>4</v>
      </c>
      <c r="I448" s="15">
        <v>-36799.83</v>
      </c>
      <c r="J448" s="13" t="s">
        <v>5</v>
      </c>
      <c r="K448" s="13" t="s">
        <v>6</v>
      </c>
      <c r="L448" s="15">
        <v>-3089345.73</v>
      </c>
      <c r="M448" s="15">
        <v>-36799.83</v>
      </c>
      <c r="N448" s="16" t="str">
        <f>IF(M448="","",IF(M448&lt;0,-M448&amp;"_"&amp;COUNTIF(M$2:M448,M448),M448&amp;"_"&amp;COUNTIF(M$2:M448,M448)))</f>
        <v>36799.83_1</v>
      </c>
      <c r="O448" s="17" t="str">
        <f t="shared" si="6"/>
        <v/>
      </c>
      <c r="P448" s="13" t="s">
        <v>2687</v>
      </c>
      <c r="Q448" s="13" t="s">
        <v>2685</v>
      </c>
      <c r="R448" s="13" t="s">
        <v>0</v>
      </c>
      <c r="S448" s="13" t="s">
        <v>0</v>
      </c>
      <c r="T448" s="13" t="s">
        <v>9</v>
      </c>
      <c r="U448" s="13" t="s">
        <v>0</v>
      </c>
      <c r="V448" s="13" t="s">
        <v>0</v>
      </c>
      <c r="W448" s="13" t="s">
        <v>0</v>
      </c>
      <c r="X448" s="13" t="s">
        <v>0</v>
      </c>
      <c r="Y448" s="13" t="s">
        <v>10</v>
      </c>
      <c r="Z448" s="13" t="s">
        <v>0</v>
      </c>
      <c r="AA448" s="14"/>
      <c r="AB448" s="13" t="s">
        <v>0</v>
      </c>
      <c r="AC448" s="13" t="s">
        <v>0</v>
      </c>
      <c r="AD448" s="13" t="s">
        <v>0</v>
      </c>
      <c r="AE448" s="15">
        <v>0</v>
      </c>
    </row>
    <row r="449" spans="1:31" ht="14.15" customHeight="1" x14ac:dyDescent="0.25">
      <c r="A449" s="12" t="s">
        <v>0</v>
      </c>
      <c r="B449" s="13" t="s">
        <v>1</v>
      </c>
      <c r="C449" s="13" t="s">
        <v>1937</v>
      </c>
      <c r="D449" s="14">
        <v>44192</v>
      </c>
      <c r="E449" s="14">
        <v>44192</v>
      </c>
      <c r="F449" s="14">
        <v>44196</v>
      </c>
      <c r="G449" s="13" t="s">
        <v>3</v>
      </c>
      <c r="H449" s="13" t="s">
        <v>4</v>
      </c>
      <c r="I449" s="15">
        <v>-36709.910000000003</v>
      </c>
      <c r="J449" s="13" t="s">
        <v>5</v>
      </c>
      <c r="K449" s="13" t="s">
        <v>6</v>
      </c>
      <c r="L449" s="15">
        <v>-3081796.94</v>
      </c>
      <c r="M449" s="15">
        <v>-36709.910000000003</v>
      </c>
      <c r="N449" s="16" t="str">
        <f>IF(M449="","",IF(M449&lt;0,-M449&amp;"_"&amp;COUNTIF(M$2:M449,M449),M449&amp;"_"&amp;COUNTIF(M$2:M449,M449)))</f>
        <v>36709.91_1</v>
      </c>
      <c r="O449" s="17" t="str">
        <f t="shared" si="6"/>
        <v/>
      </c>
      <c r="P449" s="13" t="s">
        <v>1938</v>
      </c>
      <c r="Q449" s="13" t="s">
        <v>1932</v>
      </c>
      <c r="R449" s="13" t="s">
        <v>0</v>
      </c>
      <c r="S449" s="13" t="s">
        <v>0</v>
      </c>
      <c r="T449" s="13" t="s">
        <v>9</v>
      </c>
      <c r="U449" s="13" t="s">
        <v>0</v>
      </c>
      <c r="V449" s="13" t="s">
        <v>0</v>
      </c>
      <c r="W449" s="13" t="s">
        <v>0</v>
      </c>
      <c r="X449" s="13" t="s">
        <v>0</v>
      </c>
      <c r="Y449" s="13" t="s">
        <v>10</v>
      </c>
      <c r="Z449" s="13" t="s">
        <v>0</v>
      </c>
      <c r="AA449" s="14"/>
      <c r="AB449" s="13" t="s">
        <v>0</v>
      </c>
      <c r="AC449" s="13" t="s">
        <v>0</v>
      </c>
      <c r="AD449" s="13" t="s">
        <v>0</v>
      </c>
      <c r="AE449" s="15">
        <v>0</v>
      </c>
    </row>
    <row r="450" spans="1:31" ht="14.15" customHeight="1" x14ac:dyDescent="0.25">
      <c r="A450" s="12" t="s">
        <v>0</v>
      </c>
      <c r="B450" s="13" t="s">
        <v>1</v>
      </c>
      <c r="C450" s="13" t="s">
        <v>2593</v>
      </c>
      <c r="D450" s="14">
        <v>44243</v>
      </c>
      <c r="E450" s="14">
        <v>44243</v>
      </c>
      <c r="F450" s="14">
        <v>44252</v>
      </c>
      <c r="G450" s="13" t="s">
        <v>3</v>
      </c>
      <c r="H450" s="13" t="s">
        <v>4</v>
      </c>
      <c r="I450" s="15">
        <v>-36699.620000000003</v>
      </c>
      <c r="J450" s="13" t="s">
        <v>5</v>
      </c>
      <c r="K450" s="13" t="s">
        <v>6</v>
      </c>
      <c r="L450" s="15">
        <v>-3080933.1</v>
      </c>
      <c r="M450" s="15">
        <v>-36699.620000000003</v>
      </c>
      <c r="N450" s="16" t="str">
        <f>IF(M450="","",IF(M450&lt;0,-M450&amp;"_"&amp;COUNTIF(M$2:M450,M450),M450&amp;"_"&amp;COUNTIF(M$2:M450,M450)))</f>
        <v>36699.62_1</v>
      </c>
      <c r="O450" s="17" t="str">
        <f t="shared" ref="O450:O513" si="7">IF(COUNTIF(N:N,N450)=2,"x","")</f>
        <v/>
      </c>
      <c r="P450" s="13" t="s">
        <v>2594</v>
      </c>
      <c r="Q450" s="13" t="s">
        <v>2574</v>
      </c>
      <c r="R450" s="13" t="s">
        <v>0</v>
      </c>
      <c r="S450" s="13" t="s">
        <v>0</v>
      </c>
      <c r="T450" s="13" t="s">
        <v>9</v>
      </c>
      <c r="U450" s="13" t="s">
        <v>0</v>
      </c>
      <c r="V450" s="13" t="s">
        <v>0</v>
      </c>
      <c r="W450" s="13" t="s">
        <v>0</v>
      </c>
      <c r="X450" s="13" t="s">
        <v>0</v>
      </c>
      <c r="Y450" s="13" t="s">
        <v>10</v>
      </c>
      <c r="Z450" s="13" t="s">
        <v>0</v>
      </c>
      <c r="AA450" s="14"/>
      <c r="AB450" s="13" t="s">
        <v>0</v>
      </c>
      <c r="AC450" s="13" t="s">
        <v>0</v>
      </c>
      <c r="AD450" s="13" t="s">
        <v>0</v>
      </c>
      <c r="AE450" s="15">
        <v>0</v>
      </c>
    </row>
    <row r="451" spans="1:31" ht="14.15" customHeight="1" x14ac:dyDescent="0.25">
      <c r="A451" s="12" t="s">
        <v>0</v>
      </c>
      <c r="B451" s="13" t="s">
        <v>1</v>
      </c>
      <c r="C451" s="13" t="s">
        <v>2391</v>
      </c>
      <c r="D451" s="14">
        <v>44227</v>
      </c>
      <c r="E451" s="14">
        <v>44227</v>
      </c>
      <c r="F451" s="14">
        <v>44231</v>
      </c>
      <c r="G451" s="13" t="s">
        <v>3</v>
      </c>
      <c r="H451" s="13" t="s">
        <v>4</v>
      </c>
      <c r="I451" s="15">
        <v>-36620.44</v>
      </c>
      <c r="J451" s="13" t="s">
        <v>5</v>
      </c>
      <c r="K451" s="13" t="s">
        <v>6</v>
      </c>
      <c r="L451" s="15">
        <v>-3074285.94</v>
      </c>
      <c r="M451" s="15">
        <v>-36620.44</v>
      </c>
      <c r="N451" s="16" t="str">
        <f>IF(M451="","",IF(M451&lt;0,-M451&amp;"_"&amp;COUNTIF(M$2:M451,M451),M451&amp;"_"&amp;COUNTIF(M$2:M451,M451)))</f>
        <v>36620.44_1</v>
      </c>
      <c r="O451" s="17" t="str">
        <f t="shared" si="7"/>
        <v/>
      </c>
      <c r="P451" s="13" t="s">
        <v>2392</v>
      </c>
      <c r="Q451" s="13" t="s">
        <v>2378</v>
      </c>
      <c r="R451" s="13" t="s">
        <v>0</v>
      </c>
      <c r="S451" s="13" t="s">
        <v>0</v>
      </c>
      <c r="T451" s="13" t="s">
        <v>9</v>
      </c>
      <c r="U451" s="13" t="s">
        <v>0</v>
      </c>
      <c r="V451" s="13" t="s">
        <v>0</v>
      </c>
      <c r="W451" s="13" t="s">
        <v>0</v>
      </c>
      <c r="X451" s="13" t="s">
        <v>0</v>
      </c>
      <c r="Y451" s="13" t="s">
        <v>10</v>
      </c>
      <c r="Z451" s="13" t="s">
        <v>0</v>
      </c>
      <c r="AA451" s="14"/>
      <c r="AB451" s="13" t="s">
        <v>0</v>
      </c>
      <c r="AC451" s="13" t="s">
        <v>0</v>
      </c>
      <c r="AD451" s="13" t="s">
        <v>0</v>
      </c>
      <c r="AE451" s="15">
        <v>0</v>
      </c>
    </row>
    <row r="452" spans="1:31" ht="14.15" customHeight="1" x14ac:dyDescent="0.25">
      <c r="A452" s="12" t="s">
        <v>0</v>
      </c>
      <c r="B452" s="13" t="s">
        <v>1</v>
      </c>
      <c r="C452" s="13" t="s">
        <v>995</v>
      </c>
      <c r="D452" s="14">
        <v>44126</v>
      </c>
      <c r="E452" s="14">
        <v>44126</v>
      </c>
      <c r="F452" s="14">
        <v>44136</v>
      </c>
      <c r="G452" s="13" t="s">
        <v>3</v>
      </c>
      <c r="H452" s="13" t="s">
        <v>4</v>
      </c>
      <c r="I452" s="15">
        <v>-36433.89</v>
      </c>
      <c r="J452" s="13" t="s">
        <v>5</v>
      </c>
      <c r="K452" s="13" t="s">
        <v>6</v>
      </c>
      <c r="L452" s="15">
        <v>-3058625.07</v>
      </c>
      <c r="M452" s="15">
        <v>-36433.89</v>
      </c>
      <c r="N452" s="16" t="str">
        <f>IF(M452="","",IF(M452&lt;0,-M452&amp;"_"&amp;COUNTIF(M$2:M452,M452),M452&amp;"_"&amp;COUNTIF(M$2:M452,M452)))</f>
        <v>36433.89_1</v>
      </c>
      <c r="O452" s="17" t="str">
        <f t="shared" si="7"/>
        <v/>
      </c>
      <c r="P452" s="13" t="s">
        <v>996</v>
      </c>
      <c r="Q452" s="13" t="s">
        <v>992</v>
      </c>
      <c r="R452" s="13" t="s">
        <v>0</v>
      </c>
      <c r="S452" s="13" t="s">
        <v>0</v>
      </c>
      <c r="T452" s="13" t="s">
        <v>9</v>
      </c>
      <c r="U452" s="13" t="s">
        <v>0</v>
      </c>
      <c r="V452" s="13" t="s">
        <v>0</v>
      </c>
      <c r="W452" s="13" t="s">
        <v>0</v>
      </c>
      <c r="X452" s="13" t="s">
        <v>0</v>
      </c>
      <c r="Y452" s="13" t="s">
        <v>10</v>
      </c>
      <c r="Z452" s="13" t="s">
        <v>0</v>
      </c>
      <c r="AA452" s="14"/>
      <c r="AB452" s="13" t="s">
        <v>0</v>
      </c>
      <c r="AC452" s="13" t="s">
        <v>0</v>
      </c>
      <c r="AD452" s="13" t="s">
        <v>0</v>
      </c>
      <c r="AE452" s="15">
        <v>0</v>
      </c>
    </row>
    <row r="453" spans="1:31" ht="14.15" customHeight="1" x14ac:dyDescent="0.25">
      <c r="A453" s="12" t="s">
        <v>0</v>
      </c>
      <c r="B453" s="13" t="s">
        <v>289</v>
      </c>
      <c r="C453" s="13" t="s">
        <v>2705</v>
      </c>
      <c r="D453" s="14">
        <v>44255</v>
      </c>
      <c r="E453" s="14">
        <v>44255</v>
      </c>
      <c r="F453" s="14">
        <v>44262</v>
      </c>
      <c r="G453" s="13" t="s">
        <v>48</v>
      </c>
      <c r="H453" s="13" t="s">
        <v>4</v>
      </c>
      <c r="I453" s="15">
        <v>-36388.269999999997</v>
      </c>
      <c r="J453" s="13" t="s">
        <v>5</v>
      </c>
      <c r="K453" s="13" t="s">
        <v>6</v>
      </c>
      <c r="L453" s="15">
        <v>-3054795.27</v>
      </c>
      <c r="M453" s="15">
        <v>-36388.269999999997</v>
      </c>
      <c r="N453" s="16" t="str">
        <f>IF(M453="","",IF(M453&lt;0,-M453&amp;"_"&amp;COUNTIF(M$2:M453,M453),M453&amp;"_"&amp;COUNTIF(M$2:M453,M453)))</f>
        <v>36388.27_1</v>
      </c>
      <c r="O453" s="17" t="str">
        <f t="shared" si="7"/>
        <v/>
      </c>
      <c r="P453" s="13" t="s">
        <v>2706</v>
      </c>
      <c r="Q453" s="13" t="s">
        <v>2707</v>
      </c>
      <c r="R453" s="13" t="s">
        <v>1994</v>
      </c>
      <c r="S453" s="13" t="s">
        <v>0</v>
      </c>
      <c r="T453" s="13" t="s">
        <v>9</v>
      </c>
      <c r="U453" s="13" t="s">
        <v>1995</v>
      </c>
      <c r="V453" s="13" t="s">
        <v>0</v>
      </c>
      <c r="W453" s="13" t="s">
        <v>0</v>
      </c>
      <c r="X453" s="13" t="s">
        <v>0</v>
      </c>
      <c r="Y453" s="13" t="s">
        <v>0</v>
      </c>
      <c r="Z453" s="13" t="s">
        <v>0</v>
      </c>
      <c r="AA453" s="14"/>
      <c r="AB453" s="13" t="s">
        <v>0</v>
      </c>
      <c r="AC453" s="13" t="s">
        <v>0</v>
      </c>
      <c r="AD453" s="13" t="s">
        <v>0</v>
      </c>
      <c r="AE453" s="15">
        <v>0</v>
      </c>
    </row>
    <row r="454" spans="1:31" ht="14.15" customHeight="1" x14ac:dyDescent="0.25">
      <c r="A454" s="12" t="s">
        <v>0</v>
      </c>
      <c r="B454" s="13" t="s">
        <v>1</v>
      </c>
      <c r="C454" s="13" t="s">
        <v>2422</v>
      </c>
      <c r="D454" s="14">
        <v>44230</v>
      </c>
      <c r="E454" s="14">
        <v>44230</v>
      </c>
      <c r="F454" s="14">
        <v>44236</v>
      </c>
      <c r="G454" s="13" t="s">
        <v>3</v>
      </c>
      <c r="H454" s="13" t="s">
        <v>4</v>
      </c>
      <c r="I454" s="15">
        <v>-36291.050000000003</v>
      </c>
      <c r="J454" s="13" t="s">
        <v>5</v>
      </c>
      <c r="K454" s="13" t="s">
        <v>6</v>
      </c>
      <c r="L454" s="15">
        <v>-3046633.64</v>
      </c>
      <c r="M454" s="15">
        <v>-36291.050000000003</v>
      </c>
      <c r="N454" s="16" t="str">
        <f>IF(M454="","",IF(M454&lt;0,-M454&amp;"_"&amp;COUNTIF(M$2:M454,M454),M454&amp;"_"&amp;COUNTIF(M$2:M454,M454)))</f>
        <v>36291.05_1</v>
      </c>
      <c r="O454" s="17" t="str">
        <f t="shared" si="7"/>
        <v/>
      </c>
      <c r="P454" s="13" t="s">
        <v>2423</v>
      </c>
      <c r="Q454" s="13" t="s">
        <v>2424</v>
      </c>
      <c r="R454" s="13" t="s">
        <v>0</v>
      </c>
      <c r="S454" s="13" t="s">
        <v>0</v>
      </c>
      <c r="T454" s="13" t="s">
        <v>9</v>
      </c>
      <c r="U454" s="13" t="s">
        <v>0</v>
      </c>
      <c r="V454" s="13" t="s">
        <v>0</v>
      </c>
      <c r="W454" s="13" t="s">
        <v>0</v>
      </c>
      <c r="X454" s="13" t="s">
        <v>0</v>
      </c>
      <c r="Y454" s="13" t="s">
        <v>10</v>
      </c>
      <c r="Z454" s="13" t="s">
        <v>0</v>
      </c>
      <c r="AA454" s="14"/>
      <c r="AB454" s="13" t="s">
        <v>0</v>
      </c>
      <c r="AC454" s="13" t="s">
        <v>0</v>
      </c>
      <c r="AD454" s="13" t="s">
        <v>0</v>
      </c>
      <c r="AE454" s="15">
        <v>0</v>
      </c>
    </row>
    <row r="455" spans="1:31" ht="14.15" customHeight="1" x14ac:dyDescent="0.25">
      <c r="A455" s="12" t="s">
        <v>0</v>
      </c>
      <c r="B455" s="13" t="s">
        <v>1</v>
      </c>
      <c r="C455" s="13" t="s">
        <v>1987</v>
      </c>
      <c r="D455" s="14">
        <v>44196</v>
      </c>
      <c r="E455" s="14">
        <v>44196</v>
      </c>
      <c r="F455" s="14">
        <v>44201</v>
      </c>
      <c r="G455" s="13" t="s">
        <v>3</v>
      </c>
      <c r="H455" s="13" t="s">
        <v>4</v>
      </c>
      <c r="I455" s="15">
        <v>-36250.620000000003</v>
      </c>
      <c r="J455" s="13" t="s">
        <v>5</v>
      </c>
      <c r="K455" s="13" t="s">
        <v>6</v>
      </c>
      <c r="L455" s="15">
        <v>-3043239.55</v>
      </c>
      <c r="M455" s="15">
        <v>-36250.620000000003</v>
      </c>
      <c r="N455" s="16" t="str">
        <f>IF(M455="","",IF(M455&lt;0,-M455&amp;"_"&amp;COUNTIF(M$2:M455,M455),M455&amp;"_"&amp;COUNTIF(M$2:M455,M455)))</f>
        <v>36250.62_1</v>
      </c>
      <c r="O455" s="17" t="str">
        <f t="shared" si="7"/>
        <v/>
      </c>
      <c r="P455" s="13" t="s">
        <v>1988</v>
      </c>
      <c r="Q455" s="13" t="s">
        <v>1976</v>
      </c>
      <c r="R455" s="13" t="s">
        <v>0</v>
      </c>
      <c r="S455" s="13" t="s">
        <v>0</v>
      </c>
      <c r="T455" s="13" t="s">
        <v>9</v>
      </c>
      <c r="U455" s="13" t="s">
        <v>0</v>
      </c>
      <c r="V455" s="13" t="s">
        <v>0</v>
      </c>
      <c r="W455" s="13" t="s">
        <v>0</v>
      </c>
      <c r="X455" s="13" t="s">
        <v>0</v>
      </c>
      <c r="Y455" s="13" t="s">
        <v>10</v>
      </c>
      <c r="Z455" s="13" t="s">
        <v>0</v>
      </c>
      <c r="AA455" s="14"/>
      <c r="AB455" s="13" t="s">
        <v>0</v>
      </c>
      <c r="AC455" s="13" t="s">
        <v>0</v>
      </c>
      <c r="AD455" s="13" t="s">
        <v>0</v>
      </c>
      <c r="AE455" s="15">
        <v>0</v>
      </c>
    </row>
    <row r="456" spans="1:31" ht="14.15" customHeight="1" x14ac:dyDescent="0.25">
      <c r="A456" s="12" t="s">
        <v>0</v>
      </c>
      <c r="B456" s="13" t="s">
        <v>1</v>
      </c>
      <c r="C456" s="13" t="s">
        <v>4228</v>
      </c>
      <c r="D456" s="14">
        <v>44367</v>
      </c>
      <c r="E456" s="14">
        <v>44367</v>
      </c>
      <c r="F456" s="14">
        <v>44371</v>
      </c>
      <c r="G456" s="13" t="s">
        <v>3</v>
      </c>
      <c r="H456" s="13" t="s">
        <v>4</v>
      </c>
      <c r="I456" s="15">
        <v>-36119.629999999997</v>
      </c>
      <c r="J456" s="13" t="s">
        <v>5</v>
      </c>
      <c r="K456" s="13" t="s">
        <v>6</v>
      </c>
      <c r="L456" s="15">
        <v>-3032242.94</v>
      </c>
      <c r="M456" s="15">
        <v>-36119.629999999997</v>
      </c>
      <c r="N456" s="16" t="str">
        <f>IF(M456="","",IF(M456&lt;0,-M456&amp;"_"&amp;COUNTIF(M$2:M456,M456),M456&amp;"_"&amp;COUNTIF(M$2:M456,M456)))</f>
        <v>36119.63_1</v>
      </c>
      <c r="O456" s="17" t="str">
        <f t="shared" si="7"/>
        <v/>
      </c>
      <c r="P456" s="13" t="s">
        <v>4229</v>
      </c>
      <c r="Q456" s="13" t="s">
        <v>4227</v>
      </c>
      <c r="R456" s="13" t="s">
        <v>0</v>
      </c>
      <c r="S456" s="13" t="s">
        <v>0</v>
      </c>
      <c r="T456" s="13" t="s">
        <v>9</v>
      </c>
      <c r="U456" s="13" t="s">
        <v>0</v>
      </c>
      <c r="V456" s="13" t="s">
        <v>0</v>
      </c>
      <c r="W456" s="13" t="s">
        <v>0</v>
      </c>
      <c r="X456" s="13" t="s">
        <v>0</v>
      </c>
      <c r="Y456" s="13" t="s">
        <v>10</v>
      </c>
      <c r="Z456" s="13" t="s">
        <v>0</v>
      </c>
      <c r="AA456" s="14"/>
      <c r="AB456" s="13" t="s">
        <v>0</v>
      </c>
      <c r="AC456" s="13" t="s">
        <v>0</v>
      </c>
      <c r="AD456" s="13" t="s">
        <v>0</v>
      </c>
      <c r="AE456" s="15">
        <v>0</v>
      </c>
    </row>
    <row r="457" spans="1:31" ht="14.15" customHeight="1" x14ac:dyDescent="0.25">
      <c r="A457" s="12" t="s">
        <v>0</v>
      </c>
      <c r="B457" s="13" t="s">
        <v>1</v>
      </c>
      <c r="C457" s="13" t="s">
        <v>3340</v>
      </c>
      <c r="D457" s="14">
        <v>44316</v>
      </c>
      <c r="E457" s="14">
        <v>44316</v>
      </c>
      <c r="F457" s="14">
        <v>44321</v>
      </c>
      <c r="G457" s="13" t="s">
        <v>3</v>
      </c>
      <c r="H457" s="13" t="s">
        <v>4</v>
      </c>
      <c r="I457" s="15">
        <v>-36115.94</v>
      </c>
      <c r="J457" s="13" t="s">
        <v>5</v>
      </c>
      <c r="K457" s="13" t="s">
        <v>6</v>
      </c>
      <c r="L457" s="15">
        <v>-3031933.16</v>
      </c>
      <c r="M457" s="15">
        <v>-36115.94</v>
      </c>
      <c r="N457" s="16" t="str">
        <f>IF(M457="","",IF(M457&lt;0,-M457&amp;"_"&amp;COUNTIF(M$2:M457,M457),M457&amp;"_"&amp;COUNTIF(M$2:M457,M457)))</f>
        <v>36115.94_1</v>
      </c>
      <c r="O457" s="17" t="str">
        <f t="shared" si="7"/>
        <v/>
      </c>
      <c r="P457" s="13" t="s">
        <v>3341</v>
      </c>
      <c r="Q457" s="13" t="s">
        <v>3339</v>
      </c>
      <c r="R457" s="13" t="s">
        <v>0</v>
      </c>
      <c r="S457" s="13" t="s">
        <v>0</v>
      </c>
      <c r="T457" s="13" t="s">
        <v>9</v>
      </c>
      <c r="U457" s="13" t="s">
        <v>0</v>
      </c>
      <c r="V457" s="13" t="s">
        <v>0</v>
      </c>
      <c r="W457" s="13" t="s">
        <v>0</v>
      </c>
      <c r="X457" s="13" t="s">
        <v>0</v>
      </c>
      <c r="Y457" s="13" t="s">
        <v>10</v>
      </c>
      <c r="Z457" s="13" t="s">
        <v>0</v>
      </c>
      <c r="AA457" s="14"/>
      <c r="AB457" s="13" t="s">
        <v>0</v>
      </c>
      <c r="AC457" s="13" t="s">
        <v>0</v>
      </c>
      <c r="AD457" s="13" t="s">
        <v>0</v>
      </c>
      <c r="AE457" s="15">
        <v>0</v>
      </c>
    </row>
    <row r="458" spans="1:31" ht="14.15" customHeight="1" x14ac:dyDescent="0.25">
      <c r="A458" s="12" t="s">
        <v>0</v>
      </c>
      <c r="B458" s="13" t="s">
        <v>1</v>
      </c>
      <c r="C458" s="13" t="s">
        <v>4278</v>
      </c>
      <c r="D458" s="14">
        <v>44370</v>
      </c>
      <c r="E458" s="14">
        <v>44370</v>
      </c>
      <c r="F458" s="14">
        <v>44377</v>
      </c>
      <c r="G458" s="13" t="s">
        <v>3</v>
      </c>
      <c r="H458" s="13" t="s">
        <v>4</v>
      </c>
      <c r="I458" s="15">
        <v>-36019.54</v>
      </c>
      <c r="J458" s="13" t="s">
        <v>5</v>
      </c>
      <c r="K458" s="13" t="s">
        <v>6</v>
      </c>
      <c r="L458" s="15">
        <v>-3023840.38</v>
      </c>
      <c r="M458" s="15">
        <v>-36019.54</v>
      </c>
      <c r="N458" s="16" t="str">
        <f>IF(M458="","",IF(M458&lt;0,-M458&amp;"_"&amp;COUNTIF(M$2:M458,M458),M458&amp;"_"&amp;COUNTIF(M$2:M458,M458)))</f>
        <v>36019.54_1</v>
      </c>
      <c r="O458" s="17" t="str">
        <f t="shared" si="7"/>
        <v/>
      </c>
      <c r="P458" s="13" t="s">
        <v>4279</v>
      </c>
      <c r="Q458" s="13" t="s">
        <v>4269</v>
      </c>
      <c r="R458" s="13" t="s">
        <v>0</v>
      </c>
      <c r="S458" s="13" t="s">
        <v>0</v>
      </c>
      <c r="T458" s="13" t="s">
        <v>9</v>
      </c>
      <c r="U458" s="13" t="s">
        <v>0</v>
      </c>
      <c r="V458" s="13" t="s">
        <v>0</v>
      </c>
      <c r="W458" s="13" t="s">
        <v>0</v>
      </c>
      <c r="X458" s="13" t="s">
        <v>0</v>
      </c>
      <c r="Y458" s="13" t="s">
        <v>10</v>
      </c>
      <c r="Z458" s="13" t="s">
        <v>0</v>
      </c>
      <c r="AA458" s="14"/>
      <c r="AB458" s="13" t="s">
        <v>0</v>
      </c>
      <c r="AC458" s="13" t="s">
        <v>0</v>
      </c>
      <c r="AD458" s="13" t="s">
        <v>0</v>
      </c>
      <c r="AE458" s="15">
        <v>0</v>
      </c>
    </row>
    <row r="459" spans="1:31" ht="14.15" customHeight="1" x14ac:dyDescent="0.25">
      <c r="A459" s="12" t="s">
        <v>0</v>
      </c>
      <c r="B459" s="13" t="s">
        <v>1</v>
      </c>
      <c r="C459" s="13" t="s">
        <v>4223</v>
      </c>
      <c r="D459" s="14">
        <v>44366</v>
      </c>
      <c r="E459" s="14">
        <v>44366</v>
      </c>
      <c r="F459" s="14">
        <v>44384</v>
      </c>
      <c r="G459" s="13" t="s">
        <v>3</v>
      </c>
      <c r="H459" s="13" t="s">
        <v>4</v>
      </c>
      <c r="I459" s="15">
        <v>-36006.54</v>
      </c>
      <c r="J459" s="13" t="s">
        <v>5</v>
      </c>
      <c r="K459" s="13" t="s">
        <v>6</v>
      </c>
      <c r="L459" s="15">
        <v>-3022749.03</v>
      </c>
      <c r="M459" s="15">
        <v>-36006.54</v>
      </c>
      <c r="N459" s="16" t="str">
        <f>IF(M459="","",IF(M459&lt;0,-M459&amp;"_"&amp;COUNTIF(M$2:M459,M459),M459&amp;"_"&amp;COUNTIF(M$2:M459,M459)))</f>
        <v>36006.54_1</v>
      </c>
      <c r="O459" s="17" t="str">
        <f t="shared" si="7"/>
        <v/>
      </c>
      <c r="P459" s="13" t="s">
        <v>4224</v>
      </c>
      <c r="Q459" s="13" t="s">
        <v>4216</v>
      </c>
      <c r="R459" s="13" t="s">
        <v>0</v>
      </c>
      <c r="S459" s="13" t="s">
        <v>0</v>
      </c>
      <c r="T459" s="13" t="s">
        <v>9</v>
      </c>
      <c r="U459" s="13" t="s">
        <v>0</v>
      </c>
      <c r="V459" s="13" t="s">
        <v>0</v>
      </c>
      <c r="W459" s="13" t="s">
        <v>0</v>
      </c>
      <c r="X459" s="13" t="s">
        <v>0</v>
      </c>
      <c r="Y459" s="13" t="s">
        <v>10</v>
      </c>
      <c r="Z459" s="13" t="s">
        <v>0</v>
      </c>
      <c r="AA459" s="14"/>
      <c r="AB459" s="13" t="s">
        <v>0</v>
      </c>
      <c r="AC459" s="13" t="s">
        <v>0</v>
      </c>
      <c r="AD459" s="13" t="s">
        <v>0</v>
      </c>
      <c r="AE459" s="15">
        <v>0</v>
      </c>
    </row>
    <row r="460" spans="1:31" ht="14.15" customHeight="1" x14ac:dyDescent="0.25">
      <c r="A460" s="12" t="s">
        <v>0</v>
      </c>
      <c r="B460" s="13" t="s">
        <v>1</v>
      </c>
      <c r="C460" s="13" t="s">
        <v>2593</v>
      </c>
      <c r="D460" s="14">
        <v>44243</v>
      </c>
      <c r="E460" s="14">
        <v>44243</v>
      </c>
      <c r="F460" s="14">
        <v>44252</v>
      </c>
      <c r="G460" s="13" t="s">
        <v>3</v>
      </c>
      <c r="H460" s="13" t="s">
        <v>4</v>
      </c>
      <c r="I460" s="15">
        <v>-35965.300000000003</v>
      </c>
      <c r="J460" s="13" t="s">
        <v>5</v>
      </c>
      <c r="K460" s="13" t="s">
        <v>6</v>
      </c>
      <c r="L460" s="15">
        <v>-3019286.94</v>
      </c>
      <c r="M460" s="15">
        <v>-35965.300000000003</v>
      </c>
      <c r="N460" s="16" t="str">
        <f>IF(M460="","",IF(M460&lt;0,-M460&amp;"_"&amp;COUNTIF(M$2:M460,M460),M460&amp;"_"&amp;COUNTIF(M$2:M460,M460)))</f>
        <v>35965.3_1</v>
      </c>
      <c r="O460" s="17" t="str">
        <f t="shared" si="7"/>
        <v/>
      </c>
      <c r="P460" s="13" t="s">
        <v>2594</v>
      </c>
      <c r="Q460" s="13" t="s">
        <v>2574</v>
      </c>
      <c r="R460" s="13" t="s">
        <v>0</v>
      </c>
      <c r="S460" s="13" t="s">
        <v>0</v>
      </c>
      <c r="T460" s="13" t="s">
        <v>9</v>
      </c>
      <c r="U460" s="13" t="s">
        <v>0</v>
      </c>
      <c r="V460" s="13" t="s">
        <v>0</v>
      </c>
      <c r="W460" s="13" t="s">
        <v>0</v>
      </c>
      <c r="X460" s="13" t="s">
        <v>0</v>
      </c>
      <c r="Y460" s="13" t="s">
        <v>10</v>
      </c>
      <c r="Z460" s="13" t="s">
        <v>0</v>
      </c>
      <c r="AA460" s="14"/>
      <c r="AB460" s="13" t="s">
        <v>0</v>
      </c>
      <c r="AC460" s="13" t="s">
        <v>0</v>
      </c>
      <c r="AD460" s="13" t="s">
        <v>0</v>
      </c>
      <c r="AE460" s="15">
        <v>0</v>
      </c>
    </row>
    <row r="461" spans="1:31" ht="14.15" customHeight="1" x14ac:dyDescent="0.25">
      <c r="A461" s="12" t="s">
        <v>0</v>
      </c>
      <c r="B461" s="13" t="s">
        <v>1</v>
      </c>
      <c r="C461" s="13" t="s">
        <v>2545</v>
      </c>
      <c r="D461" s="14">
        <v>44238</v>
      </c>
      <c r="E461" s="14">
        <v>44238</v>
      </c>
      <c r="F461" s="14">
        <v>44243</v>
      </c>
      <c r="G461" s="13" t="s">
        <v>3</v>
      </c>
      <c r="H461" s="13" t="s">
        <v>4</v>
      </c>
      <c r="I461" s="15">
        <v>-35914.46</v>
      </c>
      <c r="J461" s="13" t="s">
        <v>5</v>
      </c>
      <c r="K461" s="13" t="s">
        <v>6</v>
      </c>
      <c r="L461" s="15">
        <v>-3015018.92</v>
      </c>
      <c r="M461" s="15">
        <v>-35914.46</v>
      </c>
      <c r="N461" s="16" t="str">
        <f>IF(M461="","",IF(M461&lt;0,-M461&amp;"_"&amp;COUNTIF(M$2:M461,M461),M461&amp;"_"&amp;COUNTIF(M$2:M461,M461)))</f>
        <v>35914.46_1</v>
      </c>
      <c r="O461" s="17" t="str">
        <f t="shared" si="7"/>
        <v/>
      </c>
      <c r="P461" s="13" t="s">
        <v>2546</v>
      </c>
      <c r="Q461" s="13" t="s">
        <v>2528</v>
      </c>
      <c r="R461" s="13" t="s">
        <v>0</v>
      </c>
      <c r="S461" s="13" t="s">
        <v>0</v>
      </c>
      <c r="T461" s="13" t="s">
        <v>9</v>
      </c>
      <c r="U461" s="13" t="s">
        <v>0</v>
      </c>
      <c r="V461" s="13" t="s">
        <v>0</v>
      </c>
      <c r="W461" s="13" t="s">
        <v>0</v>
      </c>
      <c r="X461" s="13" t="s">
        <v>0</v>
      </c>
      <c r="Y461" s="13" t="s">
        <v>10</v>
      </c>
      <c r="Z461" s="13" t="s">
        <v>0</v>
      </c>
      <c r="AA461" s="14"/>
      <c r="AB461" s="13" t="s">
        <v>0</v>
      </c>
      <c r="AC461" s="13" t="s">
        <v>0</v>
      </c>
      <c r="AD461" s="13" t="s">
        <v>0</v>
      </c>
      <c r="AE461" s="15">
        <v>0</v>
      </c>
    </row>
    <row r="462" spans="1:31" ht="14.15" customHeight="1" x14ac:dyDescent="0.25">
      <c r="A462" s="12" t="s">
        <v>0</v>
      </c>
      <c r="B462" s="13" t="s">
        <v>1</v>
      </c>
      <c r="C462" s="13" t="s">
        <v>3860</v>
      </c>
      <c r="D462" s="14">
        <v>44351</v>
      </c>
      <c r="E462" s="14">
        <v>44351</v>
      </c>
      <c r="F462" s="14">
        <v>44357</v>
      </c>
      <c r="G462" s="13" t="s">
        <v>3</v>
      </c>
      <c r="H462" s="13" t="s">
        <v>4</v>
      </c>
      <c r="I462" s="15">
        <v>-35911.83</v>
      </c>
      <c r="J462" s="13" t="s">
        <v>5</v>
      </c>
      <c r="K462" s="13" t="s">
        <v>6</v>
      </c>
      <c r="L462" s="15">
        <v>-3014798.13</v>
      </c>
      <c r="M462" s="15">
        <v>-35911.83</v>
      </c>
      <c r="N462" s="16" t="str">
        <f>IF(M462="","",IF(M462&lt;0,-M462&amp;"_"&amp;COUNTIF(M$2:M462,M462),M462&amp;"_"&amp;COUNTIF(M$2:M462,M462)))</f>
        <v>35911.83_1</v>
      </c>
      <c r="O462" s="17" t="str">
        <f t="shared" si="7"/>
        <v/>
      </c>
      <c r="P462" s="13" t="s">
        <v>3861</v>
      </c>
      <c r="Q462" s="13" t="s">
        <v>3857</v>
      </c>
      <c r="R462" s="13" t="s">
        <v>0</v>
      </c>
      <c r="S462" s="13" t="s">
        <v>0</v>
      </c>
      <c r="T462" s="13" t="s">
        <v>9</v>
      </c>
      <c r="U462" s="13" t="s">
        <v>0</v>
      </c>
      <c r="V462" s="13" t="s">
        <v>0</v>
      </c>
      <c r="W462" s="13" t="s">
        <v>0</v>
      </c>
      <c r="X462" s="13" t="s">
        <v>0</v>
      </c>
      <c r="Y462" s="13" t="s">
        <v>10</v>
      </c>
      <c r="Z462" s="13" t="s">
        <v>0</v>
      </c>
      <c r="AA462" s="14"/>
      <c r="AB462" s="13" t="s">
        <v>0</v>
      </c>
      <c r="AC462" s="13" t="s">
        <v>0</v>
      </c>
      <c r="AD462" s="13" t="s">
        <v>0</v>
      </c>
      <c r="AE462" s="15">
        <v>0</v>
      </c>
    </row>
    <row r="463" spans="1:31" ht="14.15" customHeight="1" x14ac:dyDescent="0.25">
      <c r="A463" s="12" t="s">
        <v>0</v>
      </c>
      <c r="B463" s="13" t="s">
        <v>1</v>
      </c>
      <c r="C463" s="13" t="s">
        <v>4308</v>
      </c>
      <c r="D463" s="14">
        <v>44371</v>
      </c>
      <c r="E463" s="14">
        <v>44371</v>
      </c>
      <c r="F463" s="14">
        <v>44377</v>
      </c>
      <c r="G463" s="13" t="s">
        <v>3</v>
      </c>
      <c r="H463" s="13" t="s">
        <v>4</v>
      </c>
      <c r="I463" s="15">
        <v>-35811.660000000003</v>
      </c>
      <c r="J463" s="13" t="s">
        <v>5</v>
      </c>
      <c r="K463" s="13" t="s">
        <v>6</v>
      </c>
      <c r="L463" s="15">
        <v>-3006388.86</v>
      </c>
      <c r="M463" s="15">
        <v>-35811.660000000003</v>
      </c>
      <c r="N463" s="16" t="str">
        <f>IF(M463="","",IF(M463&lt;0,-M463&amp;"_"&amp;COUNTIF(M$2:M463,M463),M463&amp;"_"&amp;COUNTIF(M$2:M463,M463)))</f>
        <v>35811.66_1</v>
      </c>
      <c r="O463" s="17" t="str">
        <f t="shared" si="7"/>
        <v/>
      </c>
      <c r="P463" s="13" t="s">
        <v>4309</v>
      </c>
      <c r="Q463" s="13" t="s">
        <v>4307</v>
      </c>
      <c r="R463" s="13" t="s">
        <v>0</v>
      </c>
      <c r="S463" s="13" t="s">
        <v>0</v>
      </c>
      <c r="T463" s="13" t="s">
        <v>9</v>
      </c>
      <c r="U463" s="13" t="s">
        <v>0</v>
      </c>
      <c r="V463" s="13" t="s">
        <v>0</v>
      </c>
      <c r="W463" s="13" t="s">
        <v>0</v>
      </c>
      <c r="X463" s="13" t="s">
        <v>0</v>
      </c>
      <c r="Y463" s="13" t="s">
        <v>10</v>
      </c>
      <c r="Z463" s="13" t="s">
        <v>0</v>
      </c>
      <c r="AA463" s="14"/>
      <c r="AB463" s="13" t="s">
        <v>0</v>
      </c>
      <c r="AC463" s="13" t="s">
        <v>0</v>
      </c>
      <c r="AD463" s="13" t="s">
        <v>0</v>
      </c>
      <c r="AE463" s="15">
        <v>0</v>
      </c>
    </row>
    <row r="464" spans="1:31" ht="14.15" customHeight="1" x14ac:dyDescent="0.25">
      <c r="A464" s="12" t="s">
        <v>0</v>
      </c>
      <c r="B464" s="13" t="s">
        <v>1</v>
      </c>
      <c r="C464" s="13" t="s">
        <v>4221</v>
      </c>
      <c r="D464" s="14">
        <v>44366</v>
      </c>
      <c r="E464" s="14">
        <v>44366</v>
      </c>
      <c r="F464" s="14">
        <v>44384</v>
      </c>
      <c r="G464" s="13" t="s">
        <v>3</v>
      </c>
      <c r="H464" s="13" t="s">
        <v>4</v>
      </c>
      <c r="I464" s="15">
        <v>-35800.79</v>
      </c>
      <c r="J464" s="13" t="s">
        <v>5</v>
      </c>
      <c r="K464" s="13" t="s">
        <v>6</v>
      </c>
      <c r="L464" s="15">
        <v>-3005476.32</v>
      </c>
      <c r="M464" s="15">
        <v>-35800.79</v>
      </c>
      <c r="N464" s="16" t="str">
        <f>IF(M464="","",IF(M464&lt;0,-M464&amp;"_"&amp;COUNTIF(M$2:M464,M464),M464&amp;"_"&amp;COUNTIF(M$2:M464,M464)))</f>
        <v>35800.79_1</v>
      </c>
      <c r="O464" s="17" t="str">
        <f t="shared" si="7"/>
        <v/>
      </c>
      <c r="P464" s="13" t="s">
        <v>4222</v>
      </c>
      <c r="Q464" s="13" t="s">
        <v>4216</v>
      </c>
      <c r="R464" s="13" t="s">
        <v>0</v>
      </c>
      <c r="S464" s="13" t="s">
        <v>0</v>
      </c>
      <c r="T464" s="13" t="s">
        <v>9</v>
      </c>
      <c r="U464" s="13" t="s">
        <v>0</v>
      </c>
      <c r="V464" s="13" t="s">
        <v>0</v>
      </c>
      <c r="W464" s="13" t="s">
        <v>0</v>
      </c>
      <c r="X464" s="13" t="s">
        <v>0</v>
      </c>
      <c r="Y464" s="13" t="s">
        <v>10</v>
      </c>
      <c r="Z464" s="13" t="s">
        <v>0</v>
      </c>
      <c r="AA464" s="14"/>
      <c r="AB464" s="13" t="s">
        <v>0</v>
      </c>
      <c r="AC464" s="13" t="s">
        <v>0</v>
      </c>
      <c r="AD464" s="13" t="s">
        <v>0</v>
      </c>
      <c r="AE464" s="15">
        <v>0</v>
      </c>
    </row>
    <row r="465" spans="1:31" ht="14.15" customHeight="1" x14ac:dyDescent="0.25">
      <c r="A465" s="12" t="s">
        <v>0</v>
      </c>
      <c r="B465" s="13" t="s">
        <v>1</v>
      </c>
      <c r="C465" s="13" t="s">
        <v>1166</v>
      </c>
      <c r="D465" s="14">
        <v>44140</v>
      </c>
      <c r="E465" s="14">
        <v>44140</v>
      </c>
      <c r="F465" s="14">
        <v>44145</v>
      </c>
      <c r="G465" s="13" t="s">
        <v>3</v>
      </c>
      <c r="H465" s="13" t="s">
        <v>4</v>
      </c>
      <c r="I465" s="15">
        <v>-35799.43</v>
      </c>
      <c r="J465" s="13" t="s">
        <v>5</v>
      </c>
      <c r="K465" s="13" t="s">
        <v>6</v>
      </c>
      <c r="L465" s="15">
        <v>-3005362.15</v>
      </c>
      <c r="M465" s="15">
        <v>-35799.43</v>
      </c>
      <c r="N465" s="16" t="str">
        <f>IF(M465="","",IF(M465&lt;0,-M465&amp;"_"&amp;COUNTIF(M$2:M465,M465),M465&amp;"_"&amp;COUNTIF(M$2:M465,M465)))</f>
        <v>35799.43_1</v>
      </c>
      <c r="O465" s="17" t="str">
        <f t="shared" si="7"/>
        <v/>
      </c>
      <c r="P465" s="13" t="s">
        <v>1167</v>
      </c>
      <c r="Q465" s="13" t="s">
        <v>1165</v>
      </c>
      <c r="R465" s="13" t="s">
        <v>0</v>
      </c>
      <c r="S465" s="13" t="s">
        <v>0</v>
      </c>
      <c r="T465" s="13" t="s">
        <v>9</v>
      </c>
      <c r="U465" s="13" t="s">
        <v>0</v>
      </c>
      <c r="V465" s="13" t="s">
        <v>0</v>
      </c>
      <c r="W465" s="13" t="s">
        <v>0</v>
      </c>
      <c r="X465" s="13" t="s">
        <v>0</v>
      </c>
      <c r="Y465" s="13" t="s">
        <v>10</v>
      </c>
      <c r="Z465" s="13" t="s">
        <v>0</v>
      </c>
      <c r="AA465" s="14"/>
      <c r="AB465" s="13" t="s">
        <v>0</v>
      </c>
      <c r="AC465" s="13" t="s">
        <v>0</v>
      </c>
      <c r="AD465" s="13" t="s">
        <v>0</v>
      </c>
      <c r="AE465" s="15">
        <v>0</v>
      </c>
    </row>
    <row r="466" spans="1:31" ht="14.15" customHeight="1" x14ac:dyDescent="0.25">
      <c r="A466" s="12" t="s">
        <v>0</v>
      </c>
      <c r="B466" s="13" t="s">
        <v>1</v>
      </c>
      <c r="C466" s="13" t="s">
        <v>844</v>
      </c>
      <c r="D466" s="14">
        <v>44107</v>
      </c>
      <c r="E466" s="14">
        <v>44107</v>
      </c>
      <c r="F466" s="14">
        <v>44114</v>
      </c>
      <c r="G466" s="13" t="s">
        <v>3</v>
      </c>
      <c r="H466" s="13" t="s">
        <v>4</v>
      </c>
      <c r="I466" s="15">
        <v>-35780.49</v>
      </c>
      <c r="J466" s="13" t="s">
        <v>5</v>
      </c>
      <c r="K466" s="13" t="s">
        <v>6</v>
      </c>
      <c r="L466" s="15">
        <v>-3003772.14</v>
      </c>
      <c r="M466" s="15">
        <v>-35780.49</v>
      </c>
      <c r="N466" s="16" t="str">
        <f>IF(M466="","",IF(M466&lt;0,-M466&amp;"_"&amp;COUNTIF(M$2:M466,M466),M466&amp;"_"&amp;COUNTIF(M$2:M466,M466)))</f>
        <v>35780.49_1</v>
      </c>
      <c r="O466" s="17" t="str">
        <f t="shared" si="7"/>
        <v/>
      </c>
      <c r="P466" s="13" t="s">
        <v>845</v>
      </c>
      <c r="Q466" s="13" t="s">
        <v>841</v>
      </c>
      <c r="R466" s="13" t="s">
        <v>0</v>
      </c>
      <c r="S466" s="13" t="s">
        <v>0</v>
      </c>
      <c r="T466" s="13" t="s">
        <v>9</v>
      </c>
      <c r="U466" s="13" t="s">
        <v>0</v>
      </c>
      <c r="V466" s="13" t="s">
        <v>0</v>
      </c>
      <c r="W466" s="13" t="s">
        <v>0</v>
      </c>
      <c r="X466" s="13" t="s">
        <v>0</v>
      </c>
      <c r="Y466" s="13" t="s">
        <v>10</v>
      </c>
      <c r="Z466" s="13" t="s">
        <v>0</v>
      </c>
      <c r="AA466" s="14"/>
      <c r="AB466" s="13" t="s">
        <v>0</v>
      </c>
      <c r="AC466" s="13" t="s">
        <v>0</v>
      </c>
      <c r="AD466" s="13" t="s">
        <v>0</v>
      </c>
      <c r="AE466" s="15">
        <v>0</v>
      </c>
    </row>
    <row r="467" spans="1:31" ht="14.15" customHeight="1" x14ac:dyDescent="0.25">
      <c r="A467" s="12" t="s">
        <v>0</v>
      </c>
      <c r="B467" s="13" t="s">
        <v>1</v>
      </c>
      <c r="C467" s="13" t="s">
        <v>2965</v>
      </c>
      <c r="D467" s="14">
        <v>44278</v>
      </c>
      <c r="E467" s="14">
        <v>44278</v>
      </c>
      <c r="F467" s="14">
        <v>44283</v>
      </c>
      <c r="G467" s="13" t="s">
        <v>3</v>
      </c>
      <c r="H467" s="13" t="s">
        <v>4</v>
      </c>
      <c r="I467" s="15">
        <v>-35777.089999999997</v>
      </c>
      <c r="J467" s="13" t="s">
        <v>5</v>
      </c>
      <c r="K467" s="13" t="s">
        <v>6</v>
      </c>
      <c r="L467" s="15">
        <v>-3003486.72</v>
      </c>
      <c r="M467" s="15">
        <v>-35777.089999999997</v>
      </c>
      <c r="N467" s="16" t="str">
        <f>IF(M467="","",IF(M467&lt;0,-M467&amp;"_"&amp;COUNTIF(M$2:M467,M467),M467&amp;"_"&amp;COUNTIF(M$2:M467,M467)))</f>
        <v>35777.09_1</v>
      </c>
      <c r="O467" s="17" t="str">
        <f t="shared" si="7"/>
        <v/>
      </c>
      <c r="P467" s="13" t="s">
        <v>2966</v>
      </c>
      <c r="Q467" s="13" t="s">
        <v>2964</v>
      </c>
      <c r="R467" s="13" t="s">
        <v>0</v>
      </c>
      <c r="S467" s="13" t="s">
        <v>0</v>
      </c>
      <c r="T467" s="13" t="s">
        <v>9</v>
      </c>
      <c r="U467" s="13" t="s">
        <v>0</v>
      </c>
      <c r="V467" s="13" t="s">
        <v>0</v>
      </c>
      <c r="W467" s="13" t="s">
        <v>0</v>
      </c>
      <c r="X467" s="13" t="s">
        <v>0</v>
      </c>
      <c r="Y467" s="13" t="s">
        <v>10</v>
      </c>
      <c r="Z467" s="13" t="s">
        <v>0</v>
      </c>
      <c r="AA467" s="14"/>
      <c r="AB467" s="13" t="s">
        <v>0</v>
      </c>
      <c r="AC467" s="13" t="s">
        <v>0</v>
      </c>
      <c r="AD467" s="13" t="s">
        <v>0</v>
      </c>
      <c r="AE467" s="15">
        <v>0</v>
      </c>
    </row>
    <row r="468" spans="1:31" ht="14.15" customHeight="1" x14ac:dyDescent="0.25">
      <c r="A468" s="12" t="s">
        <v>0</v>
      </c>
      <c r="B468" s="13" t="s">
        <v>1</v>
      </c>
      <c r="C468" s="13" t="s">
        <v>2191</v>
      </c>
      <c r="D468" s="14">
        <v>44210</v>
      </c>
      <c r="E468" s="14">
        <v>44210</v>
      </c>
      <c r="F468" s="14">
        <v>44217</v>
      </c>
      <c r="G468" s="13" t="s">
        <v>3</v>
      </c>
      <c r="H468" s="13" t="s">
        <v>4</v>
      </c>
      <c r="I468" s="15">
        <v>-35686.61</v>
      </c>
      <c r="J468" s="13" t="s">
        <v>5</v>
      </c>
      <c r="K468" s="13" t="s">
        <v>6</v>
      </c>
      <c r="L468" s="15">
        <v>-2995890.91</v>
      </c>
      <c r="M468" s="15">
        <v>-35686.61</v>
      </c>
      <c r="N468" s="16" t="str">
        <f>IF(M468="","",IF(M468&lt;0,-M468&amp;"_"&amp;COUNTIF(M$2:M468,M468),M468&amp;"_"&amp;COUNTIF(M$2:M468,M468)))</f>
        <v>35686.61_1</v>
      </c>
      <c r="O468" s="17" t="str">
        <f t="shared" si="7"/>
        <v/>
      </c>
      <c r="P468" s="13" t="s">
        <v>2192</v>
      </c>
      <c r="Q468" s="13" t="s">
        <v>2176</v>
      </c>
      <c r="R468" s="13" t="s">
        <v>0</v>
      </c>
      <c r="S468" s="13" t="s">
        <v>0</v>
      </c>
      <c r="T468" s="13" t="s">
        <v>9</v>
      </c>
      <c r="U468" s="13" t="s">
        <v>0</v>
      </c>
      <c r="V468" s="13" t="s">
        <v>0</v>
      </c>
      <c r="W468" s="13" t="s">
        <v>0</v>
      </c>
      <c r="X468" s="13" t="s">
        <v>0</v>
      </c>
      <c r="Y468" s="13" t="s">
        <v>10</v>
      </c>
      <c r="Z468" s="13" t="s">
        <v>0</v>
      </c>
      <c r="AA468" s="14"/>
      <c r="AB468" s="13" t="s">
        <v>0</v>
      </c>
      <c r="AC468" s="13" t="s">
        <v>0</v>
      </c>
      <c r="AD468" s="13" t="s">
        <v>0</v>
      </c>
      <c r="AE468" s="15">
        <v>0</v>
      </c>
    </row>
    <row r="469" spans="1:31" ht="14.15" customHeight="1" x14ac:dyDescent="0.25">
      <c r="A469" s="12" t="s">
        <v>0</v>
      </c>
      <c r="B469" s="13" t="s">
        <v>1</v>
      </c>
      <c r="C469" s="13" t="s">
        <v>3285</v>
      </c>
      <c r="D469" s="14">
        <v>44314</v>
      </c>
      <c r="E469" s="14">
        <v>44314</v>
      </c>
      <c r="F469" s="14">
        <v>44319</v>
      </c>
      <c r="G469" s="13" t="s">
        <v>3</v>
      </c>
      <c r="H469" s="13" t="s">
        <v>4</v>
      </c>
      <c r="I469" s="15">
        <v>-35639.5</v>
      </c>
      <c r="J469" s="13" t="s">
        <v>5</v>
      </c>
      <c r="K469" s="13" t="s">
        <v>6</v>
      </c>
      <c r="L469" s="15">
        <v>-2991936.03</v>
      </c>
      <c r="M469" s="15">
        <v>-35639.5</v>
      </c>
      <c r="N469" s="16" t="str">
        <f>IF(M469="","",IF(M469&lt;0,-M469&amp;"_"&amp;COUNTIF(M$2:M469,M469),M469&amp;"_"&amp;COUNTIF(M$2:M469,M469)))</f>
        <v>35639.5_1</v>
      </c>
      <c r="O469" s="17" t="str">
        <f t="shared" si="7"/>
        <v/>
      </c>
      <c r="P469" s="13" t="s">
        <v>3286</v>
      </c>
      <c r="Q469" s="13" t="s">
        <v>3284</v>
      </c>
      <c r="R469" s="13" t="s">
        <v>0</v>
      </c>
      <c r="S469" s="13" t="s">
        <v>0</v>
      </c>
      <c r="T469" s="13" t="s">
        <v>9</v>
      </c>
      <c r="U469" s="13" t="s">
        <v>0</v>
      </c>
      <c r="V469" s="13" t="s">
        <v>0</v>
      </c>
      <c r="W469" s="13" t="s">
        <v>0</v>
      </c>
      <c r="X469" s="13" t="s">
        <v>0</v>
      </c>
      <c r="Y469" s="13" t="s">
        <v>10</v>
      </c>
      <c r="Z469" s="13" t="s">
        <v>0</v>
      </c>
      <c r="AA469" s="14"/>
      <c r="AB469" s="13" t="s">
        <v>0</v>
      </c>
      <c r="AC469" s="13" t="s">
        <v>0</v>
      </c>
      <c r="AD469" s="13" t="s">
        <v>0</v>
      </c>
      <c r="AE469" s="15">
        <v>0</v>
      </c>
    </row>
    <row r="470" spans="1:31" ht="14.15" customHeight="1" x14ac:dyDescent="0.25">
      <c r="A470" s="12" t="s">
        <v>0</v>
      </c>
      <c r="B470" s="13" t="s">
        <v>1</v>
      </c>
      <c r="C470" s="13" t="s">
        <v>4221</v>
      </c>
      <c r="D470" s="14">
        <v>44366</v>
      </c>
      <c r="E470" s="14">
        <v>44366</v>
      </c>
      <c r="F470" s="14">
        <v>44384</v>
      </c>
      <c r="G470" s="13" t="s">
        <v>3</v>
      </c>
      <c r="H470" s="13" t="s">
        <v>4</v>
      </c>
      <c r="I470" s="15">
        <v>-35638.379999999997</v>
      </c>
      <c r="J470" s="13" t="s">
        <v>5</v>
      </c>
      <c r="K470" s="13" t="s">
        <v>6</v>
      </c>
      <c r="L470" s="15">
        <v>-2991842</v>
      </c>
      <c r="M470" s="15">
        <v>-35638.379999999997</v>
      </c>
      <c r="N470" s="16" t="str">
        <f>IF(M470="","",IF(M470&lt;0,-M470&amp;"_"&amp;COUNTIF(M$2:M470,M470),M470&amp;"_"&amp;COUNTIF(M$2:M470,M470)))</f>
        <v>35638.38_1</v>
      </c>
      <c r="O470" s="17" t="str">
        <f t="shared" si="7"/>
        <v/>
      </c>
      <c r="P470" s="13" t="s">
        <v>4222</v>
      </c>
      <c r="Q470" s="13" t="s">
        <v>4216</v>
      </c>
      <c r="R470" s="13" t="s">
        <v>0</v>
      </c>
      <c r="S470" s="13" t="s">
        <v>0</v>
      </c>
      <c r="T470" s="13" t="s">
        <v>9</v>
      </c>
      <c r="U470" s="13" t="s">
        <v>0</v>
      </c>
      <c r="V470" s="13" t="s">
        <v>0</v>
      </c>
      <c r="W470" s="13" t="s">
        <v>0</v>
      </c>
      <c r="X470" s="13" t="s">
        <v>0</v>
      </c>
      <c r="Y470" s="13" t="s">
        <v>10</v>
      </c>
      <c r="Z470" s="13" t="s">
        <v>0</v>
      </c>
      <c r="AA470" s="14"/>
      <c r="AB470" s="13" t="s">
        <v>0</v>
      </c>
      <c r="AC470" s="13" t="s">
        <v>0</v>
      </c>
      <c r="AD470" s="13" t="s">
        <v>0</v>
      </c>
      <c r="AE470" s="15">
        <v>0</v>
      </c>
    </row>
    <row r="471" spans="1:31" ht="14.15" customHeight="1" x14ac:dyDescent="0.25">
      <c r="A471" s="12" t="s">
        <v>0</v>
      </c>
      <c r="B471" s="13" t="s">
        <v>1</v>
      </c>
      <c r="C471" s="13" t="s">
        <v>4084</v>
      </c>
      <c r="D471" s="14">
        <v>44361</v>
      </c>
      <c r="E471" s="14">
        <v>44361</v>
      </c>
      <c r="F471" s="14">
        <v>44364</v>
      </c>
      <c r="G471" s="13" t="s">
        <v>3</v>
      </c>
      <c r="H471" s="13" t="s">
        <v>4</v>
      </c>
      <c r="I471" s="15">
        <v>-35546.28</v>
      </c>
      <c r="J471" s="13" t="s">
        <v>5</v>
      </c>
      <c r="K471" s="13" t="s">
        <v>6</v>
      </c>
      <c r="L471" s="15">
        <v>-2984110.21</v>
      </c>
      <c r="M471" s="15">
        <v>-35546.28</v>
      </c>
      <c r="N471" s="16" t="str">
        <f>IF(M471="","",IF(M471&lt;0,-M471&amp;"_"&amp;COUNTIF(M$2:M471,M471),M471&amp;"_"&amp;COUNTIF(M$2:M471,M471)))</f>
        <v>35546.28_1</v>
      </c>
      <c r="O471" s="17" t="str">
        <f t="shared" si="7"/>
        <v/>
      </c>
      <c r="P471" s="13" t="s">
        <v>4085</v>
      </c>
      <c r="Q471" s="13" t="s">
        <v>4075</v>
      </c>
      <c r="R471" s="13" t="s">
        <v>0</v>
      </c>
      <c r="S471" s="13" t="s">
        <v>0</v>
      </c>
      <c r="T471" s="13" t="s">
        <v>9</v>
      </c>
      <c r="U471" s="13" t="s">
        <v>0</v>
      </c>
      <c r="V471" s="13" t="s">
        <v>0</v>
      </c>
      <c r="W471" s="13" t="s">
        <v>0</v>
      </c>
      <c r="X471" s="13" t="s">
        <v>0</v>
      </c>
      <c r="Y471" s="13" t="s">
        <v>10</v>
      </c>
      <c r="Z471" s="13" t="s">
        <v>0</v>
      </c>
      <c r="AA471" s="14"/>
      <c r="AB471" s="13" t="s">
        <v>0</v>
      </c>
      <c r="AC471" s="13" t="s">
        <v>0</v>
      </c>
      <c r="AD471" s="13" t="s">
        <v>0</v>
      </c>
      <c r="AE471" s="15">
        <v>0</v>
      </c>
    </row>
    <row r="472" spans="1:31" ht="14.15" customHeight="1" x14ac:dyDescent="0.25">
      <c r="A472" s="12" t="s">
        <v>0</v>
      </c>
      <c r="B472" s="13" t="s">
        <v>1</v>
      </c>
      <c r="C472" s="13" t="s">
        <v>3663</v>
      </c>
      <c r="D472" s="14">
        <v>44335</v>
      </c>
      <c r="E472" s="14">
        <v>44335</v>
      </c>
      <c r="F472" s="14">
        <v>44340</v>
      </c>
      <c r="G472" s="13" t="s">
        <v>3</v>
      </c>
      <c r="H472" s="13" t="s">
        <v>4</v>
      </c>
      <c r="I472" s="15">
        <v>-35466.120000000003</v>
      </c>
      <c r="J472" s="13" t="s">
        <v>5</v>
      </c>
      <c r="K472" s="13" t="s">
        <v>6</v>
      </c>
      <c r="L472" s="15">
        <v>-2977380.78</v>
      </c>
      <c r="M472" s="15">
        <v>-35466.120000000003</v>
      </c>
      <c r="N472" s="16" t="str">
        <f>IF(M472="","",IF(M472&lt;0,-M472&amp;"_"&amp;COUNTIF(M$2:M472,M472),M472&amp;"_"&amp;COUNTIF(M$2:M472,M472)))</f>
        <v>35466.12_1</v>
      </c>
      <c r="O472" s="17" t="str">
        <f t="shared" si="7"/>
        <v/>
      </c>
      <c r="P472" s="13" t="s">
        <v>3664</v>
      </c>
      <c r="Q472" s="13" t="s">
        <v>3665</v>
      </c>
      <c r="R472" s="13" t="s">
        <v>0</v>
      </c>
      <c r="S472" s="13" t="s">
        <v>0</v>
      </c>
      <c r="T472" s="13" t="s">
        <v>9</v>
      </c>
      <c r="U472" s="13" t="s">
        <v>0</v>
      </c>
      <c r="V472" s="13" t="s">
        <v>0</v>
      </c>
      <c r="W472" s="13" t="s">
        <v>0</v>
      </c>
      <c r="X472" s="13" t="s">
        <v>0</v>
      </c>
      <c r="Y472" s="13" t="s">
        <v>10</v>
      </c>
      <c r="Z472" s="13" t="s">
        <v>0</v>
      </c>
      <c r="AA472" s="14"/>
      <c r="AB472" s="13" t="s">
        <v>0</v>
      </c>
      <c r="AC472" s="13" t="s">
        <v>0</v>
      </c>
      <c r="AD472" s="13" t="s">
        <v>0</v>
      </c>
      <c r="AE472" s="15">
        <v>0</v>
      </c>
    </row>
    <row r="473" spans="1:31" ht="14.15" customHeight="1" x14ac:dyDescent="0.25">
      <c r="A473" s="12" t="s">
        <v>0</v>
      </c>
      <c r="B473" s="13" t="s">
        <v>1</v>
      </c>
      <c r="C473" s="13" t="s">
        <v>2673</v>
      </c>
      <c r="D473" s="14">
        <v>44253</v>
      </c>
      <c r="E473" s="14">
        <v>44253</v>
      </c>
      <c r="F473" s="14">
        <v>44258</v>
      </c>
      <c r="G473" s="13" t="s">
        <v>3</v>
      </c>
      <c r="H473" s="13" t="s">
        <v>4</v>
      </c>
      <c r="I473" s="15">
        <v>-35398.33</v>
      </c>
      <c r="J473" s="13" t="s">
        <v>5</v>
      </c>
      <c r="K473" s="13" t="s">
        <v>6</v>
      </c>
      <c r="L473" s="15">
        <v>-2971689.81</v>
      </c>
      <c r="M473" s="15">
        <v>-35398.33</v>
      </c>
      <c r="N473" s="16" t="str">
        <f>IF(M473="","",IF(M473&lt;0,-M473&amp;"_"&amp;COUNTIF(M$2:M473,M473),M473&amp;"_"&amp;COUNTIF(M$2:M473,M473)))</f>
        <v>35398.33_1</v>
      </c>
      <c r="O473" s="17" t="str">
        <f t="shared" si="7"/>
        <v/>
      </c>
      <c r="P473" s="13" t="s">
        <v>2674</v>
      </c>
      <c r="Q473" s="13" t="s">
        <v>2660</v>
      </c>
      <c r="R473" s="13" t="s">
        <v>0</v>
      </c>
      <c r="S473" s="13" t="s">
        <v>0</v>
      </c>
      <c r="T473" s="13" t="s">
        <v>9</v>
      </c>
      <c r="U473" s="13" t="s">
        <v>0</v>
      </c>
      <c r="V473" s="13" t="s">
        <v>0</v>
      </c>
      <c r="W473" s="13" t="s">
        <v>0</v>
      </c>
      <c r="X473" s="13" t="s">
        <v>0</v>
      </c>
      <c r="Y473" s="13" t="s">
        <v>10</v>
      </c>
      <c r="Z473" s="13" t="s">
        <v>0</v>
      </c>
      <c r="AA473" s="14"/>
      <c r="AB473" s="13" t="s">
        <v>0</v>
      </c>
      <c r="AC473" s="13" t="s">
        <v>0</v>
      </c>
      <c r="AD473" s="13" t="s">
        <v>0</v>
      </c>
      <c r="AE473" s="15">
        <v>0</v>
      </c>
    </row>
    <row r="474" spans="1:31" ht="14.15" customHeight="1" x14ac:dyDescent="0.25">
      <c r="A474" s="12" t="s">
        <v>0</v>
      </c>
      <c r="B474" s="13" t="s">
        <v>1</v>
      </c>
      <c r="C474" s="13" t="s">
        <v>2673</v>
      </c>
      <c r="D474" s="14">
        <v>44253</v>
      </c>
      <c r="E474" s="14">
        <v>44253</v>
      </c>
      <c r="F474" s="14">
        <v>44258</v>
      </c>
      <c r="G474" s="13" t="s">
        <v>3</v>
      </c>
      <c r="H474" s="13" t="s">
        <v>4</v>
      </c>
      <c r="I474" s="15">
        <v>-35398.33</v>
      </c>
      <c r="J474" s="13" t="s">
        <v>5</v>
      </c>
      <c r="K474" s="13" t="s">
        <v>6</v>
      </c>
      <c r="L474" s="15">
        <v>-2971689.8</v>
      </c>
      <c r="M474" s="15">
        <v>-35398.33</v>
      </c>
      <c r="N474" s="16" t="str">
        <f>IF(M474="","",IF(M474&lt;0,-M474&amp;"_"&amp;COUNTIF(M$2:M474,M474),M474&amp;"_"&amp;COUNTIF(M$2:M474,M474)))</f>
        <v>35398.33_2</v>
      </c>
      <c r="O474" s="17" t="str">
        <f t="shared" si="7"/>
        <v/>
      </c>
      <c r="P474" s="13" t="s">
        <v>2674</v>
      </c>
      <c r="Q474" s="13" t="s">
        <v>2660</v>
      </c>
      <c r="R474" s="13" t="s">
        <v>0</v>
      </c>
      <c r="S474" s="13" t="s">
        <v>0</v>
      </c>
      <c r="T474" s="13" t="s">
        <v>9</v>
      </c>
      <c r="U474" s="13" t="s">
        <v>0</v>
      </c>
      <c r="V474" s="13" t="s">
        <v>0</v>
      </c>
      <c r="W474" s="13" t="s">
        <v>0</v>
      </c>
      <c r="X474" s="13" t="s">
        <v>0</v>
      </c>
      <c r="Y474" s="13" t="s">
        <v>10</v>
      </c>
      <c r="Z474" s="13" t="s">
        <v>0</v>
      </c>
      <c r="AA474" s="14"/>
      <c r="AB474" s="13" t="s">
        <v>0</v>
      </c>
      <c r="AC474" s="13" t="s">
        <v>0</v>
      </c>
      <c r="AD474" s="13" t="s">
        <v>0</v>
      </c>
      <c r="AE474" s="15">
        <v>0</v>
      </c>
    </row>
    <row r="475" spans="1:31" ht="14.15" customHeight="1" x14ac:dyDescent="0.25">
      <c r="A475" s="12" t="s">
        <v>0</v>
      </c>
      <c r="B475" s="13" t="s">
        <v>1</v>
      </c>
      <c r="C475" s="13" t="s">
        <v>2673</v>
      </c>
      <c r="D475" s="14">
        <v>44253</v>
      </c>
      <c r="E475" s="14">
        <v>44253</v>
      </c>
      <c r="F475" s="14">
        <v>44258</v>
      </c>
      <c r="G475" s="13" t="s">
        <v>3</v>
      </c>
      <c r="H475" s="13" t="s">
        <v>4</v>
      </c>
      <c r="I475" s="15">
        <v>-35398.33</v>
      </c>
      <c r="J475" s="13" t="s">
        <v>5</v>
      </c>
      <c r="K475" s="13" t="s">
        <v>6</v>
      </c>
      <c r="L475" s="15">
        <v>-2971689.8</v>
      </c>
      <c r="M475" s="15">
        <v>-35398.33</v>
      </c>
      <c r="N475" s="16" t="str">
        <f>IF(M475="","",IF(M475&lt;0,-M475&amp;"_"&amp;COUNTIF(M$2:M475,M475),M475&amp;"_"&amp;COUNTIF(M$2:M475,M475)))</f>
        <v>35398.33_3</v>
      </c>
      <c r="O475" s="17" t="str">
        <f t="shared" si="7"/>
        <v/>
      </c>
      <c r="P475" s="13" t="s">
        <v>2674</v>
      </c>
      <c r="Q475" s="13" t="s">
        <v>2660</v>
      </c>
      <c r="R475" s="13" t="s">
        <v>0</v>
      </c>
      <c r="S475" s="13" t="s">
        <v>0</v>
      </c>
      <c r="T475" s="13" t="s">
        <v>9</v>
      </c>
      <c r="U475" s="13" t="s">
        <v>0</v>
      </c>
      <c r="V475" s="13" t="s">
        <v>0</v>
      </c>
      <c r="W475" s="13" t="s">
        <v>0</v>
      </c>
      <c r="X475" s="13" t="s">
        <v>0</v>
      </c>
      <c r="Y475" s="13" t="s">
        <v>10</v>
      </c>
      <c r="Z475" s="13" t="s">
        <v>0</v>
      </c>
      <c r="AA475" s="14"/>
      <c r="AB475" s="13" t="s">
        <v>0</v>
      </c>
      <c r="AC475" s="13" t="s">
        <v>0</v>
      </c>
      <c r="AD475" s="13" t="s">
        <v>0</v>
      </c>
      <c r="AE475" s="15">
        <v>0</v>
      </c>
    </row>
    <row r="476" spans="1:31" ht="14.15" customHeight="1" x14ac:dyDescent="0.25">
      <c r="A476" s="12" t="s">
        <v>0</v>
      </c>
      <c r="B476" s="13" t="s">
        <v>1</v>
      </c>
      <c r="C476" s="13" t="s">
        <v>139</v>
      </c>
      <c r="D476" s="14">
        <v>44029</v>
      </c>
      <c r="E476" s="14">
        <v>44029</v>
      </c>
      <c r="F476" s="14">
        <v>44032</v>
      </c>
      <c r="G476" s="13" t="s">
        <v>3</v>
      </c>
      <c r="H476" s="13" t="s">
        <v>4</v>
      </c>
      <c r="I476" s="15">
        <v>-35392.03</v>
      </c>
      <c r="J476" s="13" t="s">
        <v>5</v>
      </c>
      <c r="K476" s="13" t="s">
        <v>6</v>
      </c>
      <c r="L476" s="15">
        <v>-2971160.92</v>
      </c>
      <c r="M476" s="15">
        <v>-35392.03</v>
      </c>
      <c r="N476" s="16" t="str">
        <f>IF(M476="","",IF(M476&lt;0,-M476&amp;"_"&amp;COUNTIF(M$2:M476,M476),M476&amp;"_"&amp;COUNTIF(M$2:M476,M476)))</f>
        <v>35392.03_1</v>
      </c>
      <c r="O476" s="17" t="str">
        <f t="shared" si="7"/>
        <v/>
      </c>
      <c r="P476" s="13" t="s">
        <v>140</v>
      </c>
      <c r="Q476" s="13" t="s">
        <v>138</v>
      </c>
      <c r="R476" s="13" t="s">
        <v>0</v>
      </c>
      <c r="S476" s="13" t="s">
        <v>0</v>
      </c>
      <c r="T476" s="13" t="s">
        <v>9</v>
      </c>
      <c r="U476" s="13" t="s">
        <v>0</v>
      </c>
      <c r="V476" s="13" t="s">
        <v>0</v>
      </c>
      <c r="W476" s="13" t="s">
        <v>0</v>
      </c>
      <c r="X476" s="13" t="s">
        <v>0</v>
      </c>
      <c r="Y476" s="13" t="s">
        <v>10</v>
      </c>
      <c r="Z476" s="13" t="s">
        <v>0</v>
      </c>
      <c r="AA476" s="14"/>
      <c r="AB476" s="13" t="s">
        <v>0</v>
      </c>
      <c r="AC476" s="13" t="s">
        <v>0</v>
      </c>
      <c r="AD476" s="13" t="s">
        <v>0</v>
      </c>
      <c r="AE476" s="15">
        <v>0</v>
      </c>
    </row>
    <row r="477" spans="1:31" ht="14.15" customHeight="1" x14ac:dyDescent="0.25">
      <c r="A477" s="12" t="s">
        <v>0</v>
      </c>
      <c r="B477" s="13" t="s">
        <v>1</v>
      </c>
      <c r="C477" s="13" t="s">
        <v>1882</v>
      </c>
      <c r="D477" s="14">
        <v>44188</v>
      </c>
      <c r="E477" s="14">
        <v>44188</v>
      </c>
      <c r="F477" s="14">
        <v>44202</v>
      </c>
      <c r="G477" s="13" t="s">
        <v>3</v>
      </c>
      <c r="H477" s="13" t="s">
        <v>4</v>
      </c>
      <c r="I477" s="15">
        <v>-35366.46</v>
      </c>
      <c r="J477" s="13" t="s">
        <v>5</v>
      </c>
      <c r="K477" s="13" t="s">
        <v>6</v>
      </c>
      <c r="L477" s="15">
        <v>-2969014.32</v>
      </c>
      <c r="M477" s="15">
        <v>-35366.46</v>
      </c>
      <c r="N477" s="16" t="str">
        <f>IF(M477="","",IF(M477&lt;0,-M477&amp;"_"&amp;COUNTIF(M$2:M477,M477),M477&amp;"_"&amp;COUNTIF(M$2:M477,M477)))</f>
        <v>35366.46_1</v>
      </c>
      <c r="O477" s="17" t="str">
        <f t="shared" si="7"/>
        <v/>
      </c>
      <c r="P477" s="13" t="s">
        <v>1883</v>
      </c>
      <c r="Q477" s="13" t="s">
        <v>1869</v>
      </c>
      <c r="R477" s="13" t="s">
        <v>0</v>
      </c>
      <c r="S477" s="13" t="s">
        <v>0</v>
      </c>
      <c r="T477" s="13" t="s">
        <v>9</v>
      </c>
      <c r="U477" s="13" t="s">
        <v>0</v>
      </c>
      <c r="V477" s="13" t="s">
        <v>0</v>
      </c>
      <c r="W477" s="13" t="s">
        <v>0</v>
      </c>
      <c r="X477" s="13" t="s">
        <v>0</v>
      </c>
      <c r="Y477" s="13" t="s">
        <v>10</v>
      </c>
      <c r="Z477" s="13" t="s">
        <v>0</v>
      </c>
      <c r="AA477" s="14"/>
      <c r="AB477" s="13" t="s">
        <v>0</v>
      </c>
      <c r="AC477" s="13" t="s">
        <v>0</v>
      </c>
      <c r="AD477" s="13" t="s">
        <v>0</v>
      </c>
      <c r="AE477" s="15">
        <v>0</v>
      </c>
    </row>
    <row r="478" spans="1:31" ht="14.15" customHeight="1" x14ac:dyDescent="0.25">
      <c r="A478" s="12" t="s">
        <v>0</v>
      </c>
      <c r="B478" s="13" t="s">
        <v>1</v>
      </c>
      <c r="C478" s="13" t="s">
        <v>1782</v>
      </c>
      <c r="D478" s="14">
        <v>44182</v>
      </c>
      <c r="E478" s="14">
        <v>44182</v>
      </c>
      <c r="F478" s="14">
        <v>44199</v>
      </c>
      <c r="G478" s="13" t="s">
        <v>3</v>
      </c>
      <c r="H478" s="13" t="s">
        <v>4</v>
      </c>
      <c r="I478" s="15">
        <v>-35289.56</v>
      </c>
      <c r="J478" s="13" t="s">
        <v>5</v>
      </c>
      <c r="K478" s="13" t="s">
        <v>6</v>
      </c>
      <c r="L478" s="15">
        <v>-2962558.56</v>
      </c>
      <c r="M478" s="15">
        <v>-35289.56</v>
      </c>
      <c r="N478" s="16" t="str">
        <f>IF(M478="","",IF(M478&lt;0,-M478&amp;"_"&amp;COUNTIF(M$2:M478,M478),M478&amp;"_"&amp;COUNTIF(M$2:M478,M478)))</f>
        <v>35289.56_1</v>
      </c>
      <c r="O478" s="17" t="str">
        <f t="shared" si="7"/>
        <v/>
      </c>
      <c r="P478" s="13" t="s">
        <v>1783</v>
      </c>
      <c r="Q478" s="13" t="s">
        <v>1777</v>
      </c>
      <c r="R478" s="13" t="s">
        <v>0</v>
      </c>
      <c r="S478" s="13" t="s">
        <v>0</v>
      </c>
      <c r="T478" s="13" t="s">
        <v>9</v>
      </c>
      <c r="U478" s="13" t="s">
        <v>0</v>
      </c>
      <c r="V478" s="13" t="s">
        <v>0</v>
      </c>
      <c r="W478" s="13" t="s">
        <v>0</v>
      </c>
      <c r="X478" s="13" t="s">
        <v>0</v>
      </c>
      <c r="Y478" s="13" t="s">
        <v>10</v>
      </c>
      <c r="Z478" s="13" t="s">
        <v>0</v>
      </c>
      <c r="AA478" s="14"/>
      <c r="AB478" s="13" t="s">
        <v>0</v>
      </c>
      <c r="AC478" s="13" t="s">
        <v>0</v>
      </c>
      <c r="AD478" s="13" t="s">
        <v>0</v>
      </c>
      <c r="AE478" s="15">
        <v>0</v>
      </c>
    </row>
    <row r="479" spans="1:31" ht="14.15" customHeight="1" x14ac:dyDescent="0.25">
      <c r="A479" s="12" t="s">
        <v>0</v>
      </c>
      <c r="B479" s="13" t="s">
        <v>1</v>
      </c>
      <c r="C479" s="13" t="s">
        <v>2131</v>
      </c>
      <c r="D479" s="14">
        <v>44203</v>
      </c>
      <c r="E479" s="14">
        <v>44203</v>
      </c>
      <c r="F479" s="14">
        <v>44214</v>
      </c>
      <c r="G479" s="13" t="s">
        <v>3</v>
      </c>
      <c r="H479" s="13" t="s">
        <v>4</v>
      </c>
      <c r="I479" s="15">
        <v>-35254.6</v>
      </c>
      <c r="J479" s="13" t="s">
        <v>5</v>
      </c>
      <c r="K479" s="13" t="s">
        <v>6</v>
      </c>
      <c r="L479" s="15">
        <v>-2959623.67</v>
      </c>
      <c r="M479" s="15">
        <v>-35254.6</v>
      </c>
      <c r="N479" s="16" t="str">
        <f>IF(M479="","",IF(M479&lt;0,-M479&amp;"_"&amp;COUNTIF(M$2:M479,M479),M479&amp;"_"&amp;COUNTIF(M$2:M479,M479)))</f>
        <v>35254.6_1</v>
      </c>
      <c r="O479" s="17" t="str">
        <f t="shared" si="7"/>
        <v/>
      </c>
      <c r="P479" s="13" t="s">
        <v>2132</v>
      </c>
      <c r="Q479" s="13" t="s">
        <v>2130</v>
      </c>
      <c r="R479" s="13" t="s">
        <v>0</v>
      </c>
      <c r="S479" s="13" t="s">
        <v>0</v>
      </c>
      <c r="T479" s="13" t="s">
        <v>9</v>
      </c>
      <c r="U479" s="13" t="s">
        <v>0</v>
      </c>
      <c r="V479" s="13" t="s">
        <v>0</v>
      </c>
      <c r="W479" s="13" t="s">
        <v>0</v>
      </c>
      <c r="X479" s="13" t="s">
        <v>0</v>
      </c>
      <c r="Y479" s="13" t="s">
        <v>10</v>
      </c>
      <c r="Z479" s="13" t="s">
        <v>0</v>
      </c>
      <c r="AA479" s="14"/>
      <c r="AB479" s="13" t="s">
        <v>0</v>
      </c>
      <c r="AC479" s="13" t="s">
        <v>0</v>
      </c>
      <c r="AD479" s="13" t="s">
        <v>0</v>
      </c>
      <c r="AE479" s="15">
        <v>0</v>
      </c>
    </row>
    <row r="480" spans="1:31" ht="14.15" customHeight="1" x14ac:dyDescent="0.25">
      <c r="A480" s="12" t="s">
        <v>0</v>
      </c>
      <c r="B480" s="13" t="s">
        <v>1</v>
      </c>
      <c r="C480" s="13" t="s">
        <v>3810</v>
      </c>
      <c r="D480" s="14">
        <v>44346</v>
      </c>
      <c r="E480" s="14">
        <v>44346</v>
      </c>
      <c r="F480" s="14">
        <v>44348</v>
      </c>
      <c r="G480" s="13" t="s">
        <v>3</v>
      </c>
      <c r="H480" s="13" t="s">
        <v>4</v>
      </c>
      <c r="I480" s="15">
        <v>-35249.86</v>
      </c>
      <c r="J480" s="13" t="s">
        <v>5</v>
      </c>
      <c r="K480" s="13" t="s">
        <v>6</v>
      </c>
      <c r="L480" s="15">
        <v>-2959225.75</v>
      </c>
      <c r="M480" s="15">
        <v>-35249.86</v>
      </c>
      <c r="N480" s="16" t="str">
        <f>IF(M480="","",IF(M480&lt;0,-M480&amp;"_"&amp;COUNTIF(M$2:M480,M480),M480&amp;"_"&amp;COUNTIF(M$2:M480,M480)))</f>
        <v>35249.86_1</v>
      </c>
      <c r="O480" s="17" t="str">
        <f t="shared" si="7"/>
        <v/>
      </c>
      <c r="P480" s="13" t="s">
        <v>3811</v>
      </c>
      <c r="Q480" s="13" t="s">
        <v>3812</v>
      </c>
      <c r="R480" s="13" t="s">
        <v>0</v>
      </c>
      <c r="S480" s="13" t="s">
        <v>0</v>
      </c>
      <c r="T480" s="13" t="s">
        <v>9</v>
      </c>
      <c r="U480" s="13" t="s">
        <v>0</v>
      </c>
      <c r="V480" s="13" t="s">
        <v>0</v>
      </c>
      <c r="W480" s="13" t="s">
        <v>0</v>
      </c>
      <c r="X480" s="13" t="s">
        <v>0</v>
      </c>
      <c r="Y480" s="13" t="s">
        <v>10</v>
      </c>
      <c r="Z480" s="13" t="s">
        <v>0</v>
      </c>
      <c r="AA480" s="14"/>
      <c r="AB480" s="13" t="s">
        <v>0</v>
      </c>
      <c r="AC480" s="13" t="s">
        <v>0</v>
      </c>
      <c r="AD480" s="13" t="s">
        <v>0</v>
      </c>
      <c r="AE480" s="15">
        <v>0</v>
      </c>
    </row>
    <row r="481" spans="1:31" ht="14.15" customHeight="1" x14ac:dyDescent="0.25">
      <c r="A481" s="12" t="s">
        <v>0</v>
      </c>
      <c r="B481" s="13" t="s">
        <v>1</v>
      </c>
      <c r="C481" s="13" t="s">
        <v>1054</v>
      </c>
      <c r="D481" s="14">
        <v>44131</v>
      </c>
      <c r="E481" s="14">
        <v>44131</v>
      </c>
      <c r="F481" s="14">
        <v>44138</v>
      </c>
      <c r="G481" s="13" t="s">
        <v>3</v>
      </c>
      <c r="H481" s="13" t="s">
        <v>4</v>
      </c>
      <c r="I481" s="15">
        <v>-35245.800000000003</v>
      </c>
      <c r="J481" s="13" t="s">
        <v>5</v>
      </c>
      <c r="K481" s="13" t="s">
        <v>6</v>
      </c>
      <c r="L481" s="15">
        <v>-2958884.91</v>
      </c>
      <c r="M481" s="15">
        <v>-35245.800000000003</v>
      </c>
      <c r="N481" s="16" t="str">
        <f>IF(M481="","",IF(M481&lt;0,-M481&amp;"_"&amp;COUNTIF(M$2:M481,M481),M481&amp;"_"&amp;COUNTIF(M$2:M481,M481)))</f>
        <v>35245.8_1</v>
      </c>
      <c r="O481" s="17" t="str">
        <f t="shared" si="7"/>
        <v/>
      </c>
      <c r="P481" s="13" t="s">
        <v>1055</v>
      </c>
      <c r="Q481" s="13" t="s">
        <v>1041</v>
      </c>
      <c r="R481" s="13" t="s">
        <v>0</v>
      </c>
      <c r="S481" s="13" t="s">
        <v>0</v>
      </c>
      <c r="T481" s="13" t="s">
        <v>9</v>
      </c>
      <c r="U481" s="13" t="s">
        <v>0</v>
      </c>
      <c r="V481" s="13" t="s">
        <v>0</v>
      </c>
      <c r="W481" s="13" t="s">
        <v>0</v>
      </c>
      <c r="X481" s="13" t="s">
        <v>0</v>
      </c>
      <c r="Y481" s="13" t="s">
        <v>10</v>
      </c>
      <c r="Z481" s="13" t="s">
        <v>0</v>
      </c>
      <c r="AA481" s="14"/>
      <c r="AB481" s="13" t="s">
        <v>0</v>
      </c>
      <c r="AC481" s="13" t="s">
        <v>0</v>
      </c>
      <c r="AD481" s="13" t="s">
        <v>0</v>
      </c>
      <c r="AE481" s="15">
        <v>0</v>
      </c>
    </row>
    <row r="482" spans="1:31" ht="14.15" customHeight="1" x14ac:dyDescent="0.25">
      <c r="A482" s="12" t="s">
        <v>0</v>
      </c>
      <c r="B482" s="13" t="s">
        <v>1</v>
      </c>
      <c r="C482" s="13" t="s">
        <v>2675</v>
      </c>
      <c r="D482" s="14">
        <v>44253</v>
      </c>
      <c r="E482" s="14">
        <v>44253</v>
      </c>
      <c r="F482" s="14">
        <v>44258</v>
      </c>
      <c r="G482" s="13" t="s">
        <v>3</v>
      </c>
      <c r="H482" s="13" t="s">
        <v>4</v>
      </c>
      <c r="I482" s="15">
        <v>-35188.879999999997</v>
      </c>
      <c r="J482" s="13" t="s">
        <v>5</v>
      </c>
      <c r="K482" s="13" t="s">
        <v>6</v>
      </c>
      <c r="L482" s="15">
        <v>-2954106.48</v>
      </c>
      <c r="M482" s="15">
        <v>-35188.879999999997</v>
      </c>
      <c r="N482" s="16" t="str">
        <f>IF(M482="","",IF(M482&lt;0,-M482&amp;"_"&amp;COUNTIF(M$2:M482,M482),M482&amp;"_"&amp;COUNTIF(M$2:M482,M482)))</f>
        <v>35188.88_1</v>
      </c>
      <c r="O482" s="17" t="str">
        <f t="shared" si="7"/>
        <v/>
      </c>
      <c r="P482" s="13" t="s">
        <v>2676</v>
      </c>
      <c r="Q482" s="13" t="s">
        <v>2660</v>
      </c>
      <c r="R482" s="13" t="s">
        <v>0</v>
      </c>
      <c r="S482" s="13" t="s">
        <v>0</v>
      </c>
      <c r="T482" s="13" t="s">
        <v>9</v>
      </c>
      <c r="U482" s="13" t="s">
        <v>0</v>
      </c>
      <c r="V482" s="13" t="s">
        <v>0</v>
      </c>
      <c r="W482" s="13" t="s">
        <v>0</v>
      </c>
      <c r="X482" s="13" t="s">
        <v>0</v>
      </c>
      <c r="Y482" s="13" t="s">
        <v>10</v>
      </c>
      <c r="Z482" s="13" t="s">
        <v>0</v>
      </c>
      <c r="AA482" s="14"/>
      <c r="AB482" s="13" t="s">
        <v>0</v>
      </c>
      <c r="AC482" s="13" t="s">
        <v>0</v>
      </c>
      <c r="AD482" s="13" t="s">
        <v>0</v>
      </c>
      <c r="AE482" s="15">
        <v>0</v>
      </c>
    </row>
    <row r="483" spans="1:31" ht="14.15" customHeight="1" x14ac:dyDescent="0.25">
      <c r="A483" s="12" t="s">
        <v>0</v>
      </c>
      <c r="B483" s="13" t="s">
        <v>1</v>
      </c>
      <c r="C483" s="13" t="s">
        <v>2675</v>
      </c>
      <c r="D483" s="14">
        <v>44253</v>
      </c>
      <c r="E483" s="14">
        <v>44253</v>
      </c>
      <c r="F483" s="14">
        <v>44258</v>
      </c>
      <c r="G483" s="13" t="s">
        <v>3</v>
      </c>
      <c r="H483" s="13" t="s">
        <v>4</v>
      </c>
      <c r="I483" s="15">
        <v>-35188.879999999997</v>
      </c>
      <c r="J483" s="13" t="s">
        <v>5</v>
      </c>
      <c r="K483" s="13" t="s">
        <v>6</v>
      </c>
      <c r="L483" s="15">
        <v>-2954106.48</v>
      </c>
      <c r="M483" s="15">
        <v>-35188.879999999997</v>
      </c>
      <c r="N483" s="16" t="str">
        <f>IF(M483="","",IF(M483&lt;0,-M483&amp;"_"&amp;COUNTIF(M$2:M483,M483),M483&amp;"_"&amp;COUNTIF(M$2:M483,M483)))</f>
        <v>35188.88_2</v>
      </c>
      <c r="O483" s="17" t="str">
        <f t="shared" si="7"/>
        <v/>
      </c>
      <c r="P483" s="13" t="s">
        <v>2676</v>
      </c>
      <c r="Q483" s="13" t="s">
        <v>2660</v>
      </c>
      <c r="R483" s="13" t="s">
        <v>0</v>
      </c>
      <c r="S483" s="13" t="s">
        <v>0</v>
      </c>
      <c r="T483" s="13" t="s">
        <v>9</v>
      </c>
      <c r="U483" s="13" t="s">
        <v>0</v>
      </c>
      <c r="V483" s="13" t="s">
        <v>0</v>
      </c>
      <c r="W483" s="13" t="s">
        <v>0</v>
      </c>
      <c r="X483" s="13" t="s">
        <v>0</v>
      </c>
      <c r="Y483" s="13" t="s">
        <v>10</v>
      </c>
      <c r="Z483" s="13" t="s">
        <v>0</v>
      </c>
      <c r="AA483" s="14"/>
      <c r="AB483" s="13" t="s">
        <v>0</v>
      </c>
      <c r="AC483" s="13" t="s">
        <v>0</v>
      </c>
      <c r="AD483" s="13" t="s">
        <v>0</v>
      </c>
      <c r="AE483" s="15">
        <v>0</v>
      </c>
    </row>
    <row r="484" spans="1:31" ht="14.15" customHeight="1" x14ac:dyDescent="0.25">
      <c r="A484" s="12" t="s">
        <v>0</v>
      </c>
      <c r="B484" s="13" t="s">
        <v>1</v>
      </c>
      <c r="C484" s="13" t="s">
        <v>2734</v>
      </c>
      <c r="D484" s="14">
        <v>44257</v>
      </c>
      <c r="E484" s="14">
        <v>44257</v>
      </c>
      <c r="F484" s="14">
        <v>44266</v>
      </c>
      <c r="G484" s="13" t="s">
        <v>3</v>
      </c>
      <c r="H484" s="13" t="s">
        <v>4</v>
      </c>
      <c r="I484" s="15">
        <v>-35188.879999999997</v>
      </c>
      <c r="J484" s="13" t="s">
        <v>5</v>
      </c>
      <c r="K484" s="13" t="s">
        <v>6</v>
      </c>
      <c r="L484" s="15">
        <v>-2954106.48</v>
      </c>
      <c r="M484" s="15">
        <v>-35188.879999999997</v>
      </c>
      <c r="N484" s="16" t="str">
        <f>IF(M484="","",IF(M484&lt;0,-M484&amp;"_"&amp;COUNTIF(M$2:M484,M484),M484&amp;"_"&amp;COUNTIF(M$2:M484,M484)))</f>
        <v>35188.88_3</v>
      </c>
      <c r="O484" s="17" t="str">
        <f t="shared" si="7"/>
        <v/>
      </c>
      <c r="P484" s="13" t="s">
        <v>2735</v>
      </c>
      <c r="Q484" s="13" t="s">
        <v>2736</v>
      </c>
      <c r="R484" s="13" t="s">
        <v>0</v>
      </c>
      <c r="S484" s="13" t="s">
        <v>0</v>
      </c>
      <c r="T484" s="13" t="s">
        <v>9</v>
      </c>
      <c r="U484" s="13" t="s">
        <v>0</v>
      </c>
      <c r="V484" s="13" t="s">
        <v>0</v>
      </c>
      <c r="W484" s="13" t="s">
        <v>0</v>
      </c>
      <c r="X484" s="13" t="s">
        <v>0</v>
      </c>
      <c r="Y484" s="13" t="s">
        <v>10</v>
      </c>
      <c r="Z484" s="13" t="s">
        <v>0</v>
      </c>
      <c r="AA484" s="14"/>
      <c r="AB484" s="13" t="s">
        <v>0</v>
      </c>
      <c r="AC484" s="13" t="s">
        <v>0</v>
      </c>
      <c r="AD484" s="13" t="s">
        <v>0</v>
      </c>
      <c r="AE484" s="15">
        <v>0</v>
      </c>
    </row>
    <row r="485" spans="1:31" ht="14.15" customHeight="1" x14ac:dyDescent="0.25">
      <c r="A485" s="12" t="s">
        <v>0</v>
      </c>
      <c r="B485" s="13" t="s">
        <v>1</v>
      </c>
      <c r="C485" s="13" t="s">
        <v>2248</v>
      </c>
      <c r="D485" s="14">
        <v>44215</v>
      </c>
      <c r="E485" s="14">
        <v>44215</v>
      </c>
      <c r="F485" s="14">
        <v>44222</v>
      </c>
      <c r="G485" s="13" t="s">
        <v>3</v>
      </c>
      <c r="H485" s="13" t="s">
        <v>4</v>
      </c>
      <c r="I485" s="15">
        <v>-35170.129999999997</v>
      </c>
      <c r="J485" s="13" t="s">
        <v>5</v>
      </c>
      <c r="K485" s="13" t="s">
        <v>6</v>
      </c>
      <c r="L485" s="15">
        <v>-2952532.41</v>
      </c>
      <c r="M485" s="15">
        <v>-35170.129999999997</v>
      </c>
      <c r="N485" s="16" t="str">
        <f>IF(M485="","",IF(M485&lt;0,-M485&amp;"_"&amp;COUNTIF(M$2:M485,M485),M485&amp;"_"&amp;COUNTIF(M$2:M485,M485)))</f>
        <v>35170.13_1</v>
      </c>
      <c r="O485" s="17" t="str">
        <f t="shared" si="7"/>
        <v/>
      </c>
      <c r="P485" s="13" t="s">
        <v>2249</v>
      </c>
      <c r="Q485" s="13" t="s">
        <v>2250</v>
      </c>
      <c r="R485" s="13" t="s">
        <v>0</v>
      </c>
      <c r="S485" s="13" t="s">
        <v>0</v>
      </c>
      <c r="T485" s="13" t="s">
        <v>9</v>
      </c>
      <c r="U485" s="13" t="s">
        <v>0</v>
      </c>
      <c r="V485" s="13" t="s">
        <v>0</v>
      </c>
      <c r="W485" s="13" t="s">
        <v>0</v>
      </c>
      <c r="X485" s="13" t="s">
        <v>0</v>
      </c>
      <c r="Y485" s="13" t="s">
        <v>10</v>
      </c>
      <c r="Z485" s="13" t="s">
        <v>0</v>
      </c>
      <c r="AA485" s="14"/>
      <c r="AB485" s="13" t="s">
        <v>0</v>
      </c>
      <c r="AC485" s="13" t="s">
        <v>0</v>
      </c>
      <c r="AD485" s="13" t="s">
        <v>0</v>
      </c>
      <c r="AE485" s="15">
        <v>0</v>
      </c>
    </row>
    <row r="486" spans="1:31" ht="14.15" customHeight="1" x14ac:dyDescent="0.25">
      <c r="A486" s="12" t="s">
        <v>0</v>
      </c>
      <c r="B486" s="13" t="s">
        <v>1</v>
      </c>
      <c r="C486" s="13" t="s">
        <v>2489</v>
      </c>
      <c r="D486" s="14">
        <v>44234</v>
      </c>
      <c r="E486" s="14">
        <v>44234</v>
      </c>
      <c r="F486" s="14">
        <v>44241</v>
      </c>
      <c r="G486" s="13" t="s">
        <v>3</v>
      </c>
      <c r="H486" s="13" t="s">
        <v>4</v>
      </c>
      <c r="I486" s="15">
        <v>-35123.199999999997</v>
      </c>
      <c r="J486" s="13" t="s">
        <v>5</v>
      </c>
      <c r="K486" s="13" t="s">
        <v>6</v>
      </c>
      <c r="L486" s="15">
        <v>-2948592.64</v>
      </c>
      <c r="M486" s="15">
        <v>-35123.199999999997</v>
      </c>
      <c r="N486" s="16" t="str">
        <f>IF(M486="","",IF(M486&lt;0,-M486&amp;"_"&amp;COUNTIF(M$2:M486,M486),M486&amp;"_"&amp;COUNTIF(M$2:M486,M486)))</f>
        <v>35123.2_1</v>
      </c>
      <c r="O486" s="17" t="str">
        <f t="shared" si="7"/>
        <v/>
      </c>
      <c r="P486" s="13" t="s">
        <v>2490</v>
      </c>
      <c r="Q486" s="13" t="s">
        <v>2462</v>
      </c>
      <c r="R486" s="13" t="s">
        <v>0</v>
      </c>
      <c r="S486" s="13" t="s">
        <v>0</v>
      </c>
      <c r="T486" s="13" t="s">
        <v>9</v>
      </c>
      <c r="U486" s="13" t="s">
        <v>0</v>
      </c>
      <c r="V486" s="13" t="s">
        <v>0</v>
      </c>
      <c r="W486" s="13" t="s">
        <v>0</v>
      </c>
      <c r="X486" s="13" t="s">
        <v>0</v>
      </c>
      <c r="Y486" s="13" t="s">
        <v>10</v>
      </c>
      <c r="Z486" s="13" t="s">
        <v>0</v>
      </c>
      <c r="AA486" s="14"/>
      <c r="AB486" s="13" t="s">
        <v>0</v>
      </c>
      <c r="AC486" s="13" t="s">
        <v>0</v>
      </c>
      <c r="AD486" s="13" t="s">
        <v>0</v>
      </c>
      <c r="AE486" s="15">
        <v>0</v>
      </c>
    </row>
    <row r="487" spans="1:31" ht="14.15" customHeight="1" x14ac:dyDescent="0.25">
      <c r="A487" s="12" t="s">
        <v>0</v>
      </c>
      <c r="B487" s="13" t="s">
        <v>1</v>
      </c>
      <c r="C487" s="13" t="s">
        <v>4221</v>
      </c>
      <c r="D487" s="14">
        <v>44366</v>
      </c>
      <c r="E487" s="14">
        <v>44366</v>
      </c>
      <c r="F487" s="14">
        <v>44384</v>
      </c>
      <c r="G487" s="13" t="s">
        <v>3</v>
      </c>
      <c r="H487" s="13" t="s">
        <v>4</v>
      </c>
      <c r="I487" s="15">
        <v>-35115.839999999997</v>
      </c>
      <c r="J487" s="13" t="s">
        <v>5</v>
      </c>
      <c r="K487" s="13" t="s">
        <v>6</v>
      </c>
      <c r="L487" s="15">
        <v>-2947974.77</v>
      </c>
      <c r="M487" s="15">
        <v>-35115.839999999997</v>
      </c>
      <c r="N487" s="16" t="str">
        <f>IF(M487="","",IF(M487&lt;0,-M487&amp;"_"&amp;COUNTIF(M$2:M487,M487),M487&amp;"_"&amp;COUNTIF(M$2:M487,M487)))</f>
        <v>35115.84_1</v>
      </c>
      <c r="O487" s="17" t="str">
        <f t="shared" si="7"/>
        <v/>
      </c>
      <c r="P487" s="13" t="s">
        <v>4222</v>
      </c>
      <c r="Q487" s="13" t="s">
        <v>4216</v>
      </c>
      <c r="R487" s="13" t="s">
        <v>0</v>
      </c>
      <c r="S487" s="13" t="s">
        <v>0</v>
      </c>
      <c r="T487" s="13" t="s">
        <v>9</v>
      </c>
      <c r="U487" s="13" t="s">
        <v>0</v>
      </c>
      <c r="V487" s="13" t="s">
        <v>0</v>
      </c>
      <c r="W487" s="13" t="s">
        <v>0</v>
      </c>
      <c r="X487" s="13" t="s">
        <v>0</v>
      </c>
      <c r="Y487" s="13" t="s">
        <v>10</v>
      </c>
      <c r="Z487" s="13" t="s">
        <v>0</v>
      </c>
      <c r="AA487" s="14"/>
      <c r="AB487" s="13" t="s">
        <v>0</v>
      </c>
      <c r="AC487" s="13" t="s">
        <v>0</v>
      </c>
      <c r="AD487" s="13" t="s">
        <v>0</v>
      </c>
      <c r="AE487" s="15">
        <v>0</v>
      </c>
    </row>
    <row r="488" spans="1:31" ht="14.15" customHeight="1" x14ac:dyDescent="0.25">
      <c r="A488" s="12" t="s">
        <v>0</v>
      </c>
      <c r="B488" s="13" t="s">
        <v>1</v>
      </c>
      <c r="C488" s="13" t="s">
        <v>4359</v>
      </c>
      <c r="D488" s="14">
        <v>44376</v>
      </c>
      <c r="E488" s="14">
        <v>44376</v>
      </c>
      <c r="F488" s="14">
        <v>44382</v>
      </c>
      <c r="G488" s="13" t="s">
        <v>3</v>
      </c>
      <c r="H488" s="13" t="s">
        <v>4</v>
      </c>
      <c r="I488" s="15">
        <v>-35048</v>
      </c>
      <c r="J488" s="13" t="s">
        <v>5</v>
      </c>
      <c r="K488" s="13" t="s">
        <v>6</v>
      </c>
      <c r="L488" s="15">
        <v>-2942279.6</v>
      </c>
      <c r="M488" s="15">
        <v>-35048</v>
      </c>
      <c r="N488" s="16" t="str">
        <f>IF(M488="","",IF(M488&lt;0,-M488&amp;"_"&amp;COUNTIF(M$2:M488,M488),M488&amp;"_"&amp;COUNTIF(M$2:M488,M488)))</f>
        <v>35048_1</v>
      </c>
      <c r="O488" s="17" t="str">
        <f t="shared" si="7"/>
        <v/>
      </c>
      <c r="P488" s="13" t="s">
        <v>4360</v>
      </c>
      <c r="Q488" s="13" t="s">
        <v>4350</v>
      </c>
      <c r="R488" s="13" t="s">
        <v>0</v>
      </c>
      <c r="S488" s="13" t="s">
        <v>0</v>
      </c>
      <c r="T488" s="13" t="s">
        <v>9</v>
      </c>
      <c r="U488" s="13" t="s">
        <v>0</v>
      </c>
      <c r="V488" s="13" t="s">
        <v>0</v>
      </c>
      <c r="W488" s="13" t="s">
        <v>0</v>
      </c>
      <c r="X488" s="13" t="s">
        <v>0</v>
      </c>
      <c r="Y488" s="13" t="s">
        <v>10</v>
      </c>
      <c r="Z488" s="13" t="s">
        <v>0</v>
      </c>
      <c r="AA488" s="14"/>
      <c r="AB488" s="13" t="s">
        <v>0</v>
      </c>
      <c r="AC488" s="13" t="s">
        <v>0</v>
      </c>
      <c r="AD488" s="13" t="s">
        <v>0</v>
      </c>
      <c r="AE488" s="15">
        <v>0</v>
      </c>
    </row>
    <row r="489" spans="1:31" ht="14.15" customHeight="1" x14ac:dyDescent="0.25">
      <c r="A489" s="12" t="s">
        <v>0</v>
      </c>
      <c r="B489" s="13" t="s">
        <v>1</v>
      </c>
      <c r="C489" s="13" t="s">
        <v>930</v>
      </c>
      <c r="D489" s="14">
        <v>44117</v>
      </c>
      <c r="E489" s="14">
        <v>44117</v>
      </c>
      <c r="F489" s="14">
        <v>44126</v>
      </c>
      <c r="G489" s="13" t="s">
        <v>3</v>
      </c>
      <c r="H489" s="13" t="s">
        <v>4</v>
      </c>
      <c r="I489" s="15">
        <v>-35022.71</v>
      </c>
      <c r="J489" s="13" t="s">
        <v>5</v>
      </c>
      <c r="K489" s="13" t="s">
        <v>6</v>
      </c>
      <c r="L489" s="15">
        <v>-2940156.5</v>
      </c>
      <c r="M489" s="15">
        <v>-35022.71</v>
      </c>
      <c r="N489" s="16" t="str">
        <f>IF(M489="","",IF(M489&lt;0,-M489&amp;"_"&amp;COUNTIF(M$2:M489,M489),M489&amp;"_"&amp;COUNTIF(M$2:M489,M489)))</f>
        <v>35022.71_1</v>
      </c>
      <c r="O489" s="17" t="str">
        <f t="shared" si="7"/>
        <v/>
      </c>
      <c r="P489" s="13" t="s">
        <v>931</v>
      </c>
      <c r="Q489" s="13" t="s">
        <v>917</v>
      </c>
      <c r="R489" s="13" t="s">
        <v>0</v>
      </c>
      <c r="S489" s="13" t="s">
        <v>0</v>
      </c>
      <c r="T489" s="13" t="s">
        <v>9</v>
      </c>
      <c r="U489" s="13" t="s">
        <v>0</v>
      </c>
      <c r="V489" s="13" t="s">
        <v>0</v>
      </c>
      <c r="W489" s="13" t="s">
        <v>0</v>
      </c>
      <c r="X489" s="13" t="s">
        <v>0</v>
      </c>
      <c r="Y489" s="13" t="s">
        <v>10</v>
      </c>
      <c r="Z489" s="13" t="s">
        <v>0</v>
      </c>
      <c r="AA489" s="14"/>
      <c r="AB489" s="13" t="s">
        <v>0</v>
      </c>
      <c r="AC489" s="13" t="s">
        <v>0</v>
      </c>
      <c r="AD489" s="13" t="s">
        <v>0</v>
      </c>
      <c r="AE489" s="15">
        <v>0</v>
      </c>
    </row>
    <row r="490" spans="1:31" ht="14.15" customHeight="1" x14ac:dyDescent="0.25">
      <c r="A490" s="12" t="s">
        <v>0</v>
      </c>
      <c r="B490" s="13" t="s">
        <v>1</v>
      </c>
      <c r="C490" s="13" t="s">
        <v>1336</v>
      </c>
      <c r="D490" s="14">
        <v>44150</v>
      </c>
      <c r="E490" s="14">
        <v>44150</v>
      </c>
      <c r="F490" s="14">
        <v>44153</v>
      </c>
      <c r="G490" s="13" t="s">
        <v>3</v>
      </c>
      <c r="H490" s="13" t="s">
        <v>4</v>
      </c>
      <c r="I490" s="15">
        <v>-34999.440000000002</v>
      </c>
      <c r="J490" s="13" t="s">
        <v>5</v>
      </c>
      <c r="K490" s="13" t="s">
        <v>6</v>
      </c>
      <c r="L490" s="15">
        <v>-2938202.99</v>
      </c>
      <c r="M490" s="15">
        <v>-34999.440000000002</v>
      </c>
      <c r="N490" s="16" t="str">
        <f>IF(M490="","",IF(M490&lt;0,-M490&amp;"_"&amp;COUNTIF(M$2:M490,M490),M490&amp;"_"&amp;COUNTIF(M$2:M490,M490)))</f>
        <v>34999.44_1</v>
      </c>
      <c r="O490" s="17" t="str">
        <f t="shared" si="7"/>
        <v/>
      </c>
      <c r="P490" s="13" t="s">
        <v>1337</v>
      </c>
      <c r="Q490" s="13" t="s">
        <v>1338</v>
      </c>
      <c r="R490" s="13" t="s">
        <v>0</v>
      </c>
      <c r="S490" s="13" t="s">
        <v>0</v>
      </c>
      <c r="T490" s="13" t="s">
        <v>9</v>
      </c>
      <c r="U490" s="13" t="s">
        <v>0</v>
      </c>
      <c r="V490" s="13" t="s">
        <v>0</v>
      </c>
      <c r="W490" s="13" t="s">
        <v>0</v>
      </c>
      <c r="X490" s="13" t="s">
        <v>0</v>
      </c>
      <c r="Y490" s="13" t="s">
        <v>10</v>
      </c>
      <c r="Z490" s="13" t="s">
        <v>0</v>
      </c>
      <c r="AA490" s="14"/>
      <c r="AB490" s="13" t="s">
        <v>0</v>
      </c>
      <c r="AC490" s="13" t="s">
        <v>0</v>
      </c>
      <c r="AD490" s="13" t="s">
        <v>0</v>
      </c>
      <c r="AE490" s="15">
        <v>0</v>
      </c>
    </row>
    <row r="491" spans="1:31" ht="14.15" customHeight="1" x14ac:dyDescent="0.25">
      <c r="A491" s="12" t="s">
        <v>0</v>
      </c>
      <c r="B491" s="13" t="s">
        <v>1</v>
      </c>
      <c r="C491" s="13" t="s">
        <v>4037</v>
      </c>
      <c r="D491" s="14">
        <v>44358</v>
      </c>
      <c r="E491" s="14">
        <v>44358</v>
      </c>
      <c r="F491" s="14">
        <v>44364</v>
      </c>
      <c r="G491" s="13" t="s">
        <v>3</v>
      </c>
      <c r="H491" s="13" t="s">
        <v>4</v>
      </c>
      <c r="I491" s="15">
        <v>-34989.949999999997</v>
      </c>
      <c r="J491" s="13" t="s">
        <v>5</v>
      </c>
      <c r="K491" s="13" t="s">
        <v>6</v>
      </c>
      <c r="L491" s="15">
        <v>-2937406.3</v>
      </c>
      <c r="M491" s="15">
        <v>-34989.949999999997</v>
      </c>
      <c r="N491" s="16" t="str">
        <f>IF(M491="","",IF(M491&lt;0,-M491&amp;"_"&amp;COUNTIF(M$2:M491,M491),M491&amp;"_"&amp;COUNTIF(M$2:M491,M491)))</f>
        <v>34989.95_1</v>
      </c>
      <c r="O491" s="17" t="str">
        <f t="shared" si="7"/>
        <v/>
      </c>
      <c r="P491" s="13" t="s">
        <v>4038</v>
      </c>
      <c r="Q491" s="13" t="s">
        <v>4006</v>
      </c>
      <c r="R491" s="13" t="s">
        <v>0</v>
      </c>
      <c r="S491" s="13" t="s">
        <v>0</v>
      </c>
      <c r="T491" s="13" t="s">
        <v>9</v>
      </c>
      <c r="U491" s="13" t="s">
        <v>0</v>
      </c>
      <c r="V491" s="13" t="s">
        <v>0</v>
      </c>
      <c r="W491" s="13" t="s">
        <v>0</v>
      </c>
      <c r="X491" s="13" t="s">
        <v>0</v>
      </c>
      <c r="Y491" s="13" t="s">
        <v>10</v>
      </c>
      <c r="Z491" s="13" t="s">
        <v>0</v>
      </c>
      <c r="AA491" s="14"/>
      <c r="AB491" s="13" t="s">
        <v>0</v>
      </c>
      <c r="AC491" s="13" t="s">
        <v>0</v>
      </c>
      <c r="AD491" s="13" t="s">
        <v>0</v>
      </c>
      <c r="AE491" s="15">
        <v>0</v>
      </c>
    </row>
    <row r="492" spans="1:31" ht="14.15" customHeight="1" x14ac:dyDescent="0.25">
      <c r="A492" s="12" t="s">
        <v>0</v>
      </c>
      <c r="B492" s="13" t="s">
        <v>1</v>
      </c>
      <c r="C492" s="13" t="s">
        <v>4221</v>
      </c>
      <c r="D492" s="14">
        <v>44366</v>
      </c>
      <c r="E492" s="14">
        <v>44366</v>
      </c>
      <c r="F492" s="14">
        <v>44384</v>
      </c>
      <c r="G492" s="13" t="s">
        <v>3</v>
      </c>
      <c r="H492" s="13" t="s">
        <v>4</v>
      </c>
      <c r="I492" s="15">
        <v>-34932.25</v>
      </c>
      <c r="J492" s="13" t="s">
        <v>5</v>
      </c>
      <c r="K492" s="13" t="s">
        <v>6</v>
      </c>
      <c r="L492" s="15">
        <v>-2932562.39</v>
      </c>
      <c r="M492" s="15">
        <v>-34932.25</v>
      </c>
      <c r="N492" s="16" t="str">
        <f>IF(M492="","",IF(M492&lt;0,-M492&amp;"_"&amp;COUNTIF(M$2:M492,M492),M492&amp;"_"&amp;COUNTIF(M$2:M492,M492)))</f>
        <v>34932.25_1</v>
      </c>
      <c r="O492" s="17" t="str">
        <f t="shared" si="7"/>
        <v/>
      </c>
      <c r="P492" s="13" t="s">
        <v>4222</v>
      </c>
      <c r="Q492" s="13" t="s">
        <v>4216</v>
      </c>
      <c r="R492" s="13" t="s">
        <v>0</v>
      </c>
      <c r="S492" s="13" t="s">
        <v>0</v>
      </c>
      <c r="T492" s="13" t="s">
        <v>9</v>
      </c>
      <c r="U492" s="13" t="s">
        <v>0</v>
      </c>
      <c r="V492" s="13" t="s">
        <v>0</v>
      </c>
      <c r="W492" s="13" t="s">
        <v>0</v>
      </c>
      <c r="X492" s="13" t="s">
        <v>0</v>
      </c>
      <c r="Y492" s="13" t="s">
        <v>10</v>
      </c>
      <c r="Z492" s="13" t="s">
        <v>0</v>
      </c>
      <c r="AA492" s="14"/>
      <c r="AB492" s="13" t="s">
        <v>0</v>
      </c>
      <c r="AC492" s="13" t="s">
        <v>0</v>
      </c>
      <c r="AD492" s="13" t="s">
        <v>0</v>
      </c>
      <c r="AE492" s="15">
        <v>0</v>
      </c>
    </row>
    <row r="493" spans="1:31" ht="14.15" customHeight="1" x14ac:dyDescent="0.25">
      <c r="A493" s="12" t="s">
        <v>0</v>
      </c>
      <c r="B493" s="13" t="s">
        <v>1</v>
      </c>
      <c r="C493" s="13" t="s">
        <v>1081</v>
      </c>
      <c r="D493" s="14">
        <v>44135</v>
      </c>
      <c r="E493" s="14">
        <v>44135</v>
      </c>
      <c r="F493" s="14">
        <v>44138</v>
      </c>
      <c r="G493" s="13" t="s">
        <v>3</v>
      </c>
      <c r="H493" s="13" t="s">
        <v>4</v>
      </c>
      <c r="I493" s="15">
        <v>-34872.81</v>
      </c>
      <c r="J493" s="13" t="s">
        <v>5</v>
      </c>
      <c r="K493" s="13" t="s">
        <v>6</v>
      </c>
      <c r="L493" s="15">
        <v>-2927572.4</v>
      </c>
      <c r="M493" s="15">
        <v>-34872.81</v>
      </c>
      <c r="N493" s="16" t="str">
        <f>IF(M493="","",IF(M493&lt;0,-M493&amp;"_"&amp;COUNTIF(M$2:M493,M493),M493&amp;"_"&amp;COUNTIF(M$2:M493,M493)))</f>
        <v>34872.81_1</v>
      </c>
      <c r="O493" s="17" t="str">
        <f t="shared" si="7"/>
        <v/>
      </c>
      <c r="P493" s="13" t="s">
        <v>1082</v>
      </c>
      <c r="Q493" s="13" t="s">
        <v>1083</v>
      </c>
      <c r="R493" s="13" t="s">
        <v>0</v>
      </c>
      <c r="S493" s="13" t="s">
        <v>0</v>
      </c>
      <c r="T493" s="13" t="s">
        <v>9</v>
      </c>
      <c r="U493" s="13" t="s">
        <v>0</v>
      </c>
      <c r="V493" s="13" t="s">
        <v>0</v>
      </c>
      <c r="W493" s="13" t="s">
        <v>0</v>
      </c>
      <c r="X493" s="13" t="s">
        <v>0</v>
      </c>
      <c r="Y493" s="13" t="s">
        <v>10</v>
      </c>
      <c r="Z493" s="13" t="s">
        <v>0</v>
      </c>
      <c r="AA493" s="14"/>
      <c r="AB493" s="13" t="s">
        <v>0</v>
      </c>
      <c r="AC493" s="13" t="s">
        <v>0</v>
      </c>
      <c r="AD493" s="13" t="s">
        <v>0</v>
      </c>
      <c r="AE493" s="15">
        <v>0</v>
      </c>
    </row>
    <row r="494" spans="1:31" ht="14.15" customHeight="1" x14ac:dyDescent="0.25">
      <c r="A494" s="12" t="s">
        <v>0</v>
      </c>
      <c r="B494" s="13" t="s">
        <v>1</v>
      </c>
      <c r="C494" s="13" t="s">
        <v>4073</v>
      </c>
      <c r="D494" s="14">
        <v>44361</v>
      </c>
      <c r="E494" s="14">
        <v>44361</v>
      </c>
      <c r="F494" s="14">
        <v>44364</v>
      </c>
      <c r="G494" s="13" t="s">
        <v>3</v>
      </c>
      <c r="H494" s="13" t="s">
        <v>4</v>
      </c>
      <c r="I494" s="15">
        <v>-34748.769999999997</v>
      </c>
      <c r="J494" s="13" t="s">
        <v>5</v>
      </c>
      <c r="K494" s="13" t="s">
        <v>6</v>
      </c>
      <c r="L494" s="15">
        <v>-2917159.24</v>
      </c>
      <c r="M494" s="15">
        <v>-34748.769999999997</v>
      </c>
      <c r="N494" s="16" t="str">
        <f>IF(M494="","",IF(M494&lt;0,-M494&amp;"_"&amp;COUNTIF(M$2:M494,M494),M494&amp;"_"&amp;COUNTIF(M$2:M494,M494)))</f>
        <v>34748.77_1</v>
      </c>
      <c r="O494" s="17" t="str">
        <f t="shared" si="7"/>
        <v/>
      </c>
      <c r="P494" s="13" t="s">
        <v>4074</v>
      </c>
      <c r="Q494" s="13" t="s">
        <v>4075</v>
      </c>
      <c r="R494" s="13" t="s">
        <v>0</v>
      </c>
      <c r="S494" s="13" t="s">
        <v>0</v>
      </c>
      <c r="T494" s="13" t="s">
        <v>9</v>
      </c>
      <c r="U494" s="13" t="s">
        <v>0</v>
      </c>
      <c r="V494" s="13" t="s">
        <v>0</v>
      </c>
      <c r="W494" s="13" t="s">
        <v>0</v>
      </c>
      <c r="X494" s="13" t="s">
        <v>0</v>
      </c>
      <c r="Y494" s="13" t="s">
        <v>10</v>
      </c>
      <c r="Z494" s="13" t="s">
        <v>0</v>
      </c>
      <c r="AA494" s="14"/>
      <c r="AB494" s="13" t="s">
        <v>0</v>
      </c>
      <c r="AC494" s="13" t="s">
        <v>0</v>
      </c>
      <c r="AD494" s="13" t="s">
        <v>0</v>
      </c>
      <c r="AE494" s="15">
        <v>0</v>
      </c>
    </row>
    <row r="495" spans="1:31" ht="14.15" customHeight="1" x14ac:dyDescent="0.25">
      <c r="A495" s="12" t="s">
        <v>0</v>
      </c>
      <c r="B495" s="13" t="s">
        <v>1</v>
      </c>
      <c r="C495" s="13" t="s">
        <v>3059</v>
      </c>
      <c r="D495" s="14">
        <v>44284</v>
      </c>
      <c r="E495" s="14">
        <v>44284</v>
      </c>
      <c r="F495" s="14">
        <v>44290</v>
      </c>
      <c r="G495" s="13" t="s">
        <v>3</v>
      </c>
      <c r="H495" s="13" t="s">
        <v>4</v>
      </c>
      <c r="I495" s="15">
        <v>-34685.67</v>
      </c>
      <c r="J495" s="13" t="s">
        <v>5</v>
      </c>
      <c r="K495" s="13" t="s">
        <v>6</v>
      </c>
      <c r="L495" s="15">
        <v>-2911862</v>
      </c>
      <c r="M495" s="15">
        <v>-34685.67</v>
      </c>
      <c r="N495" s="16" t="str">
        <f>IF(M495="","",IF(M495&lt;0,-M495&amp;"_"&amp;COUNTIF(M$2:M495,M495),M495&amp;"_"&amp;COUNTIF(M$2:M495,M495)))</f>
        <v>34685.67_1</v>
      </c>
      <c r="O495" s="17" t="str">
        <f t="shared" si="7"/>
        <v/>
      </c>
      <c r="P495" s="13" t="s">
        <v>3060</v>
      </c>
      <c r="Q495" s="13" t="s">
        <v>3061</v>
      </c>
      <c r="R495" s="13" t="s">
        <v>0</v>
      </c>
      <c r="S495" s="13" t="s">
        <v>0</v>
      </c>
      <c r="T495" s="13" t="s">
        <v>9</v>
      </c>
      <c r="U495" s="13" t="s">
        <v>0</v>
      </c>
      <c r="V495" s="13" t="s">
        <v>0</v>
      </c>
      <c r="W495" s="13" t="s">
        <v>0</v>
      </c>
      <c r="X495" s="13" t="s">
        <v>0</v>
      </c>
      <c r="Y495" s="13" t="s">
        <v>10</v>
      </c>
      <c r="Z495" s="13" t="s">
        <v>0</v>
      </c>
      <c r="AA495" s="14"/>
      <c r="AB495" s="13" t="s">
        <v>0</v>
      </c>
      <c r="AC495" s="13" t="s">
        <v>0</v>
      </c>
      <c r="AD495" s="13" t="s">
        <v>0</v>
      </c>
      <c r="AE495" s="15">
        <v>0</v>
      </c>
    </row>
    <row r="496" spans="1:31" ht="14.15" customHeight="1" x14ac:dyDescent="0.25">
      <c r="A496" s="12" t="s">
        <v>0</v>
      </c>
      <c r="B496" s="13" t="s">
        <v>1</v>
      </c>
      <c r="C496" s="13" t="s">
        <v>2383</v>
      </c>
      <c r="D496" s="14">
        <v>44227</v>
      </c>
      <c r="E496" s="14">
        <v>44227</v>
      </c>
      <c r="F496" s="14">
        <v>44231</v>
      </c>
      <c r="G496" s="13" t="s">
        <v>3</v>
      </c>
      <c r="H496" s="13" t="s">
        <v>4</v>
      </c>
      <c r="I496" s="15">
        <v>-34680.269999999997</v>
      </c>
      <c r="J496" s="13" t="s">
        <v>5</v>
      </c>
      <c r="K496" s="13" t="s">
        <v>6</v>
      </c>
      <c r="L496" s="15">
        <v>-2911408.67</v>
      </c>
      <c r="M496" s="15">
        <v>-34680.269999999997</v>
      </c>
      <c r="N496" s="16" t="str">
        <f>IF(M496="","",IF(M496&lt;0,-M496&amp;"_"&amp;COUNTIF(M$2:M496,M496),M496&amp;"_"&amp;COUNTIF(M$2:M496,M496)))</f>
        <v>34680.27_1</v>
      </c>
      <c r="O496" s="17" t="str">
        <f t="shared" si="7"/>
        <v/>
      </c>
      <c r="P496" s="13" t="s">
        <v>2384</v>
      </c>
      <c r="Q496" s="13" t="s">
        <v>2378</v>
      </c>
      <c r="R496" s="13" t="s">
        <v>0</v>
      </c>
      <c r="S496" s="13" t="s">
        <v>0</v>
      </c>
      <c r="T496" s="13" t="s">
        <v>9</v>
      </c>
      <c r="U496" s="13" t="s">
        <v>0</v>
      </c>
      <c r="V496" s="13" t="s">
        <v>0</v>
      </c>
      <c r="W496" s="13" t="s">
        <v>0</v>
      </c>
      <c r="X496" s="13" t="s">
        <v>0</v>
      </c>
      <c r="Y496" s="13" t="s">
        <v>10</v>
      </c>
      <c r="Z496" s="13" t="s">
        <v>0</v>
      </c>
      <c r="AA496" s="14"/>
      <c r="AB496" s="13" t="s">
        <v>0</v>
      </c>
      <c r="AC496" s="13" t="s">
        <v>0</v>
      </c>
      <c r="AD496" s="13" t="s">
        <v>0</v>
      </c>
      <c r="AE496" s="15">
        <v>0</v>
      </c>
    </row>
    <row r="497" spans="1:31" ht="14.15" customHeight="1" x14ac:dyDescent="0.25">
      <c r="A497" s="12" t="s">
        <v>0</v>
      </c>
      <c r="B497" s="13" t="s">
        <v>289</v>
      </c>
      <c r="C497" s="13" t="s">
        <v>822</v>
      </c>
      <c r="D497" s="14">
        <v>44104</v>
      </c>
      <c r="E497" s="14">
        <v>44104</v>
      </c>
      <c r="F497" s="14">
        <v>44114</v>
      </c>
      <c r="G497" s="13" t="s">
        <v>48</v>
      </c>
      <c r="H497" s="13" t="s">
        <v>4</v>
      </c>
      <c r="I497" s="15">
        <v>-34647.03</v>
      </c>
      <c r="J497" s="13" t="s">
        <v>5</v>
      </c>
      <c r="K497" s="13" t="s">
        <v>6</v>
      </c>
      <c r="L497" s="15">
        <v>-2908618.17</v>
      </c>
      <c r="M497" s="15">
        <v>-34647.03</v>
      </c>
      <c r="N497" s="16" t="str">
        <f>IF(M497="","",IF(M497&lt;0,-M497&amp;"_"&amp;COUNTIF(M$2:M497,M497),M497&amp;"_"&amp;COUNTIF(M$2:M497,M497)))</f>
        <v>34647.03_1</v>
      </c>
      <c r="O497" s="17" t="str">
        <f t="shared" si="7"/>
        <v/>
      </c>
      <c r="P497" s="13" t="s">
        <v>823</v>
      </c>
      <c r="Q497" s="13" t="s">
        <v>824</v>
      </c>
      <c r="R497" s="13" t="s">
        <v>294</v>
      </c>
      <c r="S497" s="13" t="s">
        <v>0</v>
      </c>
      <c r="T497" s="13" t="s">
        <v>9</v>
      </c>
      <c r="U497" s="13" t="s">
        <v>295</v>
      </c>
      <c r="V497" s="13" t="s">
        <v>0</v>
      </c>
      <c r="W497" s="13" t="s">
        <v>0</v>
      </c>
      <c r="X497" s="13" t="s">
        <v>0</v>
      </c>
      <c r="Y497" s="13" t="s">
        <v>291</v>
      </c>
      <c r="Z497" s="13" t="s">
        <v>0</v>
      </c>
      <c r="AA497" s="14"/>
      <c r="AB497" s="13" t="s">
        <v>0</v>
      </c>
      <c r="AC497" s="13" t="s">
        <v>0</v>
      </c>
      <c r="AD497" s="13" t="s">
        <v>0</v>
      </c>
      <c r="AE497" s="15">
        <v>0</v>
      </c>
    </row>
    <row r="498" spans="1:31" ht="14.15" customHeight="1" x14ac:dyDescent="0.25">
      <c r="A498" s="12" t="s">
        <v>0</v>
      </c>
      <c r="B498" s="13" t="s">
        <v>1</v>
      </c>
      <c r="C498" s="13" t="s">
        <v>1788</v>
      </c>
      <c r="D498" s="14">
        <v>44182</v>
      </c>
      <c r="E498" s="14">
        <v>44182</v>
      </c>
      <c r="F498" s="14">
        <v>44199</v>
      </c>
      <c r="G498" s="13" t="s">
        <v>3</v>
      </c>
      <c r="H498" s="13" t="s">
        <v>4</v>
      </c>
      <c r="I498" s="15">
        <v>-34604.46</v>
      </c>
      <c r="J498" s="13" t="s">
        <v>5</v>
      </c>
      <c r="K498" s="13" t="s">
        <v>6</v>
      </c>
      <c r="L498" s="15">
        <v>-2905044.42</v>
      </c>
      <c r="M498" s="15">
        <v>-34604.46</v>
      </c>
      <c r="N498" s="16" t="str">
        <f>IF(M498="","",IF(M498&lt;0,-M498&amp;"_"&amp;COUNTIF(M$2:M498,M498),M498&amp;"_"&amp;COUNTIF(M$2:M498,M498)))</f>
        <v>34604.46_1</v>
      </c>
      <c r="O498" s="17" t="str">
        <f t="shared" si="7"/>
        <v/>
      </c>
      <c r="P498" s="13" t="s">
        <v>1789</v>
      </c>
      <c r="Q498" s="13" t="s">
        <v>1777</v>
      </c>
      <c r="R498" s="13" t="s">
        <v>0</v>
      </c>
      <c r="S498" s="13" t="s">
        <v>0</v>
      </c>
      <c r="T498" s="13" t="s">
        <v>9</v>
      </c>
      <c r="U498" s="13" t="s">
        <v>0</v>
      </c>
      <c r="V498" s="13" t="s">
        <v>0</v>
      </c>
      <c r="W498" s="13" t="s">
        <v>0</v>
      </c>
      <c r="X498" s="13" t="s">
        <v>0</v>
      </c>
      <c r="Y498" s="13" t="s">
        <v>10</v>
      </c>
      <c r="Z498" s="13" t="s">
        <v>0</v>
      </c>
      <c r="AA498" s="14"/>
      <c r="AB498" s="13" t="s">
        <v>0</v>
      </c>
      <c r="AC498" s="13" t="s">
        <v>0</v>
      </c>
      <c r="AD498" s="13" t="s">
        <v>0</v>
      </c>
      <c r="AE498" s="15">
        <v>0</v>
      </c>
    </row>
    <row r="499" spans="1:31" ht="14.15" customHeight="1" x14ac:dyDescent="0.25">
      <c r="A499" s="12" t="s">
        <v>0</v>
      </c>
      <c r="B499" s="13" t="s">
        <v>1</v>
      </c>
      <c r="C499" s="13" t="s">
        <v>782</v>
      </c>
      <c r="D499" s="14">
        <v>44101</v>
      </c>
      <c r="E499" s="14">
        <v>44101</v>
      </c>
      <c r="F499" s="14">
        <v>44105</v>
      </c>
      <c r="G499" s="13" t="s">
        <v>3</v>
      </c>
      <c r="H499" s="13" t="s">
        <v>4</v>
      </c>
      <c r="I499" s="15">
        <v>-34568.57</v>
      </c>
      <c r="J499" s="13" t="s">
        <v>5</v>
      </c>
      <c r="K499" s="13" t="s">
        <v>6</v>
      </c>
      <c r="L499" s="15">
        <v>-2902031.45</v>
      </c>
      <c r="M499" s="15">
        <v>-34568.57</v>
      </c>
      <c r="N499" s="16" t="str">
        <f>IF(M499="","",IF(M499&lt;0,-M499&amp;"_"&amp;COUNTIF(M$2:M499,M499),M499&amp;"_"&amp;COUNTIF(M$2:M499,M499)))</f>
        <v>34568.57_1</v>
      </c>
      <c r="O499" s="17" t="str">
        <f t="shared" si="7"/>
        <v/>
      </c>
      <c r="P499" s="13" t="s">
        <v>783</v>
      </c>
      <c r="Q499" s="13" t="s">
        <v>784</v>
      </c>
      <c r="R499" s="13" t="s">
        <v>0</v>
      </c>
      <c r="S499" s="13" t="s">
        <v>0</v>
      </c>
      <c r="T499" s="13" t="s">
        <v>9</v>
      </c>
      <c r="U499" s="13" t="s">
        <v>0</v>
      </c>
      <c r="V499" s="13" t="s">
        <v>0</v>
      </c>
      <c r="W499" s="13" t="s">
        <v>0</v>
      </c>
      <c r="X499" s="13" t="s">
        <v>0</v>
      </c>
      <c r="Y499" s="13" t="s">
        <v>10</v>
      </c>
      <c r="Z499" s="13" t="s">
        <v>0</v>
      </c>
      <c r="AA499" s="14"/>
      <c r="AB499" s="13" t="s">
        <v>0</v>
      </c>
      <c r="AC499" s="13" t="s">
        <v>0</v>
      </c>
      <c r="AD499" s="13" t="s">
        <v>0</v>
      </c>
      <c r="AE499" s="15">
        <v>0</v>
      </c>
    </row>
    <row r="500" spans="1:31" ht="14.15" customHeight="1" x14ac:dyDescent="0.25">
      <c r="A500" s="12" t="s">
        <v>0</v>
      </c>
      <c r="B500" s="13" t="s">
        <v>1</v>
      </c>
      <c r="C500" s="13" t="s">
        <v>3862</v>
      </c>
      <c r="D500" s="14">
        <v>44351</v>
      </c>
      <c r="E500" s="14">
        <v>44351</v>
      </c>
      <c r="F500" s="14">
        <v>44357</v>
      </c>
      <c r="G500" s="13" t="s">
        <v>3</v>
      </c>
      <c r="H500" s="13" t="s">
        <v>4</v>
      </c>
      <c r="I500" s="15">
        <v>-34556.29</v>
      </c>
      <c r="J500" s="13" t="s">
        <v>5</v>
      </c>
      <c r="K500" s="13" t="s">
        <v>6</v>
      </c>
      <c r="L500" s="15">
        <v>-2901000.54</v>
      </c>
      <c r="M500" s="15">
        <v>-34556.29</v>
      </c>
      <c r="N500" s="16" t="str">
        <f>IF(M500="","",IF(M500&lt;0,-M500&amp;"_"&amp;COUNTIF(M$2:M500,M500),M500&amp;"_"&amp;COUNTIF(M$2:M500,M500)))</f>
        <v>34556.29_1</v>
      </c>
      <c r="O500" s="17" t="str">
        <f t="shared" si="7"/>
        <v/>
      </c>
      <c r="P500" s="13" t="s">
        <v>3863</v>
      </c>
      <c r="Q500" s="13" t="s">
        <v>3857</v>
      </c>
      <c r="R500" s="13" t="s">
        <v>0</v>
      </c>
      <c r="S500" s="13" t="s">
        <v>0</v>
      </c>
      <c r="T500" s="13" t="s">
        <v>9</v>
      </c>
      <c r="U500" s="13" t="s">
        <v>0</v>
      </c>
      <c r="V500" s="13" t="s">
        <v>0</v>
      </c>
      <c r="W500" s="13" t="s">
        <v>0</v>
      </c>
      <c r="X500" s="13" t="s">
        <v>0</v>
      </c>
      <c r="Y500" s="13" t="s">
        <v>10</v>
      </c>
      <c r="Z500" s="13" t="s">
        <v>0</v>
      </c>
      <c r="AA500" s="14"/>
      <c r="AB500" s="13" t="s">
        <v>0</v>
      </c>
      <c r="AC500" s="13" t="s">
        <v>0</v>
      </c>
      <c r="AD500" s="13" t="s">
        <v>0</v>
      </c>
      <c r="AE500" s="15">
        <v>0</v>
      </c>
    </row>
    <row r="501" spans="1:31" ht="14.15" customHeight="1" x14ac:dyDescent="0.25">
      <c r="A501" s="12" t="s">
        <v>0</v>
      </c>
      <c r="B501" s="13" t="s">
        <v>1</v>
      </c>
      <c r="C501" s="13" t="s">
        <v>3506</v>
      </c>
      <c r="D501" s="14">
        <v>44323</v>
      </c>
      <c r="E501" s="14">
        <v>44323</v>
      </c>
      <c r="F501" s="14">
        <v>44329</v>
      </c>
      <c r="G501" s="13" t="s">
        <v>3</v>
      </c>
      <c r="H501" s="13" t="s">
        <v>4</v>
      </c>
      <c r="I501" s="15">
        <v>-34341.279999999999</v>
      </c>
      <c r="J501" s="13" t="s">
        <v>5</v>
      </c>
      <c r="K501" s="13" t="s">
        <v>6</v>
      </c>
      <c r="L501" s="15">
        <v>-2882950.46</v>
      </c>
      <c r="M501" s="15">
        <v>-34341.279999999999</v>
      </c>
      <c r="N501" s="16" t="str">
        <f>IF(M501="","",IF(M501&lt;0,-M501&amp;"_"&amp;COUNTIF(M$2:M501,M501),M501&amp;"_"&amp;COUNTIF(M$2:M501,M501)))</f>
        <v>34341.28_1</v>
      </c>
      <c r="O501" s="17" t="str">
        <f t="shared" si="7"/>
        <v/>
      </c>
      <c r="P501" s="13" t="s">
        <v>3507</v>
      </c>
      <c r="Q501" s="13" t="s">
        <v>3503</v>
      </c>
      <c r="R501" s="13" t="s">
        <v>0</v>
      </c>
      <c r="S501" s="13" t="s">
        <v>0</v>
      </c>
      <c r="T501" s="13" t="s">
        <v>9</v>
      </c>
      <c r="U501" s="13" t="s">
        <v>0</v>
      </c>
      <c r="V501" s="13" t="s">
        <v>0</v>
      </c>
      <c r="W501" s="13" t="s">
        <v>0</v>
      </c>
      <c r="X501" s="13" t="s">
        <v>0</v>
      </c>
      <c r="Y501" s="13" t="s">
        <v>10</v>
      </c>
      <c r="Z501" s="13" t="s">
        <v>0</v>
      </c>
      <c r="AA501" s="14"/>
      <c r="AB501" s="13" t="s">
        <v>0</v>
      </c>
      <c r="AC501" s="13" t="s">
        <v>0</v>
      </c>
      <c r="AD501" s="13" t="s">
        <v>0</v>
      </c>
      <c r="AE501" s="15">
        <v>0</v>
      </c>
    </row>
    <row r="502" spans="1:31" ht="14.15" customHeight="1" x14ac:dyDescent="0.25">
      <c r="A502" s="12" t="s">
        <v>0</v>
      </c>
      <c r="B502" s="13" t="s">
        <v>1</v>
      </c>
      <c r="C502" s="13" t="s">
        <v>585</v>
      </c>
      <c r="D502" s="14">
        <v>44079</v>
      </c>
      <c r="E502" s="14">
        <v>44079</v>
      </c>
      <c r="F502" s="14">
        <v>44082</v>
      </c>
      <c r="G502" s="13" t="s">
        <v>3</v>
      </c>
      <c r="H502" s="13" t="s">
        <v>4</v>
      </c>
      <c r="I502" s="15">
        <v>-34289.629999999997</v>
      </c>
      <c r="J502" s="13" t="s">
        <v>5</v>
      </c>
      <c r="K502" s="13" t="s">
        <v>6</v>
      </c>
      <c r="L502" s="15">
        <v>-2878614.44</v>
      </c>
      <c r="M502" s="15">
        <v>-34289.629999999997</v>
      </c>
      <c r="N502" s="16" t="str">
        <f>IF(M502="","",IF(M502&lt;0,-M502&amp;"_"&amp;COUNTIF(M$2:M502,M502),M502&amp;"_"&amp;COUNTIF(M$2:M502,M502)))</f>
        <v>34289.63_1</v>
      </c>
      <c r="O502" s="17" t="str">
        <f t="shared" si="7"/>
        <v/>
      </c>
      <c r="P502" s="13" t="s">
        <v>586</v>
      </c>
      <c r="Q502" s="13" t="s">
        <v>587</v>
      </c>
      <c r="R502" s="13" t="s">
        <v>0</v>
      </c>
      <c r="S502" s="13" t="s">
        <v>0</v>
      </c>
      <c r="T502" s="13" t="s">
        <v>9</v>
      </c>
      <c r="U502" s="13" t="s">
        <v>0</v>
      </c>
      <c r="V502" s="13" t="s">
        <v>0</v>
      </c>
      <c r="W502" s="13" t="s">
        <v>0</v>
      </c>
      <c r="X502" s="13" t="s">
        <v>0</v>
      </c>
      <c r="Y502" s="13" t="s">
        <v>10</v>
      </c>
      <c r="Z502" s="13" t="s">
        <v>0</v>
      </c>
      <c r="AA502" s="14"/>
      <c r="AB502" s="13" t="s">
        <v>0</v>
      </c>
      <c r="AC502" s="13" t="s">
        <v>0</v>
      </c>
      <c r="AD502" s="13" t="s">
        <v>0</v>
      </c>
      <c r="AE502" s="15">
        <v>0</v>
      </c>
    </row>
    <row r="503" spans="1:31" ht="14.15" customHeight="1" x14ac:dyDescent="0.25">
      <c r="A503" s="12" t="s">
        <v>0</v>
      </c>
      <c r="B503" s="13" t="s">
        <v>1</v>
      </c>
      <c r="C503" s="13" t="s">
        <v>3638</v>
      </c>
      <c r="D503" s="14">
        <v>44331</v>
      </c>
      <c r="E503" s="14">
        <v>44331</v>
      </c>
      <c r="F503" s="14">
        <v>44336</v>
      </c>
      <c r="G503" s="13" t="s">
        <v>3</v>
      </c>
      <c r="H503" s="13" t="s">
        <v>4</v>
      </c>
      <c r="I503" s="15">
        <v>-34211.35</v>
      </c>
      <c r="J503" s="13" t="s">
        <v>5</v>
      </c>
      <c r="K503" s="13" t="s">
        <v>6</v>
      </c>
      <c r="L503" s="15">
        <v>-2872042.83</v>
      </c>
      <c r="M503" s="15">
        <v>-34211.35</v>
      </c>
      <c r="N503" s="16" t="str">
        <f>IF(M503="","",IF(M503&lt;0,-M503&amp;"_"&amp;COUNTIF(M$2:M503,M503),M503&amp;"_"&amp;COUNTIF(M$2:M503,M503)))</f>
        <v>34211.35_1</v>
      </c>
      <c r="O503" s="17" t="str">
        <f t="shared" si="7"/>
        <v/>
      </c>
      <c r="P503" s="13" t="s">
        <v>3639</v>
      </c>
      <c r="Q503" s="13" t="s">
        <v>3637</v>
      </c>
      <c r="R503" s="13" t="s">
        <v>0</v>
      </c>
      <c r="S503" s="13" t="s">
        <v>0</v>
      </c>
      <c r="T503" s="13" t="s">
        <v>9</v>
      </c>
      <c r="U503" s="13" t="s">
        <v>0</v>
      </c>
      <c r="V503" s="13" t="s">
        <v>0</v>
      </c>
      <c r="W503" s="13" t="s">
        <v>0</v>
      </c>
      <c r="X503" s="13" t="s">
        <v>0</v>
      </c>
      <c r="Y503" s="13" t="s">
        <v>10</v>
      </c>
      <c r="Z503" s="13" t="s">
        <v>0</v>
      </c>
      <c r="AA503" s="14"/>
      <c r="AB503" s="13" t="s">
        <v>0</v>
      </c>
      <c r="AC503" s="13" t="s">
        <v>0</v>
      </c>
      <c r="AD503" s="13" t="s">
        <v>0</v>
      </c>
      <c r="AE503" s="15">
        <v>0</v>
      </c>
    </row>
    <row r="504" spans="1:31" ht="14.15" customHeight="1" x14ac:dyDescent="0.25">
      <c r="A504" s="12" t="s">
        <v>0</v>
      </c>
      <c r="B504" s="13" t="s">
        <v>1</v>
      </c>
      <c r="C504" s="13" t="s">
        <v>239</v>
      </c>
      <c r="D504" s="14">
        <v>44040</v>
      </c>
      <c r="E504" s="14">
        <v>44040</v>
      </c>
      <c r="F504" s="14">
        <v>44049</v>
      </c>
      <c r="G504" s="13" t="s">
        <v>3</v>
      </c>
      <c r="H504" s="13" t="s">
        <v>4</v>
      </c>
      <c r="I504" s="15">
        <v>-34178.54</v>
      </c>
      <c r="J504" s="13" t="s">
        <v>5</v>
      </c>
      <c r="K504" s="13" t="s">
        <v>6</v>
      </c>
      <c r="L504" s="15">
        <v>-2869288.43</v>
      </c>
      <c r="M504" s="15">
        <v>-34178.54</v>
      </c>
      <c r="N504" s="16" t="str">
        <f>IF(M504="","",IF(M504&lt;0,-M504&amp;"_"&amp;COUNTIF(M$2:M504,M504),M504&amp;"_"&amp;COUNTIF(M$2:M504,M504)))</f>
        <v>34178.54_1</v>
      </c>
      <c r="O504" s="17" t="str">
        <f t="shared" si="7"/>
        <v/>
      </c>
      <c r="P504" s="13" t="s">
        <v>240</v>
      </c>
      <c r="Q504" s="13" t="s">
        <v>241</v>
      </c>
      <c r="R504" s="13" t="s">
        <v>0</v>
      </c>
      <c r="S504" s="13" t="s">
        <v>0</v>
      </c>
      <c r="T504" s="13" t="s">
        <v>9</v>
      </c>
      <c r="U504" s="13" t="s">
        <v>0</v>
      </c>
      <c r="V504" s="13" t="s">
        <v>0</v>
      </c>
      <c r="W504" s="13" t="s">
        <v>0</v>
      </c>
      <c r="X504" s="13" t="s">
        <v>0</v>
      </c>
      <c r="Y504" s="13" t="s">
        <v>10</v>
      </c>
      <c r="Z504" s="13" t="s">
        <v>0</v>
      </c>
      <c r="AA504" s="14"/>
      <c r="AB504" s="13" t="s">
        <v>0</v>
      </c>
      <c r="AC504" s="13" t="s">
        <v>0</v>
      </c>
      <c r="AD504" s="13" t="s">
        <v>0</v>
      </c>
      <c r="AE504" s="15">
        <v>0</v>
      </c>
    </row>
    <row r="505" spans="1:31" ht="14.15" customHeight="1" x14ac:dyDescent="0.25">
      <c r="A505" s="12" t="s">
        <v>0</v>
      </c>
      <c r="B505" s="13" t="s">
        <v>1</v>
      </c>
      <c r="C505" s="13" t="s">
        <v>2202</v>
      </c>
      <c r="D505" s="14">
        <v>44211</v>
      </c>
      <c r="E505" s="14">
        <v>44211</v>
      </c>
      <c r="F505" s="14">
        <v>44217</v>
      </c>
      <c r="G505" s="13" t="s">
        <v>3</v>
      </c>
      <c r="H505" s="13" t="s">
        <v>4</v>
      </c>
      <c r="I505" s="15">
        <v>-34170.18</v>
      </c>
      <c r="J505" s="13" t="s">
        <v>5</v>
      </c>
      <c r="K505" s="13" t="s">
        <v>6</v>
      </c>
      <c r="L505" s="15">
        <v>-2868586.61</v>
      </c>
      <c r="M505" s="15">
        <v>-34170.18</v>
      </c>
      <c r="N505" s="16" t="str">
        <f>IF(M505="","",IF(M505&lt;0,-M505&amp;"_"&amp;COUNTIF(M$2:M505,M505),M505&amp;"_"&amp;COUNTIF(M$2:M505,M505)))</f>
        <v>34170.18_1</v>
      </c>
      <c r="O505" s="17" t="str">
        <f t="shared" si="7"/>
        <v/>
      </c>
      <c r="P505" s="13" t="s">
        <v>2203</v>
      </c>
      <c r="Q505" s="13" t="s">
        <v>2201</v>
      </c>
      <c r="R505" s="13" t="s">
        <v>0</v>
      </c>
      <c r="S505" s="13" t="s">
        <v>0</v>
      </c>
      <c r="T505" s="13" t="s">
        <v>9</v>
      </c>
      <c r="U505" s="13" t="s">
        <v>0</v>
      </c>
      <c r="V505" s="13" t="s">
        <v>0</v>
      </c>
      <c r="W505" s="13" t="s">
        <v>0</v>
      </c>
      <c r="X505" s="13" t="s">
        <v>0</v>
      </c>
      <c r="Y505" s="13" t="s">
        <v>10</v>
      </c>
      <c r="Z505" s="13" t="s">
        <v>0</v>
      </c>
      <c r="AA505" s="14"/>
      <c r="AB505" s="13" t="s">
        <v>0</v>
      </c>
      <c r="AC505" s="13" t="s">
        <v>0</v>
      </c>
      <c r="AD505" s="13" t="s">
        <v>0</v>
      </c>
      <c r="AE505" s="15">
        <v>0</v>
      </c>
    </row>
    <row r="506" spans="1:31" ht="14.15" customHeight="1" x14ac:dyDescent="0.25">
      <c r="A506" s="12" t="s">
        <v>0</v>
      </c>
      <c r="B506" s="13" t="s">
        <v>1</v>
      </c>
      <c r="C506" s="13" t="s">
        <v>1129</v>
      </c>
      <c r="D506" s="14">
        <v>44137</v>
      </c>
      <c r="E506" s="14">
        <v>44137</v>
      </c>
      <c r="F506" s="14">
        <v>44145</v>
      </c>
      <c r="G506" s="13" t="s">
        <v>3</v>
      </c>
      <c r="H506" s="13" t="s">
        <v>4</v>
      </c>
      <c r="I506" s="15">
        <v>-34149.440000000002</v>
      </c>
      <c r="J506" s="13" t="s">
        <v>5</v>
      </c>
      <c r="K506" s="13" t="s">
        <v>6</v>
      </c>
      <c r="L506" s="15">
        <v>-2866845.49</v>
      </c>
      <c r="M506" s="15">
        <v>-34149.440000000002</v>
      </c>
      <c r="N506" s="16" t="str">
        <f>IF(M506="","",IF(M506&lt;0,-M506&amp;"_"&amp;COUNTIF(M$2:M506,M506),M506&amp;"_"&amp;COUNTIF(M$2:M506,M506)))</f>
        <v>34149.44_1</v>
      </c>
      <c r="O506" s="17" t="str">
        <f t="shared" si="7"/>
        <v/>
      </c>
      <c r="P506" s="13" t="s">
        <v>1130</v>
      </c>
      <c r="Q506" s="13" t="s">
        <v>1120</v>
      </c>
      <c r="R506" s="13" t="s">
        <v>0</v>
      </c>
      <c r="S506" s="13" t="s">
        <v>0</v>
      </c>
      <c r="T506" s="13" t="s">
        <v>9</v>
      </c>
      <c r="U506" s="13" t="s">
        <v>0</v>
      </c>
      <c r="V506" s="13" t="s">
        <v>0</v>
      </c>
      <c r="W506" s="13" t="s">
        <v>0</v>
      </c>
      <c r="X506" s="13" t="s">
        <v>0</v>
      </c>
      <c r="Y506" s="13" t="s">
        <v>10</v>
      </c>
      <c r="Z506" s="13" t="s">
        <v>0</v>
      </c>
      <c r="AA506" s="14"/>
      <c r="AB506" s="13" t="s">
        <v>0</v>
      </c>
      <c r="AC506" s="13" t="s">
        <v>0</v>
      </c>
      <c r="AD506" s="13" t="s">
        <v>0</v>
      </c>
      <c r="AE506" s="15">
        <v>0</v>
      </c>
    </row>
    <row r="507" spans="1:31" ht="14.15" customHeight="1" x14ac:dyDescent="0.25">
      <c r="A507" s="12" t="s">
        <v>0</v>
      </c>
      <c r="B507" s="13" t="s">
        <v>1</v>
      </c>
      <c r="C507" s="13" t="s">
        <v>2797</v>
      </c>
      <c r="D507" s="14">
        <v>44264</v>
      </c>
      <c r="E507" s="14">
        <v>44264</v>
      </c>
      <c r="F507" s="14">
        <v>44268</v>
      </c>
      <c r="G507" s="13" t="s">
        <v>3</v>
      </c>
      <c r="H507" s="13" t="s">
        <v>4</v>
      </c>
      <c r="I507" s="15">
        <v>-34104.9</v>
      </c>
      <c r="J507" s="13" t="s">
        <v>5</v>
      </c>
      <c r="K507" s="13" t="s">
        <v>6</v>
      </c>
      <c r="L507" s="15">
        <v>-2863106.36</v>
      </c>
      <c r="M507" s="15">
        <v>-34104.9</v>
      </c>
      <c r="N507" s="16" t="str">
        <f>IF(M507="","",IF(M507&lt;0,-M507&amp;"_"&amp;COUNTIF(M$2:M507,M507),M507&amp;"_"&amp;COUNTIF(M$2:M507,M507)))</f>
        <v>34104.9_1</v>
      </c>
      <c r="O507" s="17" t="str">
        <f t="shared" si="7"/>
        <v/>
      </c>
      <c r="P507" s="13" t="s">
        <v>2798</v>
      </c>
      <c r="Q507" s="13" t="s">
        <v>2796</v>
      </c>
      <c r="R507" s="13" t="s">
        <v>0</v>
      </c>
      <c r="S507" s="13" t="s">
        <v>0</v>
      </c>
      <c r="T507" s="13" t="s">
        <v>9</v>
      </c>
      <c r="U507" s="13" t="s">
        <v>0</v>
      </c>
      <c r="V507" s="13" t="s">
        <v>0</v>
      </c>
      <c r="W507" s="13" t="s">
        <v>0</v>
      </c>
      <c r="X507" s="13" t="s">
        <v>0</v>
      </c>
      <c r="Y507" s="13" t="s">
        <v>10</v>
      </c>
      <c r="Z507" s="13" t="s">
        <v>0</v>
      </c>
      <c r="AA507" s="14"/>
      <c r="AB507" s="13" t="s">
        <v>0</v>
      </c>
      <c r="AC507" s="13" t="s">
        <v>0</v>
      </c>
      <c r="AD507" s="13" t="s">
        <v>0</v>
      </c>
      <c r="AE507" s="15">
        <v>0</v>
      </c>
    </row>
    <row r="508" spans="1:31" ht="14.15" customHeight="1" x14ac:dyDescent="0.25">
      <c r="A508" s="12" t="s">
        <v>0</v>
      </c>
      <c r="B508" s="13" t="s">
        <v>1</v>
      </c>
      <c r="C508" s="13" t="s">
        <v>1421</v>
      </c>
      <c r="D508" s="14">
        <v>44155</v>
      </c>
      <c r="E508" s="14">
        <v>44155</v>
      </c>
      <c r="F508" s="14">
        <v>44159</v>
      </c>
      <c r="G508" s="13" t="s">
        <v>3</v>
      </c>
      <c r="H508" s="13" t="s">
        <v>4</v>
      </c>
      <c r="I508" s="15">
        <v>-34072.26</v>
      </c>
      <c r="J508" s="13" t="s">
        <v>5</v>
      </c>
      <c r="K508" s="13" t="s">
        <v>6</v>
      </c>
      <c r="L508" s="15">
        <v>-2860366.23</v>
      </c>
      <c r="M508" s="15">
        <v>-34072.26</v>
      </c>
      <c r="N508" s="16" t="str">
        <f>IF(M508="","",IF(M508&lt;0,-M508&amp;"_"&amp;COUNTIF(M$2:M508,M508),M508&amp;"_"&amp;COUNTIF(M$2:M508,M508)))</f>
        <v>34072.26_1</v>
      </c>
      <c r="O508" s="17" t="str">
        <f t="shared" si="7"/>
        <v/>
      </c>
      <c r="P508" s="13" t="s">
        <v>1422</v>
      </c>
      <c r="Q508" s="13" t="s">
        <v>1423</v>
      </c>
      <c r="R508" s="13" t="s">
        <v>0</v>
      </c>
      <c r="S508" s="13" t="s">
        <v>0</v>
      </c>
      <c r="T508" s="13" t="s">
        <v>9</v>
      </c>
      <c r="U508" s="13" t="s">
        <v>0</v>
      </c>
      <c r="V508" s="13" t="s">
        <v>0</v>
      </c>
      <c r="W508" s="13" t="s">
        <v>0</v>
      </c>
      <c r="X508" s="13" t="s">
        <v>0</v>
      </c>
      <c r="Y508" s="13" t="s">
        <v>10</v>
      </c>
      <c r="Z508" s="13" t="s">
        <v>0</v>
      </c>
      <c r="AA508" s="14"/>
      <c r="AB508" s="13" t="s">
        <v>0</v>
      </c>
      <c r="AC508" s="13" t="s">
        <v>0</v>
      </c>
      <c r="AD508" s="13" t="s">
        <v>0</v>
      </c>
      <c r="AE508" s="15">
        <v>0</v>
      </c>
    </row>
    <row r="509" spans="1:31" ht="14.15" customHeight="1" x14ac:dyDescent="0.25">
      <c r="A509" s="12" t="s">
        <v>0</v>
      </c>
      <c r="B509" s="13" t="s">
        <v>1</v>
      </c>
      <c r="C509" s="13" t="s">
        <v>1590</v>
      </c>
      <c r="D509" s="14">
        <v>44167</v>
      </c>
      <c r="E509" s="14">
        <v>44167</v>
      </c>
      <c r="F509" s="14">
        <v>44174</v>
      </c>
      <c r="G509" s="13" t="s">
        <v>3</v>
      </c>
      <c r="H509" s="13" t="s">
        <v>4</v>
      </c>
      <c r="I509" s="15">
        <v>-34030.589999999997</v>
      </c>
      <c r="J509" s="13" t="s">
        <v>5</v>
      </c>
      <c r="K509" s="13" t="s">
        <v>6</v>
      </c>
      <c r="L509" s="15">
        <v>-2856868.03</v>
      </c>
      <c r="M509" s="15">
        <v>-34030.589999999997</v>
      </c>
      <c r="N509" s="16" t="str">
        <f>IF(M509="","",IF(M509&lt;0,-M509&amp;"_"&amp;COUNTIF(M$2:M509,M509),M509&amp;"_"&amp;COUNTIF(M$2:M509,M509)))</f>
        <v>34030.59_1</v>
      </c>
      <c r="O509" s="17" t="str">
        <f t="shared" si="7"/>
        <v/>
      </c>
      <c r="P509" s="13" t="s">
        <v>1591</v>
      </c>
      <c r="Q509" s="13" t="s">
        <v>1592</v>
      </c>
      <c r="R509" s="13" t="s">
        <v>0</v>
      </c>
      <c r="S509" s="13" t="s">
        <v>0</v>
      </c>
      <c r="T509" s="13" t="s">
        <v>9</v>
      </c>
      <c r="U509" s="13" t="s">
        <v>0</v>
      </c>
      <c r="V509" s="13" t="s">
        <v>0</v>
      </c>
      <c r="W509" s="13" t="s">
        <v>0</v>
      </c>
      <c r="X509" s="13" t="s">
        <v>0</v>
      </c>
      <c r="Y509" s="13" t="s">
        <v>10</v>
      </c>
      <c r="Z509" s="13" t="s">
        <v>0</v>
      </c>
      <c r="AA509" s="14"/>
      <c r="AB509" s="13" t="s">
        <v>0</v>
      </c>
      <c r="AC509" s="13" t="s">
        <v>0</v>
      </c>
      <c r="AD509" s="13" t="s">
        <v>0</v>
      </c>
      <c r="AE509" s="15">
        <v>0</v>
      </c>
    </row>
    <row r="510" spans="1:31" ht="14.15" customHeight="1" x14ac:dyDescent="0.25">
      <c r="A510" s="12" t="s">
        <v>0</v>
      </c>
      <c r="B510" s="13" t="s">
        <v>1</v>
      </c>
      <c r="C510" s="13" t="s">
        <v>434</v>
      </c>
      <c r="D510" s="14">
        <v>44064</v>
      </c>
      <c r="E510" s="14">
        <v>44064</v>
      </c>
      <c r="F510" s="14">
        <v>44072</v>
      </c>
      <c r="G510" s="13" t="s">
        <v>3</v>
      </c>
      <c r="H510" s="13" t="s">
        <v>4</v>
      </c>
      <c r="I510" s="15">
        <v>-34000.11</v>
      </c>
      <c r="J510" s="13" t="s">
        <v>5</v>
      </c>
      <c r="K510" s="13" t="s">
        <v>6</v>
      </c>
      <c r="L510" s="15">
        <v>-2854309.23</v>
      </c>
      <c r="M510" s="15">
        <v>-34000.11</v>
      </c>
      <c r="N510" s="16" t="str">
        <f>IF(M510="","",IF(M510&lt;0,-M510&amp;"_"&amp;COUNTIF(M$2:M510,M510),M510&amp;"_"&amp;COUNTIF(M$2:M510,M510)))</f>
        <v>34000.11_1</v>
      </c>
      <c r="O510" s="17" t="str">
        <f t="shared" si="7"/>
        <v/>
      </c>
      <c r="P510" s="13" t="s">
        <v>435</v>
      </c>
      <c r="Q510" s="13" t="s">
        <v>431</v>
      </c>
      <c r="R510" s="13" t="s">
        <v>0</v>
      </c>
      <c r="S510" s="13" t="s">
        <v>0</v>
      </c>
      <c r="T510" s="13" t="s">
        <v>9</v>
      </c>
      <c r="U510" s="13" t="s">
        <v>0</v>
      </c>
      <c r="V510" s="13" t="s">
        <v>0</v>
      </c>
      <c r="W510" s="13" t="s">
        <v>0</v>
      </c>
      <c r="X510" s="13" t="s">
        <v>0</v>
      </c>
      <c r="Y510" s="13" t="s">
        <v>10</v>
      </c>
      <c r="Z510" s="13" t="s">
        <v>0</v>
      </c>
      <c r="AA510" s="14"/>
      <c r="AB510" s="13" t="s">
        <v>0</v>
      </c>
      <c r="AC510" s="13" t="s">
        <v>0</v>
      </c>
      <c r="AD510" s="13" t="s">
        <v>0</v>
      </c>
      <c r="AE510" s="15">
        <v>0</v>
      </c>
    </row>
    <row r="511" spans="1:31" ht="14.15" customHeight="1" x14ac:dyDescent="0.25">
      <c r="A511" s="12" t="s">
        <v>0</v>
      </c>
      <c r="B511" s="13" t="s">
        <v>1</v>
      </c>
      <c r="C511" s="13" t="s">
        <v>2935</v>
      </c>
      <c r="D511" s="14">
        <v>44276</v>
      </c>
      <c r="E511" s="14">
        <v>44276</v>
      </c>
      <c r="F511" s="14">
        <v>44283</v>
      </c>
      <c r="G511" s="13" t="s">
        <v>3</v>
      </c>
      <c r="H511" s="13" t="s">
        <v>4</v>
      </c>
      <c r="I511" s="15">
        <v>-33938.51</v>
      </c>
      <c r="J511" s="13" t="s">
        <v>5</v>
      </c>
      <c r="K511" s="13" t="s">
        <v>6</v>
      </c>
      <c r="L511" s="15">
        <v>-2849137.91</v>
      </c>
      <c r="M511" s="15">
        <v>-33938.51</v>
      </c>
      <c r="N511" s="16" t="str">
        <f>IF(M511="","",IF(M511&lt;0,-M511&amp;"_"&amp;COUNTIF(M$2:M511,M511),M511&amp;"_"&amp;COUNTIF(M$2:M511,M511)))</f>
        <v>33938.51_1</v>
      </c>
      <c r="O511" s="17" t="str">
        <f t="shared" si="7"/>
        <v/>
      </c>
      <c r="P511" s="13" t="s">
        <v>2936</v>
      </c>
      <c r="Q511" s="13" t="s">
        <v>2922</v>
      </c>
      <c r="R511" s="13" t="s">
        <v>0</v>
      </c>
      <c r="S511" s="13" t="s">
        <v>0</v>
      </c>
      <c r="T511" s="13" t="s">
        <v>9</v>
      </c>
      <c r="U511" s="13" t="s">
        <v>0</v>
      </c>
      <c r="V511" s="13" t="s">
        <v>0</v>
      </c>
      <c r="W511" s="13" t="s">
        <v>0</v>
      </c>
      <c r="X511" s="13" t="s">
        <v>0</v>
      </c>
      <c r="Y511" s="13" t="s">
        <v>10</v>
      </c>
      <c r="Z511" s="13" t="s">
        <v>0</v>
      </c>
      <c r="AA511" s="14"/>
      <c r="AB511" s="13" t="s">
        <v>0</v>
      </c>
      <c r="AC511" s="13" t="s">
        <v>0</v>
      </c>
      <c r="AD511" s="13" t="s">
        <v>0</v>
      </c>
      <c r="AE511" s="15">
        <v>0</v>
      </c>
    </row>
    <row r="512" spans="1:31" ht="14.15" customHeight="1" x14ac:dyDescent="0.25">
      <c r="A512" s="12" t="s">
        <v>0</v>
      </c>
      <c r="B512" s="13" t="s">
        <v>1</v>
      </c>
      <c r="C512" s="13" t="s">
        <v>4278</v>
      </c>
      <c r="D512" s="14">
        <v>44370</v>
      </c>
      <c r="E512" s="14">
        <v>44370</v>
      </c>
      <c r="F512" s="14">
        <v>44377</v>
      </c>
      <c r="G512" s="13" t="s">
        <v>3</v>
      </c>
      <c r="H512" s="13" t="s">
        <v>4</v>
      </c>
      <c r="I512" s="15">
        <v>-33906.93</v>
      </c>
      <c r="J512" s="13" t="s">
        <v>5</v>
      </c>
      <c r="K512" s="13" t="s">
        <v>6</v>
      </c>
      <c r="L512" s="15">
        <v>-2846486.77</v>
      </c>
      <c r="M512" s="15">
        <v>-33906.93</v>
      </c>
      <c r="N512" s="16" t="str">
        <f>IF(M512="","",IF(M512&lt;0,-M512&amp;"_"&amp;COUNTIF(M$2:M512,M512),M512&amp;"_"&amp;COUNTIF(M$2:M512,M512)))</f>
        <v>33906.93_1</v>
      </c>
      <c r="O512" s="17" t="str">
        <f t="shared" si="7"/>
        <v/>
      </c>
      <c r="P512" s="13" t="s">
        <v>4279</v>
      </c>
      <c r="Q512" s="13" t="s">
        <v>4269</v>
      </c>
      <c r="R512" s="13" t="s">
        <v>0</v>
      </c>
      <c r="S512" s="13" t="s">
        <v>0</v>
      </c>
      <c r="T512" s="13" t="s">
        <v>9</v>
      </c>
      <c r="U512" s="13" t="s">
        <v>0</v>
      </c>
      <c r="V512" s="13" t="s">
        <v>0</v>
      </c>
      <c r="W512" s="13" t="s">
        <v>0</v>
      </c>
      <c r="X512" s="13" t="s">
        <v>0</v>
      </c>
      <c r="Y512" s="13" t="s">
        <v>10</v>
      </c>
      <c r="Z512" s="13" t="s">
        <v>0</v>
      </c>
      <c r="AA512" s="14"/>
      <c r="AB512" s="13" t="s">
        <v>0</v>
      </c>
      <c r="AC512" s="13" t="s">
        <v>0</v>
      </c>
      <c r="AD512" s="13" t="s">
        <v>0</v>
      </c>
      <c r="AE512" s="15">
        <v>0</v>
      </c>
    </row>
    <row r="513" spans="1:31" ht="14.15" customHeight="1" x14ac:dyDescent="0.25">
      <c r="A513" s="12" t="s">
        <v>0</v>
      </c>
      <c r="B513" s="13" t="s">
        <v>1</v>
      </c>
      <c r="C513" s="13" t="s">
        <v>1730</v>
      </c>
      <c r="D513" s="14">
        <v>44177</v>
      </c>
      <c r="E513" s="14">
        <v>44177</v>
      </c>
      <c r="F513" s="14">
        <v>44185</v>
      </c>
      <c r="G513" s="13" t="s">
        <v>3</v>
      </c>
      <c r="H513" s="13" t="s">
        <v>4</v>
      </c>
      <c r="I513" s="15">
        <v>-33845.14</v>
      </c>
      <c r="J513" s="13" t="s">
        <v>5</v>
      </c>
      <c r="K513" s="13" t="s">
        <v>6</v>
      </c>
      <c r="L513" s="15">
        <v>-2841299.5</v>
      </c>
      <c r="M513" s="15">
        <v>-33845.14</v>
      </c>
      <c r="N513" s="16" t="str">
        <f>IF(M513="","",IF(M513&lt;0,-M513&amp;"_"&amp;COUNTIF(M$2:M513,M513),M513&amp;"_"&amp;COUNTIF(M$2:M513,M513)))</f>
        <v>33845.14_1</v>
      </c>
      <c r="O513" s="17" t="str">
        <f t="shared" si="7"/>
        <v/>
      </c>
      <c r="P513" s="13" t="s">
        <v>1731</v>
      </c>
      <c r="Q513" s="13" t="s">
        <v>1729</v>
      </c>
      <c r="R513" s="13" t="s">
        <v>0</v>
      </c>
      <c r="S513" s="13" t="s">
        <v>0</v>
      </c>
      <c r="T513" s="13" t="s">
        <v>9</v>
      </c>
      <c r="U513" s="13" t="s">
        <v>0</v>
      </c>
      <c r="V513" s="13" t="s">
        <v>0</v>
      </c>
      <c r="W513" s="13" t="s">
        <v>0</v>
      </c>
      <c r="X513" s="13" t="s">
        <v>0</v>
      </c>
      <c r="Y513" s="13" t="s">
        <v>10</v>
      </c>
      <c r="Z513" s="13" t="s">
        <v>0</v>
      </c>
      <c r="AA513" s="14"/>
      <c r="AB513" s="13" t="s">
        <v>0</v>
      </c>
      <c r="AC513" s="13" t="s">
        <v>0</v>
      </c>
      <c r="AD513" s="13" t="s">
        <v>0</v>
      </c>
      <c r="AE513" s="15">
        <v>0</v>
      </c>
    </row>
    <row r="514" spans="1:31" ht="14.15" customHeight="1" x14ac:dyDescent="0.25">
      <c r="A514" s="12" t="s">
        <v>0</v>
      </c>
      <c r="B514" s="13" t="s">
        <v>1</v>
      </c>
      <c r="C514" s="13" t="s">
        <v>1339</v>
      </c>
      <c r="D514" s="14">
        <v>44150</v>
      </c>
      <c r="E514" s="14">
        <v>44150</v>
      </c>
      <c r="F514" s="14">
        <v>44153</v>
      </c>
      <c r="G514" s="13" t="s">
        <v>3</v>
      </c>
      <c r="H514" s="13" t="s">
        <v>4</v>
      </c>
      <c r="I514" s="15">
        <v>-33799.46</v>
      </c>
      <c r="J514" s="13" t="s">
        <v>5</v>
      </c>
      <c r="K514" s="13" t="s">
        <v>6</v>
      </c>
      <c r="L514" s="15">
        <v>-2837464.67</v>
      </c>
      <c r="M514" s="15">
        <v>-33799.46</v>
      </c>
      <c r="N514" s="16" t="str">
        <f>IF(M514="","",IF(M514&lt;0,-M514&amp;"_"&amp;COUNTIF(M$2:M514,M514),M514&amp;"_"&amp;COUNTIF(M$2:M514,M514)))</f>
        <v>33799.46_1</v>
      </c>
      <c r="O514" s="17" t="str">
        <f t="shared" ref="O514:O577" si="8">IF(COUNTIF(N:N,N514)=2,"x","")</f>
        <v/>
      </c>
      <c r="P514" s="13" t="s">
        <v>1340</v>
      </c>
      <c r="Q514" s="13" t="s">
        <v>1338</v>
      </c>
      <c r="R514" s="13" t="s">
        <v>0</v>
      </c>
      <c r="S514" s="13" t="s">
        <v>0</v>
      </c>
      <c r="T514" s="13" t="s">
        <v>9</v>
      </c>
      <c r="U514" s="13" t="s">
        <v>0</v>
      </c>
      <c r="V514" s="13" t="s">
        <v>0</v>
      </c>
      <c r="W514" s="13" t="s">
        <v>0</v>
      </c>
      <c r="X514" s="13" t="s">
        <v>0</v>
      </c>
      <c r="Y514" s="13" t="s">
        <v>10</v>
      </c>
      <c r="Z514" s="13" t="s">
        <v>0</v>
      </c>
      <c r="AA514" s="14"/>
      <c r="AB514" s="13" t="s">
        <v>0</v>
      </c>
      <c r="AC514" s="13" t="s">
        <v>0</v>
      </c>
      <c r="AD514" s="13" t="s">
        <v>0</v>
      </c>
      <c r="AE514" s="15">
        <v>0</v>
      </c>
    </row>
    <row r="515" spans="1:31" ht="14.15" customHeight="1" x14ac:dyDescent="0.25">
      <c r="A515" s="12" t="s">
        <v>0</v>
      </c>
      <c r="B515" s="13" t="s">
        <v>1</v>
      </c>
      <c r="C515" s="13" t="s">
        <v>2502</v>
      </c>
      <c r="D515" s="14">
        <v>44235</v>
      </c>
      <c r="E515" s="14">
        <v>44235</v>
      </c>
      <c r="F515" s="14">
        <v>44241</v>
      </c>
      <c r="G515" s="13" t="s">
        <v>3</v>
      </c>
      <c r="H515" s="13" t="s">
        <v>4</v>
      </c>
      <c r="I515" s="15">
        <v>-33733.730000000003</v>
      </c>
      <c r="J515" s="13" t="s">
        <v>5</v>
      </c>
      <c r="K515" s="13" t="s">
        <v>6</v>
      </c>
      <c r="L515" s="15">
        <v>-2831946.63</v>
      </c>
      <c r="M515" s="15">
        <v>-33733.730000000003</v>
      </c>
      <c r="N515" s="16" t="str">
        <f>IF(M515="","",IF(M515&lt;0,-M515&amp;"_"&amp;COUNTIF(M$2:M515,M515),M515&amp;"_"&amp;COUNTIF(M$2:M515,M515)))</f>
        <v>33733.73_1</v>
      </c>
      <c r="O515" s="17" t="str">
        <f t="shared" si="8"/>
        <v/>
      </c>
      <c r="P515" s="13" t="s">
        <v>2503</v>
      </c>
      <c r="Q515" s="13" t="s">
        <v>2495</v>
      </c>
      <c r="R515" s="13" t="s">
        <v>0</v>
      </c>
      <c r="S515" s="13" t="s">
        <v>0</v>
      </c>
      <c r="T515" s="13" t="s">
        <v>9</v>
      </c>
      <c r="U515" s="13" t="s">
        <v>0</v>
      </c>
      <c r="V515" s="13" t="s">
        <v>0</v>
      </c>
      <c r="W515" s="13" t="s">
        <v>0</v>
      </c>
      <c r="X515" s="13" t="s">
        <v>0</v>
      </c>
      <c r="Y515" s="13" t="s">
        <v>10</v>
      </c>
      <c r="Z515" s="13" t="s">
        <v>0</v>
      </c>
      <c r="AA515" s="14"/>
      <c r="AB515" s="13" t="s">
        <v>0</v>
      </c>
      <c r="AC515" s="13" t="s">
        <v>0</v>
      </c>
      <c r="AD515" s="13" t="s">
        <v>0</v>
      </c>
      <c r="AE515" s="15">
        <v>0</v>
      </c>
    </row>
    <row r="516" spans="1:31" ht="14.15" customHeight="1" x14ac:dyDescent="0.25">
      <c r="A516" s="12" t="s">
        <v>0</v>
      </c>
      <c r="B516" s="13" t="s">
        <v>1</v>
      </c>
      <c r="C516" s="13" t="s">
        <v>2929</v>
      </c>
      <c r="D516" s="14">
        <v>44276</v>
      </c>
      <c r="E516" s="14">
        <v>44276</v>
      </c>
      <c r="F516" s="14">
        <v>44283</v>
      </c>
      <c r="G516" s="13" t="s">
        <v>3</v>
      </c>
      <c r="H516" s="13" t="s">
        <v>4</v>
      </c>
      <c r="I516" s="15">
        <v>-33716.25</v>
      </c>
      <c r="J516" s="13" t="s">
        <v>5</v>
      </c>
      <c r="K516" s="13" t="s">
        <v>6</v>
      </c>
      <c r="L516" s="15">
        <v>-2830479.19</v>
      </c>
      <c r="M516" s="15">
        <v>-33716.25</v>
      </c>
      <c r="N516" s="16" t="str">
        <f>IF(M516="","",IF(M516&lt;0,-M516&amp;"_"&amp;COUNTIF(M$2:M516,M516),M516&amp;"_"&amp;COUNTIF(M$2:M516,M516)))</f>
        <v>33716.25_1</v>
      </c>
      <c r="O516" s="17" t="str">
        <f t="shared" si="8"/>
        <v/>
      </c>
      <c r="P516" s="13" t="s">
        <v>2930</v>
      </c>
      <c r="Q516" s="13" t="s">
        <v>2922</v>
      </c>
      <c r="R516" s="13" t="s">
        <v>0</v>
      </c>
      <c r="S516" s="13" t="s">
        <v>0</v>
      </c>
      <c r="T516" s="13" t="s">
        <v>9</v>
      </c>
      <c r="U516" s="13" t="s">
        <v>0</v>
      </c>
      <c r="V516" s="13" t="s">
        <v>0</v>
      </c>
      <c r="W516" s="13" t="s">
        <v>0</v>
      </c>
      <c r="X516" s="13" t="s">
        <v>0</v>
      </c>
      <c r="Y516" s="13" t="s">
        <v>10</v>
      </c>
      <c r="Z516" s="13" t="s">
        <v>0</v>
      </c>
      <c r="AA516" s="14"/>
      <c r="AB516" s="13" t="s">
        <v>0</v>
      </c>
      <c r="AC516" s="13" t="s">
        <v>0</v>
      </c>
      <c r="AD516" s="13" t="s">
        <v>0</v>
      </c>
      <c r="AE516" s="15">
        <v>0</v>
      </c>
    </row>
    <row r="517" spans="1:31" ht="14.15" customHeight="1" x14ac:dyDescent="0.25">
      <c r="A517" s="12" t="s">
        <v>0</v>
      </c>
      <c r="B517" s="13" t="s">
        <v>1</v>
      </c>
      <c r="C517" s="13" t="s">
        <v>4278</v>
      </c>
      <c r="D517" s="14">
        <v>44370</v>
      </c>
      <c r="E517" s="14">
        <v>44370</v>
      </c>
      <c r="F517" s="14">
        <v>44377</v>
      </c>
      <c r="G517" s="13" t="s">
        <v>3</v>
      </c>
      <c r="H517" s="13" t="s">
        <v>4</v>
      </c>
      <c r="I517" s="15">
        <v>-33664.870000000003</v>
      </c>
      <c r="J517" s="13" t="s">
        <v>5</v>
      </c>
      <c r="K517" s="13" t="s">
        <v>6</v>
      </c>
      <c r="L517" s="15">
        <v>-2826165.84</v>
      </c>
      <c r="M517" s="15">
        <v>-33664.870000000003</v>
      </c>
      <c r="N517" s="16" t="str">
        <f>IF(M517="","",IF(M517&lt;0,-M517&amp;"_"&amp;COUNTIF(M$2:M517,M517),M517&amp;"_"&amp;COUNTIF(M$2:M517,M517)))</f>
        <v>33664.87_1</v>
      </c>
      <c r="O517" s="17" t="str">
        <f t="shared" si="8"/>
        <v/>
      </c>
      <c r="P517" s="13" t="s">
        <v>4279</v>
      </c>
      <c r="Q517" s="13" t="s">
        <v>4269</v>
      </c>
      <c r="R517" s="13" t="s">
        <v>0</v>
      </c>
      <c r="S517" s="13" t="s">
        <v>0</v>
      </c>
      <c r="T517" s="13" t="s">
        <v>9</v>
      </c>
      <c r="U517" s="13" t="s">
        <v>0</v>
      </c>
      <c r="V517" s="13" t="s">
        <v>0</v>
      </c>
      <c r="W517" s="13" t="s">
        <v>0</v>
      </c>
      <c r="X517" s="13" t="s">
        <v>0</v>
      </c>
      <c r="Y517" s="13" t="s">
        <v>10</v>
      </c>
      <c r="Z517" s="13" t="s">
        <v>0</v>
      </c>
      <c r="AA517" s="14"/>
      <c r="AB517" s="13" t="s">
        <v>0</v>
      </c>
      <c r="AC517" s="13" t="s">
        <v>0</v>
      </c>
      <c r="AD517" s="13" t="s">
        <v>0</v>
      </c>
      <c r="AE517" s="15">
        <v>0</v>
      </c>
    </row>
    <row r="518" spans="1:31" ht="14.15" customHeight="1" x14ac:dyDescent="0.25">
      <c r="A518" s="12" t="s">
        <v>0</v>
      </c>
      <c r="B518" s="13" t="s">
        <v>1</v>
      </c>
      <c r="C518" s="13" t="s">
        <v>2041</v>
      </c>
      <c r="D518" s="14">
        <v>44197</v>
      </c>
      <c r="E518" s="14">
        <v>44197</v>
      </c>
      <c r="F518" s="14">
        <v>44201</v>
      </c>
      <c r="G518" s="13" t="s">
        <v>3</v>
      </c>
      <c r="H518" s="13" t="s">
        <v>4</v>
      </c>
      <c r="I518" s="15">
        <v>-33664.699999999997</v>
      </c>
      <c r="J518" s="13" t="s">
        <v>5</v>
      </c>
      <c r="K518" s="13" t="s">
        <v>6</v>
      </c>
      <c r="L518" s="15">
        <v>-2826151.57</v>
      </c>
      <c r="M518" s="15">
        <v>-33664.699999999997</v>
      </c>
      <c r="N518" s="16" t="str">
        <f>IF(M518="","",IF(M518&lt;0,-M518&amp;"_"&amp;COUNTIF(M$2:M518,M518),M518&amp;"_"&amp;COUNTIF(M$2:M518,M518)))</f>
        <v>33664.7_1</v>
      </c>
      <c r="O518" s="17" t="str">
        <f t="shared" si="8"/>
        <v/>
      </c>
      <c r="P518" s="13" t="s">
        <v>2042</v>
      </c>
      <c r="Q518" s="13" t="s">
        <v>2034</v>
      </c>
      <c r="R518" s="13" t="s">
        <v>0</v>
      </c>
      <c r="S518" s="13" t="s">
        <v>0</v>
      </c>
      <c r="T518" s="13" t="s">
        <v>9</v>
      </c>
      <c r="U518" s="13" t="s">
        <v>0</v>
      </c>
      <c r="V518" s="13" t="s">
        <v>0</v>
      </c>
      <c r="W518" s="13" t="s">
        <v>0</v>
      </c>
      <c r="X518" s="13" t="s">
        <v>0</v>
      </c>
      <c r="Y518" s="13" t="s">
        <v>10</v>
      </c>
      <c r="Z518" s="13" t="s">
        <v>0</v>
      </c>
      <c r="AA518" s="14"/>
      <c r="AB518" s="13" t="s">
        <v>0</v>
      </c>
      <c r="AC518" s="13" t="s">
        <v>0</v>
      </c>
      <c r="AD518" s="13" t="s">
        <v>0</v>
      </c>
      <c r="AE518" s="15">
        <v>0</v>
      </c>
    </row>
    <row r="519" spans="1:31" ht="14.15" customHeight="1" x14ac:dyDescent="0.25">
      <c r="A519" s="12" t="s">
        <v>0</v>
      </c>
      <c r="B519" s="13" t="s">
        <v>1</v>
      </c>
      <c r="C519" s="13" t="s">
        <v>3012</v>
      </c>
      <c r="D519" s="14">
        <v>44281</v>
      </c>
      <c r="E519" s="14">
        <v>44281</v>
      </c>
      <c r="F519" s="14">
        <v>44287</v>
      </c>
      <c r="G519" s="13" t="s">
        <v>3</v>
      </c>
      <c r="H519" s="13" t="s">
        <v>4</v>
      </c>
      <c r="I519" s="15">
        <v>-33642.089999999997</v>
      </c>
      <c r="J519" s="13" t="s">
        <v>5</v>
      </c>
      <c r="K519" s="13" t="s">
        <v>6</v>
      </c>
      <c r="L519" s="15">
        <v>-2824253.45</v>
      </c>
      <c r="M519" s="15">
        <v>-33642.089999999997</v>
      </c>
      <c r="N519" s="16" t="str">
        <f>IF(M519="","",IF(M519&lt;0,-M519&amp;"_"&amp;COUNTIF(M$2:M519,M519),M519&amp;"_"&amp;COUNTIF(M$2:M519,M519)))</f>
        <v>33642.09_1</v>
      </c>
      <c r="O519" s="17" t="str">
        <f t="shared" si="8"/>
        <v/>
      </c>
      <c r="P519" s="13" t="s">
        <v>3013</v>
      </c>
      <c r="Q519" s="13" t="s">
        <v>3014</v>
      </c>
      <c r="R519" s="13" t="s">
        <v>0</v>
      </c>
      <c r="S519" s="13" t="s">
        <v>0</v>
      </c>
      <c r="T519" s="13" t="s">
        <v>9</v>
      </c>
      <c r="U519" s="13" t="s">
        <v>0</v>
      </c>
      <c r="V519" s="13" t="s">
        <v>0</v>
      </c>
      <c r="W519" s="13" t="s">
        <v>0</v>
      </c>
      <c r="X519" s="13" t="s">
        <v>0</v>
      </c>
      <c r="Y519" s="13" t="s">
        <v>10</v>
      </c>
      <c r="Z519" s="13" t="s">
        <v>0</v>
      </c>
      <c r="AA519" s="14"/>
      <c r="AB519" s="13" t="s">
        <v>0</v>
      </c>
      <c r="AC519" s="13" t="s">
        <v>0</v>
      </c>
      <c r="AD519" s="13" t="s">
        <v>0</v>
      </c>
      <c r="AE519" s="15">
        <v>0</v>
      </c>
    </row>
    <row r="520" spans="1:31" ht="14.15" customHeight="1" x14ac:dyDescent="0.25">
      <c r="A520" s="12" t="s">
        <v>0</v>
      </c>
      <c r="B520" s="13" t="s">
        <v>1</v>
      </c>
      <c r="C520" s="13" t="s">
        <v>712</v>
      </c>
      <c r="D520" s="14">
        <v>44093</v>
      </c>
      <c r="E520" s="14">
        <v>44093</v>
      </c>
      <c r="F520" s="14">
        <v>44117</v>
      </c>
      <c r="G520" s="13" t="s">
        <v>3</v>
      </c>
      <c r="H520" s="13" t="s">
        <v>4</v>
      </c>
      <c r="I520" s="15">
        <v>-33624.019999999997</v>
      </c>
      <c r="J520" s="13" t="s">
        <v>5</v>
      </c>
      <c r="K520" s="13" t="s">
        <v>6</v>
      </c>
      <c r="L520" s="15">
        <v>-2822736.48</v>
      </c>
      <c r="M520" s="15">
        <v>-33624.019999999997</v>
      </c>
      <c r="N520" s="16" t="str">
        <f>IF(M520="","",IF(M520&lt;0,-M520&amp;"_"&amp;COUNTIF(M$2:M520,M520),M520&amp;"_"&amp;COUNTIF(M$2:M520,M520)))</f>
        <v>33624.02_1</v>
      </c>
      <c r="O520" s="17" t="str">
        <f t="shared" si="8"/>
        <v/>
      </c>
      <c r="P520" s="13" t="s">
        <v>713</v>
      </c>
      <c r="Q520" s="13" t="s">
        <v>714</v>
      </c>
      <c r="R520" s="13" t="s">
        <v>0</v>
      </c>
      <c r="S520" s="13" t="s">
        <v>0</v>
      </c>
      <c r="T520" s="13" t="s">
        <v>9</v>
      </c>
      <c r="U520" s="13" t="s">
        <v>0</v>
      </c>
      <c r="V520" s="13" t="s">
        <v>0</v>
      </c>
      <c r="W520" s="13" t="s">
        <v>0</v>
      </c>
      <c r="X520" s="13" t="s">
        <v>0</v>
      </c>
      <c r="Y520" s="13" t="s">
        <v>10</v>
      </c>
      <c r="Z520" s="13" t="s">
        <v>0</v>
      </c>
      <c r="AA520" s="14"/>
      <c r="AB520" s="13" t="s">
        <v>0</v>
      </c>
      <c r="AC520" s="13" t="s">
        <v>0</v>
      </c>
      <c r="AD520" s="13" t="s">
        <v>0</v>
      </c>
      <c r="AE520" s="15">
        <v>0</v>
      </c>
    </row>
    <row r="521" spans="1:31" ht="14.15" customHeight="1" x14ac:dyDescent="0.25">
      <c r="A521" s="12" t="s">
        <v>0</v>
      </c>
      <c r="B521" s="13" t="s">
        <v>1</v>
      </c>
      <c r="C521" s="13" t="s">
        <v>2811</v>
      </c>
      <c r="D521" s="14">
        <v>44266</v>
      </c>
      <c r="E521" s="14">
        <v>44266</v>
      </c>
      <c r="F521" s="14">
        <v>44271</v>
      </c>
      <c r="G521" s="13" t="s">
        <v>3</v>
      </c>
      <c r="H521" s="13" t="s">
        <v>4</v>
      </c>
      <c r="I521" s="15">
        <v>-33609.1</v>
      </c>
      <c r="J521" s="13" t="s">
        <v>5</v>
      </c>
      <c r="K521" s="13" t="s">
        <v>6</v>
      </c>
      <c r="L521" s="15">
        <v>-2821483.95</v>
      </c>
      <c r="M521" s="15">
        <v>-33609.1</v>
      </c>
      <c r="N521" s="16" t="str">
        <f>IF(M521="","",IF(M521&lt;0,-M521&amp;"_"&amp;COUNTIF(M$2:M521,M521),M521&amp;"_"&amp;COUNTIF(M$2:M521,M521)))</f>
        <v>33609.1_1</v>
      </c>
      <c r="O521" s="17" t="str">
        <f t="shared" si="8"/>
        <v/>
      </c>
      <c r="P521" s="13" t="s">
        <v>2812</v>
      </c>
      <c r="Q521" s="13" t="s">
        <v>2810</v>
      </c>
      <c r="R521" s="13" t="s">
        <v>0</v>
      </c>
      <c r="S521" s="13" t="s">
        <v>0</v>
      </c>
      <c r="T521" s="13" t="s">
        <v>9</v>
      </c>
      <c r="U521" s="13" t="s">
        <v>0</v>
      </c>
      <c r="V521" s="13" t="s">
        <v>0</v>
      </c>
      <c r="W521" s="13" t="s">
        <v>0</v>
      </c>
      <c r="X521" s="13" t="s">
        <v>0</v>
      </c>
      <c r="Y521" s="13" t="s">
        <v>10</v>
      </c>
      <c r="Z521" s="13" t="s">
        <v>0</v>
      </c>
      <c r="AA521" s="14"/>
      <c r="AB521" s="13" t="s">
        <v>0</v>
      </c>
      <c r="AC521" s="13" t="s">
        <v>0</v>
      </c>
      <c r="AD521" s="13" t="s">
        <v>0</v>
      </c>
      <c r="AE521" s="15">
        <v>0</v>
      </c>
    </row>
    <row r="522" spans="1:31" ht="14.15" customHeight="1" x14ac:dyDescent="0.25">
      <c r="A522" s="12" t="s">
        <v>0</v>
      </c>
      <c r="B522" s="13" t="s">
        <v>1</v>
      </c>
      <c r="C522" s="13" t="s">
        <v>2786</v>
      </c>
      <c r="D522" s="14">
        <v>44263</v>
      </c>
      <c r="E522" s="14">
        <v>44263</v>
      </c>
      <c r="F522" s="14">
        <v>44268</v>
      </c>
      <c r="G522" s="13" t="s">
        <v>3</v>
      </c>
      <c r="H522" s="13" t="s">
        <v>4</v>
      </c>
      <c r="I522" s="15">
        <v>-33562.080000000002</v>
      </c>
      <c r="J522" s="13" t="s">
        <v>5</v>
      </c>
      <c r="K522" s="13" t="s">
        <v>6</v>
      </c>
      <c r="L522" s="15">
        <v>-2817536.62</v>
      </c>
      <c r="M522" s="15">
        <v>-33562.080000000002</v>
      </c>
      <c r="N522" s="16" t="str">
        <f>IF(M522="","",IF(M522&lt;0,-M522&amp;"_"&amp;COUNTIF(M$2:M522,M522),M522&amp;"_"&amp;COUNTIF(M$2:M522,M522)))</f>
        <v>33562.08_1</v>
      </c>
      <c r="O522" s="17" t="str">
        <f t="shared" si="8"/>
        <v/>
      </c>
      <c r="P522" s="13" t="s">
        <v>2787</v>
      </c>
      <c r="Q522" s="13" t="s">
        <v>2779</v>
      </c>
      <c r="R522" s="13" t="s">
        <v>0</v>
      </c>
      <c r="S522" s="13" t="s">
        <v>0</v>
      </c>
      <c r="T522" s="13" t="s">
        <v>9</v>
      </c>
      <c r="U522" s="13" t="s">
        <v>0</v>
      </c>
      <c r="V522" s="13" t="s">
        <v>0</v>
      </c>
      <c r="W522" s="13" t="s">
        <v>0</v>
      </c>
      <c r="X522" s="13" t="s">
        <v>0</v>
      </c>
      <c r="Y522" s="13" t="s">
        <v>10</v>
      </c>
      <c r="Z522" s="13" t="s">
        <v>0</v>
      </c>
      <c r="AA522" s="14"/>
      <c r="AB522" s="13" t="s">
        <v>0</v>
      </c>
      <c r="AC522" s="13" t="s">
        <v>0</v>
      </c>
      <c r="AD522" s="13" t="s">
        <v>0</v>
      </c>
      <c r="AE522" s="15">
        <v>0</v>
      </c>
    </row>
    <row r="523" spans="1:31" ht="14.15" customHeight="1" x14ac:dyDescent="0.25">
      <c r="A523" s="12" t="s">
        <v>0</v>
      </c>
      <c r="B523" s="13" t="s">
        <v>1</v>
      </c>
      <c r="C523" s="13" t="s">
        <v>2362</v>
      </c>
      <c r="D523" s="14">
        <v>44224</v>
      </c>
      <c r="E523" s="14">
        <v>44224</v>
      </c>
      <c r="F523" s="14">
        <v>44231</v>
      </c>
      <c r="G523" s="13" t="s">
        <v>3</v>
      </c>
      <c r="H523" s="13" t="s">
        <v>4</v>
      </c>
      <c r="I523" s="15">
        <v>-33554.65</v>
      </c>
      <c r="J523" s="13" t="s">
        <v>5</v>
      </c>
      <c r="K523" s="13" t="s">
        <v>6</v>
      </c>
      <c r="L523" s="15">
        <v>-2816912.87</v>
      </c>
      <c r="M523" s="15">
        <v>-33554.65</v>
      </c>
      <c r="N523" s="16" t="str">
        <f>IF(M523="","",IF(M523&lt;0,-M523&amp;"_"&amp;COUNTIF(M$2:M523,M523),M523&amp;"_"&amp;COUNTIF(M$2:M523,M523)))</f>
        <v>33554.65_1</v>
      </c>
      <c r="O523" s="17" t="str">
        <f t="shared" si="8"/>
        <v/>
      </c>
      <c r="P523" s="13" t="s">
        <v>2363</v>
      </c>
      <c r="Q523" s="13" t="s">
        <v>2345</v>
      </c>
      <c r="R523" s="13" t="s">
        <v>0</v>
      </c>
      <c r="S523" s="13" t="s">
        <v>0</v>
      </c>
      <c r="T523" s="13" t="s">
        <v>9</v>
      </c>
      <c r="U523" s="13" t="s">
        <v>0</v>
      </c>
      <c r="V523" s="13" t="s">
        <v>0</v>
      </c>
      <c r="W523" s="13" t="s">
        <v>0</v>
      </c>
      <c r="X523" s="13" t="s">
        <v>0</v>
      </c>
      <c r="Y523" s="13" t="s">
        <v>10</v>
      </c>
      <c r="Z523" s="13" t="s">
        <v>0</v>
      </c>
      <c r="AA523" s="14"/>
      <c r="AB523" s="13" t="s">
        <v>0</v>
      </c>
      <c r="AC523" s="13" t="s">
        <v>0</v>
      </c>
      <c r="AD523" s="13" t="s">
        <v>0</v>
      </c>
      <c r="AE523" s="15">
        <v>0</v>
      </c>
    </row>
    <row r="524" spans="1:31" ht="14.15" customHeight="1" x14ac:dyDescent="0.25">
      <c r="A524" s="12" t="s">
        <v>0</v>
      </c>
      <c r="B524" s="13" t="s">
        <v>1</v>
      </c>
      <c r="C524" s="13" t="s">
        <v>4031</v>
      </c>
      <c r="D524" s="14">
        <v>44358</v>
      </c>
      <c r="E524" s="14">
        <v>44358</v>
      </c>
      <c r="F524" s="14">
        <v>44364</v>
      </c>
      <c r="G524" s="13" t="s">
        <v>3</v>
      </c>
      <c r="H524" s="13" t="s">
        <v>4</v>
      </c>
      <c r="I524" s="15">
        <v>-33429.17</v>
      </c>
      <c r="J524" s="13" t="s">
        <v>5</v>
      </c>
      <c r="K524" s="13" t="s">
        <v>6</v>
      </c>
      <c r="L524" s="15">
        <v>-2806378.82</v>
      </c>
      <c r="M524" s="15">
        <v>-33429.17</v>
      </c>
      <c r="N524" s="16" t="str">
        <f>IF(M524="","",IF(M524&lt;0,-M524&amp;"_"&amp;COUNTIF(M$2:M524,M524),M524&amp;"_"&amp;COUNTIF(M$2:M524,M524)))</f>
        <v>33429.17_1</v>
      </c>
      <c r="O524" s="17" t="str">
        <f t="shared" si="8"/>
        <v/>
      </c>
      <c r="P524" s="13" t="s">
        <v>4032</v>
      </c>
      <c r="Q524" s="13" t="s">
        <v>4006</v>
      </c>
      <c r="R524" s="13" t="s">
        <v>0</v>
      </c>
      <c r="S524" s="13" t="s">
        <v>0</v>
      </c>
      <c r="T524" s="13" t="s">
        <v>9</v>
      </c>
      <c r="U524" s="13" t="s">
        <v>0</v>
      </c>
      <c r="V524" s="13" t="s">
        <v>0</v>
      </c>
      <c r="W524" s="13" t="s">
        <v>0</v>
      </c>
      <c r="X524" s="13" t="s">
        <v>0</v>
      </c>
      <c r="Y524" s="13" t="s">
        <v>10</v>
      </c>
      <c r="Z524" s="13" t="s">
        <v>0</v>
      </c>
      <c r="AA524" s="14"/>
      <c r="AB524" s="13" t="s">
        <v>0</v>
      </c>
      <c r="AC524" s="13" t="s">
        <v>0</v>
      </c>
      <c r="AD524" s="13" t="s">
        <v>0</v>
      </c>
      <c r="AE524" s="15">
        <v>0</v>
      </c>
    </row>
    <row r="525" spans="1:31" ht="14.15" customHeight="1" x14ac:dyDescent="0.25">
      <c r="A525" s="12" t="s">
        <v>0</v>
      </c>
      <c r="B525" s="13" t="s">
        <v>1</v>
      </c>
      <c r="C525" s="13" t="s">
        <v>1597</v>
      </c>
      <c r="D525" s="14">
        <v>44167</v>
      </c>
      <c r="E525" s="14">
        <v>44167</v>
      </c>
      <c r="F525" s="14">
        <v>44174</v>
      </c>
      <c r="G525" s="13" t="s">
        <v>3</v>
      </c>
      <c r="H525" s="13" t="s">
        <v>4</v>
      </c>
      <c r="I525" s="15">
        <v>-33415.879999999997</v>
      </c>
      <c r="J525" s="13" t="s">
        <v>5</v>
      </c>
      <c r="K525" s="13" t="s">
        <v>6</v>
      </c>
      <c r="L525" s="15">
        <v>-2805263.13</v>
      </c>
      <c r="M525" s="15">
        <v>-33415.879999999997</v>
      </c>
      <c r="N525" s="16" t="str">
        <f>IF(M525="","",IF(M525&lt;0,-M525&amp;"_"&amp;COUNTIF(M$2:M525,M525),M525&amp;"_"&amp;COUNTIF(M$2:M525,M525)))</f>
        <v>33415.88_1</v>
      </c>
      <c r="O525" s="17" t="str">
        <f t="shared" si="8"/>
        <v/>
      </c>
      <c r="P525" s="13" t="s">
        <v>1598</v>
      </c>
      <c r="Q525" s="13" t="s">
        <v>1592</v>
      </c>
      <c r="R525" s="13" t="s">
        <v>0</v>
      </c>
      <c r="S525" s="13" t="s">
        <v>0</v>
      </c>
      <c r="T525" s="13" t="s">
        <v>9</v>
      </c>
      <c r="U525" s="13" t="s">
        <v>0</v>
      </c>
      <c r="V525" s="13" t="s">
        <v>0</v>
      </c>
      <c r="W525" s="13" t="s">
        <v>0</v>
      </c>
      <c r="X525" s="13" t="s">
        <v>0</v>
      </c>
      <c r="Y525" s="13" t="s">
        <v>10</v>
      </c>
      <c r="Z525" s="13" t="s">
        <v>0</v>
      </c>
      <c r="AA525" s="14"/>
      <c r="AB525" s="13" t="s">
        <v>0</v>
      </c>
      <c r="AC525" s="13" t="s">
        <v>0</v>
      </c>
      <c r="AD525" s="13" t="s">
        <v>0</v>
      </c>
      <c r="AE525" s="15">
        <v>0</v>
      </c>
    </row>
    <row r="526" spans="1:31" ht="14.15" customHeight="1" x14ac:dyDescent="0.25">
      <c r="A526" s="12" t="s">
        <v>0</v>
      </c>
      <c r="B526" s="13" t="s">
        <v>1</v>
      </c>
      <c r="C526" s="13" t="s">
        <v>920</v>
      </c>
      <c r="D526" s="14">
        <v>44117</v>
      </c>
      <c r="E526" s="14">
        <v>44117</v>
      </c>
      <c r="F526" s="14">
        <v>44121</v>
      </c>
      <c r="G526" s="13" t="s">
        <v>3</v>
      </c>
      <c r="H526" s="13" t="s">
        <v>4</v>
      </c>
      <c r="I526" s="15">
        <v>-33306.660000000003</v>
      </c>
      <c r="J526" s="13" t="s">
        <v>5</v>
      </c>
      <c r="K526" s="13" t="s">
        <v>6</v>
      </c>
      <c r="L526" s="15">
        <v>-2796094.11</v>
      </c>
      <c r="M526" s="15">
        <v>-33306.660000000003</v>
      </c>
      <c r="N526" s="16" t="str">
        <f>IF(M526="","",IF(M526&lt;0,-M526&amp;"_"&amp;COUNTIF(M$2:M526,M526),M526&amp;"_"&amp;COUNTIF(M$2:M526,M526)))</f>
        <v>33306.66_1</v>
      </c>
      <c r="O526" s="17" t="str">
        <f t="shared" si="8"/>
        <v/>
      </c>
      <c r="P526" s="13" t="s">
        <v>921</v>
      </c>
      <c r="Q526" s="13" t="s">
        <v>917</v>
      </c>
      <c r="R526" s="13" t="s">
        <v>0</v>
      </c>
      <c r="S526" s="13" t="s">
        <v>0</v>
      </c>
      <c r="T526" s="13" t="s">
        <v>9</v>
      </c>
      <c r="U526" s="13" t="s">
        <v>0</v>
      </c>
      <c r="V526" s="13" t="s">
        <v>0</v>
      </c>
      <c r="W526" s="13" t="s">
        <v>0</v>
      </c>
      <c r="X526" s="13" t="s">
        <v>0</v>
      </c>
      <c r="Y526" s="13" t="s">
        <v>10</v>
      </c>
      <c r="Z526" s="13" t="s">
        <v>0</v>
      </c>
      <c r="AA526" s="14"/>
      <c r="AB526" s="13" t="s">
        <v>0</v>
      </c>
      <c r="AC526" s="13" t="s">
        <v>0</v>
      </c>
      <c r="AD526" s="13" t="s">
        <v>0</v>
      </c>
      <c r="AE526" s="15">
        <v>0</v>
      </c>
    </row>
    <row r="527" spans="1:31" ht="14.15" customHeight="1" x14ac:dyDescent="0.25">
      <c r="A527" s="12" t="s">
        <v>0</v>
      </c>
      <c r="B527" s="13" t="s">
        <v>1</v>
      </c>
      <c r="C527" s="13" t="s">
        <v>1086</v>
      </c>
      <c r="D527" s="14">
        <v>44135</v>
      </c>
      <c r="E527" s="14">
        <v>44135</v>
      </c>
      <c r="F527" s="14">
        <v>44138</v>
      </c>
      <c r="G527" s="13" t="s">
        <v>3</v>
      </c>
      <c r="H527" s="13" t="s">
        <v>4</v>
      </c>
      <c r="I527" s="15">
        <v>-33299.47</v>
      </c>
      <c r="J527" s="13" t="s">
        <v>5</v>
      </c>
      <c r="K527" s="13" t="s">
        <v>6</v>
      </c>
      <c r="L527" s="15">
        <v>-2795490.51</v>
      </c>
      <c r="M527" s="15">
        <v>-33299.47</v>
      </c>
      <c r="N527" s="16" t="str">
        <f>IF(M527="","",IF(M527&lt;0,-M527&amp;"_"&amp;COUNTIF(M$2:M527,M527),M527&amp;"_"&amp;COUNTIF(M$2:M527,M527)))</f>
        <v>33299.47_1</v>
      </c>
      <c r="O527" s="17" t="str">
        <f t="shared" si="8"/>
        <v/>
      </c>
      <c r="P527" s="13" t="s">
        <v>1087</v>
      </c>
      <c r="Q527" s="13" t="s">
        <v>1083</v>
      </c>
      <c r="R527" s="13" t="s">
        <v>0</v>
      </c>
      <c r="S527" s="13" t="s">
        <v>0</v>
      </c>
      <c r="T527" s="13" t="s">
        <v>9</v>
      </c>
      <c r="U527" s="13" t="s">
        <v>0</v>
      </c>
      <c r="V527" s="13" t="s">
        <v>0</v>
      </c>
      <c r="W527" s="13" t="s">
        <v>0</v>
      </c>
      <c r="X527" s="13" t="s">
        <v>0</v>
      </c>
      <c r="Y527" s="13" t="s">
        <v>10</v>
      </c>
      <c r="Z527" s="13" t="s">
        <v>0</v>
      </c>
      <c r="AA527" s="14"/>
      <c r="AB527" s="13" t="s">
        <v>0</v>
      </c>
      <c r="AC527" s="13" t="s">
        <v>0</v>
      </c>
      <c r="AD527" s="13" t="s">
        <v>0</v>
      </c>
      <c r="AE527" s="15">
        <v>0</v>
      </c>
    </row>
    <row r="528" spans="1:31" ht="14.15" customHeight="1" x14ac:dyDescent="0.25">
      <c r="A528" s="12" t="s">
        <v>0</v>
      </c>
      <c r="B528" s="13" t="s">
        <v>1</v>
      </c>
      <c r="C528" s="13" t="s">
        <v>2597</v>
      </c>
      <c r="D528" s="14">
        <v>44243</v>
      </c>
      <c r="E528" s="14">
        <v>44243</v>
      </c>
      <c r="F528" s="14">
        <v>44252</v>
      </c>
      <c r="G528" s="13" t="s">
        <v>3</v>
      </c>
      <c r="H528" s="13" t="s">
        <v>4</v>
      </c>
      <c r="I528" s="15">
        <v>-33283.769999999997</v>
      </c>
      <c r="J528" s="13" t="s">
        <v>5</v>
      </c>
      <c r="K528" s="13" t="s">
        <v>6</v>
      </c>
      <c r="L528" s="15">
        <v>-2794172.49</v>
      </c>
      <c r="M528" s="15">
        <v>-33283.769999999997</v>
      </c>
      <c r="N528" s="16" t="str">
        <f>IF(M528="","",IF(M528&lt;0,-M528&amp;"_"&amp;COUNTIF(M$2:M528,M528),M528&amp;"_"&amp;COUNTIF(M$2:M528,M528)))</f>
        <v>33283.77_1</v>
      </c>
      <c r="O528" s="17" t="str">
        <f t="shared" si="8"/>
        <v/>
      </c>
      <c r="P528" s="13" t="s">
        <v>2598</v>
      </c>
      <c r="Q528" s="13" t="s">
        <v>2574</v>
      </c>
      <c r="R528" s="13" t="s">
        <v>0</v>
      </c>
      <c r="S528" s="13" t="s">
        <v>0</v>
      </c>
      <c r="T528" s="13" t="s">
        <v>9</v>
      </c>
      <c r="U528" s="13" t="s">
        <v>0</v>
      </c>
      <c r="V528" s="13" t="s">
        <v>0</v>
      </c>
      <c r="W528" s="13" t="s">
        <v>0</v>
      </c>
      <c r="X528" s="13" t="s">
        <v>0</v>
      </c>
      <c r="Y528" s="13" t="s">
        <v>10</v>
      </c>
      <c r="Z528" s="13" t="s">
        <v>0</v>
      </c>
      <c r="AA528" s="14"/>
      <c r="AB528" s="13" t="s">
        <v>0</v>
      </c>
      <c r="AC528" s="13" t="s">
        <v>0</v>
      </c>
      <c r="AD528" s="13" t="s">
        <v>0</v>
      </c>
      <c r="AE528" s="15">
        <v>0</v>
      </c>
    </row>
    <row r="529" spans="1:31" ht="14.15" customHeight="1" x14ac:dyDescent="0.25">
      <c r="A529" s="12" t="s">
        <v>0</v>
      </c>
      <c r="B529" s="13" t="s">
        <v>1</v>
      </c>
      <c r="C529" s="13" t="s">
        <v>737</v>
      </c>
      <c r="D529" s="14">
        <v>44095</v>
      </c>
      <c r="E529" s="14">
        <v>44095</v>
      </c>
      <c r="F529" s="14">
        <v>44100</v>
      </c>
      <c r="G529" s="13" t="s">
        <v>3</v>
      </c>
      <c r="H529" s="13" t="s">
        <v>4</v>
      </c>
      <c r="I529" s="15">
        <v>-33275.06</v>
      </c>
      <c r="J529" s="13" t="s">
        <v>5</v>
      </c>
      <c r="K529" s="13" t="s">
        <v>6</v>
      </c>
      <c r="L529" s="15">
        <v>-2793441.29</v>
      </c>
      <c r="M529" s="15">
        <v>-33275.06</v>
      </c>
      <c r="N529" s="16" t="str">
        <f>IF(M529="","",IF(M529&lt;0,-M529&amp;"_"&amp;COUNTIF(M$2:M529,M529),M529&amp;"_"&amp;COUNTIF(M$2:M529,M529)))</f>
        <v>33275.06_1</v>
      </c>
      <c r="O529" s="17" t="str">
        <f t="shared" si="8"/>
        <v/>
      </c>
      <c r="P529" s="13" t="s">
        <v>738</v>
      </c>
      <c r="Q529" s="13" t="s">
        <v>726</v>
      </c>
      <c r="R529" s="13" t="s">
        <v>0</v>
      </c>
      <c r="S529" s="13" t="s">
        <v>0</v>
      </c>
      <c r="T529" s="13" t="s">
        <v>9</v>
      </c>
      <c r="U529" s="13" t="s">
        <v>0</v>
      </c>
      <c r="V529" s="13" t="s">
        <v>0</v>
      </c>
      <c r="W529" s="13" t="s">
        <v>0</v>
      </c>
      <c r="X529" s="13" t="s">
        <v>0</v>
      </c>
      <c r="Y529" s="13" t="s">
        <v>10</v>
      </c>
      <c r="Z529" s="13" t="s">
        <v>0</v>
      </c>
      <c r="AA529" s="14"/>
      <c r="AB529" s="13" t="s">
        <v>0</v>
      </c>
      <c r="AC529" s="13" t="s">
        <v>0</v>
      </c>
      <c r="AD529" s="13" t="s">
        <v>0</v>
      </c>
      <c r="AE529" s="15">
        <v>0</v>
      </c>
    </row>
    <row r="530" spans="1:31" ht="14.15" customHeight="1" x14ac:dyDescent="0.25">
      <c r="A530" s="12" t="s">
        <v>0</v>
      </c>
      <c r="B530" s="13" t="s">
        <v>1</v>
      </c>
      <c r="C530" s="13" t="s">
        <v>3606</v>
      </c>
      <c r="D530" s="14">
        <v>44329</v>
      </c>
      <c r="E530" s="14">
        <v>44329</v>
      </c>
      <c r="F530" s="14">
        <v>44336</v>
      </c>
      <c r="G530" s="13" t="s">
        <v>3</v>
      </c>
      <c r="H530" s="13" t="s">
        <v>4</v>
      </c>
      <c r="I530" s="15">
        <v>-33195.42</v>
      </c>
      <c r="J530" s="13" t="s">
        <v>5</v>
      </c>
      <c r="K530" s="13" t="s">
        <v>6</v>
      </c>
      <c r="L530" s="15">
        <v>-2786755.51</v>
      </c>
      <c r="M530" s="15">
        <v>-33195.42</v>
      </c>
      <c r="N530" s="16" t="str">
        <f>IF(M530="","",IF(M530&lt;0,-M530&amp;"_"&amp;COUNTIF(M$2:M530,M530),M530&amp;"_"&amp;COUNTIF(M$2:M530,M530)))</f>
        <v>33195.42_1</v>
      </c>
      <c r="O530" s="17" t="str">
        <f t="shared" si="8"/>
        <v/>
      </c>
      <c r="P530" s="13" t="s">
        <v>3607</v>
      </c>
      <c r="Q530" s="13" t="s">
        <v>3603</v>
      </c>
      <c r="R530" s="13" t="s">
        <v>0</v>
      </c>
      <c r="S530" s="13" t="s">
        <v>0</v>
      </c>
      <c r="T530" s="13" t="s">
        <v>9</v>
      </c>
      <c r="U530" s="13" t="s">
        <v>0</v>
      </c>
      <c r="V530" s="13" t="s">
        <v>0</v>
      </c>
      <c r="W530" s="13" t="s">
        <v>0</v>
      </c>
      <c r="X530" s="13" t="s">
        <v>0</v>
      </c>
      <c r="Y530" s="13" t="s">
        <v>10</v>
      </c>
      <c r="Z530" s="13" t="s">
        <v>0</v>
      </c>
      <c r="AA530" s="14"/>
      <c r="AB530" s="13" t="s">
        <v>0</v>
      </c>
      <c r="AC530" s="13" t="s">
        <v>0</v>
      </c>
      <c r="AD530" s="13" t="s">
        <v>0</v>
      </c>
      <c r="AE530" s="15">
        <v>0</v>
      </c>
    </row>
    <row r="531" spans="1:31" ht="14.15" customHeight="1" x14ac:dyDescent="0.25">
      <c r="A531" s="12" t="s">
        <v>0</v>
      </c>
      <c r="B531" s="13" t="s">
        <v>1</v>
      </c>
      <c r="C531" s="13" t="s">
        <v>1677</v>
      </c>
      <c r="D531" s="14">
        <v>44172</v>
      </c>
      <c r="E531" s="14">
        <v>44172</v>
      </c>
      <c r="F531" s="14">
        <v>44178</v>
      </c>
      <c r="G531" s="13" t="s">
        <v>3</v>
      </c>
      <c r="H531" s="13" t="s">
        <v>4</v>
      </c>
      <c r="I531" s="15">
        <v>-33103.32</v>
      </c>
      <c r="J531" s="13" t="s">
        <v>5</v>
      </c>
      <c r="K531" s="13" t="s">
        <v>6</v>
      </c>
      <c r="L531" s="15">
        <v>-2779023.71</v>
      </c>
      <c r="M531" s="15">
        <v>-33103.32</v>
      </c>
      <c r="N531" s="16" t="str">
        <f>IF(M531="","",IF(M531&lt;0,-M531&amp;"_"&amp;COUNTIF(M$2:M531,M531),M531&amp;"_"&amp;COUNTIF(M$2:M531,M531)))</f>
        <v>33103.32_1</v>
      </c>
      <c r="O531" s="17" t="str">
        <f t="shared" si="8"/>
        <v/>
      </c>
      <c r="P531" s="13" t="s">
        <v>1678</v>
      </c>
      <c r="Q531" s="13" t="s">
        <v>1672</v>
      </c>
      <c r="R531" s="13" t="s">
        <v>0</v>
      </c>
      <c r="S531" s="13" t="s">
        <v>0</v>
      </c>
      <c r="T531" s="13" t="s">
        <v>9</v>
      </c>
      <c r="U531" s="13" t="s">
        <v>0</v>
      </c>
      <c r="V531" s="13" t="s">
        <v>0</v>
      </c>
      <c r="W531" s="13" t="s">
        <v>0</v>
      </c>
      <c r="X531" s="13" t="s">
        <v>0</v>
      </c>
      <c r="Y531" s="13" t="s">
        <v>10</v>
      </c>
      <c r="Z531" s="13" t="s">
        <v>0</v>
      </c>
      <c r="AA531" s="14"/>
      <c r="AB531" s="13" t="s">
        <v>0</v>
      </c>
      <c r="AC531" s="13" t="s">
        <v>0</v>
      </c>
      <c r="AD531" s="13" t="s">
        <v>0</v>
      </c>
      <c r="AE531" s="15">
        <v>0</v>
      </c>
    </row>
    <row r="532" spans="1:31" ht="14.15" customHeight="1" x14ac:dyDescent="0.25">
      <c r="A532" s="12" t="s">
        <v>0</v>
      </c>
      <c r="B532" s="13" t="s">
        <v>1</v>
      </c>
      <c r="C532" s="13" t="s">
        <v>2962</v>
      </c>
      <c r="D532" s="14">
        <v>44278</v>
      </c>
      <c r="E532" s="14">
        <v>44278</v>
      </c>
      <c r="F532" s="14">
        <v>44283</v>
      </c>
      <c r="G532" s="13" t="s">
        <v>3</v>
      </c>
      <c r="H532" s="13" t="s">
        <v>4</v>
      </c>
      <c r="I532" s="15">
        <v>-33078.79</v>
      </c>
      <c r="J532" s="13" t="s">
        <v>5</v>
      </c>
      <c r="K532" s="13" t="s">
        <v>6</v>
      </c>
      <c r="L532" s="15">
        <v>-2776964.43</v>
      </c>
      <c r="M532" s="15">
        <v>-33078.79</v>
      </c>
      <c r="N532" s="16" t="str">
        <f>IF(M532="","",IF(M532&lt;0,-M532&amp;"_"&amp;COUNTIF(M$2:M532,M532),M532&amp;"_"&amp;COUNTIF(M$2:M532,M532)))</f>
        <v>33078.79_1</v>
      </c>
      <c r="O532" s="17" t="str">
        <f t="shared" si="8"/>
        <v/>
      </c>
      <c r="P532" s="13" t="s">
        <v>2963</v>
      </c>
      <c r="Q532" s="13" t="s">
        <v>2964</v>
      </c>
      <c r="R532" s="13" t="s">
        <v>0</v>
      </c>
      <c r="S532" s="13" t="s">
        <v>0</v>
      </c>
      <c r="T532" s="13" t="s">
        <v>9</v>
      </c>
      <c r="U532" s="13" t="s">
        <v>0</v>
      </c>
      <c r="V532" s="13" t="s">
        <v>0</v>
      </c>
      <c r="W532" s="13" t="s">
        <v>0</v>
      </c>
      <c r="X532" s="13" t="s">
        <v>0</v>
      </c>
      <c r="Y532" s="13" t="s">
        <v>10</v>
      </c>
      <c r="Z532" s="13" t="s">
        <v>0</v>
      </c>
      <c r="AA532" s="14"/>
      <c r="AB532" s="13" t="s">
        <v>0</v>
      </c>
      <c r="AC532" s="13" t="s">
        <v>0</v>
      </c>
      <c r="AD532" s="13" t="s">
        <v>0</v>
      </c>
      <c r="AE532" s="15">
        <v>0</v>
      </c>
    </row>
    <row r="533" spans="1:31" ht="14.15" customHeight="1" x14ac:dyDescent="0.25">
      <c r="A533" s="12" t="s">
        <v>0</v>
      </c>
      <c r="B533" s="13" t="s">
        <v>1</v>
      </c>
      <c r="C533" s="13" t="s">
        <v>3680</v>
      </c>
      <c r="D533" s="14">
        <v>44335</v>
      </c>
      <c r="E533" s="14">
        <v>44335</v>
      </c>
      <c r="F533" s="14">
        <v>44341</v>
      </c>
      <c r="G533" s="13" t="s">
        <v>3</v>
      </c>
      <c r="H533" s="13" t="s">
        <v>4</v>
      </c>
      <c r="I533" s="15">
        <v>-33014.19</v>
      </c>
      <c r="J533" s="13" t="s">
        <v>5</v>
      </c>
      <c r="K533" s="13" t="s">
        <v>6</v>
      </c>
      <c r="L533" s="15">
        <v>-2771541.25</v>
      </c>
      <c r="M533" s="15">
        <v>-33014.19</v>
      </c>
      <c r="N533" s="16" t="str">
        <f>IF(M533="","",IF(M533&lt;0,-M533&amp;"_"&amp;COUNTIF(M$2:M533,M533),M533&amp;"_"&amp;COUNTIF(M$2:M533,M533)))</f>
        <v>33014.19_1</v>
      </c>
      <c r="O533" s="17" t="str">
        <f t="shared" si="8"/>
        <v/>
      </c>
      <c r="P533" s="13" t="s">
        <v>3681</v>
      </c>
      <c r="Q533" s="13" t="s">
        <v>3665</v>
      </c>
      <c r="R533" s="13" t="s">
        <v>0</v>
      </c>
      <c r="S533" s="13" t="s">
        <v>0</v>
      </c>
      <c r="T533" s="13" t="s">
        <v>9</v>
      </c>
      <c r="U533" s="13" t="s">
        <v>0</v>
      </c>
      <c r="V533" s="13" t="s">
        <v>0</v>
      </c>
      <c r="W533" s="13" t="s">
        <v>0</v>
      </c>
      <c r="X533" s="13" t="s">
        <v>0</v>
      </c>
      <c r="Y533" s="13" t="s">
        <v>10</v>
      </c>
      <c r="Z533" s="13" t="s">
        <v>0</v>
      </c>
      <c r="AA533" s="14"/>
      <c r="AB533" s="13" t="s">
        <v>0</v>
      </c>
      <c r="AC533" s="13" t="s">
        <v>0</v>
      </c>
      <c r="AD533" s="13" t="s">
        <v>0</v>
      </c>
      <c r="AE533" s="15">
        <v>0</v>
      </c>
    </row>
    <row r="534" spans="1:31" ht="14.15" customHeight="1" x14ac:dyDescent="0.25">
      <c r="A534" s="12" t="s">
        <v>0</v>
      </c>
      <c r="B534" s="13" t="s">
        <v>1</v>
      </c>
      <c r="C534" s="13" t="s">
        <v>1206</v>
      </c>
      <c r="D534" s="14">
        <v>44140</v>
      </c>
      <c r="E534" s="14">
        <v>44140</v>
      </c>
      <c r="F534" s="14">
        <v>44149</v>
      </c>
      <c r="G534" s="13" t="s">
        <v>3</v>
      </c>
      <c r="H534" s="13" t="s">
        <v>4</v>
      </c>
      <c r="I534" s="15">
        <v>-32943.07</v>
      </c>
      <c r="J534" s="13" t="s">
        <v>5</v>
      </c>
      <c r="K534" s="13" t="s">
        <v>6</v>
      </c>
      <c r="L534" s="15">
        <v>-2765570.72</v>
      </c>
      <c r="M534" s="15">
        <v>-32943.07</v>
      </c>
      <c r="N534" s="16" t="str">
        <f>IF(M534="","",IF(M534&lt;0,-M534&amp;"_"&amp;COUNTIF(M$2:M534,M534),M534&amp;"_"&amp;COUNTIF(M$2:M534,M534)))</f>
        <v>32943.07_1</v>
      </c>
      <c r="O534" s="17" t="str">
        <f t="shared" si="8"/>
        <v/>
      </c>
      <c r="P534" s="13" t="s">
        <v>1207</v>
      </c>
      <c r="Q534" s="13" t="s">
        <v>1165</v>
      </c>
      <c r="R534" s="13" t="s">
        <v>0</v>
      </c>
      <c r="S534" s="13" t="s">
        <v>0</v>
      </c>
      <c r="T534" s="13" t="s">
        <v>9</v>
      </c>
      <c r="U534" s="13" t="s">
        <v>0</v>
      </c>
      <c r="V534" s="13" t="s">
        <v>0</v>
      </c>
      <c r="W534" s="13" t="s">
        <v>0</v>
      </c>
      <c r="X534" s="13" t="s">
        <v>0</v>
      </c>
      <c r="Y534" s="13" t="s">
        <v>10</v>
      </c>
      <c r="Z534" s="13" t="s">
        <v>0</v>
      </c>
      <c r="AA534" s="14"/>
      <c r="AB534" s="13" t="s">
        <v>0</v>
      </c>
      <c r="AC534" s="13" t="s">
        <v>0</v>
      </c>
      <c r="AD534" s="13" t="s">
        <v>0</v>
      </c>
      <c r="AE534" s="15">
        <v>0</v>
      </c>
    </row>
    <row r="535" spans="1:31" ht="14.15" customHeight="1" x14ac:dyDescent="0.25">
      <c r="A535" s="12" t="s">
        <v>0</v>
      </c>
      <c r="B535" s="13" t="s">
        <v>1</v>
      </c>
      <c r="C535" s="13" t="s">
        <v>759</v>
      </c>
      <c r="D535" s="14">
        <v>44098</v>
      </c>
      <c r="E535" s="14">
        <v>44098</v>
      </c>
      <c r="F535" s="14">
        <v>44100</v>
      </c>
      <c r="G535" s="13" t="s">
        <v>3</v>
      </c>
      <c r="H535" s="13" t="s">
        <v>4</v>
      </c>
      <c r="I535" s="15">
        <v>-32889.019999999997</v>
      </c>
      <c r="J535" s="13" t="s">
        <v>5</v>
      </c>
      <c r="K535" s="13" t="s">
        <v>6</v>
      </c>
      <c r="L535" s="15">
        <v>-2761033.23</v>
      </c>
      <c r="M535" s="15">
        <v>-32889.019999999997</v>
      </c>
      <c r="N535" s="16" t="str">
        <f>IF(M535="","",IF(M535&lt;0,-M535&amp;"_"&amp;COUNTIF(M$2:M535,M535),M535&amp;"_"&amp;COUNTIF(M$2:M535,M535)))</f>
        <v>32889.02_1</v>
      </c>
      <c r="O535" s="17" t="str">
        <f t="shared" si="8"/>
        <v/>
      </c>
      <c r="P535" s="13" t="s">
        <v>760</v>
      </c>
      <c r="Q535" s="13" t="s">
        <v>761</v>
      </c>
      <c r="R535" s="13" t="s">
        <v>0</v>
      </c>
      <c r="S535" s="13" t="s">
        <v>0</v>
      </c>
      <c r="T535" s="13" t="s">
        <v>9</v>
      </c>
      <c r="U535" s="13" t="s">
        <v>0</v>
      </c>
      <c r="V535" s="13" t="s">
        <v>0</v>
      </c>
      <c r="W535" s="13" t="s">
        <v>0</v>
      </c>
      <c r="X535" s="13" t="s">
        <v>0</v>
      </c>
      <c r="Y535" s="13" t="s">
        <v>10</v>
      </c>
      <c r="Z535" s="13" t="s">
        <v>0</v>
      </c>
      <c r="AA535" s="14"/>
      <c r="AB535" s="13" t="s">
        <v>0</v>
      </c>
      <c r="AC535" s="13" t="s">
        <v>0</v>
      </c>
      <c r="AD535" s="13" t="s">
        <v>0</v>
      </c>
      <c r="AE535" s="15">
        <v>0</v>
      </c>
    </row>
    <row r="536" spans="1:31" ht="14.15" customHeight="1" x14ac:dyDescent="0.25">
      <c r="A536" s="12" t="s">
        <v>0</v>
      </c>
      <c r="B536" s="13" t="s">
        <v>1</v>
      </c>
      <c r="C536" s="13" t="s">
        <v>4039</v>
      </c>
      <c r="D536" s="14">
        <v>44358</v>
      </c>
      <c r="E536" s="14">
        <v>44358</v>
      </c>
      <c r="F536" s="14">
        <v>44364</v>
      </c>
      <c r="G536" s="13" t="s">
        <v>3</v>
      </c>
      <c r="H536" s="13" t="s">
        <v>4</v>
      </c>
      <c r="I536" s="15">
        <v>-32882.51</v>
      </c>
      <c r="J536" s="13" t="s">
        <v>5</v>
      </c>
      <c r="K536" s="13" t="s">
        <v>6</v>
      </c>
      <c r="L536" s="15">
        <v>-2760486.71</v>
      </c>
      <c r="M536" s="15">
        <v>-32882.51</v>
      </c>
      <c r="N536" s="16" t="str">
        <f>IF(M536="","",IF(M536&lt;0,-M536&amp;"_"&amp;COUNTIF(M$2:M536,M536),M536&amp;"_"&amp;COUNTIF(M$2:M536,M536)))</f>
        <v>32882.51_1</v>
      </c>
      <c r="O536" s="17" t="str">
        <f t="shared" si="8"/>
        <v/>
      </c>
      <c r="P536" s="13" t="s">
        <v>4040</v>
      </c>
      <c r="Q536" s="13" t="s">
        <v>4006</v>
      </c>
      <c r="R536" s="13" t="s">
        <v>0</v>
      </c>
      <c r="S536" s="13" t="s">
        <v>0</v>
      </c>
      <c r="T536" s="13" t="s">
        <v>9</v>
      </c>
      <c r="U536" s="13" t="s">
        <v>0</v>
      </c>
      <c r="V536" s="13" t="s">
        <v>0</v>
      </c>
      <c r="W536" s="13" t="s">
        <v>0</v>
      </c>
      <c r="X536" s="13" t="s">
        <v>0</v>
      </c>
      <c r="Y536" s="13" t="s">
        <v>10</v>
      </c>
      <c r="Z536" s="13" t="s">
        <v>0</v>
      </c>
      <c r="AA536" s="14"/>
      <c r="AB536" s="13" t="s">
        <v>0</v>
      </c>
      <c r="AC536" s="13" t="s">
        <v>0</v>
      </c>
      <c r="AD536" s="13" t="s">
        <v>0</v>
      </c>
      <c r="AE536" s="15">
        <v>0</v>
      </c>
    </row>
    <row r="537" spans="1:31" ht="14.15" customHeight="1" x14ac:dyDescent="0.25">
      <c r="A537" s="12" t="s">
        <v>0</v>
      </c>
      <c r="B537" s="13" t="s">
        <v>1</v>
      </c>
      <c r="C537" s="13" t="s">
        <v>2552</v>
      </c>
      <c r="D537" s="14">
        <v>44239</v>
      </c>
      <c r="E537" s="14">
        <v>44239</v>
      </c>
      <c r="F537" s="14">
        <v>44243</v>
      </c>
      <c r="G537" s="13" t="s">
        <v>3</v>
      </c>
      <c r="H537" s="13" t="s">
        <v>4</v>
      </c>
      <c r="I537" s="15">
        <v>-32861.300000000003</v>
      </c>
      <c r="J537" s="13" t="s">
        <v>5</v>
      </c>
      <c r="K537" s="13" t="s">
        <v>6</v>
      </c>
      <c r="L537" s="15">
        <v>-2758706.14</v>
      </c>
      <c r="M537" s="15">
        <v>-32861.300000000003</v>
      </c>
      <c r="N537" s="16" t="str">
        <f>IF(M537="","",IF(M537&lt;0,-M537&amp;"_"&amp;COUNTIF(M$2:M537,M537),M537&amp;"_"&amp;COUNTIF(M$2:M537,M537)))</f>
        <v>32861.3_1</v>
      </c>
      <c r="O537" s="17" t="str">
        <f t="shared" si="8"/>
        <v/>
      </c>
      <c r="P537" s="13" t="s">
        <v>2553</v>
      </c>
      <c r="Q537" s="13" t="s">
        <v>2549</v>
      </c>
      <c r="R537" s="13" t="s">
        <v>0</v>
      </c>
      <c r="S537" s="13" t="s">
        <v>0</v>
      </c>
      <c r="T537" s="13" t="s">
        <v>9</v>
      </c>
      <c r="U537" s="13" t="s">
        <v>0</v>
      </c>
      <c r="V537" s="13" t="s">
        <v>0</v>
      </c>
      <c r="W537" s="13" t="s">
        <v>0</v>
      </c>
      <c r="X537" s="13" t="s">
        <v>0</v>
      </c>
      <c r="Y537" s="13" t="s">
        <v>10</v>
      </c>
      <c r="Z537" s="13" t="s">
        <v>0</v>
      </c>
      <c r="AA537" s="14"/>
      <c r="AB537" s="13" t="s">
        <v>0</v>
      </c>
      <c r="AC537" s="13" t="s">
        <v>0</v>
      </c>
      <c r="AD537" s="13" t="s">
        <v>0</v>
      </c>
      <c r="AE537" s="15">
        <v>0</v>
      </c>
    </row>
    <row r="538" spans="1:31" ht="14.15" customHeight="1" x14ac:dyDescent="0.25">
      <c r="A538" s="12" t="s">
        <v>0</v>
      </c>
      <c r="B538" s="13" t="s">
        <v>1</v>
      </c>
      <c r="C538" s="13" t="s">
        <v>1084</v>
      </c>
      <c r="D538" s="14">
        <v>44135</v>
      </c>
      <c r="E538" s="14">
        <v>44135</v>
      </c>
      <c r="F538" s="14">
        <v>44138</v>
      </c>
      <c r="G538" s="13" t="s">
        <v>3</v>
      </c>
      <c r="H538" s="13" t="s">
        <v>4</v>
      </c>
      <c r="I538" s="15">
        <v>-32784.61</v>
      </c>
      <c r="J538" s="13" t="s">
        <v>5</v>
      </c>
      <c r="K538" s="13" t="s">
        <v>6</v>
      </c>
      <c r="L538" s="15">
        <v>-2752268.01</v>
      </c>
      <c r="M538" s="15">
        <v>-32784.61</v>
      </c>
      <c r="N538" s="16" t="str">
        <f>IF(M538="","",IF(M538&lt;0,-M538&amp;"_"&amp;COUNTIF(M$2:M538,M538),M538&amp;"_"&amp;COUNTIF(M$2:M538,M538)))</f>
        <v>32784.61_1</v>
      </c>
      <c r="O538" s="17" t="str">
        <f t="shared" si="8"/>
        <v/>
      </c>
      <c r="P538" s="13" t="s">
        <v>1085</v>
      </c>
      <c r="Q538" s="13" t="s">
        <v>1083</v>
      </c>
      <c r="R538" s="13" t="s">
        <v>0</v>
      </c>
      <c r="S538" s="13" t="s">
        <v>0</v>
      </c>
      <c r="T538" s="13" t="s">
        <v>9</v>
      </c>
      <c r="U538" s="13" t="s">
        <v>0</v>
      </c>
      <c r="V538" s="13" t="s">
        <v>0</v>
      </c>
      <c r="W538" s="13" t="s">
        <v>0</v>
      </c>
      <c r="X538" s="13" t="s">
        <v>0</v>
      </c>
      <c r="Y538" s="13" t="s">
        <v>10</v>
      </c>
      <c r="Z538" s="13" t="s">
        <v>0</v>
      </c>
      <c r="AA538" s="14"/>
      <c r="AB538" s="13" t="s">
        <v>0</v>
      </c>
      <c r="AC538" s="13" t="s">
        <v>0</v>
      </c>
      <c r="AD538" s="13" t="s">
        <v>0</v>
      </c>
      <c r="AE538" s="15">
        <v>0</v>
      </c>
    </row>
    <row r="539" spans="1:31" ht="14.15" customHeight="1" x14ac:dyDescent="0.25">
      <c r="A539" s="12" t="s">
        <v>0</v>
      </c>
      <c r="B539" s="13" t="s">
        <v>1</v>
      </c>
      <c r="C539" s="13" t="s">
        <v>3537</v>
      </c>
      <c r="D539" s="14">
        <v>44324</v>
      </c>
      <c r="E539" s="14">
        <v>44324</v>
      </c>
      <c r="F539" s="14">
        <v>44340</v>
      </c>
      <c r="G539" s="13" t="s">
        <v>3</v>
      </c>
      <c r="H539" s="13" t="s">
        <v>4</v>
      </c>
      <c r="I539" s="15">
        <v>-32678.22</v>
      </c>
      <c r="J539" s="13" t="s">
        <v>5</v>
      </c>
      <c r="K539" s="13" t="s">
        <v>6</v>
      </c>
      <c r="L539" s="15">
        <v>-2743336.57</v>
      </c>
      <c r="M539" s="15">
        <v>-32678.22</v>
      </c>
      <c r="N539" s="16" t="str">
        <f>IF(M539="","",IF(M539&lt;0,-M539&amp;"_"&amp;COUNTIF(M$2:M539,M539),M539&amp;"_"&amp;COUNTIF(M$2:M539,M539)))</f>
        <v>32678.22_1</v>
      </c>
      <c r="O539" s="17" t="str">
        <f t="shared" si="8"/>
        <v/>
      </c>
      <c r="P539" s="13" t="s">
        <v>3538</v>
      </c>
      <c r="Q539" s="13" t="s">
        <v>3512</v>
      </c>
      <c r="R539" s="13" t="s">
        <v>0</v>
      </c>
      <c r="S539" s="13" t="s">
        <v>0</v>
      </c>
      <c r="T539" s="13" t="s">
        <v>9</v>
      </c>
      <c r="U539" s="13" t="s">
        <v>0</v>
      </c>
      <c r="V539" s="13" t="s">
        <v>0</v>
      </c>
      <c r="W539" s="13" t="s">
        <v>0</v>
      </c>
      <c r="X539" s="13" t="s">
        <v>0</v>
      </c>
      <c r="Y539" s="13" t="s">
        <v>10</v>
      </c>
      <c r="Z539" s="13" t="s">
        <v>0</v>
      </c>
      <c r="AA539" s="14"/>
      <c r="AB539" s="13" t="s">
        <v>0</v>
      </c>
      <c r="AC539" s="13" t="s">
        <v>0</v>
      </c>
      <c r="AD539" s="13" t="s">
        <v>0</v>
      </c>
      <c r="AE539" s="15">
        <v>0</v>
      </c>
    </row>
    <row r="540" spans="1:31" ht="14.15" customHeight="1" x14ac:dyDescent="0.25">
      <c r="A540" s="12" t="s">
        <v>0</v>
      </c>
      <c r="B540" s="13" t="s">
        <v>1</v>
      </c>
      <c r="C540" s="13" t="s">
        <v>653</v>
      </c>
      <c r="D540" s="14">
        <v>44085</v>
      </c>
      <c r="E540" s="14">
        <v>44085</v>
      </c>
      <c r="F540" s="14">
        <v>44098</v>
      </c>
      <c r="G540" s="13" t="s">
        <v>3</v>
      </c>
      <c r="H540" s="13" t="s">
        <v>4</v>
      </c>
      <c r="I540" s="15">
        <v>-32583.75</v>
      </c>
      <c r="J540" s="13" t="s">
        <v>5</v>
      </c>
      <c r="K540" s="13" t="s">
        <v>6</v>
      </c>
      <c r="L540" s="15">
        <v>-2735405.81</v>
      </c>
      <c r="M540" s="15">
        <v>-32583.75</v>
      </c>
      <c r="N540" s="16" t="str">
        <f>IF(M540="","",IF(M540&lt;0,-M540&amp;"_"&amp;COUNTIF(M$2:M540,M540),M540&amp;"_"&amp;COUNTIF(M$2:M540,M540)))</f>
        <v>32583.75_1</v>
      </c>
      <c r="O540" s="17" t="str">
        <f t="shared" si="8"/>
        <v/>
      </c>
      <c r="P540" s="13" t="s">
        <v>654</v>
      </c>
      <c r="Q540" s="13" t="s">
        <v>650</v>
      </c>
      <c r="R540" s="13" t="s">
        <v>0</v>
      </c>
      <c r="S540" s="13" t="s">
        <v>0</v>
      </c>
      <c r="T540" s="13" t="s">
        <v>9</v>
      </c>
      <c r="U540" s="13" t="s">
        <v>0</v>
      </c>
      <c r="V540" s="13" t="s">
        <v>0</v>
      </c>
      <c r="W540" s="13" t="s">
        <v>0</v>
      </c>
      <c r="X540" s="13" t="s">
        <v>0</v>
      </c>
      <c r="Y540" s="13" t="s">
        <v>10</v>
      </c>
      <c r="Z540" s="13" t="s">
        <v>0</v>
      </c>
      <c r="AA540" s="14"/>
      <c r="AB540" s="13" t="s">
        <v>0</v>
      </c>
      <c r="AC540" s="13" t="s">
        <v>0</v>
      </c>
      <c r="AD540" s="13" t="s">
        <v>0</v>
      </c>
      <c r="AE540" s="15">
        <v>0</v>
      </c>
    </row>
    <row r="541" spans="1:31" ht="14.15" customHeight="1" x14ac:dyDescent="0.25">
      <c r="A541" s="12" t="s">
        <v>0</v>
      </c>
      <c r="B541" s="13" t="s">
        <v>1</v>
      </c>
      <c r="C541" s="13" t="s">
        <v>2047</v>
      </c>
      <c r="D541" s="14">
        <v>44197</v>
      </c>
      <c r="E541" s="14">
        <v>44197</v>
      </c>
      <c r="F541" s="14">
        <v>44203</v>
      </c>
      <c r="G541" s="13" t="s">
        <v>3</v>
      </c>
      <c r="H541" s="13" t="s">
        <v>4</v>
      </c>
      <c r="I541" s="15">
        <v>-32582.87</v>
      </c>
      <c r="J541" s="13" t="s">
        <v>5</v>
      </c>
      <c r="K541" s="13" t="s">
        <v>6</v>
      </c>
      <c r="L541" s="15">
        <v>-2735331.94</v>
      </c>
      <c r="M541" s="15">
        <v>-32582.87</v>
      </c>
      <c r="N541" s="16" t="str">
        <f>IF(M541="","",IF(M541&lt;0,-M541&amp;"_"&amp;COUNTIF(M$2:M541,M541),M541&amp;"_"&amp;COUNTIF(M$2:M541,M541)))</f>
        <v>32582.87_1</v>
      </c>
      <c r="O541" s="17" t="str">
        <f t="shared" si="8"/>
        <v/>
      </c>
      <c r="P541" s="13" t="s">
        <v>2048</v>
      </c>
      <c r="Q541" s="13" t="s">
        <v>2034</v>
      </c>
      <c r="R541" s="13" t="s">
        <v>0</v>
      </c>
      <c r="S541" s="13" t="s">
        <v>0</v>
      </c>
      <c r="T541" s="13" t="s">
        <v>9</v>
      </c>
      <c r="U541" s="13" t="s">
        <v>0</v>
      </c>
      <c r="V541" s="13" t="s">
        <v>0</v>
      </c>
      <c r="W541" s="13" t="s">
        <v>0</v>
      </c>
      <c r="X541" s="13" t="s">
        <v>0</v>
      </c>
      <c r="Y541" s="13" t="s">
        <v>10</v>
      </c>
      <c r="Z541" s="13" t="s">
        <v>0</v>
      </c>
      <c r="AA541" s="14"/>
      <c r="AB541" s="13" t="s">
        <v>0</v>
      </c>
      <c r="AC541" s="13" t="s">
        <v>0</v>
      </c>
      <c r="AD541" s="13" t="s">
        <v>0</v>
      </c>
      <c r="AE541" s="15">
        <v>0</v>
      </c>
    </row>
    <row r="542" spans="1:31" ht="14.15" customHeight="1" x14ac:dyDescent="0.25">
      <c r="A542" s="12" t="s">
        <v>0</v>
      </c>
      <c r="B542" s="13" t="s">
        <v>1</v>
      </c>
      <c r="C542" s="13" t="s">
        <v>3272</v>
      </c>
      <c r="D542" s="14">
        <v>44311</v>
      </c>
      <c r="E542" s="14">
        <v>44311</v>
      </c>
      <c r="F542" s="14">
        <v>44315</v>
      </c>
      <c r="G542" s="13" t="s">
        <v>3</v>
      </c>
      <c r="H542" s="13" t="s">
        <v>4</v>
      </c>
      <c r="I542" s="15">
        <v>-32482.45</v>
      </c>
      <c r="J542" s="13" t="s">
        <v>5</v>
      </c>
      <c r="K542" s="13" t="s">
        <v>6</v>
      </c>
      <c r="L542" s="15">
        <v>-2726901.68</v>
      </c>
      <c r="M542" s="15">
        <v>-32482.45</v>
      </c>
      <c r="N542" s="16" t="str">
        <f>IF(M542="","",IF(M542&lt;0,-M542&amp;"_"&amp;COUNTIF(M$2:M542,M542),M542&amp;"_"&amp;COUNTIF(M$2:M542,M542)))</f>
        <v>32482.45_1</v>
      </c>
      <c r="O542" s="17" t="str">
        <f t="shared" si="8"/>
        <v/>
      </c>
      <c r="P542" s="13" t="s">
        <v>3273</v>
      </c>
      <c r="Q542" s="13" t="s">
        <v>3269</v>
      </c>
      <c r="R542" s="13" t="s">
        <v>0</v>
      </c>
      <c r="S542" s="13" t="s">
        <v>0</v>
      </c>
      <c r="T542" s="13" t="s">
        <v>9</v>
      </c>
      <c r="U542" s="13" t="s">
        <v>0</v>
      </c>
      <c r="V542" s="13" t="s">
        <v>0</v>
      </c>
      <c r="W542" s="13" t="s">
        <v>0</v>
      </c>
      <c r="X542" s="13" t="s">
        <v>0</v>
      </c>
      <c r="Y542" s="13" t="s">
        <v>10</v>
      </c>
      <c r="Z542" s="13" t="s">
        <v>0</v>
      </c>
      <c r="AA542" s="14"/>
      <c r="AB542" s="13" t="s">
        <v>0</v>
      </c>
      <c r="AC542" s="13" t="s">
        <v>0</v>
      </c>
      <c r="AD542" s="13" t="s">
        <v>0</v>
      </c>
      <c r="AE542" s="15">
        <v>0</v>
      </c>
    </row>
    <row r="543" spans="1:31" ht="14.15" customHeight="1" x14ac:dyDescent="0.25">
      <c r="A543" s="12" t="s">
        <v>0</v>
      </c>
      <c r="B543" s="13" t="s">
        <v>1</v>
      </c>
      <c r="C543" s="13" t="s">
        <v>2983</v>
      </c>
      <c r="D543" s="14">
        <v>44279</v>
      </c>
      <c r="E543" s="14">
        <v>44279</v>
      </c>
      <c r="F543" s="14">
        <v>44287</v>
      </c>
      <c r="G543" s="13" t="s">
        <v>3</v>
      </c>
      <c r="H543" s="13" t="s">
        <v>4</v>
      </c>
      <c r="I543" s="15">
        <v>-32454.44</v>
      </c>
      <c r="J543" s="13" t="s">
        <v>5</v>
      </c>
      <c r="K543" s="13" t="s">
        <v>6</v>
      </c>
      <c r="L543" s="15">
        <v>-2724550.24</v>
      </c>
      <c r="M543" s="15">
        <v>-32454.44</v>
      </c>
      <c r="N543" s="16" t="str">
        <f>IF(M543="","",IF(M543&lt;0,-M543&amp;"_"&amp;COUNTIF(M$2:M543,M543),M543&amp;"_"&amp;COUNTIF(M$2:M543,M543)))</f>
        <v>32454.44_1</v>
      </c>
      <c r="O543" s="17" t="str">
        <f t="shared" si="8"/>
        <v/>
      </c>
      <c r="P543" s="13" t="s">
        <v>2984</v>
      </c>
      <c r="Q543" s="13" t="s">
        <v>2978</v>
      </c>
      <c r="R543" s="13" t="s">
        <v>0</v>
      </c>
      <c r="S543" s="13" t="s">
        <v>0</v>
      </c>
      <c r="T543" s="13" t="s">
        <v>9</v>
      </c>
      <c r="U543" s="13" t="s">
        <v>0</v>
      </c>
      <c r="V543" s="13" t="s">
        <v>0</v>
      </c>
      <c r="W543" s="13" t="s">
        <v>0</v>
      </c>
      <c r="X543" s="13" t="s">
        <v>0</v>
      </c>
      <c r="Y543" s="13" t="s">
        <v>10</v>
      </c>
      <c r="Z543" s="13" t="s">
        <v>0</v>
      </c>
      <c r="AA543" s="14"/>
      <c r="AB543" s="13" t="s">
        <v>0</v>
      </c>
      <c r="AC543" s="13" t="s">
        <v>0</v>
      </c>
      <c r="AD543" s="13" t="s">
        <v>0</v>
      </c>
      <c r="AE543" s="15">
        <v>0</v>
      </c>
    </row>
    <row r="544" spans="1:31" ht="14.15" customHeight="1" x14ac:dyDescent="0.25">
      <c r="A544" s="12" t="s">
        <v>0</v>
      </c>
      <c r="B544" s="13" t="s">
        <v>1</v>
      </c>
      <c r="C544" s="13" t="s">
        <v>1610</v>
      </c>
      <c r="D544" s="14">
        <v>44168</v>
      </c>
      <c r="E544" s="14">
        <v>44168</v>
      </c>
      <c r="F544" s="14">
        <v>44174</v>
      </c>
      <c r="G544" s="13" t="s">
        <v>3</v>
      </c>
      <c r="H544" s="13" t="s">
        <v>4</v>
      </c>
      <c r="I544" s="15">
        <v>-32454.240000000002</v>
      </c>
      <c r="J544" s="13" t="s">
        <v>5</v>
      </c>
      <c r="K544" s="13" t="s">
        <v>6</v>
      </c>
      <c r="L544" s="15">
        <v>-2724533.45</v>
      </c>
      <c r="M544" s="15">
        <v>-32454.240000000002</v>
      </c>
      <c r="N544" s="16" t="str">
        <f>IF(M544="","",IF(M544&lt;0,-M544&amp;"_"&amp;COUNTIF(M$2:M544,M544),M544&amp;"_"&amp;COUNTIF(M$2:M544,M544)))</f>
        <v>32454.24_1</v>
      </c>
      <c r="O544" s="17" t="str">
        <f t="shared" si="8"/>
        <v/>
      </c>
      <c r="P544" s="13" t="s">
        <v>1611</v>
      </c>
      <c r="Q544" s="13" t="s">
        <v>1605</v>
      </c>
      <c r="R544" s="13" t="s">
        <v>0</v>
      </c>
      <c r="S544" s="13" t="s">
        <v>0</v>
      </c>
      <c r="T544" s="13" t="s">
        <v>9</v>
      </c>
      <c r="U544" s="13" t="s">
        <v>0</v>
      </c>
      <c r="V544" s="13" t="s">
        <v>0</v>
      </c>
      <c r="W544" s="13" t="s">
        <v>0</v>
      </c>
      <c r="X544" s="13" t="s">
        <v>0</v>
      </c>
      <c r="Y544" s="13" t="s">
        <v>10</v>
      </c>
      <c r="Z544" s="13" t="s">
        <v>0</v>
      </c>
      <c r="AA544" s="14"/>
      <c r="AB544" s="13" t="s">
        <v>0</v>
      </c>
      <c r="AC544" s="13" t="s">
        <v>0</v>
      </c>
      <c r="AD544" s="13" t="s">
        <v>0</v>
      </c>
      <c r="AE544" s="15">
        <v>0</v>
      </c>
    </row>
    <row r="545" spans="1:31" ht="14.15" customHeight="1" x14ac:dyDescent="0.25">
      <c r="A545" s="12" t="s">
        <v>0</v>
      </c>
      <c r="B545" s="13" t="s">
        <v>1</v>
      </c>
      <c r="C545" s="13" t="s">
        <v>4178</v>
      </c>
      <c r="D545" s="14">
        <v>44364</v>
      </c>
      <c r="E545" s="14">
        <v>44364</v>
      </c>
      <c r="F545" s="14">
        <v>44368</v>
      </c>
      <c r="G545" s="13" t="s">
        <v>3</v>
      </c>
      <c r="H545" s="13" t="s">
        <v>4</v>
      </c>
      <c r="I545" s="15">
        <v>-32447.77</v>
      </c>
      <c r="J545" s="13" t="s">
        <v>5</v>
      </c>
      <c r="K545" s="13" t="s">
        <v>6</v>
      </c>
      <c r="L545" s="15">
        <v>-2723990.29</v>
      </c>
      <c r="M545" s="15">
        <v>-32447.77</v>
      </c>
      <c r="N545" s="16" t="str">
        <f>IF(M545="","",IF(M545&lt;0,-M545&amp;"_"&amp;COUNTIF(M$2:M545,M545),M545&amp;"_"&amp;COUNTIF(M$2:M545,M545)))</f>
        <v>32447.77_1</v>
      </c>
      <c r="O545" s="17" t="str">
        <f t="shared" si="8"/>
        <v/>
      </c>
      <c r="P545" s="13" t="s">
        <v>4179</v>
      </c>
      <c r="Q545" s="13" t="s">
        <v>4180</v>
      </c>
      <c r="R545" s="13" t="s">
        <v>0</v>
      </c>
      <c r="S545" s="13" t="s">
        <v>0</v>
      </c>
      <c r="T545" s="13" t="s">
        <v>9</v>
      </c>
      <c r="U545" s="13" t="s">
        <v>0</v>
      </c>
      <c r="V545" s="13" t="s">
        <v>0</v>
      </c>
      <c r="W545" s="13" t="s">
        <v>0</v>
      </c>
      <c r="X545" s="13" t="s">
        <v>0</v>
      </c>
      <c r="Y545" s="13" t="s">
        <v>10</v>
      </c>
      <c r="Z545" s="13" t="s">
        <v>0</v>
      </c>
      <c r="AA545" s="14"/>
      <c r="AB545" s="13" t="s">
        <v>0</v>
      </c>
      <c r="AC545" s="13" t="s">
        <v>0</v>
      </c>
      <c r="AD545" s="13" t="s">
        <v>0</v>
      </c>
      <c r="AE545" s="15">
        <v>0</v>
      </c>
    </row>
    <row r="546" spans="1:31" ht="14.15" customHeight="1" x14ac:dyDescent="0.25">
      <c r="A546" s="12" t="s">
        <v>0</v>
      </c>
      <c r="B546" s="13" t="s">
        <v>1</v>
      </c>
      <c r="C546" s="13" t="s">
        <v>3724</v>
      </c>
      <c r="D546" s="14">
        <v>44337</v>
      </c>
      <c r="E546" s="14">
        <v>44337</v>
      </c>
      <c r="F546" s="14">
        <v>44340</v>
      </c>
      <c r="G546" s="13" t="s">
        <v>3</v>
      </c>
      <c r="H546" s="13" t="s">
        <v>4</v>
      </c>
      <c r="I546" s="15">
        <v>-32437.06</v>
      </c>
      <c r="J546" s="13" t="s">
        <v>5</v>
      </c>
      <c r="K546" s="13" t="s">
        <v>6</v>
      </c>
      <c r="L546" s="15">
        <v>-2723091.19</v>
      </c>
      <c r="M546" s="15">
        <v>-32437.06</v>
      </c>
      <c r="N546" s="16" t="str">
        <f>IF(M546="","",IF(M546&lt;0,-M546&amp;"_"&amp;COUNTIF(M$2:M546,M546),M546&amp;"_"&amp;COUNTIF(M$2:M546,M546)))</f>
        <v>32437.06_1</v>
      </c>
      <c r="O546" s="17" t="str">
        <f t="shared" si="8"/>
        <v/>
      </c>
      <c r="P546" s="13" t="s">
        <v>3725</v>
      </c>
      <c r="Q546" s="13" t="s">
        <v>3726</v>
      </c>
      <c r="R546" s="13" t="s">
        <v>0</v>
      </c>
      <c r="S546" s="13" t="s">
        <v>0</v>
      </c>
      <c r="T546" s="13" t="s">
        <v>9</v>
      </c>
      <c r="U546" s="13" t="s">
        <v>0</v>
      </c>
      <c r="V546" s="13" t="s">
        <v>0</v>
      </c>
      <c r="W546" s="13" t="s">
        <v>0</v>
      </c>
      <c r="X546" s="13" t="s">
        <v>0</v>
      </c>
      <c r="Y546" s="13" t="s">
        <v>10</v>
      </c>
      <c r="Z546" s="13" t="s">
        <v>0</v>
      </c>
      <c r="AA546" s="14"/>
      <c r="AB546" s="13" t="s">
        <v>0</v>
      </c>
      <c r="AC546" s="13" t="s">
        <v>0</v>
      </c>
      <c r="AD546" s="13" t="s">
        <v>0</v>
      </c>
      <c r="AE546" s="15">
        <v>0</v>
      </c>
    </row>
    <row r="547" spans="1:31" ht="14.15" customHeight="1" x14ac:dyDescent="0.25">
      <c r="A547" s="12" t="s">
        <v>0</v>
      </c>
      <c r="B547" s="13" t="s">
        <v>1</v>
      </c>
      <c r="C547" s="13" t="s">
        <v>2929</v>
      </c>
      <c r="D547" s="14">
        <v>44276</v>
      </c>
      <c r="E547" s="14">
        <v>44276</v>
      </c>
      <c r="F547" s="14">
        <v>44283</v>
      </c>
      <c r="G547" s="13" t="s">
        <v>3</v>
      </c>
      <c r="H547" s="13" t="s">
        <v>4</v>
      </c>
      <c r="I547" s="15">
        <v>-32376.5</v>
      </c>
      <c r="J547" s="13" t="s">
        <v>5</v>
      </c>
      <c r="K547" s="13" t="s">
        <v>6</v>
      </c>
      <c r="L547" s="15">
        <v>-2718007.18</v>
      </c>
      <c r="M547" s="15">
        <v>-32376.5</v>
      </c>
      <c r="N547" s="16" t="str">
        <f>IF(M547="","",IF(M547&lt;0,-M547&amp;"_"&amp;COUNTIF(M$2:M547,M547),M547&amp;"_"&amp;COUNTIF(M$2:M547,M547)))</f>
        <v>32376.5_1</v>
      </c>
      <c r="O547" s="17" t="str">
        <f t="shared" si="8"/>
        <v/>
      </c>
      <c r="P547" s="13" t="s">
        <v>2930</v>
      </c>
      <c r="Q547" s="13" t="s">
        <v>2922</v>
      </c>
      <c r="R547" s="13" t="s">
        <v>0</v>
      </c>
      <c r="S547" s="13" t="s">
        <v>0</v>
      </c>
      <c r="T547" s="13" t="s">
        <v>9</v>
      </c>
      <c r="U547" s="13" t="s">
        <v>0</v>
      </c>
      <c r="V547" s="13" t="s">
        <v>0</v>
      </c>
      <c r="W547" s="13" t="s">
        <v>0</v>
      </c>
      <c r="X547" s="13" t="s">
        <v>0</v>
      </c>
      <c r="Y547" s="13" t="s">
        <v>10</v>
      </c>
      <c r="Z547" s="13" t="s">
        <v>0</v>
      </c>
      <c r="AA547" s="14"/>
      <c r="AB547" s="13" t="s">
        <v>0</v>
      </c>
      <c r="AC547" s="13" t="s">
        <v>0</v>
      </c>
      <c r="AD547" s="13" t="s">
        <v>0</v>
      </c>
      <c r="AE547" s="15">
        <v>0</v>
      </c>
    </row>
    <row r="548" spans="1:31" ht="14.15" customHeight="1" x14ac:dyDescent="0.25">
      <c r="A548" s="12" t="s">
        <v>0</v>
      </c>
      <c r="B548" s="13" t="s">
        <v>1</v>
      </c>
      <c r="C548" s="13" t="s">
        <v>3265</v>
      </c>
      <c r="D548" s="14">
        <v>44310</v>
      </c>
      <c r="E548" s="14">
        <v>44310</v>
      </c>
      <c r="F548" s="14">
        <v>44318</v>
      </c>
      <c r="G548" s="13" t="s">
        <v>3</v>
      </c>
      <c r="H548" s="13" t="s">
        <v>4</v>
      </c>
      <c r="I548" s="15">
        <v>-32351.29</v>
      </c>
      <c r="J548" s="13" t="s">
        <v>5</v>
      </c>
      <c r="K548" s="13" t="s">
        <v>6</v>
      </c>
      <c r="L548" s="15">
        <v>-2715890.8</v>
      </c>
      <c r="M548" s="15">
        <v>-32351.29</v>
      </c>
      <c r="N548" s="16" t="str">
        <f>IF(M548="","",IF(M548&lt;0,-M548&amp;"_"&amp;COUNTIF(M$2:M548,M548),M548&amp;"_"&amp;COUNTIF(M$2:M548,M548)))</f>
        <v>32351.29_1</v>
      </c>
      <c r="O548" s="17" t="str">
        <f t="shared" si="8"/>
        <v/>
      </c>
      <c r="P548" s="13" t="s">
        <v>3266</v>
      </c>
      <c r="Q548" s="13" t="s">
        <v>3260</v>
      </c>
      <c r="R548" s="13" t="s">
        <v>0</v>
      </c>
      <c r="S548" s="13" t="s">
        <v>0</v>
      </c>
      <c r="T548" s="13" t="s">
        <v>9</v>
      </c>
      <c r="U548" s="13" t="s">
        <v>0</v>
      </c>
      <c r="V548" s="13" t="s">
        <v>0</v>
      </c>
      <c r="W548" s="13" t="s">
        <v>0</v>
      </c>
      <c r="X548" s="13" t="s">
        <v>0</v>
      </c>
      <c r="Y548" s="13" t="s">
        <v>10</v>
      </c>
      <c r="Z548" s="13" t="s">
        <v>0</v>
      </c>
      <c r="AA548" s="14"/>
      <c r="AB548" s="13" t="s">
        <v>0</v>
      </c>
      <c r="AC548" s="13" t="s">
        <v>0</v>
      </c>
      <c r="AD548" s="13" t="s">
        <v>0</v>
      </c>
      <c r="AE548" s="15">
        <v>0</v>
      </c>
    </row>
    <row r="549" spans="1:31" ht="14.15" customHeight="1" x14ac:dyDescent="0.25">
      <c r="A549" s="12" t="s">
        <v>0</v>
      </c>
      <c r="B549" s="13" t="s">
        <v>1</v>
      </c>
      <c r="C549" s="13" t="s">
        <v>2935</v>
      </c>
      <c r="D549" s="14">
        <v>44276</v>
      </c>
      <c r="E549" s="14">
        <v>44276</v>
      </c>
      <c r="F549" s="14">
        <v>44283</v>
      </c>
      <c r="G549" s="13" t="s">
        <v>3</v>
      </c>
      <c r="H549" s="13" t="s">
        <v>4</v>
      </c>
      <c r="I549" s="15">
        <v>-32257.919999999998</v>
      </c>
      <c r="J549" s="13" t="s">
        <v>5</v>
      </c>
      <c r="K549" s="13" t="s">
        <v>6</v>
      </c>
      <c r="L549" s="15">
        <v>-2708052.39</v>
      </c>
      <c r="M549" s="15">
        <v>-32257.919999999998</v>
      </c>
      <c r="N549" s="16" t="str">
        <f>IF(M549="","",IF(M549&lt;0,-M549&amp;"_"&amp;COUNTIF(M$2:M549,M549),M549&amp;"_"&amp;COUNTIF(M$2:M549,M549)))</f>
        <v>32257.92_1</v>
      </c>
      <c r="O549" s="17" t="str">
        <f t="shared" si="8"/>
        <v/>
      </c>
      <c r="P549" s="13" t="s">
        <v>2936</v>
      </c>
      <c r="Q549" s="13" t="s">
        <v>2922</v>
      </c>
      <c r="R549" s="13" t="s">
        <v>0</v>
      </c>
      <c r="S549" s="13" t="s">
        <v>0</v>
      </c>
      <c r="T549" s="13" t="s">
        <v>9</v>
      </c>
      <c r="U549" s="13" t="s">
        <v>0</v>
      </c>
      <c r="V549" s="13" t="s">
        <v>0</v>
      </c>
      <c r="W549" s="13" t="s">
        <v>0</v>
      </c>
      <c r="X549" s="13" t="s">
        <v>0</v>
      </c>
      <c r="Y549" s="13" t="s">
        <v>10</v>
      </c>
      <c r="Z549" s="13" t="s">
        <v>0</v>
      </c>
      <c r="AA549" s="14"/>
      <c r="AB549" s="13" t="s">
        <v>0</v>
      </c>
      <c r="AC549" s="13" t="s">
        <v>0</v>
      </c>
      <c r="AD549" s="13" t="s">
        <v>0</v>
      </c>
      <c r="AE549" s="15">
        <v>0</v>
      </c>
    </row>
    <row r="550" spans="1:31" ht="14.15" customHeight="1" x14ac:dyDescent="0.25">
      <c r="A550" s="12" t="s">
        <v>0</v>
      </c>
      <c r="B550" s="13" t="s">
        <v>1</v>
      </c>
      <c r="C550" s="13" t="s">
        <v>224</v>
      </c>
      <c r="D550" s="14">
        <v>44038</v>
      </c>
      <c r="E550" s="14">
        <v>44038</v>
      </c>
      <c r="F550" s="14">
        <v>44041</v>
      </c>
      <c r="G550" s="13" t="s">
        <v>3</v>
      </c>
      <c r="H550" s="13" t="s">
        <v>4</v>
      </c>
      <c r="I550" s="15">
        <v>-32086.53</v>
      </c>
      <c r="J550" s="13" t="s">
        <v>5</v>
      </c>
      <c r="K550" s="13" t="s">
        <v>6</v>
      </c>
      <c r="L550" s="15">
        <v>-2693664.19</v>
      </c>
      <c r="M550" s="15">
        <v>-32086.53</v>
      </c>
      <c r="N550" s="16" t="str">
        <f>IF(M550="","",IF(M550&lt;0,-M550&amp;"_"&amp;COUNTIF(M$2:M550,M550),M550&amp;"_"&amp;COUNTIF(M$2:M550,M550)))</f>
        <v>32086.53_1</v>
      </c>
      <c r="O550" s="17" t="str">
        <f t="shared" si="8"/>
        <v/>
      </c>
      <c r="P550" s="13" t="s">
        <v>225</v>
      </c>
      <c r="Q550" s="13" t="s">
        <v>215</v>
      </c>
      <c r="R550" s="13" t="s">
        <v>0</v>
      </c>
      <c r="S550" s="13" t="s">
        <v>0</v>
      </c>
      <c r="T550" s="13" t="s">
        <v>9</v>
      </c>
      <c r="U550" s="13" t="s">
        <v>0</v>
      </c>
      <c r="V550" s="13" t="s">
        <v>0</v>
      </c>
      <c r="W550" s="13" t="s">
        <v>0</v>
      </c>
      <c r="X550" s="13" t="s">
        <v>0</v>
      </c>
      <c r="Y550" s="13" t="s">
        <v>10</v>
      </c>
      <c r="Z550" s="13" t="s">
        <v>0</v>
      </c>
      <c r="AA550" s="14"/>
      <c r="AB550" s="13" t="s">
        <v>0</v>
      </c>
      <c r="AC550" s="13" t="s">
        <v>0</v>
      </c>
      <c r="AD550" s="13" t="s">
        <v>0</v>
      </c>
      <c r="AE550" s="15">
        <v>0</v>
      </c>
    </row>
    <row r="551" spans="1:31" ht="14.15" customHeight="1" x14ac:dyDescent="0.25">
      <c r="A551" s="12" t="s">
        <v>0</v>
      </c>
      <c r="B551" s="13" t="s">
        <v>1</v>
      </c>
      <c r="C551" s="13" t="s">
        <v>2603</v>
      </c>
      <c r="D551" s="14">
        <v>44243</v>
      </c>
      <c r="E551" s="14">
        <v>44243</v>
      </c>
      <c r="F551" s="14">
        <v>44252</v>
      </c>
      <c r="G551" s="13" t="s">
        <v>3</v>
      </c>
      <c r="H551" s="13" t="s">
        <v>4</v>
      </c>
      <c r="I551" s="15">
        <v>-32045.56</v>
      </c>
      <c r="J551" s="13" t="s">
        <v>5</v>
      </c>
      <c r="K551" s="13" t="s">
        <v>6</v>
      </c>
      <c r="L551" s="15">
        <v>-2690224.76</v>
      </c>
      <c r="M551" s="15">
        <v>-32045.56</v>
      </c>
      <c r="N551" s="16" t="str">
        <f>IF(M551="","",IF(M551&lt;0,-M551&amp;"_"&amp;COUNTIF(M$2:M551,M551),M551&amp;"_"&amp;COUNTIF(M$2:M551,M551)))</f>
        <v>32045.56_1</v>
      </c>
      <c r="O551" s="17" t="str">
        <f t="shared" si="8"/>
        <v/>
      </c>
      <c r="P551" s="13" t="s">
        <v>2604</v>
      </c>
      <c r="Q551" s="13" t="s">
        <v>2574</v>
      </c>
      <c r="R551" s="13" t="s">
        <v>0</v>
      </c>
      <c r="S551" s="13" t="s">
        <v>0</v>
      </c>
      <c r="T551" s="13" t="s">
        <v>9</v>
      </c>
      <c r="U551" s="13" t="s">
        <v>0</v>
      </c>
      <c r="V551" s="13" t="s">
        <v>0</v>
      </c>
      <c r="W551" s="13" t="s">
        <v>0</v>
      </c>
      <c r="X551" s="13" t="s">
        <v>0</v>
      </c>
      <c r="Y551" s="13" t="s">
        <v>10</v>
      </c>
      <c r="Z551" s="13" t="s">
        <v>0</v>
      </c>
      <c r="AA551" s="14"/>
      <c r="AB551" s="13" t="s">
        <v>0</v>
      </c>
      <c r="AC551" s="13" t="s">
        <v>0</v>
      </c>
      <c r="AD551" s="13" t="s">
        <v>0</v>
      </c>
      <c r="AE551" s="15">
        <v>0</v>
      </c>
    </row>
    <row r="552" spans="1:31" ht="14.15" customHeight="1" x14ac:dyDescent="0.25">
      <c r="A552" s="12" t="s">
        <v>0</v>
      </c>
      <c r="B552" s="13" t="s">
        <v>1</v>
      </c>
      <c r="C552" s="13" t="s">
        <v>4342</v>
      </c>
      <c r="D552" s="14">
        <v>44375</v>
      </c>
      <c r="E552" s="14">
        <v>44375</v>
      </c>
      <c r="F552" s="14">
        <v>44377</v>
      </c>
      <c r="G552" s="13" t="s">
        <v>3</v>
      </c>
      <c r="H552" s="13" t="s">
        <v>4</v>
      </c>
      <c r="I552" s="15">
        <v>-32021.72</v>
      </c>
      <c r="J552" s="13" t="s">
        <v>5</v>
      </c>
      <c r="K552" s="13" t="s">
        <v>6</v>
      </c>
      <c r="L552" s="15">
        <v>-2688223.39</v>
      </c>
      <c r="M552" s="15">
        <v>-32021.72</v>
      </c>
      <c r="N552" s="16" t="str">
        <f>IF(M552="","",IF(M552&lt;0,-M552&amp;"_"&amp;COUNTIF(M$2:M552,M552),M552&amp;"_"&amp;COUNTIF(M$2:M552,M552)))</f>
        <v>32021.72_1</v>
      </c>
      <c r="O552" s="17" t="str">
        <f t="shared" si="8"/>
        <v/>
      </c>
      <c r="P552" s="13" t="s">
        <v>4343</v>
      </c>
      <c r="Q552" s="13" t="s">
        <v>4341</v>
      </c>
      <c r="R552" s="13" t="s">
        <v>0</v>
      </c>
      <c r="S552" s="13" t="s">
        <v>0</v>
      </c>
      <c r="T552" s="13" t="s">
        <v>9</v>
      </c>
      <c r="U552" s="13" t="s">
        <v>0</v>
      </c>
      <c r="V552" s="13" t="s">
        <v>0</v>
      </c>
      <c r="W552" s="13" t="s">
        <v>0</v>
      </c>
      <c r="X552" s="13" t="s">
        <v>0</v>
      </c>
      <c r="Y552" s="13" t="s">
        <v>10</v>
      </c>
      <c r="Z552" s="13" t="s">
        <v>0</v>
      </c>
      <c r="AA552" s="14"/>
      <c r="AB552" s="13" t="s">
        <v>0</v>
      </c>
      <c r="AC552" s="13" t="s">
        <v>0</v>
      </c>
      <c r="AD552" s="13" t="s">
        <v>0</v>
      </c>
      <c r="AE552" s="15">
        <v>0</v>
      </c>
    </row>
    <row r="553" spans="1:31" ht="14.15" customHeight="1" x14ac:dyDescent="0.25">
      <c r="A553" s="12" t="s">
        <v>0</v>
      </c>
      <c r="B553" s="13" t="s">
        <v>1</v>
      </c>
      <c r="C553" s="13" t="s">
        <v>1127</v>
      </c>
      <c r="D553" s="14">
        <v>44137</v>
      </c>
      <c r="E553" s="14">
        <v>44137</v>
      </c>
      <c r="F553" s="14">
        <v>44139</v>
      </c>
      <c r="G553" s="13" t="s">
        <v>3</v>
      </c>
      <c r="H553" s="13" t="s">
        <v>4</v>
      </c>
      <c r="I553" s="15">
        <v>-32003.54</v>
      </c>
      <c r="J553" s="13" t="s">
        <v>5</v>
      </c>
      <c r="K553" s="13" t="s">
        <v>6</v>
      </c>
      <c r="L553" s="15">
        <v>-2686697.19</v>
      </c>
      <c r="M553" s="15">
        <v>-32003.54</v>
      </c>
      <c r="N553" s="16" t="str">
        <f>IF(M553="","",IF(M553&lt;0,-M553&amp;"_"&amp;COUNTIF(M$2:M553,M553),M553&amp;"_"&amp;COUNTIF(M$2:M553,M553)))</f>
        <v>32003.54_1</v>
      </c>
      <c r="O553" s="17" t="str">
        <f t="shared" si="8"/>
        <v/>
      </c>
      <c r="P553" s="13" t="s">
        <v>1128</v>
      </c>
      <c r="Q553" s="13" t="s">
        <v>1120</v>
      </c>
      <c r="R553" s="13" t="s">
        <v>0</v>
      </c>
      <c r="S553" s="13" t="s">
        <v>0</v>
      </c>
      <c r="T553" s="13" t="s">
        <v>9</v>
      </c>
      <c r="U553" s="13" t="s">
        <v>0</v>
      </c>
      <c r="V553" s="13" t="s">
        <v>0</v>
      </c>
      <c r="W553" s="13" t="s">
        <v>0</v>
      </c>
      <c r="X553" s="13" t="s">
        <v>0</v>
      </c>
      <c r="Y553" s="13" t="s">
        <v>10</v>
      </c>
      <c r="Z553" s="13" t="s">
        <v>0</v>
      </c>
      <c r="AA553" s="14"/>
      <c r="AB553" s="13" t="s">
        <v>0</v>
      </c>
      <c r="AC553" s="13" t="s">
        <v>0</v>
      </c>
      <c r="AD553" s="13" t="s">
        <v>0</v>
      </c>
      <c r="AE553" s="15">
        <v>0</v>
      </c>
    </row>
    <row r="554" spans="1:31" ht="14.15" customHeight="1" x14ac:dyDescent="0.25">
      <c r="A554" s="12" t="s">
        <v>0</v>
      </c>
      <c r="B554" s="13" t="s">
        <v>1</v>
      </c>
      <c r="C554" s="13" t="s">
        <v>3882</v>
      </c>
      <c r="D554" s="14">
        <v>44352</v>
      </c>
      <c r="E554" s="14">
        <v>44352</v>
      </c>
      <c r="F554" s="14">
        <v>44364</v>
      </c>
      <c r="G554" s="13" t="s">
        <v>3</v>
      </c>
      <c r="H554" s="13" t="s">
        <v>4</v>
      </c>
      <c r="I554" s="15">
        <v>-32002.05</v>
      </c>
      <c r="J554" s="13" t="s">
        <v>5</v>
      </c>
      <c r="K554" s="13" t="s">
        <v>6</v>
      </c>
      <c r="L554" s="15">
        <v>-2686572.1</v>
      </c>
      <c r="M554" s="15">
        <v>-32002.05</v>
      </c>
      <c r="N554" s="16" t="str">
        <f>IF(M554="","",IF(M554&lt;0,-M554&amp;"_"&amp;COUNTIF(M$2:M554,M554),M554&amp;"_"&amp;COUNTIF(M$2:M554,M554)))</f>
        <v>32002.05_1</v>
      </c>
      <c r="O554" s="17" t="str">
        <f t="shared" si="8"/>
        <v/>
      </c>
      <c r="P554" s="13" t="s">
        <v>3883</v>
      </c>
      <c r="Q554" s="13" t="s">
        <v>3873</v>
      </c>
      <c r="R554" s="13" t="s">
        <v>0</v>
      </c>
      <c r="S554" s="13" t="s">
        <v>0</v>
      </c>
      <c r="T554" s="13" t="s">
        <v>9</v>
      </c>
      <c r="U554" s="13" t="s">
        <v>0</v>
      </c>
      <c r="V554" s="13" t="s">
        <v>0</v>
      </c>
      <c r="W554" s="13" t="s">
        <v>0</v>
      </c>
      <c r="X554" s="13" t="s">
        <v>0</v>
      </c>
      <c r="Y554" s="13" t="s">
        <v>10</v>
      </c>
      <c r="Z554" s="13" t="s">
        <v>0</v>
      </c>
      <c r="AA554" s="14"/>
      <c r="AB554" s="13" t="s">
        <v>0</v>
      </c>
      <c r="AC554" s="13" t="s">
        <v>0</v>
      </c>
      <c r="AD554" s="13" t="s">
        <v>0</v>
      </c>
      <c r="AE554" s="15">
        <v>0</v>
      </c>
    </row>
    <row r="555" spans="1:31" ht="14.15" customHeight="1" x14ac:dyDescent="0.25">
      <c r="A555" s="12" t="s">
        <v>0</v>
      </c>
      <c r="B555" s="13" t="s">
        <v>1</v>
      </c>
      <c r="C555" s="13" t="s">
        <v>2543</v>
      </c>
      <c r="D555" s="14">
        <v>44238</v>
      </c>
      <c r="E555" s="14">
        <v>44238</v>
      </c>
      <c r="F555" s="14">
        <v>44243</v>
      </c>
      <c r="G555" s="13" t="s">
        <v>3</v>
      </c>
      <c r="H555" s="13" t="s">
        <v>4</v>
      </c>
      <c r="I555" s="15">
        <v>-31832.75</v>
      </c>
      <c r="J555" s="13" t="s">
        <v>5</v>
      </c>
      <c r="K555" s="13" t="s">
        <v>6</v>
      </c>
      <c r="L555" s="15">
        <v>-2672359.36</v>
      </c>
      <c r="M555" s="15">
        <v>-31832.75</v>
      </c>
      <c r="N555" s="16" t="str">
        <f>IF(M555="","",IF(M555&lt;0,-M555&amp;"_"&amp;COUNTIF(M$2:M555,M555),M555&amp;"_"&amp;COUNTIF(M$2:M555,M555)))</f>
        <v>31832.75_1</v>
      </c>
      <c r="O555" s="17" t="str">
        <f t="shared" si="8"/>
        <v/>
      </c>
      <c r="P555" s="13" t="s">
        <v>2544</v>
      </c>
      <c r="Q555" s="13" t="s">
        <v>2528</v>
      </c>
      <c r="R555" s="13" t="s">
        <v>0</v>
      </c>
      <c r="S555" s="13" t="s">
        <v>0</v>
      </c>
      <c r="T555" s="13" t="s">
        <v>9</v>
      </c>
      <c r="U555" s="13" t="s">
        <v>0</v>
      </c>
      <c r="V555" s="13" t="s">
        <v>0</v>
      </c>
      <c r="W555" s="13" t="s">
        <v>0</v>
      </c>
      <c r="X555" s="13" t="s">
        <v>0</v>
      </c>
      <c r="Y555" s="13" t="s">
        <v>10</v>
      </c>
      <c r="Z555" s="13" t="s">
        <v>0</v>
      </c>
      <c r="AA555" s="14"/>
      <c r="AB555" s="13" t="s">
        <v>0</v>
      </c>
      <c r="AC555" s="13" t="s">
        <v>0</v>
      </c>
      <c r="AD555" s="13" t="s">
        <v>0</v>
      </c>
      <c r="AE555" s="15">
        <v>0</v>
      </c>
    </row>
    <row r="556" spans="1:31" ht="14.15" customHeight="1" x14ac:dyDescent="0.25">
      <c r="A556" s="12" t="s">
        <v>0</v>
      </c>
      <c r="B556" s="13" t="s">
        <v>1</v>
      </c>
      <c r="C556" s="13" t="s">
        <v>4031</v>
      </c>
      <c r="D556" s="14">
        <v>44358</v>
      </c>
      <c r="E556" s="14">
        <v>44358</v>
      </c>
      <c r="F556" s="14">
        <v>44364</v>
      </c>
      <c r="G556" s="13" t="s">
        <v>3</v>
      </c>
      <c r="H556" s="13" t="s">
        <v>4</v>
      </c>
      <c r="I556" s="15">
        <v>-31768.13</v>
      </c>
      <c r="J556" s="13" t="s">
        <v>5</v>
      </c>
      <c r="K556" s="13" t="s">
        <v>6</v>
      </c>
      <c r="L556" s="15">
        <v>-2666934.5099999998</v>
      </c>
      <c r="M556" s="15">
        <v>-31768.13</v>
      </c>
      <c r="N556" s="16" t="str">
        <f>IF(M556="","",IF(M556&lt;0,-M556&amp;"_"&amp;COUNTIF(M$2:M556,M556),M556&amp;"_"&amp;COUNTIF(M$2:M556,M556)))</f>
        <v>31768.13_1</v>
      </c>
      <c r="O556" s="17" t="str">
        <f t="shared" si="8"/>
        <v/>
      </c>
      <c r="P556" s="13" t="s">
        <v>4032</v>
      </c>
      <c r="Q556" s="13" t="s">
        <v>4006</v>
      </c>
      <c r="R556" s="13" t="s">
        <v>0</v>
      </c>
      <c r="S556" s="13" t="s">
        <v>0</v>
      </c>
      <c r="T556" s="13" t="s">
        <v>9</v>
      </c>
      <c r="U556" s="13" t="s">
        <v>0</v>
      </c>
      <c r="V556" s="13" t="s">
        <v>0</v>
      </c>
      <c r="W556" s="13" t="s">
        <v>0</v>
      </c>
      <c r="X556" s="13" t="s">
        <v>0</v>
      </c>
      <c r="Y556" s="13" t="s">
        <v>10</v>
      </c>
      <c r="Z556" s="13" t="s">
        <v>0</v>
      </c>
      <c r="AA556" s="14"/>
      <c r="AB556" s="13" t="s">
        <v>0</v>
      </c>
      <c r="AC556" s="13" t="s">
        <v>0</v>
      </c>
      <c r="AD556" s="13" t="s">
        <v>0</v>
      </c>
      <c r="AE556" s="15">
        <v>0</v>
      </c>
    </row>
    <row r="557" spans="1:31" ht="14.15" customHeight="1" x14ac:dyDescent="0.25">
      <c r="A557" s="12" t="s">
        <v>0</v>
      </c>
      <c r="B557" s="13" t="s">
        <v>1</v>
      </c>
      <c r="C557" s="13" t="s">
        <v>2287</v>
      </c>
      <c r="D557" s="14">
        <v>44219</v>
      </c>
      <c r="E557" s="14">
        <v>44219</v>
      </c>
      <c r="F557" s="14">
        <v>44226</v>
      </c>
      <c r="G557" s="13" t="s">
        <v>3</v>
      </c>
      <c r="H557" s="13" t="s">
        <v>4</v>
      </c>
      <c r="I557" s="15">
        <v>-31740.959999999999</v>
      </c>
      <c r="J557" s="13" t="s">
        <v>5</v>
      </c>
      <c r="K557" s="13" t="s">
        <v>6</v>
      </c>
      <c r="L557" s="15">
        <v>-2664653.59</v>
      </c>
      <c r="M557" s="15">
        <v>-31740.959999999999</v>
      </c>
      <c r="N557" s="16" t="str">
        <f>IF(M557="","",IF(M557&lt;0,-M557&amp;"_"&amp;COUNTIF(M$2:M557,M557),M557&amp;"_"&amp;COUNTIF(M$2:M557,M557)))</f>
        <v>31740.96_1</v>
      </c>
      <c r="O557" s="17" t="str">
        <f t="shared" si="8"/>
        <v/>
      </c>
      <c r="P557" s="13" t="s">
        <v>2288</v>
      </c>
      <c r="Q557" s="13" t="s">
        <v>2282</v>
      </c>
      <c r="R557" s="13" t="s">
        <v>0</v>
      </c>
      <c r="S557" s="13" t="s">
        <v>0</v>
      </c>
      <c r="T557" s="13" t="s">
        <v>9</v>
      </c>
      <c r="U557" s="13" t="s">
        <v>0</v>
      </c>
      <c r="V557" s="13" t="s">
        <v>0</v>
      </c>
      <c r="W557" s="13" t="s">
        <v>0</v>
      </c>
      <c r="X557" s="13" t="s">
        <v>0</v>
      </c>
      <c r="Y557" s="13" t="s">
        <v>10</v>
      </c>
      <c r="Z557" s="13" t="s">
        <v>0</v>
      </c>
      <c r="AA557" s="14"/>
      <c r="AB557" s="13" t="s">
        <v>0</v>
      </c>
      <c r="AC557" s="13" t="s">
        <v>0</v>
      </c>
      <c r="AD557" s="13" t="s">
        <v>0</v>
      </c>
      <c r="AE557" s="15">
        <v>0</v>
      </c>
    </row>
    <row r="558" spans="1:31" ht="14.15" customHeight="1" x14ac:dyDescent="0.25">
      <c r="A558" s="12" t="s">
        <v>0</v>
      </c>
      <c r="B558" s="13" t="s">
        <v>1</v>
      </c>
      <c r="C558" s="13" t="s">
        <v>1773</v>
      </c>
      <c r="D558" s="14">
        <v>44181</v>
      </c>
      <c r="E558" s="14">
        <v>44181</v>
      </c>
      <c r="F558" s="14">
        <v>44187</v>
      </c>
      <c r="G558" s="13" t="s">
        <v>3</v>
      </c>
      <c r="H558" s="13" t="s">
        <v>4</v>
      </c>
      <c r="I558" s="15">
        <v>-31688.82</v>
      </c>
      <c r="J558" s="13" t="s">
        <v>5</v>
      </c>
      <c r="K558" s="13" t="s">
        <v>6</v>
      </c>
      <c r="L558" s="15">
        <v>-2660276.44</v>
      </c>
      <c r="M558" s="15">
        <v>-31688.82</v>
      </c>
      <c r="N558" s="16" t="str">
        <f>IF(M558="","",IF(M558&lt;0,-M558&amp;"_"&amp;COUNTIF(M$2:M558,M558),M558&amp;"_"&amp;COUNTIF(M$2:M558,M558)))</f>
        <v>31688.82_1</v>
      </c>
      <c r="O558" s="17" t="str">
        <f t="shared" si="8"/>
        <v/>
      </c>
      <c r="P558" s="13" t="s">
        <v>1774</v>
      </c>
      <c r="Q558" s="13" t="s">
        <v>1766</v>
      </c>
      <c r="R558" s="13" t="s">
        <v>0</v>
      </c>
      <c r="S558" s="13" t="s">
        <v>0</v>
      </c>
      <c r="T558" s="13" t="s">
        <v>9</v>
      </c>
      <c r="U558" s="13" t="s">
        <v>0</v>
      </c>
      <c r="V558" s="13" t="s">
        <v>0</v>
      </c>
      <c r="W558" s="13" t="s">
        <v>0</v>
      </c>
      <c r="X558" s="13" t="s">
        <v>0</v>
      </c>
      <c r="Y558" s="13" t="s">
        <v>10</v>
      </c>
      <c r="Z558" s="13" t="s">
        <v>0</v>
      </c>
      <c r="AA558" s="14"/>
      <c r="AB558" s="13" t="s">
        <v>0</v>
      </c>
      <c r="AC558" s="13" t="s">
        <v>0</v>
      </c>
      <c r="AD558" s="13" t="s">
        <v>0</v>
      </c>
      <c r="AE558" s="15">
        <v>0</v>
      </c>
    </row>
    <row r="559" spans="1:31" ht="14.15" customHeight="1" x14ac:dyDescent="0.25">
      <c r="A559" s="12" t="s">
        <v>0</v>
      </c>
      <c r="B559" s="13" t="s">
        <v>1</v>
      </c>
      <c r="C559" s="13" t="s">
        <v>1445</v>
      </c>
      <c r="D559" s="14">
        <v>44158</v>
      </c>
      <c r="E559" s="14">
        <v>44158</v>
      </c>
      <c r="F559" s="14">
        <v>44161</v>
      </c>
      <c r="G559" s="13" t="s">
        <v>3</v>
      </c>
      <c r="H559" s="13" t="s">
        <v>4</v>
      </c>
      <c r="I559" s="15">
        <v>-31599.49</v>
      </c>
      <c r="J559" s="13" t="s">
        <v>5</v>
      </c>
      <c r="K559" s="13" t="s">
        <v>6</v>
      </c>
      <c r="L559" s="15">
        <v>-2652777.19</v>
      </c>
      <c r="M559" s="15">
        <v>-31599.49</v>
      </c>
      <c r="N559" s="16" t="str">
        <f>IF(M559="","",IF(M559&lt;0,-M559&amp;"_"&amp;COUNTIF(M$2:M559,M559),M559&amp;"_"&amp;COUNTIF(M$2:M559,M559)))</f>
        <v>31599.49_1</v>
      </c>
      <c r="O559" s="17" t="str">
        <f t="shared" si="8"/>
        <v/>
      </c>
      <c r="P559" s="13" t="s">
        <v>1446</v>
      </c>
      <c r="Q559" s="13" t="s">
        <v>1444</v>
      </c>
      <c r="R559" s="13" t="s">
        <v>0</v>
      </c>
      <c r="S559" s="13" t="s">
        <v>0</v>
      </c>
      <c r="T559" s="13" t="s">
        <v>9</v>
      </c>
      <c r="U559" s="13" t="s">
        <v>0</v>
      </c>
      <c r="V559" s="13" t="s">
        <v>0</v>
      </c>
      <c r="W559" s="13" t="s">
        <v>0</v>
      </c>
      <c r="X559" s="13" t="s">
        <v>0</v>
      </c>
      <c r="Y559" s="13" t="s">
        <v>10</v>
      </c>
      <c r="Z559" s="13" t="s">
        <v>0</v>
      </c>
      <c r="AA559" s="14"/>
      <c r="AB559" s="13" t="s">
        <v>0</v>
      </c>
      <c r="AC559" s="13" t="s">
        <v>0</v>
      </c>
      <c r="AD559" s="13" t="s">
        <v>0</v>
      </c>
      <c r="AE559" s="15">
        <v>0</v>
      </c>
    </row>
    <row r="560" spans="1:31" ht="14.15" customHeight="1" x14ac:dyDescent="0.25">
      <c r="A560" s="12" t="s">
        <v>0</v>
      </c>
      <c r="B560" s="13" t="s">
        <v>1</v>
      </c>
      <c r="C560" s="13" t="s">
        <v>975</v>
      </c>
      <c r="D560" s="14">
        <v>44125</v>
      </c>
      <c r="E560" s="14">
        <v>44125</v>
      </c>
      <c r="F560" s="14">
        <v>44130</v>
      </c>
      <c r="G560" s="13" t="s">
        <v>3</v>
      </c>
      <c r="H560" s="13" t="s">
        <v>4</v>
      </c>
      <c r="I560" s="15">
        <v>-31583.13</v>
      </c>
      <c r="J560" s="13" t="s">
        <v>5</v>
      </c>
      <c r="K560" s="13" t="s">
        <v>6</v>
      </c>
      <c r="L560" s="15">
        <v>-2651403.77</v>
      </c>
      <c r="M560" s="15">
        <v>-31583.13</v>
      </c>
      <c r="N560" s="16" t="str">
        <f>IF(M560="","",IF(M560&lt;0,-M560&amp;"_"&amp;COUNTIF(M$2:M560,M560),M560&amp;"_"&amp;COUNTIF(M$2:M560,M560)))</f>
        <v>31583.13_1</v>
      </c>
      <c r="O560" s="17" t="str">
        <f t="shared" si="8"/>
        <v/>
      </c>
      <c r="P560" s="13" t="s">
        <v>976</v>
      </c>
      <c r="Q560" s="13" t="s">
        <v>977</v>
      </c>
      <c r="R560" s="13" t="s">
        <v>0</v>
      </c>
      <c r="S560" s="13" t="s">
        <v>0</v>
      </c>
      <c r="T560" s="13" t="s">
        <v>9</v>
      </c>
      <c r="U560" s="13" t="s">
        <v>0</v>
      </c>
      <c r="V560" s="13" t="s">
        <v>0</v>
      </c>
      <c r="W560" s="13" t="s">
        <v>0</v>
      </c>
      <c r="X560" s="13" t="s">
        <v>0</v>
      </c>
      <c r="Y560" s="13" t="s">
        <v>10</v>
      </c>
      <c r="Z560" s="13" t="s">
        <v>0</v>
      </c>
      <c r="AA560" s="14"/>
      <c r="AB560" s="13" t="s">
        <v>0</v>
      </c>
      <c r="AC560" s="13" t="s">
        <v>0</v>
      </c>
      <c r="AD560" s="13" t="s">
        <v>0</v>
      </c>
      <c r="AE560" s="15">
        <v>0</v>
      </c>
    </row>
    <row r="561" spans="1:31" ht="14.15" customHeight="1" x14ac:dyDescent="0.25">
      <c r="A561" s="12" t="s">
        <v>0</v>
      </c>
      <c r="B561" s="13" t="s">
        <v>1</v>
      </c>
      <c r="C561" s="13" t="s">
        <v>2929</v>
      </c>
      <c r="D561" s="14">
        <v>44276</v>
      </c>
      <c r="E561" s="14">
        <v>44276</v>
      </c>
      <c r="F561" s="14">
        <v>44283</v>
      </c>
      <c r="G561" s="13" t="s">
        <v>3</v>
      </c>
      <c r="H561" s="13" t="s">
        <v>4</v>
      </c>
      <c r="I561" s="15">
        <v>-31558.65</v>
      </c>
      <c r="J561" s="13" t="s">
        <v>5</v>
      </c>
      <c r="K561" s="13" t="s">
        <v>6</v>
      </c>
      <c r="L561" s="15">
        <v>-2649348.67</v>
      </c>
      <c r="M561" s="15">
        <v>-31558.65</v>
      </c>
      <c r="N561" s="16" t="str">
        <f>IF(M561="","",IF(M561&lt;0,-M561&amp;"_"&amp;COUNTIF(M$2:M561,M561),M561&amp;"_"&amp;COUNTIF(M$2:M561,M561)))</f>
        <v>31558.65_1</v>
      </c>
      <c r="O561" s="17" t="str">
        <f t="shared" si="8"/>
        <v/>
      </c>
      <c r="P561" s="13" t="s">
        <v>2930</v>
      </c>
      <c r="Q561" s="13" t="s">
        <v>2922</v>
      </c>
      <c r="R561" s="13" t="s">
        <v>0</v>
      </c>
      <c r="S561" s="13" t="s">
        <v>0</v>
      </c>
      <c r="T561" s="13" t="s">
        <v>9</v>
      </c>
      <c r="U561" s="13" t="s">
        <v>0</v>
      </c>
      <c r="V561" s="13" t="s">
        <v>0</v>
      </c>
      <c r="W561" s="13" t="s">
        <v>0</v>
      </c>
      <c r="X561" s="13" t="s">
        <v>0</v>
      </c>
      <c r="Y561" s="13" t="s">
        <v>10</v>
      </c>
      <c r="Z561" s="13" t="s">
        <v>0</v>
      </c>
      <c r="AA561" s="14"/>
      <c r="AB561" s="13" t="s">
        <v>0</v>
      </c>
      <c r="AC561" s="13" t="s">
        <v>0</v>
      </c>
      <c r="AD561" s="13" t="s">
        <v>0</v>
      </c>
      <c r="AE561" s="15">
        <v>0</v>
      </c>
    </row>
    <row r="562" spans="1:31" ht="14.15" customHeight="1" x14ac:dyDescent="0.25">
      <c r="A562" s="12" t="s">
        <v>0</v>
      </c>
      <c r="B562" s="13" t="s">
        <v>1</v>
      </c>
      <c r="C562" s="13" t="s">
        <v>3103</v>
      </c>
      <c r="D562" s="14">
        <v>44287</v>
      </c>
      <c r="E562" s="14">
        <v>44287</v>
      </c>
      <c r="F562" s="14">
        <v>44294</v>
      </c>
      <c r="G562" s="13" t="s">
        <v>3</v>
      </c>
      <c r="H562" s="13" t="s">
        <v>4</v>
      </c>
      <c r="I562" s="15">
        <v>-31556.75</v>
      </c>
      <c r="J562" s="13" t="s">
        <v>5</v>
      </c>
      <c r="K562" s="13" t="s">
        <v>6</v>
      </c>
      <c r="L562" s="15">
        <v>-2649189.17</v>
      </c>
      <c r="M562" s="15">
        <v>-31556.75</v>
      </c>
      <c r="N562" s="16" t="str">
        <f>IF(M562="","",IF(M562&lt;0,-M562&amp;"_"&amp;COUNTIF(M$2:M562,M562),M562&amp;"_"&amp;COUNTIF(M$2:M562,M562)))</f>
        <v>31556.75_1</v>
      </c>
      <c r="O562" s="17" t="str">
        <f t="shared" si="8"/>
        <v/>
      </c>
      <c r="P562" s="13" t="s">
        <v>3104</v>
      </c>
      <c r="Q562" s="13" t="s">
        <v>3102</v>
      </c>
      <c r="R562" s="13" t="s">
        <v>0</v>
      </c>
      <c r="S562" s="13" t="s">
        <v>0</v>
      </c>
      <c r="T562" s="13" t="s">
        <v>9</v>
      </c>
      <c r="U562" s="13" t="s">
        <v>0</v>
      </c>
      <c r="V562" s="13" t="s">
        <v>0</v>
      </c>
      <c r="W562" s="13" t="s">
        <v>0</v>
      </c>
      <c r="X562" s="13" t="s">
        <v>0</v>
      </c>
      <c r="Y562" s="13" t="s">
        <v>10</v>
      </c>
      <c r="Z562" s="13" t="s">
        <v>0</v>
      </c>
      <c r="AA562" s="14"/>
      <c r="AB562" s="13" t="s">
        <v>0</v>
      </c>
      <c r="AC562" s="13" t="s">
        <v>0</v>
      </c>
      <c r="AD562" s="13" t="s">
        <v>0</v>
      </c>
      <c r="AE562" s="15">
        <v>0</v>
      </c>
    </row>
    <row r="563" spans="1:31" ht="14.15" customHeight="1" x14ac:dyDescent="0.25">
      <c r="A563" s="12" t="s">
        <v>0</v>
      </c>
      <c r="B563" s="13" t="s">
        <v>1</v>
      </c>
      <c r="C563" s="13" t="s">
        <v>4375</v>
      </c>
      <c r="D563" s="14">
        <v>44376</v>
      </c>
      <c r="E563" s="14">
        <v>44376</v>
      </c>
      <c r="F563" s="14">
        <v>44384</v>
      </c>
      <c r="G563" s="13" t="s">
        <v>3</v>
      </c>
      <c r="H563" s="13" t="s">
        <v>4</v>
      </c>
      <c r="I563" s="15">
        <v>-31552.06</v>
      </c>
      <c r="J563" s="13" t="s">
        <v>5</v>
      </c>
      <c r="K563" s="13" t="s">
        <v>6</v>
      </c>
      <c r="L563" s="15">
        <v>-2648795.44</v>
      </c>
      <c r="M563" s="15">
        <v>-31552.06</v>
      </c>
      <c r="N563" s="16" t="str">
        <f>IF(M563="","",IF(M563&lt;0,-M563&amp;"_"&amp;COUNTIF(M$2:M563,M563),M563&amp;"_"&amp;COUNTIF(M$2:M563,M563)))</f>
        <v>31552.06_1</v>
      </c>
      <c r="O563" s="17" t="str">
        <f t="shared" si="8"/>
        <v/>
      </c>
      <c r="P563" s="13" t="s">
        <v>4376</v>
      </c>
      <c r="Q563" s="13" t="s">
        <v>4350</v>
      </c>
      <c r="R563" s="13" t="s">
        <v>0</v>
      </c>
      <c r="S563" s="13" t="s">
        <v>0</v>
      </c>
      <c r="T563" s="13" t="s">
        <v>9</v>
      </c>
      <c r="U563" s="13" t="s">
        <v>0</v>
      </c>
      <c r="V563" s="13" t="s">
        <v>0</v>
      </c>
      <c r="W563" s="13" t="s">
        <v>0</v>
      </c>
      <c r="X563" s="13" t="s">
        <v>0</v>
      </c>
      <c r="Y563" s="13" t="s">
        <v>10</v>
      </c>
      <c r="Z563" s="13" t="s">
        <v>0</v>
      </c>
      <c r="AA563" s="14"/>
      <c r="AB563" s="13" t="s">
        <v>0</v>
      </c>
      <c r="AC563" s="13" t="s">
        <v>0</v>
      </c>
      <c r="AD563" s="13" t="s">
        <v>0</v>
      </c>
      <c r="AE563" s="15">
        <v>0</v>
      </c>
    </row>
    <row r="564" spans="1:31" ht="14.15" customHeight="1" x14ac:dyDescent="0.25">
      <c r="A564" s="12" t="s">
        <v>0</v>
      </c>
      <c r="B564" s="13" t="s">
        <v>1</v>
      </c>
      <c r="C564" s="13" t="s">
        <v>3112</v>
      </c>
      <c r="D564" s="14">
        <v>44288</v>
      </c>
      <c r="E564" s="14">
        <v>44288</v>
      </c>
      <c r="F564" s="14">
        <v>44294</v>
      </c>
      <c r="G564" s="13" t="s">
        <v>3</v>
      </c>
      <c r="H564" s="13" t="s">
        <v>4</v>
      </c>
      <c r="I564" s="15">
        <v>-31539.45</v>
      </c>
      <c r="J564" s="13" t="s">
        <v>5</v>
      </c>
      <c r="K564" s="13" t="s">
        <v>6</v>
      </c>
      <c r="L564" s="15">
        <v>-2647736.83</v>
      </c>
      <c r="M564" s="15">
        <v>-31539.45</v>
      </c>
      <c r="N564" s="16" t="str">
        <f>IF(M564="","",IF(M564&lt;0,-M564&amp;"_"&amp;COUNTIF(M$2:M564,M564),M564&amp;"_"&amp;COUNTIF(M$2:M564,M564)))</f>
        <v>31539.45_1</v>
      </c>
      <c r="O564" s="17" t="str">
        <f t="shared" si="8"/>
        <v/>
      </c>
      <c r="P564" s="13" t="s">
        <v>3113</v>
      </c>
      <c r="Q564" s="13" t="s">
        <v>3114</v>
      </c>
      <c r="R564" s="13" t="s">
        <v>0</v>
      </c>
      <c r="S564" s="13" t="s">
        <v>0</v>
      </c>
      <c r="T564" s="13" t="s">
        <v>9</v>
      </c>
      <c r="U564" s="13" t="s">
        <v>0</v>
      </c>
      <c r="V564" s="13" t="s">
        <v>0</v>
      </c>
      <c r="W564" s="13" t="s">
        <v>0</v>
      </c>
      <c r="X564" s="13" t="s">
        <v>0</v>
      </c>
      <c r="Y564" s="13" t="s">
        <v>10</v>
      </c>
      <c r="Z564" s="13" t="s">
        <v>0</v>
      </c>
      <c r="AA564" s="14"/>
      <c r="AB564" s="13" t="s">
        <v>0</v>
      </c>
      <c r="AC564" s="13" t="s">
        <v>0</v>
      </c>
      <c r="AD564" s="13" t="s">
        <v>0</v>
      </c>
      <c r="AE564" s="15">
        <v>0</v>
      </c>
    </row>
    <row r="565" spans="1:31" ht="14.15" customHeight="1" x14ac:dyDescent="0.25">
      <c r="A565" s="12" t="s">
        <v>0</v>
      </c>
      <c r="B565" s="13" t="s">
        <v>1</v>
      </c>
      <c r="C565" s="13" t="s">
        <v>1262</v>
      </c>
      <c r="D565" s="14">
        <v>44143</v>
      </c>
      <c r="E565" s="14">
        <v>44143</v>
      </c>
      <c r="F565" s="14">
        <v>44149</v>
      </c>
      <c r="G565" s="13" t="s">
        <v>3</v>
      </c>
      <c r="H565" s="13" t="s">
        <v>4</v>
      </c>
      <c r="I565" s="15">
        <v>-31513.66</v>
      </c>
      <c r="J565" s="13" t="s">
        <v>5</v>
      </c>
      <c r="K565" s="13" t="s">
        <v>6</v>
      </c>
      <c r="L565" s="15">
        <v>-2645571.7599999998</v>
      </c>
      <c r="M565" s="15">
        <v>-31513.66</v>
      </c>
      <c r="N565" s="16" t="str">
        <f>IF(M565="","",IF(M565&lt;0,-M565&amp;"_"&amp;COUNTIF(M$2:M565,M565),M565&amp;"_"&amp;COUNTIF(M$2:M565,M565)))</f>
        <v>31513.66_1</v>
      </c>
      <c r="O565" s="17" t="str">
        <f t="shared" si="8"/>
        <v/>
      </c>
      <c r="P565" s="13" t="s">
        <v>1263</v>
      </c>
      <c r="Q565" s="13" t="s">
        <v>1245</v>
      </c>
      <c r="R565" s="13" t="s">
        <v>0</v>
      </c>
      <c r="S565" s="13" t="s">
        <v>0</v>
      </c>
      <c r="T565" s="13" t="s">
        <v>9</v>
      </c>
      <c r="U565" s="13" t="s">
        <v>0</v>
      </c>
      <c r="V565" s="13" t="s">
        <v>0</v>
      </c>
      <c r="W565" s="13" t="s">
        <v>0</v>
      </c>
      <c r="X565" s="13" t="s">
        <v>0</v>
      </c>
      <c r="Y565" s="13" t="s">
        <v>10</v>
      </c>
      <c r="Z565" s="13" t="s">
        <v>0</v>
      </c>
      <c r="AA565" s="14"/>
      <c r="AB565" s="13" t="s">
        <v>0</v>
      </c>
      <c r="AC565" s="13" t="s">
        <v>0</v>
      </c>
      <c r="AD565" s="13" t="s">
        <v>0</v>
      </c>
      <c r="AE565" s="15">
        <v>0</v>
      </c>
    </row>
    <row r="566" spans="1:31" ht="14.15" customHeight="1" x14ac:dyDescent="0.25">
      <c r="A566" s="12" t="s">
        <v>0</v>
      </c>
      <c r="B566" s="13" t="s">
        <v>1</v>
      </c>
      <c r="C566" s="13" t="s">
        <v>4185</v>
      </c>
      <c r="D566" s="14">
        <v>44364</v>
      </c>
      <c r="E566" s="14">
        <v>44364</v>
      </c>
      <c r="F566" s="14">
        <v>44370</v>
      </c>
      <c r="G566" s="13" t="s">
        <v>3</v>
      </c>
      <c r="H566" s="13" t="s">
        <v>4</v>
      </c>
      <c r="I566" s="15">
        <v>-31440.959999999999</v>
      </c>
      <c r="J566" s="13" t="s">
        <v>5</v>
      </c>
      <c r="K566" s="13" t="s">
        <v>6</v>
      </c>
      <c r="L566" s="15">
        <v>-2639468.59</v>
      </c>
      <c r="M566" s="15">
        <v>-31440.959999999999</v>
      </c>
      <c r="N566" s="16" t="str">
        <f>IF(M566="","",IF(M566&lt;0,-M566&amp;"_"&amp;COUNTIF(M$2:M566,M566),M566&amp;"_"&amp;COUNTIF(M$2:M566,M566)))</f>
        <v>31440.96_1</v>
      </c>
      <c r="O566" s="17" t="str">
        <f t="shared" si="8"/>
        <v/>
      </c>
      <c r="P566" s="13" t="s">
        <v>4186</v>
      </c>
      <c r="Q566" s="13" t="s">
        <v>4180</v>
      </c>
      <c r="R566" s="13" t="s">
        <v>0</v>
      </c>
      <c r="S566" s="13" t="s">
        <v>0</v>
      </c>
      <c r="T566" s="13" t="s">
        <v>9</v>
      </c>
      <c r="U566" s="13" t="s">
        <v>0</v>
      </c>
      <c r="V566" s="13" t="s">
        <v>0</v>
      </c>
      <c r="W566" s="13" t="s">
        <v>0</v>
      </c>
      <c r="X566" s="13" t="s">
        <v>0</v>
      </c>
      <c r="Y566" s="13" t="s">
        <v>10</v>
      </c>
      <c r="Z566" s="13" t="s">
        <v>0</v>
      </c>
      <c r="AA566" s="14"/>
      <c r="AB566" s="13" t="s">
        <v>0</v>
      </c>
      <c r="AC566" s="13" t="s">
        <v>0</v>
      </c>
      <c r="AD566" s="13" t="s">
        <v>0</v>
      </c>
      <c r="AE566" s="15">
        <v>0</v>
      </c>
    </row>
    <row r="567" spans="1:31" ht="14.15" customHeight="1" x14ac:dyDescent="0.25">
      <c r="A567" s="12" t="s">
        <v>0</v>
      </c>
      <c r="B567" s="13" t="s">
        <v>1</v>
      </c>
      <c r="C567" s="13" t="s">
        <v>1007</v>
      </c>
      <c r="D567" s="14">
        <v>44126</v>
      </c>
      <c r="E567" s="14">
        <v>44126</v>
      </c>
      <c r="F567" s="14">
        <v>44138</v>
      </c>
      <c r="G567" s="13" t="s">
        <v>3</v>
      </c>
      <c r="H567" s="13" t="s">
        <v>4</v>
      </c>
      <c r="I567" s="15">
        <v>-31392.22</v>
      </c>
      <c r="J567" s="13" t="s">
        <v>5</v>
      </c>
      <c r="K567" s="13" t="s">
        <v>6</v>
      </c>
      <c r="L567" s="15">
        <v>-2635376.87</v>
      </c>
      <c r="M567" s="15">
        <v>-31392.22</v>
      </c>
      <c r="N567" s="16" t="str">
        <f>IF(M567="","",IF(M567&lt;0,-M567&amp;"_"&amp;COUNTIF(M$2:M567,M567),M567&amp;"_"&amp;COUNTIF(M$2:M567,M567)))</f>
        <v>31392.22_1</v>
      </c>
      <c r="O567" s="17" t="str">
        <f t="shared" si="8"/>
        <v/>
      </c>
      <c r="P567" s="13" t="s">
        <v>1008</v>
      </c>
      <c r="Q567" s="13" t="s">
        <v>992</v>
      </c>
      <c r="R567" s="13" t="s">
        <v>0</v>
      </c>
      <c r="S567" s="13" t="s">
        <v>0</v>
      </c>
      <c r="T567" s="13" t="s">
        <v>9</v>
      </c>
      <c r="U567" s="13" t="s">
        <v>0</v>
      </c>
      <c r="V567" s="13" t="s">
        <v>0</v>
      </c>
      <c r="W567" s="13" t="s">
        <v>0</v>
      </c>
      <c r="X567" s="13" t="s">
        <v>0</v>
      </c>
      <c r="Y567" s="13" t="s">
        <v>10</v>
      </c>
      <c r="Z567" s="13" t="s">
        <v>0</v>
      </c>
      <c r="AA567" s="14"/>
      <c r="AB567" s="13" t="s">
        <v>0</v>
      </c>
      <c r="AC567" s="13" t="s">
        <v>0</v>
      </c>
      <c r="AD567" s="13" t="s">
        <v>0</v>
      </c>
      <c r="AE567" s="15">
        <v>0</v>
      </c>
    </row>
    <row r="568" spans="1:31" ht="14.15" customHeight="1" x14ac:dyDescent="0.25">
      <c r="A568" s="12" t="s">
        <v>0</v>
      </c>
      <c r="B568" s="13" t="s">
        <v>1</v>
      </c>
      <c r="C568" s="13" t="s">
        <v>1056</v>
      </c>
      <c r="D568" s="14">
        <v>44131</v>
      </c>
      <c r="E568" s="14">
        <v>44131</v>
      </c>
      <c r="F568" s="14">
        <v>44142</v>
      </c>
      <c r="G568" s="13" t="s">
        <v>3</v>
      </c>
      <c r="H568" s="13" t="s">
        <v>4</v>
      </c>
      <c r="I568" s="15">
        <v>-31392.22</v>
      </c>
      <c r="J568" s="13" t="s">
        <v>5</v>
      </c>
      <c r="K568" s="13" t="s">
        <v>6</v>
      </c>
      <c r="L568" s="15">
        <v>-2635376.87</v>
      </c>
      <c r="M568" s="15">
        <v>-31392.22</v>
      </c>
      <c r="N568" s="16" t="str">
        <f>IF(M568="","",IF(M568&lt;0,-M568&amp;"_"&amp;COUNTIF(M$2:M568,M568),M568&amp;"_"&amp;COUNTIF(M$2:M568,M568)))</f>
        <v>31392.22_2</v>
      </c>
      <c r="O568" s="17" t="str">
        <f t="shared" si="8"/>
        <v/>
      </c>
      <c r="P568" s="13" t="s">
        <v>1057</v>
      </c>
      <c r="Q568" s="13" t="s">
        <v>1041</v>
      </c>
      <c r="R568" s="13" t="s">
        <v>0</v>
      </c>
      <c r="S568" s="13" t="s">
        <v>0</v>
      </c>
      <c r="T568" s="13" t="s">
        <v>9</v>
      </c>
      <c r="U568" s="13" t="s">
        <v>0</v>
      </c>
      <c r="V568" s="13" t="s">
        <v>0</v>
      </c>
      <c r="W568" s="13" t="s">
        <v>0</v>
      </c>
      <c r="X568" s="13" t="s">
        <v>0</v>
      </c>
      <c r="Y568" s="13" t="s">
        <v>10</v>
      </c>
      <c r="Z568" s="13" t="s">
        <v>0</v>
      </c>
      <c r="AA568" s="14"/>
      <c r="AB568" s="13" t="s">
        <v>0</v>
      </c>
      <c r="AC568" s="13" t="s">
        <v>0</v>
      </c>
      <c r="AD568" s="13" t="s">
        <v>0</v>
      </c>
      <c r="AE568" s="15">
        <v>0</v>
      </c>
    </row>
    <row r="569" spans="1:31" ht="14.15" customHeight="1" x14ac:dyDescent="0.25">
      <c r="A569" s="12" t="s">
        <v>0</v>
      </c>
      <c r="B569" s="13" t="s">
        <v>1</v>
      </c>
      <c r="C569" s="13" t="s">
        <v>1945</v>
      </c>
      <c r="D569" s="14">
        <v>44192</v>
      </c>
      <c r="E569" s="14">
        <v>44192</v>
      </c>
      <c r="F569" s="14">
        <v>44201</v>
      </c>
      <c r="G569" s="13" t="s">
        <v>3</v>
      </c>
      <c r="H569" s="13" t="s">
        <v>4</v>
      </c>
      <c r="I569" s="15">
        <v>-31392.22</v>
      </c>
      <c r="J569" s="13" t="s">
        <v>5</v>
      </c>
      <c r="K569" s="13" t="s">
        <v>6</v>
      </c>
      <c r="L569" s="15">
        <v>-2635376.87</v>
      </c>
      <c r="M569" s="15">
        <v>-31392.22</v>
      </c>
      <c r="N569" s="16" t="str">
        <f>IF(M569="","",IF(M569&lt;0,-M569&amp;"_"&amp;COUNTIF(M$2:M569,M569),M569&amp;"_"&amp;COUNTIF(M$2:M569,M569)))</f>
        <v>31392.22_3</v>
      </c>
      <c r="O569" s="17" t="str">
        <f t="shared" si="8"/>
        <v/>
      </c>
      <c r="P569" s="13" t="s">
        <v>1946</v>
      </c>
      <c r="Q569" s="13" t="s">
        <v>1932</v>
      </c>
      <c r="R569" s="13" t="s">
        <v>0</v>
      </c>
      <c r="S569" s="13" t="s">
        <v>0</v>
      </c>
      <c r="T569" s="13" t="s">
        <v>9</v>
      </c>
      <c r="U569" s="13" t="s">
        <v>0</v>
      </c>
      <c r="V569" s="13" t="s">
        <v>0</v>
      </c>
      <c r="W569" s="13" t="s">
        <v>0</v>
      </c>
      <c r="X569" s="13" t="s">
        <v>0</v>
      </c>
      <c r="Y569" s="13" t="s">
        <v>10</v>
      </c>
      <c r="Z569" s="13" t="s">
        <v>0</v>
      </c>
      <c r="AA569" s="14"/>
      <c r="AB569" s="13" t="s">
        <v>0</v>
      </c>
      <c r="AC569" s="13" t="s">
        <v>0</v>
      </c>
      <c r="AD569" s="13" t="s">
        <v>0</v>
      </c>
      <c r="AE569" s="15">
        <v>0</v>
      </c>
    </row>
    <row r="570" spans="1:31" ht="14.15" customHeight="1" x14ac:dyDescent="0.25">
      <c r="A570" s="12" t="s">
        <v>0</v>
      </c>
      <c r="B570" s="13" t="s">
        <v>1</v>
      </c>
      <c r="C570" s="13" t="s">
        <v>791</v>
      </c>
      <c r="D570" s="14">
        <v>44101</v>
      </c>
      <c r="E570" s="14">
        <v>44101</v>
      </c>
      <c r="F570" s="14">
        <v>44107</v>
      </c>
      <c r="G570" s="13" t="s">
        <v>3</v>
      </c>
      <c r="H570" s="13" t="s">
        <v>4</v>
      </c>
      <c r="I570" s="15">
        <v>-31392.21</v>
      </c>
      <c r="J570" s="13" t="s">
        <v>5</v>
      </c>
      <c r="K570" s="13" t="s">
        <v>6</v>
      </c>
      <c r="L570" s="15">
        <v>-2635376.0299999998</v>
      </c>
      <c r="M570" s="15">
        <v>-31392.21</v>
      </c>
      <c r="N570" s="16" t="str">
        <f>IF(M570="","",IF(M570&lt;0,-M570&amp;"_"&amp;COUNTIF(M$2:M570,M570),M570&amp;"_"&amp;COUNTIF(M$2:M570,M570)))</f>
        <v>31392.21_1</v>
      </c>
      <c r="O570" s="17" t="str">
        <f t="shared" si="8"/>
        <v/>
      </c>
      <c r="P570" s="13" t="s">
        <v>792</v>
      </c>
      <c r="Q570" s="13" t="s">
        <v>784</v>
      </c>
      <c r="R570" s="13" t="s">
        <v>0</v>
      </c>
      <c r="S570" s="13" t="s">
        <v>0</v>
      </c>
      <c r="T570" s="13" t="s">
        <v>9</v>
      </c>
      <c r="U570" s="13" t="s">
        <v>0</v>
      </c>
      <c r="V570" s="13" t="s">
        <v>0</v>
      </c>
      <c r="W570" s="13" t="s">
        <v>0</v>
      </c>
      <c r="X570" s="13" t="s">
        <v>0</v>
      </c>
      <c r="Y570" s="13" t="s">
        <v>10</v>
      </c>
      <c r="Z570" s="13" t="s">
        <v>0</v>
      </c>
      <c r="AA570" s="14"/>
      <c r="AB570" s="13" t="s">
        <v>0</v>
      </c>
      <c r="AC570" s="13" t="s">
        <v>0</v>
      </c>
      <c r="AD570" s="13" t="s">
        <v>0</v>
      </c>
      <c r="AE570" s="15">
        <v>0</v>
      </c>
    </row>
    <row r="571" spans="1:31" ht="14.15" customHeight="1" x14ac:dyDescent="0.25">
      <c r="A571" s="12" t="s">
        <v>0</v>
      </c>
      <c r="B571" s="13" t="s">
        <v>1</v>
      </c>
      <c r="C571" s="13" t="s">
        <v>532</v>
      </c>
      <c r="D571" s="14">
        <v>44073</v>
      </c>
      <c r="E571" s="14">
        <v>44073</v>
      </c>
      <c r="F571" s="14">
        <v>44084</v>
      </c>
      <c r="G571" s="13" t="s">
        <v>3</v>
      </c>
      <c r="H571" s="13" t="s">
        <v>4</v>
      </c>
      <c r="I571" s="15">
        <v>-31384.7</v>
      </c>
      <c r="J571" s="13" t="s">
        <v>5</v>
      </c>
      <c r="K571" s="13" t="s">
        <v>6</v>
      </c>
      <c r="L571" s="15">
        <v>-2634745.5699999998</v>
      </c>
      <c r="M571" s="15">
        <v>-31384.7</v>
      </c>
      <c r="N571" s="16" t="str">
        <f>IF(M571="","",IF(M571&lt;0,-M571&amp;"_"&amp;COUNTIF(M$2:M571,M571),M571&amp;"_"&amp;COUNTIF(M$2:M571,M571)))</f>
        <v>31384.7_1</v>
      </c>
      <c r="O571" s="17" t="str">
        <f t="shared" si="8"/>
        <v/>
      </c>
      <c r="P571" s="13" t="s">
        <v>533</v>
      </c>
      <c r="Q571" s="13" t="s">
        <v>525</v>
      </c>
      <c r="R571" s="13" t="s">
        <v>0</v>
      </c>
      <c r="S571" s="13" t="s">
        <v>0</v>
      </c>
      <c r="T571" s="13" t="s">
        <v>9</v>
      </c>
      <c r="U571" s="13" t="s">
        <v>0</v>
      </c>
      <c r="V571" s="13" t="s">
        <v>0</v>
      </c>
      <c r="W571" s="13" t="s">
        <v>0</v>
      </c>
      <c r="X571" s="13" t="s">
        <v>0</v>
      </c>
      <c r="Y571" s="13" t="s">
        <v>10</v>
      </c>
      <c r="Z571" s="13" t="s">
        <v>0</v>
      </c>
      <c r="AA571" s="14"/>
      <c r="AB571" s="13" t="s">
        <v>0</v>
      </c>
      <c r="AC571" s="13" t="s">
        <v>0</v>
      </c>
      <c r="AD571" s="13" t="s">
        <v>0</v>
      </c>
      <c r="AE571" s="15">
        <v>0</v>
      </c>
    </row>
    <row r="572" spans="1:31" ht="14.15" customHeight="1" x14ac:dyDescent="0.25">
      <c r="A572" s="12" t="s">
        <v>0</v>
      </c>
      <c r="B572" s="13" t="s">
        <v>1</v>
      </c>
      <c r="C572" s="13" t="s">
        <v>1884</v>
      </c>
      <c r="D572" s="14">
        <v>44189</v>
      </c>
      <c r="E572" s="14">
        <v>44189</v>
      </c>
      <c r="F572" s="14">
        <v>44194</v>
      </c>
      <c r="G572" s="13" t="s">
        <v>3</v>
      </c>
      <c r="H572" s="13" t="s">
        <v>4</v>
      </c>
      <c r="I572" s="15">
        <v>-31335.49</v>
      </c>
      <c r="J572" s="13" t="s">
        <v>5</v>
      </c>
      <c r="K572" s="13" t="s">
        <v>6</v>
      </c>
      <c r="L572" s="15">
        <v>-2630614.39</v>
      </c>
      <c r="M572" s="15">
        <v>-31335.49</v>
      </c>
      <c r="N572" s="16" t="str">
        <f>IF(M572="","",IF(M572&lt;0,-M572&amp;"_"&amp;COUNTIF(M$2:M572,M572),M572&amp;"_"&amp;COUNTIF(M$2:M572,M572)))</f>
        <v>31335.49_1</v>
      </c>
      <c r="O572" s="17" t="str">
        <f t="shared" si="8"/>
        <v/>
      </c>
      <c r="P572" s="13" t="s">
        <v>1885</v>
      </c>
      <c r="Q572" s="13" t="s">
        <v>1886</v>
      </c>
      <c r="R572" s="13" t="s">
        <v>0</v>
      </c>
      <c r="S572" s="13" t="s">
        <v>0</v>
      </c>
      <c r="T572" s="13" t="s">
        <v>9</v>
      </c>
      <c r="U572" s="13" t="s">
        <v>0</v>
      </c>
      <c r="V572" s="13" t="s">
        <v>0</v>
      </c>
      <c r="W572" s="13" t="s">
        <v>0</v>
      </c>
      <c r="X572" s="13" t="s">
        <v>0</v>
      </c>
      <c r="Y572" s="13" t="s">
        <v>10</v>
      </c>
      <c r="Z572" s="13" t="s">
        <v>0</v>
      </c>
      <c r="AA572" s="14"/>
      <c r="AB572" s="13" t="s">
        <v>0</v>
      </c>
      <c r="AC572" s="13" t="s">
        <v>0</v>
      </c>
      <c r="AD572" s="13" t="s">
        <v>0</v>
      </c>
      <c r="AE572" s="15">
        <v>0</v>
      </c>
    </row>
    <row r="573" spans="1:31" ht="14.15" customHeight="1" x14ac:dyDescent="0.25">
      <c r="A573" s="12" t="s">
        <v>0</v>
      </c>
      <c r="B573" s="13" t="s">
        <v>1</v>
      </c>
      <c r="C573" s="13" t="s">
        <v>745</v>
      </c>
      <c r="D573" s="14">
        <v>44096</v>
      </c>
      <c r="E573" s="14">
        <v>44096</v>
      </c>
      <c r="F573" s="14">
        <v>44100</v>
      </c>
      <c r="G573" s="13" t="s">
        <v>3</v>
      </c>
      <c r="H573" s="13" t="s">
        <v>4</v>
      </c>
      <c r="I573" s="15">
        <v>-31307</v>
      </c>
      <c r="J573" s="13" t="s">
        <v>5</v>
      </c>
      <c r="K573" s="13" t="s">
        <v>6</v>
      </c>
      <c r="L573" s="15">
        <v>-2628222.65</v>
      </c>
      <c r="M573" s="15">
        <v>-31307</v>
      </c>
      <c r="N573" s="16" t="str">
        <f>IF(M573="","",IF(M573&lt;0,-M573&amp;"_"&amp;COUNTIF(M$2:M573,M573),M573&amp;"_"&amp;COUNTIF(M$2:M573,M573)))</f>
        <v>31307_1</v>
      </c>
      <c r="O573" s="17" t="str">
        <f t="shared" si="8"/>
        <v/>
      </c>
      <c r="P573" s="13" t="s">
        <v>746</v>
      </c>
      <c r="Q573" s="13" t="s">
        <v>747</v>
      </c>
      <c r="R573" s="13" t="s">
        <v>0</v>
      </c>
      <c r="S573" s="13" t="s">
        <v>0</v>
      </c>
      <c r="T573" s="13" t="s">
        <v>9</v>
      </c>
      <c r="U573" s="13" t="s">
        <v>0</v>
      </c>
      <c r="V573" s="13" t="s">
        <v>0</v>
      </c>
      <c r="W573" s="13" t="s">
        <v>0</v>
      </c>
      <c r="X573" s="13" t="s">
        <v>0</v>
      </c>
      <c r="Y573" s="13" t="s">
        <v>10</v>
      </c>
      <c r="Z573" s="13" t="s">
        <v>0</v>
      </c>
      <c r="AA573" s="14"/>
      <c r="AB573" s="13" t="s">
        <v>0</v>
      </c>
      <c r="AC573" s="13" t="s">
        <v>0</v>
      </c>
      <c r="AD573" s="13" t="s">
        <v>0</v>
      </c>
      <c r="AE573" s="15">
        <v>0</v>
      </c>
    </row>
    <row r="574" spans="1:31" ht="14.15" customHeight="1" x14ac:dyDescent="0.25">
      <c r="A574" s="12" t="s">
        <v>0</v>
      </c>
      <c r="B574" s="13" t="s">
        <v>1</v>
      </c>
      <c r="C574" s="13" t="s">
        <v>3860</v>
      </c>
      <c r="D574" s="14">
        <v>44351</v>
      </c>
      <c r="E574" s="14">
        <v>44351</v>
      </c>
      <c r="F574" s="14">
        <v>44357</v>
      </c>
      <c r="G574" s="13" t="s">
        <v>3</v>
      </c>
      <c r="H574" s="13" t="s">
        <v>4</v>
      </c>
      <c r="I574" s="15">
        <v>-31290.25</v>
      </c>
      <c r="J574" s="13" t="s">
        <v>5</v>
      </c>
      <c r="K574" s="13" t="s">
        <v>6</v>
      </c>
      <c r="L574" s="15">
        <v>-2626816.4900000002</v>
      </c>
      <c r="M574" s="15">
        <v>-31290.25</v>
      </c>
      <c r="N574" s="16" t="str">
        <f>IF(M574="","",IF(M574&lt;0,-M574&amp;"_"&amp;COUNTIF(M$2:M574,M574),M574&amp;"_"&amp;COUNTIF(M$2:M574,M574)))</f>
        <v>31290.25_1</v>
      </c>
      <c r="O574" s="17" t="str">
        <f t="shared" si="8"/>
        <v/>
      </c>
      <c r="P574" s="13" t="s">
        <v>3861</v>
      </c>
      <c r="Q574" s="13" t="s">
        <v>3857</v>
      </c>
      <c r="R574" s="13" t="s">
        <v>0</v>
      </c>
      <c r="S574" s="13" t="s">
        <v>0</v>
      </c>
      <c r="T574" s="13" t="s">
        <v>9</v>
      </c>
      <c r="U574" s="13" t="s">
        <v>0</v>
      </c>
      <c r="V574" s="13" t="s">
        <v>0</v>
      </c>
      <c r="W574" s="13" t="s">
        <v>0</v>
      </c>
      <c r="X574" s="13" t="s">
        <v>0</v>
      </c>
      <c r="Y574" s="13" t="s">
        <v>10</v>
      </c>
      <c r="Z574" s="13" t="s">
        <v>0</v>
      </c>
      <c r="AA574" s="14"/>
      <c r="AB574" s="13" t="s">
        <v>0</v>
      </c>
      <c r="AC574" s="13" t="s">
        <v>0</v>
      </c>
      <c r="AD574" s="13" t="s">
        <v>0</v>
      </c>
      <c r="AE574" s="15">
        <v>0</v>
      </c>
    </row>
    <row r="575" spans="1:31" ht="14.15" customHeight="1" x14ac:dyDescent="0.25">
      <c r="A575" s="12" t="s">
        <v>0</v>
      </c>
      <c r="B575" s="13" t="s">
        <v>1</v>
      </c>
      <c r="C575" s="13" t="s">
        <v>937</v>
      </c>
      <c r="D575" s="14">
        <v>44119</v>
      </c>
      <c r="E575" s="14">
        <v>44119</v>
      </c>
      <c r="F575" s="14">
        <v>44126</v>
      </c>
      <c r="G575" s="13" t="s">
        <v>3</v>
      </c>
      <c r="H575" s="13" t="s">
        <v>4</v>
      </c>
      <c r="I575" s="15">
        <v>-31273.27</v>
      </c>
      <c r="J575" s="13" t="s">
        <v>5</v>
      </c>
      <c r="K575" s="13" t="s">
        <v>6</v>
      </c>
      <c r="L575" s="15">
        <v>-2625391.02</v>
      </c>
      <c r="M575" s="15">
        <v>-31273.27</v>
      </c>
      <c r="N575" s="16" t="str">
        <f>IF(M575="","",IF(M575&lt;0,-M575&amp;"_"&amp;COUNTIF(M$2:M575,M575),M575&amp;"_"&amp;COUNTIF(M$2:M575,M575)))</f>
        <v>31273.27_1</v>
      </c>
      <c r="O575" s="17" t="str">
        <f t="shared" si="8"/>
        <v/>
      </c>
      <c r="P575" s="13" t="s">
        <v>938</v>
      </c>
      <c r="Q575" s="13" t="s">
        <v>939</v>
      </c>
      <c r="R575" s="13" t="s">
        <v>0</v>
      </c>
      <c r="S575" s="13" t="s">
        <v>0</v>
      </c>
      <c r="T575" s="13" t="s">
        <v>9</v>
      </c>
      <c r="U575" s="13" t="s">
        <v>0</v>
      </c>
      <c r="V575" s="13" t="s">
        <v>0</v>
      </c>
      <c r="W575" s="13" t="s">
        <v>0</v>
      </c>
      <c r="X575" s="13" t="s">
        <v>0</v>
      </c>
      <c r="Y575" s="13" t="s">
        <v>10</v>
      </c>
      <c r="Z575" s="13" t="s">
        <v>0</v>
      </c>
      <c r="AA575" s="14"/>
      <c r="AB575" s="13" t="s">
        <v>0</v>
      </c>
      <c r="AC575" s="13" t="s">
        <v>0</v>
      </c>
      <c r="AD575" s="13" t="s">
        <v>0</v>
      </c>
      <c r="AE575" s="15">
        <v>0</v>
      </c>
    </row>
    <row r="576" spans="1:31" ht="14.15" customHeight="1" x14ac:dyDescent="0.25">
      <c r="A576" s="12" t="s">
        <v>0</v>
      </c>
      <c r="B576" s="13" t="s">
        <v>1</v>
      </c>
      <c r="C576" s="13" t="s">
        <v>766</v>
      </c>
      <c r="D576" s="14">
        <v>44099</v>
      </c>
      <c r="E576" s="14">
        <v>44099</v>
      </c>
      <c r="F576" s="14">
        <v>44103</v>
      </c>
      <c r="G576" s="13" t="s">
        <v>3</v>
      </c>
      <c r="H576" s="13" t="s">
        <v>4</v>
      </c>
      <c r="I576" s="15">
        <v>-31208.16</v>
      </c>
      <c r="J576" s="13" t="s">
        <v>5</v>
      </c>
      <c r="K576" s="13" t="s">
        <v>6</v>
      </c>
      <c r="L576" s="15">
        <v>-2619925.0299999998</v>
      </c>
      <c r="M576" s="15">
        <v>-31208.16</v>
      </c>
      <c r="N576" s="16" t="str">
        <f>IF(M576="","",IF(M576&lt;0,-M576&amp;"_"&amp;COUNTIF(M$2:M576,M576),M576&amp;"_"&amp;COUNTIF(M$2:M576,M576)))</f>
        <v>31208.16_1</v>
      </c>
      <c r="O576" s="17" t="str">
        <f t="shared" si="8"/>
        <v/>
      </c>
      <c r="P576" s="13" t="s">
        <v>767</v>
      </c>
      <c r="Q576" s="13" t="s">
        <v>768</v>
      </c>
      <c r="R576" s="13" t="s">
        <v>0</v>
      </c>
      <c r="S576" s="13" t="s">
        <v>0</v>
      </c>
      <c r="T576" s="13" t="s">
        <v>9</v>
      </c>
      <c r="U576" s="13" t="s">
        <v>0</v>
      </c>
      <c r="V576" s="13" t="s">
        <v>0</v>
      </c>
      <c r="W576" s="13" t="s">
        <v>0</v>
      </c>
      <c r="X576" s="13" t="s">
        <v>0</v>
      </c>
      <c r="Y576" s="13" t="s">
        <v>10</v>
      </c>
      <c r="Z576" s="13" t="s">
        <v>0</v>
      </c>
      <c r="AA576" s="14"/>
      <c r="AB576" s="13" t="s">
        <v>0</v>
      </c>
      <c r="AC576" s="13" t="s">
        <v>0</v>
      </c>
      <c r="AD576" s="13" t="s">
        <v>0</v>
      </c>
      <c r="AE576" s="15">
        <v>0</v>
      </c>
    </row>
    <row r="577" spans="1:31" ht="14.15" customHeight="1" x14ac:dyDescent="0.25">
      <c r="A577" s="12" t="s">
        <v>0</v>
      </c>
      <c r="B577" s="13" t="s">
        <v>1</v>
      </c>
      <c r="C577" s="13" t="s">
        <v>21</v>
      </c>
      <c r="D577" s="14">
        <v>44014</v>
      </c>
      <c r="E577" s="14">
        <v>44014</v>
      </c>
      <c r="F577" s="14">
        <v>44030</v>
      </c>
      <c r="G577" s="13" t="s">
        <v>3</v>
      </c>
      <c r="H577" s="13" t="s">
        <v>4</v>
      </c>
      <c r="I577" s="15">
        <v>-31147.08</v>
      </c>
      <c r="J577" s="13" t="s">
        <v>5</v>
      </c>
      <c r="K577" s="13" t="s">
        <v>6</v>
      </c>
      <c r="L577" s="15">
        <v>-2614797.37</v>
      </c>
      <c r="M577" s="15">
        <v>-31147.08</v>
      </c>
      <c r="N577" s="16" t="str">
        <f>IF(M577="","",IF(M577&lt;0,-M577&amp;"_"&amp;COUNTIF(M$2:M577,M577),M577&amp;"_"&amp;COUNTIF(M$2:M577,M577)))</f>
        <v>31147.08_1</v>
      </c>
      <c r="O577" s="17" t="str">
        <f t="shared" si="8"/>
        <v/>
      </c>
      <c r="P577" s="13" t="s">
        <v>22</v>
      </c>
      <c r="Q577" s="13" t="s">
        <v>8</v>
      </c>
      <c r="R577" s="13" t="s">
        <v>0</v>
      </c>
      <c r="S577" s="13" t="s">
        <v>0</v>
      </c>
      <c r="T577" s="13" t="s">
        <v>9</v>
      </c>
      <c r="U577" s="13" t="s">
        <v>0</v>
      </c>
      <c r="V577" s="13" t="s">
        <v>0</v>
      </c>
      <c r="W577" s="13" t="s">
        <v>0</v>
      </c>
      <c r="X577" s="13" t="s">
        <v>0</v>
      </c>
      <c r="Y577" s="13" t="s">
        <v>10</v>
      </c>
      <c r="Z577" s="13" t="s">
        <v>0</v>
      </c>
      <c r="AA577" s="14"/>
      <c r="AB577" s="13" t="s">
        <v>0</v>
      </c>
      <c r="AC577" s="13" t="s">
        <v>0</v>
      </c>
      <c r="AD577" s="13" t="s">
        <v>0</v>
      </c>
      <c r="AE577" s="15">
        <v>0</v>
      </c>
    </row>
    <row r="578" spans="1:31" ht="14.15" customHeight="1" x14ac:dyDescent="0.25">
      <c r="A578" s="12" t="s">
        <v>0</v>
      </c>
      <c r="B578" s="13" t="s">
        <v>1</v>
      </c>
      <c r="C578" s="13" t="s">
        <v>633</v>
      </c>
      <c r="D578" s="14">
        <v>44083</v>
      </c>
      <c r="E578" s="14">
        <v>44083</v>
      </c>
      <c r="F578" s="14">
        <v>44088</v>
      </c>
      <c r="G578" s="13" t="s">
        <v>3</v>
      </c>
      <c r="H578" s="13" t="s">
        <v>4</v>
      </c>
      <c r="I578" s="15">
        <v>-31117.56</v>
      </c>
      <c r="J578" s="13" t="s">
        <v>5</v>
      </c>
      <c r="K578" s="13" t="s">
        <v>6</v>
      </c>
      <c r="L578" s="15">
        <v>-2612319.16</v>
      </c>
      <c r="M578" s="15">
        <v>-31117.56</v>
      </c>
      <c r="N578" s="16" t="str">
        <f>IF(M578="","",IF(M578&lt;0,-M578&amp;"_"&amp;COUNTIF(M$2:M578,M578),M578&amp;"_"&amp;COUNTIF(M$2:M578,M578)))</f>
        <v>31117.56_1</v>
      </c>
      <c r="O578" s="17" t="str">
        <f t="shared" ref="O578:O641" si="9">IF(COUNTIF(N:N,N578)=2,"x","")</f>
        <v/>
      </c>
      <c r="P578" s="13" t="s">
        <v>634</v>
      </c>
      <c r="Q578" s="13" t="s">
        <v>624</v>
      </c>
      <c r="R578" s="13" t="s">
        <v>0</v>
      </c>
      <c r="S578" s="13" t="s">
        <v>0</v>
      </c>
      <c r="T578" s="13" t="s">
        <v>9</v>
      </c>
      <c r="U578" s="13" t="s">
        <v>0</v>
      </c>
      <c r="V578" s="13" t="s">
        <v>0</v>
      </c>
      <c r="W578" s="13" t="s">
        <v>0</v>
      </c>
      <c r="X578" s="13" t="s">
        <v>0</v>
      </c>
      <c r="Y578" s="13" t="s">
        <v>10</v>
      </c>
      <c r="Z578" s="13" t="s">
        <v>0</v>
      </c>
      <c r="AA578" s="14"/>
      <c r="AB578" s="13" t="s">
        <v>0</v>
      </c>
      <c r="AC578" s="13" t="s">
        <v>0</v>
      </c>
      <c r="AD578" s="13" t="s">
        <v>0</v>
      </c>
      <c r="AE578" s="15">
        <v>0</v>
      </c>
    </row>
    <row r="579" spans="1:31" ht="14.15" customHeight="1" x14ac:dyDescent="0.25">
      <c r="A579" s="12" t="s">
        <v>0</v>
      </c>
      <c r="B579" s="13" t="s">
        <v>1</v>
      </c>
      <c r="C579" s="13" t="s">
        <v>1421</v>
      </c>
      <c r="D579" s="14">
        <v>44155</v>
      </c>
      <c r="E579" s="14">
        <v>44155</v>
      </c>
      <c r="F579" s="14">
        <v>44159</v>
      </c>
      <c r="G579" s="13" t="s">
        <v>3</v>
      </c>
      <c r="H579" s="13" t="s">
        <v>4</v>
      </c>
      <c r="I579" s="15">
        <v>-30975.72</v>
      </c>
      <c r="J579" s="13" t="s">
        <v>5</v>
      </c>
      <c r="K579" s="13" t="s">
        <v>6</v>
      </c>
      <c r="L579" s="15">
        <v>-2600411.6800000002</v>
      </c>
      <c r="M579" s="15">
        <v>-30975.72</v>
      </c>
      <c r="N579" s="16" t="str">
        <f>IF(M579="","",IF(M579&lt;0,-M579&amp;"_"&amp;COUNTIF(M$2:M579,M579),M579&amp;"_"&amp;COUNTIF(M$2:M579,M579)))</f>
        <v>30975.72_1</v>
      </c>
      <c r="O579" s="17" t="str">
        <f t="shared" si="9"/>
        <v/>
      </c>
      <c r="P579" s="13" t="s">
        <v>1422</v>
      </c>
      <c r="Q579" s="13" t="s">
        <v>1423</v>
      </c>
      <c r="R579" s="13" t="s">
        <v>0</v>
      </c>
      <c r="S579" s="13" t="s">
        <v>0</v>
      </c>
      <c r="T579" s="13" t="s">
        <v>9</v>
      </c>
      <c r="U579" s="13" t="s">
        <v>0</v>
      </c>
      <c r="V579" s="13" t="s">
        <v>0</v>
      </c>
      <c r="W579" s="13" t="s">
        <v>0</v>
      </c>
      <c r="X579" s="13" t="s">
        <v>0</v>
      </c>
      <c r="Y579" s="13" t="s">
        <v>10</v>
      </c>
      <c r="Z579" s="13" t="s">
        <v>0</v>
      </c>
      <c r="AA579" s="14"/>
      <c r="AB579" s="13" t="s">
        <v>0</v>
      </c>
      <c r="AC579" s="13" t="s">
        <v>0</v>
      </c>
      <c r="AD579" s="13" t="s">
        <v>0</v>
      </c>
      <c r="AE579" s="15">
        <v>0</v>
      </c>
    </row>
    <row r="580" spans="1:31" ht="14.15" customHeight="1" x14ac:dyDescent="0.25">
      <c r="A580" s="12" t="s">
        <v>0</v>
      </c>
      <c r="B580" s="13" t="s">
        <v>1</v>
      </c>
      <c r="C580" s="13" t="s">
        <v>2797</v>
      </c>
      <c r="D580" s="14">
        <v>44264</v>
      </c>
      <c r="E580" s="14">
        <v>44264</v>
      </c>
      <c r="F580" s="14">
        <v>44268</v>
      </c>
      <c r="G580" s="13" t="s">
        <v>3</v>
      </c>
      <c r="H580" s="13" t="s">
        <v>4</v>
      </c>
      <c r="I580" s="15">
        <v>-30890.98</v>
      </c>
      <c r="J580" s="13" t="s">
        <v>5</v>
      </c>
      <c r="K580" s="13" t="s">
        <v>6</v>
      </c>
      <c r="L580" s="15">
        <v>-2593297.77</v>
      </c>
      <c r="M580" s="15">
        <v>-30890.98</v>
      </c>
      <c r="N580" s="16" t="str">
        <f>IF(M580="","",IF(M580&lt;0,-M580&amp;"_"&amp;COUNTIF(M$2:M580,M580),M580&amp;"_"&amp;COUNTIF(M$2:M580,M580)))</f>
        <v>30890.98_1</v>
      </c>
      <c r="O580" s="17" t="str">
        <f t="shared" si="9"/>
        <v/>
      </c>
      <c r="P580" s="13" t="s">
        <v>2798</v>
      </c>
      <c r="Q580" s="13" t="s">
        <v>2796</v>
      </c>
      <c r="R580" s="13" t="s">
        <v>0</v>
      </c>
      <c r="S580" s="13" t="s">
        <v>0</v>
      </c>
      <c r="T580" s="13" t="s">
        <v>9</v>
      </c>
      <c r="U580" s="13" t="s">
        <v>0</v>
      </c>
      <c r="V580" s="13" t="s">
        <v>0</v>
      </c>
      <c r="W580" s="13" t="s">
        <v>0</v>
      </c>
      <c r="X580" s="13" t="s">
        <v>0</v>
      </c>
      <c r="Y580" s="13" t="s">
        <v>10</v>
      </c>
      <c r="Z580" s="13" t="s">
        <v>0</v>
      </c>
      <c r="AA580" s="14"/>
      <c r="AB580" s="13" t="s">
        <v>0</v>
      </c>
      <c r="AC580" s="13" t="s">
        <v>0</v>
      </c>
      <c r="AD580" s="13" t="s">
        <v>0</v>
      </c>
      <c r="AE580" s="15">
        <v>0</v>
      </c>
    </row>
    <row r="581" spans="1:31" ht="14.15" customHeight="1" x14ac:dyDescent="0.25">
      <c r="A581" s="12" t="s">
        <v>0</v>
      </c>
      <c r="B581" s="13" t="s">
        <v>1</v>
      </c>
      <c r="C581" s="13" t="s">
        <v>1052</v>
      </c>
      <c r="D581" s="14">
        <v>44131</v>
      </c>
      <c r="E581" s="14">
        <v>44131</v>
      </c>
      <c r="F581" s="14">
        <v>44138</v>
      </c>
      <c r="G581" s="13" t="s">
        <v>3</v>
      </c>
      <c r="H581" s="13" t="s">
        <v>4</v>
      </c>
      <c r="I581" s="15">
        <v>-30875.32</v>
      </c>
      <c r="J581" s="13" t="s">
        <v>5</v>
      </c>
      <c r="K581" s="13" t="s">
        <v>6</v>
      </c>
      <c r="L581" s="15">
        <v>-2591983.11</v>
      </c>
      <c r="M581" s="15">
        <v>-30875.32</v>
      </c>
      <c r="N581" s="16" t="str">
        <f>IF(M581="","",IF(M581&lt;0,-M581&amp;"_"&amp;COUNTIF(M$2:M581,M581),M581&amp;"_"&amp;COUNTIF(M$2:M581,M581)))</f>
        <v>30875.32_1</v>
      </c>
      <c r="O581" s="17" t="str">
        <f t="shared" si="9"/>
        <v/>
      </c>
      <c r="P581" s="13" t="s">
        <v>1053</v>
      </c>
      <c r="Q581" s="13" t="s">
        <v>1041</v>
      </c>
      <c r="R581" s="13" t="s">
        <v>0</v>
      </c>
      <c r="S581" s="13" t="s">
        <v>0</v>
      </c>
      <c r="T581" s="13" t="s">
        <v>9</v>
      </c>
      <c r="U581" s="13" t="s">
        <v>0</v>
      </c>
      <c r="V581" s="13" t="s">
        <v>0</v>
      </c>
      <c r="W581" s="13" t="s">
        <v>0</v>
      </c>
      <c r="X581" s="13" t="s">
        <v>0</v>
      </c>
      <c r="Y581" s="13" t="s">
        <v>10</v>
      </c>
      <c r="Z581" s="13" t="s">
        <v>0</v>
      </c>
      <c r="AA581" s="14"/>
      <c r="AB581" s="13" t="s">
        <v>0</v>
      </c>
      <c r="AC581" s="13" t="s">
        <v>0</v>
      </c>
      <c r="AD581" s="13" t="s">
        <v>0</v>
      </c>
      <c r="AE581" s="15">
        <v>0</v>
      </c>
    </row>
    <row r="582" spans="1:31" ht="14.15" customHeight="1" x14ac:dyDescent="0.25">
      <c r="A582" s="12" t="s">
        <v>0</v>
      </c>
      <c r="B582" s="13" t="s">
        <v>1</v>
      </c>
      <c r="C582" s="13" t="s">
        <v>1782</v>
      </c>
      <c r="D582" s="14">
        <v>44182</v>
      </c>
      <c r="E582" s="14">
        <v>44182</v>
      </c>
      <c r="F582" s="14">
        <v>44199</v>
      </c>
      <c r="G582" s="13" t="s">
        <v>3</v>
      </c>
      <c r="H582" s="13" t="s">
        <v>4</v>
      </c>
      <c r="I582" s="15">
        <v>-30732.47</v>
      </c>
      <c r="J582" s="13" t="s">
        <v>5</v>
      </c>
      <c r="K582" s="13" t="s">
        <v>6</v>
      </c>
      <c r="L582" s="15">
        <v>-2579990.86</v>
      </c>
      <c r="M582" s="15">
        <v>-30732.47</v>
      </c>
      <c r="N582" s="16" t="str">
        <f>IF(M582="","",IF(M582&lt;0,-M582&amp;"_"&amp;COUNTIF(M$2:M582,M582),M582&amp;"_"&amp;COUNTIF(M$2:M582,M582)))</f>
        <v>30732.47_1</v>
      </c>
      <c r="O582" s="17" t="str">
        <f t="shared" si="9"/>
        <v/>
      </c>
      <c r="P582" s="13" t="s">
        <v>1783</v>
      </c>
      <c r="Q582" s="13" t="s">
        <v>1777</v>
      </c>
      <c r="R582" s="13" t="s">
        <v>0</v>
      </c>
      <c r="S582" s="13" t="s">
        <v>0</v>
      </c>
      <c r="T582" s="13" t="s">
        <v>9</v>
      </c>
      <c r="U582" s="13" t="s">
        <v>0</v>
      </c>
      <c r="V582" s="13" t="s">
        <v>0</v>
      </c>
      <c r="W582" s="13" t="s">
        <v>0</v>
      </c>
      <c r="X582" s="13" t="s">
        <v>0</v>
      </c>
      <c r="Y582" s="13" t="s">
        <v>10</v>
      </c>
      <c r="Z582" s="13" t="s">
        <v>0</v>
      </c>
      <c r="AA582" s="14"/>
      <c r="AB582" s="13" t="s">
        <v>0</v>
      </c>
      <c r="AC582" s="13" t="s">
        <v>0</v>
      </c>
      <c r="AD582" s="13" t="s">
        <v>0</v>
      </c>
      <c r="AE582" s="15">
        <v>0</v>
      </c>
    </row>
    <row r="583" spans="1:31" ht="14.15" customHeight="1" x14ac:dyDescent="0.25">
      <c r="A583" s="12" t="s">
        <v>0</v>
      </c>
      <c r="B583" s="13" t="s">
        <v>1</v>
      </c>
      <c r="C583" s="13" t="s">
        <v>1061</v>
      </c>
      <c r="D583" s="14">
        <v>44132</v>
      </c>
      <c r="E583" s="14">
        <v>44132</v>
      </c>
      <c r="F583" s="14">
        <v>44137</v>
      </c>
      <c r="G583" s="13" t="s">
        <v>3</v>
      </c>
      <c r="H583" s="13" t="s">
        <v>4</v>
      </c>
      <c r="I583" s="15">
        <v>-30601.5</v>
      </c>
      <c r="J583" s="13" t="s">
        <v>5</v>
      </c>
      <c r="K583" s="13" t="s">
        <v>6</v>
      </c>
      <c r="L583" s="15">
        <v>-2568995.9300000002</v>
      </c>
      <c r="M583" s="15">
        <v>-30601.5</v>
      </c>
      <c r="N583" s="16" t="str">
        <f>IF(M583="","",IF(M583&lt;0,-M583&amp;"_"&amp;COUNTIF(M$2:M583,M583),M583&amp;"_"&amp;COUNTIF(M$2:M583,M583)))</f>
        <v>30601.5_1</v>
      </c>
      <c r="O583" s="17" t="str">
        <f t="shared" si="9"/>
        <v/>
      </c>
      <c r="P583" s="13" t="s">
        <v>1062</v>
      </c>
      <c r="Q583" s="13" t="s">
        <v>1060</v>
      </c>
      <c r="R583" s="13" t="s">
        <v>0</v>
      </c>
      <c r="S583" s="13" t="s">
        <v>0</v>
      </c>
      <c r="T583" s="13" t="s">
        <v>9</v>
      </c>
      <c r="U583" s="13" t="s">
        <v>0</v>
      </c>
      <c r="V583" s="13" t="s">
        <v>0</v>
      </c>
      <c r="W583" s="13" t="s">
        <v>0</v>
      </c>
      <c r="X583" s="13" t="s">
        <v>0</v>
      </c>
      <c r="Y583" s="13" t="s">
        <v>10</v>
      </c>
      <c r="Z583" s="13" t="s">
        <v>0</v>
      </c>
      <c r="AA583" s="14"/>
      <c r="AB583" s="13" t="s">
        <v>0</v>
      </c>
      <c r="AC583" s="13" t="s">
        <v>0</v>
      </c>
      <c r="AD583" s="13" t="s">
        <v>0</v>
      </c>
      <c r="AE583" s="15">
        <v>0</v>
      </c>
    </row>
    <row r="584" spans="1:31" ht="14.15" customHeight="1" x14ac:dyDescent="0.25">
      <c r="A584" s="12" t="s">
        <v>0</v>
      </c>
      <c r="B584" s="13" t="s">
        <v>1</v>
      </c>
      <c r="C584" s="13" t="s">
        <v>2504</v>
      </c>
      <c r="D584" s="14">
        <v>44235</v>
      </c>
      <c r="E584" s="14">
        <v>44235</v>
      </c>
      <c r="F584" s="14">
        <v>44241</v>
      </c>
      <c r="G584" s="13" t="s">
        <v>3</v>
      </c>
      <c r="H584" s="13" t="s">
        <v>4</v>
      </c>
      <c r="I584" s="15">
        <v>-30534.84</v>
      </c>
      <c r="J584" s="13" t="s">
        <v>5</v>
      </c>
      <c r="K584" s="13" t="s">
        <v>6</v>
      </c>
      <c r="L584" s="15">
        <v>-2563399.8199999998</v>
      </c>
      <c r="M584" s="15">
        <v>-30534.84</v>
      </c>
      <c r="N584" s="16" t="str">
        <f>IF(M584="","",IF(M584&lt;0,-M584&amp;"_"&amp;COUNTIF(M$2:M584,M584),M584&amp;"_"&amp;COUNTIF(M$2:M584,M584)))</f>
        <v>30534.84_1</v>
      </c>
      <c r="O584" s="17" t="str">
        <f t="shared" si="9"/>
        <v/>
      </c>
      <c r="P584" s="13" t="s">
        <v>2505</v>
      </c>
      <c r="Q584" s="13" t="s">
        <v>2495</v>
      </c>
      <c r="R584" s="13" t="s">
        <v>0</v>
      </c>
      <c r="S584" s="13" t="s">
        <v>0</v>
      </c>
      <c r="T584" s="13" t="s">
        <v>9</v>
      </c>
      <c r="U584" s="13" t="s">
        <v>0</v>
      </c>
      <c r="V584" s="13" t="s">
        <v>0</v>
      </c>
      <c r="W584" s="13" t="s">
        <v>0</v>
      </c>
      <c r="X584" s="13" t="s">
        <v>0</v>
      </c>
      <c r="Y584" s="13" t="s">
        <v>10</v>
      </c>
      <c r="Z584" s="13" t="s">
        <v>0</v>
      </c>
      <c r="AA584" s="14"/>
      <c r="AB584" s="13" t="s">
        <v>0</v>
      </c>
      <c r="AC584" s="13" t="s">
        <v>0</v>
      </c>
      <c r="AD584" s="13" t="s">
        <v>0</v>
      </c>
      <c r="AE584" s="15">
        <v>0</v>
      </c>
    </row>
    <row r="585" spans="1:31" ht="14.15" customHeight="1" x14ac:dyDescent="0.25">
      <c r="A585" s="12" t="s">
        <v>0</v>
      </c>
      <c r="B585" s="13" t="s">
        <v>1</v>
      </c>
      <c r="C585" s="13" t="s">
        <v>984</v>
      </c>
      <c r="D585" s="14">
        <v>44125</v>
      </c>
      <c r="E585" s="14">
        <v>44125</v>
      </c>
      <c r="F585" s="14">
        <v>44142</v>
      </c>
      <c r="G585" s="13" t="s">
        <v>3</v>
      </c>
      <c r="H585" s="13" t="s">
        <v>4</v>
      </c>
      <c r="I585" s="15">
        <v>-30519.75</v>
      </c>
      <c r="J585" s="13" t="s">
        <v>5</v>
      </c>
      <c r="K585" s="13" t="s">
        <v>6</v>
      </c>
      <c r="L585" s="15">
        <v>-2562133.0099999998</v>
      </c>
      <c r="M585" s="15">
        <v>-30519.75</v>
      </c>
      <c r="N585" s="16" t="str">
        <f>IF(M585="","",IF(M585&lt;0,-M585&amp;"_"&amp;COUNTIF(M$2:M585,M585),M585&amp;"_"&amp;COUNTIF(M$2:M585,M585)))</f>
        <v>30519.75_1</v>
      </c>
      <c r="O585" s="17" t="str">
        <f t="shared" si="9"/>
        <v/>
      </c>
      <c r="P585" s="13" t="s">
        <v>985</v>
      </c>
      <c r="Q585" s="13" t="s">
        <v>977</v>
      </c>
      <c r="R585" s="13" t="s">
        <v>0</v>
      </c>
      <c r="S585" s="13" t="s">
        <v>0</v>
      </c>
      <c r="T585" s="13" t="s">
        <v>9</v>
      </c>
      <c r="U585" s="13" t="s">
        <v>0</v>
      </c>
      <c r="V585" s="13" t="s">
        <v>0</v>
      </c>
      <c r="W585" s="13" t="s">
        <v>0</v>
      </c>
      <c r="X585" s="13" t="s">
        <v>0</v>
      </c>
      <c r="Y585" s="13" t="s">
        <v>10</v>
      </c>
      <c r="Z585" s="13" t="s">
        <v>0</v>
      </c>
      <c r="AA585" s="14"/>
      <c r="AB585" s="13" t="s">
        <v>0</v>
      </c>
      <c r="AC585" s="13" t="s">
        <v>0</v>
      </c>
      <c r="AD585" s="13" t="s">
        <v>0</v>
      </c>
      <c r="AE585" s="15">
        <v>0</v>
      </c>
    </row>
    <row r="586" spans="1:31" ht="14.15" customHeight="1" x14ac:dyDescent="0.25">
      <c r="A586" s="12" t="s">
        <v>0</v>
      </c>
      <c r="B586" s="13" t="s">
        <v>1</v>
      </c>
      <c r="C586" s="13" t="s">
        <v>3891</v>
      </c>
      <c r="D586" s="14">
        <v>44353</v>
      </c>
      <c r="E586" s="14">
        <v>44353</v>
      </c>
      <c r="F586" s="14">
        <v>44357</v>
      </c>
      <c r="G586" s="13" t="s">
        <v>3</v>
      </c>
      <c r="H586" s="13" t="s">
        <v>4</v>
      </c>
      <c r="I586" s="15">
        <v>-30492.21</v>
      </c>
      <c r="J586" s="13" t="s">
        <v>5</v>
      </c>
      <c r="K586" s="13" t="s">
        <v>6</v>
      </c>
      <c r="L586" s="15">
        <v>-2559821.0299999998</v>
      </c>
      <c r="M586" s="15">
        <v>-30492.21</v>
      </c>
      <c r="N586" s="16" t="str">
        <f>IF(M586="","",IF(M586&lt;0,-M586&amp;"_"&amp;COUNTIF(M$2:M586,M586),M586&amp;"_"&amp;COUNTIF(M$2:M586,M586)))</f>
        <v>30492.21_1</v>
      </c>
      <c r="O586" s="17" t="str">
        <f t="shared" si="9"/>
        <v/>
      </c>
      <c r="P586" s="13" t="s">
        <v>3892</v>
      </c>
      <c r="Q586" s="13" t="s">
        <v>3886</v>
      </c>
      <c r="R586" s="13" t="s">
        <v>0</v>
      </c>
      <c r="S586" s="13" t="s">
        <v>0</v>
      </c>
      <c r="T586" s="13" t="s">
        <v>9</v>
      </c>
      <c r="U586" s="13" t="s">
        <v>0</v>
      </c>
      <c r="V586" s="13" t="s">
        <v>0</v>
      </c>
      <c r="W586" s="13" t="s">
        <v>0</v>
      </c>
      <c r="X586" s="13" t="s">
        <v>0</v>
      </c>
      <c r="Y586" s="13" t="s">
        <v>10</v>
      </c>
      <c r="Z586" s="13" t="s">
        <v>0</v>
      </c>
      <c r="AA586" s="14"/>
      <c r="AB586" s="13" t="s">
        <v>0</v>
      </c>
      <c r="AC586" s="13" t="s">
        <v>0</v>
      </c>
      <c r="AD586" s="13" t="s">
        <v>0</v>
      </c>
      <c r="AE586" s="15">
        <v>0</v>
      </c>
    </row>
    <row r="587" spans="1:31" ht="14.15" customHeight="1" x14ac:dyDescent="0.25">
      <c r="A587" s="12" t="s">
        <v>0</v>
      </c>
      <c r="B587" s="13" t="s">
        <v>1</v>
      </c>
      <c r="C587" s="13" t="s">
        <v>1421</v>
      </c>
      <c r="D587" s="14">
        <v>44155</v>
      </c>
      <c r="E587" s="14">
        <v>44155</v>
      </c>
      <c r="F587" s="14">
        <v>44159</v>
      </c>
      <c r="G587" s="13" t="s">
        <v>3</v>
      </c>
      <c r="H587" s="13" t="s">
        <v>4</v>
      </c>
      <c r="I587" s="15">
        <v>-30480.28</v>
      </c>
      <c r="J587" s="13" t="s">
        <v>5</v>
      </c>
      <c r="K587" s="13" t="s">
        <v>6</v>
      </c>
      <c r="L587" s="15">
        <v>-2558819.5099999998</v>
      </c>
      <c r="M587" s="15">
        <v>-30480.28</v>
      </c>
      <c r="N587" s="16" t="str">
        <f>IF(M587="","",IF(M587&lt;0,-M587&amp;"_"&amp;COUNTIF(M$2:M587,M587),M587&amp;"_"&amp;COUNTIF(M$2:M587,M587)))</f>
        <v>30480.28_1</v>
      </c>
      <c r="O587" s="17" t="str">
        <f t="shared" si="9"/>
        <v/>
      </c>
      <c r="P587" s="13" t="s">
        <v>1422</v>
      </c>
      <c r="Q587" s="13" t="s">
        <v>1423</v>
      </c>
      <c r="R587" s="13" t="s">
        <v>0</v>
      </c>
      <c r="S587" s="13" t="s">
        <v>0</v>
      </c>
      <c r="T587" s="13" t="s">
        <v>9</v>
      </c>
      <c r="U587" s="13" t="s">
        <v>0</v>
      </c>
      <c r="V587" s="13" t="s">
        <v>0</v>
      </c>
      <c r="W587" s="13" t="s">
        <v>0</v>
      </c>
      <c r="X587" s="13" t="s">
        <v>0</v>
      </c>
      <c r="Y587" s="13" t="s">
        <v>10</v>
      </c>
      <c r="Z587" s="13" t="s">
        <v>0</v>
      </c>
      <c r="AA587" s="14"/>
      <c r="AB587" s="13" t="s">
        <v>0</v>
      </c>
      <c r="AC587" s="13" t="s">
        <v>0</v>
      </c>
      <c r="AD587" s="13" t="s">
        <v>0</v>
      </c>
      <c r="AE587" s="15">
        <v>0</v>
      </c>
    </row>
    <row r="588" spans="1:31" ht="14.15" customHeight="1" x14ac:dyDescent="0.25">
      <c r="A588" s="12" t="s">
        <v>0</v>
      </c>
      <c r="B588" s="13" t="s">
        <v>1</v>
      </c>
      <c r="C588" s="13" t="s">
        <v>2483</v>
      </c>
      <c r="D588" s="14">
        <v>44234</v>
      </c>
      <c r="E588" s="14">
        <v>44234</v>
      </c>
      <c r="F588" s="14">
        <v>44241</v>
      </c>
      <c r="G588" s="13" t="s">
        <v>3</v>
      </c>
      <c r="H588" s="13" t="s">
        <v>4</v>
      </c>
      <c r="I588" s="15">
        <v>-30329.11</v>
      </c>
      <c r="J588" s="13" t="s">
        <v>5</v>
      </c>
      <c r="K588" s="13" t="s">
        <v>6</v>
      </c>
      <c r="L588" s="15">
        <v>-2546128.7799999998</v>
      </c>
      <c r="M588" s="15">
        <v>-30329.11</v>
      </c>
      <c r="N588" s="16" t="str">
        <f>IF(M588="","",IF(M588&lt;0,-M588&amp;"_"&amp;COUNTIF(M$2:M588,M588),M588&amp;"_"&amp;COUNTIF(M$2:M588,M588)))</f>
        <v>30329.11_1</v>
      </c>
      <c r="O588" s="17" t="str">
        <f t="shared" si="9"/>
        <v/>
      </c>
      <c r="P588" s="13" t="s">
        <v>2484</v>
      </c>
      <c r="Q588" s="13" t="s">
        <v>2462</v>
      </c>
      <c r="R588" s="13" t="s">
        <v>0</v>
      </c>
      <c r="S588" s="13" t="s">
        <v>0</v>
      </c>
      <c r="T588" s="13" t="s">
        <v>9</v>
      </c>
      <c r="U588" s="13" t="s">
        <v>0</v>
      </c>
      <c r="V588" s="13" t="s">
        <v>0</v>
      </c>
      <c r="W588" s="13" t="s">
        <v>0</v>
      </c>
      <c r="X588" s="13" t="s">
        <v>0</v>
      </c>
      <c r="Y588" s="13" t="s">
        <v>10</v>
      </c>
      <c r="Z588" s="13" t="s">
        <v>0</v>
      </c>
      <c r="AA588" s="14"/>
      <c r="AB588" s="13" t="s">
        <v>0</v>
      </c>
      <c r="AC588" s="13" t="s">
        <v>0</v>
      </c>
      <c r="AD588" s="13" t="s">
        <v>0</v>
      </c>
      <c r="AE588" s="15">
        <v>0</v>
      </c>
    </row>
    <row r="589" spans="1:31" ht="14.15" customHeight="1" x14ac:dyDescent="0.25">
      <c r="A589" s="12" t="s">
        <v>0</v>
      </c>
      <c r="B589" s="13" t="s">
        <v>1</v>
      </c>
      <c r="C589" s="13" t="s">
        <v>2981</v>
      </c>
      <c r="D589" s="14">
        <v>44279</v>
      </c>
      <c r="E589" s="14">
        <v>44279</v>
      </c>
      <c r="F589" s="14">
        <v>44287</v>
      </c>
      <c r="G589" s="13" t="s">
        <v>3</v>
      </c>
      <c r="H589" s="13" t="s">
        <v>4</v>
      </c>
      <c r="I589" s="15">
        <v>-30321.24</v>
      </c>
      <c r="J589" s="13" t="s">
        <v>5</v>
      </c>
      <c r="K589" s="13" t="s">
        <v>6</v>
      </c>
      <c r="L589" s="15">
        <v>-2545468.1</v>
      </c>
      <c r="M589" s="15">
        <v>-30321.24</v>
      </c>
      <c r="N589" s="16" t="str">
        <f>IF(M589="","",IF(M589&lt;0,-M589&amp;"_"&amp;COUNTIF(M$2:M589,M589),M589&amp;"_"&amp;COUNTIF(M$2:M589,M589)))</f>
        <v>30321.24_1</v>
      </c>
      <c r="O589" s="17" t="str">
        <f t="shared" si="9"/>
        <v/>
      </c>
      <c r="P589" s="13" t="s">
        <v>2982</v>
      </c>
      <c r="Q589" s="13" t="s">
        <v>2978</v>
      </c>
      <c r="R589" s="13" t="s">
        <v>0</v>
      </c>
      <c r="S589" s="13" t="s">
        <v>0</v>
      </c>
      <c r="T589" s="13" t="s">
        <v>9</v>
      </c>
      <c r="U589" s="13" t="s">
        <v>0</v>
      </c>
      <c r="V589" s="13" t="s">
        <v>0</v>
      </c>
      <c r="W589" s="13" t="s">
        <v>0</v>
      </c>
      <c r="X589" s="13" t="s">
        <v>0</v>
      </c>
      <c r="Y589" s="13" t="s">
        <v>10</v>
      </c>
      <c r="Z589" s="13" t="s">
        <v>0</v>
      </c>
      <c r="AA589" s="14"/>
      <c r="AB589" s="13" t="s">
        <v>0</v>
      </c>
      <c r="AC589" s="13" t="s">
        <v>0</v>
      </c>
      <c r="AD589" s="13" t="s">
        <v>0</v>
      </c>
      <c r="AE589" s="15">
        <v>0</v>
      </c>
    </row>
    <row r="590" spans="1:31" ht="14.15" customHeight="1" x14ac:dyDescent="0.25">
      <c r="A590" s="12" t="s">
        <v>0</v>
      </c>
      <c r="B590" s="13" t="s">
        <v>1</v>
      </c>
      <c r="C590" s="13" t="s">
        <v>4033</v>
      </c>
      <c r="D590" s="14">
        <v>44358</v>
      </c>
      <c r="E590" s="14">
        <v>44358</v>
      </c>
      <c r="F590" s="14">
        <v>44364</v>
      </c>
      <c r="G590" s="13" t="s">
        <v>3</v>
      </c>
      <c r="H590" s="13" t="s">
        <v>4</v>
      </c>
      <c r="I590" s="15">
        <v>-30295.02</v>
      </c>
      <c r="J590" s="13" t="s">
        <v>5</v>
      </c>
      <c r="K590" s="13" t="s">
        <v>6</v>
      </c>
      <c r="L590" s="15">
        <v>-2543266.9300000002</v>
      </c>
      <c r="M590" s="15">
        <v>-30295.02</v>
      </c>
      <c r="N590" s="16" t="str">
        <f>IF(M590="","",IF(M590&lt;0,-M590&amp;"_"&amp;COUNTIF(M$2:M590,M590),M590&amp;"_"&amp;COUNTIF(M$2:M590,M590)))</f>
        <v>30295.02_1</v>
      </c>
      <c r="O590" s="17" t="str">
        <f t="shared" si="9"/>
        <v/>
      </c>
      <c r="P590" s="13" t="s">
        <v>4034</v>
      </c>
      <c r="Q590" s="13" t="s">
        <v>4006</v>
      </c>
      <c r="R590" s="13" t="s">
        <v>0</v>
      </c>
      <c r="S590" s="13" t="s">
        <v>0</v>
      </c>
      <c r="T590" s="13" t="s">
        <v>9</v>
      </c>
      <c r="U590" s="13" t="s">
        <v>0</v>
      </c>
      <c r="V590" s="13" t="s">
        <v>0</v>
      </c>
      <c r="W590" s="13" t="s">
        <v>0</v>
      </c>
      <c r="X590" s="13" t="s">
        <v>0</v>
      </c>
      <c r="Y590" s="13" t="s">
        <v>10</v>
      </c>
      <c r="Z590" s="13" t="s">
        <v>0</v>
      </c>
      <c r="AA590" s="14"/>
      <c r="AB590" s="13" t="s">
        <v>0</v>
      </c>
      <c r="AC590" s="13" t="s">
        <v>0</v>
      </c>
      <c r="AD590" s="13" t="s">
        <v>0</v>
      </c>
      <c r="AE590" s="15">
        <v>0</v>
      </c>
    </row>
    <row r="591" spans="1:31" ht="14.15" customHeight="1" x14ac:dyDescent="0.25">
      <c r="A591" s="12" t="s">
        <v>0</v>
      </c>
      <c r="B591" s="13" t="s">
        <v>1</v>
      </c>
      <c r="C591" s="13" t="s">
        <v>3638</v>
      </c>
      <c r="D591" s="14">
        <v>44331</v>
      </c>
      <c r="E591" s="14">
        <v>44331</v>
      </c>
      <c r="F591" s="14">
        <v>44336</v>
      </c>
      <c r="G591" s="13" t="s">
        <v>3</v>
      </c>
      <c r="H591" s="13" t="s">
        <v>4</v>
      </c>
      <c r="I591" s="15">
        <v>-30256.62</v>
      </c>
      <c r="J591" s="13" t="s">
        <v>5</v>
      </c>
      <c r="K591" s="13" t="s">
        <v>6</v>
      </c>
      <c r="L591" s="15">
        <v>-2540043.25</v>
      </c>
      <c r="M591" s="15">
        <v>-30256.62</v>
      </c>
      <c r="N591" s="16" t="str">
        <f>IF(M591="","",IF(M591&lt;0,-M591&amp;"_"&amp;COUNTIF(M$2:M591,M591),M591&amp;"_"&amp;COUNTIF(M$2:M591,M591)))</f>
        <v>30256.62_1</v>
      </c>
      <c r="O591" s="17" t="str">
        <f t="shared" si="9"/>
        <v/>
      </c>
      <c r="P591" s="13" t="s">
        <v>3639</v>
      </c>
      <c r="Q591" s="13" t="s">
        <v>3637</v>
      </c>
      <c r="R591" s="13" t="s">
        <v>0</v>
      </c>
      <c r="S591" s="13" t="s">
        <v>0</v>
      </c>
      <c r="T591" s="13" t="s">
        <v>9</v>
      </c>
      <c r="U591" s="13" t="s">
        <v>0</v>
      </c>
      <c r="V591" s="13" t="s">
        <v>0</v>
      </c>
      <c r="W591" s="13" t="s">
        <v>0</v>
      </c>
      <c r="X591" s="13" t="s">
        <v>0</v>
      </c>
      <c r="Y591" s="13" t="s">
        <v>10</v>
      </c>
      <c r="Z591" s="13" t="s">
        <v>0</v>
      </c>
      <c r="AA591" s="14"/>
      <c r="AB591" s="13" t="s">
        <v>0</v>
      </c>
      <c r="AC591" s="13" t="s">
        <v>0</v>
      </c>
      <c r="AD591" s="13" t="s">
        <v>0</v>
      </c>
      <c r="AE591" s="15">
        <v>0</v>
      </c>
    </row>
    <row r="592" spans="1:31" ht="14.15" customHeight="1" x14ac:dyDescent="0.25">
      <c r="A592" s="12" t="s">
        <v>0</v>
      </c>
      <c r="B592" s="13" t="s">
        <v>1</v>
      </c>
      <c r="C592" s="13" t="s">
        <v>2413</v>
      </c>
      <c r="D592" s="14">
        <v>44229</v>
      </c>
      <c r="E592" s="14">
        <v>44229</v>
      </c>
      <c r="F592" s="14">
        <v>44236</v>
      </c>
      <c r="G592" s="13" t="s">
        <v>3</v>
      </c>
      <c r="H592" s="13" t="s">
        <v>4</v>
      </c>
      <c r="I592" s="15">
        <v>-30255.38</v>
      </c>
      <c r="J592" s="13" t="s">
        <v>5</v>
      </c>
      <c r="K592" s="13" t="s">
        <v>6</v>
      </c>
      <c r="L592" s="15">
        <v>-2539939.15</v>
      </c>
      <c r="M592" s="15">
        <v>-30255.38</v>
      </c>
      <c r="N592" s="16" t="str">
        <f>IF(M592="","",IF(M592&lt;0,-M592&amp;"_"&amp;COUNTIF(M$2:M592,M592),M592&amp;"_"&amp;COUNTIF(M$2:M592,M592)))</f>
        <v>30255.38_1</v>
      </c>
      <c r="O592" s="17" t="str">
        <f t="shared" si="9"/>
        <v/>
      </c>
      <c r="P592" s="13" t="s">
        <v>2414</v>
      </c>
      <c r="Q592" s="13" t="s">
        <v>2415</v>
      </c>
      <c r="R592" s="13" t="s">
        <v>0</v>
      </c>
      <c r="S592" s="13" t="s">
        <v>0</v>
      </c>
      <c r="T592" s="13" t="s">
        <v>9</v>
      </c>
      <c r="U592" s="13" t="s">
        <v>0</v>
      </c>
      <c r="V592" s="13" t="s">
        <v>0</v>
      </c>
      <c r="W592" s="13" t="s">
        <v>0</v>
      </c>
      <c r="X592" s="13" t="s">
        <v>0</v>
      </c>
      <c r="Y592" s="13" t="s">
        <v>10</v>
      </c>
      <c r="Z592" s="13" t="s">
        <v>0</v>
      </c>
      <c r="AA592" s="14"/>
      <c r="AB592" s="13" t="s">
        <v>0</v>
      </c>
      <c r="AC592" s="13" t="s">
        <v>0</v>
      </c>
      <c r="AD592" s="13" t="s">
        <v>0</v>
      </c>
      <c r="AE592" s="15">
        <v>0</v>
      </c>
    </row>
    <row r="593" spans="1:31" ht="14.15" customHeight="1" x14ac:dyDescent="0.25">
      <c r="A593" s="12" t="s">
        <v>0</v>
      </c>
      <c r="B593" s="13" t="s">
        <v>1</v>
      </c>
      <c r="C593" s="13" t="s">
        <v>1707</v>
      </c>
      <c r="D593" s="14">
        <v>44174</v>
      </c>
      <c r="E593" s="14">
        <v>44174</v>
      </c>
      <c r="F593" s="14">
        <v>44185</v>
      </c>
      <c r="G593" s="13" t="s">
        <v>3</v>
      </c>
      <c r="H593" s="13" t="s">
        <v>4</v>
      </c>
      <c r="I593" s="15">
        <v>-30254.92</v>
      </c>
      <c r="J593" s="13" t="s">
        <v>5</v>
      </c>
      <c r="K593" s="13" t="s">
        <v>6</v>
      </c>
      <c r="L593" s="15">
        <v>-2539900.5299999998</v>
      </c>
      <c r="M593" s="15">
        <v>-30254.92</v>
      </c>
      <c r="N593" s="16" t="str">
        <f>IF(M593="","",IF(M593&lt;0,-M593&amp;"_"&amp;COUNTIF(M$2:M593,M593),M593&amp;"_"&amp;COUNTIF(M$2:M593,M593)))</f>
        <v>30254.92_1</v>
      </c>
      <c r="O593" s="17" t="str">
        <f t="shared" si="9"/>
        <v/>
      </c>
      <c r="P593" s="13" t="s">
        <v>1708</v>
      </c>
      <c r="Q593" s="13" t="s">
        <v>1704</v>
      </c>
      <c r="R593" s="13" t="s">
        <v>0</v>
      </c>
      <c r="S593" s="13" t="s">
        <v>0</v>
      </c>
      <c r="T593" s="13" t="s">
        <v>9</v>
      </c>
      <c r="U593" s="13" t="s">
        <v>0</v>
      </c>
      <c r="V593" s="13" t="s">
        <v>0</v>
      </c>
      <c r="W593" s="13" t="s">
        <v>0</v>
      </c>
      <c r="X593" s="13" t="s">
        <v>0</v>
      </c>
      <c r="Y593" s="13" t="s">
        <v>10</v>
      </c>
      <c r="Z593" s="13" t="s">
        <v>0</v>
      </c>
      <c r="AA593" s="14"/>
      <c r="AB593" s="13" t="s">
        <v>0</v>
      </c>
      <c r="AC593" s="13" t="s">
        <v>0</v>
      </c>
      <c r="AD593" s="13" t="s">
        <v>0</v>
      </c>
      <c r="AE593" s="15">
        <v>0</v>
      </c>
    </row>
    <row r="594" spans="1:31" ht="14.15" customHeight="1" x14ac:dyDescent="0.25">
      <c r="A594" s="12" t="s">
        <v>0</v>
      </c>
      <c r="B594" s="13" t="s">
        <v>1</v>
      </c>
      <c r="C594" s="13" t="s">
        <v>2739</v>
      </c>
      <c r="D594" s="14">
        <v>44259</v>
      </c>
      <c r="E594" s="14">
        <v>44259</v>
      </c>
      <c r="F594" s="14">
        <v>44265</v>
      </c>
      <c r="G594" s="13" t="s">
        <v>3</v>
      </c>
      <c r="H594" s="13" t="s">
        <v>4</v>
      </c>
      <c r="I594" s="15">
        <v>-30222.639999999999</v>
      </c>
      <c r="J594" s="13" t="s">
        <v>5</v>
      </c>
      <c r="K594" s="13" t="s">
        <v>6</v>
      </c>
      <c r="L594" s="15">
        <v>-2537190.62</v>
      </c>
      <c r="M594" s="15">
        <v>-30222.639999999999</v>
      </c>
      <c r="N594" s="16" t="str">
        <f>IF(M594="","",IF(M594&lt;0,-M594&amp;"_"&amp;COUNTIF(M$2:M594,M594),M594&amp;"_"&amp;COUNTIF(M$2:M594,M594)))</f>
        <v>30222.64_1</v>
      </c>
      <c r="O594" s="17" t="str">
        <f t="shared" si="9"/>
        <v/>
      </c>
      <c r="P594" s="13" t="s">
        <v>2740</v>
      </c>
      <c r="Q594" s="13" t="s">
        <v>2741</v>
      </c>
      <c r="R594" s="13" t="s">
        <v>0</v>
      </c>
      <c r="S594" s="13" t="s">
        <v>0</v>
      </c>
      <c r="T594" s="13" t="s">
        <v>9</v>
      </c>
      <c r="U594" s="13" t="s">
        <v>0</v>
      </c>
      <c r="V594" s="13" t="s">
        <v>0</v>
      </c>
      <c r="W594" s="13" t="s">
        <v>0</v>
      </c>
      <c r="X594" s="13" t="s">
        <v>0</v>
      </c>
      <c r="Y594" s="13" t="s">
        <v>10</v>
      </c>
      <c r="Z594" s="13" t="s">
        <v>0</v>
      </c>
      <c r="AA594" s="14"/>
      <c r="AB594" s="13" t="s">
        <v>0</v>
      </c>
      <c r="AC594" s="13" t="s">
        <v>0</v>
      </c>
      <c r="AD594" s="13" t="s">
        <v>0</v>
      </c>
      <c r="AE594" s="15">
        <v>0</v>
      </c>
    </row>
    <row r="595" spans="1:31" ht="14.15" customHeight="1" x14ac:dyDescent="0.25">
      <c r="A595" s="12" t="s">
        <v>0</v>
      </c>
      <c r="B595" s="13" t="s">
        <v>1</v>
      </c>
      <c r="C595" s="13" t="s">
        <v>3640</v>
      </c>
      <c r="D595" s="14">
        <v>44331</v>
      </c>
      <c r="E595" s="14">
        <v>44331</v>
      </c>
      <c r="F595" s="14">
        <v>44336</v>
      </c>
      <c r="G595" s="13" t="s">
        <v>3</v>
      </c>
      <c r="H595" s="13" t="s">
        <v>4</v>
      </c>
      <c r="I595" s="15">
        <v>-30187.1</v>
      </c>
      <c r="J595" s="13" t="s">
        <v>5</v>
      </c>
      <c r="K595" s="13" t="s">
        <v>6</v>
      </c>
      <c r="L595" s="15">
        <v>-2534207.0499999998</v>
      </c>
      <c r="M595" s="15">
        <v>-30187.1</v>
      </c>
      <c r="N595" s="16" t="str">
        <f>IF(M595="","",IF(M595&lt;0,-M595&amp;"_"&amp;COUNTIF(M$2:M595,M595),M595&amp;"_"&amp;COUNTIF(M$2:M595,M595)))</f>
        <v>30187.1_1</v>
      </c>
      <c r="O595" s="17" t="str">
        <f t="shared" si="9"/>
        <v/>
      </c>
      <c r="P595" s="13" t="s">
        <v>3641</v>
      </c>
      <c r="Q595" s="13" t="s">
        <v>3637</v>
      </c>
      <c r="R595" s="13" t="s">
        <v>0</v>
      </c>
      <c r="S595" s="13" t="s">
        <v>0</v>
      </c>
      <c r="T595" s="13" t="s">
        <v>9</v>
      </c>
      <c r="U595" s="13" t="s">
        <v>0</v>
      </c>
      <c r="V595" s="13" t="s">
        <v>0</v>
      </c>
      <c r="W595" s="13" t="s">
        <v>0</v>
      </c>
      <c r="X595" s="13" t="s">
        <v>0</v>
      </c>
      <c r="Y595" s="13" t="s">
        <v>10</v>
      </c>
      <c r="Z595" s="13" t="s">
        <v>0</v>
      </c>
      <c r="AA595" s="14"/>
      <c r="AB595" s="13" t="s">
        <v>0</v>
      </c>
      <c r="AC595" s="13" t="s">
        <v>0</v>
      </c>
      <c r="AD595" s="13" t="s">
        <v>0</v>
      </c>
      <c r="AE595" s="15">
        <v>0</v>
      </c>
    </row>
    <row r="596" spans="1:31" ht="14.15" customHeight="1" x14ac:dyDescent="0.25">
      <c r="A596" s="12" t="s">
        <v>0</v>
      </c>
      <c r="B596" s="13" t="s">
        <v>1</v>
      </c>
      <c r="C596" s="13" t="s">
        <v>143</v>
      </c>
      <c r="D596" s="14">
        <v>44030</v>
      </c>
      <c r="E596" s="14">
        <v>44030</v>
      </c>
      <c r="F596" s="14">
        <v>44034</v>
      </c>
      <c r="G596" s="13" t="s">
        <v>3</v>
      </c>
      <c r="H596" s="13" t="s">
        <v>4</v>
      </c>
      <c r="I596" s="15">
        <v>-30171.33</v>
      </c>
      <c r="J596" s="13" t="s">
        <v>5</v>
      </c>
      <c r="K596" s="13" t="s">
        <v>6</v>
      </c>
      <c r="L596" s="15">
        <v>-2532883.15</v>
      </c>
      <c r="M596" s="15">
        <v>-30171.33</v>
      </c>
      <c r="N596" s="16" t="str">
        <f>IF(M596="","",IF(M596&lt;0,-M596&amp;"_"&amp;COUNTIF(M$2:M596,M596),M596&amp;"_"&amp;COUNTIF(M$2:M596,M596)))</f>
        <v>30171.33_1</v>
      </c>
      <c r="O596" s="17" t="str">
        <f t="shared" si="9"/>
        <v/>
      </c>
      <c r="P596" s="13" t="s">
        <v>144</v>
      </c>
      <c r="Q596" s="13" t="s">
        <v>145</v>
      </c>
      <c r="R596" s="13" t="s">
        <v>0</v>
      </c>
      <c r="S596" s="13" t="s">
        <v>0</v>
      </c>
      <c r="T596" s="13" t="s">
        <v>9</v>
      </c>
      <c r="U596" s="13" t="s">
        <v>0</v>
      </c>
      <c r="V596" s="13" t="s">
        <v>0</v>
      </c>
      <c r="W596" s="13" t="s">
        <v>0</v>
      </c>
      <c r="X596" s="13" t="s">
        <v>0</v>
      </c>
      <c r="Y596" s="13" t="s">
        <v>10</v>
      </c>
      <c r="Z596" s="13" t="s">
        <v>0</v>
      </c>
      <c r="AA596" s="14"/>
      <c r="AB596" s="13" t="s">
        <v>0</v>
      </c>
      <c r="AC596" s="13" t="s">
        <v>0</v>
      </c>
      <c r="AD596" s="13" t="s">
        <v>0</v>
      </c>
      <c r="AE596" s="15">
        <v>0</v>
      </c>
    </row>
    <row r="597" spans="1:31" ht="14.15" customHeight="1" x14ac:dyDescent="0.25">
      <c r="A597" s="12" t="s">
        <v>0</v>
      </c>
      <c r="B597" s="13" t="s">
        <v>1</v>
      </c>
      <c r="C597" s="13" t="s">
        <v>1891</v>
      </c>
      <c r="D597" s="14">
        <v>44189</v>
      </c>
      <c r="E597" s="14">
        <v>44189</v>
      </c>
      <c r="F597" s="14">
        <v>44194</v>
      </c>
      <c r="G597" s="13" t="s">
        <v>3</v>
      </c>
      <c r="H597" s="13" t="s">
        <v>4</v>
      </c>
      <c r="I597" s="15">
        <v>-30168.61</v>
      </c>
      <c r="J597" s="13" t="s">
        <v>5</v>
      </c>
      <c r="K597" s="13" t="s">
        <v>6</v>
      </c>
      <c r="L597" s="15">
        <v>-2532654.81</v>
      </c>
      <c r="M597" s="15">
        <v>-30168.61</v>
      </c>
      <c r="N597" s="16" t="str">
        <f>IF(M597="","",IF(M597&lt;0,-M597&amp;"_"&amp;COUNTIF(M$2:M597,M597),M597&amp;"_"&amp;COUNTIF(M$2:M597,M597)))</f>
        <v>30168.61_1</v>
      </c>
      <c r="O597" s="17" t="str">
        <f t="shared" si="9"/>
        <v/>
      </c>
      <c r="P597" s="13" t="s">
        <v>1892</v>
      </c>
      <c r="Q597" s="13" t="s">
        <v>1886</v>
      </c>
      <c r="R597" s="13" t="s">
        <v>0</v>
      </c>
      <c r="S597" s="13" t="s">
        <v>0</v>
      </c>
      <c r="T597" s="13" t="s">
        <v>9</v>
      </c>
      <c r="U597" s="13" t="s">
        <v>0</v>
      </c>
      <c r="V597" s="13" t="s">
        <v>0</v>
      </c>
      <c r="W597" s="13" t="s">
        <v>0</v>
      </c>
      <c r="X597" s="13" t="s">
        <v>0</v>
      </c>
      <c r="Y597" s="13" t="s">
        <v>10</v>
      </c>
      <c r="Z597" s="13" t="s">
        <v>0</v>
      </c>
      <c r="AA597" s="14"/>
      <c r="AB597" s="13" t="s">
        <v>0</v>
      </c>
      <c r="AC597" s="13" t="s">
        <v>0</v>
      </c>
      <c r="AD597" s="13" t="s">
        <v>0</v>
      </c>
      <c r="AE597" s="15">
        <v>0</v>
      </c>
    </row>
    <row r="598" spans="1:31" ht="14.15" customHeight="1" x14ac:dyDescent="0.25">
      <c r="A598" s="12" t="s">
        <v>0</v>
      </c>
      <c r="B598" s="13" t="s">
        <v>1</v>
      </c>
      <c r="C598" s="13" t="s">
        <v>2160</v>
      </c>
      <c r="D598" s="14">
        <v>44209</v>
      </c>
      <c r="E598" s="14">
        <v>44209</v>
      </c>
      <c r="F598" s="14">
        <v>44216</v>
      </c>
      <c r="G598" s="13" t="s">
        <v>3</v>
      </c>
      <c r="H598" s="13" t="s">
        <v>4</v>
      </c>
      <c r="I598" s="15">
        <v>-30161.09</v>
      </c>
      <c r="J598" s="13" t="s">
        <v>5</v>
      </c>
      <c r="K598" s="13" t="s">
        <v>6</v>
      </c>
      <c r="L598" s="15">
        <v>-2532023.5099999998</v>
      </c>
      <c r="M598" s="15">
        <v>-30161.09</v>
      </c>
      <c r="N598" s="16" t="str">
        <f>IF(M598="","",IF(M598&lt;0,-M598&amp;"_"&amp;COUNTIF(M$2:M598,M598),M598&amp;"_"&amp;COUNTIF(M$2:M598,M598)))</f>
        <v>30161.09_1</v>
      </c>
      <c r="O598" s="17" t="str">
        <f t="shared" si="9"/>
        <v/>
      </c>
      <c r="P598" s="13" t="s">
        <v>2161</v>
      </c>
      <c r="Q598" s="13" t="s">
        <v>2159</v>
      </c>
      <c r="R598" s="13" t="s">
        <v>0</v>
      </c>
      <c r="S598" s="13" t="s">
        <v>0</v>
      </c>
      <c r="T598" s="13" t="s">
        <v>9</v>
      </c>
      <c r="U598" s="13" t="s">
        <v>0</v>
      </c>
      <c r="V598" s="13" t="s">
        <v>0</v>
      </c>
      <c r="W598" s="13" t="s">
        <v>0</v>
      </c>
      <c r="X598" s="13" t="s">
        <v>0</v>
      </c>
      <c r="Y598" s="13" t="s">
        <v>10</v>
      </c>
      <c r="Z598" s="13" t="s">
        <v>0</v>
      </c>
      <c r="AA598" s="14"/>
      <c r="AB598" s="13" t="s">
        <v>0</v>
      </c>
      <c r="AC598" s="13" t="s">
        <v>0</v>
      </c>
      <c r="AD598" s="13" t="s">
        <v>0</v>
      </c>
      <c r="AE598" s="15">
        <v>0</v>
      </c>
    </row>
    <row r="599" spans="1:31" ht="14.15" customHeight="1" x14ac:dyDescent="0.25">
      <c r="A599" s="12" t="s">
        <v>0</v>
      </c>
      <c r="B599" s="13" t="s">
        <v>289</v>
      </c>
      <c r="C599" s="13" t="s">
        <v>298</v>
      </c>
      <c r="D599" s="14">
        <v>44042</v>
      </c>
      <c r="E599" s="14">
        <v>44042</v>
      </c>
      <c r="F599" s="14">
        <v>44054</v>
      </c>
      <c r="G599" s="13" t="s">
        <v>48</v>
      </c>
      <c r="H599" s="13" t="s">
        <v>4</v>
      </c>
      <c r="I599" s="15">
        <v>-29979.22</v>
      </c>
      <c r="J599" s="13" t="s">
        <v>5</v>
      </c>
      <c r="K599" s="13" t="s">
        <v>6</v>
      </c>
      <c r="L599" s="15">
        <v>-2516755.52</v>
      </c>
      <c r="M599" s="15">
        <v>-29979.22</v>
      </c>
      <c r="N599" s="16" t="str">
        <f>IF(M599="","",IF(M599&lt;0,-M599&amp;"_"&amp;COUNTIF(M$2:M599,M599),M599&amp;"_"&amp;COUNTIF(M$2:M599,M599)))</f>
        <v>29979.22_1</v>
      </c>
      <c r="O599" s="17" t="str">
        <f t="shared" si="9"/>
        <v/>
      </c>
      <c r="P599" s="13" t="s">
        <v>299</v>
      </c>
      <c r="Q599" s="13" t="s">
        <v>299</v>
      </c>
      <c r="R599" s="13" t="s">
        <v>294</v>
      </c>
      <c r="S599" s="13" t="s">
        <v>0</v>
      </c>
      <c r="T599" s="13" t="s">
        <v>9</v>
      </c>
      <c r="U599" s="13" t="s">
        <v>295</v>
      </c>
      <c r="V599" s="13" t="s">
        <v>0</v>
      </c>
      <c r="W599" s="13" t="s">
        <v>0</v>
      </c>
      <c r="X599" s="13" t="s">
        <v>0</v>
      </c>
      <c r="Y599" s="13" t="s">
        <v>291</v>
      </c>
      <c r="Z599" s="13" t="s">
        <v>0</v>
      </c>
      <c r="AA599" s="14"/>
      <c r="AB599" s="13" t="s">
        <v>0</v>
      </c>
      <c r="AC599" s="13" t="s">
        <v>0</v>
      </c>
      <c r="AD599" s="13" t="s">
        <v>0</v>
      </c>
      <c r="AE599" s="15">
        <v>0</v>
      </c>
    </row>
    <row r="600" spans="1:31" ht="14.15" customHeight="1" x14ac:dyDescent="0.25">
      <c r="A600" s="12" t="s">
        <v>0</v>
      </c>
      <c r="B600" s="13" t="s">
        <v>1</v>
      </c>
      <c r="C600" s="13" t="s">
        <v>2577</v>
      </c>
      <c r="D600" s="14">
        <v>44243</v>
      </c>
      <c r="E600" s="14">
        <v>44243</v>
      </c>
      <c r="F600" s="14">
        <v>44249</v>
      </c>
      <c r="G600" s="13" t="s">
        <v>3</v>
      </c>
      <c r="H600" s="13" t="s">
        <v>4</v>
      </c>
      <c r="I600" s="15">
        <v>-29870.14</v>
      </c>
      <c r="J600" s="13" t="s">
        <v>5</v>
      </c>
      <c r="K600" s="13" t="s">
        <v>6</v>
      </c>
      <c r="L600" s="15">
        <v>-2507598.25</v>
      </c>
      <c r="M600" s="15">
        <v>-29870.14</v>
      </c>
      <c r="N600" s="16" t="str">
        <f>IF(M600="","",IF(M600&lt;0,-M600&amp;"_"&amp;COUNTIF(M$2:M600,M600),M600&amp;"_"&amp;COUNTIF(M$2:M600,M600)))</f>
        <v>29870.14_1</v>
      </c>
      <c r="O600" s="17" t="str">
        <f t="shared" si="9"/>
        <v/>
      </c>
      <c r="P600" s="13" t="s">
        <v>2578</v>
      </c>
      <c r="Q600" s="13" t="s">
        <v>2574</v>
      </c>
      <c r="R600" s="13" t="s">
        <v>0</v>
      </c>
      <c r="S600" s="13" t="s">
        <v>0</v>
      </c>
      <c r="T600" s="13" t="s">
        <v>9</v>
      </c>
      <c r="U600" s="13" t="s">
        <v>0</v>
      </c>
      <c r="V600" s="13" t="s">
        <v>0</v>
      </c>
      <c r="W600" s="13" t="s">
        <v>0</v>
      </c>
      <c r="X600" s="13" t="s">
        <v>0</v>
      </c>
      <c r="Y600" s="13" t="s">
        <v>10</v>
      </c>
      <c r="Z600" s="13" t="s">
        <v>0</v>
      </c>
      <c r="AA600" s="14"/>
      <c r="AB600" s="13" t="s">
        <v>0</v>
      </c>
      <c r="AC600" s="13" t="s">
        <v>0</v>
      </c>
      <c r="AD600" s="13" t="s">
        <v>0</v>
      </c>
      <c r="AE600" s="15">
        <v>0</v>
      </c>
    </row>
    <row r="601" spans="1:31" ht="14.15" customHeight="1" x14ac:dyDescent="0.25">
      <c r="A601" s="12" t="s">
        <v>0</v>
      </c>
      <c r="B601" s="13" t="s">
        <v>1</v>
      </c>
      <c r="C601" s="13" t="s">
        <v>319</v>
      </c>
      <c r="D601" s="14">
        <v>44043</v>
      </c>
      <c r="E601" s="14">
        <v>44043</v>
      </c>
      <c r="F601" s="14">
        <v>44057</v>
      </c>
      <c r="G601" s="13" t="s">
        <v>3</v>
      </c>
      <c r="H601" s="13" t="s">
        <v>4</v>
      </c>
      <c r="I601" s="15">
        <v>-29863.83</v>
      </c>
      <c r="J601" s="13" t="s">
        <v>5</v>
      </c>
      <c r="K601" s="13" t="s">
        <v>6</v>
      </c>
      <c r="L601" s="15">
        <v>-2507068.5299999998</v>
      </c>
      <c r="M601" s="15">
        <v>-29863.83</v>
      </c>
      <c r="N601" s="16" t="str">
        <f>IF(M601="","",IF(M601&lt;0,-M601&amp;"_"&amp;COUNTIF(M$2:M601,M601),M601&amp;"_"&amp;COUNTIF(M$2:M601,M601)))</f>
        <v>29863.83_1</v>
      </c>
      <c r="O601" s="17" t="str">
        <f t="shared" si="9"/>
        <v/>
      </c>
      <c r="P601" s="13" t="s">
        <v>320</v>
      </c>
      <c r="Q601" s="13" t="s">
        <v>316</v>
      </c>
      <c r="R601" s="13" t="s">
        <v>0</v>
      </c>
      <c r="S601" s="13" t="s">
        <v>0</v>
      </c>
      <c r="T601" s="13" t="s">
        <v>9</v>
      </c>
      <c r="U601" s="13" t="s">
        <v>0</v>
      </c>
      <c r="V601" s="13" t="s">
        <v>0</v>
      </c>
      <c r="W601" s="13" t="s">
        <v>0</v>
      </c>
      <c r="X601" s="13" t="s">
        <v>0</v>
      </c>
      <c r="Y601" s="13" t="s">
        <v>10</v>
      </c>
      <c r="Z601" s="13" t="s">
        <v>0</v>
      </c>
      <c r="AA601" s="14"/>
      <c r="AB601" s="13" t="s">
        <v>0</v>
      </c>
      <c r="AC601" s="13" t="s">
        <v>0</v>
      </c>
      <c r="AD601" s="13" t="s">
        <v>0</v>
      </c>
      <c r="AE601" s="15">
        <v>0</v>
      </c>
    </row>
    <row r="602" spans="1:31" ht="14.15" customHeight="1" x14ac:dyDescent="0.25">
      <c r="A602" s="12" t="s">
        <v>0</v>
      </c>
      <c r="B602" s="13" t="s">
        <v>1</v>
      </c>
      <c r="C602" s="13" t="s">
        <v>2671</v>
      </c>
      <c r="D602" s="14">
        <v>44253</v>
      </c>
      <c r="E602" s="14">
        <v>44253</v>
      </c>
      <c r="F602" s="14">
        <v>44257</v>
      </c>
      <c r="G602" s="13" t="s">
        <v>3</v>
      </c>
      <c r="H602" s="13" t="s">
        <v>4</v>
      </c>
      <c r="I602" s="15">
        <v>-29771.54</v>
      </c>
      <c r="J602" s="13" t="s">
        <v>5</v>
      </c>
      <c r="K602" s="13" t="s">
        <v>6</v>
      </c>
      <c r="L602" s="15">
        <v>-2499320.7799999998</v>
      </c>
      <c r="M602" s="15">
        <v>-29771.54</v>
      </c>
      <c r="N602" s="16" t="str">
        <f>IF(M602="","",IF(M602&lt;0,-M602&amp;"_"&amp;COUNTIF(M$2:M602,M602),M602&amp;"_"&amp;COUNTIF(M$2:M602,M602)))</f>
        <v>29771.54_1</v>
      </c>
      <c r="O602" s="17" t="str">
        <f t="shared" si="9"/>
        <v/>
      </c>
      <c r="P602" s="13" t="s">
        <v>2672</v>
      </c>
      <c r="Q602" s="13" t="s">
        <v>2660</v>
      </c>
      <c r="R602" s="13" t="s">
        <v>0</v>
      </c>
      <c r="S602" s="13" t="s">
        <v>0</v>
      </c>
      <c r="T602" s="13" t="s">
        <v>9</v>
      </c>
      <c r="U602" s="13" t="s">
        <v>0</v>
      </c>
      <c r="V602" s="13" t="s">
        <v>0</v>
      </c>
      <c r="W602" s="13" t="s">
        <v>0</v>
      </c>
      <c r="X602" s="13" t="s">
        <v>0</v>
      </c>
      <c r="Y602" s="13" t="s">
        <v>10</v>
      </c>
      <c r="Z602" s="13" t="s">
        <v>0</v>
      </c>
      <c r="AA602" s="14"/>
      <c r="AB602" s="13" t="s">
        <v>0</v>
      </c>
      <c r="AC602" s="13" t="s">
        <v>0</v>
      </c>
      <c r="AD602" s="13" t="s">
        <v>0</v>
      </c>
      <c r="AE602" s="15">
        <v>0</v>
      </c>
    </row>
    <row r="603" spans="1:31" ht="14.15" customHeight="1" x14ac:dyDescent="0.25">
      <c r="A603" s="12" t="s">
        <v>0</v>
      </c>
      <c r="B603" s="13" t="s">
        <v>1</v>
      </c>
      <c r="C603" s="13" t="s">
        <v>3802</v>
      </c>
      <c r="D603" s="14">
        <v>44344</v>
      </c>
      <c r="E603" s="14">
        <v>44344</v>
      </c>
      <c r="F603" s="14">
        <v>44348</v>
      </c>
      <c r="G603" s="13" t="s">
        <v>3</v>
      </c>
      <c r="H603" s="13" t="s">
        <v>4</v>
      </c>
      <c r="I603" s="15">
        <v>-29743.91</v>
      </c>
      <c r="J603" s="13" t="s">
        <v>5</v>
      </c>
      <c r="K603" s="13" t="s">
        <v>6</v>
      </c>
      <c r="L603" s="15">
        <v>-2497001.2400000002</v>
      </c>
      <c r="M603" s="15">
        <v>-29743.91</v>
      </c>
      <c r="N603" s="16" t="str">
        <f>IF(M603="","",IF(M603&lt;0,-M603&amp;"_"&amp;COUNTIF(M$2:M603,M603),M603&amp;"_"&amp;COUNTIF(M$2:M603,M603)))</f>
        <v>29743.91_1</v>
      </c>
      <c r="O603" s="17" t="str">
        <f t="shared" si="9"/>
        <v/>
      </c>
      <c r="P603" s="13" t="s">
        <v>3803</v>
      </c>
      <c r="Q603" s="13" t="s">
        <v>3778</v>
      </c>
      <c r="R603" s="13" t="s">
        <v>0</v>
      </c>
      <c r="S603" s="13" t="s">
        <v>0</v>
      </c>
      <c r="T603" s="13" t="s">
        <v>9</v>
      </c>
      <c r="U603" s="13" t="s">
        <v>0</v>
      </c>
      <c r="V603" s="13" t="s">
        <v>0</v>
      </c>
      <c r="W603" s="13" t="s">
        <v>0</v>
      </c>
      <c r="X603" s="13" t="s">
        <v>0</v>
      </c>
      <c r="Y603" s="13" t="s">
        <v>10</v>
      </c>
      <c r="Z603" s="13" t="s">
        <v>0</v>
      </c>
      <c r="AA603" s="14"/>
      <c r="AB603" s="13" t="s">
        <v>0</v>
      </c>
      <c r="AC603" s="13" t="s">
        <v>0</v>
      </c>
      <c r="AD603" s="13" t="s">
        <v>0</v>
      </c>
      <c r="AE603" s="15">
        <v>0</v>
      </c>
    </row>
    <row r="604" spans="1:31" ht="14.15" customHeight="1" x14ac:dyDescent="0.25">
      <c r="A604" s="12" t="s">
        <v>0</v>
      </c>
      <c r="B604" s="13" t="s">
        <v>1</v>
      </c>
      <c r="C604" s="13" t="s">
        <v>3631</v>
      </c>
      <c r="D604" s="14">
        <v>44330</v>
      </c>
      <c r="E604" s="14">
        <v>44330</v>
      </c>
      <c r="F604" s="14">
        <v>44336</v>
      </c>
      <c r="G604" s="13" t="s">
        <v>3</v>
      </c>
      <c r="H604" s="13" t="s">
        <v>4</v>
      </c>
      <c r="I604" s="15">
        <v>-29735.83</v>
      </c>
      <c r="J604" s="13" t="s">
        <v>5</v>
      </c>
      <c r="K604" s="13" t="s">
        <v>6</v>
      </c>
      <c r="L604" s="15">
        <v>-2496322.92</v>
      </c>
      <c r="M604" s="15">
        <v>-29735.83</v>
      </c>
      <c r="N604" s="16" t="str">
        <f>IF(M604="","",IF(M604&lt;0,-M604&amp;"_"&amp;COUNTIF(M$2:M604,M604),M604&amp;"_"&amp;COUNTIF(M$2:M604,M604)))</f>
        <v>29735.83_1</v>
      </c>
      <c r="O604" s="17" t="str">
        <f t="shared" si="9"/>
        <v/>
      </c>
      <c r="P604" s="13" t="s">
        <v>3632</v>
      </c>
      <c r="Q604" s="13" t="s">
        <v>3624</v>
      </c>
      <c r="R604" s="13" t="s">
        <v>0</v>
      </c>
      <c r="S604" s="13" t="s">
        <v>0</v>
      </c>
      <c r="T604" s="13" t="s">
        <v>9</v>
      </c>
      <c r="U604" s="13" t="s">
        <v>0</v>
      </c>
      <c r="V604" s="13" t="s">
        <v>0</v>
      </c>
      <c r="W604" s="13" t="s">
        <v>0</v>
      </c>
      <c r="X604" s="13" t="s">
        <v>0</v>
      </c>
      <c r="Y604" s="13" t="s">
        <v>10</v>
      </c>
      <c r="Z604" s="13" t="s">
        <v>0</v>
      </c>
      <c r="AA604" s="14"/>
      <c r="AB604" s="13" t="s">
        <v>0</v>
      </c>
      <c r="AC604" s="13" t="s">
        <v>0</v>
      </c>
      <c r="AD604" s="13" t="s">
        <v>0</v>
      </c>
      <c r="AE604" s="15">
        <v>0</v>
      </c>
    </row>
    <row r="605" spans="1:31" ht="14.15" customHeight="1" x14ac:dyDescent="0.25">
      <c r="A605" s="12" t="s">
        <v>0</v>
      </c>
      <c r="B605" s="13" t="s">
        <v>1</v>
      </c>
      <c r="C605" s="13" t="s">
        <v>4053</v>
      </c>
      <c r="D605" s="14">
        <v>44359</v>
      </c>
      <c r="E605" s="14">
        <v>44359</v>
      </c>
      <c r="F605" s="14">
        <v>44363</v>
      </c>
      <c r="G605" s="13" t="s">
        <v>3</v>
      </c>
      <c r="H605" s="13" t="s">
        <v>4</v>
      </c>
      <c r="I605" s="15">
        <v>-29735.83</v>
      </c>
      <c r="J605" s="13" t="s">
        <v>5</v>
      </c>
      <c r="K605" s="13" t="s">
        <v>6</v>
      </c>
      <c r="L605" s="15">
        <v>-2496322.9300000002</v>
      </c>
      <c r="M605" s="15">
        <v>-29735.83</v>
      </c>
      <c r="N605" s="16" t="str">
        <f>IF(M605="","",IF(M605&lt;0,-M605&amp;"_"&amp;COUNTIF(M$2:M605,M605),M605&amp;"_"&amp;COUNTIF(M$2:M605,M605)))</f>
        <v>29735.83_2</v>
      </c>
      <c r="O605" s="17" t="str">
        <f t="shared" si="9"/>
        <v/>
      </c>
      <c r="P605" s="13" t="s">
        <v>4054</v>
      </c>
      <c r="Q605" s="13" t="s">
        <v>4055</v>
      </c>
      <c r="R605" s="13" t="s">
        <v>0</v>
      </c>
      <c r="S605" s="13" t="s">
        <v>0</v>
      </c>
      <c r="T605" s="13" t="s">
        <v>9</v>
      </c>
      <c r="U605" s="13" t="s">
        <v>0</v>
      </c>
      <c r="V605" s="13" t="s">
        <v>0</v>
      </c>
      <c r="W605" s="13" t="s">
        <v>0</v>
      </c>
      <c r="X605" s="13" t="s">
        <v>0</v>
      </c>
      <c r="Y605" s="13" t="s">
        <v>10</v>
      </c>
      <c r="Z605" s="13" t="s">
        <v>0</v>
      </c>
      <c r="AA605" s="14"/>
      <c r="AB605" s="13" t="s">
        <v>0</v>
      </c>
      <c r="AC605" s="13" t="s">
        <v>0</v>
      </c>
      <c r="AD605" s="13" t="s">
        <v>0</v>
      </c>
      <c r="AE605" s="15">
        <v>0</v>
      </c>
    </row>
    <row r="606" spans="1:31" ht="14.15" customHeight="1" x14ac:dyDescent="0.25">
      <c r="A606" s="12" t="s">
        <v>0</v>
      </c>
      <c r="B606" s="13" t="s">
        <v>1</v>
      </c>
      <c r="C606" s="13" t="s">
        <v>2849</v>
      </c>
      <c r="D606" s="14">
        <v>44272</v>
      </c>
      <c r="E606" s="14">
        <v>44272</v>
      </c>
      <c r="F606" s="14">
        <v>44278</v>
      </c>
      <c r="G606" s="13" t="s">
        <v>3</v>
      </c>
      <c r="H606" s="13" t="s">
        <v>4</v>
      </c>
      <c r="I606" s="15">
        <v>-29733.35</v>
      </c>
      <c r="J606" s="13" t="s">
        <v>5</v>
      </c>
      <c r="K606" s="13" t="s">
        <v>6</v>
      </c>
      <c r="L606" s="15">
        <v>-2496114.73</v>
      </c>
      <c r="M606" s="15">
        <v>-29733.35</v>
      </c>
      <c r="N606" s="16" t="str">
        <f>IF(M606="","",IF(M606&lt;0,-M606&amp;"_"&amp;COUNTIF(M$2:M606,M606),M606&amp;"_"&amp;COUNTIF(M$2:M606,M606)))</f>
        <v>29733.35_1</v>
      </c>
      <c r="O606" s="17" t="str">
        <f t="shared" si="9"/>
        <v/>
      </c>
      <c r="P606" s="13" t="s">
        <v>2850</v>
      </c>
      <c r="Q606" s="13" t="s">
        <v>2848</v>
      </c>
      <c r="R606" s="13" t="s">
        <v>0</v>
      </c>
      <c r="S606" s="13" t="s">
        <v>0</v>
      </c>
      <c r="T606" s="13" t="s">
        <v>9</v>
      </c>
      <c r="U606" s="13" t="s">
        <v>0</v>
      </c>
      <c r="V606" s="13" t="s">
        <v>0</v>
      </c>
      <c r="W606" s="13" t="s">
        <v>0</v>
      </c>
      <c r="X606" s="13" t="s">
        <v>0</v>
      </c>
      <c r="Y606" s="13" t="s">
        <v>10</v>
      </c>
      <c r="Z606" s="13" t="s">
        <v>0</v>
      </c>
      <c r="AA606" s="14"/>
      <c r="AB606" s="13" t="s">
        <v>0</v>
      </c>
      <c r="AC606" s="13" t="s">
        <v>0</v>
      </c>
      <c r="AD606" s="13" t="s">
        <v>0</v>
      </c>
      <c r="AE606" s="15">
        <v>0</v>
      </c>
    </row>
    <row r="607" spans="1:31" ht="14.15" customHeight="1" x14ac:dyDescent="0.25">
      <c r="A607" s="12" t="s">
        <v>0</v>
      </c>
      <c r="B607" s="13" t="s">
        <v>1</v>
      </c>
      <c r="C607" s="13" t="s">
        <v>795</v>
      </c>
      <c r="D607" s="14">
        <v>44101</v>
      </c>
      <c r="E607" s="14">
        <v>44101</v>
      </c>
      <c r="F607" s="14">
        <v>44117</v>
      </c>
      <c r="G607" s="13" t="s">
        <v>3</v>
      </c>
      <c r="H607" s="13" t="s">
        <v>4</v>
      </c>
      <c r="I607" s="15">
        <v>-29627.34</v>
      </c>
      <c r="J607" s="13" t="s">
        <v>5</v>
      </c>
      <c r="K607" s="13" t="s">
        <v>6</v>
      </c>
      <c r="L607" s="15">
        <v>-2487215.19</v>
      </c>
      <c r="M607" s="15">
        <v>-29627.34</v>
      </c>
      <c r="N607" s="16" t="str">
        <f>IF(M607="","",IF(M607&lt;0,-M607&amp;"_"&amp;COUNTIF(M$2:M607,M607),M607&amp;"_"&amp;COUNTIF(M$2:M607,M607)))</f>
        <v>29627.34_1</v>
      </c>
      <c r="O607" s="17" t="str">
        <f t="shared" si="9"/>
        <v/>
      </c>
      <c r="P607" s="13" t="s">
        <v>796</v>
      </c>
      <c r="Q607" s="13" t="s">
        <v>784</v>
      </c>
      <c r="R607" s="13" t="s">
        <v>0</v>
      </c>
      <c r="S607" s="13" t="s">
        <v>0</v>
      </c>
      <c r="T607" s="13" t="s">
        <v>9</v>
      </c>
      <c r="U607" s="13" t="s">
        <v>0</v>
      </c>
      <c r="V607" s="13" t="s">
        <v>0</v>
      </c>
      <c r="W607" s="13" t="s">
        <v>0</v>
      </c>
      <c r="X607" s="13" t="s">
        <v>0</v>
      </c>
      <c r="Y607" s="13" t="s">
        <v>10</v>
      </c>
      <c r="Z607" s="13" t="s">
        <v>0</v>
      </c>
      <c r="AA607" s="14"/>
      <c r="AB607" s="13" t="s">
        <v>0</v>
      </c>
      <c r="AC607" s="13" t="s">
        <v>0</v>
      </c>
      <c r="AD607" s="13" t="s">
        <v>0</v>
      </c>
      <c r="AE607" s="15">
        <v>0</v>
      </c>
    </row>
    <row r="608" spans="1:31" ht="14.15" customHeight="1" x14ac:dyDescent="0.25">
      <c r="A608" s="12" t="s">
        <v>0</v>
      </c>
      <c r="B608" s="13" t="s">
        <v>1</v>
      </c>
      <c r="C608" s="13" t="s">
        <v>572</v>
      </c>
      <c r="D608" s="14">
        <v>44077</v>
      </c>
      <c r="E608" s="14">
        <v>44077</v>
      </c>
      <c r="F608" s="14">
        <v>44089</v>
      </c>
      <c r="G608" s="13" t="s">
        <v>3</v>
      </c>
      <c r="H608" s="13" t="s">
        <v>4</v>
      </c>
      <c r="I608" s="15">
        <v>-29541.27</v>
      </c>
      <c r="J608" s="13" t="s">
        <v>5</v>
      </c>
      <c r="K608" s="13" t="s">
        <v>6</v>
      </c>
      <c r="L608" s="15">
        <v>-2479989.62</v>
      </c>
      <c r="M608" s="15">
        <v>-29541.27</v>
      </c>
      <c r="N608" s="16" t="str">
        <f>IF(M608="","",IF(M608&lt;0,-M608&amp;"_"&amp;COUNTIF(M$2:M608,M608),M608&amp;"_"&amp;COUNTIF(M$2:M608,M608)))</f>
        <v>29541.27_1</v>
      </c>
      <c r="O608" s="17" t="str">
        <f t="shared" si="9"/>
        <v/>
      </c>
      <c r="P608" s="13" t="s">
        <v>573</v>
      </c>
      <c r="Q608" s="13" t="s">
        <v>571</v>
      </c>
      <c r="R608" s="13" t="s">
        <v>0</v>
      </c>
      <c r="S608" s="13" t="s">
        <v>0</v>
      </c>
      <c r="T608" s="13" t="s">
        <v>9</v>
      </c>
      <c r="U608" s="13" t="s">
        <v>0</v>
      </c>
      <c r="V608" s="13" t="s">
        <v>0</v>
      </c>
      <c r="W608" s="13" t="s">
        <v>0</v>
      </c>
      <c r="X608" s="13" t="s">
        <v>0</v>
      </c>
      <c r="Y608" s="13" t="s">
        <v>10</v>
      </c>
      <c r="Z608" s="13" t="s">
        <v>0</v>
      </c>
      <c r="AA608" s="14"/>
      <c r="AB608" s="13" t="s">
        <v>0</v>
      </c>
      <c r="AC608" s="13" t="s">
        <v>0</v>
      </c>
      <c r="AD608" s="13" t="s">
        <v>0</v>
      </c>
      <c r="AE608" s="15">
        <v>0</v>
      </c>
    </row>
    <row r="609" spans="1:31" ht="14.15" customHeight="1" x14ac:dyDescent="0.25">
      <c r="A609" s="12" t="s">
        <v>0</v>
      </c>
      <c r="B609" s="13" t="s">
        <v>1</v>
      </c>
      <c r="C609" s="13" t="s">
        <v>202</v>
      </c>
      <c r="D609" s="14">
        <v>44034</v>
      </c>
      <c r="E609" s="14">
        <v>44034</v>
      </c>
      <c r="F609" s="14">
        <v>44049</v>
      </c>
      <c r="G609" s="13" t="s">
        <v>3</v>
      </c>
      <c r="H609" s="13" t="s">
        <v>4</v>
      </c>
      <c r="I609" s="15">
        <v>-29508.62</v>
      </c>
      <c r="J609" s="13" t="s">
        <v>5</v>
      </c>
      <c r="K609" s="13" t="s">
        <v>6</v>
      </c>
      <c r="L609" s="15">
        <v>-2477248.65</v>
      </c>
      <c r="M609" s="15">
        <v>-29508.62</v>
      </c>
      <c r="N609" s="16" t="str">
        <f>IF(M609="","",IF(M609&lt;0,-M609&amp;"_"&amp;COUNTIF(M$2:M609,M609),M609&amp;"_"&amp;COUNTIF(M$2:M609,M609)))</f>
        <v>29508.62_1</v>
      </c>
      <c r="O609" s="17" t="str">
        <f t="shared" si="9"/>
        <v/>
      </c>
      <c r="P609" s="13" t="s">
        <v>203</v>
      </c>
      <c r="Q609" s="13" t="s">
        <v>175</v>
      </c>
      <c r="R609" s="13" t="s">
        <v>0</v>
      </c>
      <c r="S609" s="13" t="s">
        <v>0</v>
      </c>
      <c r="T609" s="13" t="s">
        <v>9</v>
      </c>
      <c r="U609" s="13" t="s">
        <v>0</v>
      </c>
      <c r="V609" s="13" t="s">
        <v>0</v>
      </c>
      <c r="W609" s="13" t="s">
        <v>0</v>
      </c>
      <c r="X609" s="13" t="s">
        <v>0</v>
      </c>
      <c r="Y609" s="13" t="s">
        <v>10</v>
      </c>
      <c r="Z609" s="13" t="s">
        <v>0</v>
      </c>
      <c r="AA609" s="14"/>
      <c r="AB609" s="13" t="s">
        <v>0</v>
      </c>
      <c r="AC609" s="13" t="s">
        <v>0</v>
      </c>
      <c r="AD609" s="13" t="s">
        <v>0</v>
      </c>
      <c r="AE609" s="15">
        <v>0</v>
      </c>
    </row>
    <row r="610" spans="1:31" ht="14.15" customHeight="1" x14ac:dyDescent="0.25">
      <c r="A610" s="12" t="s">
        <v>0</v>
      </c>
      <c r="B610" s="13" t="s">
        <v>1</v>
      </c>
      <c r="C610" s="13" t="s">
        <v>2436</v>
      </c>
      <c r="D610" s="14">
        <v>44231</v>
      </c>
      <c r="E610" s="14">
        <v>44231</v>
      </c>
      <c r="F610" s="14">
        <v>44237</v>
      </c>
      <c r="G610" s="13" t="s">
        <v>3</v>
      </c>
      <c r="H610" s="13" t="s">
        <v>4</v>
      </c>
      <c r="I610" s="15">
        <v>-29426.46</v>
      </c>
      <c r="J610" s="13" t="s">
        <v>5</v>
      </c>
      <c r="K610" s="13" t="s">
        <v>6</v>
      </c>
      <c r="L610" s="15">
        <v>-2470351.3199999998</v>
      </c>
      <c r="M610" s="15">
        <v>-29426.46</v>
      </c>
      <c r="N610" s="16" t="str">
        <f>IF(M610="","",IF(M610&lt;0,-M610&amp;"_"&amp;COUNTIF(M$2:M610,M610),M610&amp;"_"&amp;COUNTIF(M$2:M610,M610)))</f>
        <v>29426.46_1</v>
      </c>
      <c r="O610" s="17" t="str">
        <f t="shared" si="9"/>
        <v/>
      </c>
      <c r="P610" s="13" t="s">
        <v>2437</v>
      </c>
      <c r="Q610" s="13" t="s">
        <v>2427</v>
      </c>
      <c r="R610" s="13" t="s">
        <v>0</v>
      </c>
      <c r="S610" s="13" t="s">
        <v>0</v>
      </c>
      <c r="T610" s="13" t="s">
        <v>9</v>
      </c>
      <c r="U610" s="13" t="s">
        <v>0</v>
      </c>
      <c r="V610" s="13" t="s">
        <v>0</v>
      </c>
      <c r="W610" s="13" t="s">
        <v>0</v>
      </c>
      <c r="X610" s="13" t="s">
        <v>0</v>
      </c>
      <c r="Y610" s="13" t="s">
        <v>10</v>
      </c>
      <c r="Z610" s="13" t="s">
        <v>0</v>
      </c>
      <c r="AA610" s="14"/>
      <c r="AB610" s="13" t="s">
        <v>0</v>
      </c>
      <c r="AC610" s="13" t="s">
        <v>0</v>
      </c>
      <c r="AD610" s="13" t="s">
        <v>0</v>
      </c>
      <c r="AE610" s="15">
        <v>0</v>
      </c>
    </row>
    <row r="611" spans="1:31" ht="14.15" customHeight="1" x14ac:dyDescent="0.25">
      <c r="A611" s="12" t="s">
        <v>0</v>
      </c>
      <c r="B611" s="13" t="s">
        <v>1</v>
      </c>
      <c r="C611" s="13" t="s">
        <v>2593</v>
      </c>
      <c r="D611" s="14">
        <v>44243</v>
      </c>
      <c r="E611" s="14">
        <v>44243</v>
      </c>
      <c r="F611" s="14">
        <v>44252</v>
      </c>
      <c r="G611" s="13" t="s">
        <v>3</v>
      </c>
      <c r="H611" s="13" t="s">
        <v>4</v>
      </c>
      <c r="I611" s="15">
        <v>-29418.76</v>
      </c>
      <c r="J611" s="13" t="s">
        <v>5</v>
      </c>
      <c r="K611" s="13" t="s">
        <v>6</v>
      </c>
      <c r="L611" s="15">
        <v>-2469704.9</v>
      </c>
      <c r="M611" s="15">
        <v>-29418.76</v>
      </c>
      <c r="N611" s="16" t="str">
        <f>IF(M611="","",IF(M611&lt;0,-M611&amp;"_"&amp;COUNTIF(M$2:M611,M611),M611&amp;"_"&amp;COUNTIF(M$2:M611,M611)))</f>
        <v>29418.76_1</v>
      </c>
      <c r="O611" s="17" t="str">
        <f t="shared" si="9"/>
        <v/>
      </c>
      <c r="P611" s="13" t="s">
        <v>2594</v>
      </c>
      <c r="Q611" s="13" t="s">
        <v>2574</v>
      </c>
      <c r="R611" s="13" t="s">
        <v>0</v>
      </c>
      <c r="S611" s="13" t="s">
        <v>0</v>
      </c>
      <c r="T611" s="13" t="s">
        <v>9</v>
      </c>
      <c r="U611" s="13" t="s">
        <v>0</v>
      </c>
      <c r="V611" s="13" t="s">
        <v>0</v>
      </c>
      <c r="W611" s="13" t="s">
        <v>0</v>
      </c>
      <c r="X611" s="13" t="s">
        <v>0</v>
      </c>
      <c r="Y611" s="13" t="s">
        <v>10</v>
      </c>
      <c r="Z611" s="13" t="s">
        <v>0</v>
      </c>
      <c r="AA611" s="14"/>
      <c r="AB611" s="13" t="s">
        <v>0</v>
      </c>
      <c r="AC611" s="13" t="s">
        <v>0</v>
      </c>
      <c r="AD611" s="13" t="s">
        <v>0</v>
      </c>
      <c r="AE611" s="15">
        <v>0</v>
      </c>
    </row>
    <row r="612" spans="1:31" ht="14.15" customHeight="1" x14ac:dyDescent="0.25">
      <c r="A612" s="12" t="s">
        <v>0</v>
      </c>
      <c r="B612" s="13" t="s">
        <v>1</v>
      </c>
      <c r="C612" s="13" t="s">
        <v>2593</v>
      </c>
      <c r="D612" s="14">
        <v>44243</v>
      </c>
      <c r="E612" s="14">
        <v>44243</v>
      </c>
      <c r="F612" s="14">
        <v>44252</v>
      </c>
      <c r="G612" s="13" t="s">
        <v>3</v>
      </c>
      <c r="H612" s="13" t="s">
        <v>4</v>
      </c>
      <c r="I612" s="15">
        <v>-29382.639999999999</v>
      </c>
      <c r="J612" s="13" t="s">
        <v>5</v>
      </c>
      <c r="K612" s="13" t="s">
        <v>6</v>
      </c>
      <c r="L612" s="15">
        <v>-2466672.63</v>
      </c>
      <c r="M612" s="15">
        <v>-29382.639999999999</v>
      </c>
      <c r="N612" s="16" t="str">
        <f>IF(M612="","",IF(M612&lt;0,-M612&amp;"_"&amp;COUNTIF(M$2:M612,M612),M612&amp;"_"&amp;COUNTIF(M$2:M612,M612)))</f>
        <v>29382.64_1</v>
      </c>
      <c r="O612" s="17" t="str">
        <f t="shared" si="9"/>
        <v/>
      </c>
      <c r="P612" s="13" t="s">
        <v>2594</v>
      </c>
      <c r="Q612" s="13" t="s">
        <v>2574</v>
      </c>
      <c r="R612" s="13" t="s">
        <v>0</v>
      </c>
      <c r="S612" s="13" t="s">
        <v>0</v>
      </c>
      <c r="T612" s="13" t="s">
        <v>9</v>
      </c>
      <c r="U612" s="13" t="s">
        <v>0</v>
      </c>
      <c r="V612" s="13" t="s">
        <v>0</v>
      </c>
      <c r="W612" s="13" t="s">
        <v>0</v>
      </c>
      <c r="X612" s="13" t="s">
        <v>0</v>
      </c>
      <c r="Y612" s="13" t="s">
        <v>10</v>
      </c>
      <c r="Z612" s="13" t="s">
        <v>0</v>
      </c>
      <c r="AA612" s="14"/>
      <c r="AB612" s="13" t="s">
        <v>0</v>
      </c>
      <c r="AC612" s="13" t="s">
        <v>0</v>
      </c>
      <c r="AD612" s="13" t="s">
        <v>0</v>
      </c>
      <c r="AE612" s="15">
        <v>0</v>
      </c>
    </row>
    <row r="613" spans="1:31" ht="14.15" customHeight="1" x14ac:dyDescent="0.25">
      <c r="A613" s="12" t="s">
        <v>0</v>
      </c>
      <c r="B613" s="13" t="s">
        <v>1</v>
      </c>
      <c r="C613" s="13" t="s">
        <v>2593</v>
      </c>
      <c r="D613" s="14">
        <v>44243</v>
      </c>
      <c r="E613" s="14">
        <v>44243</v>
      </c>
      <c r="F613" s="14">
        <v>44252</v>
      </c>
      <c r="G613" s="13" t="s">
        <v>3</v>
      </c>
      <c r="H613" s="13" t="s">
        <v>4</v>
      </c>
      <c r="I613" s="15">
        <v>-29377.39</v>
      </c>
      <c r="J613" s="13" t="s">
        <v>5</v>
      </c>
      <c r="K613" s="13" t="s">
        <v>6</v>
      </c>
      <c r="L613" s="15">
        <v>-2466231.89</v>
      </c>
      <c r="M613" s="15">
        <v>-29377.39</v>
      </c>
      <c r="N613" s="16" t="str">
        <f>IF(M613="","",IF(M613&lt;0,-M613&amp;"_"&amp;COUNTIF(M$2:M613,M613),M613&amp;"_"&amp;COUNTIF(M$2:M613,M613)))</f>
        <v>29377.39_1</v>
      </c>
      <c r="O613" s="17" t="str">
        <f t="shared" si="9"/>
        <v/>
      </c>
      <c r="P613" s="13" t="s">
        <v>2594</v>
      </c>
      <c r="Q613" s="13" t="s">
        <v>2574</v>
      </c>
      <c r="R613" s="13" t="s">
        <v>0</v>
      </c>
      <c r="S613" s="13" t="s">
        <v>0</v>
      </c>
      <c r="T613" s="13" t="s">
        <v>9</v>
      </c>
      <c r="U613" s="13" t="s">
        <v>0</v>
      </c>
      <c r="V613" s="13" t="s">
        <v>0</v>
      </c>
      <c r="W613" s="13" t="s">
        <v>0</v>
      </c>
      <c r="X613" s="13" t="s">
        <v>0</v>
      </c>
      <c r="Y613" s="13" t="s">
        <v>10</v>
      </c>
      <c r="Z613" s="13" t="s">
        <v>0</v>
      </c>
      <c r="AA613" s="14"/>
      <c r="AB613" s="13" t="s">
        <v>0</v>
      </c>
      <c r="AC613" s="13" t="s">
        <v>0</v>
      </c>
      <c r="AD613" s="13" t="s">
        <v>0</v>
      </c>
      <c r="AE613" s="15">
        <v>0</v>
      </c>
    </row>
    <row r="614" spans="1:31" ht="14.15" customHeight="1" x14ac:dyDescent="0.25">
      <c r="A614" s="12" t="s">
        <v>0</v>
      </c>
      <c r="B614" s="13" t="s">
        <v>1</v>
      </c>
      <c r="C614" s="13" t="s">
        <v>3023</v>
      </c>
      <c r="D614" s="14">
        <v>44281</v>
      </c>
      <c r="E614" s="14">
        <v>44281</v>
      </c>
      <c r="F614" s="14">
        <v>44290</v>
      </c>
      <c r="G614" s="13" t="s">
        <v>3</v>
      </c>
      <c r="H614" s="13" t="s">
        <v>4</v>
      </c>
      <c r="I614" s="15">
        <v>-29280.67</v>
      </c>
      <c r="J614" s="13" t="s">
        <v>5</v>
      </c>
      <c r="K614" s="13" t="s">
        <v>6</v>
      </c>
      <c r="L614" s="15">
        <v>-2458112.2400000002</v>
      </c>
      <c r="M614" s="15">
        <v>-29280.67</v>
      </c>
      <c r="N614" s="16" t="str">
        <f>IF(M614="","",IF(M614&lt;0,-M614&amp;"_"&amp;COUNTIF(M$2:M614,M614),M614&amp;"_"&amp;COUNTIF(M$2:M614,M614)))</f>
        <v>29280.67_1</v>
      </c>
      <c r="O614" s="17" t="str">
        <f t="shared" si="9"/>
        <v/>
      </c>
      <c r="P614" s="13" t="s">
        <v>3024</v>
      </c>
      <c r="Q614" s="13" t="s">
        <v>3014</v>
      </c>
      <c r="R614" s="13" t="s">
        <v>0</v>
      </c>
      <c r="S614" s="13" t="s">
        <v>0</v>
      </c>
      <c r="T614" s="13" t="s">
        <v>9</v>
      </c>
      <c r="U614" s="13" t="s">
        <v>0</v>
      </c>
      <c r="V614" s="13" t="s">
        <v>0</v>
      </c>
      <c r="W614" s="13" t="s">
        <v>0</v>
      </c>
      <c r="X614" s="13" t="s">
        <v>0</v>
      </c>
      <c r="Y614" s="13" t="s">
        <v>10</v>
      </c>
      <c r="Z614" s="13" t="s">
        <v>0</v>
      </c>
      <c r="AA614" s="14"/>
      <c r="AB614" s="13" t="s">
        <v>0</v>
      </c>
      <c r="AC614" s="13" t="s">
        <v>0</v>
      </c>
      <c r="AD614" s="13" t="s">
        <v>0</v>
      </c>
      <c r="AE614" s="15">
        <v>0</v>
      </c>
    </row>
    <row r="615" spans="1:31" ht="14.15" customHeight="1" x14ac:dyDescent="0.25">
      <c r="A615" s="12" t="s">
        <v>0</v>
      </c>
      <c r="B615" s="13" t="s">
        <v>1</v>
      </c>
      <c r="C615" s="13" t="s">
        <v>1129</v>
      </c>
      <c r="D615" s="14">
        <v>44137</v>
      </c>
      <c r="E615" s="14">
        <v>44137</v>
      </c>
      <c r="F615" s="14">
        <v>44145</v>
      </c>
      <c r="G615" s="13" t="s">
        <v>3</v>
      </c>
      <c r="H615" s="13" t="s">
        <v>4</v>
      </c>
      <c r="I615" s="15">
        <v>-29270.95</v>
      </c>
      <c r="J615" s="13" t="s">
        <v>5</v>
      </c>
      <c r="K615" s="13" t="s">
        <v>6</v>
      </c>
      <c r="L615" s="15">
        <v>-2457296.25</v>
      </c>
      <c r="M615" s="15">
        <v>-29270.95</v>
      </c>
      <c r="N615" s="16" t="str">
        <f>IF(M615="","",IF(M615&lt;0,-M615&amp;"_"&amp;COUNTIF(M$2:M615,M615),M615&amp;"_"&amp;COUNTIF(M$2:M615,M615)))</f>
        <v>29270.95_1</v>
      </c>
      <c r="O615" s="17" t="str">
        <f t="shared" si="9"/>
        <v/>
      </c>
      <c r="P615" s="13" t="s">
        <v>1130</v>
      </c>
      <c r="Q615" s="13" t="s">
        <v>1120</v>
      </c>
      <c r="R615" s="13" t="s">
        <v>0</v>
      </c>
      <c r="S615" s="13" t="s">
        <v>0</v>
      </c>
      <c r="T615" s="13" t="s">
        <v>9</v>
      </c>
      <c r="U615" s="13" t="s">
        <v>0</v>
      </c>
      <c r="V615" s="13" t="s">
        <v>0</v>
      </c>
      <c r="W615" s="13" t="s">
        <v>0</v>
      </c>
      <c r="X615" s="13" t="s">
        <v>0</v>
      </c>
      <c r="Y615" s="13" t="s">
        <v>10</v>
      </c>
      <c r="Z615" s="13" t="s">
        <v>0</v>
      </c>
      <c r="AA615" s="14"/>
      <c r="AB615" s="13" t="s">
        <v>0</v>
      </c>
      <c r="AC615" s="13" t="s">
        <v>0</v>
      </c>
      <c r="AD615" s="13" t="s">
        <v>0</v>
      </c>
      <c r="AE615" s="15">
        <v>0</v>
      </c>
    </row>
    <row r="616" spans="1:31" ht="14.15" customHeight="1" x14ac:dyDescent="0.25">
      <c r="A616" s="12" t="s">
        <v>0</v>
      </c>
      <c r="B616" s="13" t="s">
        <v>1</v>
      </c>
      <c r="C616" s="13" t="s">
        <v>2425</v>
      </c>
      <c r="D616" s="14">
        <v>44231</v>
      </c>
      <c r="E616" s="14">
        <v>44231</v>
      </c>
      <c r="F616" s="14">
        <v>44237</v>
      </c>
      <c r="G616" s="13" t="s">
        <v>3</v>
      </c>
      <c r="H616" s="13" t="s">
        <v>4</v>
      </c>
      <c r="I616" s="15">
        <v>-29168.799999999999</v>
      </c>
      <c r="J616" s="13" t="s">
        <v>5</v>
      </c>
      <c r="K616" s="13" t="s">
        <v>6</v>
      </c>
      <c r="L616" s="15">
        <v>-2448720.7599999998</v>
      </c>
      <c r="M616" s="15">
        <v>-29168.799999999999</v>
      </c>
      <c r="N616" s="16" t="str">
        <f>IF(M616="","",IF(M616&lt;0,-M616&amp;"_"&amp;COUNTIF(M$2:M616,M616),M616&amp;"_"&amp;COUNTIF(M$2:M616,M616)))</f>
        <v>29168.8_1</v>
      </c>
      <c r="O616" s="17" t="str">
        <f t="shared" si="9"/>
        <v/>
      </c>
      <c r="P616" s="13" t="s">
        <v>2426</v>
      </c>
      <c r="Q616" s="13" t="s">
        <v>2427</v>
      </c>
      <c r="R616" s="13" t="s">
        <v>0</v>
      </c>
      <c r="S616" s="13" t="s">
        <v>0</v>
      </c>
      <c r="T616" s="13" t="s">
        <v>9</v>
      </c>
      <c r="U616" s="13" t="s">
        <v>0</v>
      </c>
      <c r="V616" s="13" t="s">
        <v>0</v>
      </c>
      <c r="W616" s="13" t="s">
        <v>0</v>
      </c>
      <c r="X616" s="13" t="s">
        <v>0</v>
      </c>
      <c r="Y616" s="13" t="s">
        <v>10</v>
      </c>
      <c r="Z616" s="13" t="s">
        <v>0</v>
      </c>
      <c r="AA616" s="14"/>
      <c r="AB616" s="13" t="s">
        <v>0</v>
      </c>
      <c r="AC616" s="13" t="s">
        <v>0</v>
      </c>
      <c r="AD616" s="13" t="s">
        <v>0</v>
      </c>
      <c r="AE616" s="15">
        <v>0</v>
      </c>
    </row>
    <row r="617" spans="1:31" ht="14.15" customHeight="1" x14ac:dyDescent="0.25">
      <c r="A617" s="12" t="s">
        <v>0</v>
      </c>
      <c r="B617" s="13" t="s">
        <v>1</v>
      </c>
      <c r="C617" s="13" t="s">
        <v>358</v>
      </c>
      <c r="D617" s="14">
        <v>44048</v>
      </c>
      <c r="E617" s="14">
        <v>44048</v>
      </c>
      <c r="F617" s="14">
        <v>44072</v>
      </c>
      <c r="G617" s="13" t="s">
        <v>3</v>
      </c>
      <c r="H617" s="13" t="s">
        <v>4</v>
      </c>
      <c r="I617" s="15">
        <v>-29131.5</v>
      </c>
      <c r="J617" s="13" t="s">
        <v>5</v>
      </c>
      <c r="K617" s="13" t="s">
        <v>6</v>
      </c>
      <c r="L617" s="15">
        <v>-2445589.4300000002</v>
      </c>
      <c r="M617" s="15">
        <v>-29131.5</v>
      </c>
      <c r="N617" s="16" t="str">
        <f>IF(M617="","",IF(M617&lt;0,-M617&amp;"_"&amp;COUNTIF(M$2:M617,M617),M617&amp;"_"&amp;COUNTIF(M$2:M617,M617)))</f>
        <v>29131.5_1</v>
      </c>
      <c r="O617" s="17" t="str">
        <f t="shared" si="9"/>
        <v/>
      </c>
      <c r="P617" s="13" t="s">
        <v>359</v>
      </c>
      <c r="Q617" s="13" t="s">
        <v>357</v>
      </c>
      <c r="R617" s="13" t="s">
        <v>0</v>
      </c>
      <c r="S617" s="13" t="s">
        <v>0</v>
      </c>
      <c r="T617" s="13" t="s">
        <v>9</v>
      </c>
      <c r="U617" s="13" t="s">
        <v>0</v>
      </c>
      <c r="V617" s="13" t="s">
        <v>0</v>
      </c>
      <c r="W617" s="13" t="s">
        <v>0</v>
      </c>
      <c r="X617" s="13" t="s">
        <v>0</v>
      </c>
      <c r="Y617" s="13" t="s">
        <v>10</v>
      </c>
      <c r="Z617" s="13" t="s">
        <v>0</v>
      </c>
      <c r="AA617" s="14"/>
      <c r="AB617" s="13" t="s">
        <v>0</v>
      </c>
      <c r="AC617" s="13" t="s">
        <v>0</v>
      </c>
      <c r="AD617" s="13" t="s">
        <v>0</v>
      </c>
      <c r="AE617" s="15">
        <v>0</v>
      </c>
    </row>
    <row r="618" spans="1:31" ht="14.15" customHeight="1" x14ac:dyDescent="0.25">
      <c r="A618" s="12" t="s">
        <v>0</v>
      </c>
      <c r="B618" s="13" t="s">
        <v>1</v>
      </c>
      <c r="C618" s="13" t="s">
        <v>517</v>
      </c>
      <c r="D618" s="14">
        <v>44070</v>
      </c>
      <c r="E618" s="14">
        <v>44070</v>
      </c>
      <c r="F618" s="14">
        <v>44084</v>
      </c>
      <c r="G618" s="13" t="s">
        <v>3</v>
      </c>
      <c r="H618" s="13" t="s">
        <v>4</v>
      </c>
      <c r="I618" s="15">
        <v>-29114.21</v>
      </c>
      <c r="J618" s="13" t="s">
        <v>5</v>
      </c>
      <c r="K618" s="13" t="s">
        <v>6</v>
      </c>
      <c r="L618" s="15">
        <v>-2444137.9300000002</v>
      </c>
      <c r="M618" s="15">
        <v>-29114.21</v>
      </c>
      <c r="N618" s="16" t="str">
        <f>IF(M618="","",IF(M618&lt;0,-M618&amp;"_"&amp;COUNTIF(M$2:M618,M618),M618&amp;"_"&amp;COUNTIF(M$2:M618,M618)))</f>
        <v>29114.21_1</v>
      </c>
      <c r="O618" s="17" t="str">
        <f t="shared" si="9"/>
        <v/>
      </c>
      <c r="P618" s="13" t="s">
        <v>518</v>
      </c>
      <c r="Q618" s="13" t="s">
        <v>519</v>
      </c>
      <c r="R618" s="13" t="s">
        <v>0</v>
      </c>
      <c r="S618" s="13" t="s">
        <v>0</v>
      </c>
      <c r="T618" s="13" t="s">
        <v>9</v>
      </c>
      <c r="U618" s="13" t="s">
        <v>0</v>
      </c>
      <c r="V618" s="13" t="s">
        <v>0</v>
      </c>
      <c r="W618" s="13" t="s">
        <v>0</v>
      </c>
      <c r="X618" s="13" t="s">
        <v>0</v>
      </c>
      <c r="Y618" s="13" t="s">
        <v>10</v>
      </c>
      <c r="Z618" s="13" t="s">
        <v>0</v>
      </c>
      <c r="AA618" s="14"/>
      <c r="AB618" s="13" t="s">
        <v>0</v>
      </c>
      <c r="AC618" s="13" t="s">
        <v>0</v>
      </c>
      <c r="AD618" s="13" t="s">
        <v>0</v>
      </c>
      <c r="AE618" s="15">
        <v>0</v>
      </c>
    </row>
    <row r="619" spans="1:31" ht="14.15" customHeight="1" x14ac:dyDescent="0.25">
      <c r="A619" s="12" t="s">
        <v>0</v>
      </c>
      <c r="B619" s="13" t="s">
        <v>1</v>
      </c>
      <c r="C619" s="13" t="s">
        <v>77</v>
      </c>
      <c r="D619" s="14">
        <v>44020</v>
      </c>
      <c r="E619" s="14">
        <v>44020</v>
      </c>
      <c r="F619" s="14">
        <v>44030</v>
      </c>
      <c r="G619" s="13" t="s">
        <v>3</v>
      </c>
      <c r="H619" s="13" t="s">
        <v>4</v>
      </c>
      <c r="I619" s="15">
        <v>-29083.07</v>
      </c>
      <c r="J619" s="13" t="s">
        <v>5</v>
      </c>
      <c r="K619" s="13" t="s">
        <v>6</v>
      </c>
      <c r="L619" s="15">
        <v>-2441523.73</v>
      </c>
      <c r="M619" s="15">
        <v>-29083.07</v>
      </c>
      <c r="N619" s="16" t="str">
        <f>IF(M619="","",IF(M619&lt;0,-M619&amp;"_"&amp;COUNTIF(M$2:M619,M619),M619&amp;"_"&amp;COUNTIF(M$2:M619,M619)))</f>
        <v>29083.07_1</v>
      </c>
      <c r="O619" s="17" t="str">
        <f t="shared" si="9"/>
        <v/>
      </c>
      <c r="P619" s="13" t="s">
        <v>78</v>
      </c>
      <c r="Q619" s="13" t="s">
        <v>70</v>
      </c>
      <c r="R619" s="13" t="s">
        <v>0</v>
      </c>
      <c r="S619" s="13" t="s">
        <v>0</v>
      </c>
      <c r="T619" s="13" t="s">
        <v>9</v>
      </c>
      <c r="U619" s="13" t="s">
        <v>0</v>
      </c>
      <c r="V619" s="13" t="s">
        <v>0</v>
      </c>
      <c r="W619" s="13" t="s">
        <v>0</v>
      </c>
      <c r="X619" s="13" t="s">
        <v>0</v>
      </c>
      <c r="Y619" s="13" t="s">
        <v>10</v>
      </c>
      <c r="Z619" s="13" t="s">
        <v>0</v>
      </c>
      <c r="AA619" s="14"/>
      <c r="AB619" s="13" t="s">
        <v>0</v>
      </c>
      <c r="AC619" s="13" t="s">
        <v>0</v>
      </c>
      <c r="AD619" s="13" t="s">
        <v>0</v>
      </c>
      <c r="AE619" s="15">
        <v>0</v>
      </c>
    </row>
    <row r="620" spans="1:31" ht="14.15" customHeight="1" x14ac:dyDescent="0.25">
      <c r="A620" s="12" t="s">
        <v>0</v>
      </c>
      <c r="B620" s="13" t="s">
        <v>1</v>
      </c>
      <c r="C620" s="13" t="s">
        <v>2797</v>
      </c>
      <c r="D620" s="14">
        <v>44264</v>
      </c>
      <c r="E620" s="14">
        <v>44264</v>
      </c>
      <c r="F620" s="14">
        <v>44268</v>
      </c>
      <c r="G620" s="13" t="s">
        <v>3</v>
      </c>
      <c r="H620" s="13" t="s">
        <v>4</v>
      </c>
      <c r="I620" s="15">
        <v>-28925.279999999999</v>
      </c>
      <c r="J620" s="13" t="s">
        <v>5</v>
      </c>
      <c r="K620" s="13" t="s">
        <v>6</v>
      </c>
      <c r="L620" s="15">
        <v>-2428277.2599999998</v>
      </c>
      <c r="M620" s="15">
        <v>-28925.279999999999</v>
      </c>
      <c r="N620" s="16" t="str">
        <f>IF(M620="","",IF(M620&lt;0,-M620&amp;"_"&amp;COUNTIF(M$2:M620,M620),M620&amp;"_"&amp;COUNTIF(M$2:M620,M620)))</f>
        <v>28925.28_1</v>
      </c>
      <c r="O620" s="17" t="str">
        <f t="shared" si="9"/>
        <v/>
      </c>
      <c r="P620" s="13" t="s">
        <v>2798</v>
      </c>
      <c r="Q620" s="13" t="s">
        <v>2796</v>
      </c>
      <c r="R620" s="13" t="s">
        <v>0</v>
      </c>
      <c r="S620" s="13" t="s">
        <v>0</v>
      </c>
      <c r="T620" s="13" t="s">
        <v>9</v>
      </c>
      <c r="U620" s="13" t="s">
        <v>0</v>
      </c>
      <c r="V620" s="13" t="s">
        <v>0</v>
      </c>
      <c r="W620" s="13" t="s">
        <v>0</v>
      </c>
      <c r="X620" s="13" t="s">
        <v>0</v>
      </c>
      <c r="Y620" s="13" t="s">
        <v>10</v>
      </c>
      <c r="Z620" s="13" t="s">
        <v>0</v>
      </c>
      <c r="AA620" s="14"/>
      <c r="AB620" s="13" t="s">
        <v>0</v>
      </c>
      <c r="AC620" s="13" t="s">
        <v>0</v>
      </c>
      <c r="AD620" s="13" t="s">
        <v>0</v>
      </c>
      <c r="AE620" s="15">
        <v>0</v>
      </c>
    </row>
    <row r="621" spans="1:31" ht="14.15" customHeight="1" x14ac:dyDescent="0.25">
      <c r="A621" s="12" t="s">
        <v>0</v>
      </c>
      <c r="B621" s="13" t="s">
        <v>1</v>
      </c>
      <c r="C621" s="13" t="s">
        <v>2094</v>
      </c>
      <c r="D621" s="14">
        <v>44199</v>
      </c>
      <c r="E621" s="14">
        <v>44199</v>
      </c>
      <c r="F621" s="14">
        <v>44202</v>
      </c>
      <c r="G621" s="13" t="s">
        <v>3</v>
      </c>
      <c r="H621" s="13" t="s">
        <v>4</v>
      </c>
      <c r="I621" s="15">
        <v>-28915.4</v>
      </c>
      <c r="J621" s="13" t="s">
        <v>5</v>
      </c>
      <c r="K621" s="13" t="s">
        <v>6</v>
      </c>
      <c r="L621" s="15">
        <v>-2427447.83</v>
      </c>
      <c r="M621" s="15">
        <v>-28915.4</v>
      </c>
      <c r="N621" s="16" t="str">
        <f>IF(M621="","",IF(M621&lt;0,-M621&amp;"_"&amp;COUNTIF(M$2:M621,M621),M621&amp;"_"&amp;COUNTIF(M$2:M621,M621)))</f>
        <v>28915.4_1</v>
      </c>
      <c r="O621" s="17" t="str">
        <f t="shared" si="9"/>
        <v/>
      </c>
      <c r="P621" s="13" t="s">
        <v>2095</v>
      </c>
      <c r="Q621" s="13" t="s">
        <v>2093</v>
      </c>
      <c r="R621" s="13" t="s">
        <v>0</v>
      </c>
      <c r="S621" s="13" t="s">
        <v>0</v>
      </c>
      <c r="T621" s="13" t="s">
        <v>9</v>
      </c>
      <c r="U621" s="13" t="s">
        <v>0</v>
      </c>
      <c r="V621" s="13" t="s">
        <v>0</v>
      </c>
      <c r="W621" s="13" t="s">
        <v>0</v>
      </c>
      <c r="X621" s="13" t="s">
        <v>0</v>
      </c>
      <c r="Y621" s="13" t="s">
        <v>10</v>
      </c>
      <c r="Z621" s="13" t="s">
        <v>0</v>
      </c>
      <c r="AA621" s="14"/>
      <c r="AB621" s="13" t="s">
        <v>0</v>
      </c>
      <c r="AC621" s="13" t="s">
        <v>0</v>
      </c>
      <c r="AD621" s="13" t="s">
        <v>0</v>
      </c>
      <c r="AE621" s="15">
        <v>0</v>
      </c>
    </row>
    <row r="622" spans="1:31" ht="14.15" customHeight="1" x14ac:dyDescent="0.25">
      <c r="A622" s="12" t="s">
        <v>0</v>
      </c>
      <c r="B622" s="13" t="s">
        <v>1</v>
      </c>
      <c r="C622" s="13" t="s">
        <v>646</v>
      </c>
      <c r="D622" s="14">
        <v>44084</v>
      </c>
      <c r="E622" s="14">
        <v>44084</v>
      </c>
      <c r="F622" s="14">
        <v>44110</v>
      </c>
      <c r="G622" s="13" t="s">
        <v>3</v>
      </c>
      <c r="H622" s="13" t="s">
        <v>4</v>
      </c>
      <c r="I622" s="15">
        <v>-28890.81</v>
      </c>
      <c r="J622" s="13" t="s">
        <v>5</v>
      </c>
      <c r="K622" s="13" t="s">
        <v>6</v>
      </c>
      <c r="L622" s="15">
        <v>-2425383.5</v>
      </c>
      <c r="M622" s="15">
        <v>-28890.81</v>
      </c>
      <c r="N622" s="16" t="str">
        <f>IF(M622="","",IF(M622&lt;0,-M622&amp;"_"&amp;COUNTIF(M$2:M622,M622),M622&amp;"_"&amp;COUNTIF(M$2:M622,M622)))</f>
        <v>28890.81_1</v>
      </c>
      <c r="O622" s="17" t="str">
        <f t="shared" si="9"/>
        <v/>
      </c>
      <c r="P622" s="13" t="s">
        <v>647</v>
      </c>
      <c r="Q622" s="13" t="s">
        <v>641</v>
      </c>
      <c r="R622" s="13" t="s">
        <v>0</v>
      </c>
      <c r="S622" s="13" t="s">
        <v>0</v>
      </c>
      <c r="T622" s="13" t="s">
        <v>9</v>
      </c>
      <c r="U622" s="13" t="s">
        <v>0</v>
      </c>
      <c r="V622" s="13" t="s">
        <v>0</v>
      </c>
      <c r="W622" s="13" t="s">
        <v>0</v>
      </c>
      <c r="X622" s="13" t="s">
        <v>0</v>
      </c>
      <c r="Y622" s="13" t="s">
        <v>10</v>
      </c>
      <c r="Z622" s="13" t="s">
        <v>0</v>
      </c>
      <c r="AA622" s="14"/>
      <c r="AB622" s="13" t="s">
        <v>0</v>
      </c>
      <c r="AC622" s="13" t="s">
        <v>0</v>
      </c>
      <c r="AD622" s="13" t="s">
        <v>0</v>
      </c>
      <c r="AE622" s="15">
        <v>0</v>
      </c>
    </row>
    <row r="623" spans="1:31" ht="14.15" customHeight="1" x14ac:dyDescent="0.25">
      <c r="A623" s="12" t="s">
        <v>0</v>
      </c>
      <c r="B623" s="13" t="s">
        <v>1</v>
      </c>
      <c r="C623" s="13" t="s">
        <v>610</v>
      </c>
      <c r="D623" s="14">
        <v>44082</v>
      </c>
      <c r="E623" s="14">
        <v>44082</v>
      </c>
      <c r="F623" s="14">
        <v>44086</v>
      </c>
      <c r="G623" s="13" t="s">
        <v>3</v>
      </c>
      <c r="H623" s="13" t="s">
        <v>4</v>
      </c>
      <c r="I623" s="15">
        <v>-28823.17</v>
      </c>
      <c r="J623" s="13" t="s">
        <v>5</v>
      </c>
      <c r="K623" s="13" t="s">
        <v>6</v>
      </c>
      <c r="L623" s="15">
        <v>-2419705.12</v>
      </c>
      <c r="M623" s="15">
        <v>-28823.17</v>
      </c>
      <c r="N623" s="16" t="str">
        <f>IF(M623="","",IF(M623&lt;0,-M623&amp;"_"&amp;COUNTIF(M$2:M623,M623),M623&amp;"_"&amp;COUNTIF(M$2:M623,M623)))</f>
        <v>28823.17_1</v>
      </c>
      <c r="O623" s="17" t="str">
        <f t="shared" si="9"/>
        <v/>
      </c>
      <c r="P623" s="13" t="s">
        <v>611</v>
      </c>
      <c r="Q623" s="13" t="s">
        <v>603</v>
      </c>
      <c r="R623" s="13" t="s">
        <v>0</v>
      </c>
      <c r="S623" s="13" t="s">
        <v>0</v>
      </c>
      <c r="T623" s="13" t="s">
        <v>9</v>
      </c>
      <c r="U623" s="13" t="s">
        <v>0</v>
      </c>
      <c r="V623" s="13" t="s">
        <v>0</v>
      </c>
      <c r="W623" s="13" t="s">
        <v>0</v>
      </c>
      <c r="X623" s="13" t="s">
        <v>0</v>
      </c>
      <c r="Y623" s="13" t="s">
        <v>10</v>
      </c>
      <c r="Z623" s="13" t="s">
        <v>0</v>
      </c>
      <c r="AA623" s="14"/>
      <c r="AB623" s="13" t="s">
        <v>0</v>
      </c>
      <c r="AC623" s="13" t="s">
        <v>0</v>
      </c>
      <c r="AD623" s="13" t="s">
        <v>0</v>
      </c>
      <c r="AE623" s="15">
        <v>0</v>
      </c>
    </row>
    <row r="624" spans="1:31" ht="14.15" customHeight="1" x14ac:dyDescent="0.25">
      <c r="A624" s="12" t="s">
        <v>0</v>
      </c>
      <c r="B624" s="13" t="s">
        <v>1</v>
      </c>
      <c r="C624" s="13" t="s">
        <v>2164</v>
      </c>
      <c r="D624" s="14">
        <v>44209</v>
      </c>
      <c r="E624" s="14">
        <v>44209</v>
      </c>
      <c r="F624" s="14">
        <v>44219</v>
      </c>
      <c r="G624" s="13" t="s">
        <v>3</v>
      </c>
      <c r="H624" s="13" t="s">
        <v>4</v>
      </c>
      <c r="I624" s="15">
        <v>-28796.81</v>
      </c>
      <c r="J624" s="13" t="s">
        <v>5</v>
      </c>
      <c r="K624" s="13" t="s">
        <v>6</v>
      </c>
      <c r="L624" s="15">
        <v>-2417492.19</v>
      </c>
      <c r="M624" s="15">
        <v>-28796.81</v>
      </c>
      <c r="N624" s="16" t="str">
        <f>IF(M624="","",IF(M624&lt;0,-M624&amp;"_"&amp;COUNTIF(M$2:M624,M624),M624&amp;"_"&amp;COUNTIF(M$2:M624,M624)))</f>
        <v>28796.81_1</v>
      </c>
      <c r="O624" s="17" t="str">
        <f t="shared" si="9"/>
        <v/>
      </c>
      <c r="P624" s="13" t="s">
        <v>2165</v>
      </c>
      <c r="Q624" s="13" t="s">
        <v>2159</v>
      </c>
      <c r="R624" s="13" t="s">
        <v>0</v>
      </c>
      <c r="S624" s="13" t="s">
        <v>0</v>
      </c>
      <c r="T624" s="13" t="s">
        <v>9</v>
      </c>
      <c r="U624" s="13" t="s">
        <v>0</v>
      </c>
      <c r="V624" s="13" t="s">
        <v>0</v>
      </c>
      <c r="W624" s="13" t="s">
        <v>0</v>
      </c>
      <c r="X624" s="13" t="s">
        <v>0</v>
      </c>
      <c r="Y624" s="13" t="s">
        <v>10</v>
      </c>
      <c r="Z624" s="13" t="s">
        <v>0</v>
      </c>
      <c r="AA624" s="14"/>
      <c r="AB624" s="13" t="s">
        <v>0</v>
      </c>
      <c r="AC624" s="13" t="s">
        <v>0</v>
      </c>
      <c r="AD624" s="13" t="s">
        <v>0</v>
      </c>
      <c r="AE624" s="15">
        <v>0</v>
      </c>
    </row>
    <row r="625" spans="1:31" ht="14.15" customHeight="1" x14ac:dyDescent="0.25">
      <c r="A625" s="12" t="s">
        <v>0</v>
      </c>
      <c r="B625" s="13" t="s">
        <v>1</v>
      </c>
      <c r="C625" s="13" t="s">
        <v>3610</v>
      </c>
      <c r="D625" s="14">
        <v>44329</v>
      </c>
      <c r="E625" s="14">
        <v>44329</v>
      </c>
      <c r="F625" s="14">
        <v>44336</v>
      </c>
      <c r="G625" s="13" t="s">
        <v>3</v>
      </c>
      <c r="H625" s="13" t="s">
        <v>4</v>
      </c>
      <c r="I625" s="15">
        <v>-28755.43</v>
      </c>
      <c r="J625" s="13" t="s">
        <v>5</v>
      </c>
      <c r="K625" s="13" t="s">
        <v>6</v>
      </c>
      <c r="L625" s="15">
        <v>-2414018.35</v>
      </c>
      <c r="M625" s="15">
        <v>-28755.43</v>
      </c>
      <c r="N625" s="16" t="str">
        <f>IF(M625="","",IF(M625&lt;0,-M625&amp;"_"&amp;COUNTIF(M$2:M625,M625),M625&amp;"_"&amp;COUNTIF(M$2:M625,M625)))</f>
        <v>28755.43_1</v>
      </c>
      <c r="O625" s="17" t="str">
        <f t="shared" si="9"/>
        <v/>
      </c>
      <c r="P625" s="13" t="s">
        <v>3611</v>
      </c>
      <c r="Q625" s="13" t="s">
        <v>3603</v>
      </c>
      <c r="R625" s="13" t="s">
        <v>0</v>
      </c>
      <c r="S625" s="13" t="s">
        <v>0</v>
      </c>
      <c r="T625" s="13" t="s">
        <v>9</v>
      </c>
      <c r="U625" s="13" t="s">
        <v>0</v>
      </c>
      <c r="V625" s="13" t="s">
        <v>0</v>
      </c>
      <c r="W625" s="13" t="s">
        <v>0</v>
      </c>
      <c r="X625" s="13" t="s">
        <v>0</v>
      </c>
      <c r="Y625" s="13" t="s">
        <v>10</v>
      </c>
      <c r="Z625" s="13" t="s">
        <v>0</v>
      </c>
      <c r="AA625" s="14"/>
      <c r="AB625" s="13" t="s">
        <v>0</v>
      </c>
      <c r="AC625" s="13" t="s">
        <v>0</v>
      </c>
      <c r="AD625" s="13" t="s">
        <v>0</v>
      </c>
      <c r="AE625" s="15">
        <v>0</v>
      </c>
    </row>
    <row r="626" spans="1:31" ht="14.15" customHeight="1" x14ac:dyDescent="0.25">
      <c r="A626" s="12" t="s">
        <v>0</v>
      </c>
      <c r="B626" s="13" t="s">
        <v>1</v>
      </c>
      <c r="C626" s="13" t="s">
        <v>3880</v>
      </c>
      <c r="D626" s="14">
        <v>44352</v>
      </c>
      <c r="E626" s="14">
        <v>44352</v>
      </c>
      <c r="F626" s="14">
        <v>44357</v>
      </c>
      <c r="G626" s="13" t="s">
        <v>3</v>
      </c>
      <c r="H626" s="13" t="s">
        <v>4</v>
      </c>
      <c r="I626" s="15">
        <v>-28748.78</v>
      </c>
      <c r="J626" s="13" t="s">
        <v>5</v>
      </c>
      <c r="K626" s="13" t="s">
        <v>6</v>
      </c>
      <c r="L626" s="15">
        <v>-2413460.08</v>
      </c>
      <c r="M626" s="15">
        <v>-28748.78</v>
      </c>
      <c r="N626" s="16" t="str">
        <f>IF(M626="","",IF(M626&lt;0,-M626&amp;"_"&amp;COUNTIF(M$2:M626,M626),M626&amp;"_"&amp;COUNTIF(M$2:M626,M626)))</f>
        <v>28748.78_1</v>
      </c>
      <c r="O626" s="17" t="str">
        <f t="shared" si="9"/>
        <v/>
      </c>
      <c r="P626" s="13" t="s">
        <v>3881</v>
      </c>
      <c r="Q626" s="13" t="s">
        <v>3873</v>
      </c>
      <c r="R626" s="13" t="s">
        <v>0</v>
      </c>
      <c r="S626" s="13" t="s">
        <v>0</v>
      </c>
      <c r="T626" s="13" t="s">
        <v>9</v>
      </c>
      <c r="U626" s="13" t="s">
        <v>0</v>
      </c>
      <c r="V626" s="13" t="s">
        <v>0</v>
      </c>
      <c r="W626" s="13" t="s">
        <v>0</v>
      </c>
      <c r="X626" s="13" t="s">
        <v>0</v>
      </c>
      <c r="Y626" s="13" t="s">
        <v>10</v>
      </c>
      <c r="Z626" s="13" t="s">
        <v>0</v>
      </c>
      <c r="AA626" s="14"/>
      <c r="AB626" s="13" t="s">
        <v>0</v>
      </c>
      <c r="AC626" s="13" t="s">
        <v>0</v>
      </c>
      <c r="AD626" s="13" t="s">
        <v>0</v>
      </c>
      <c r="AE626" s="15">
        <v>0</v>
      </c>
    </row>
    <row r="627" spans="1:31" ht="14.15" customHeight="1" x14ac:dyDescent="0.25">
      <c r="A627" s="12" t="s">
        <v>0</v>
      </c>
      <c r="B627" s="13" t="s">
        <v>1</v>
      </c>
      <c r="C627" s="13" t="s">
        <v>982</v>
      </c>
      <c r="D627" s="14">
        <v>44125</v>
      </c>
      <c r="E627" s="14">
        <v>44125</v>
      </c>
      <c r="F627" s="14">
        <v>44138</v>
      </c>
      <c r="G627" s="13" t="s">
        <v>3</v>
      </c>
      <c r="H627" s="13" t="s">
        <v>4</v>
      </c>
      <c r="I627" s="15">
        <v>-28658.74</v>
      </c>
      <c r="J627" s="13" t="s">
        <v>5</v>
      </c>
      <c r="K627" s="13" t="s">
        <v>6</v>
      </c>
      <c r="L627" s="15">
        <v>-2405901.23</v>
      </c>
      <c r="M627" s="15">
        <v>-28658.74</v>
      </c>
      <c r="N627" s="16" t="str">
        <f>IF(M627="","",IF(M627&lt;0,-M627&amp;"_"&amp;COUNTIF(M$2:M627,M627),M627&amp;"_"&amp;COUNTIF(M$2:M627,M627)))</f>
        <v>28658.74_1</v>
      </c>
      <c r="O627" s="17" t="str">
        <f t="shared" si="9"/>
        <v/>
      </c>
      <c r="P627" s="13" t="s">
        <v>983</v>
      </c>
      <c r="Q627" s="13" t="s">
        <v>977</v>
      </c>
      <c r="R627" s="13" t="s">
        <v>0</v>
      </c>
      <c r="S627" s="13" t="s">
        <v>0</v>
      </c>
      <c r="T627" s="13" t="s">
        <v>9</v>
      </c>
      <c r="U627" s="13" t="s">
        <v>0</v>
      </c>
      <c r="V627" s="13" t="s">
        <v>0</v>
      </c>
      <c r="W627" s="13" t="s">
        <v>0</v>
      </c>
      <c r="X627" s="13" t="s">
        <v>0</v>
      </c>
      <c r="Y627" s="13" t="s">
        <v>10</v>
      </c>
      <c r="Z627" s="13" t="s">
        <v>0</v>
      </c>
      <c r="AA627" s="14"/>
      <c r="AB627" s="13" t="s">
        <v>0</v>
      </c>
      <c r="AC627" s="13" t="s">
        <v>0</v>
      </c>
      <c r="AD627" s="13" t="s">
        <v>0</v>
      </c>
      <c r="AE627" s="15">
        <v>0</v>
      </c>
    </row>
    <row r="628" spans="1:31" ht="14.15" customHeight="1" x14ac:dyDescent="0.25">
      <c r="A628" s="12" t="s">
        <v>0</v>
      </c>
      <c r="B628" s="13" t="s">
        <v>1</v>
      </c>
      <c r="C628" s="13" t="s">
        <v>743</v>
      </c>
      <c r="D628" s="14">
        <v>44095</v>
      </c>
      <c r="E628" s="14">
        <v>44095</v>
      </c>
      <c r="F628" s="14">
        <v>44108</v>
      </c>
      <c r="G628" s="13" t="s">
        <v>3</v>
      </c>
      <c r="H628" s="13" t="s">
        <v>4</v>
      </c>
      <c r="I628" s="15">
        <v>-28655.62</v>
      </c>
      <c r="J628" s="13" t="s">
        <v>5</v>
      </c>
      <c r="K628" s="13" t="s">
        <v>6</v>
      </c>
      <c r="L628" s="15">
        <v>-2405639.2999999998</v>
      </c>
      <c r="M628" s="15">
        <v>-28655.62</v>
      </c>
      <c r="N628" s="16" t="str">
        <f>IF(M628="","",IF(M628&lt;0,-M628&amp;"_"&amp;COUNTIF(M$2:M628,M628),M628&amp;"_"&amp;COUNTIF(M$2:M628,M628)))</f>
        <v>28655.62_1</v>
      </c>
      <c r="O628" s="17" t="str">
        <f t="shared" si="9"/>
        <v/>
      </c>
      <c r="P628" s="13" t="s">
        <v>744</v>
      </c>
      <c r="Q628" s="13" t="s">
        <v>726</v>
      </c>
      <c r="R628" s="13" t="s">
        <v>0</v>
      </c>
      <c r="S628" s="13" t="s">
        <v>0</v>
      </c>
      <c r="T628" s="13" t="s">
        <v>9</v>
      </c>
      <c r="U628" s="13" t="s">
        <v>0</v>
      </c>
      <c r="V628" s="13" t="s">
        <v>0</v>
      </c>
      <c r="W628" s="13" t="s">
        <v>0</v>
      </c>
      <c r="X628" s="13" t="s">
        <v>0</v>
      </c>
      <c r="Y628" s="13" t="s">
        <v>10</v>
      </c>
      <c r="Z628" s="13" t="s">
        <v>0</v>
      </c>
      <c r="AA628" s="14"/>
      <c r="AB628" s="13" t="s">
        <v>0</v>
      </c>
      <c r="AC628" s="13" t="s">
        <v>0</v>
      </c>
      <c r="AD628" s="13" t="s">
        <v>0</v>
      </c>
      <c r="AE628" s="15">
        <v>0</v>
      </c>
    </row>
    <row r="629" spans="1:31" ht="14.15" customHeight="1" x14ac:dyDescent="0.25">
      <c r="A629" s="12" t="s">
        <v>0</v>
      </c>
      <c r="B629" s="13" t="s">
        <v>1</v>
      </c>
      <c r="C629" s="13" t="s">
        <v>4058</v>
      </c>
      <c r="D629" s="14">
        <v>44359</v>
      </c>
      <c r="E629" s="14">
        <v>44359</v>
      </c>
      <c r="F629" s="14">
        <v>44368</v>
      </c>
      <c r="G629" s="13" t="s">
        <v>3</v>
      </c>
      <c r="H629" s="13" t="s">
        <v>4</v>
      </c>
      <c r="I629" s="15">
        <v>-28638.54</v>
      </c>
      <c r="J629" s="13" t="s">
        <v>5</v>
      </c>
      <c r="K629" s="13" t="s">
        <v>6</v>
      </c>
      <c r="L629" s="15">
        <v>-2404205.4300000002</v>
      </c>
      <c r="M629" s="15">
        <v>-28638.54</v>
      </c>
      <c r="N629" s="16" t="str">
        <f>IF(M629="","",IF(M629&lt;0,-M629&amp;"_"&amp;COUNTIF(M$2:M629,M629),M629&amp;"_"&amp;COUNTIF(M$2:M629,M629)))</f>
        <v>28638.54_1</v>
      </c>
      <c r="O629" s="17" t="str">
        <f t="shared" si="9"/>
        <v/>
      </c>
      <c r="P629" s="13" t="s">
        <v>4059</v>
      </c>
      <c r="Q629" s="13" t="s">
        <v>4055</v>
      </c>
      <c r="R629" s="13" t="s">
        <v>0</v>
      </c>
      <c r="S629" s="13" t="s">
        <v>0</v>
      </c>
      <c r="T629" s="13" t="s">
        <v>9</v>
      </c>
      <c r="U629" s="13" t="s">
        <v>0</v>
      </c>
      <c r="V629" s="13" t="s">
        <v>0</v>
      </c>
      <c r="W629" s="13" t="s">
        <v>0</v>
      </c>
      <c r="X629" s="13" t="s">
        <v>0</v>
      </c>
      <c r="Y629" s="13" t="s">
        <v>10</v>
      </c>
      <c r="Z629" s="13" t="s">
        <v>0</v>
      </c>
      <c r="AA629" s="14"/>
      <c r="AB629" s="13" t="s">
        <v>0</v>
      </c>
      <c r="AC629" s="13" t="s">
        <v>0</v>
      </c>
      <c r="AD629" s="13" t="s">
        <v>0</v>
      </c>
      <c r="AE629" s="15">
        <v>0</v>
      </c>
    </row>
    <row r="630" spans="1:31" ht="14.15" customHeight="1" x14ac:dyDescent="0.25">
      <c r="A630" s="12" t="s">
        <v>0</v>
      </c>
      <c r="B630" s="13" t="s">
        <v>1</v>
      </c>
      <c r="C630" s="13" t="s">
        <v>2935</v>
      </c>
      <c r="D630" s="14">
        <v>44276</v>
      </c>
      <c r="E630" s="14">
        <v>44276</v>
      </c>
      <c r="F630" s="14">
        <v>44283</v>
      </c>
      <c r="G630" s="13" t="s">
        <v>3</v>
      </c>
      <c r="H630" s="13" t="s">
        <v>4</v>
      </c>
      <c r="I630" s="15">
        <v>-28631.53</v>
      </c>
      <c r="J630" s="13" t="s">
        <v>5</v>
      </c>
      <c r="K630" s="13" t="s">
        <v>6</v>
      </c>
      <c r="L630" s="15">
        <v>-2403616.94</v>
      </c>
      <c r="M630" s="15">
        <v>-28631.53</v>
      </c>
      <c r="N630" s="16" t="str">
        <f>IF(M630="","",IF(M630&lt;0,-M630&amp;"_"&amp;COUNTIF(M$2:M630,M630),M630&amp;"_"&amp;COUNTIF(M$2:M630,M630)))</f>
        <v>28631.53_1</v>
      </c>
      <c r="O630" s="17" t="str">
        <f t="shared" si="9"/>
        <v/>
      </c>
      <c r="P630" s="13" t="s">
        <v>2936</v>
      </c>
      <c r="Q630" s="13" t="s">
        <v>2922</v>
      </c>
      <c r="R630" s="13" t="s">
        <v>0</v>
      </c>
      <c r="S630" s="13" t="s">
        <v>0</v>
      </c>
      <c r="T630" s="13" t="s">
        <v>9</v>
      </c>
      <c r="U630" s="13" t="s">
        <v>0</v>
      </c>
      <c r="V630" s="13" t="s">
        <v>0</v>
      </c>
      <c r="W630" s="13" t="s">
        <v>0</v>
      </c>
      <c r="X630" s="13" t="s">
        <v>0</v>
      </c>
      <c r="Y630" s="13" t="s">
        <v>10</v>
      </c>
      <c r="Z630" s="13" t="s">
        <v>0</v>
      </c>
      <c r="AA630" s="14"/>
      <c r="AB630" s="13" t="s">
        <v>0</v>
      </c>
      <c r="AC630" s="13" t="s">
        <v>0</v>
      </c>
      <c r="AD630" s="13" t="s">
        <v>0</v>
      </c>
      <c r="AE630" s="15">
        <v>0</v>
      </c>
    </row>
    <row r="631" spans="1:31" ht="14.15" customHeight="1" x14ac:dyDescent="0.25">
      <c r="A631" s="12" t="s">
        <v>0</v>
      </c>
      <c r="B631" s="13" t="s">
        <v>1</v>
      </c>
      <c r="C631" s="13" t="s">
        <v>3731</v>
      </c>
      <c r="D631" s="14">
        <v>44337</v>
      </c>
      <c r="E631" s="14">
        <v>44337</v>
      </c>
      <c r="F631" s="14">
        <v>44355</v>
      </c>
      <c r="G631" s="13" t="s">
        <v>3</v>
      </c>
      <c r="H631" s="13" t="s">
        <v>4</v>
      </c>
      <c r="I631" s="15">
        <v>-28575.439999999999</v>
      </c>
      <c r="J631" s="13" t="s">
        <v>5</v>
      </c>
      <c r="K631" s="13" t="s">
        <v>6</v>
      </c>
      <c r="L631" s="15">
        <v>-2398908.19</v>
      </c>
      <c r="M631" s="15">
        <v>-28575.439999999999</v>
      </c>
      <c r="N631" s="16" t="str">
        <f>IF(M631="","",IF(M631&lt;0,-M631&amp;"_"&amp;COUNTIF(M$2:M631,M631),M631&amp;"_"&amp;COUNTIF(M$2:M631,M631)))</f>
        <v>28575.44_1</v>
      </c>
      <c r="O631" s="17" t="str">
        <f t="shared" si="9"/>
        <v/>
      </c>
      <c r="P631" s="13" t="s">
        <v>3732</v>
      </c>
      <c r="Q631" s="13" t="s">
        <v>3726</v>
      </c>
      <c r="R631" s="13" t="s">
        <v>0</v>
      </c>
      <c r="S631" s="13" t="s">
        <v>0</v>
      </c>
      <c r="T631" s="13" t="s">
        <v>9</v>
      </c>
      <c r="U631" s="13" t="s">
        <v>0</v>
      </c>
      <c r="V631" s="13" t="s">
        <v>0</v>
      </c>
      <c r="W631" s="13" t="s">
        <v>0</v>
      </c>
      <c r="X631" s="13" t="s">
        <v>0</v>
      </c>
      <c r="Y631" s="13" t="s">
        <v>10</v>
      </c>
      <c r="Z631" s="13" t="s">
        <v>0</v>
      </c>
      <c r="AA631" s="14"/>
      <c r="AB631" s="13" t="s">
        <v>0</v>
      </c>
      <c r="AC631" s="13" t="s">
        <v>0</v>
      </c>
      <c r="AD631" s="13" t="s">
        <v>0</v>
      </c>
      <c r="AE631" s="15">
        <v>0</v>
      </c>
    </row>
    <row r="632" spans="1:31" ht="14.15" customHeight="1" x14ac:dyDescent="0.25">
      <c r="A632" s="12" t="s">
        <v>0</v>
      </c>
      <c r="B632" s="13" t="s">
        <v>1</v>
      </c>
      <c r="C632" s="13" t="s">
        <v>3840</v>
      </c>
      <c r="D632" s="14">
        <v>44349</v>
      </c>
      <c r="E632" s="14">
        <v>44349</v>
      </c>
      <c r="F632" s="14">
        <v>44356</v>
      </c>
      <c r="G632" s="13" t="s">
        <v>3</v>
      </c>
      <c r="H632" s="13" t="s">
        <v>4</v>
      </c>
      <c r="I632" s="15">
        <v>-28535.84</v>
      </c>
      <c r="J632" s="13" t="s">
        <v>5</v>
      </c>
      <c r="K632" s="13" t="s">
        <v>6</v>
      </c>
      <c r="L632" s="15">
        <v>-2395583.77</v>
      </c>
      <c r="M632" s="15">
        <v>-28535.84</v>
      </c>
      <c r="N632" s="16" t="str">
        <f>IF(M632="","",IF(M632&lt;0,-M632&amp;"_"&amp;COUNTIF(M$2:M632,M632),M632&amp;"_"&amp;COUNTIF(M$2:M632,M632)))</f>
        <v>28535.84_1</v>
      </c>
      <c r="O632" s="17" t="str">
        <f t="shared" si="9"/>
        <v/>
      </c>
      <c r="P632" s="13" t="s">
        <v>3841</v>
      </c>
      <c r="Q632" s="13" t="s">
        <v>3839</v>
      </c>
      <c r="R632" s="13" t="s">
        <v>0</v>
      </c>
      <c r="S632" s="13" t="s">
        <v>0</v>
      </c>
      <c r="T632" s="13" t="s">
        <v>9</v>
      </c>
      <c r="U632" s="13" t="s">
        <v>0</v>
      </c>
      <c r="V632" s="13" t="s">
        <v>0</v>
      </c>
      <c r="W632" s="13" t="s">
        <v>0</v>
      </c>
      <c r="X632" s="13" t="s">
        <v>0</v>
      </c>
      <c r="Y632" s="13" t="s">
        <v>10</v>
      </c>
      <c r="Z632" s="13" t="s">
        <v>0</v>
      </c>
      <c r="AA632" s="14"/>
      <c r="AB632" s="13" t="s">
        <v>0</v>
      </c>
      <c r="AC632" s="13" t="s">
        <v>0</v>
      </c>
      <c r="AD632" s="13" t="s">
        <v>0</v>
      </c>
      <c r="AE632" s="15">
        <v>0</v>
      </c>
    </row>
    <row r="633" spans="1:31" ht="14.15" customHeight="1" x14ac:dyDescent="0.25">
      <c r="A633" s="12" t="s">
        <v>0</v>
      </c>
      <c r="B633" s="13" t="s">
        <v>1</v>
      </c>
      <c r="C633" s="13" t="s">
        <v>4205</v>
      </c>
      <c r="D633" s="14">
        <v>44364</v>
      </c>
      <c r="E633" s="14">
        <v>44364</v>
      </c>
      <c r="F633" s="14">
        <v>44371</v>
      </c>
      <c r="G633" s="13" t="s">
        <v>3</v>
      </c>
      <c r="H633" s="13" t="s">
        <v>4</v>
      </c>
      <c r="I633" s="15">
        <v>-28515.96</v>
      </c>
      <c r="J633" s="13" t="s">
        <v>5</v>
      </c>
      <c r="K633" s="13" t="s">
        <v>6</v>
      </c>
      <c r="L633" s="15">
        <v>-2393914.84</v>
      </c>
      <c r="M633" s="15">
        <v>-28515.96</v>
      </c>
      <c r="N633" s="16" t="str">
        <f>IF(M633="","",IF(M633&lt;0,-M633&amp;"_"&amp;COUNTIF(M$2:M633,M633),M633&amp;"_"&amp;COUNTIF(M$2:M633,M633)))</f>
        <v>28515.96_1</v>
      </c>
      <c r="O633" s="17" t="str">
        <f t="shared" si="9"/>
        <v/>
      </c>
      <c r="P633" s="13" t="s">
        <v>4206</v>
      </c>
      <c r="Q633" s="13" t="s">
        <v>4180</v>
      </c>
      <c r="R633" s="13" t="s">
        <v>0</v>
      </c>
      <c r="S633" s="13" t="s">
        <v>0</v>
      </c>
      <c r="T633" s="13" t="s">
        <v>9</v>
      </c>
      <c r="U633" s="13" t="s">
        <v>0</v>
      </c>
      <c r="V633" s="13" t="s">
        <v>0</v>
      </c>
      <c r="W633" s="13" t="s">
        <v>0</v>
      </c>
      <c r="X633" s="13" t="s">
        <v>0</v>
      </c>
      <c r="Y633" s="13" t="s">
        <v>10</v>
      </c>
      <c r="Z633" s="13" t="s">
        <v>0</v>
      </c>
      <c r="AA633" s="14"/>
      <c r="AB633" s="13" t="s">
        <v>0</v>
      </c>
      <c r="AC633" s="13" t="s">
        <v>0</v>
      </c>
      <c r="AD633" s="13" t="s">
        <v>0</v>
      </c>
      <c r="AE633" s="15">
        <v>0</v>
      </c>
    </row>
    <row r="634" spans="1:31" ht="14.15" customHeight="1" x14ac:dyDescent="0.25">
      <c r="A634" s="12" t="s">
        <v>0</v>
      </c>
      <c r="B634" s="13" t="s">
        <v>1</v>
      </c>
      <c r="C634" s="13" t="s">
        <v>1872</v>
      </c>
      <c r="D634" s="14">
        <v>44188</v>
      </c>
      <c r="E634" s="14">
        <v>44188</v>
      </c>
      <c r="F634" s="14">
        <v>44198</v>
      </c>
      <c r="G634" s="13" t="s">
        <v>3</v>
      </c>
      <c r="H634" s="13" t="s">
        <v>4</v>
      </c>
      <c r="I634" s="15">
        <v>-28453.25</v>
      </c>
      <c r="J634" s="13" t="s">
        <v>5</v>
      </c>
      <c r="K634" s="13" t="s">
        <v>6</v>
      </c>
      <c r="L634" s="15">
        <v>-2388650.34</v>
      </c>
      <c r="M634" s="15">
        <v>-28453.25</v>
      </c>
      <c r="N634" s="16" t="str">
        <f>IF(M634="","",IF(M634&lt;0,-M634&amp;"_"&amp;COUNTIF(M$2:M634,M634),M634&amp;"_"&amp;COUNTIF(M$2:M634,M634)))</f>
        <v>28453.25_1</v>
      </c>
      <c r="O634" s="17" t="str">
        <f t="shared" si="9"/>
        <v/>
      </c>
      <c r="P634" s="13" t="s">
        <v>1873</v>
      </c>
      <c r="Q634" s="13" t="s">
        <v>1869</v>
      </c>
      <c r="R634" s="13" t="s">
        <v>0</v>
      </c>
      <c r="S634" s="13" t="s">
        <v>0</v>
      </c>
      <c r="T634" s="13" t="s">
        <v>9</v>
      </c>
      <c r="U634" s="13" t="s">
        <v>0</v>
      </c>
      <c r="V634" s="13" t="s">
        <v>0</v>
      </c>
      <c r="W634" s="13" t="s">
        <v>0</v>
      </c>
      <c r="X634" s="13" t="s">
        <v>0</v>
      </c>
      <c r="Y634" s="13" t="s">
        <v>10</v>
      </c>
      <c r="Z634" s="13" t="s">
        <v>0</v>
      </c>
      <c r="AA634" s="14"/>
      <c r="AB634" s="13" t="s">
        <v>0</v>
      </c>
      <c r="AC634" s="13" t="s">
        <v>0</v>
      </c>
      <c r="AD634" s="13" t="s">
        <v>0</v>
      </c>
      <c r="AE634" s="15">
        <v>0</v>
      </c>
    </row>
    <row r="635" spans="1:31" ht="14.15" customHeight="1" x14ac:dyDescent="0.25">
      <c r="A635" s="12" t="s">
        <v>0</v>
      </c>
      <c r="B635" s="13" t="s">
        <v>1</v>
      </c>
      <c r="C635" s="13" t="s">
        <v>2799</v>
      </c>
      <c r="D635" s="14">
        <v>44265</v>
      </c>
      <c r="E635" s="14">
        <v>44265</v>
      </c>
      <c r="F635" s="14">
        <v>44268</v>
      </c>
      <c r="G635" s="13" t="s">
        <v>3</v>
      </c>
      <c r="H635" s="13" t="s">
        <v>4</v>
      </c>
      <c r="I635" s="15">
        <v>-28416.1</v>
      </c>
      <c r="J635" s="13" t="s">
        <v>5</v>
      </c>
      <c r="K635" s="13" t="s">
        <v>6</v>
      </c>
      <c r="L635" s="15">
        <v>-2385531.6</v>
      </c>
      <c r="M635" s="15">
        <v>-28416.1</v>
      </c>
      <c r="N635" s="16" t="str">
        <f>IF(M635="","",IF(M635&lt;0,-M635&amp;"_"&amp;COUNTIF(M$2:M635,M635),M635&amp;"_"&amp;COUNTIF(M$2:M635,M635)))</f>
        <v>28416.1_1</v>
      </c>
      <c r="O635" s="17" t="str">
        <f t="shared" si="9"/>
        <v/>
      </c>
      <c r="P635" s="13" t="s">
        <v>2800</v>
      </c>
      <c r="Q635" s="13" t="s">
        <v>2801</v>
      </c>
      <c r="R635" s="13" t="s">
        <v>0</v>
      </c>
      <c r="S635" s="13" t="s">
        <v>0</v>
      </c>
      <c r="T635" s="13" t="s">
        <v>9</v>
      </c>
      <c r="U635" s="13" t="s">
        <v>0</v>
      </c>
      <c r="V635" s="13" t="s">
        <v>0</v>
      </c>
      <c r="W635" s="13" t="s">
        <v>0</v>
      </c>
      <c r="X635" s="13" t="s">
        <v>0</v>
      </c>
      <c r="Y635" s="13" t="s">
        <v>10</v>
      </c>
      <c r="Z635" s="13" t="s">
        <v>0</v>
      </c>
      <c r="AA635" s="14"/>
      <c r="AB635" s="13" t="s">
        <v>0</v>
      </c>
      <c r="AC635" s="13" t="s">
        <v>0</v>
      </c>
      <c r="AD635" s="13" t="s">
        <v>0</v>
      </c>
      <c r="AE635" s="15">
        <v>0</v>
      </c>
    </row>
    <row r="636" spans="1:31" ht="14.15" customHeight="1" x14ac:dyDescent="0.25">
      <c r="A636" s="12" t="s">
        <v>0</v>
      </c>
      <c r="B636" s="13" t="s">
        <v>1</v>
      </c>
      <c r="C636" s="13" t="s">
        <v>2469</v>
      </c>
      <c r="D636" s="14">
        <v>44234</v>
      </c>
      <c r="E636" s="14">
        <v>44234</v>
      </c>
      <c r="F636" s="14">
        <v>44241</v>
      </c>
      <c r="G636" s="13" t="s">
        <v>3</v>
      </c>
      <c r="H636" s="13" t="s">
        <v>4</v>
      </c>
      <c r="I636" s="15">
        <v>-28374.55</v>
      </c>
      <c r="J636" s="13" t="s">
        <v>5</v>
      </c>
      <c r="K636" s="13" t="s">
        <v>6</v>
      </c>
      <c r="L636" s="15">
        <v>-2382043.4700000002</v>
      </c>
      <c r="M636" s="15">
        <v>-28374.55</v>
      </c>
      <c r="N636" s="16" t="str">
        <f>IF(M636="","",IF(M636&lt;0,-M636&amp;"_"&amp;COUNTIF(M$2:M636,M636),M636&amp;"_"&amp;COUNTIF(M$2:M636,M636)))</f>
        <v>28374.55_1</v>
      </c>
      <c r="O636" s="17" t="str">
        <f t="shared" si="9"/>
        <v/>
      </c>
      <c r="P636" s="13" t="s">
        <v>2470</v>
      </c>
      <c r="Q636" s="13" t="s">
        <v>2462</v>
      </c>
      <c r="R636" s="13" t="s">
        <v>0</v>
      </c>
      <c r="S636" s="13" t="s">
        <v>0</v>
      </c>
      <c r="T636" s="13" t="s">
        <v>9</v>
      </c>
      <c r="U636" s="13" t="s">
        <v>0</v>
      </c>
      <c r="V636" s="13" t="s">
        <v>0</v>
      </c>
      <c r="W636" s="13" t="s">
        <v>0</v>
      </c>
      <c r="X636" s="13" t="s">
        <v>0</v>
      </c>
      <c r="Y636" s="13" t="s">
        <v>10</v>
      </c>
      <c r="Z636" s="13" t="s">
        <v>0</v>
      </c>
      <c r="AA636" s="14"/>
      <c r="AB636" s="13" t="s">
        <v>0</v>
      </c>
      <c r="AC636" s="13" t="s">
        <v>0</v>
      </c>
      <c r="AD636" s="13" t="s">
        <v>0</v>
      </c>
      <c r="AE636" s="15">
        <v>0</v>
      </c>
    </row>
    <row r="637" spans="1:31" ht="14.15" customHeight="1" x14ac:dyDescent="0.25">
      <c r="A637" s="12" t="s">
        <v>0</v>
      </c>
      <c r="B637" s="13" t="s">
        <v>1</v>
      </c>
      <c r="C637" s="13" t="s">
        <v>4037</v>
      </c>
      <c r="D637" s="14">
        <v>44358</v>
      </c>
      <c r="E637" s="14">
        <v>44358</v>
      </c>
      <c r="F637" s="14">
        <v>44364</v>
      </c>
      <c r="G637" s="13" t="s">
        <v>3</v>
      </c>
      <c r="H637" s="13" t="s">
        <v>4</v>
      </c>
      <c r="I637" s="15">
        <v>-28353.81</v>
      </c>
      <c r="J637" s="13" t="s">
        <v>5</v>
      </c>
      <c r="K637" s="13" t="s">
        <v>6</v>
      </c>
      <c r="L637" s="15">
        <v>-2380302.35</v>
      </c>
      <c r="M637" s="15">
        <v>-28353.81</v>
      </c>
      <c r="N637" s="16" t="str">
        <f>IF(M637="","",IF(M637&lt;0,-M637&amp;"_"&amp;COUNTIF(M$2:M637,M637),M637&amp;"_"&amp;COUNTIF(M$2:M637,M637)))</f>
        <v>28353.81_1</v>
      </c>
      <c r="O637" s="17" t="str">
        <f t="shared" si="9"/>
        <v/>
      </c>
      <c r="P637" s="13" t="s">
        <v>4038</v>
      </c>
      <c r="Q637" s="13" t="s">
        <v>4006</v>
      </c>
      <c r="R637" s="13" t="s">
        <v>0</v>
      </c>
      <c r="S637" s="13" t="s">
        <v>0</v>
      </c>
      <c r="T637" s="13" t="s">
        <v>9</v>
      </c>
      <c r="U637" s="13" t="s">
        <v>0</v>
      </c>
      <c r="V637" s="13" t="s">
        <v>0</v>
      </c>
      <c r="W637" s="13" t="s">
        <v>0</v>
      </c>
      <c r="X637" s="13" t="s">
        <v>0</v>
      </c>
      <c r="Y637" s="13" t="s">
        <v>10</v>
      </c>
      <c r="Z637" s="13" t="s">
        <v>0</v>
      </c>
      <c r="AA637" s="14"/>
      <c r="AB637" s="13" t="s">
        <v>0</v>
      </c>
      <c r="AC637" s="13" t="s">
        <v>0</v>
      </c>
      <c r="AD637" s="13" t="s">
        <v>0</v>
      </c>
      <c r="AE637" s="15">
        <v>0</v>
      </c>
    </row>
    <row r="638" spans="1:31" ht="14.15" customHeight="1" x14ac:dyDescent="0.25">
      <c r="A638" s="12" t="s">
        <v>0</v>
      </c>
      <c r="B638" s="13" t="s">
        <v>1</v>
      </c>
      <c r="C638" s="13" t="s">
        <v>412</v>
      </c>
      <c r="D638" s="14">
        <v>44062</v>
      </c>
      <c r="E638" s="14">
        <v>44062</v>
      </c>
      <c r="F638" s="14">
        <v>44084</v>
      </c>
      <c r="G638" s="13" t="s">
        <v>3</v>
      </c>
      <c r="H638" s="13" t="s">
        <v>4</v>
      </c>
      <c r="I638" s="15">
        <v>-28344.14</v>
      </c>
      <c r="J638" s="13" t="s">
        <v>5</v>
      </c>
      <c r="K638" s="13" t="s">
        <v>6</v>
      </c>
      <c r="L638" s="15">
        <v>-2379490.5499999998</v>
      </c>
      <c r="M638" s="15">
        <v>-28344.14</v>
      </c>
      <c r="N638" s="16" t="str">
        <f>IF(M638="","",IF(M638&lt;0,-M638&amp;"_"&amp;COUNTIF(M$2:M638,M638),M638&amp;"_"&amp;COUNTIF(M$2:M638,M638)))</f>
        <v>28344.14_1</v>
      </c>
      <c r="O638" s="17" t="str">
        <f t="shared" si="9"/>
        <v/>
      </c>
      <c r="P638" s="13" t="s">
        <v>413</v>
      </c>
      <c r="Q638" s="13" t="s">
        <v>403</v>
      </c>
      <c r="R638" s="13" t="s">
        <v>0</v>
      </c>
      <c r="S638" s="13" t="s">
        <v>0</v>
      </c>
      <c r="T638" s="13" t="s">
        <v>9</v>
      </c>
      <c r="U638" s="13" t="s">
        <v>0</v>
      </c>
      <c r="V638" s="13" t="s">
        <v>0</v>
      </c>
      <c r="W638" s="13" t="s">
        <v>0</v>
      </c>
      <c r="X638" s="13" t="s">
        <v>0</v>
      </c>
      <c r="Y638" s="13" t="s">
        <v>10</v>
      </c>
      <c r="Z638" s="13" t="s">
        <v>0</v>
      </c>
      <c r="AA638" s="14"/>
      <c r="AB638" s="13" t="s">
        <v>0</v>
      </c>
      <c r="AC638" s="13" t="s">
        <v>0</v>
      </c>
      <c r="AD638" s="13" t="s">
        <v>0</v>
      </c>
      <c r="AE638" s="15">
        <v>0</v>
      </c>
    </row>
    <row r="639" spans="1:31" ht="14.15" customHeight="1" x14ac:dyDescent="0.25">
      <c r="A639" s="12" t="s">
        <v>0</v>
      </c>
      <c r="B639" s="13" t="s">
        <v>1</v>
      </c>
      <c r="C639" s="13" t="s">
        <v>907</v>
      </c>
      <c r="D639" s="14">
        <v>44115</v>
      </c>
      <c r="E639" s="14">
        <v>44115</v>
      </c>
      <c r="F639" s="14">
        <v>44118</v>
      </c>
      <c r="G639" s="13" t="s">
        <v>3</v>
      </c>
      <c r="H639" s="13" t="s">
        <v>4</v>
      </c>
      <c r="I639" s="15">
        <v>-28330.22</v>
      </c>
      <c r="J639" s="13" t="s">
        <v>5</v>
      </c>
      <c r="K639" s="13" t="s">
        <v>6</v>
      </c>
      <c r="L639" s="15">
        <v>-2378321.9700000002</v>
      </c>
      <c r="M639" s="15">
        <v>-28330.22</v>
      </c>
      <c r="N639" s="16" t="str">
        <f>IF(M639="","",IF(M639&lt;0,-M639&amp;"_"&amp;COUNTIF(M$2:M639,M639),M639&amp;"_"&amp;COUNTIF(M$2:M639,M639)))</f>
        <v>28330.22_1</v>
      </c>
      <c r="O639" s="17" t="str">
        <f t="shared" si="9"/>
        <v/>
      </c>
      <c r="P639" s="13" t="s">
        <v>908</v>
      </c>
      <c r="Q639" s="13" t="s">
        <v>909</v>
      </c>
      <c r="R639" s="13" t="s">
        <v>0</v>
      </c>
      <c r="S639" s="13" t="s">
        <v>0</v>
      </c>
      <c r="T639" s="13" t="s">
        <v>9</v>
      </c>
      <c r="U639" s="13" t="s">
        <v>0</v>
      </c>
      <c r="V639" s="13" t="s">
        <v>0</v>
      </c>
      <c r="W639" s="13" t="s">
        <v>0</v>
      </c>
      <c r="X639" s="13" t="s">
        <v>0</v>
      </c>
      <c r="Y639" s="13" t="s">
        <v>10</v>
      </c>
      <c r="Z639" s="13" t="s">
        <v>0</v>
      </c>
      <c r="AA639" s="14"/>
      <c r="AB639" s="13" t="s">
        <v>0</v>
      </c>
      <c r="AC639" s="13" t="s">
        <v>0</v>
      </c>
      <c r="AD639" s="13" t="s">
        <v>0</v>
      </c>
      <c r="AE639" s="15">
        <v>0</v>
      </c>
    </row>
    <row r="640" spans="1:31" ht="14.15" customHeight="1" x14ac:dyDescent="0.25">
      <c r="A640" s="12" t="s">
        <v>0</v>
      </c>
      <c r="B640" s="13" t="s">
        <v>1</v>
      </c>
      <c r="C640" s="13" t="s">
        <v>79</v>
      </c>
      <c r="D640" s="14">
        <v>44020</v>
      </c>
      <c r="E640" s="14">
        <v>44020</v>
      </c>
      <c r="F640" s="14">
        <v>44030</v>
      </c>
      <c r="G640" s="13" t="s">
        <v>3</v>
      </c>
      <c r="H640" s="13" t="s">
        <v>4</v>
      </c>
      <c r="I640" s="15">
        <v>-28302.32</v>
      </c>
      <c r="J640" s="13" t="s">
        <v>5</v>
      </c>
      <c r="K640" s="13" t="s">
        <v>6</v>
      </c>
      <c r="L640" s="15">
        <v>-2375979.7599999998</v>
      </c>
      <c r="M640" s="15">
        <v>-28302.32</v>
      </c>
      <c r="N640" s="16" t="str">
        <f>IF(M640="","",IF(M640&lt;0,-M640&amp;"_"&amp;COUNTIF(M$2:M640,M640),M640&amp;"_"&amp;COUNTIF(M$2:M640,M640)))</f>
        <v>28302.32_1</v>
      </c>
      <c r="O640" s="17" t="str">
        <f t="shared" si="9"/>
        <v/>
      </c>
      <c r="P640" s="13" t="s">
        <v>80</v>
      </c>
      <c r="Q640" s="13" t="s">
        <v>70</v>
      </c>
      <c r="R640" s="13" t="s">
        <v>0</v>
      </c>
      <c r="S640" s="13" t="s">
        <v>0</v>
      </c>
      <c r="T640" s="13" t="s">
        <v>9</v>
      </c>
      <c r="U640" s="13" t="s">
        <v>0</v>
      </c>
      <c r="V640" s="13" t="s">
        <v>0</v>
      </c>
      <c r="W640" s="13" t="s">
        <v>0</v>
      </c>
      <c r="X640" s="13" t="s">
        <v>0</v>
      </c>
      <c r="Y640" s="13" t="s">
        <v>10</v>
      </c>
      <c r="Z640" s="13" t="s">
        <v>0</v>
      </c>
      <c r="AA640" s="14"/>
      <c r="AB640" s="13" t="s">
        <v>0</v>
      </c>
      <c r="AC640" s="13" t="s">
        <v>0</v>
      </c>
      <c r="AD640" s="13" t="s">
        <v>0</v>
      </c>
      <c r="AE640" s="15">
        <v>0</v>
      </c>
    </row>
    <row r="641" spans="1:31" ht="14.15" customHeight="1" x14ac:dyDescent="0.25">
      <c r="A641" s="12" t="s">
        <v>0</v>
      </c>
      <c r="B641" s="13" t="s">
        <v>1</v>
      </c>
      <c r="C641" s="13" t="s">
        <v>1580</v>
      </c>
      <c r="D641" s="14">
        <v>44166</v>
      </c>
      <c r="E641" s="14">
        <v>44166</v>
      </c>
      <c r="F641" s="14">
        <v>44174</v>
      </c>
      <c r="G641" s="13" t="s">
        <v>3</v>
      </c>
      <c r="H641" s="13" t="s">
        <v>4</v>
      </c>
      <c r="I641" s="15">
        <v>-28292.68</v>
      </c>
      <c r="J641" s="13" t="s">
        <v>5</v>
      </c>
      <c r="K641" s="13" t="s">
        <v>6</v>
      </c>
      <c r="L641" s="15">
        <v>-2375170.4900000002</v>
      </c>
      <c r="M641" s="15">
        <v>-28292.68</v>
      </c>
      <c r="N641" s="16" t="str">
        <f>IF(M641="","",IF(M641&lt;0,-M641&amp;"_"&amp;COUNTIF(M$2:M641,M641),M641&amp;"_"&amp;COUNTIF(M$2:M641,M641)))</f>
        <v>28292.68_1</v>
      </c>
      <c r="O641" s="17" t="str">
        <f t="shared" si="9"/>
        <v/>
      </c>
      <c r="P641" s="13" t="s">
        <v>1581</v>
      </c>
      <c r="Q641" s="13" t="s">
        <v>1579</v>
      </c>
      <c r="R641" s="13" t="s">
        <v>0</v>
      </c>
      <c r="S641" s="13" t="s">
        <v>0</v>
      </c>
      <c r="T641" s="13" t="s">
        <v>9</v>
      </c>
      <c r="U641" s="13" t="s">
        <v>0</v>
      </c>
      <c r="V641" s="13" t="s">
        <v>0</v>
      </c>
      <c r="W641" s="13" t="s">
        <v>0</v>
      </c>
      <c r="X641" s="13" t="s">
        <v>0</v>
      </c>
      <c r="Y641" s="13" t="s">
        <v>10</v>
      </c>
      <c r="Z641" s="13" t="s">
        <v>0</v>
      </c>
      <c r="AA641" s="14"/>
      <c r="AB641" s="13" t="s">
        <v>0</v>
      </c>
      <c r="AC641" s="13" t="s">
        <v>0</v>
      </c>
      <c r="AD641" s="13" t="s">
        <v>0</v>
      </c>
      <c r="AE641" s="15">
        <v>0</v>
      </c>
    </row>
    <row r="642" spans="1:31" ht="14.15" customHeight="1" x14ac:dyDescent="0.25">
      <c r="A642" s="12" t="s">
        <v>0</v>
      </c>
      <c r="B642" s="13" t="s">
        <v>1</v>
      </c>
      <c r="C642" s="13" t="s">
        <v>1421</v>
      </c>
      <c r="D642" s="14">
        <v>44155</v>
      </c>
      <c r="E642" s="14">
        <v>44155</v>
      </c>
      <c r="F642" s="14">
        <v>44159</v>
      </c>
      <c r="G642" s="13" t="s">
        <v>3</v>
      </c>
      <c r="H642" s="13" t="s">
        <v>4</v>
      </c>
      <c r="I642" s="15">
        <v>-28261.09</v>
      </c>
      <c r="J642" s="13" t="s">
        <v>5</v>
      </c>
      <c r="K642" s="13" t="s">
        <v>6</v>
      </c>
      <c r="L642" s="15">
        <v>-2372518.5099999998</v>
      </c>
      <c r="M642" s="15">
        <v>-28261.09</v>
      </c>
      <c r="N642" s="16" t="str">
        <f>IF(M642="","",IF(M642&lt;0,-M642&amp;"_"&amp;COUNTIF(M$2:M642,M642),M642&amp;"_"&amp;COUNTIF(M$2:M642,M642)))</f>
        <v>28261.09_1</v>
      </c>
      <c r="O642" s="17" t="str">
        <f t="shared" ref="O642:O705" si="10">IF(COUNTIF(N:N,N642)=2,"x","")</f>
        <v/>
      </c>
      <c r="P642" s="13" t="s">
        <v>1422</v>
      </c>
      <c r="Q642" s="13" t="s">
        <v>1423</v>
      </c>
      <c r="R642" s="13" t="s">
        <v>0</v>
      </c>
      <c r="S642" s="13" t="s">
        <v>0</v>
      </c>
      <c r="T642" s="13" t="s">
        <v>9</v>
      </c>
      <c r="U642" s="13" t="s">
        <v>0</v>
      </c>
      <c r="V642" s="13" t="s">
        <v>0</v>
      </c>
      <c r="W642" s="13" t="s">
        <v>0</v>
      </c>
      <c r="X642" s="13" t="s">
        <v>0</v>
      </c>
      <c r="Y642" s="13" t="s">
        <v>10</v>
      </c>
      <c r="Z642" s="13" t="s">
        <v>0</v>
      </c>
      <c r="AA642" s="14"/>
      <c r="AB642" s="13" t="s">
        <v>0</v>
      </c>
      <c r="AC642" s="13" t="s">
        <v>0</v>
      </c>
      <c r="AD642" s="13" t="s">
        <v>0</v>
      </c>
      <c r="AE642" s="15">
        <v>0</v>
      </c>
    </row>
    <row r="643" spans="1:31" ht="14.15" customHeight="1" x14ac:dyDescent="0.25">
      <c r="A643" s="12" t="s">
        <v>0</v>
      </c>
      <c r="B643" s="13" t="s">
        <v>1</v>
      </c>
      <c r="C643" s="13" t="s">
        <v>2047</v>
      </c>
      <c r="D643" s="14">
        <v>44197</v>
      </c>
      <c r="E643" s="14">
        <v>44197</v>
      </c>
      <c r="F643" s="14">
        <v>44203</v>
      </c>
      <c r="G643" s="13" t="s">
        <v>3</v>
      </c>
      <c r="H643" s="13" t="s">
        <v>4</v>
      </c>
      <c r="I643" s="15">
        <v>-28227.71</v>
      </c>
      <c r="J643" s="13" t="s">
        <v>5</v>
      </c>
      <c r="K643" s="13" t="s">
        <v>6</v>
      </c>
      <c r="L643" s="15">
        <v>-2369716.25</v>
      </c>
      <c r="M643" s="15">
        <v>-28227.71</v>
      </c>
      <c r="N643" s="16" t="str">
        <f>IF(M643="","",IF(M643&lt;0,-M643&amp;"_"&amp;COUNTIF(M$2:M643,M643),M643&amp;"_"&amp;COUNTIF(M$2:M643,M643)))</f>
        <v>28227.71_1</v>
      </c>
      <c r="O643" s="17" t="str">
        <f t="shared" si="10"/>
        <v/>
      </c>
      <c r="P643" s="13" t="s">
        <v>2048</v>
      </c>
      <c r="Q643" s="13" t="s">
        <v>2034</v>
      </c>
      <c r="R643" s="13" t="s">
        <v>0</v>
      </c>
      <c r="S643" s="13" t="s">
        <v>0</v>
      </c>
      <c r="T643" s="13" t="s">
        <v>9</v>
      </c>
      <c r="U643" s="13" t="s">
        <v>0</v>
      </c>
      <c r="V643" s="13" t="s">
        <v>0</v>
      </c>
      <c r="W643" s="13" t="s">
        <v>0</v>
      </c>
      <c r="X643" s="13" t="s">
        <v>0</v>
      </c>
      <c r="Y643" s="13" t="s">
        <v>10</v>
      </c>
      <c r="Z643" s="13" t="s">
        <v>0</v>
      </c>
      <c r="AA643" s="14"/>
      <c r="AB643" s="13" t="s">
        <v>0</v>
      </c>
      <c r="AC643" s="13" t="s">
        <v>0</v>
      </c>
      <c r="AD643" s="13" t="s">
        <v>0</v>
      </c>
      <c r="AE643" s="15">
        <v>0</v>
      </c>
    </row>
    <row r="644" spans="1:31" ht="14.15" customHeight="1" x14ac:dyDescent="0.25">
      <c r="A644" s="12" t="s">
        <v>0</v>
      </c>
      <c r="B644" s="13" t="s">
        <v>1</v>
      </c>
      <c r="C644" s="13" t="s">
        <v>3923</v>
      </c>
      <c r="D644" s="14">
        <v>44354</v>
      </c>
      <c r="E644" s="14">
        <v>44354</v>
      </c>
      <c r="F644" s="14">
        <v>44357</v>
      </c>
      <c r="G644" s="13" t="s">
        <v>3</v>
      </c>
      <c r="H644" s="13" t="s">
        <v>4</v>
      </c>
      <c r="I644" s="15">
        <v>-28215.34</v>
      </c>
      <c r="J644" s="13" t="s">
        <v>5</v>
      </c>
      <c r="K644" s="13" t="s">
        <v>6</v>
      </c>
      <c r="L644" s="15">
        <v>-2368677.79</v>
      </c>
      <c r="M644" s="15">
        <v>-28215.34</v>
      </c>
      <c r="N644" s="16" t="str">
        <f>IF(M644="","",IF(M644&lt;0,-M644&amp;"_"&amp;COUNTIF(M$2:M644,M644),M644&amp;"_"&amp;COUNTIF(M$2:M644,M644)))</f>
        <v>28215.34_1</v>
      </c>
      <c r="O644" s="17" t="str">
        <f t="shared" si="10"/>
        <v/>
      </c>
      <c r="P644" s="13" t="s">
        <v>3924</v>
      </c>
      <c r="Q644" s="13" t="s">
        <v>3914</v>
      </c>
      <c r="R644" s="13" t="s">
        <v>0</v>
      </c>
      <c r="S644" s="13" t="s">
        <v>0</v>
      </c>
      <c r="T644" s="13" t="s">
        <v>9</v>
      </c>
      <c r="U644" s="13" t="s">
        <v>0</v>
      </c>
      <c r="V644" s="13" t="s">
        <v>0</v>
      </c>
      <c r="W644" s="13" t="s">
        <v>0</v>
      </c>
      <c r="X644" s="13" t="s">
        <v>0</v>
      </c>
      <c r="Y644" s="13" t="s">
        <v>10</v>
      </c>
      <c r="Z644" s="13" t="s">
        <v>0</v>
      </c>
      <c r="AA644" s="14"/>
      <c r="AB644" s="13" t="s">
        <v>0</v>
      </c>
      <c r="AC644" s="13" t="s">
        <v>0</v>
      </c>
      <c r="AD644" s="13" t="s">
        <v>0</v>
      </c>
      <c r="AE644" s="15">
        <v>0</v>
      </c>
    </row>
    <row r="645" spans="1:31" ht="14.15" customHeight="1" x14ac:dyDescent="0.25">
      <c r="A645" s="12" t="s">
        <v>0</v>
      </c>
      <c r="B645" s="13" t="s">
        <v>1</v>
      </c>
      <c r="C645" s="13" t="s">
        <v>3865</v>
      </c>
      <c r="D645" s="14">
        <v>44351</v>
      </c>
      <c r="E645" s="14">
        <v>44351</v>
      </c>
      <c r="F645" s="14">
        <v>44364</v>
      </c>
      <c r="G645" s="13" t="s">
        <v>3</v>
      </c>
      <c r="H645" s="13" t="s">
        <v>4</v>
      </c>
      <c r="I645" s="15">
        <v>-28197.71</v>
      </c>
      <c r="J645" s="13" t="s">
        <v>5</v>
      </c>
      <c r="K645" s="13" t="s">
        <v>6</v>
      </c>
      <c r="L645" s="15">
        <v>-2367197.7599999998</v>
      </c>
      <c r="M645" s="15">
        <v>-28197.71</v>
      </c>
      <c r="N645" s="16" t="str">
        <f>IF(M645="","",IF(M645&lt;0,-M645&amp;"_"&amp;COUNTIF(M$2:M645,M645),M645&amp;"_"&amp;COUNTIF(M$2:M645,M645)))</f>
        <v>28197.71_1</v>
      </c>
      <c r="O645" s="17" t="str">
        <f t="shared" si="10"/>
        <v/>
      </c>
      <c r="P645" s="13" t="s">
        <v>3866</v>
      </c>
      <c r="Q645" s="13" t="s">
        <v>3857</v>
      </c>
      <c r="R645" s="13" t="s">
        <v>0</v>
      </c>
      <c r="S645" s="13" t="s">
        <v>0</v>
      </c>
      <c r="T645" s="13" t="s">
        <v>9</v>
      </c>
      <c r="U645" s="13" t="s">
        <v>0</v>
      </c>
      <c r="V645" s="13" t="s">
        <v>0</v>
      </c>
      <c r="W645" s="13" t="s">
        <v>0</v>
      </c>
      <c r="X645" s="13" t="s">
        <v>0</v>
      </c>
      <c r="Y645" s="13" t="s">
        <v>10</v>
      </c>
      <c r="Z645" s="13" t="s">
        <v>0</v>
      </c>
      <c r="AA645" s="14"/>
      <c r="AB645" s="13" t="s">
        <v>0</v>
      </c>
      <c r="AC645" s="13" t="s">
        <v>0</v>
      </c>
      <c r="AD645" s="13" t="s">
        <v>0</v>
      </c>
      <c r="AE645" s="15">
        <v>0</v>
      </c>
    </row>
    <row r="646" spans="1:31" ht="14.15" customHeight="1" x14ac:dyDescent="0.25">
      <c r="A646" s="12" t="s">
        <v>0</v>
      </c>
      <c r="B646" s="13" t="s">
        <v>1</v>
      </c>
      <c r="C646" s="13" t="s">
        <v>4371</v>
      </c>
      <c r="D646" s="14">
        <v>44376</v>
      </c>
      <c r="E646" s="14">
        <v>44376</v>
      </c>
      <c r="F646" s="14">
        <v>44384</v>
      </c>
      <c r="G646" s="13" t="s">
        <v>3</v>
      </c>
      <c r="H646" s="13" t="s">
        <v>4</v>
      </c>
      <c r="I646" s="15">
        <v>-28191.759999999998</v>
      </c>
      <c r="J646" s="13" t="s">
        <v>5</v>
      </c>
      <c r="K646" s="13" t="s">
        <v>6</v>
      </c>
      <c r="L646" s="15">
        <v>-2366698.25</v>
      </c>
      <c r="M646" s="15">
        <v>-28191.759999999998</v>
      </c>
      <c r="N646" s="16" t="str">
        <f>IF(M646="","",IF(M646&lt;0,-M646&amp;"_"&amp;COUNTIF(M$2:M646,M646),M646&amp;"_"&amp;COUNTIF(M$2:M646,M646)))</f>
        <v>28191.76_1</v>
      </c>
      <c r="O646" s="17" t="str">
        <f t="shared" si="10"/>
        <v/>
      </c>
      <c r="P646" s="13" t="s">
        <v>4372</v>
      </c>
      <c r="Q646" s="13" t="s">
        <v>4350</v>
      </c>
      <c r="R646" s="13" t="s">
        <v>0</v>
      </c>
      <c r="S646" s="13" t="s">
        <v>0</v>
      </c>
      <c r="T646" s="13" t="s">
        <v>9</v>
      </c>
      <c r="U646" s="13" t="s">
        <v>0</v>
      </c>
      <c r="V646" s="13" t="s">
        <v>0</v>
      </c>
      <c r="W646" s="13" t="s">
        <v>0</v>
      </c>
      <c r="X646" s="13" t="s">
        <v>0</v>
      </c>
      <c r="Y646" s="13" t="s">
        <v>10</v>
      </c>
      <c r="Z646" s="13" t="s">
        <v>0</v>
      </c>
      <c r="AA646" s="14"/>
      <c r="AB646" s="13" t="s">
        <v>0</v>
      </c>
      <c r="AC646" s="13" t="s">
        <v>0</v>
      </c>
      <c r="AD646" s="13" t="s">
        <v>0</v>
      </c>
      <c r="AE646" s="15">
        <v>0</v>
      </c>
    </row>
    <row r="647" spans="1:31" ht="14.15" customHeight="1" x14ac:dyDescent="0.25">
      <c r="A647" s="12" t="s">
        <v>0</v>
      </c>
      <c r="B647" s="13" t="s">
        <v>1</v>
      </c>
      <c r="C647" s="13" t="s">
        <v>2438</v>
      </c>
      <c r="D647" s="14">
        <v>44231</v>
      </c>
      <c r="E647" s="14">
        <v>44231</v>
      </c>
      <c r="F647" s="14">
        <v>44237</v>
      </c>
      <c r="G647" s="13" t="s">
        <v>3</v>
      </c>
      <c r="H647" s="13" t="s">
        <v>4</v>
      </c>
      <c r="I647" s="15">
        <v>-28185.39</v>
      </c>
      <c r="J647" s="13" t="s">
        <v>5</v>
      </c>
      <c r="K647" s="13" t="s">
        <v>6</v>
      </c>
      <c r="L647" s="15">
        <v>-2366163.4900000002</v>
      </c>
      <c r="M647" s="15">
        <v>-28185.39</v>
      </c>
      <c r="N647" s="16" t="str">
        <f>IF(M647="","",IF(M647&lt;0,-M647&amp;"_"&amp;COUNTIF(M$2:M647,M647),M647&amp;"_"&amp;COUNTIF(M$2:M647,M647)))</f>
        <v>28185.39_1</v>
      </c>
      <c r="O647" s="17" t="str">
        <f t="shared" si="10"/>
        <v/>
      </c>
      <c r="P647" s="13" t="s">
        <v>2439</v>
      </c>
      <c r="Q647" s="13" t="s">
        <v>2427</v>
      </c>
      <c r="R647" s="13" t="s">
        <v>0</v>
      </c>
      <c r="S647" s="13" t="s">
        <v>0</v>
      </c>
      <c r="T647" s="13" t="s">
        <v>9</v>
      </c>
      <c r="U647" s="13" t="s">
        <v>0</v>
      </c>
      <c r="V647" s="13" t="s">
        <v>0</v>
      </c>
      <c r="W647" s="13" t="s">
        <v>0</v>
      </c>
      <c r="X647" s="13" t="s">
        <v>0</v>
      </c>
      <c r="Y647" s="13" t="s">
        <v>10</v>
      </c>
      <c r="Z647" s="13" t="s">
        <v>0</v>
      </c>
      <c r="AA647" s="14"/>
      <c r="AB647" s="13" t="s">
        <v>0</v>
      </c>
      <c r="AC647" s="13" t="s">
        <v>0</v>
      </c>
      <c r="AD647" s="13" t="s">
        <v>0</v>
      </c>
      <c r="AE647" s="15">
        <v>0</v>
      </c>
    </row>
    <row r="648" spans="1:31" ht="14.15" customHeight="1" x14ac:dyDescent="0.25">
      <c r="A648" s="12" t="s">
        <v>0</v>
      </c>
      <c r="B648" s="13" t="s">
        <v>1</v>
      </c>
      <c r="C648" s="13" t="s">
        <v>3155</v>
      </c>
      <c r="D648" s="14">
        <v>44297</v>
      </c>
      <c r="E648" s="14">
        <v>44297</v>
      </c>
      <c r="F648" s="14">
        <v>44306</v>
      </c>
      <c r="G648" s="13" t="s">
        <v>3</v>
      </c>
      <c r="H648" s="13" t="s">
        <v>4</v>
      </c>
      <c r="I648" s="15">
        <v>-28182.02</v>
      </c>
      <c r="J648" s="13" t="s">
        <v>5</v>
      </c>
      <c r="K648" s="13" t="s">
        <v>6</v>
      </c>
      <c r="L648" s="15">
        <v>-2365880.6</v>
      </c>
      <c r="M648" s="15">
        <v>-28182.02</v>
      </c>
      <c r="N648" s="16" t="str">
        <f>IF(M648="","",IF(M648&lt;0,-M648&amp;"_"&amp;COUNTIF(M$2:M648,M648),M648&amp;"_"&amp;COUNTIF(M$2:M648,M648)))</f>
        <v>28182.02_1</v>
      </c>
      <c r="O648" s="17" t="str">
        <f t="shared" si="10"/>
        <v/>
      </c>
      <c r="P648" s="13" t="s">
        <v>3156</v>
      </c>
      <c r="Q648" s="13" t="s">
        <v>3152</v>
      </c>
      <c r="R648" s="13" t="s">
        <v>0</v>
      </c>
      <c r="S648" s="13" t="s">
        <v>0</v>
      </c>
      <c r="T648" s="13" t="s">
        <v>9</v>
      </c>
      <c r="U648" s="13" t="s">
        <v>0</v>
      </c>
      <c r="V648" s="13" t="s">
        <v>0</v>
      </c>
      <c r="W648" s="13" t="s">
        <v>0</v>
      </c>
      <c r="X648" s="13" t="s">
        <v>0</v>
      </c>
      <c r="Y648" s="13" t="s">
        <v>10</v>
      </c>
      <c r="Z648" s="13" t="s">
        <v>0</v>
      </c>
      <c r="AA648" s="14"/>
      <c r="AB648" s="13" t="s">
        <v>0</v>
      </c>
      <c r="AC648" s="13" t="s">
        <v>0</v>
      </c>
      <c r="AD648" s="13" t="s">
        <v>0</v>
      </c>
      <c r="AE648" s="15">
        <v>0</v>
      </c>
    </row>
    <row r="649" spans="1:31" ht="14.15" customHeight="1" x14ac:dyDescent="0.25">
      <c r="A649" s="12" t="s">
        <v>0</v>
      </c>
      <c r="B649" s="13" t="s">
        <v>1</v>
      </c>
      <c r="C649" s="13" t="s">
        <v>3535</v>
      </c>
      <c r="D649" s="14">
        <v>44324</v>
      </c>
      <c r="E649" s="14">
        <v>44324</v>
      </c>
      <c r="F649" s="14">
        <v>44336</v>
      </c>
      <c r="G649" s="13" t="s">
        <v>3</v>
      </c>
      <c r="H649" s="13" t="s">
        <v>4</v>
      </c>
      <c r="I649" s="15">
        <v>-28140.81</v>
      </c>
      <c r="J649" s="13" t="s">
        <v>5</v>
      </c>
      <c r="K649" s="13" t="s">
        <v>6</v>
      </c>
      <c r="L649" s="15">
        <v>-2362421</v>
      </c>
      <c r="M649" s="15">
        <v>-28140.81</v>
      </c>
      <c r="N649" s="16" t="str">
        <f>IF(M649="","",IF(M649&lt;0,-M649&amp;"_"&amp;COUNTIF(M$2:M649,M649),M649&amp;"_"&amp;COUNTIF(M$2:M649,M649)))</f>
        <v>28140.81_1</v>
      </c>
      <c r="O649" s="17" t="str">
        <f t="shared" si="10"/>
        <v/>
      </c>
      <c r="P649" s="13" t="s">
        <v>3536</v>
      </c>
      <c r="Q649" s="13" t="s">
        <v>3512</v>
      </c>
      <c r="R649" s="13" t="s">
        <v>0</v>
      </c>
      <c r="S649" s="13" t="s">
        <v>0</v>
      </c>
      <c r="T649" s="13" t="s">
        <v>9</v>
      </c>
      <c r="U649" s="13" t="s">
        <v>0</v>
      </c>
      <c r="V649" s="13" t="s">
        <v>0</v>
      </c>
      <c r="W649" s="13" t="s">
        <v>0</v>
      </c>
      <c r="X649" s="13" t="s">
        <v>0</v>
      </c>
      <c r="Y649" s="13" t="s">
        <v>10</v>
      </c>
      <c r="Z649" s="13" t="s">
        <v>0</v>
      </c>
      <c r="AA649" s="14"/>
      <c r="AB649" s="13" t="s">
        <v>0</v>
      </c>
      <c r="AC649" s="13" t="s">
        <v>0</v>
      </c>
      <c r="AD649" s="13" t="s">
        <v>0</v>
      </c>
      <c r="AE649" s="15">
        <v>0</v>
      </c>
    </row>
    <row r="650" spans="1:31" ht="14.15" customHeight="1" x14ac:dyDescent="0.25">
      <c r="A650" s="12" t="s">
        <v>0</v>
      </c>
      <c r="B650" s="13" t="s">
        <v>1</v>
      </c>
      <c r="C650" s="13" t="s">
        <v>544</v>
      </c>
      <c r="D650" s="14">
        <v>44074</v>
      </c>
      <c r="E650" s="14">
        <v>44074</v>
      </c>
      <c r="F650" s="14">
        <v>44079</v>
      </c>
      <c r="G650" s="13" t="s">
        <v>3</v>
      </c>
      <c r="H650" s="13" t="s">
        <v>4</v>
      </c>
      <c r="I650" s="15">
        <v>-27991.61</v>
      </c>
      <c r="J650" s="13" t="s">
        <v>5</v>
      </c>
      <c r="K650" s="13" t="s">
        <v>6</v>
      </c>
      <c r="L650" s="15">
        <v>-2349895.66</v>
      </c>
      <c r="M650" s="15">
        <v>-27991.61</v>
      </c>
      <c r="N650" s="16" t="str">
        <f>IF(M650="","",IF(M650&lt;0,-M650&amp;"_"&amp;COUNTIF(M$2:M650,M650),M650&amp;"_"&amp;COUNTIF(M$2:M650,M650)))</f>
        <v>27991.61_1</v>
      </c>
      <c r="O650" s="17" t="str">
        <f t="shared" si="10"/>
        <v/>
      </c>
      <c r="P650" s="13" t="s">
        <v>545</v>
      </c>
      <c r="Q650" s="13" t="s">
        <v>539</v>
      </c>
      <c r="R650" s="13" t="s">
        <v>0</v>
      </c>
      <c r="S650" s="13" t="s">
        <v>0</v>
      </c>
      <c r="T650" s="13" t="s">
        <v>9</v>
      </c>
      <c r="U650" s="13" t="s">
        <v>0</v>
      </c>
      <c r="V650" s="13" t="s">
        <v>0</v>
      </c>
      <c r="W650" s="13" t="s">
        <v>0</v>
      </c>
      <c r="X650" s="13" t="s">
        <v>0</v>
      </c>
      <c r="Y650" s="13" t="s">
        <v>10</v>
      </c>
      <c r="Z650" s="13" t="s">
        <v>0</v>
      </c>
      <c r="AA650" s="14"/>
      <c r="AB650" s="13" t="s">
        <v>0</v>
      </c>
      <c r="AC650" s="13" t="s">
        <v>0</v>
      </c>
      <c r="AD650" s="13" t="s">
        <v>0</v>
      </c>
      <c r="AE650" s="15">
        <v>0</v>
      </c>
    </row>
    <row r="651" spans="1:31" ht="14.15" customHeight="1" x14ac:dyDescent="0.25">
      <c r="A651" s="12" t="s">
        <v>0</v>
      </c>
      <c r="B651" s="13" t="s">
        <v>1</v>
      </c>
      <c r="C651" s="13" t="s">
        <v>1260</v>
      </c>
      <c r="D651" s="14">
        <v>44143</v>
      </c>
      <c r="E651" s="14">
        <v>44143</v>
      </c>
      <c r="F651" s="14">
        <v>44149</v>
      </c>
      <c r="G651" s="13" t="s">
        <v>3</v>
      </c>
      <c r="H651" s="13" t="s">
        <v>4</v>
      </c>
      <c r="I651" s="15">
        <v>-27970.67</v>
      </c>
      <c r="J651" s="13" t="s">
        <v>5</v>
      </c>
      <c r="K651" s="13" t="s">
        <v>6</v>
      </c>
      <c r="L651" s="15">
        <v>-2348137.75</v>
      </c>
      <c r="M651" s="15">
        <v>-27970.67</v>
      </c>
      <c r="N651" s="16" t="str">
        <f>IF(M651="","",IF(M651&lt;0,-M651&amp;"_"&amp;COUNTIF(M$2:M651,M651),M651&amp;"_"&amp;COUNTIF(M$2:M651,M651)))</f>
        <v>27970.67_1</v>
      </c>
      <c r="O651" s="17" t="str">
        <f t="shared" si="10"/>
        <v/>
      </c>
      <c r="P651" s="13" t="s">
        <v>1261</v>
      </c>
      <c r="Q651" s="13" t="s">
        <v>1245</v>
      </c>
      <c r="R651" s="13" t="s">
        <v>0</v>
      </c>
      <c r="S651" s="13" t="s">
        <v>0</v>
      </c>
      <c r="T651" s="13" t="s">
        <v>9</v>
      </c>
      <c r="U651" s="13" t="s">
        <v>0</v>
      </c>
      <c r="V651" s="13" t="s">
        <v>0</v>
      </c>
      <c r="W651" s="13" t="s">
        <v>0</v>
      </c>
      <c r="X651" s="13" t="s">
        <v>0</v>
      </c>
      <c r="Y651" s="13" t="s">
        <v>10</v>
      </c>
      <c r="Z651" s="13" t="s">
        <v>0</v>
      </c>
      <c r="AA651" s="14"/>
      <c r="AB651" s="13" t="s">
        <v>0</v>
      </c>
      <c r="AC651" s="13" t="s">
        <v>0</v>
      </c>
      <c r="AD651" s="13" t="s">
        <v>0</v>
      </c>
      <c r="AE651" s="15">
        <v>0</v>
      </c>
    </row>
    <row r="652" spans="1:31" ht="14.15" customHeight="1" x14ac:dyDescent="0.25">
      <c r="A652" s="12" t="s">
        <v>0</v>
      </c>
      <c r="B652" s="13" t="s">
        <v>1</v>
      </c>
      <c r="C652" s="13" t="s">
        <v>620</v>
      </c>
      <c r="D652" s="14">
        <v>44082</v>
      </c>
      <c r="E652" s="14">
        <v>44082</v>
      </c>
      <c r="F652" s="14">
        <v>44104</v>
      </c>
      <c r="G652" s="13" t="s">
        <v>3</v>
      </c>
      <c r="H652" s="13" t="s">
        <v>4</v>
      </c>
      <c r="I652" s="15">
        <v>-27962.68</v>
      </c>
      <c r="J652" s="13" t="s">
        <v>5</v>
      </c>
      <c r="K652" s="13" t="s">
        <v>6</v>
      </c>
      <c r="L652" s="15">
        <v>-2347466.98</v>
      </c>
      <c r="M652" s="15">
        <v>-27962.68</v>
      </c>
      <c r="N652" s="16" t="str">
        <f>IF(M652="","",IF(M652&lt;0,-M652&amp;"_"&amp;COUNTIF(M$2:M652,M652),M652&amp;"_"&amp;COUNTIF(M$2:M652,M652)))</f>
        <v>27962.68_1</v>
      </c>
      <c r="O652" s="17" t="str">
        <f t="shared" si="10"/>
        <v/>
      </c>
      <c r="P652" s="13" t="s">
        <v>621</v>
      </c>
      <c r="Q652" s="13" t="s">
        <v>603</v>
      </c>
      <c r="R652" s="13" t="s">
        <v>0</v>
      </c>
      <c r="S652" s="13" t="s">
        <v>0</v>
      </c>
      <c r="T652" s="13" t="s">
        <v>9</v>
      </c>
      <c r="U652" s="13" t="s">
        <v>0</v>
      </c>
      <c r="V652" s="13" t="s">
        <v>0</v>
      </c>
      <c r="W652" s="13" t="s">
        <v>0</v>
      </c>
      <c r="X652" s="13" t="s">
        <v>0</v>
      </c>
      <c r="Y652" s="13" t="s">
        <v>10</v>
      </c>
      <c r="Z652" s="13" t="s">
        <v>0</v>
      </c>
      <c r="AA652" s="14"/>
      <c r="AB652" s="13" t="s">
        <v>0</v>
      </c>
      <c r="AC652" s="13" t="s">
        <v>0</v>
      </c>
      <c r="AD652" s="13" t="s">
        <v>0</v>
      </c>
      <c r="AE652" s="15">
        <v>0</v>
      </c>
    </row>
    <row r="653" spans="1:31" ht="14.15" customHeight="1" x14ac:dyDescent="0.25">
      <c r="A653" s="12" t="s">
        <v>0</v>
      </c>
      <c r="B653" s="13" t="s">
        <v>1</v>
      </c>
      <c r="C653" s="13" t="s">
        <v>277</v>
      </c>
      <c r="D653" s="14">
        <v>44042</v>
      </c>
      <c r="E653" s="14">
        <v>44042</v>
      </c>
      <c r="F653" s="14">
        <v>44053</v>
      </c>
      <c r="G653" s="13" t="s">
        <v>3</v>
      </c>
      <c r="H653" s="13" t="s">
        <v>4</v>
      </c>
      <c r="I653" s="15">
        <v>-27917.19</v>
      </c>
      <c r="J653" s="13" t="s">
        <v>5</v>
      </c>
      <c r="K653" s="13" t="s">
        <v>6</v>
      </c>
      <c r="L653" s="15">
        <v>-2343648.1</v>
      </c>
      <c r="M653" s="15">
        <v>-27917.19</v>
      </c>
      <c r="N653" s="16" t="str">
        <f>IF(M653="","",IF(M653&lt;0,-M653&amp;"_"&amp;COUNTIF(M$2:M653,M653),M653&amp;"_"&amp;COUNTIF(M$2:M653,M653)))</f>
        <v>27917.19_1</v>
      </c>
      <c r="O653" s="17" t="str">
        <f t="shared" si="10"/>
        <v/>
      </c>
      <c r="P653" s="13" t="s">
        <v>278</v>
      </c>
      <c r="Q653" s="13" t="s">
        <v>268</v>
      </c>
      <c r="R653" s="13" t="s">
        <v>0</v>
      </c>
      <c r="S653" s="13" t="s">
        <v>0</v>
      </c>
      <c r="T653" s="13" t="s">
        <v>9</v>
      </c>
      <c r="U653" s="13" t="s">
        <v>0</v>
      </c>
      <c r="V653" s="13" t="s">
        <v>0</v>
      </c>
      <c r="W653" s="13" t="s">
        <v>0</v>
      </c>
      <c r="X653" s="13" t="s">
        <v>0</v>
      </c>
      <c r="Y653" s="13" t="s">
        <v>10</v>
      </c>
      <c r="Z653" s="13" t="s">
        <v>0</v>
      </c>
      <c r="AA653" s="14"/>
      <c r="AB653" s="13" t="s">
        <v>0</v>
      </c>
      <c r="AC653" s="13" t="s">
        <v>0</v>
      </c>
      <c r="AD653" s="13" t="s">
        <v>0</v>
      </c>
      <c r="AE653" s="15">
        <v>0</v>
      </c>
    </row>
    <row r="654" spans="1:31" ht="14.15" customHeight="1" x14ac:dyDescent="0.25">
      <c r="A654" s="12" t="s">
        <v>0</v>
      </c>
      <c r="B654" s="13" t="s">
        <v>1</v>
      </c>
      <c r="C654" s="13" t="s">
        <v>1989</v>
      </c>
      <c r="D654" s="14">
        <v>44196</v>
      </c>
      <c r="E654" s="14">
        <v>44196</v>
      </c>
      <c r="F654" s="14">
        <v>44201</v>
      </c>
      <c r="G654" s="13" t="s">
        <v>3</v>
      </c>
      <c r="H654" s="13" t="s">
        <v>4</v>
      </c>
      <c r="I654" s="15">
        <v>-27893.42</v>
      </c>
      <c r="J654" s="13" t="s">
        <v>5</v>
      </c>
      <c r="K654" s="13" t="s">
        <v>6</v>
      </c>
      <c r="L654" s="15">
        <v>-2341652.61</v>
      </c>
      <c r="M654" s="15">
        <v>-27893.42</v>
      </c>
      <c r="N654" s="16" t="str">
        <f>IF(M654="","",IF(M654&lt;0,-M654&amp;"_"&amp;COUNTIF(M$2:M654,M654),M654&amp;"_"&amp;COUNTIF(M$2:M654,M654)))</f>
        <v>27893.42_1</v>
      </c>
      <c r="O654" s="17" t="str">
        <f t="shared" si="10"/>
        <v/>
      </c>
      <c r="P654" s="13" t="s">
        <v>1990</v>
      </c>
      <c r="Q654" s="13" t="s">
        <v>1976</v>
      </c>
      <c r="R654" s="13" t="s">
        <v>0</v>
      </c>
      <c r="S654" s="13" t="s">
        <v>0</v>
      </c>
      <c r="T654" s="13" t="s">
        <v>9</v>
      </c>
      <c r="U654" s="13" t="s">
        <v>0</v>
      </c>
      <c r="V654" s="13" t="s">
        <v>0</v>
      </c>
      <c r="W654" s="13" t="s">
        <v>0</v>
      </c>
      <c r="X654" s="13" t="s">
        <v>0</v>
      </c>
      <c r="Y654" s="13" t="s">
        <v>10</v>
      </c>
      <c r="Z654" s="13" t="s">
        <v>0</v>
      </c>
      <c r="AA654" s="14"/>
      <c r="AB654" s="13" t="s">
        <v>0</v>
      </c>
      <c r="AC654" s="13" t="s">
        <v>0</v>
      </c>
      <c r="AD654" s="13" t="s">
        <v>0</v>
      </c>
      <c r="AE654" s="15">
        <v>0</v>
      </c>
    </row>
    <row r="655" spans="1:31" ht="14.15" customHeight="1" x14ac:dyDescent="0.25">
      <c r="A655" s="12" t="s">
        <v>0</v>
      </c>
      <c r="B655" s="13" t="s">
        <v>1</v>
      </c>
      <c r="C655" s="13" t="s">
        <v>161</v>
      </c>
      <c r="D655" s="14">
        <v>44032</v>
      </c>
      <c r="E655" s="14">
        <v>44032</v>
      </c>
      <c r="F655" s="14">
        <v>44037</v>
      </c>
      <c r="G655" s="13" t="s">
        <v>3</v>
      </c>
      <c r="H655" s="13" t="s">
        <v>4</v>
      </c>
      <c r="I655" s="15">
        <v>-27872.54</v>
      </c>
      <c r="J655" s="13" t="s">
        <v>5</v>
      </c>
      <c r="K655" s="13" t="s">
        <v>6</v>
      </c>
      <c r="L655" s="15">
        <v>-2339899.73</v>
      </c>
      <c r="M655" s="15">
        <v>-27872.54</v>
      </c>
      <c r="N655" s="16" t="str">
        <f>IF(M655="","",IF(M655&lt;0,-M655&amp;"_"&amp;COUNTIF(M$2:M655,M655),M655&amp;"_"&amp;COUNTIF(M$2:M655,M655)))</f>
        <v>27872.54_1</v>
      </c>
      <c r="O655" s="17" t="str">
        <f t="shared" si="10"/>
        <v/>
      </c>
      <c r="P655" s="13" t="s">
        <v>162</v>
      </c>
      <c r="Q655" s="13" t="s">
        <v>163</v>
      </c>
      <c r="R655" s="13" t="s">
        <v>0</v>
      </c>
      <c r="S655" s="13" t="s">
        <v>0</v>
      </c>
      <c r="T655" s="13" t="s">
        <v>9</v>
      </c>
      <c r="U655" s="13" t="s">
        <v>0</v>
      </c>
      <c r="V655" s="13" t="s">
        <v>0</v>
      </c>
      <c r="W655" s="13" t="s">
        <v>0</v>
      </c>
      <c r="X655" s="13" t="s">
        <v>0</v>
      </c>
      <c r="Y655" s="13" t="s">
        <v>10</v>
      </c>
      <c r="Z655" s="13" t="s">
        <v>0</v>
      </c>
      <c r="AA655" s="14"/>
      <c r="AB655" s="13" t="s">
        <v>0</v>
      </c>
      <c r="AC655" s="13" t="s">
        <v>0</v>
      </c>
      <c r="AD655" s="13" t="s">
        <v>0</v>
      </c>
      <c r="AE655" s="15">
        <v>0</v>
      </c>
    </row>
    <row r="656" spans="1:31" ht="14.15" customHeight="1" x14ac:dyDescent="0.25">
      <c r="A656" s="12" t="s">
        <v>0</v>
      </c>
      <c r="B656" s="13" t="s">
        <v>1</v>
      </c>
      <c r="C656" s="13" t="s">
        <v>2958</v>
      </c>
      <c r="D656" s="14">
        <v>44277</v>
      </c>
      <c r="E656" s="14">
        <v>44277</v>
      </c>
      <c r="F656" s="14">
        <v>44280</v>
      </c>
      <c r="G656" s="13" t="s">
        <v>3</v>
      </c>
      <c r="H656" s="13" t="s">
        <v>4</v>
      </c>
      <c r="I656" s="15">
        <v>-27655.15</v>
      </c>
      <c r="J656" s="13" t="s">
        <v>5</v>
      </c>
      <c r="K656" s="13" t="s">
        <v>6</v>
      </c>
      <c r="L656" s="15">
        <v>-2321649.85</v>
      </c>
      <c r="M656" s="15">
        <v>-27655.15</v>
      </c>
      <c r="N656" s="16" t="str">
        <f>IF(M656="","",IF(M656&lt;0,-M656&amp;"_"&amp;COUNTIF(M$2:M656,M656),M656&amp;"_"&amp;COUNTIF(M$2:M656,M656)))</f>
        <v>27655.15_1</v>
      </c>
      <c r="O656" s="17" t="str">
        <f t="shared" si="10"/>
        <v/>
      </c>
      <c r="P656" s="13" t="s">
        <v>2959</v>
      </c>
      <c r="Q656" s="13" t="s">
        <v>2955</v>
      </c>
      <c r="R656" s="13" t="s">
        <v>0</v>
      </c>
      <c r="S656" s="13" t="s">
        <v>0</v>
      </c>
      <c r="T656" s="13" t="s">
        <v>9</v>
      </c>
      <c r="U656" s="13" t="s">
        <v>0</v>
      </c>
      <c r="V656" s="13" t="s">
        <v>0</v>
      </c>
      <c r="W656" s="13" t="s">
        <v>0</v>
      </c>
      <c r="X656" s="13" t="s">
        <v>0</v>
      </c>
      <c r="Y656" s="13" t="s">
        <v>10</v>
      </c>
      <c r="Z656" s="13" t="s">
        <v>0</v>
      </c>
      <c r="AA656" s="14"/>
      <c r="AB656" s="13" t="s">
        <v>0</v>
      </c>
      <c r="AC656" s="13" t="s">
        <v>0</v>
      </c>
      <c r="AD656" s="13" t="s">
        <v>0</v>
      </c>
      <c r="AE656" s="15">
        <v>0</v>
      </c>
    </row>
    <row r="657" spans="1:31" ht="14.15" customHeight="1" x14ac:dyDescent="0.25">
      <c r="A657" s="12" t="s">
        <v>0</v>
      </c>
      <c r="B657" s="13" t="s">
        <v>1</v>
      </c>
      <c r="C657" s="13" t="s">
        <v>2593</v>
      </c>
      <c r="D657" s="14">
        <v>44243</v>
      </c>
      <c r="E657" s="14">
        <v>44243</v>
      </c>
      <c r="F657" s="14">
        <v>44252</v>
      </c>
      <c r="G657" s="13" t="s">
        <v>3</v>
      </c>
      <c r="H657" s="13" t="s">
        <v>4</v>
      </c>
      <c r="I657" s="15">
        <v>-27568.94</v>
      </c>
      <c r="J657" s="13" t="s">
        <v>5</v>
      </c>
      <c r="K657" s="13" t="s">
        <v>6</v>
      </c>
      <c r="L657" s="15">
        <v>-2314412.5099999998</v>
      </c>
      <c r="M657" s="15">
        <v>-27568.94</v>
      </c>
      <c r="N657" s="16" t="str">
        <f>IF(M657="","",IF(M657&lt;0,-M657&amp;"_"&amp;COUNTIF(M$2:M657,M657),M657&amp;"_"&amp;COUNTIF(M$2:M657,M657)))</f>
        <v>27568.94_1</v>
      </c>
      <c r="O657" s="17" t="str">
        <f t="shared" si="10"/>
        <v/>
      </c>
      <c r="P657" s="13" t="s">
        <v>2594</v>
      </c>
      <c r="Q657" s="13" t="s">
        <v>2574</v>
      </c>
      <c r="R657" s="13" t="s">
        <v>0</v>
      </c>
      <c r="S657" s="13" t="s">
        <v>0</v>
      </c>
      <c r="T657" s="13" t="s">
        <v>9</v>
      </c>
      <c r="U657" s="13" t="s">
        <v>0</v>
      </c>
      <c r="V657" s="13" t="s">
        <v>0</v>
      </c>
      <c r="W657" s="13" t="s">
        <v>0</v>
      </c>
      <c r="X657" s="13" t="s">
        <v>0</v>
      </c>
      <c r="Y657" s="13" t="s">
        <v>10</v>
      </c>
      <c r="Z657" s="13" t="s">
        <v>0</v>
      </c>
      <c r="AA657" s="14"/>
      <c r="AB657" s="13" t="s">
        <v>0</v>
      </c>
      <c r="AC657" s="13" t="s">
        <v>0</v>
      </c>
      <c r="AD657" s="13" t="s">
        <v>0</v>
      </c>
      <c r="AE657" s="15">
        <v>0</v>
      </c>
    </row>
    <row r="658" spans="1:31" ht="14.15" customHeight="1" x14ac:dyDescent="0.25">
      <c r="A658" s="12" t="s">
        <v>0</v>
      </c>
      <c r="B658" s="13" t="s">
        <v>1</v>
      </c>
      <c r="C658" s="13" t="s">
        <v>2350</v>
      </c>
      <c r="D658" s="14">
        <v>44224</v>
      </c>
      <c r="E658" s="14">
        <v>44224</v>
      </c>
      <c r="F658" s="14">
        <v>44229</v>
      </c>
      <c r="G658" s="13" t="s">
        <v>3</v>
      </c>
      <c r="H658" s="13" t="s">
        <v>4</v>
      </c>
      <c r="I658" s="15">
        <v>-27449.91</v>
      </c>
      <c r="J658" s="13" t="s">
        <v>5</v>
      </c>
      <c r="K658" s="13" t="s">
        <v>6</v>
      </c>
      <c r="L658" s="15">
        <v>-2304419.94</v>
      </c>
      <c r="M658" s="15">
        <v>-27449.91</v>
      </c>
      <c r="N658" s="16" t="str">
        <f>IF(M658="","",IF(M658&lt;0,-M658&amp;"_"&amp;COUNTIF(M$2:M658,M658),M658&amp;"_"&amp;COUNTIF(M$2:M658,M658)))</f>
        <v>27449.91_1</v>
      </c>
      <c r="O658" s="17" t="str">
        <f t="shared" si="10"/>
        <v/>
      </c>
      <c r="P658" s="13" t="s">
        <v>2351</v>
      </c>
      <c r="Q658" s="13" t="s">
        <v>2345</v>
      </c>
      <c r="R658" s="13" t="s">
        <v>0</v>
      </c>
      <c r="S658" s="13" t="s">
        <v>0</v>
      </c>
      <c r="T658" s="13" t="s">
        <v>9</v>
      </c>
      <c r="U658" s="13" t="s">
        <v>0</v>
      </c>
      <c r="V658" s="13" t="s">
        <v>0</v>
      </c>
      <c r="W658" s="13" t="s">
        <v>0</v>
      </c>
      <c r="X658" s="13" t="s">
        <v>0</v>
      </c>
      <c r="Y658" s="13" t="s">
        <v>10</v>
      </c>
      <c r="Z658" s="13" t="s">
        <v>0</v>
      </c>
      <c r="AA658" s="14"/>
      <c r="AB658" s="13" t="s">
        <v>0</v>
      </c>
      <c r="AC658" s="13" t="s">
        <v>0</v>
      </c>
      <c r="AD658" s="13" t="s">
        <v>0</v>
      </c>
      <c r="AE658" s="15">
        <v>0</v>
      </c>
    </row>
    <row r="659" spans="1:31" ht="14.15" customHeight="1" x14ac:dyDescent="0.25">
      <c r="A659" s="12" t="s">
        <v>0</v>
      </c>
      <c r="B659" s="13" t="s">
        <v>1</v>
      </c>
      <c r="C659" s="13" t="s">
        <v>2187</v>
      </c>
      <c r="D659" s="14">
        <v>44210</v>
      </c>
      <c r="E659" s="14">
        <v>44210</v>
      </c>
      <c r="F659" s="14">
        <v>44217</v>
      </c>
      <c r="G659" s="13" t="s">
        <v>3</v>
      </c>
      <c r="H659" s="13" t="s">
        <v>4</v>
      </c>
      <c r="I659" s="15">
        <v>-27368.54</v>
      </c>
      <c r="J659" s="13" t="s">
        <v>5</v>
      </c>
      <c r="K659" s="13" t="s">
        <v>6</v>
      </c>
      <c r="L659" s="15">
        <v>-2297588.9300000002</v>
      </c>
      <c r="M659" s="15">
        <v>-27368.54</v>
      </c>
      <c r="N659" s="16" t="str">
        <f>IF(M659="","",IF(M659&lt;0,-M659&amp;"_"&amp;COUNTIF(M$2:M659,M659),M659&amp;"_"&amp;COUNTIF(M$2:M659,M659)))</f>
        <v>27368.54_1</v>
      </c>
      <c r="O659" s="17" t="str">
        <f t="shared" si="10"/>
        <v/>
      </c>
      <c r="P659" s="13" t="s">
        <v>2188</v>
      </c>
      <c r="Q659" s="13" t="s">
        <v>2176</v>
      </c>
      <c r="R659" s="13" t="s">
        <v>0</v>
      </c>
      <c r="S659" s="13" t="s">
        <v>0</v>
      </c>
      <c r="T659" s="13" t="s">
        <v>9</v>
      </c>
      <c r="U659" s="13" t="s">
        <v>0</v>
      </c>
      <c r="V659" s="13" t="s">
        <v>0</v>
      </c>
      <c r="W659" s="13" t="s">
        <v>0</v>
      </c>
      <c r="X659" s="13" t="s">
        <v>0</v>
      </c>
      <c r="Y659" s="13" t="s">
        <v>10</v>
      </c>
      <c r="Z659" s="13" t="s">
        <v>0</v>
      </c>
      <c r="AA659" s="14"/>
      <c r="AB659" s="13" t="s">
        <v>0</v>
      </c>
      <c r="AC659" s="13" t="s">
        <v>0</v>
      </c>
      <c r="AD659" s="13" t="s">
        <v>0</v>
      </c>
      <c r="AE659" s="15">
        <v>0</v>
      </c>
    </row>
    <row r="660" spans="1:31" ht="14.15" customHeight="1" x14ac:dyDescent="0.25">
      <c r="A660" s="12" t="s">
        <v>0</v>
      </c>
      <c r="B660" s="13" t="s">
        <v>1</v>
      </c>
      <c r="C660" s="13" t="s">
        <v>159</v>
      </c>
      <c r="D660" s="14">
        <v>44031</v>
      </c>
      <c r="E660" s="14">
        <v>44031</v>
      </c>
      <c r="F660" s="14">
        <v>44037</v>
      </c>
      <c r="G660" s="13" t="s">
        <v>3</v>
      </c>
      <c r="H660" s="13" t="s">
        <v>4</v>
      </c>
      <c r="I660" s="15">
        <v>-27344.3</v>
      </c>
      <c r="J660" s="13" t="s">
        <v>5</v>
      </c>
      <c r="K660" s="13" t="s">
        <v>6</v>
      </c>
      <c r="L660" s="15">
        <v>-2295553.9900000002</v>
      </c>
      <c r="M660" s="15">
        <v>-27344.3</v>
      </c>
      <c r="N660" s="16" t="str">
        <f>IF(M660="","",IF(M660&lt;0,-M660&amp;"_"&amp;COUNTIF(M$2:M660,M660),M660&amp;"_"&amp;COUNTIF(M$2:M660,M660)))</f>
        <v>27344.3_1</v>
      </c>
      <c r="O660" s="17" t="str">
        <f t="shared" si="10"/>
        <v/>
      </c>
      <c r="P660" s="13" t="s">
        <v>160</v>
      </c>
      <c r="Q660" s="13" t="s">
        <v>152</v>
      </c>
      <c r="R660" s="13" t="s">
        <v>0</v>
      </c>
      <c r="S660" s="13" t="s">
        <v>0</v>
      </c>
      <c r="T660" s="13" t="s">
        <v>9</v>
      </c>
      <c r="U660" s="13" t="s">
        <v>0</v>
      </c>
      <c r="V660" s="13" t="s">
        <v>0</v>
      </c>
      <c r="W660" s="13" t="s">
        <v>0</v>
      </c>
      <c r="X660" s="13" t="s">
        <v>0</v>
      </c>
      <c r="Y660" s="13" t="s">
        <v>10</v>
      </c>
      <c r="Z660" s="13" t="s">
        <v>0</v>
      </c>
      <c r="AA660" s="14"/>
      <c r="AB660" s="13" t="s">
        <v>0</v>
      </c>
      <c r="AC660" s="13" t="s">
        <v>0</v>
      </c>
      <c r="AD660" s="13" t="s">
        <v>0</v>
      </c>
      <c r="AE660" s="15">
        <v>0</v>
      </c>
    </row>
    <row r="661" spans="1:31" ht="14.15" customHeight="1" x14ac:dyDescent="0.25">
      <c r="A661" s="12" t="s">
        <v>0</v>
      </c>
      <c r="B661" s="13" t="s">
        <v>1</v>
      </c>
      <c r="C661" s="13" t="s">
        <v>2597</v>
      </c>
      <c r="D661" s="14">
        <v>44243</v>
      </c>
      <c r="E661" s="14">
        <v>44243</v>
      </c>
      <c r="F661" s="14">
        <v>44252</v>
      </c>
      <c r="G661" s="13" t="s">
        <v>3</v>
      </c>
      <c r="H661" s="13" t="s">
        <v>4</v>
      </c>
      <c r="I661" s="15">
        <v>-27311.15</v>
      </c>
      <c r="J661" s="13" t="s">
        <v>5</v>
      </c>
      <c r="K661" s="13" t="s">
        <v>6</v>
      </c>
      <c r="L661" s="15">
        <v>-2292771.04</v>
      </c>
      <c r="M661" s="15">
        <v>-27311.15</v>
      </c>
      <c r="N661" s="16" t="str">
        <f>IF(M661="","",IF(M661&lt;0,-M661&amp;"_"&amp;COUNTIF(M$2:M661,M661),M661&amp;"_"&amp;COUNTIF(M$2:M661,M661)))</f>
        <v>27311.15_1</v>
      </c>
      <c r="O661" s="17" t="str">
        <f t="shared" si="10"/>
        <v/>
      </c>
      <c r="P661" s="13" t="s">
        <v>2598</v>
      </c>
      <c r="Q661" s="13" t="s">
        <v>2574</v>
      </c>
      <c r="R661" s="13" t="s">
        <v>0</v>
      </c>
      <c r="S661" s="13" t="s">
        <v>0</v>
      </c>
      <c r="T661" s="13" t="s">
        <v>9</v>
      </c>
      <c r="U661" s="13" t="s">
        <v>0</v>
      </c>
      <c r="V661" s="13" t="s">
        <v>0</v>
      </c>
      <c r="W661" s="13" t="s">
        <v>0</v>
      </c>
      <c r="X661" s="13" t="s">
        <v>0</v>
      </c>
      <c r="Y661" s="13" t="s">
        <v>10</v>
      </c>
      <c r="Z661" s="13" t="s">
        <v>0</v>
      </c>
      <c r="AA661" s="14"/>
      <c r="AB661" s="13" t="s">
        <v>0</v>
      </c>
      <c r="AC661" s="13" t="s">
        <v>0</v>
      </c>
      <c r="AD661" s="13" t="s">
        <v>0</v>
      </c>
      <c r="AE661" s="15">
        <v>0</v>
      </c>
    </row>
    <row r="662" spans="1:31" ht="14.15" customHeight="1" x14ac:dyDescent="0.25">
      <c r="A662" s="12" t="s">
        <v>0</v>
      </c>
      <c r="B662" s="13" t="s">
        <v>1</v>
      </c>
      <c r="C662" s="13" t="s">
        <v>780</v>
      </c>
      <c r="D662" s="14">
        <v>44100</v>
      </c>
      <c r="E662" s="14">
        <v>44100</v>
      </c>
      <c r="F662" s="14">
        <v>44104</v>
      </c>
      <c r="G662" s="13" t="s">
        <v>3</v>
      </c>
      <c r="H662" s="13" t="s">
        <v>4</v>
      </c>
      <c r="I662" s="15">
        <v>-27308.98</v>
      </c>
      <c r="J662" s="13" t="s">
        <v>5</v>
      </c>
      <c r="K662" s="13" t="s">
        <v>6</v>
      </c>
      <c r="L662" s="15">
        <v>-2292588.87</v>
      </c>
      <c r="M662" s="15">
        <v>-27308.98</v>
      </c>
      <c r="N662" s="16" t="str">
        <f>IF(M662="","",IF(M662&lt;0,-M662&amp;"_"&amp;COUNTIF(M$2:M662,M662),M662&amp;"_"&amp;COUNTIF(M$2:M662,M662)))</f>
        <v>27308.98_1</v>
      </c>
      <c r="O662" s="17" t="str">
        <f t="shared" si="10"/>
        <v/>
      </c>
      <c r="P662" s="13" t="s">
        <v>781</v>
      </c>
      <c r="Q662" s="13" t="s">
        <v>775</v>
      </c>
      <c r="R662" s="13" t="s">
        <v>0</v>
      </c>
      <c r="S662" s="13" t="s">
        <v>0</v>
      </c>
      <c r="T662" s="13" t="s">
        <v>9</v>
      </c>
      <c r="U662" s="13" t="s">
        <v>0</v>
      </c>
      <c r="V662" s="13" t="s">
        <v>0</v>
      </c>
      <c r="W662" s="13" t="s">
        <v>0</v>
      </c>
      <c r="X662" s="13" t="s">
        <v>0</v>
      </c>
      <c r="Y662" s="13" t="s">
        <v>10</v>
      </c>
      <c r="Z662" s="13" t="s">
        <v>0</v>
      </c>
      <c r="AA662" s="14"/>
      <c r="AB662" s="13" t="s">
        <v>0</v>
      </c>
      <c r="AC662" s="13" t="s">
        <v>0</v>
      </c>
      <c r="AD662" s="13" t="s">
        <v>0</v>
      </c>
      <c r="AE662" s="15">
        <v>0</v>
      </c>
    </row>
    <row r="663" spans="1:31" ht="14.15" customHeight="1" x14ac:dyDescent="0.25">
      <c r="A663" s="12" t="s">
        <v>0</v>
      </c>
      <c r="B663" s="13" t="s">
        <v>1</v>
      </c>
      <c r="C663" s="13" t="s">
        <v>427</v>
      </c>
      <c r="D663" s="14">
        <v>44063</v>
      </c>
      <c r="E663" s="14">
        <v>44063</v>
      </c>
      <c r="F663" s="14">
        <v>44084</v>
      </c>
      <c r="G663" s="13" t="s">
        <v>3</v>
      </c>
      <c r="H663" s="13" t="s">
        <v>4</v>
      </c>
      <c r="I663" s="15">
        <v>-27286.52</v>
      </c>
      <c r="J663" s="13" t="s">
        <v>5</v>
      </c>
      <c r="K663" s="13" t="s">
        <v>6</v>
      </c>
      <c r="L663" s="15">
        <v>-2290703.35</v>
      </c>
      <c r="M663" s="15">
        <v>-27286.52</v>
      </c>
      <c r="N663" s="16" t="str">
        <f>IF(M663="","",IF(M663&lt;0,-M663&amp;"_"&amp;COUNTIF(M$2:M663,M663),M663&amp;"_"&amp;COUNTIF(M$2:M663,M663)))</f>
        <v>27286.52_1</v>
      </c>
      <c r="O663" s="17" t="str">
        <f t="shared" si="10"/>
        <v/>
      </c>
      <c r="P663" s="13" t="s">
        <v>428</v>
      </c>
      <c r="Q663" s="13" t="s">
        <v>416</v>
      </c>
      <c r="R663" s="13" t="s">
        <v>0</v>
      </c>
      <c r="S663" s="13" t="s">
        <v>0</v>
      </c>
      <c r="T663" s="13" t="s">
        <v>9</v>
      </c>
      <c r="U663" s="13" t="s">
        <v>0</v>
      </c>
      <c r="V663" s="13" t="s">
        <v>0</v>
      </c>
      <c r="W663" s="13" t="s">
        <v>0</v>
      </c>
      <c r="X663" s="13" t="s">
        <v>0</v>
      </c>
      <c r="Y663" s="13" t="s">
        <v>10</v>
      </c>
      <c r="Z663" s="13" t="s">
        <v>0</v>
      </c>
      <c r="AA663" s="14"/>
      <c r="AB663" s="13" t="s">
        <v>0</v>
      </c>
      <c r="AC663" s="13" t="s">
        <v>0</v>
      </c>
      <c r="AD663" s="13" t="s">
        <v>0</v>
      </c>
      <c r="AE663" s="15">
        <v>0</v>
      </c>
    </row>
    <row r="664" spans="1:31" ht="14.15" customHeight="1" x14ac:dyDescent="0.25">
      <c r="A664" s="12" t="s">
        <v>0</v>
      </c>
      <c r="B664" s="13" t="s">
        <v>1</v>
      </c>
      <c r="C664" s="13" t="s">
        <v>1531</v>
      </c>
      <c r="D664" s="14">
        <v>44164</v>
      </c>
      <c r="E664" s="14">
        <v>44164</v>
      </c>
      <c r="F664" s="14">
        <v>44174</v>
      </c>
      <c r="G664" s="13" t="s">
        <v>3</v>
      </c>
      <c r="H664" s="13" t="s">
        <v>4</v>
      </c>
      <c r="I664" s="15">
        <v>-27256.76</v>
      </c>
      <c r="J664" s="13" t="s">
        <v>5</v>
      </c>
      <c r="K664" s="13" t="s">
        <v>6</v>
      </c>
      <c r="L664" s="15">
        <v>-2288205.0099999998</v>
      </c>
      <c r="M664" s="15">
        <v>-27256.76</v>
      </c>
      <c r="N664" s="16" t="str">
        <f>IF(M664="","",IF(M664&lt;0,-M664&amp;"_"&amp;COUNTIF(M$2:M664,M664),M664&amp;"_"&amp;COUNTIF(M$2:M664,M664)))</f>
        <v>27256.76_1</v>
      </c>
      <c r="O664" s="17" t="str">
        <f t="shared" si="10"/>
        <v/>
      </c>
      <c r="P664" s="13" t="s">
        <v>1532</v>
      </c>
      <c r="Q664" s="13" t="s">
        <v>1516</v>
      </c>
      <c r="R664" s="13" t="s">
        <v>0</v>
      </c>
      <c r="S664" s="13" t="s">
        <v>0</v>
      </c>
      <c r="T664" s="13" t="s">
        <v>9</v>
      </c>
      <c r="U664" s="13" t="s">
        <v>0</v>
      </c>
      <c r="V664" s="13" t="s">
        <v>0</v>
      </c>
      <c r="W664" s="13" t="s">
        <v>0</v>
      </c>
      <c r="X664" s="13" t="s">
        <v>0</v>
      </c>
      <c r="Y664" s="13" t="s">
        <v>10</v>
      </c>
      <c r="Z664" s="13" t="s">
        <v>0</v>
      </c>
      <c r="AA664" s="14"/>
      <c r="AB664" s="13" t="s">
        <v>0</v>
      </c>
      <c r="AC664" s="13" t="s">
        <v>0</v>
      </c>
      <c r="AD664" s="13" t="s">
        <v>0</v>
      </c>
      <c r="AE664" s="15">
        <v>0</v>
      </c>
    </row>
    <row r="665" spans="1:31" ht="14.15" customHeight="1" x14ac:dyDescent="0.25">
      <c r="A665" s="12" t="s">
        <v>0</v>
      </c>
      <c r="B665" s="13" t="s">
        <v>1</v>
      </c>
      <c r="C665" s="13" t="s">
        <v>2258</v>
      </c>
      <c r="D665" s="14">
        <v>44216</v>
      </c>
      <c r="E665" s="14">
        <v>44216</v>
      </c>
      <c r="F665" s="14">
        <v>44223</v>
      </c>
      <c r="G665" s="13" t="s">
        <v>3</v>
      </c>
      <c r="H665" s="13" t="s">
        <v>4</v>
      </c>
      <c r="I665" s="15">
        <v>-27240.37</v>
      </c>
      <c r="J665" s="13" t="s">
        <v>5</v>
      </c>
      <c r="K665" s="13" t="s">
        <v>6</v>
      </c>
      <c r="L665" s="15">
        <v>-2286829.06</v>
      </c>
      <c r="M665" s="15">
        <v>-27240.37</v>
      </c>
      <c r="N665" s="16" t="str">
        <f>IF(M665="","",IF(M665&lt;0,-M665&amp;"_"&amp;COUNTIF(M$2:M665,M665),M665&amp;"_"&amp;COUNTIF(M$2:M665,M665)))</f>
        <v>27240.37_1</v>
      </c>
      <c r="O665" s="17" t="str">
        <f t="shared" si="10"/>
        <v/>
      </c>
      <c r="P665" s="13" t="s">
        <v>2259</v>
      </c>
      <c r="Q665" s="13" t="s">
        <v>2255</v>
      </c>
      <c r="R665" s="13" t="s">
        <v>0</v>
      </c>
      <c r="S665" s="13" t="s">
        <v>0</v>
      </c>
      <c r="T665" s="13" t="s">
        <v>9</v>
      </c>
      <c r="U665" s="13" t="s">
        <v>0</v>
      </c>
      <c r="V665" s="13" t="s">
        <v>0</v>
      </c>
      <c r="W665" s="13" t="s">
        <v>0</v>
      </c>
      <c r="X665" s="13" t="s">
        <v>0</v>
      </c>
      <c r="Y665" s="13" t="s">
        <v>10</v>
      </c>
      <c r="Z665" s="13" t="s">
        <v>0</v>
      </c>
      <c r="AA665" s="14"/>
      <c r="AB665" s="13" t="s">
        <v>0</v>
      </c>
      <c r="AC665" s="13" t="s">
        <v>0</v>
      </c>
      <c r="AD665" s="13" t="s">
        <v>0</v>
      </c>
      <c r="AE665" s="15">
        <v>0</v>
      </c>
    </row>
    <row r="666" spans="1:31" ht="14.15" customHeight="1" x14ac:dyDescent="0.25">
      <c r="A666" s="12" t="s">
        <v>0</v>
      </c>
      <c r="B666" s="13" t="s">
        <v>1</v>
      </c>
      <c r="C666" s="13" t="s">
        <v>4237</v>
      </c>
      <c r="D666" s="14">
        <v>44368</v>
      </c>
      <c r="E666" s="14">
        <v>44368</v>
      </c>
      <c r="F666" s="14">
        <v>44371</v>
      </c>
      <c r="G666" s="13" t="s">
        <v>3</v>
      </c>
      <c r="H666" s="13" t="s">
        <v>4</v>
      </c>
      <c r="I666" s="15">
        <v>-27188.37</v>
      </c>
      <c r="J666" s="13" t="s">
        <v>5</v>
      </c>
      <c r="K666" s="13" t="s">
        <v>6</v>
      </c>
      <c r="L666" s="15">
        <v>-2282463.66</v>
      </c>
      <c r="M666" s="15">
        <v>-27188.37</v>
      </c>
      <c r="N666" s="16" t="str">
        <f>IF(M666="","",IF(M666&lt;0,-M666&amp;"_"&amp;COUNTIF(M$2:M666,M666),M666&amp;"_"&amp;COUNTIF(M$2:M666,M666)))</f>
        <v>27188.37_1</v>
      </c>
      <c r="O666" s="17" t="str">
        <f t="shared" si="10"/>
        <v/>
      </c>
      <c r="P666" s="13" t="s">
        <v>4238</v>
      </c>
      <c r="Q666" s="13" t="s">
        <v>4239</v>
      </c>
      <c r="R666" s="13" t="s">
        <v>0</v>
      </c>
      <c r="S666" s="13" t="s">
        <v>0</v>
      </c>
      <c r="T666" s="13" t="s">
        <v>9</v>
      </c>
      <c r="U666" s="13" t="s">
        <v>0</v>
      </c>
      <c r="V666" s="13" t="s">
        <v>0</v>
      </c>
      <c r="W666" s="13" t="s">
        <v>0</v>
      </c>
      <c r="X666" s="13" t="s">
        <v>0</v>
      </c>
      <c r="Y666" s="13" t="s">
        <v>10</v>
      </c>
      <c r="Z666" s="13" t="s">
        <v>0</v>
      </c>
      <c r="AA666" s="14"/>
      <c r="AB666" s="13" t="s">
        <v>0</v>
      </c>
      <c r="AC666" s="13" t="s">
        <v>0</v>
      </c>
      <c r="AD666" s="13" t="s">
        <v>0</v>
      </c>
      <c r="AE666" s="15">
        <v>0</v>
      </c>
    </row>
    <row r="667" spans="1:31" ht="14.15" customHeight="1" x14ac:dyDescent="0.25">
      <c r="A667" s="12" t="s">
        <v>0</v>
      </c>
      <c r="B667" s="13" t="s">
        <v>1</v>
      </c>
      <c r="C667" s="13" t="s">
        <v>1799</v>
      </c>
      <c r="D667" s="14">
        <v>44183</v>
      </c>
      <c r="E667" s="14">
        <v>44183</v>
      </c>
      <c r="F667" s="14">
        <v>44187</v>
      </c>
      <c r="G667" s="13" t="s">
        <v>3</v>
      </c>
      <c r="H667" s="13" t="s">
        <v>4</v>
      </c>
      <c r="I667" s="15">
        <v>-27163.37</v>
      </c>
      <c r="J667" s="13" t="s">
        <v>5</v>
      </c>
      <c r="K667" s="13" t="s">
        <v>6</v>
      </c>
      <c r="L667" s="15">
        <v>-2280364.91</v>
      </c>
      <c r="M667" s="15">
        <v>-27163.37</v>
      </c>
      <c r="N667" s="16" t="str">
        <f>IF(M667="","",IF(M667&lt;0,-M667&amp;"_"&amp;COUNTIF(M$2:M667,M667),M667&amp;"_"&amp;COUNTIF(M$2:M667,M667)))</f>
        <v>27163.37_1</v>
      </c>
      <c r="O667" s="17" t="str">
        <f t="shared" si="10"/>
        <v/>
      </c>
      <c r="P667" s="13" t="s">
        <v>1800</v>
      </c>
      <c r="Q667" s="13" t="s">
        <v>1792</v>
      </c>
      <c r="R667" s="13" t="s">
        <v>0</v>
      </c>
      <c r="S667" s="13" t="s">
        <v>0</v>
      </c>
      <c r="T667" s="13" t="s">
        <v>9</v>
      </c>
      <c r="U667" s="13" t="s">
        <v>0</v>
      </c>
      <c r="V667" s="13" t="s">
        <v>0</v>
      </c>
      <c r="W667" s="13" t="s">
        <v>0</v>
      </c>
      <c r="X667" s="13" t="s">
        <v>0</v>
      </c>
      <c r="Y667" s="13" t="s">
        <v>10</v>
      </c>
      <c r="Z667" s="13" t="s">
        <v>0</v>
      </c>
      <c r="AA667" s="14"/>
      <c r="AB667" s="13" t="s">
        <v>0</v>
      </c>
      <c r="AC667" s="13" t="s">
        <v>0</v>
      </c>
      <c r="AD667" s="13" t="s">
        <v>0</v>
      </c>
      <c r="AE667" s="15">
        <v>0</v>
      </c>
    </row>
    <row r="668" spans="1:31" ht="14.15" customHeight="1" x14ac:dyDescent="0.25">
      <c r="A668" s="12" t="s">
        <v>0</v>
      </c>
      <c r="B668" s="13" t="s">
        <v>1</v>
      </c>
      <c r="C668" s="13" t="s">
        <v>1052</v>
      </c>
      <c r="D668" s="14">
        <v>44131</v>
      </c>
      <c r="E668" s="14">
        <v>44131</v>
      </c>
      <c r="F668" s="14">
        <v>44138</v>
      </c>
      <c r="G668" s="13" t="s">
        <v>3</v>
      </c>
      <c r="H668" s="13" t="s">
        <v>4</v>
      </c>
      <c r="I668" s="15">
        <v>-27100.1</v>
      </c>
      <c r="J668" s="13" t="s">
        <v>5</v>
      </c>
      <c r="K668" s="13" t="s">
        <v>6</v>
      </c>
      <c r="L668" s="15">
        <v>-2275053.4</v>
      </c>
      <c r="M668" s="15">
        <v>-27100.1</v>
      </c>
      <c r="N668" s="16" t="str">
        <f>IF(M668="","",IF(M668&lt;0,-M668&amp;"_"&amp;COUNTIF(M$2:M668,M668),M668&amp;"_"&amp;COUNTIF(M$2:M668,M668)))</f>
        <v>27100.1_1</v>
      </c>
      <c r="O668" s="17" t="str">
        <f t="shared" si="10"/>
        <v/>
      </c>
      <c r="P668" s="13" t="s">
        <v>1053</v>
      </c>
      <c r="Q668" s="13" t="s">
        <v>1041</v>
      </c>
      <c r="R668" s="13" t="s">
        <v>0</v>
      </c>
      <c r="S668" s="13" t="s">
        <v>0</v>
      </c>
      <c r="T668" s="13" t="s">
        <v>9</v>
      </c>
      <c r="U668" s="13" t="s">
        <v>0</v>
      </c>
      <c r="V668" s="13" t="s">
        <v>0</v>
      </c>
      <c r="W668" s="13" t="s">
        <v>0</v>
      </c>
      <c r="X668" s="13" t="s">
        <v>0</v>
      </c>
      <c r="Y668" s="13" t="s">
        <v>10</v>
      </c>
      <c r="Z668" s="13" t="s">
        <v>0</v>
      </c>
      <c r="AA668" s="14"/>
      <c r="AB668" s="13" t="s">
        <v>0</v>
      </c>
      <c r="AC668" s="13" t="s">
        <v>0</v>
      </c>
      <c r="AD668" s="13" t="s">
        <v>0</v>
      </c>
      <c r="AE668" s="15">
        <v>0</v>
      </c>
    </row>
    <row r="669" spans="1:31" ht="14.15" customHeight="1" x14ac:dyDescent="0.25">
      <c r="A669" s="12" t="s">
        <v>0</v>
      </c>
      <c r="B669" s="13" t="s">
        <v>1</v>
      </c>
      <c r="C669" s="13" t="s">
        <v>986</v>
      </c>
      <c r="D669" s="14">
        <v>44125</v>
      </c>
      <c r="E669" s="14">
        <v>44125</v>
      </c>
      <c r="F669" s="14">
        <v>44142</v>
      </c>
      <c r="G669" s="13" t="s">
        <v>3</v>
      </c>
      <c r="H669" s="13" t="s">
        <v>4</v>
      </c>
      <c r="I669" s="15">
        <v>-27068.14</v>
      </c>
      <c r="J669" s="13" t="s">
        <v>5</v>
      </c>
      <c r="K669" s="13" t="s">
        <v>6</v>
      </c>
      <c r="L669" s="15">
        <v>-2272370.35</v>
      </c>
      <c r="M669" s="15">
        <v>-27068.14</v>
      </c>
      <c r="N669" s="16" t="str">
        <f>IF(M669="","",IF(M669&lt;0,-M669&amp;"_"&amp;COUNTIF(M$2:M669,M669),M669&amp;"_"&amp;COUNTIF(M$2:M669,M669)))</f>
        <v>27068.14_1</v>
      </c>
      <c r="O669" s="17" t="str">
        <f t="shared" si="10"/>
        <v/>
      </c>
      <c r="P669" s="13" t="s">
        <v>987</v>
      </c>
      <c r="Q669" s="13" t="s">
        <v>977</v>
      </c>
      <c r="R669" s="13" t="s">
        <v>0</v>
      </c>
      <c r="S669" s="13" t="s">
        <v>0</v>
      </c>
      <c r="T669" s="13" t="s">
        <v>9</v>
      </c>
      <c r="U669" s="13" t="s">
        <v>0</v>
      </c>
      <c r="V669" s="13" t="s">
        <v>0</v>
      </c>
      <c r="W669" s="13" t="s">
        <v>0</v>
      </c>
      <c r="X669" s="13" t="s">
        <v>0</v>
      </c>
      <c r="Y669" s="13" t="s">
        <v>10</v>
      </c>
      <c r="Z669" s="13" t="s">
        <v>0</v>
      </c>
      <c r="AA669" s="14"/>
      <c r="AB669" s="13" t="s">
        <v>0</v>
      </c>
      <c r="AC669" s="13" t="s">
        <v>0</v>
      </c>
      <c r="AD669" s="13" t="s">
        <v>0</v>
      </c>
      <c r="AE669" s="15">
        <v>0</v>
      </c>
    </row>
    <row r="670" spans="1:31" ht="14.15" customHeight="1" x14ac:dyDescent="0.25">
      <c r="A670" s="12" t="s">
        <v>0</v>
      </c>
      <c r="B670" s="13" t="s">
        <v>1</v>
      </c>
      <c r="C670" s="13" t="s">
        <v>965</v>
      </c>
      <c r="D670" s="14">
        <v>44123</v>
      </c>
      <c r="E670" s="14">
        <v>44123</v>
      </c>
      <c r="F670" s="14">
        <v>44128</v>
      </c>
      <c r="G670" s="13" t="s">
        <v>3</v>
      </c>
      <c r="H670" s="13" t="s">
        <v>4</v>
      </c>
      <c r="I670" s="15">
        <v>-27063.79</v>
      </c>
      <c r="J670" s="13" t="s">
        <v>5</v>
      </c>
      <c r="K670" s="13" t="s">
        <v>6</v>
      </c>
      <c r="L670" s="15">
        <v>-2272005.1800000002</v>
      </c>
      <c r="M670" s="15">
        <v>-27063.79</v>
      </c>
      <c r="N670" s="16" t="str">
        <f>IF(M670="","",IF(M670&lt;0,-M670&amp;"_"&amp;COUNTIF(M$2:M670,M670),M670&amp;"_"&amp;COUNTIF(M$2:M670,M670)))</f>
        <v>27063.79_1</v>
      </c>
      <c r="O670" s="17" t="str">
        <f t="shared" si="10"/>
        <v/>
      </c>
      <c r="P670" s="13" t="s">
        <v>966</v>
      </c>
      <c r="Q670" s="13" t="s">
        <v>958</v>
      </c>
      <c r="R670" s="13" t="s">
        <v>0</v>
      </c>
      <c r="S670" s="13" t="s">
        <v>0</v>
      </c>
      <c r="T670" s="13" t="s">
        <v>9</v>
      </c>
      <c r="U670" s="13" t="s">
        <v>0</v>
      </c>
      <c r="V670" s="13" t="s">
        <v>0</v>
      </c>
      <c r="W670" s="13" t="s">
        <v>0</v>
      </c>
      <c r="X670" s="13" t="s">
        <v>0</v>
      </c>
      <c r="Y670" s="13" t="s">
        <v>10</v>
      </c>
      <c r="Z670" s="13" t="s">
        <v>0</v>
      </c>
      <c r="AA670" s="14"/>
      <c r="AB670" s="13" t="s">
        <v>0</v>
      </c>
      <c r="AC670" s="13" t="s">
        <v>0</v>
      </c>
      <c r="AD670" s="13" t="s">
        <v>0</v>
      </c>
      <c r="AE670" s="15">
        <v>0</v>
      </c>
    </row>
    <row r="671" spans="1:31" ht="14.15" customHeight="1" x14ac:dyDescent="0.25">
      <c r="A671" s="12" t="s">
        <v>0</v>
      </c>
      <c r="B671" s="13" t="s">
        <v>1</v>
      </c>
      <c r="C671" s="13" t="s">
        <v>1548</v>
      </c>
      <c r="D671" s="14">
        <v>44165</v>
      </c>
      <c r="E671" s="14">
        <v>44165</v>
      </c>
      <c r="F671" s="14">
        <v>44172</v>
      </c>
      <c r="G671" s="13" t="s">
        <v>3</v>
      </c>
      <c r="H671" s="13" t="s">
        <v>4</v>
      </c>
      <c r="I671" s="15">
        <v>-26972.400000000001</v>
      </c>
      <c r="J671" s="13" t="s">
        <v>5</v>
      </c>
      <c r="K671" s="13" t="s">
        <v>6</v>
      </c>
      <c r="L671" s="15">
        <v>-2264332.98</v>
      </c>
      <c r="M671" s="15">
        <v>-26972.400000000001</v>
      </c>
      <c r="N671" s="16" t="str">
        <f>IF(M671="","",IF(M671&lt;0,-M671&amp;"_"&amp;COUNTIF(M$2:M671,M671),M671&amp;"_"&amp;COUNTIF(M$2:M671,M671)))</f>
        <v>26972.4_1</v>
      </c>
      <c r="O671" s="17" t="str">
        <f t="shared" si="10"/>
        <v/>
      </c>
      <c r="P671" s="13" t="s">
        <v>1549</v>
      </c>
      <c r="Q671" s="13" t="s">
        <v>1541</v>
      </c>
      <c r="R671" s="13" t="s">
        <v>0</v>
      </c>
      <c r="S671" s="13" t="s">
        <v>0</v>
      </c>
      <c r="T671" s="13" t="s">
        <v>9</v>
      </c>
      <c r="U671" s="13" t="s">
        <v>0</v>
      </c>
      <c r="V671" s="13" t="s">
        <v>0</v>
      </c>
      <c r="W671" s="13" t="s">
        <v>0</v>
      </c>
      <c r="X671" s="13" t="s">
        <v>0</v>
      </c>
      <c r="Y671" s="13" t="s">
        <v>10</v>
      </c>
      <c r="Z671" s="13" t="s">
        <v>0</v>
      </c>
      <c r="AA671" s="14"/>
      <c r="AB671" s="13" t="s">
        <v>0</v>
      </c>
      <c r="AC671" s="13" t="s">
        <v>0</v>
      </c>
      <c r="AD671" s="13" t="s">
        <v>0</v>
      </c>
      <c r="AE671" s="15">
        <v>0</v>
      </c>
    </row>
    <row r="672" spans="1:31" ht="14.15" customHeight="1" x14ac:dyDescent="0.25">
      <c r="A672" s="12" t="s">
        <v>0</v>
      </c>
      <c r="B672" s="13" t="s">
        <v>1</v>
      </c>
      <c r="C672" s="13" t="s">
        <v>1580</v>
      </c>
      <c r="D672" s="14">
        <v>44166</v>
      </c>
      <c r="E672" s="14">
        <v>44166</v>
      </c>
      <c r="F672" s="14">
        <v>44174</v>
      </c>
      <c r="G672" s="13" t="s">
        <v>3</v>
      </c>
      <c r="H672" s="13" t="s">
        <v>4</v>
      </c>
      <c r="I672" s="15">
        <v>-26919.61</v>
      </c>
      <c r="J672" s="13" t="s">
        <v>5</v>
      </c>
      <c r="K672" s="13" t="s">
        <v>6</v>
      </c>
      <c r="L672" s="15">
        <v>-2259901.2599999998</v>
      </c>
      <c r="M672" s="15">
        <v>-26919.61</v>
      </c>
      <c r="N672" s="16" t="str">
        <f>IF(M672="","",IF(M672&lt;0,-M672&amp;"_"&amp;COUNTIF(M$2:M672,M672),M672&amp;"_"&amp;COUNTIF(M$2:M672,M672)))</f>
        <v>26919.61_1</v>
      </c>
      <c r="O672" s="17" t="str">
        <f t="shared" si="10"/>
        <v/>
      </c>
      <c r="P672" s="13" t="s">
        <v>1581</v>
      </c>
      <c r="Q672" s="13" t="s">
        <v>1579</v>
      </c>
      <c r="R672" s="13" t="s">
        <v>0</v>
      </c>
      <c r="S672" s="13" t="s">
        <v>0</v>
      </c>
      <c r="T672" s="13" t="s">
        <v>9</v>
      </c>
      <c r="U672" s="13" t="s">
        <v>0</v>
      </c>
      <c r="V672" s="13" t="s">
        <v>0</v>
      </c>
      <c r="W672" s="13" t="s">
        <v>0</v>
      </c>
      <c r="X672" s="13" t="s">
        <v>0</v>
      </c>
      <c r="Y672" s="13" t="s">
        <v>10</v>
      </c>
      <c r="Z672" s="13" t="s">
        <v>0</v>
      </c>
      <c r="AA672" s="14"/>
      <c r="AB672" s="13" t="s">
        <v>0</v>
      </c>
      <c r="AC672" s="13" t="s">
        <v>0</v>
      </c>
      <c r="AD672" s="13" t="s">
        <v>0</v>
      </c>
      <c r="AE672" s="15">
        <v>0</v>
      </c>
    </row>
    <row r="673" spans="1:31" ht="14.15" customHeight="1" x14ac:dyDescent="0.25">
      <c r="A673" s="12" t="s">
        <v>0</v>
      </c>
      <c r="B673" s="13" t="s">
        <v>1</v>
      </c>
      <c r="C673" s="13" t="s">
        <v>4205</v>
      </c>
      <c r="D673" s="14">
        <v>44364</v>
      </c>
      <c r="E673" s="14">
        <v>44364</v>
      </c>
      <c r="F673" s="14">
        <v>44371</v>
      </c>
      <c r="G673" s="13" t="s">
        <v>3</v>
      </c>
      <c r="H673" s="13" t="s">
        <v>4</v>
      </c>
      <c r="I673" s="15">
        <v>-26878.68</v>
      </c>
      <c r="J673" s="13" t="s">
        <v>5</v>
      </c>
      <c r="K673" s="13" t="s">
        <v>6</v>
      </c>
      <c r="L673" s="15">
        <v>-2256465.19</v>
      </c>
      <c r="M673" s="15">
        <v>-26878.68</v>
      </c>
      <c r="N673" s="16" t="str">
        <f>IF(M673="","",IF(M673&lt;0,-M673&amp;"_"&amp;COUNTIF(M$2:M673,M673),M673&amp;"_"&amp;COUNTIF(M$2:M673,M673)))</f>
        <v>26878.68_1</v>
      </c>
      <c r="O673" s="17" t="str">
        <f t="shared" si="10"/>
        <v/>
      </c>
      <c r="P673" s="13" t="s">
        <v>4206</v>
      </c>
      <c r="Q673" s="13" t="s">
        <v>4180</v>
      </c>
      <c r="R673" s="13" t="s">
        <v>0</v>
      </c>
      <c r="S673" s="13" t="s">
        <v>0</v>
      </c>
      <c r="T673" s="13" t="s">
        <v>9</v>
      </c>
      <c r="U673" s="13" t="s">
        <v>0</v>
      </c>
      <c r="V673" s="13" t="s">
        <v>0</v>
      </c>
      <c r="W673" s="13" t="s">
        <v>0</v>
      </c>
      <c r="X673" s="13" t="s">
        <v>0</v>
      </c>
      <c r="Y673" s="13" t="s">
        <v>10</v>
      </c>
      <c r="Z673" s="13" t="s">
        <v>0</v>
      </c>
      <c r="AA673" s="14"/>
      <c r="AB673" s="13" t="s">
        <v>0</v>
      </c>
      <c r="AC673" s="13" t="s">
        <v>0</v>
      </c>
      <c r="AD673" s="13" t="s">
        <v>0</v>
      </c>
      <c r="AE673" s="15">
        <v>0</v>
      </c>
    </row>
    <row r="674" spans="1:31" ht="14.15" customHeight="1" x14ac:dyDescent="0.25">
      <c r="A674" s="12" t="s">
        <v>0</v>
      </c>
      <c r="B674" s="13" t="s">
        <v>1</v>
      </c>
      <c r="C674" s="13" t="s">
        <v>3644</v>
      </c>
      <c r="D674" s="14">
        <v>44331</v>
      </c>
      <c r="E674" s="14">
        <v>44331</v>
      </c>
      <c r="F674" s="14">
        <v>44336</v>
      </c>
      <c r="G674" s="13" t="s">
        <v>3</v>
      </c>
      <c r="H674" s="13" t="s">
        <v>4</v>
      </c>
      <c r="I674" s="15">
        <v>-26773.66</v>
      </c>
      <c r="J674" s="13" t="s">
        <v>5</v>
      </c>
      <c r="K674" s="13" t="s">
        <v>6</v>
      </c>
      <c r="L674" s="15">
        <v>-2247648.7599999998</v>
      </c>
      <c r="M674" s="15">
        <v>-26773.66</v>
      </c>
      <c r="N674" s="16" t="str">
        <f>IF(M674="","",IF(M674&lt;0,-M674&amp;"_"&amp;COUNTIF(M$2:M674,M674),M674&amp;"_"&amp;COUNTIF(M$2:M674,M674)))</f>
        <v>26773.66_1</v>
      </c>
      <c r="O674" s="17" t="str">
        <f t="shared" si="10"/>
        <v/>
      </c>
      <c r="P674" s="13" t="s">
        <v>3645</v>
      </c>
      <c r="Q674" s="13" t="s">
        <v>3637</v>
      </c>
      <c r="R674" s="13" t="s">
        <v>0</v>
      </c>
      <c r="S674" s="13" t="s">
        <v>0</v>
      </c>
      <c r="T674" s="13" t="s">
        <v>9</v>
      </c>
      <c r="U674" s="13" t="s">
        <v>0</v>
      </c>
      <c r="V674" s="13" t="s">
        <v>0</v>
      </c>
      <c r="W674" s="13" t="s">
        <v>0</v>
      </c>
      <c r="X674" s="13" t="s">
        <v>0</v>
      </c>
      <c r="Y674" s="13" t="s">
        <v>10</v>
      </c>
      <c r="Z674" s="13" t="s">
        <v>0</v>
      </c>
      <c r="AA674" s="14"/>
      <c r="AB674" s="13" t="s">
        <v>0</v>
      </c>
      <c r="AC674" s="13" t="s">
        <v>0</v>
      </c>
      <c r="AD674" s="13" t="s">
        <v>0</v>
      </c>
      <c r="AE674" s="15">
        <v>0</v>
      </c>
    </row>
    <row r="675" spans="1:31" ht="14.15" customHeight="1" x14ac:dyDescent="0.25">
      <c r="A675" s="12" t="s">
        <v>0</v>
      </c>
      <c r="B675" s="13" t="s">
        <v>1</v>
      </c>
      <c r="C675" s="13" t="s">
        <v>83</v>
      </c>
      <c r="D675" s="14">
        <v>44021</v>
      </c>
      <c r="E675" s="14">
        <v>44021</v>
      </c>
      <c r="F675" s="14">
        <v>44032</v>
      </c>
      <c r="G675" s="13" t="s">
        <v>3</v>
      </c>
      <c r="H675" s="13" t="s">
        <v>4</v>
      </c>
      <c r="I675" s="15">
        <v>-26696.1</v>
      </c>
      <c r="J675" s="13" t="s">
        <v>5</v>
      </c>
      <c r="K675" s="13" t="s">
        <v>6</v>
      </c>
      <c r="L675" s="15">
        <v>-2241137.6</v>
      </c>
      <c r="M675" s="15">
        <v>-26696.1</v>
      </c>
      <c r="N675" s="16" t="str">
        <f>IF(M675="","",IF(M675&lt;0,-M675&amp;"_"&amp;COUNTIF(M$2:M675,M675),M675&amp;"_"&amp;COUNTIF(M$2:M675,M675)))</f>
        <v>26696.1_1</v>
      </c>
      <c r="O675" s="17" t="str">
        <f t="shared" si="10"/>
        <v/>
      </c>
      <c r="P675" s="13" t="s">
        <v>84</v>
      </c>
      <c r="Q675" s="13" t="s">
        <v>85</v>
      </c>
      <c r="R675" s="13" t="s">
        <v>0</v>
      </c>
      <c r="S675" s="13" t="s">
        <v>0</v>
      </c>
      <c r="T675" s="13" t="s">
        <v>9</v>
      </c>
      <c r="U675" s="13" t="s">
        <v>0</v>
      </c>
      <c r="V675" s="13" t="s">
        <v>0</v>
      </c>
      <c r="W675" s="13" t="s">
        <v>0</v>
      </c>
      <c r="X675" s="13" t="s">
        <v>0</v>
      </c>
      <c r="Y675" s="13" t="s">
        <v>10</v>
      </c>
      <c r="Z675" s="13" t="s">
        <v>0</v>
      </c>
      <c r="AA675" s="14"/>
      <c r="AB675" s="13" t="s">
        <v>0</v>
      </c>
      <c r="AC675" s="13" t="s">
        <v>0</v>
      </c>
      <c r="AD675" s="13" t="s">
        <v>0</v>
      </c>
      <c r="AE675" s="15">
        <v>0</v>
      </c>
    </row>
    <row r="676" spans="1:31" ht="14.15" customHeight="1" x14ac:dyDescent="0.25">
      <c r="A676" s="12" t="s">
        <v>0</v>
      </c>
      <c r="B676" s="13" t="s">
        <v>1</v>
      </c>
      <c r="C676" s="13" t="s">
        <v>1989</v>
      </c>
      <c r="D676" s="14">
        <v>44196</v>
      </c>
      <c r="E676" s="14">
        <v>44196</v>
      </c>
      <c r="F676" s="14">
        <v>44201</v>
      </c>
      <c r="G676" s="13" t="s">
        <v>3</v>
      </c>
      <c r="H676" s="13" t="s">
        <v>4</v>
      </c>
      <c r="I676" s="15">
        <v>-26671.81</v>
      </c>
      <c r="J676" s="13" t="s">
        <v>5</v>
      </c>
      <c r="K676" s="13" t="s">
        <v>6</v>
      </c>
      <c r="L676" s="15">
        <v>-2239098.4500000002</v>
      </c>
      <c r="M676" s="15">
        <v>-26671.81</v>
      </c>
      <c r="N676" s="16" t="str">
        <f>IF(M676="","",IF(M676&lt;0,-M676&amp;"_"&amp;COUNTIF(M$2:M676,M676),M676&amp;"_"&amp;COUNTIF(M$2:M676,M676)))</f>
        <v>26671.81_1</v>
      </c>
      <c r="O676" s="17" t="str">
        <f t="shared" si="10"/>
        <v/>
      </c>
      <c r="P676" s="13" t="s">
        <v>1990</v>
      </c>
      <c r="Q676" s="13" t="s">
        <v>1976</v>
      </c>
      <c r="R676" s="13" t="s">
        <v>0</v>
      </c>
      <c r="S676" s="13" t="s">
        <v>0</v>
      </c>
      <c r="T676" s="13" t="s">
        <v>9</v>
      </c>
      <c r="U676" s="13" t="s">
        <v>0</v>
      </c>
      <c r="V676" s="13" t="s">
        <v>0</v>
      </c>
      <c r="W676" s="13" t="s">
        <v>0</v>
      </c>
      <c r="X676" s="13" t="s">
        <v>0</v>
      </c>
      <c r="Y676" s="13" t="s">
        <v>10</v>
      </c>
      <c r="Z676" s="13" t="s">
        <v>0</v>
      </c>
      <c r="AA676" s="14"/>
      <c r="AB676" s="13" t="s">
        <v>0</v>
      </c>
      <c r="AC676" s="13" t="s">
        <v>0</v>
      </c>
      <c r="AD676" s="13" t="s">
        <v>0</v>
      </c>
      <c r="AE676" s="15">
        <v>0</v>
      </c>
    </row>
    <row r="677" spans="1:31" ht="14.15" customHeight="1" x14ac:dyDescent="0.25">
      <c r="A677" s="12" t="s">
        <v>0</v>
      </c>
      <c r="B677" s="13" t="s">
        <v>1</v>
      </c>
      <c r="C677" s="13" t="s">
        <v>3763</v>
      </c>
      <c r="D677" s="14">
        <v>44341</v>
      </c>
      <c r="E677" s="14">
        <v>44341</v>
      </c>
      <c r="F677" s="14">
        <v>44345</v>
      </c>
      <c r="G677" s="13" t="s">
        <v>3</v>
      </c>
      <c r="H677" s="13" t="s">
        <v>4</v>
      </c>
      <c r="I677" s="15">
        <v>-26517.9</v>
      </c>
      <c r="J677" s="13" t="s">
        <v>5</v>
      </c>
      <c r="K677" s="13" t="s">
        <v>6</v>
      </c>
      <c r="L677" s="15">
        <v>-2226177.71</v>
      </c>
      <c r="M677" s="15">
        <v>-26517.9</v>
      </c>
      <c r="N677" s="16" t="str">
        <f>IF(M677="","",IF(M677&lt;0,-M677&amp;"_"&amp;COUNTIF(M$2:M677,M677),M677&amp;"_"&amp;COUNTIF(M$2:M677,M677)))</f>
        <v>26517.9_1</v>
      </c>
      <c r="O677" s="17" t="str">
        <f t="shared" si="10"/>
        <v/>
      </c>
      <c r="P677" s="13" t="s">
        <v>3764</v>
      </c>
      <c r="Q677" s="13" t="s">
        <v>3762</v>
      </c>
      <c r="R677" s="13" t="s">
        <v>0</v>
      </c>
      <c r="S677" s="13" t="s">
        <v>0</v>
      </c>
      <c r="T677" s="13" t="s">
        <v>9</v>
      </c>
      <c r="U677" s="13" t="s">
        <v>0</v>
      </c>
      <c r="V677" s="13" t="s">
        <v>0</v>
      </c>
      <c r="W677" s="13" t="s">
        <v>0</v>
      </c>
      <c r="X677" s="13" t="s">
        <v>0</v>
      </c>
      <c r="Y677" s="13" t="s">
        <v>10</v>
      </c>
      <c r="Z677" s="13" t="s">
        <v>0</v>
      </c>
      <c r="AA677" s="14"/>
      <c r="AB677" s="13" t="s">
        <v>0</v>
      </c>
      <c r="AC677" s="13" t="s">
        <v>0</v>
      </c>
      <c r="AD677" s="13" t="s">
        <v>0</v>
      </c>
      <c r="AE677" s="15">
        <v>0</v>
      </c>
    </row>
    <row r="678" spans="1:31" ht="14.15" customHeight="1" x14ac:dyDescent="0.25">
      <c r="A678" s="12" t="s">
        <v>0</v>
      </c>
      <c r="B678" s="13" t="s">
        <v>1</v>
      </c>
      <c r="C678" s="13" t="s">
        <v>4092</v>
      </c>
      <c r="D678" s="14">
        <v>44361</v>
      </c>
      <c r="E678" s="14">
        <v>44361</v>
      </c>
      <c r="F678" s="14">
        <v>44364</v>
      </c>
      <c r="G678" s="13" t="s">
        <v>3</v>
      </c>
      <c r="H678" s="13" t="s">
        <v>4</v>
      </c>
      <c r="I678" s="15">
        <v>-26452.3</v>
      </c>
      <c r="J678" s="13" t="s">
        <v>5</v>
      </c>
      <c r="K678" s="13" t="s">
        <v>6</v>
      </c>
      <c r="L678" s="15">
        <v>-2220670.59</v>
      </c>
      <c r="M678" s="15">
        <v>-26452.3</v>
      </c>
      <c r="N678" s="16" t="str">
        <f>IF(M678="","",IF(M678&lt;0,-M678&amp;"_"&amp;COUNTIF(M$2:M678,M678),M678&amp;"_"&amp;COUNTIF(M$2:M678,M678)))</f>
        <v>26452.3_1</v>
      </c>
      <c r="O678" s="17" t="str">
        <f t="shared" si="10"/>
        <v/>
      </c>
      <c r="P678" s="13" t="s">
        <v>4093</v>
      </c>
      <c r="Q678" s="13" t="s">
        <v>4075</v>
      </c>
      <c r="R678" s="13" t="s">
        <v>0</v>
      </c>
      <c r="S678" s="13" t="s">
        <v>0</v>
      </c>
      <c r="T678" s="13" t="s">
        <v>9</v>
      </c>
      <c r="U678" s="13" t="s">
        <v>0</v>
      </c>
      <c r="V678" s="13" t="s">
        <v>0</v>
      </c>
      <c r="W678" s="13" t="s">
        <v>0</v>
      </c>
      <c r="X678" s="13" t="s">
        <v>0</v>
      </c>
      <c r="Y678" s="13" t="s">
        <v>10</v>
      </c>
      <c r="Z678" s="13" t="s">
        <v>0</v>
      </c>
      <c r="AA678" s="14"/>
      <c r="AB678" s="13" t="s">
        <v>0</v>
      </c>
      <c r="AC678" s="13" t="s">
        <v>0</v>
      </c>
      <c r="AD678" s="13" t="s">
        <v>0</v>
      </c>
      <c r="AE678" s="15">
        <v>0</v>
      </c>
    </row>
    <row r="679" spans="1:31" ht="14.15" customHeight="1" x14ac:dyDescent="0.25">
      <c r="A679" s="12" t="s">
        <v>0</v>
      </c>
      <c r="B679" s="13" t="s">
        <v>1</v>
      </c>
      <c r="C679" s="13" t="s">
        <v>83</v>
      </c>
      <c r="D679" s="14">
        <v>44021</v>
      </c>
      <c r="E679" s="14">
        <v>44021</v>
      </c>
      <c r="F679" s="14">
        <v>44032</v>
      </c>
      <c r="G679" s="13" t="s">
        <v>3</v>
      </c>
      <c r="H679" s="13" t="s">
        <v>4</v>
      </c>
      <c r="I679" s="15">
        <v>-26444.240000000002</v>
      </c>
      <c r="J679" s="13" t="s">
        <v>5</v>
      </c>
      <c r="K679" s="13" t="s">
        <v>6</v>
      </c>
      <c r="L679" s="15">
        <v>-2219993.9500000002</v>
      </c>
      <c r="M679" s="15">
        <v>-26444.240000000002</v>
      </c>
      <c r="N679" s="16" t="str">
        <f>IF(M679="","",IF(M679&lt;0,-M679&amp;"_"&amp;COUNTIF(M$2:M679,M679),M679&amp;"_"&amp;COUNTIF(M$2:M679,M679)))</f>
        <v>26444.24_1</v>
      </c>
      <c r="O679" s="17" t="str">
        <f t="shared" si="10"/>
        <v/>
      </c>
      <c r="P679" s="13" t="s">
        <v>84</v>
      </c>
      <c r="Q679" s="13" t="s">
        <v>85</v>
      </c>
      <c r="R679" s="13" t="s">
        <v>0</v>
      </c>
      <c r="S679" s="13" t="s">
        <v>0</v>
      </c>
      <c r="T679" s="13" t="s">
        <v>9</v>
      </c>
      <c r="U679" s="13" t="s">
        <v>0</v>
      </c>
      <c r="V679" s="13" t="s">
        <v>0</v>
      </c>
      <c r="W679" s="13" t="s">
        <v>0</v>
      </c>
      <c r="X679" s="13" t="s">
        <v>0</v>
      </c>
      <c r="Y679" s="13" t="s">
        <v>10</v>
      </c>
      <c r="Z679" s="13" t="s">
        <v>0</v>
      </c>
      <c r="AA679" s="14"/>
      <c r="AB679" s="13" t="s">
        <v>0</v>
      </c>
      <c r="AC679" s="13" t="s">
        <v>0</v>
      </c>
      <c r="AD679" s="13" t="s">
        <v>0</v>
      </c>
      <c r="AE679" s="15">
        <v>0</v>
      </c>
    </row>
    <row r="680" spans="1:31" ht="14.15" customHeight="1" x14ac:dyDescent="0.25">
      <c r="A680" s="12" t="s">
        <v>0</v>
      </c>
      <c r="B680" s="13" t="s">
        <v>1</v>
      </c>
      <c r="C680" s="13" t="s">
        <v>980</v>
      </c>
      <c r="D680" s="14">
        <v>44125</v>
      </c>
      <c r="E680" s="14">
        <v>44125</v>
      </c>
      <c r="F680" s="14">
        <v>44132</v>
      </c>
      <c r="G680" s="13" t="s">
        <v>3</v>
      </c>
      <c r="H680" s="13" t="s">
        <v>4</v>
      </c>
      <c r="I680" s="15">
        <v>-26390.41</v>
      </c>
      <c r="J680" s="13" t="s">
        <v>5</v>
      </c>
      <c r="K680" s="13" t="s">
        <v>6</v>
      </c>
      <c r="L680" s="15">
        <v>-2215474.92</v>
      </c>
      <c r="M680" s="15">
        <v>-26390.41</v>
      </c>
      <c r="N680" s="16" t="str">
        <f>IF(M680="","",IF(M680&lt;0,-M680&amp;"_"&amp;COUNTIF(M$2:M680,M680),M680&amp;"_"&amp;COUNTIF(M$2:M680,M680)))</f>
        <v>26390.41_1</v>
      </c>
      <c r="O680" s="17" t="str">
        <f t="shared" si="10"/>
        <v/>
      </c>
      <c r="P680" s="13" t="s">
        <v>981</v>
      </c>
      <c r="Q680" s="13" t="s">
        <v>977</v>
      </c>
      <c r="R680" s="13" t="s">
        <v>0</v>
      </c>
      <c r="S680" s="13" t="s">
        <v>0</v>
      </c>
      <c r="T680" s="13" t="s">
        <v>9</v>
      </c>
      <c r="U680" s="13" t="s">
        <v>0</v>
      </c>
      <c r="V680" s="13" t="s">
        <v>0</v>
      </c>
      <c r="W680" s="13" t="s">
        <v>0</v>
      </c>
      <c r="X680" s="13" t="s">
        <v>0</v>
      </c>
      <c r="Y680" s="13" t="s">
        <v>10</v>
      </c>
      <c r="Z680" s="13" t="s">
        <v>0</v>
      </c>
      <c r="AA680" s="14"/>
      <c r="AB680" s="13" t="s">
        <v>0</v>
      </c>
      <c r="AC680" s="13" t="s">
        <v>0</v>
      </c>
      <c r="AD680" s="13" t="s">
        <v>0</v>
      </c>
      <c r="AE680" s="15">
        <v>0</v>
      </c>
    </row>
    <row r="681" spans="1:31" ht="14.15" customHeight="1" x14ac:dyDescent="0.25">
      <c r="A681" s="12" t="s">
        <v>0</v>
      </c>
      <c r="B681" s="13" t="s">
        <v>1</v>
      </c>
      <c r="C681" s="13" t="s">
        <v>2174</v>
      </c>
      <c r="D681" s="14">
        <v>44210</v>
      </c>
      <c r="E681" s="14">
        <v>44210</v>
      </c>
      <c r="F681" s="14">
        <v>44216</v>
      </c>
      <c r="G681" s="13" t="s">
        <v>3</v>
      </c>
      <c r="H681" s="13" t="s">
        <v>4</v>
      </c>
      <c r="I681" s="15">
        <v>-26376.77</v>
      </c>
      <c r="J681" s="13" t="s">
        <v>5</v>
      </c>
      <c r="K681" s="13" t="s">
        <v>6</v>
      </c>
      <c r="L681" s="15">
        <v>-2214329.84</v>
      </c>
      <c r="M681" s="15">
        <v>-26376.77</v>
      </c>
      <c r="N681" s="16" t="str">
        <f>IF(M681="","",IF(M681&lt;0,-M681&amp;"_"&amp;COUNTIF(M$2:M681,M681),M681&amp;"_"&amp;COUNTIF(M$2:M681,M681)))</f>
        <v>26376.77_1</v>
      </c>
      <c r="O681" s="17" t="str">
        <f t="shared" si="10"/>
        <v/>
      </c>
      <c r="P681" s="13" t="s">
        <v>2175</v>
      </c>
      <c r="Q681" s="13" t="s">
        <v>2176</v>
      </c>
      <c r="R681" s="13" t="s">
        <v>0</v>
      </c>
      <c r="S681" s="13" t="s">
        <v>0</v>
      </c>
      <c r="T681" s="13" t="s">
        <v>9</v>
      </c>
      <c r="U681" s="13" t="s">
        <v>0</v>
      </c>
      <c r="V681" s="13" t="s">
        <v>0</v>
      </c>
      <c r="W681" s="13" t="s">
        <v>0</v>
      </c>
      <c r="X681" s="13" t="s">
        <v>0</v>
      </c>
      <c r="Y681" s="13" t="s">
        <v>10</v>
      </c>
      <c r="Z681" s="13" t="s">
        <v>0</v>
      </c>
      <c r="AA681" s="14"/>
      <c r="AB681" s="13" t="s">
        <v>0</v>
      </c>
      <c r="AC681" s="13" t="s">
        <v>0</v>
      </c>
      <c r="AD681" s="13" t="s">
        <v>0</v>
      </c>
      <c r="AE681" s="15">
        <v>0</v>
      </c>
    </row>
    <row r="682" spans="1:31" ht="14.15" customHeight="1" x14ac:dyDescent="0.25">
      <c r="A682" s="12" t="s">
        <v>0</v>
      </c>
      <c r="B682" s="13" t="s">
        <v>1</v>
      </c>
      <c r="C682" s="13" t="s">
        <v>766</v>
      </c>
      <c r="D682" s="14">
        <v>44099</v>
      </c>
      <c r="E682" s="14">
        <v>44099</v>
      </c>
      <c r="F682" s="14">
        <v>44103</v>
      </c>
      <c r="G682" s="13" t="s">
        <v>3</v>
      </c>
      <c r="H682" s="13" t="s">
        <v>4</v>
      </c>
      <c r="I682" s="15">
        <v>-26338.17</v>
      </c>
      <c r="J682" s="13" t="s">
        <v>5</v>
      </c>
      <c r="K682" s="13" t="s">
        <v>6</v>
      </c>
      <c r="L682" s="15">
        <v>-2211089.37</v>
      </c>
      <c r="M682" s="15">
        <v>-26338.17</v>
      </c>
      <c r="N682" s="16" t="str">
        <f>IF(M682="","",IF(M682&lt;0,-M682&amp;"_"&amp;COUNTIF(M$2:M682,M682),M682&amp;"_"&amp;COUNTIF(M$2:M682,M682)))</f>
        <v>26338.17_1</v>
      </c>
      <c r="O682" s="17" t="str">
        <f t="shared" si="10"/>
        <v/>
      </c>
      <c r="P682" s="13" t="s">
        <v>767</v>
      </c>
      <c r="Q682" s="13" t="s">
        <v>768</v>
      </c>
      <c r="R682" s="13" t="s">
        <v>0</v>
      </c>
      <c r="S682" s="13" t="s">
        <v>0</v>
      </c>
      <c r="T682" s="13" t="s">
        <v>9</v>
      </c>
      <c r="U682" s="13" t="s">
        <v>0</v>
      </c>
      <c r="V682" s="13" t="s">
        <v>0</v>
      </c>
      <c r="W682" s="13" t="s">
        <v>0</v>
      </c>
      <c r="X682" s="13" t="s">
        <v>0</v>
      </c>
      <c r="Y682" s="13" t="s">
        <v>10</v>
      </c>
      <c r="Z682" s="13" t="s">
        <v>0</v>
      </c>
      <c r="AA682" s="14"/>
      <c r="AB682" s="13" t="s">
        <v>0</v>
      </c>
      <c r="AC682" s="13" t="s">
        <v>0</v>
      </c>
      <c r="AD682" s="13" t="s">
        <v>0</v>
      </c>
      <c r="AE682" s="15">
        <v>0</v>
      </c>
    </row>
    <row r="683" spans="1:31" ht="14.15" customHeight="1" x14ac:dyDescent="0.25">
      <c r="A683" s="12" t="s">
        <v>0</v>
      </c>
      <c r="B683" s="13" t="s">
        <v>1</v>
      </c>
      <c r="C683" s="13" t="s">
        <v>1580</v>
      </c>
      <c r="D683" s="14">
        <v>44166</v>
      </c>
      <c r="E683" s="14">
        <v>44166</v>
      </c>
      <c r="F683" s="14">
        <v>44174</v>
      </c>
      <c r="G683" s="13" t="s">
        <v>3</v>
      </c>
      <c r="H683" s="13" t="s">
        <v>4</v>
      </c>
      <c r="I683" s="15">
        <v>-26265.77</v>
      </c>
      <c r="J683" s="13" t="s">
        <v>5</v>
      </c>
      <c r="K683" s="13" t="s">
        <v>6</v>
      </c>
      <c r="L683" s="15">
        <v>-2205011.39</v>
      </c>
      <c r="M683" s="15">
        <v>-26265.77</v>
      </c>
      <c r="N683" s="16" t="str">
        <f>IF(M683="","",IF(M683&lt;0,-M683&amp;"_"&amp;COUNTIF(M$2:M683,M683),M683&amp;"_"&amp;COUNTIF(M$2:M683,M683)))</f>
        <v>26265.77_1</v>
      </c>
      <c r="O683" s="17" t="str">
        <f t="shared" si="10"/>
        <v/>
      </c>
      <c r="P683" s="13" t="s">
        <v>1581</v>
      </c>
      <c r="Q683" s="13" t="s">
        <v>1579</v>
      </c>
      <c r="R683" s="13" t="s">
        <v>0</v>
      </c>
      <c r="S683" s="13" t="s">
        <v>0</v>
      </c>
      <c r="T683" s="13" t="s">
        <v>9</v>
      </c>
      <c r="U683" s="13" t="s">
        <v>0</v>
      </c>
      <c r="V683" s="13" t="s">
        <v>0</v>
      </c>
      <c r="W683" s="13" t="s">
        <v>0</v>
      </c>
      <c r="X683" s="13" t="s">
        <v>0</v>
      </c>
      <c r="Y683" s="13" t="s">
        <v>10</v>
      </c>
      <c r="Z683" s="13" t="s">
        <v>0</v>
      </c>
      <c r="AA683" s="14"/>
      <c r="AB683" s="13" t="s">
        <v>0</v>
      </c>
      <c r="AC683" s="13" t="s">
        <v>0</v>
      </c>
      <c r="AD683" s="13" t="s">
        <v>0</v>
      </c>
      <c r="AE683" s="15">
        <v>0</v>
      </c>
    </row>
    <row r="684" spans="1:31" ht="14.15" customHeight="1" x14ac:dyDescent="0.25">
      <c r="A684" s="12" t="s">
        <v>0</v>
      </c>
      <c r="B684" s="13" t="s">
        <v>1</v>
      </c>
      <c r="C684" s="13" t="s">
        <v>1989</v>
      </c>
      <c r="D684" s="14">
        <v>44196</v>
      </c>
      <c r="E684" s="14">
        <v>44196</v>
      </c>
      <c r="F684" s="14">
        <v>44201</v>
      </c>
      <c r="G684" s="13" t="s">
        <v>3</v>
      </c>
      <c r="H684" s="13" t="s">
        <v>4</v>
      </c>
      <c r="I684" s="15">
        <v>-26264.61</v>
      </c>
      <c r="J684" s="13" t="s">
        <v>5</v>
      </c>
      <c r="K684" s="13" t="s">
        <v>6</v>
      </c>
      <c r="L684" s="15">
        <v>-2204914.0099999998</v>
      </c>
      <c r="M684" s="15">
        <v>-26264.61</v>
      </c>
      <c r="N684" s="16" t="str">
        <f>IF(M684="","",IF(M684&lt;0,-M684&amp;"_"&amp;COUNTIF(M$2:M684,M684),M684&amp;"_"&amp;COUNTIF(M$2:M684,M684)))</f>
        <v>26264.61_1</v>
      </c>
      <c r="O684" s="17" t="str">
        <f t="shared" si="10"/>
        <v/>
      </c>
      <c r="P684" s="13" t="s">
        <v>1990</v>
      </c>
      <c r="Q684" s="13" t="s">
        <v>1976</v>
      </c>
      <c r="R684" s="13" t="s">
        <v>0</v>
      </c>
      <c r="S684" s="13" t="s">
        <v>0</v>
      </c>
      <c r="T684" s="13" t="s">
        <v>9</v>
      </c>
      <c r="U684" s="13" t="s">
        <v>0</v>
      </c>
      <c r="V684" s="13" t="s">
        <v>0</v>
      </c>
      <c r="W684" s="13" t="s">
        <v>0</v>
      </c>
      <c r="X684" s="13" t="s">
        <v>0</v>
      </c>
      <c r="Y684" s="13" t="s">
        <v>10</v>
      </c>
      <c r="Z684" s="13" t="s">
        <v>0</v>
      </c>
      <c r="AA684" s="14"/>
      <c r="AB684" s="13" t="s">
        <v>0</v>
      </c>
      <c r="AC684" s="13" t="s">
        <v>0</v>
      </c>
      <c r="AD684" s="13" t="s">
        <v>0</v>
      </c>
      <c r="AE684" s="15">
        <v>0</v>
      </c>
    </row>
    <row r="685" spans="1:31" ht="14.15" customHeight="1" x14ac:dyDescent="0.25">
      <c r="A685" s="12" t="s">
        <v>0</v>
      </c>
      <c r="B685" s="13" t="s">
        <v>1</v>
      </c>
      <c r="C685" s="13" t="s">
        <v>2972</v>
      </c>
      <c r="D685" s="14">
        <v>44278</v>
      </c>
      <c r="E685" s="14">
        <v>44278</v>
      </c>
      <c r="F685" s="14">
        <v>44290</v>
      </c>
      <c r="G685" s="13" t="s">
        <v>3</v>
      </c>
      <c r="H685" s="13" t="s">
        <v>4</v>
      </c>
      <c r="I685" s="15">
        <v>-26186.53</v>
      </c>
      <c r="J685" s="13" t="s">
        <v>5</v>
      </c>
      <c r="K685" s="13" t="s">
        <v>6</v>
      </c>
      <c r="L685" s="15">
        <v>-2198359.19</v>
      </c>
      <c r="M685" s="15">
        <v>-26186.53</v>
      </c>
      <c r="N685" s="16" t="str">
        <f>IF(M685="","",IF(M685&lt;0,-M685&amp;"_"&amp;COUNTIF(M$2:M685,M685),M685&amp;"_"&amp;COUNTIF(M$2:M685,M685)))</f>
        <v>26186.53_1</v>
      </c>
      <c r="O685" s="17" t="str">
        <f t="shared" si="10"/>
        <v/>
      </c>
      <c r="P685" s="13" t="s">
        <v>2973</v>
      </c>
      <c r="Q685" s="13" t="s">
        <v>2964</v>
      </c>
      <c r="R685" s="13" t="s">
        <v>0</v>
      </c>
      <c r="S685" s="13" t="s">
        <v>0</v>
      </c>
      <c r="T685" s="13" t="s">
        <v>9</v>
      </c>
      <c r="U685" s="13" t="s">
        <v>0</v>
      </c>
      <c r="V685" s="13" t="s">
        <v>0</v>
      </c>
      <c r="W685" s="13" t="s">
        <v>0</v>
      </c>
      <c r="X685" s="13" t="s">
        <v>0</v>
      </c>
      <c r="Y685" s="13" t="s">
        <v>10</v>
      </c>
      <c r="Z685" s="13" t="s">
        <v>0</v>
      </c>
      <c r="AA685" s="14"/>
      <c r="AB685" s="13" t="s">
        <v>0</v>
      </c>
      <c r="AC685" s="13" t="s">
        <v>0</v>
      </c>
      <c r="AD685" s="13" t="s">
        <v>0</v>
      </c>
      <c r="AE685" s="15">
        <v>0</v>
      </c>
    </row>
    <row r="686" spans="1:31" ht="14.15" customHeight="1" x14ac:dyDescent="0.25">
      <c r="A686" s="12" t="s">
        <v>0</v>
      </c>
      <c r="B686" s="13" t="s">
        <v>1</v>
      </c>
      <c r="C686" s="13" t="s">
        <v>3136</v>
      </c>
      <c r="D686" s="14">
        <v>44294</v>
      </c>
      <c r="E686" s="14">
        <v>44294</v>
      </c>
      <c r="F686" s="14">
        <v>44298</v>
      </c>
      <c r="G686" s="13" t="s">
        <v>3</v>
      </c>
      <c r="H686" s="13" t="s">
        <v>4</v>
      </c>
      <c r="I686" s="15">
        <v>-26176.91</v>
      </c>
      <c r="J686" s="13" t="s">
        <v>5</v>
      </c>
      <c r="K686" s="13" t="s">
        <v>6</v>
      </c>
      <c r="L686" s="15">
        <v>-2197551.59</v>
      </c>
      <c r="M686" s="15">
        <v>-26176.91</v>
      </c>
      <c r="N686" s="16" t="str">
        <f>IF(M686="","",IF(M686&lt;0,-M686&amp;"_"&amp;COUNTIF(M$2:M686,M686),M686&amp;"_"&amp;COUNTIF(M$2:M686,M686)))</f>
        <v>26176.91_1</v>
      </c>
      <c r="O686" s="17" t="str">
        <f t="shared" si="10"/>
        <v/>
      </c>
      <c r="P686" s="13" t="s">
        <v>3137</v>
      </c>
      <c r="Q686" s="13" t="s">
        <v>3138</v>
      </c>
      <c r="R686" s="13" t="s">
        <v>0</v>
      </c>
      <c r="S686" s="13" t="s">
        <v>0</v>
      </c>
      <c r="T686" s="13" t="s">
        <v>9</v>
      </c>
      <c r="U686" s="13" t="s">
        <v>0</v>
      </c>
      <c r="V686" s="13" t="s">
        <v>0</v>
      </c>
      <c r="W686" s="13" t="s">
        <v>0</v>
      </c>
      <c r="X686" s="13" t="s">
        <v>0</v>
      </c>
      <c r="Y686" s="13" t="s">
        <v>10</v>
      </c>
      <c r="Z686" s="13" t="s">
        <v>0</v>
      </c>
      <c r="AA686" s="14"/>
      <c r="AB686" s="13" t="s">
        <v>0</v>
      </c>
      <c r="AC686" s="13" t="s">
        <v>0</v>
      </c>
      <c r="AD686" s="13" t="s">
        <v>0</v>
      </c>
      <c r="AE686" s="15">
        <v>0</v>
      </c>
    </row>
    <row r="687" spans="1:31" ht="14.15" customHeight="1" x14ac:dyDescent="0.25">
      <c r="A687" s="12" t="s">
        <v>0</v>
      </c>
      <c r="B687" s="13" t="s">
        <v>1</v>
      </c>
      <c r="C687" s="13" t="s">
        <v>2183</v>
      </c>
      <c r="D687" s="14">
        <v>44210</v>
      </c>
      <c r="E687" s="14">
        <v>44210</v>
      </c>
      <c r="F687" s="14">
        <v>44216</v>
      </c>
      <c r="G687" s="13" t="s">
        <v>3</v>
      </c>
      <c r="H687" s="13" t="s">
        <v>4</v>
      </c>
      <c r="I687" s="15">
        <v>-26102.33</v>
      </c>
      <c r="J687" s="13" t="s">
        <v>5</v>
      </c>
      <c r="K687" s="13" t="s">
        <v>6</v>
      </c>
      <c r="L687" s="15">
        <v>-2191290.6</v>
      </c>
      <c r="M687" s="15">
        <v>-26102.33</v>
      </c>
      <c r="N687" s="16" t="str">
        <f>IF(M687="","",IF(M687&lt;0,-M687&amp;"_"&amp;COUNTIF(M$2:M687,M687),M687&amp;"_"&amp;COUNTIF(M$2:M687,M687)))</f>
        <v>26102.33_1</v>
      </c>
      <c r="O687" s="17" t="str">
        <f t="shared" si="10"/>
        <v/>
      </c>
      <c r="P687" s="13" t="s">
        <v>2184</v>
      </c>
      <c r="Q687" s="13" t="s">
        <v>2176</v>
      </c>
      <c r="R687" s="13" t="s">
        <v>0</v>
      </c>
      <c r="S687" s="13" t="s">
        <v>0</v>
      </c>
      <c r="T687" s="13" t="s">
        <v>9</v>
      </c>
      <c r="U687" s="13" t="s">
        <v>0</v>
      </c>
      <c r="V687" s="13" t="s">
        <v>0</v>
      </c>
      <c r="W687" s="13" t="s">
        <v>0</v>
      </c>
      <c r="X687" s="13" t="s">
        <v>0</v>
      </c>
      <c r="Y687" s="13" t="s">
        <v>10</v>
      </c>
      <c r="Z687" s="13" t="s">
        <v>0</v>
      </c>
      <c r="AA687" s="14"/>
      <c r="AB687" s="13" t="s">
        <v>0</v>
      </c>
      <c r="AC687" s="13" t="s">
        <v>0</v>
      </c>
      <c r="AD687" s="13" t="s">
        <v>0</v>
      </c>
      <c r="AE687" s="15">
        <v>0</v>
      </c>
    </row>
    <row r="688" spans="1:31" ht="14.15" customHeight="1" x14ac:dyDescent="0.25">
      <c r="A688" s="12" t="s">
        <v>0</v>
      </c>
      <c r="B688" s="13" t="s">
        <v>1</v>
      </c>
      <c r="C688" s="13" t="s">
        <v>1223</v>
      </c>
      <c r="D688" s="14">
        <v>44141</v>
      </c>
      <c r="E688" s="14">
        <v>44141</v>
      </c>
      <c r="F688" s="14">
        <v>44149</v>
      </c>
      <c r="G688" s="13" t="s">
        <v>3</v>
      </c>
      <c r="H688" s="13" t="s">
        <v>4</v>
      </c>
      <c r="I688" s="15">
        <v>-26076.45</v>
      </c>
      <c r="J688" s="13" t="s">
        <v>5</v>
      </c>
      <c r="K688" s="13" t="s">
        <v>6</v>
      </c>
      <c r="L688" s="15">
        <v>-2189117.98</v>
      </c>
      <c r="M688" s="15">
        <v>-26076.45</v>
      </c>
      <c r="N688" s="16" t="str">
        <f>IF(M688="","",IF(M688&lt;0,-M688&amp;"_"&amp;COUNTIF(M$2:M688,M688),M688&amp;"_"&amp;COUNTIF(M$2:M688,M688)))</f>
        <v>26076.45_1</v>
      </c>
      <c r="O688" s="17" t="str">
        <f t="shared" si="10"/>
        <v/>
      </c>
      <c r="P688" s="13" t="s">
        <v>1224</v>
      </c>
      <c r="Q688" s="13" t="s">
        <v>1220</v>
      </c>
      <c r="R688" s="13" t="s">
        <v>0</v>
      </c>
      <c r="S688" s="13" t="s">
        <v>0</v>
      </c>
      <c r="T688" s="13" t="s">
        <v>9</v>
      </c>
      <c r="U688" s="13" t="s">
        <v>0</v>
      </c>
      <c r="V688" s="13" t="s">
        <v>0</v>
      </c>
      <c r="W688" s="13" t="s">
        <v>0</v>
      </c>
      <c r="X688" s="13" t="s">
        <v>0</v>
      </c>
      <c r="Y688" s="13" t="s">
        <v>10</v>
      </c>
      <c r="Z688" s="13" t="s">
        <v>0</v>
      </c>
      <c r="AA688" s="14"/>
      <c r="AB688" s="13" t="s">
        <v>0</v>
      </c>
      <c r="AC688" s="13" t="s">
        <v>0</v>
      </c>
      <c r="AD688" s="13" t="s">
        <v>0</v>
      </c>
      <c r="AE688" s="15">
        <v>0</v>
      </c>
    </row>
    <row r="689" spans="1:31" ht="14.15" customHeight="1" x14ac:dyDescent="0.25">
      <c r="A689" s="12" t="s">
        <v>0</v>
      </c>
      <c r="B689" s="13" t="s">
        <v>1</v>
      </c>
      <c r="C689" s="13" t="s">
        <v>1584</v>
      </c>
      <c r="D689" s="14">
        <v>44166</v>
      </c>
      <c r="E689" s="14">
        <v>44166</v>
      </c>
      <c r="F689" s="14">
        <v>44180</v>
      </c>
      <c r="G689" s="13" t="s">
        <v>3</v>
      </c>
      <c r="H689" s="13" t="s">
        <v>4</v>
      </c>
      <c r="I689" s="15">
        <v>-26056.12</v>
      </c>
      <c r="J689" s="13" t="s">
        <v>5</v>
      </c>
      <c r="K689" s="13" t="s">
        <v>6</v>
      </c>
      <c r="L689" s="15">
        <v>-2187411.27</v>
      </c>
      <c r="M689" s="15">
        <v>-26056.12</v>
      </c>
      <c r="N689" s="16" t="str">
        <f>IF(M689="","",IF(M689&lt;0,-M689&amp;"_"&amp;COUNTIF(M$2:M689,M689),M689&amp;"_"&amp;COUNTIF(M$2:M689,M689)))</f>
        <v>26056.12_1</v>
      </c>
      <c r="O689" s="17" t="str">
        <f t="shared" si="10"/>
        <v/>
      </c>
      <c r="P689" s="13" t="s">
        <v>1585</v>
      </c>
      <c r="Q689" s="13" t="s">
        <v>1579</v>
      </c>
      <c r="R689" s="13" t="s">
        <v>0</v>
      </c>
      <c r="S689" s="13" t="s">
        <v>0</v>
      </c>
      <c r="T689" s="13" t="s">
        <v>9</v>
      </c>
      <c r="U689" s="13" t="s">
        <v>0</v>
      </c>
      <c r="V689" s="13" t="s">
        <v>0</v>
      </c>
      <c r="W689" s="13" t="s">
        <v>0</v>
      </c>
      <c r="X689" s="13" t="s">
        <v>0</v>
      </c>
      <c r="Y689" s="13" t="s">
        <v>10</v>
      </c>
      <c r="Z689" s="13" t="s">
        <v>0</v>
      </c>
      <c r="AA689" s="14"/>
      <c r="AB689" s="13" t="s">
        <v>0</v>
      </c>
      <c r="AC689" s="13" t="s">
        <v>0</v>
      </c>
      <c r="AD689" s="13" t="s">
        <v>0</v>
      </c>
      <c r="AE689" s="15">
        <v>0</v>
      </c>
    </row>
    <row r="690" spans="1:31" ht="14.15" customHeight="1" x14ac:dyDescent="0.25">
      <c r="A690" s="12" t="s">
        <v>0</v>
      </c>
      <c r="B690" s="13" t="s">
        <v>1</v>
      </c>
      <c r="C690" s="13" t="s">
        <v>576</v>
      </c>
      <c r="D690" s="14">
        <v>44077</v>
      </c>
      <c r="E690" s="14">
        <v>44077</v>
      </c>
      <c r="F690" s="14">
        <v>44090</v>
      </c>
      <c r="G690" s="13" t="s">
        <v>3</v>
      </c>
      <c r="H690" s="13" t="s">
        <v>4</v>
      </c>
      <c r="I690" s="15">
        <v>-25988.05</v>
      </c>
      <c r="J690" s="13" t="s">
        <v>5</v>
      </c>
      <c r="K690" s="13" t="s">
        <v>6</v>
      </c>
      <c r="L690" s="15">
        <v>-2181696.7999999998</v>
      </c>
      <c r="M690" s="15">
        <v>-25988.05</v>
      </c>
      <c r="N690" s="16" t="str">
        <f>IF(M690="","",IF(M690&lt;0,-M690&amp;"_"&amp;COUNTIF(M$2:M690,M690),M690&amp;"_"&amp;COUNTIF(M$2:M690,M690)))</f>
        <v>25988.05_1</v>
      </c>
      <c r="O690" s="17" t="str">
        <f t="shared" si="10"/>
        <v/>
      </c>
      <c r="P690" s="13" t="s">
        <v>577</v>
      </c>
      <c r="Q690" s="13" t="s">
        <v>571</v>
      </c>
      <c r="R690" s="13" t="s">
        <v>0</v>
      </c>
      <c r="S690" s="13" t="s">
        <v>0</v>
      </c>
      <c r="T690" s="13" t="s">
        <v>9</v>
      </c>
      <c r="U690" s="13" t="s">
        <v>0</v>
      </c>
      <c r="V690" s="13" t="s">
        <v>0</v>
      </c>
      <c r="W690" s="13" t="s">
        <v>0</v>
      </c>
      <c r="X690" s="13" t="s">
        <v>0</v>
      </c>
      <c r="Y690" s="13" t="s">
        <v>10</v>
      </c>
      <c r="Z690" s="13" t="s">
        <v>0</v>
      </c>
      <c r="AA690" s="14"/>
      <c r="AB690" s="13" t="s">
        <v>0</v>
      </c>
      <c r="AC690" s="13" t="s">
        <v>0</v>
      </c>
      <c r="AD690" s="13" t="s">
        <v>0</v>
      </c>
      <c r="AE690" s="15">
        <v>0</v>
      </c>
    </row>
    <row r="691" spans="1:31" ht="14.15" customHeight="1" x14ac:dyDescent="0.25">
      <c r="A691" s="12" t="s">
        <v>0</v>
      </c>
      <c r="B691" s="13" t="s">
        <v>1</v>
      </c>
      <c r="C691" s="13" t="s">
        <v>3194</v>
      </c>
      <c r="D691" s="14">
        <v>44302</v>
      </c>
      <c r="E691" s="14">
        <v>44302</v>
      </c>
      <c r="F691" s="14">
        <v>44308</v>
      </c>
      <c r="G691" s="13" t="s">
        <v>3</v>
      </c>
      <c r="H691" s="13" t="s">
        <v>4</v>
      </c>
      <c r="I691" s="15">
        <v>-25976.13</v>
      </c>
      <c r="J691" s="13" t="s">
        <v>5</v>
      </c>
      <c r="K691" s="13" t="s">
        <v>6</v>
      </c>
      <c r="L691" s="15">
        <v>-2180696.11</v>
      </c>
      <c r="M691" s="15">
        <v>-25976.13</v>
      </c>
      <c r="N691" s="16" t="str">
        <f>IF(M691="","",IF(M691&lt;0,-M691&amp;"_"&amp;COUNTIF(M$2:M691,M691),M691&amp;"_"&amp;COUNTIF(M$2:M691,M691)))</f>
        <v>25976.13_1</v>
      </c>
      <c r="O691" s="17" t="str">
        <f t="shared" si="10"/>
        <v/>
      </c>
      <c r="P691" s="13" t="s">
        <v>3195</v>
      </c>
      <c r="Q691" s="13" t="s">
        <v>3196</v>
      </c>
      <c r="R691" s="13" t="s">
        <v>0</v>
      </c>
      <c r="S691" s="13" t="s">
        <v>0</v>
      </c>
      <c r="T691" s="13" t="s">
        <v>9</v>
      </c>
      <c r="U691" s="13" t="s">
        <v>0</v>
      </c>
      <c r="V691" s="13" t="s">
        <v>0</v>
      </c>
      <c r="W691" s="13" t="s">
        <v>0</v>
      </c>
      <c r="X691" s="13" t="s">
        <v>0</v>
      </c>
      <c r="Y691" s="13" t="s">
        <v>10</v>
      </c>
      <c r="Z691" s="13" t="s">
        <v>0</v>
      </c>
      <c r="AA691" s="14"/>
      <c r="AB691" s="13" t="s">
        <v>0</v>
      </c>
      <c r="AC691" s="13" t="s">
        <v>0</v>
      </c>
      <c r="AD691" s="13" t="s">
        <v>0</v>
      </c>
      <c r="AE691" s="15">
        <v>0</v>
      </c>
    </row>
    <row r="692" spans="1:31" ht="14.15" customHeight="1" x14ac:dyDescent="0.25">
      <c r="A692" s="12" t="s">
        <v>0</v>
      </c>
      <c r="B692" s="13" t="s">
        <v>1</v>
      </c>
      <c r="C692" s="13" t="s">
        <v>576</v>
      </c>
      <c r="D692" s="14">
        <v>44077</v>
      </c>
      <c r="E692" s="14">
        <v>44077</v>
      </c>
      <c r="F692" s="14">
        <v>44090</v>
      </c>
      <c r="G692" s="13" t="s">
        <v>3</v>
      </c>
      <c r="H692" s="13" t="s">
        <v>4</v>
      </c>
      <c r="I692" s="15">
        <v>-25943.49</v>
      </c>
      <c r="J692" s="13" t="s">
        <v>5</v>
      </c>
      <c r="K692" s="13" t="s">
        <v>6</v>
      </c>
      <c r="L692" s="15">
        <v>-2177955.98</v>
      </c>
      <c r="M692" s="15">
        <v>-25943.49</v>
      </c>
      <c r="N692" s="16" t="str">
        <f>IF(M692="","",IF(M692&lt;0,-M692&amp;"_"&amp;COUNTIF(M$2:M692,M692),M692&amp;"_"&amp;COUNTIF(M$2:M692,M692)))</f>
        <v>25943.49_1</v>
      </c>
      <c r="O692" s="17" t="str">
        <f t="shared" si="10"/>
        <v/>
      </c>
      <c r="P692" s="13" t="s">
        <v>577</v>
      </c>
      <c r="Q692" s="13" t="s">
        <v>571</v>
      </c>
      <c r="R692" s="13" t="s">
        <v>0</v>
      </c>
      <c r="S692" s="13" t="s">
        <v>0</v>
      </c>
      <c r="T692" s="13" t="s">
        <v>9</v>
      </c>
      <c r="U692" s="13" t="s">
        <v>0</v>
      </c>
      <c r="V692" s="13" t="s">
        <v>0</v>
      </c>
      <c r="W692" s="13" t="s">
        <v>0</v>
      </c>
      <c r="X692" s="13" t="s">
        <v>0</v>
      </c>
      <c r="Y692" s="13" t="s">
        <v>10</v>
      </c>
      <c r="Z692" s="13" t="s">
        <v>0</v>
      </c>
      <c r="AA692" s="14"/>
      <c r="AB692" s="13" t="s">
        <v>0</v>
      </c>
      <c r="AC692" s="13" t="s">
        <v>0</v>
      </c>
      <c r="AD692" s="13" t="s">
        <v>0</v>
      </c>
      <c r="AE692" s="15">
        <v>0</v>
      </c>
    </row>
    <row r="693" spans="1:31" ht="14.15" customHeight="1" x14ac:dyDescent="0.25">
      <c r="A693" s="12" t="s">
        <v>0</v>
      </c>
      <c r="B693" s="13" t="s">
        <v>1</v>
      </c>
      <c r="C693" s="13" t="s">
        <v>1299</v>
      </c>
      <c r="D693" s="14">
        <v>44146</v>
      </c>
      <c r="E693" s="14">
        <v>44146</v>
      </c>
      <c r="F693" s="14">
        <v>44153</v>
      </c>
      <c r="G693" s="13" t="s">
        <v>3</v>
      </c>
      <c r="H693" s="13" t="s">
        <v>4</v>
      </c>
      <c r="I693" s="15">
        <v>-25939.98</v>
      </c>
      <c r="J693" s="13" t="s">
        <v>5</v>
      </c>
      <c r="K693" s="13" t="s">
        <v>6</v>
      </c>
      <c r="L693" s="15">
        <v>-2177661.3199999998</v>
      </c>
      <c r="M693" s="15">
        <v>-25939.98</v>
      </c>
      <c r="N693" s="16" t="str">
        <f>IF(M693="","",IF(M693&lt;0,-M693&amp;"_"&amp;COUNTIF(M$2:M693,M693),M693&amp;"_"&amp;COUNTIF(M$2:M693,M693)))</f>
        <v>25939.98_1</v>
      </c>
      <c r="O693" s="17" t="str">
        <f t="shared" si="10"/>
        <v/>
      </c>
      <c r="P693" s="13" t="s">
        <v>1300</v>
      </c>
      <c r="Q693" s="13" t="s">
        <v>1282</v>
      </c>
      <c r="R693" s="13" t="s">
        <v>0</v>
      </c>
      <c r="S693" s="13" t="s">
        <v>0</v>
      </c>
      <c r="T693" s="13" t="s">
        <v>9</v>
      </c>
      <c r="U693" s="13" t="s">
        <v>0</v>
      </c>
      <c r="V693" s="13" t="s">
        <v>0</v>
      </c>
      <c r="W693" s="13" t="s">
        <v>0</v>
      </c>
      <c r="X693" s="13" t="s">
        <v>0</v>
      </c>
      <c r="Y693" s="13" t="s">
        <v>10</v>
      </c>
      <c r="Z693" s="13" t="s">
        <v>0</v>
      </c>
      <c r="AA693" s="14"/>
      <c r="AB693" s="13" t="s">
        <v>0</v>
      </c>
      <c r="AC693" s="13" t="s">
        <v>0</v>
      </c>
      <c r="AD693" s="13" t="s">
        <v>0</v>
      </c>
      <c r="AE693" s="15">
        <v>0</v>
      </c>
    </row>
    <row r="694" spans="1:31" ht="14.15" customHeight="1" x14ac:dyDescent="0.25">
      <c r="A694" s="12" t="s">
        <v>0</v>
      </c>
      <c r="B694" s="13" t="s">
        <v>1</v>
      </c>
      <c r="C694" s="13" t="s">
        <v>4371</v>
      </c>
      <c r="D694" s="14">
        <v>44376</v>
      </c>
      <c r="E694" s="14">
        <v>44376</v>
      </c>
      <c r="F694" s="14">
        <v>44384</v>
      </c>
      <c r="G694" s="13" t="s">
        <v>3</v>
      </c>
      <c r="H694" s="13" t="s">
        <v>4</v>
      </c>
      <c r="I694" s="15">
        <v>-25932.46</v>
      </c>
      <c r="J694" s="13" t="s">
        <v>5</v>
      </c>
      <c r="K694" s="13" t="s">
        <v>6</v>
      </c>
      <c r="L694" s="15">
        <v>-2177030.02</v>
      </c>
      <c r="M694" s="15">
        <v>-25932.46</v>
      </c>
      <c r="N694" s="16" t="str">
        <f>IF(M694="","",IF(M694&lt;0,-M694&amp;"_"&amp;COUNTIF(M$2:M694,M694),M694&amp;"_"&amp;COUNTIF(M$2:M694,M694)))</f>
        <v>25932.46_1</v>
      </c>
      <c r="O694" s="17" t="str">
        <f t="shared" si="10"/>
        <v/>
      </c>
      <c r="P694" s="13" t="s">
        <v>4372</v>
      </c>
      <c r="Q694" s="13" t="s">
        <v>4350</v>
      </c>
      <c r="R694" s="13" t="s">
        <v>0</v>
      </c>
      <c r="S694" s="13" t="s">
        <v>0</v>
      </c>
      <c r="T694" s="13" t="s">
        <v>9</v>
      </c>
      <c r="U694" s="13" t="s">
        <v>0</v>
      </c>
      <c r="V694" s="13" t="s">
        <v>0</v>
      </c>
      <c r="W694" s="13" t="s">
        <v>0</v>
      </c>
      <c r="X694" s="13" t="s">
        <v>0</v>
      </c>
      <c r="Y694" s="13" t="s">
        <v>10</v>
      </c>
      <c r="Z694" s="13" t="s">
        <v>0</v>
      </c>
      <c r="AA694" s="14"/>
      <c r="AB694" s="13" t="s">
        <v>0</v>
      </c>
      <c r="AC694" s="13" t="s">
        <v>0</v>
      </c>
      <c r="AD694" s="13" t="s">
        <v>0</v>
      </c>
      <c r="AE694" s="15">
        <v>0</v>
      </c>
    </row>
    <row r="695" spans="1:31" ht="14.15" customHeight="1" x14ac:dyDescent="0.25">
      <c r="A695" s="12" t="s">
        <v>0</v>
      </c>
      <c r="B695" s="13" t="s">
        <v>1</v>
      </c>
      <c r="C695" s="13" t="s">
        <v>745</v>
      </c>
      <c r="D695" s="14">
        <v>44096</v>
      </c>
      <c r="E695" s="14">
        <v>44096</v>
      </c>
      <c r="F695" s="14">
        <v>44100</v>
      </c>
      <c r="G695" s="13" t="s">
        <v>3</v>
      </c>
      <c r="H695" s="13" t="s">
        <v>4</v>
      </c>
      <c r="I695" s="15">
        <v>-25931.39</v>
      </c>
      <c r="J695" s="13" t="s">
        <v>5</v>
      </c>
      <c r="K695" s="13" t="s">
        <v>6</v>
      </c>
      <c r="L695" s="15">
        <v>-2176940.19</v>
      </c>
      <c r="M695" s="15">
        <v>-25931.39</v>
      </c>
      <c r="N695" s="16" t="str">
        <f>IF(M695="","",IF(M695&lt;0,-M695&amp;"_"&amp;COUNTIF(M$2:M695,M695),M695&amp;"_"&amp;COUNTIF(M$2:M695,M695)))</f>
        <v>25931.39_1</v>
      </c>
      <c r="O695" s="17" t="str">
        <f t="shared" si="10"/>
        <v/>
      </c>
      <c r="P695" s="13" t="s">
        <v>746</v>
      </c>
      <c r="Q695" s="13" t="s">
        <v>747</v>
      </c>
      <c r="R695" s="13" t="s">
        <v>0</v>
      </c>
      <c r="S695" s="13" t="s">
        <v>0</v>
      </c>
      <c r="T695" s="13" t="s">
        <v>9</v>
      </c>
      <c r="U695" s="13" t="s">
        <v>0</v>
      </c>
      <c r="V695" s="13" t="s">
        <v>0</v>
      </c>
      <c r="W695" s="13" t="s">
        <v>0</v>
      </c>
      <c r="X695" s="13" t="s">
        <v>0</v>
      </c>
      <c r="Y695" s="13" t="s">
        <v>10</v>
      </c>
      <c r="Z695" s="13" t="s">
        <v>0</v>
      </c>
      <c r="AA695" s="14"/>
      <c r="AB695" s="13" t="s">
        <v>0</v>
      </c>
      <c r="AC695" s="13" t="s">
        <v>0</v>
      </c>
      <c r="AD695" s="13" t="s">
        <v>0</v>
      </c>
      <c r="AE695" s="15">
        <v>0</v>
      </c>
    </row>
    <row r="696" spans="1:31" ht="14.15" customHeight="1" x14ac:dyDescent="0.25">
      <c r="A696" s="12" t="s">
        <v>0</v>
      </c>
      <c r="B696" s="13" t="s">
        <v>1</v>
      </c>
      <c r="C696" s="13" t="s">
        <v>576</v>
      </c>
      <c r="D696" s="14">
        <v>44077</v>
      </c>
      <c r="E696" s="14">
        <v>44077</v>
      </c>
      <c r="F696" s="14">
        <v>44090</v>
      </c>
      <c r="G696" s="13" t="s">
        <v>3</v>
      </c>
      <c r="H696" s="13" t="s">
        <v>4</v>
      </c>
      <c r="I696" s="15">
        <v>-25886.19</v>
      </c>
      <c r="J696" s="13" t="s">
        <v>5</v>
      </c>
      <c r="K696" s="13" t="s">
        <v>6</v>
      </c>
      <c r="L696" s="15">
        <v>-2173145.65</v>
      </c>
      <c r="M696" s="15">
        <v>-25886.19</v>
      </c>
      <c r="N696" s="16" t="str">
        <f>IF(M696="","",IF(M696&lt;0,-M696&amp;"_"&amp;COUNTIF(M$2:M696,M696),M696&amp;"_"&amp;COUNTIF(M$2:M696,M696)))</f>
        <v>25886.19_1</v>
      </c>
      <c r="O696" s="17" t="str">
        <f t="shared" si="10"/>
        <v/>
      </c>
      <c r="P696" s="13" t="s">
        <v>577</v>
      </c>
      <c r="Q696" s="13" t="s">
        <v>571</v>
      </c>
      <c r="R696" s="13" t="s">
        <v>0</v>
      </c>
      <c r="S696" s="13" t="s">
        <v>0</v>
      </c>
      <c r="T696" s="13" t="s">
        <v>9</v>
      </c>
      <c r="U696" s="13" t="s">
        <v>0</v>
      </c>
      <c r="V696" s="13" t="s">
        <v>0</v>
      </c>
      <c r="W696" s="13" t="s">
        <v>0</v>
      </c>
      <c r="X696" s="13" t="s">
        <v>0</v>
      </c>
      <c r="Y696" s="13" t="s">
        <v>10</v>
      </c>
      <c r="Z696" s="13" t="s">
        <v>0</v>
      </c>
      <c r="AA696" s="14"/>
      <c r="AB696" s="13" t="s">
        <v>0</v>
      </c>
      <c r="AC696" s="13" t="s">
        <v>0</v>
      </c>
      <c r="AD696" s="13" t="s">
        <v>0</v>
      </c>
      <c r="AE696" s="15">
        <v>0</v>
      </c>
    </row>
    <row r="697" spans="1:31" ht="14.15" customHeight="1" x14ac:dyDescent="0.25">
      <c r="A697" s="12" t="s">
        <v>0</v>
      </c>
      <c r="B697" s="13" t="s">
        <v>1</v>
      </c>
      <c r="C697" s="13" t="s">
        <v>504</v>
      </c>
      <c r="D697" s="14">
        <v>44068</v>
      </c>
      <c r="E697" s="14">
        <v>44068</v>
      </c>
      <c r="F697" s="14">
        <v>44079</v>
      </c>
      <c r="G697" s="13" t="s">
        <v>3</v>
      </c>
      <c r="H697" s="13" t="s">
        <v>4</v>
      </c>
      <c r="I697" s="15">
        <v>-25873.46</v>
      </c>
      <c r="J697" s="13" t="s">
        <v>5</v>
      </c>
      <c r="K697" s="13" t="s">
        <v>6</v>
      </c>
      <c r="L697" s="15">
        <v>-2172076.9700000002</v>
      </c>
      <c r="M697" s="15">
        <v>-25873.46</v>
      </c>
      <c r="N697" s="16" t="str">
        <f>IF(M697="","",IF(M697&lt;0,-M697&amp;"_"&amp;COUNTIF(M$2:M697,M697),M697&amp;"_"&amp;COUNTIF(M$2:M697,M697)))</f>
        <v>25873.46_1</v>
      </c>
      <c r="O697" s="17" t="str">
        <f t="shared" si="10"/>
        <v/>
      </c>
      <c r="P697" s="13" t="s">
        <v>505</v>
      </c>
      <c r="Q697" s="13" t="s">
        <v>501</v>
      </c>
      <c r="R697" s="13" t="s">
        <v>0</v>
      </c>
      <c r="S697" s="13" t="s">
        <v>0</v>
      </c>
      <c r="T697" s="13" t="s">
        <v>9</v>
      </c>
      <c r="U697" s="13" t="s">
        <v>0</v>
      </c>
      <c r="V697" s="13" t="s">
        <v>0</v>
      </c>
      <c r="W697" s="13" t="s">
        <v>0</v>
      </c>
      <c r="X697" s="13" t="s">
        <v>0</v>
      </c>
      <c r="Y697" s="13" t="s">
        <v>10</v>
      </c>
      <c r="Z697" s="13" t="s">
        <v>0</v>
      </c>
      <c r="AA697" s="14"/>
      <c r="AB697" s="13" t="s">
        <v>0</v>
      </c>
      <c r="AC697" s="13" t="s">
        <v>0</v>
      </c>
      <c r="AD697" s="13" t="s">
        <v>0</v>
      </c>
      <c r="AE697" s="15">
        <v>0</v>
      </c>
    </row>
    <row r="698" spans="1:31" ht="14.15" customHeight="1" x14ac:dyDescent="0.25">
      <c r="A698" s="12" t="s">
        <v>0</v>
      </c>
      <c r="B698" s="13" t="s">
        <v>1</v>
      </c>
      <c r="C698" s="13" t="s">
        <v>1584</v>
      </c>
      <c r="D698" s="14">
        <v>44166</v>
      </c>
      <c r="E698" s="14">
        <v>44166</v>
      </c>
      <c r="F698" s="14">
        <v>44180</v>
      </c>
      <c r="G698" s="13" t="s">
        <v>3</v>
      </c>
      <c r="H698" s="13" t="s">
        <v>4</v>
      </c>
      <c r="I698" s="15">
        <v>-25870.67</v>
      </c>
      <c r="J698" s="13" t="s">
        <v>5</v>
      </c>
      <c r="K698" s="13" t="s">
        <v>6</v>
      </c>
      <c r="L698" s="15">
        <v>-2171842.75</v>
      </c>
      <c r="M698" s="15">
        <v>-25870.67</v>
      </c>
      <c r="N698" s="16" t="str">
        <f>IF(M698="","",IF(M698&lt;0,-M698&amp;"_"&amp;COUNTIF(M$2:M698,M698),M698&amp;"_"&amp;COUNTIF(M$2:M698,M698)))</f>
        <v>25870.67_1</v>
      </c>
      <c r="O698" s="17" t="str">
        <f t="shared" si="10"/>
        <v/>
      </c>
      <c r="P698" s="13" t="s">
        <v>1585</v>
      </c>
      <c r="Q698" s="13" t="s">
        <v>1579</v>
      </c>
      <c r="R698" s="13" t="s">
        <v>0</v>
      </c>
      <c r="S698" s="13" t="s">
        <v>0</v>
      </c>
      <c r="T698" s="13" t="s">
        <v>9</v>
      </c>
      <c r="U698" s="13" t="s">
        <v>0</v>
      </c>
      <c r="V698" s="13" t="s">
        <v>0</v>
      </c>
      <c r="W698" s="13" t="s">
        <v>0</v>
      </c>
      <c r="X698" s="13" t="s">
        <v>0</v>
      </c>
      <c r="Y698" s="13" t="s">
        <v>10</v>
      </c>
      <c r="Z698" s="13" t="s">
        <v>0</v>
      </c>
      <c r="AA698" s="14"/>
      <c r="AB698" s="13" t="s">
        <v>0</v>
      </c>
      <c r="AC698" s="13" t="s">
        <v>0</v>
      </c>
      <c r="AD698" s="13" t="s">
        <v>0</v>
      </c>
      <c r="AE698" s="15">
        <v>0</v>
      </c>
    </row>
    <row r="699" spans="1:31" ht="14.15" customHeight="1" x14ac:dyDescent="0.25">
      <c r="A699" s="12" t="s">
        <v>0</v>
      </c>
      <c r="B699" s="13" t="s">
        <v>1</v>
      </c>
      <c r="C699" s="13" t="s">
        <v>2784</v>
      </c>
      <c r="D699" s="14">
        <v>44263</v>
      </c>
      <c r="E699" s="14">
        <v>44263</v>
      </c>
      <c r="F699" s="14">
        <v>44268</v>
      </c>
      <c r="G699" s="13" t="s">
        <v>3</v>
      </c>
      <c r="H699" s="13" t="s">
        <v>4</v>
      </c>
      <c r="I699" s="15">
        <v>-25841.98</v>
      </c>
      <c r="J699" s="13" t="s">
        <v>5</v>
      </c>
      <c r="K699" s="13" t="s">
        <v>6</v>
      </c>
      <c r="L699" s="15">
        <v>-2169434.2200000002</v>
      </c>
      <c r="M699" s="15">
        <v>-25841.98</v>
      </c>
      <c r="N699" s="16" t="str">
        <f>IF(M699="","",IF(M699&lt;0,-M699&amp;"_"&amp;COUNTIF(M$2:M699,M699),M699&amp;"_"&amp;COUNTIF(M$2:M699,M699)))</f>
        <v>25841.98_1</v>
      </c>
      <c r="O699" s="17" t="str">
        <f t="shared" si="10"/>
        <v/>
      </c>
      <c r="P699" s="13" t="s">
        <v>2785</v>
      </c>
      <c r="Q699" s="13" t="s">
        <v>2779</v>
      </c>
      <c r="R699" s="13" t="s">
        <v>0</v>
      </c>
      <c r="S699" s="13" t="s">
        <v>0</v>
      </c>
      <c r="T699" s="13" t="s">
        <v>9</v>
      </c>
      <c r="U699" s="13" t="s">
        <v>0</v>
      </c>
      <c r="V699" s="13" t="s">
        <v>0</v>
      </c>
      <c r="W699" s="13" t="s">
        <v>0</v>
      </c>
      <c r="X699" s="13" t="s">
        <v>0</v>
      </c>
      <c r="Y699" s="13" t="s">
        <v>10</v>
      </c>
      <c r="Z699" s="13" t="s">
        <v>0</v>
      </c>
      <c r="AA699" s="14"/>
      <c r="AB699" s="13" t="s">
        <v>0</v>
      </c>
      <c r="AC699" s="13" t="s">
        <v>0</v>
      </c>
      <c r="AD699" s="13" t="s">
        <v>0</v>
      </c>
      <c r="AE699" s="15">
        <v>0</v>
      </c>
    </row>
    <row r="700" spans="1:31" ht="14.15" customHeight="1" x14ac:dyDescent="0.25">
      <c r="A700" s="12" t="s">
        <v>0</v>
      </c>
      <c r="B700" s="13" t="s">
        <v>1</v>
      </c>
      <c r="C700" s="13" t="s">
        <v>935</v>
      </c>
      <c r="D700" s="14">
        <v>44118</v>
      </c>
      <c r="E700" s="14">
        <v>44118</v>
      </c>
      <c r="F700" s="14">
        <v>44132</v>
      </c>
      <c r="G700" s="13" t="s">
        <v>3</v>
      </c>
      <c r="H700" s="13" t="s">
        <v>4</v>
      </c>
      <c r="I700" s="15">
        <v>-25841.46</v>
      </c>
      <c r="J700" s="13" t="s">
        <v>5</v>
      </c>
      <c r="K700" s="13" t="s">
        <v>6</v>
      </c>
      <c r="L700" s="15">
        <v>-2169390.56</v>
      </c>
      <c r="M700" s="15">
        <v>-25841.46</v>
      </c>
      <c r="N700" s="16" t="str">
        <f>IF(M700="","",IF(M700&lt;0,-M700&amp;"_"&amp;COUNTIF(M$2:M700,M700),M700&amp;"_"&amp;COUNTIF(M$2:M700,M700)))</f>
        <v>25841.46_1</v>
      </c>
      <c r="O700" s="17" t="str">
        <f t="shared" si="10"/>
        <v/>
      </c>
      <c r="P700" s="13" t="s">
        <v>936</v>
      </c>
      <c r="Q700" s="13" t="s">
        <v>934</v>
      </c>
      <c r="R700" s="13" t="s">
        <v>0</v>
      </c>
      <c r="S700" s="13" t="s">
        <v>0</v>
      </c>
      <c r="T700" s="13" t="s">
        <v>9</v>
      </c>
      <c r="U700" s="13" t="s">
        <v>0</v>
      </c>
      <c r="V700" s="13" t="s">
        <v>0</v>
      </c>
      <c r="W700" s="13" t="s">
        <v>0</v>
      </c>
      <c r="X700" s="13" t="s">
        <v>0</v>
      </c>
      <c r="Y700" s="13" t="s">
        <v>10</v>
      </c>
      <c r="Z700" s="13" t="s">
        <v>0</v>
      </c>
      <c r="AA700" s="14"/>
      <c r="AB700" s="13" t="s">
        <v>0</v>
      </c>
      <c r="AC700" s="13" t="s">
        <v>0</v>
      </c>
      <c r="AD700" s="13" t="s">
        <v>0</v>
      </c>
      <c r="AE700" s="15">
        <v>0</v>
      </c>
    </row>
    <row r="701" spans="1:31" ht="14.15" customHeight="1" x14ac:dyDescent="0.25">
      <c r="A701" s="12" t="s">
        <v>0</v>
      </c>
      <c r="B701" s="13" t="s">
        <v>1</v>
      </c>
      <c r="C701" s="13" t="s">
        <v>1817</v>
      </c>
      <c r="D701" s="14">
        <v>44183</v>
      </c>
      <c r="E701" s="14">
        <v>44183</v>
      </c>
      <c r="F701" s="14">
        <v>44187</v>
      </c>
      <c r="G701" s="13" t="s">
        <v>3</v>
      </c>
      <c r="H701" s="13" t="s">
        <v>4</v>
      </c>
      <c r="I701" s="15">
        <v>-25728.14</v>
      </c>
      <c r="J701" s="13" t="s">
        <v>5</v>
      </c>
      <c r="K701" s="13" t="s">
        <v>6</v>
      </c>
      <c r="L701" s="15">
        <v>-2159877.35</v>
      </c>
      <c r="M701" s="15">
        <v>-25728.14</v>
      </c>
      <c r="N701" s="16" t="str">
        <f>IF(M701="","",IF(M701&lt;0,-M701&amp;"_"&amp;COUNTIF(M$2:M701,M701),M701&amp;"_"&amp;COUNTIF(M$2:M701,M701)))</f>
        <v>25728.14_1</v>
      </c>
      <c r="O701" s="17" t="str">
        <f t="shared" si="10"/>
        <v/>
      </c>
      <c r="P701" s="13" t="s">
        <v>1818</v>
      </c>
      <c r="Q701" s="13" t="s">
        <v>1792</v>
      </c>
      <c r="R701" s="13" t="s">
        <v>0</v>
      </c>
      <c r="S701" s="13" t="s">
        <v>0</v>
      </c>
      <c r="T701" s="13" t="s">
        <v>9</v>
      </c>
      <c r="U701" s="13" t="s">
        <v>0</v>
      </c>
      <c r="V701" s="13" t="s">
        <v>0</v>
      </c>
      <c r="W701" s="13" t="s">
        <v>0</v>
      </c>
      <c r="X701" s="13" t="s">
        <v>0</v>
      </c>
      <c r="Y701" s="13" t="s">
        <v>10</v>
      </c>
      <c r="Z701" s="13" t="s">
        <v>0</v>
      </c>
      <c r="AA701" s="14"/>
      <c r="AB701" s="13" t="s">
        <v>0</v>
      </c>
      <c r="AC701" s="13" t="s">
        <v>0</v>
      </c>
      <c r="AD701" s="13" t="s">
        <v>0</v>
      </c>
      <c r="AE701" s="15">
        <v>0</v>
      </c>
    </row>
    <row r="702" spans="1:31" ht="14.15" customHeight="1" x14ac:dyDescent="0.25">
      <c r="A702" s="12" t="s">
        <v>0</v>
      </c>
      <c r="B702" s="13" t="s">
        <v>1</v>
      </c>
      <c r="C702" s="13" t="s">
        <v>851</v>
      </c>
      <c r="D702" s="14">
        <v>44108</v>
      </c>
      <c r="E702" s="14">
        <v>44108</v>
      </c>
      <c r="F702" s="14">
        <v>44117</v>
      </c>
      <c r="G702" s="13" t="s">
        <v>3</v>
      </c>
      <c r="H702" s="13" t="s">
        <v>4</v>
      </c>
      <c r="I702" s="15">
        <v>-25727.25</v>
      </c>
      <c r="J702" s="13" t="s">
        <v>5</v>
      </c>
      <c r="K702" s="13" t="s">
        <v>6</v>
      </c>
      <c r="L702" s="15">
        <v>-2159802.64</v>
      </c>
      <c r="M702" s="15">
        <v>-25727.25</v>
      </c>
      <c r="N702" s="16" t="str">
        <f>IF(M702="","",IF(M702&lt;0,-M702&amp;"_"&amp;COUNTIF(M$2:M702,M702),M702&amp;"_"&amp;COUNTIF(M$2:M702,M702)))</f>
        <v>25727.25_1</v>
      </c>
      <c r="O702" s="17" t="str">
        <f t="shared" si="10"/>
        <v/>
      </c>
      <c r="P702" s="13" t="s">
        <v>852</v>
      </c>
      <c r="Q702" s="13" t="s">
        <v>850</v>
      </c>
      <c r="R702" s="13" t="s">
        <v>0</v>
      </c>
      <c r="S702" s="13" t="s">
        <v>0</v>
      </c>
      <c r="T702" s="13" t="s">
        <v>9</v>
      </c>
      <c r="U702" s="13" t="s">
        <v>0</v>
      </c>
      <c r="V702" s="13" t="s">
        <v>0</v>
      </c>
      <c r="W702" s="13" t="s">
        <v>0</v>
      </c>
      <c r="X702" s="13" t="s">
        <v>0</v>
      </c>
      <c r="Y702" s="13" t="s">
        <v>10</v>
      </c>
      <c r="Z702" s="13" t="s">
        <v>0</v>
      </c>
      <c r="AA702" s="14"/>
      <c r="AB702" s="13" t="s">
        <v>0</v>
      </c>
      <c r="AC702" s="13" t="s">
        <v>0</v>
      </c>
      <c r="AD702" s="13" t="s">
        <v>0</v>
      </c>
      <c r="AE702" s="15">
        <v>0</v>
      </c>
    </row>
    <row r="703" spans="1:31" ht="14.15" customHeight="1" x14ac:dyDescent="0.25">
      <c r="A703" s="12" t="s">
        <v>0</v>
      </c>
      <c r="B703" s="13" t="s">
        <v>1</v>
      </c>
      <c r="C703" s="13" t="s">
        <v>369</v>
      </c>
      <c r="D703" s="14">
        <v>44053</v>
      </c>
      <c r="E703" s="14">
        <v>44053</v>
      </c>
      <c r="F703" s="14">
        <v>44059</v>
      </c>
      <c r="G703" s="13" t="s">
        <v>3</v>
      </c>
      <c r="H703" s="13" t="s">
        <v>4</v>
      </c>
      <c r="I703" s="15">
        <v>-25651.45</v>
      </c>
      <c r="J703" s="13" t="s">
        <v>5</v>
      </c>
      <c r="K703" s="13" t="s">
        <v>6</v>
      </c>
      <c r="L703" s="15">
        <v>-2153439.23</v>
      </c>
      <c r="M703" s="15">
        <v>-25651.45</v>
      </c>
      <c r="N703" s="16" t="str">
        <f>IF(M703="","",IF(M703&lt;0,-M703&amp;"_"&amp;COUNTIF(M$2:M703,M703),M703&amp;"_"&amp;COUNTIF(M$2:M703,M703)))</f>
        <v>25651.45_1</v>
      </c>
      <c r="O703" s="17" t="str">
        <f t="shared" si="10"/>
        <v/>
      </c>
      <c r="P703" s="13" t="s">
        <v>370</v>
      </c>
      <c r="Q703" s="13" t="s">
        <v>371</v>
      </c>
      <c r="R703" s="13" t="s">
        <v>0</v>
      </c>
      <c r="S703" s="13" t="s">
        <v>0</v>
      </c>
      <c r="T703" s="13" t="s">
        <v>9</v>
      </c>
      <c r="U703" s="13" t="s">
        <v>0</v>
      </c>
      <c r="V703" s="13" t="s">
        <v>0</v>
      </c>
      <c r="W703" s="13" t="s">
        <v>0</v>
      </c>
      <c r="X703" s="13" t="s">
        <v>0</v>
      </c>
      <c r="Y703" s="13" t="s">
        <v>10</v>
      </c>
      <c r="Z703" s="13" t="s">
        <v>0</v>
      </c>
      <c r="AA703" s="14"/>
      <c r="AB703" s="13" t="s">
        <v>0</v>
      </c>
      <c r="AC703" s="13" t="s">
        <v>0</v>
      </c>
      <c r="AD703" s="13" t="s">
        <v>0</v>
      </c>
      <c r="AE703" s="15">
        <v>0</v>
      </c>
    </row>
    <row r="704" spans="1:31" ht="14.15" customHeight="1" x14ac:dyDescent="0.25">
      <c r="A704" s="12" t="s">
        <v>0</v>
      </c>
      <c r="B704" s="13" t="s">
        <v>1</v>
      </c>
      <c r="C704" s="13" t="s">
        <v>1954</v>
      </c>
      <c r="D704" s="14">
        <v>44195</v>
      </c>
      <c r="E704" s="14">
        <v>44195</v>
      </c>
      <c r="F704" s="14">
        <v>44199</v>
      </c>
      <c r="G704" s="13" t="s">
        <v>3</v>
      </c>
      <c r="H704" s="13" t="s">
        <v>4</v>
      </c>
      <c r="I704" s="15">
        <v>-25630.47</v>
      </c>
      <c r="J704" s="13" t="s">
        <v>5</v>
      </c>
      <c r="K704" s="13" t="s">
        <v>6</v>
      </c>
      <c r="L704" s="15">
        <v>-2151677.96</v>
      </c>
      <c r="M704" s="15">
        <v>-25630.47</v>
      </c>
      <c r="N704" s="16" t="str">
        <f>IF(M704="","",IF(M704&lt;0,-M704&amp;"_"&amp;COUNTIF(M$2:M704,M704),M704&amp;"_"&amp;COUNTIF(M$2:M704,M704)))</f>
        <v>25630.47_1</v>
      </c>
      <c r="O704" s="17" t="str">
        <f t="shared" si="10"/>
        <v/>
      </c>
      <c r="P704" s="13" t="s">
        <v>1955</v>
      </c>
      <c r="Q704" s="13" t="s">
        <v>1956</v>
      </c>
      <c r="R704" s="13" t="s">
        <v>0</v>
      </c>
      <c r="S704" s="13" t="s">
        <v>0</v>
      </c>
      <c r="T704" s="13" t="s">
        <v>9</v>
      </c>
      <c r="U704" s="13" t="s">
        <v>0</v>
      </c>
      <c r="V704" s="13" t="s">
        <v>0</v>
      </c>
      <c r="W704" s="13" t="s">
        <v>0</v>
      </c>
      <c r="X704" s="13" t="s">
        <v>0</v>
      </c>
      <c r="Y704" s="13" t="s">
        <v>10</v>
      </c>
      <c r="Z704" s="13" t="s">
        <v>0</v>
      </c>
      <c r="AA704" s="14"/>
      <c r="AB704" s="13" t="s">
        <v>0</v>
      </c>
      <c r="AC704" s="13" t="s">
        <v>0</v>
      </c>
      <c r="AD704" s="13" t="s">
        <v>0</v>
      </c>
      <c r="AE704" s="15">
        <v>0</v>
      </c>
    </row>
    <row r="705" spans="1:31" ht="14.15" customHeight="1" x14ac:dyDescent="0.25">
      <c r="A705" s="12" t="s">
        <v>0</v>
      </c>
      <c r="B705" s="13" t="s">
        <v>1</v>
      </c>
      <c r="C705" s="13" t="s">
        <v>2597</v>
      </c>
      <c r="D705" s="14">
        <v>44243</v>
      </c>
      <c r="E705" s="14">
        <v>44243</v>
      </c>
      <c r="F705" s="14">
        <v>44252</v>
      </c>
      <c r="G705" s="13" t="s">
        <v>3</v>
      </c>
      <c r="H705" s="13" t="s">
        <v>4</v>
      </c>
      <c r="I705" s="15">
        <v>-25627.79</v>
      </c>
      <c r="J705" s="13" t="s">
        <v>5</v>
      </c>
      <c r="K705" s="13" t="s">
        <v>6</v>
      </c>
      <c r="L705" s="15">
        <v>-2151452.9700000002</v>
      </c>
      <c r="M705" s="15">
        <v>-25627.79</v>
      </c>
      <c r="N705" s="16" t="str">
        <f>IF(M705="","",IF(M705&lt;0,-M705&amp;"_"&amp;COUNTIF(M$2:M705,M705),M705&amp;"_"&amp;COUNTIF(M$2:M705,M705)))</f>
        <v>25627.79_1</v>
      </c>
      <c r="O705" s="17" t="str">
        <f t="shared" si="10"/>
        <v/>
      </c>
      <c r="P705" s="13" t="s">
        <v>2598</v>
      </c>
      <c r="Q705" s="13" t="s">
        <v>2574</v>
      </c>
      <c r="R705" s="13" t="s">
        <v>0</v>
      </c>
      <c r="S705" s="13" t="s">
        <v>0</v>
      </c>
      <c r="T705" s="13" t="s">
        <v>9</v>
      </c>
      <c r="U705" s="13" t="s">
        <v>0</v>
      </c>
      <c r="V705" s="13" t="s">
        <v>0</v>
      </c>
      <c r="W705" s="13" t="s">
        <v>0</v>
      </c>
      <c r="X705" s="13" t="s">
        <v>0</v>
      </c>
      <c r="Y705" s="13" t="s">
        <v>10</v>
      </c>
      <c r="Z705" s="13" t="s">
        <v>0</v>
      </c>
      <c r="AA705" s="14"/>
      <c r="AB705" s="13" t="s">
        <v>0</v>
      </c>
      <c r="AC705" s="13" t="s">
        <v>0</v>
      </c>
      <c r="AD705" s="13" t="s">
        <v>0</v>
      </c>
      <c r="AE705" s="15">
        <v>0</v>
      </c>
    </row>
    <row r="706" spans="1:31" ht="14.15" customHeight="1" x14ac:dyDescent="0.25">
      <c r="A706" s="12" t="s">
        <v>0</v>
      </c>
      <c r="B706" s="13" t="s">
        <v>1</v>
      </c>
      <c r="C706" s="13" t="s">
        <v>3480</v>
      </c>
      <c r="D706" s="14">
        <v>44320</v>
      </c>
      <c r="E706" s="14">
        <v>44320</v>
      </c>
      <c r="F706" s="14">
        <v>44329</v>
      </c>
      <c r="G706" s="13" t="s">
        <v>3</v>
      </c>
      <c r="H706" s="13" t="s">
        <v>4</v>
      </c>
      <c r="I706" s="15">
        <v>-25599.35</v>
      </c>
      <c r="J706" s="13" t="s">
        <v>5</v>
      </c>
      <c r="K706" s="13" t="s">
        <v>6</v>
      </c>
      <c r="L706" s="15">
        <v>-2149065.4300000002</v>
      </c>
      <c r="M706" s="15">
        <v>-25599.35</v>
      </c>
      <c r="N706" s="16" t="str">
        <f>IF(M706="","",IF(M706&lt;0,-M706&amp;"_"&amp;COUNTIF(M$2:M706,M706),M706&amp;"_"&amp;COUNTIF(M$2:M706,M706)))</f>
        <v>25599.35_1</v>
      </c>
      <c r="O706" s="17" t="str">
        <f t="shared" ref="O706:O769" si="11">IF(COUNTIF(N:N,N706)=2,"x","")</f>
        <v/>
      </c>
      <c r="P706" s="13" t="s">
        <v>3481</v>
      </c>
      <c r="Q706" s="13" t="s">
        <v>3453</v>
      </c>
      <c r="R706" s="13" t="s">
        <v>0</v>
      </c>
      <c r="S706" s="13" t="s">
        <v>0</v>
      </c>
      <c r="T706" s="13" t="s">
        <v>9</v>
      </c>
      <c r="U706" s="13" t="s">
        <v>0</v>
      </c>
      <c r="V706" s="13" t="s">
        <v>0</v>
      </c>
      <c r="W706" s="13" t="s">
        <v>0</v>
      </c>
      <c r="X706" s="13" t="s">
        <v>0</v>
      </c>
      <c r="Y706" s="13" t="s">
        <v>10</v>
      </c>
      <c r="Z706" s="13" t="s">
        <v>0</v>
      </c>
      <c r="AA706" s="14"/>
      <c r="AB706" s="13" t="s">
        <v>0</v>
      </c>
      <c r="AC706" s="13" t="s">
        <v>0</v>
      </c>
      <c r="AD706" s="13" t="s">
        <v>0</v>
      </c>
      <c r="AE706" s="15">
        <v>0</v>
      </c>
    </row>
    <row r="707" spans="1:31" ht="14.15" customHeight="1" x14ac:dyDescent="0.25">
      <c r="A707" s="12" t="s">
        <v>0</v>
      </c>
      <c r="B707" s="13" t="s">
        <v>1</v>
      </c>
      <c r="C707" s="13" t="s">
        <v>4033</v>
      </c>
      <c r="D707" s="14">
        <v>44358</v>
      </c>
      <c r="E707" s="14">
        <v>44358</v>
      </c>
      <c r="F707" s="14">
        <v>44364</v>
      </c>
      <c r="G707" s="13" t="s">
        <v>3</v>
      </c>
      <c r="H707" s="13" t="s">
        <v>4</v>
      </c>
      <c r="I707" s="15">
        <v>-25549.57</v>
      </c>
      <c r="J707" s="13" t="s">
        <v>5</v>
      </c>
      <c r="K707" s="13" t="s">
        <v>6</v>
      </c>
      <c r="L707" s="15">
        <v>-2144886.4</v>
      </c>
      <c r="M707" s="15">
        <v>-25549.57</v>
      </c>
      <c r="N707" s="16" t="str">
        <f>IF(M707="","",IF(M707&lt;0,-M707&amp;"_"&amp;COUNTIF(M$2:M707,M707),M707&amp;"_"&amp;COUNTIF(M$2:M707,M707)))</f>
        <v>25549.57_1</v>
      </c>
      <c r="O707" s="17" t="str">
        <f t="shared" si="11"/>
        <v/>
      </c>
      <c r="P707" s="13" t="s">
        <v>4034</v>
      </c>
      <c r="Q707" s="13" t="s">
        <v>4006</v>
      </c>
      <c r="R707" s="13" t="s">
        <v>0</v>
      </c>
      <c r="S707" s="13" t="s">
        <v>0</v>
      </c>
      <c r="T707" s="13" t="s">
        <v>9</v>
      </c>
      <c r="U707" s="13" t="s">
        <v>0</v>
      </c>
      <c r="V707" s="13" t="s">
        <v>0</v>
      </c>
      <c r="W707" s="13" t="s">
        <v>0</v>
      </c>
      <c r="X707" s="13" t="s">
        <v>0</v>
      </c>
      <c r="Y707" s="13" t="s">
        <v>10</v>
      </c>
      <c r="Z707" s="13" t="s">
        <v>0</v>
      </c>
      <c r="AA707" s="14"/>
      <c r="AB707" s="13" t="s">
        <v>0</v>
      </c>
      <c r="AC707" s="13" t="s">
        <v>0</v>
      </c>
      <c r="AD707" s="13" t="s">
        <v>0</v>
      </c>
      <c r="AE707" s="15">
        <v>0</v>
      </c>
    </row>
    <row r="708" spans="1:31" ht="14.15" customHeight="1" x14ac:dyDescent="0.25">
      <c r="A708" s="12" t="s">
        <v>0</v>
      </c>
      <c r="B708" s="13" t="s">
        <v>1</v>
      </c>
      <c r="C708" s="13" t="s">
        <v>3337</v>
      </c>
      <c r="D708" s="14">
        <v>44316</v>
      </c>
      <c r="E708" s="14">
        <v>44316</v>
      </c>
      <c r="F708" s="14">
        <v>44321</v>
      </c>
      <c r="G708" s="13" t="s">
        <v>3</v>
      </c>
      <c r="H708" s="13" t="s">
        <v>4</v>
      </c>
      <c r="I708" s="15">
        <v>-25520.41</v>
      </c>
      <c r="J708" s="13" t="s">
        <v>5</v>
      </c>
      <c r="K708" s="13" t="s">
        <v>6</v>
      </c>
      <c r="L708" s="15">
        <v>-2142438.42</v>
      </c>
      <c r="M708" s="15">
        <v>-25520.41</v>
      </c>
      <c r="N708" s="16" t="str">
        <f>IF(M708="","",IF(M708&lt;0,-M708&amp;"_"&amp;COUNTIF(M$2:M708,M708),M708&amp;"_"&amp;COUNTIF(M$2:M708,M708)))</f>
        <v>25520.41_1</v>
      </c>
      <c r="O708" s="17" t="str">
        <f t="shared" si="11"/>
        <v/>
      </c>
      <c r="P708" s="13" t="s">
        <v>3338</v>
      </c>
      <c r="Q708" s="13" t="s">
        <v>3339</v>
      </c>
      <c r="R708" s="13" t="s">
        <v>0</v>
      </c>
      <c r="S708" s="13" t="s">
        <v>0</v>
      </c>
      <c r="T708" s="13" t="s">
        <v>9</v>
      </c>
      <c r="U708" s="13" t="s">
        <v>0</v>
      </c>
      <c r="V708" s="13" t="s">
        <v>0</v>
      </c>
      <c r="W708" s="13" t="s">
        <v>0</v>
      </c>
      <c r="X708" s="13" t="s">
        <v>0</v>
      </c>
      <c r="Y708" s="13" t="s">
        <v>10</v>
      </c>
      <c r="Z708" s="13" t="s">
        <v>0</v>
      </c>
      <c r="AA708" s="14"/>
      <c r="AB708" s="13" t="s">
        <v>0</v>
      </c>
      <c r="AC708" s="13" t="s">
        <v>0</v>
      </c>
      <c r="AD708" s="13" t="s">
        <v>0</v>
      </c>
      <c r="AE708" s="15">
        <v>0</v>
      </c>
    </row>
    <row r="709" spans="1:31" ht="14.15" customHeight="1" x14ac:dyDescent="0.25">
      <c r="A709" s="12" t="s">
        <v>0</v>
      </c>
      <c r="B709" s="13" t="s">
        <v>1</v>
      </c>
      <c r="C709" s="13" t="s">
        <v>1954</v>
      </c>
      <c r="D709" s="14">
        <v>44195</v>
      </c>
      <c r="E709" s="14">
        <v>44195</v>
      </c>
      <c r="F709" s="14">
        <v>44199</v>
      </c>
      <c r="G709" s="13" t="s">
        <v>3</v>
      </c>
      <c r="H709" s="13" t="s">
        <v>4</v>
      </c>
      <c r="I709" s="15">
        <v>-25510.22</v>
      </c>
      <c r="J709" s="13" t="s">
        <v>5</v>
      </c>
      <c r="K709" s="13" t="s">
        <v>6</v>
      </c>
      <c r="L709" s="15">
        <v>-2141582.9700000002</v>
      </c>
      <c r="M709" s="15">
        <v>-25510.22</v>
      </c>
      <c r="N709" s="16" t="str">
        <f>IF(M709="","",IF(M709&lt;0,-M709&amp;"_"&amp;COUNTIF(M$2:M709,M709),M709&amp;"_"&amp;COUNTIF(M$2:M709,M709)))</f>
        <v>25510.22_1</v>
      </c>
      <c r="O709" s="17" t="str">
        <f t="shared" si="11"/>
        <v/>
      </c>
      <c r="P709" s="13" t="s">
        <v>1955</v>
      </c>
      <c r="Q709" s="13" t="s">
        <v>1956</v>
      </c>
      <c r="R709" s="13" t="s">
        <v>0</v>
      </c>
      <c r="S709" s="13" t="s">
        <v>0</v>
      </c>
      <c r="T709" s="13" t="s">
        <v>9</v>
      </c>
      <c r="U709" s="13" t="s">
        <v>0</v>
      </c>
      <c r="V709" s="13" t="s">
        <v>0</v>
      </c>
      <c r="W709" s="13" t="s">
        <v>0</v>
      </c>
      <c r="X709" s="13" t="s">
        <v>0</v>
      </c>
      <c r="Y709" s="13" t="s">
        <v>10</v>
      </c>
      <c r="Z709" s="13" t="s">
        <v>0</v>
      </c>
      <c r="AA709" s="14"/>
      <c r="AB709" s="13" t="s">
        <v>0</v>
      </c>
      <c r="AC709" s="13" t="s">
        <v>0</v>
      </c>
      <c r="AD709" s="13" t="s">
        <v>0</v>
      </c>
      <c r="AE709" s="15">
        <v>0</v>
      </c>
    </row>
    <row r="710" spans="1:31" ht="14.15" customHeight="1" x14ac:dyDescent="0.25">
      <c r="A710" s="12" t="s">
        <v>0</v>
      </c>
      <c r="B710" s="13" t="s">
        <v>1</v>
      </c>
      <c r="C710" s="13" t="s">
        <v>4339</v>
      </c>
      <c r="D710" s="14">
        <v>44375</v>
      </c>
      <c r="E710" s="14">
        <v>44375</v>
      </c>
      <c r="F710" s="14">
        <v>44377</v>
      </c>
      <c r="G710" s="13" t="s">
        <v>3</v>
      </c>
      <c r="H710" s="13" t="s">
        <v>4</v>
      </c>
      <c r="I710" s="15">
        <v>-25426.09</v>
      </c>
      <c r="J710" s="13" t="s">
        <v>5</v>
      </c>
      <c r="K710" s="13" t="s">
        <v>6</v>
      </c>
      <c r="L710" s="15">
        <v>-2134520.2599999998</v>
      </c>
      <c r="M710" s="15">
        <v>-25426.09</v>
      </c>
      <c r="N710" s="16" t="str">
        <f>IF(M710="","",IF(M710&lt;0,-M710&amp;"_"&amp;COUNTIF(M$2:M710,M710),M710&amp;"_"&amp;COUNTIF(M$2:M710,M710)))</f>
        <v>25426.09_1</v>
      </c>
      <c r="O710" s="17" t="str">
        <f t="shared" si="11"/>
        <v/>
      </c>
      <c r="P710" s="13" t="s">
        <v>4340</v>
      </c>
      <c r="Q710" s="13" t="s">
        <v>4341</v>
      </c>
      <c r="R710" s="13" t="s">
        <v>0</v>
      </c>
      <c r="S710" s="13" t="s">
        <v>0</v>
      </c>
      <c r="T710" s="13" t="s">
        <v>9</v>
      </c>
      <c r="U710" s="13" t="s">
        <v>0</v>
      </c>
      <c r="V710" s="13" t="s">
        <v>0</v>
      </c>
      <c r="W710" s="13" t="s">
        <v>0</v>
      </c>
      <c r="X710" s="13" t="s">
        <v>0</v>
      </c>
      <c r="Y710" s="13" t="s">
        <v>10</v>
      </c>
      <c r="Z710" s="13" t="s">
        <v>0</v>
      </c>
      <c r="AA710" s="14"/>
      <c r="AB710" s="13" t="s">
        <v>0</v>
      </c>
      <c r="AC710" s="13" t="s">
        <v>0</v>
      </c>
      <c r="AD710" s="13" t="s">
        <v>0</v>
      </c>
      <c r="AE710" s="15">
        <v>0</v>
      </c>
    </row>
    <row r="711" spans="1:31" ht="14.15" customHeight="1" x14ac:dyDescent="0.25">
      <c r="A711" s="12" t="s">
        <v>0</v>
      </c>
      <c r="B711" s="13" t="s">
        <v>1</v>
      </c>
      <c r="C711" s="13" t="s">
        <v>2091</v>
      </c>
      <c r="D711" s="14">
        <v>44199</v>
      </c>
      <c r="E711" s="14">
        <v>44199</v>
      </c>
      <c r="F711" s="14">
        <v>44202</v>
      </c>
      <c r="G711" s="13" t="s">
        <v>3</v>
      </c>
      <c r="H711" s="13" t="s">
        <v>4</v>
      </c>
      <c r="I711" s="15">
        <v>-25409.63</v>
      </c>
      <c r="J711" s="13" t="s">
        <v>5</v>
      </c>
      <c r="K711" s="13" t="s">
        <v>6</v>
      </c>
      <c r="L711" s="15">
        <v>-2133138.44</v>
      </c>
      <c r="M711" s="15">
        <v>-25409.63</v>
      </c>
      <c r="N711" s="16" t="str">
        <f>IF(M711="","",IF(M711&lt;0,-M711&amp;"_"&amp;COUNTIF(M$2:M711,M711),M711&amp;"_"&amp;COUNTIF(M$2:M711,M711)))</f>
        <v>25409.63_1</v>
      </c>
      <c r="O711" s="17" t="str">
        <f t="shared" si="11"/>
        <v/>
      </c>
      <c r="P711" s="13" t="s">
        <v>2092</v>
      </c>
      <c r="Q711" s="13" t="s">
        <v>2093</v>
      </c>
      <c r="R711" s="13" t="s">
        <v>0</v>
      </c>
      <c r="S711" s="13" t="s">
        <v>0</v>
      </c>
      <c r="T711" s="13" t="s">
        <v>9</v>
      </c>
      <c r="U711" s="13" t="s">
        <v>0</v>
      </c>
      <c r="V711" s="13" t="s">
        <v>0</v>
      </c>
      <c r="W711" s="13" t="s">
        <v>0</v>
      </c>
      <c r="X711" s="13" t="s">
        <v>0</v>
      </c>
      <c r="Y711" s="13" t="s">
        <v>10</v>
      </c>
      <c r="Z711" s="13" t="s">
        <v>0</v>
      </c>
      <c r="AA711" s="14"/>
      <c r="AB711" s="13" t="s">
        <v>0</v>
      </c>
      <c r="AC711" s="13" t="s">
        <v>0</v>
      </c>
      <c r="AD711" s="13" t="s">
        <v>0</v>
      </c>
      <c r="AE711" s="15">
        <v>0</v>
      </c>
    </row>
    <row r="712" spans="1:31" ht="14.15" customHeight="1" x14ac:dyDescent="0.25">
      <c r="A712" s="12" t="s">
        <v>0</v>
      </c>
      <c r="B712" s="13" t="s">
        <v>1</v>
      </c>
      <c r="C712" s="13" t="s">
        <v>1176</v>
      </c>
      <c r="D712" s="14">
        <v>44140</v>
      </c>
      <c r="E712" s="14">
        <v>44140</v>
      </c>
      <c r="F712" s="14">
        <v>44145</v>
      </c>
      <c r="G712" s="13" t="s">
        <v>3</v>
      </c>
      <c r="H712" s="13" t="s">
        <v>4</v>
      </c>
      <c r="I712" s="15">
        <v>-25376.98</v>
      </c>
      <c r="J712" s="13" t="s">
        <v>5</v>
      </c>
      <c r="K712" s="13" t="s">
        <v>6</v>
      </c>
      <c r="L712" s="15">
        <v>-2130397.4700000002</v>
      </c>
      <c r="M712" s="15">
        <v>-25376.98</v>
      </c>
      <c r="N712" s="16" t="str">
        <f>IF(M712="","",IF(M712&lt;0,-M712&amp;"_"&amp;COUNTIF(M$2:M712,M712),M712&amp;"_"&amp;COUNTIF(M$2:M712,M712)))</f>
        <v>25376.98_1</v>
      </c>
      <c r="O712" s="17" t="str">
        <f t="shared" si="11"/>
        <v/>
      </c>
      <c r="P712" s="13" t="s">
        <v>1177</v>
      </c>
      <c r="Q712" s="13" t="s">
        <v>1165</v>
      </c>
      <c r="R712" s="13" t="s">
        <v>0</v>
      </c>
      <c r="S712" s="13" t="s">
        <v>0</v>
      </c>
      <c r="T712" s="13" t="s">
        <v>9</v>
      </c>
      <c r="U712" s="13" t="s">
        <v>0</v>
      </c>
      <c r="V712" s="13" t="s">
        <v>0</v>
      </c>
      <c r="W712" s="13" t="s">
        <v>0</v>
      </c>
      <c r="X712" s="13" t="s">
        <v>0</v>
      </c>
      <c r="Y712" s="13" t="s">
        <v>10</v>
      </c>
      <c r="Z712" s="13" t="s">
        <v>0</v>
      </c>
      <c r="AA712" s="14"/>
      <c r="AB712" s="13" t="s">
        <v>0</v>
      </c>
      <c r="AC712" s="13" t="s">
        <v>0</v>
      </c>
      <c r="AD712" s="13" t="s">
        <v>0</v>
      </c>
      <c r="AE712" s="15">
        <v>0</v>
      </c>
    </row>
    <row r="713" spans="1:31" ht="14.15" customHeight="1" x14ac:dyDescent="0.25">
      <c r="A713" s="12" t="s">
        <v>0</v>
      </c>
      <c r="B713" s="13" t="s">
        <v>1</v>
      </c>
      <c r="C713" s="13" t="s">
        <v>3612</v>
      </c>
      <c r="D713" s="14">
        <v>44329</v>
      </c>
      <c r="E713" s="14">
        <v>44329</v>
      </c>
      <c r="F713" s="14">
        <v>44336</v>
      </c>
      <c r="G713" s="13" t="s">
        <v>3</v>
      </c>
      <c r="H713" s="13" t="s">
        <v>4</v>
      </c>
      <c r="I713" s="15">
        <v>-25365.56</v>
      </c>
      <c r="J713" s="13" t="s">
        <v>5</v>
      </c>
      <c r="K713" s="13" t="s">
        <v>6</v>
      </c>
      <c r="L713" s="15">
        <v>-2129438.7599999998</v>
      </c>
      <c r="M713" s="15">
        <v>-25365.56</v>
      </c>
      <c r="N713" s="16" t="str">
        <f>IF(M713="","",IF(M713&lt;0,-M713&amp;"_"&amp;COUNTIF(M$2:M713,M713),M713&amp;"_"&amp;COUNTIF(M$2:M713,M713)))</f>
        <v>25365.56_1</v>
      </c>
      <c r="O713" s="17" t="str">
        <f t="shared" si="11"/>
        <v/>
      </c>
      <c r="P713" s="13" t="s">
        <v>3613</v>
      </c>
      <c r="Q713" s="13" t="s">
        <v>3603</v>
      </c>
      <c r="R713" s="13" t="s">
        <v>0</v>
      </c>
      <c r="S713" s="13" t="s">
        <v>0</v>
      </c>
      <c r="T713" s="13" t="s">
        <v>9</v>
      </c>
      <c r="U713" s="13" t="s">
        <v>0</v>
      </c>
      <c r="V713" s="13" t="s">
        <v>0</v>
      </c>
      <c r="W713" s="13" t="s">
        <v>0</v>
      </c>
      <c r="X713" s="13" t="s">
        <v>0</v>
      </c>
      <c r="Y713" s="13" t="s">
        <v>10</v>
      </c>
      <c r="Z713" s="13" t="s">
        <v>0</v>
      </c>
      <c r="AA713" s="14"/>
      <c r="AB713" s="13" t="s">
        <v>0</v>
      </c>
      <c r="AC713" s="13" t="s">
        <v>0</v>
      </c>
      <c r="AD713" s="13" t="s">
        <v>0</v>
      </c>
      <c r="AE713" s="15">
        <v>0</v>
      </c>
    </row>
    <row r="714" spans="1:31" ht="14.15" customHeight="1" x14ac:dyDescent="0.25">
      <c r="A714" s="12" t="s">
        <v>0</v>
      </c>
      <c r="B714" s="13" t="s">
        <v>1</v>
      </c>
      <c r="C714" s="13" t="s">
        <v>2498</v>
      </c>
      <c r="D714" s="14">
        <v>44235</v>
      </c>
      <c r="E714" s="14">
        <v>44235</v>
      </c>
      <c r="F714" s="14">
        <v>44241</v>
      </c>
      <c r="G714" s="13" t="s">
        <v>3</v>
      </c>
      <c r="H714" s="13" t="s">
        <v>4</v>
      </c>
      <c r="I714" s="15">
        <v>-25321.07</v>
      </c>
      <c r="J714" s="13" t="s">
        <v>5</v>
      </c>
      <c r="K714" s="13" t="s">
        <v>6</v>
      </c>
      <c r="L714" s="15">
        <v>-2125703.8199999998</v>
      </c>
      <c r="M714" s="15">
        <v>-25321.07</v>
      </c>
      <c r="N714" s="16" t="str">
        <f>IF(M714="","",IF(M714&lt;0,-M714&amp;"_"&amp;COUNTIF(M$2:M714,M714),M714&amp;"_"&amp;COUNTIF(M$2:M714,M714)))</f>
        <v>25321.07_1</v>
      </c>
      <c r="O714" s="17" t="str">
        <f t="shared" si="11"/>
        <v/>
      </c>
      <c r="P714" s="13" t="s">
        <v>2499</v>
      </c>
      <c r="Q714" s="13" t="s">
        <v>2495</v>
      </c>
      <c r="R714" s="13" t="s">
        <v>0</v>
      </c>
      <c r="S714" s="13" t="s">
        <v>0</v>
      </c>
      <c r="T714" s="13" t="s">
        <v>9</v>
      </c>
      <c r="U714" s="13" t="s">
        <v>0</v>
      </c>
      <c r="V714" s="13" t="s">
        <v>0</v>
      </c>
      <c r="W714" s="13" t="s">
        <v>0</v>
      </c>
      <c r="X714" s="13" t="s">
        <v>0</v>
      </c>
      <c r="Y714" s="13" t="s">
        <v>10</v>
      </c>
      <c r="Z714" s="13" t="s">
        <v>0</v>
      </c>
      <c r="AA714" s="14"/>
      <c r="AB714" s="13" t="s">
        <v>0</v>
      </c>
      <c r="AC714" s="13" t="s">
        <v>0</v>
      </c>
      <c r="AD714" s="13" t="s">
        <v>0</v>
      </c>
      <c r="AE714" s="15">
        <v>0</v>
      </c>
    </row>
    <row r="715" spans="1:31" ht="14.15" customHeight="1" x14ac:dyDescent="0.25">
      <c r="A715" s="12" t="s">
        <v>0</v>
      </c>
      <c r="B715" s="13" t="s">
        <v>1</v>
      </c>
      <c r="C715" s="13" t="s">
        <v>1675</v>
      </c>
      <c r="D715" s="14">
        <v>44172</v>
      </c>
      <c r="E715" s="14">
        <v>44172</v>
      </c>
      <c r="F715" s="14">
        <v>44178</v>
      </c>
      <c r="G715" s="13" t="s">
        <v>3</v>
      </c>
      <c r="H715" s="13" t="s">
        <v>4</v>
      </c>
      <c r="I715" s="15">
        <v>-25314.31</v>
      </c>
      <c r="J715" s="13" t="s">
        <v>5</v>
      </c>
      <c r="K715" s="13" t="s">
        <v>6</v>
      </c>
      <c r="L715" s="15">
        <v>-2125136.3199999998</v>
      </c>
      <c r="M715" s="15">
        <v>-25314.31</v>
      </c>
      <c r="N715" s="16" t="str">
        <f>IF(M715="","",IF(M715&lt;0,-M715&amp;"_"&amp;COUNTIF(M$2:M715,M715),M715&amp;"_"&amp;COUNTIF(M$2:M715,M715)))</f>
        <v>25314.31_1</v>
      </c>
      <c r="O715" s="17" t="str">
        <f t="shared" si="11"/>
        <v/>
      </c>
      <c r="P715" s="13" t="s">
        <v>1676</v>
      </c>
      <c r="Q715" s="13" t="s">
        <v>1672</v>
      </c>
      <c r="R715" s="13" t="s">
        <v>0</v>
      </c>
      <c r="S715" s="13" t="s">
        <v>0</v>
      </c>
      <c r="T715" s="13" t="s">
        <v>9</v>
      </c>
      <c r="U715" s="13" t="s">
        <v>0</v>
      </c>
      <c r="V715" s="13" t="s">
        <v>0</v>
      </c>
      <c r="W715" s="13" t="s">
        <v>0</v>
      </c>
      <c r="X715" s="13" t="s">
        <v>0</v>
      </c>
      <c r="Y715" s="13" t="s">
        <v>10</v>
      </c>
      <c r="Z715" s="13" t="s">
        <v>0</v>
      </c>
      <c r="AA715" s="14"/>
      <c r="AB715" s="13" t="s">
        <v>0</v>
      </c>
      <c r="AC715" s="13" t="s">
        <v>0</v>
      </c>
      <c r="AD715" s="13" t="s">
        <v>0</v>
      </c>
      <c r="AE715" s="15">
        <v>0</v>
      </c>
    </row>
    <row r="716" spans="1:31" ht="14.15" customHeight="1" x14ac:dyDescent="0.25">
      <c r="A716" s="12" t="s">
        <v>0</v>
      </c>
      <c r="B716" s="13" t="s">
        <v>1</v>
      </c>
      <c r="C716" s="13" t="s">
        <v>355</v>
      </c>
      <c r="D716" s="14">
        <v>44048</v>
      </c>
      <c r="E716" s="14">
        <v>44048</v>
      </c>
      <c r="F716" s="14">
        <v>44072</v>
      </c>
      <c r="G716" s="13" t="s">
        <v>3</v>
      </c>
      <c r="H716" s="13" t="s">
        <v>4</v>
      </c>
      <c r="I716" s="15">
        <v>-25265.49</v>
      </c>
      <c r="J716" s="13" t="s">
        <v>5</v>
      </c>
      <c r="K716" s="13" t="s">
        <v>6</v>
      </c>
      <c r="L716" s="15">
        <v>-2121037.89</v>
      </c>
      <c r="M716" s="15">
        <v>-25265.49</v>
      </c>
      <c r="N716" s="16" t="str">
        <f>IF(M716="","",IF(M716&lt;0,-M716&amp;"_"&amp;COUNTIF(M$2:M716,M716),M716&amp;"_"&amp;COUNTIF(M$2:M716,M716)))</f>
        <v>25265.49_1</v>
      </c>
      <c r="O716" s="17" t="str">
        <f t="shared" si="11"/>
        <v/>
      </c>
      <c r="P716" s="13" t="s">
        <v>356</v>
      </c>
      <c r="Q716" s="13" t="s">
        <v>357</v>
      </c>
      <c r="R716" s="13" t="s">
        <v>0</v>
      </c>
      <c r="S716" s="13" t="s">
        <v>0</v>
      </c>
      <c r="T716" s="13" t="s">
        <v>9</v>
      </c>
      <c r="U716" s="13" t="s">
        <v>0</v>
      </c>
      <c r="V716" s="13" t="s">
        <v>0</v>
      </c>
      <c r="W716" s="13" t="s">
        <v>0</v>
      </c>
      <c r="X716" s="13" t="s">
        <v>0</v>
      </c>
      <c r="Y716" s="13" t="s">
        <v>10</v>
      </c>
      <c r="Z716" s="13" t="s">
        <v>0</v>
      </c>
      <c r="AA716" s="14"/>
      <c r="AB716" s="13" t="s">
        <v>0</v>
      </c>
      <c r="AC716" s="13" t="s">
        <v>0</v>
      </c>
      <c r="AD716" s="13" t="s">
        <v>0</v>
      </c>
      <c r="AE716" s="15">
        <v>0</v>
      </c>
    </row>
    <row r="717" spans="1:31" ht="14.15" customHeight="1" x14ac:dyDescent="0.25">
      <c r="A717" s="12" t="s">
        <v>0</v>
      </c>
      <c r="B717" s="13" t="s">
        <v>1</v>
      </c>
      <c r="C717" s="13" t="s">
        <v>3909</v>
      </c>
      <c r="D717" s="14">
        <v>44353</v>
      </c>
      <c r="E717" s="14">
        <v>44353</v>
      </c>
      <c r="F717" s="14">
        <v>44364</v>
      </c>
      <c r="G717" s="13" t="s">
        <v>3</v>
      </c>
      <c r="H717" s="13" t="s">
        <v>4</v>
      </c>
      <c r="I717" s="15">
        <v>-25246.87</v>
      </c>
      <c r="J717" s="13" t="s">
        <v>5</v>
      </c>
      <c r="K717" s="13" t="s">
        <v>6</v>
      </c>
      <c r="L717" s="15">
        <v>-2119474.7400000002</v>
      </c>
      <c r="M717" s="15">
        <v>-25246.87</v>
      </c>
      <c r="N717" s="16" t="str">
        <f>IF(M717="","",IF(M717&lt;0,-M717&amp;"_"&amp;COUNTIF(M$2:M717,M717),M717&amp;"_"&amp;COUNTIF(M$2:M717,M717)))</f>
        <v>25246.87_1</v>
      </c>
      <c r="O717" s="17" t="str">
        <f t="shared" si="11"/>
        <v/>
      </c>
      <c r="P717" s="13" t="s">
        <v>3910</v>
      </c>
      <c r="Q717" s="13" t="s">
        <v>3886</v>
      </c>
      <c r="R717" s="13" t="s">
        <v>0</v>
      </c>
      <c r="S717" s="13" t="s">
        <v>0</v>
      </c>
      <c r="T717" s="13" t="s">
        <v>9</v>
      </c>
      <c r="U717" s="13" t="s">
        <v>0</v>
      </c>
      <c r="V717" s="13" t="s">
        <v>0</v>
      </c>
      <c r="W717" s="13" t="s">
        <v>0</v>
      </c>
      <c r="X717" s="13" t="s">
        <v>0</v>
      </c>
      <c r="Y717" s="13" t="s">
        <v>10</v>
      </c>
      <c r="Z717" s="13" t="s">
        <v>0</v>
      </c>
      <c r="AA717" s="14"/>
      <c r="AB717" s="13" t="s">
        <v>0</v>
      </c>
      <c r="AC717" s="13" t="s">
        <v>0</v>
      </c>
      <c r="AD717" s="13" t="s">
        <v>0</v>
      </c>
      <c r="AE717" s="15">
        <v>0</v>
      </c>
    </row>
    <row r="718" spans="1:31" ht="14.15" customHeight="1" x14ac:dyDescent="0.25">
      <c r="A718" s="12" t="s">
        <v>0</v>
      </c>
      <c r="B718" s="13" t="s">
        <v>1</v>
      </c>
      <c r="C718" s="13" t="s">
        <v>4210</v>
      </c>
      <c r="D718" s="14">
        <v>44365</v>
      </c>
      <c r="E718" s="14">
        <v>44365</v>
      </c>
      <c r="F718" s="14">
        <v>44371</v>
      </c>
      <c r="G718" s="13" t="s">
        <v>3</v>
      </c>
      <c r="H718" s="13" t="s">
        <v>4</v>
      </c>
      <c r="I718" s="15">
        <v>-25212.84</v>
      </c>
      <c r="J718" s="13" t="s">
        <v>5</v>
      </c>
      <c r="K718" s="13" t="s">
        <v>6</v>
      </c>
      <c r="L718" s="15">
        <v>-2116617.92</v>
      </c>
      <c r="M718" s="15">
        <v>-25212.84</v>
      </c>
      <c r="N718" s="16" t="str">
        <f>IF(M718="","",IF(M718&lt;0,-M718&amp;"_"&amp;COUNTIF(M$2:M718,M718),M718&amp;"_"&amp;COUNTIF(M$2:M718,M718)))</f>
        <v>25212.84_1</v>
      </c>
      <c r="O718" s="17" t="str">
        <f t="shared" si="11"/>
        <v/>
      </c>
      <c r="P718" s="13" t="s">
        <v>4211</v>
      </c>
      <c r="Q718" s="13" t="s">
        <v>4209</v>
      </c>
      <c r="R718" s="13" t="s">
        <v>0</v>
      </c>
      <c r="S718" s="13" t="s">
        <v>0</v>
      </c>
      <c r="T718" s="13" t="s">
        <v>9</v>
      </c>
      <c r="U718" s="13" t="s">
        <v>0</v>
      </c>
      <c r="V718" s="13" t="s">
        <v>0</v>
      </c>
      <c r="W718" s="13" t="s">
        <v>0</v>
      </c>
      <c r="X718" s="13" t="s">
        <v>0</v>
      </c>
      <c r="Y718" s="13" t="s">
        <v>10</v>
      </c>
      <c r="Z718" s="13" t="s">
        <v>0</v>
      </c>
      <c r="AA718" s="14"/>
      <c r="AB718" s="13" t="s">
        <v>0</v>
      </c>
      <c r="AC718" s="13" t="s">
        <v>0</v>
      </c>
      <c r="AD718" s="13" t="s">
        <v>0</v>
      </c>
      <c r="AE718" s="15">
        <v>0</v>
      </c>
    </row>
    <row r="719" spans="1:31" ht="14.15" customHeight="1" x14ac:dyDescent="0.25">
      <c r="A719" s="12" t="s">
        <v>0</v>
      </c>
      <c r="B719" s="13" t="s">
        <v>1</v>
      </c>
      <c r="C719" s="13" t="s">
        <v>1343</v>
      </c>
      <c r="D719" s="14">
        <v>44150</v>
      </c>
      <c r="E719" s="14">
        <v>44150</v>
      </c>
      <c r="F719" s="14">
        <v>44154</v>
      </c>
      <c r="G719" s="13" t="s">
        <v>3</v>
      </c>
      <c r="H719" s="13" t="s">
        <v>4</v>
      </c>
      <c r="I719" s="15">
        <v>-25199.599999999999</v>
      </c>
      <c r="J719" s="13" t="s">
        <v>5</v>
      </c>
      <c r="K719" s="13" t="s">
        <v>6</v>
      </c>
      <c r="L719" s="15">
        <v>-2115506.42</v>
      </c>
      <c r="M719" s="15">
        <v>-25199.599999999999</v>
      </c>
      <c r="N719" s="16" t="str">
        <f>IF(M719="","",IF(M719&lt;0,-M719&amp;"_"&amp;COUNTIF(M$2:M719,M719),M719&amp;"_"&amp;COUNTIF(M$2:M719,M719)))</f>
        <v>25199.6_1</v>
      </c>
      <c r="O719" s="17" t="str">
        <f t="shared" si="11"/>
        <v/>
      </c>
      <c r="P719" s="13" t="s">
        <v>1344</v>
      </c>
      <c r="Q719" s="13" t="s">
        <v>1338</v>
      </c>
      <c r="R719" s="13" t="s">
        <v>0</v>
      </c>
      <c r="S719" s="13" t="s">
        <v>0</v>
      </c>
      <c r="T719" s="13" t="s">
        <v>9</v>
      </c>
      <c r="U719" s="13" t="s">
        <v>0</v>
      </c>
      <c r="V719" s="13" t="s">
        <v>0</v>
      </c>
      <c r="W719" s="13" t="s">
        <v>0</v>
      </c>
      <c r="X719" s="13" t="s">
        <v>0</v>
      </c>
      <c r="Y719" s="13" t="s">
        <v>10</v>
      </c>
      <c r="Z719" s="13" t="s">
        <v>0</v>
      </c>
      <c r="AA719" s="14"/>
      <c r="AB719" s="13" t="s">
        <v>0</v>
      </c>
      <c r="AC719" s="13" t="s">
        <v>0</v>
      </c>
      <c r="AD719" s="13" t="s">
        <v>0</v>
      </c>
      <c r="AE719" s="15">
        <v>0</v>
      </c>
    </row>
    <row r="720" spans="1:31" ht="14.15" customHeight="1" x14ac:dyDescent="0.25">
      <c r="A720" s="12" t="s">
        <v>0</v>
      </c>
      <c r="B720" s="13" t="s">
        <v>1</v>
      </c>
      <c r="C720" s="13" t="s">
        <v>226</v>
      </c>
      <c r="D720" s="14">
        <v>44038</v>
      </c>
      <c r="E720" s="14">
        <v>44038</v>
      </c>
      <c r="F720" s="14">
        <v>44041</v>
      </c>
      <c r="G720" s="13" t="s">
        <v>3</v>
      </c>
      <c r="H720" s="13" t="s">
        <v>4</v>
      </c>
      <c r="I720" s="15">
        <v>-25184.2</v>
      </c>
      <c r="J720" s="13" t="s">
        <v>5</v>
      </c>
      <c r="K720" s="13" t="s">
        <v>6</v>
      </c>
      <c r="L720" s="15">
        <v>-2114213.59</v>
      </c>
      <c r="M720" s="15">
        <v>-25184.2</v>
      </c>
      <c r="N720" s="16" t="str">
        <f>IF(M720="","",IF(M720&lt;0,-M720&amp;"_"&amp;COUNTIF(M$2:M720,M720),M720&amp;"_"&amp;COUNTIF(M$2:M720,M720)))</f>
        <v>25184.2_1</v>
      </c>
      <c r="O720" s="17" t="str">
        <f t="shared" si="11"/>
        <v/>
      </c>
      <c r="P720" s="13" t="s">
        <v>227</v>
      </c>
      <c r="Q720" s="13" t="s">
        <v>215</v>
      </c>
      <c r="R720" s="13" t="s">
        <v>0</v>
      </c>
      <c r="S720" s="13" t="s">
        <v>0</v>
      </c>
      <c r="T720" s="13" t="s">
        <v>9</v>
      </c>
      <c r="U720" s="13" t="s">
        <v>0</v>
      </c>
      <c r="V720" s="13" t="s">
        <v>0</v>
      </c>
      <c r="W720" s="13" t="s">
        <v>0</v>
      </c>
      <c r="X720" s="13" t="s">
        <v>0</v>
      </c>
      <c r="Y720" s="13" t="s">
        <v>10</v>
      </c>
      <c r="Z720" s="13" t="s">
        <v>0</v>
      </c>
      <c r="AA720" s="14"/>
      <c r="AB720" s="13" t="s">
        <v>0</v>
      </c>
      <c r="AC720" s="13" t="s">
        <v>0</v>
      </c>
      <c r="AD720" s="13" t="s">
        <v>0</v>
      </c>
      <c r="AE720" s="15">
        <v>0</v>
      </c>
    </row>
    <row r="721" spans="1:31" ht="14.15" customHeight="1" x14ac:dyDescent="0.25">
      <c r="A721" s="12" t="s">
        <v>0</v>
      </c>
      <c r="B721" s="13" t="s">
        <v>1</v>
      </c>
      <c r="C721" s="13" t="s">
        <v>986</v>
      </c>
      <c r="D721" s="14">
        <v>44125</v>
      </c>
      <c r="E721" s="14">
        <v>44125</v>
      </c>
      <c r="F721" s="14">
        <v>44142</v>
      </c>
      <c r="G721" s="13" t="s">
        <v>3</v>
      </c>
      <c r="H721" s="13" t="s">
        <v>4</v>
      </c>
      <c r="I721" s="15">
        <v>-25134.7</v>
      </c>
      <c r="J721" s="13" t="s">
        <v>5</v>
      </c>
      <c r="K721" s="13" t="s">
        <v>6</v>
      </c>
      <c r="L721" s="15">
        <v>-2110058.0699999998</v>
      </c>
      <c r="M721" s="15">
        <v>-25134.7</v>
      </c>
      <c r="N721" s="16" t="str">
        <f>IF(M721="","",IF(M721&lt;0,-M721&amp;"_"&amp;COUNTIF(M$2:M721,M721),M721&amp;"_"&amp;COUNTIF(M$2:M721,M721)))</f>
        <v>25134.7_1</v>
      </c>
      <c r="O721" s="17" t="str">
        <f t="shared" si="11"/>
        <v/>
      </c>
      <c r="P721" s="13" t="s">
        <v>987</v>
      </c>
      <c r="Q721" s="13" t="s">
        <v>977</v>
      </c>
      <c r="R721" s="13" t="s">
        <v>0</v>
      </c>
      <c r="S721" s="13" t="s">
        <v>0</v>
      </c>
      <c r="T721" s="13" t="s">
        <v>9</v>
      </c>
      <c r="U721" s="13" t="s">
        <v>0</v>
      </c>
      <c r="V721" s="13" t="s">
        <v>0</v>
      </c>
      <c r="W721" s="13" t="s">
        <v>0</v>
      </c>
      <c r="X721" s="13" t="s">
        <v>0</v>
      </c>
      <c r="Y721" s="13" t="s">
        <v>10</v>
      </c>
      <c r="Z721" s="13" t="s">
        <v>0</v>
      </c>
      <c r="AA721" s="14"/>
      <c r="AB721" s="13" t="s">
        <v>0</v>
      </c>
      <c r="AC721" s="13" t="s">
        <v>0</v>
      </c>
      <c r="AD721" s="13" t="s">
        <v>0</v>
      </c>
      <c r="AE721" s="15">
        <v>0</v>
      </c>
    </row>
    <row r="722" spans="1:31" ht="14.15" customHeight="1" x14ac:dyDescent="0.25">
      <c r="A722" s="12" t="s">
        <v>0</v>
      </c>
      <c r="B722" s="13" t="s">
        <v>1</v>
      </c>
      <c r="C722" s="13" t="s">
        <v>4025</v>
      </c>
      <c r="D722" s="14">
        <v>44358</v>
      </c>
      <c r="E722" s="14">
        <v>44358</v>
      </c>
      <c r="F722" s="14">
        <v>44363</v>
      </c>
      <c r="G722" s="13" t="s">
        <v>3</v>
      </c>
      <c r="H722" s="13" t="s">
        <v>4</v>
      </c>
      <c r="I722" s="15">
        <v>-25131.78</v>
      </c>
      <c r="J722" s="13" t="s">
        <v>5</v>
      </c>
      <c r="K722" s="13" t="s">
        <v>6</v>
      </c>
      <c r="L722" s="15">
        <v>-2109812.9300000002</v>
      </c>
      <c r="M722" s="15">
        <v>-25131.78</v>
      </c>
      <c r="N722" s="16" t="str">
        <f>IF(M722="","",IF(M722&lt;0,-M722&amp;"_"&amp;COUNTIF(M$2:M722,M722),M722&amp;"_"&amp;COUNTIF(M$2:M722,M722)))</f>
        <v>25131.78_1</v>
      </c>
      <c r="O722" s="17" t="str">
        <f t="shared" si="11"/>
        <v/>
      </c>
      <c r="P722" s="13" t="s">
        <v>4026</v>
      </c>
      <c r="Q722" s="13" t="s">
        <v>4006</v>
      </c>
      <c r="R722" s="13" t="s">
        <v>0</v>
      </c>
      <c r="S722" s="13" t="s">
        <v>0</v>
      </c>
      <c r="T722" s="13" t="s">
        <v>9</v>
      </c>
      <c r="U722" s="13" t="s">
        <v>0</v>
      </c>
      <c r="V722" s="13" t="s">
        <v>0</v>
      </c>
      <c r="W722" s="13" t="s">
        <v>0</v>
      </c>
      <c r="X722" s="13" t="s">
        <v>0</v>
      </c>
      <c r="Y722" s="13" t="s">
        <v>10</v>
      </c>
      <c r="Z722" s="13" t="s">
        <v>0</v>
      </c>
      <c r="AA722" s="14"/>
      <c r="AB722" s="13" t="s">
        <v>0</v>
      </c>
      <c r="AC722" s="13" t="s">
        <v>0</v>
      </c>
      <c r="AD722" s="13" t="s">
        <v>0</v>
      </c>
      <c r="AE722" s="15">
        <v>0</v>
      </c>
    </row>
    <row r="723" spans="1:31" ht="14.15" customHeight="1" x14ac:dyDescent="0.25">
      <c r="A723" s="12" t="s">
        <v>0</v>
      </c>
      <c r="B723" s="13" t="s">
        <v>1</v>
      </c>
      <c r="C723" s="13" t="s">
        <v>3903</v>
      </c>
      <c r="D723" s="14">
        <v>44353</v>
      </c>
      <c r="E723" s="14">
        <v>44353</v>
      </c>
      <c r="F723" s="14">
        <v>44364</v>
      </c>
      <c r="G723" s="13" t="s">
        <v>3</v>
      </c>
      <c r="H723" s="13" t="s">
        <v>4</v>
      </c>
      <c r="I723" s="15">
        <v>-25019.4</v>
      </c>
      <c r="J723" s="13" t="s">
        <v>5</v>
      </c>
      <c r="K723" s="13" t="s">
        <v>6</v>
      </c>
      <c r="L723" s="15">
        <v>-2100378.63</v>
      </c>
      <c r="M723" s="15">
        <v>-25019.4</v>
      </c>
      <c r="N723" s="16" t="str">
        <f>IF(M723="","",IF(M723&lt;0,-M723&amp;"_"&amp;COUNTIF(M$2:M723,M723),M723&amp;"_"&amp;COUNTIF(M$2:M723,M723)))</f>
        <v>25019.4_1</v>
      </c>
      <c r="O723" s="17" t="str">
        <f t="shared" si="11"/>
        <v/>
      </c>
      <c r="P723" s="13" t="s">
        <v>3904</v>
      </c>
      <c r="Q723" s="13" t="s">
        <v>3886</v>
      </c>
      <c r="R723" s="13" t="s">
        <v>0</v>
      </c>
      <c r="S723" s="13" t="s">
        <v>0</v>
      </c>
      <c r="T723" s="13" t="s">
        <v>9</v>
      </c>
      <c r="U723" s="13" t="s">
        <v>0</v>
      </c>
      <c r="V723" s="13" t="s">
        <v>0</v>
      </c>
      <c r="W723" s="13" t="s">
        <v>0</v>
      </c>
      <c r="X723" s="13" t="s">
        <v>0</v>
      </c>
      <c r="Y723" s="13" t="s">
        <v>10</v>
      </c>
      <c r="Z723" s="13" t="s">
        <v>0</v>
      </c>
      <c r="AA723" s="14"/>
      <c r="AB723" s="13" t="s">
        <v>0</v>
      </c>
      <c r="AC723" s="13" t="s">
        <v>0</v>
      </c>
      <c r="AD723" s="13" t="s">
        <v>0</v>
      </c>
      <c r="AE723" s="15">
        <v>0</v>
      </c>
    </row>
    <row r="724" spans="1:31" ht="14.15" customHeight="1" x14ac:dyDescent="0.25">
      <c r="A724" s="12" t="s">
        <v>0</v>
      </c>
      <c r="B724" s="13" t="s">
        <v>1</v>
      </c>
      <c r="C724" s="13" t="s">
        <v>692</v>
      </c>
      <c r="D724" s="14">
        <v>44090</v>
      </c>
      <c r="E724" s="14">
        <v>44090</v>
      </c>
      <c r="F724" s="14">
        <v>44096</v>
      </c>
      <c r="G724" s="13" t="s">
        <v>3</v>
      </c>
      <c r="H724" s="13" t="s">
        <v>4</v>
      </c>
      <c r="I724" s="15">
        <v>-25013.21</v>
      </c>
      <c r="J724" s="13" t="s">
        <v>5</v>
      </c>
      <c r="K724" s="13" t="s">
        <v>6</v>
      </c>
      <c r="L724" s="15">
        <v>-2099858.98</v>
      </c>
      <c r="M724" s="15">
        <v>-25013.21</v>
      </c>
      <c r="N724" s="16" t="str">
        <f>IF(M724="","",IF(M724&lt;0,-M724&amp;"_"&amp;COUNTIF(M$2:M724,M724),M724&amp;"_"&amp;COUNTIF(M$2:M724,M724)))</f>
        <v>25013.21_1</v>
      </c>
      <c r="O724" s="17" t="str">
        <f t="shared" si="11"/>
        <v/>
      </c>
      <c r="P724" s="13" t="s">
        <v>693</v>
      </c>
      <c r="Q724" s="13" t="s">
        <v>687</v>
      </c>
      <c r="R724" s="13" t="s">
        <v>0</v>
      </c>
      <c r="S724" s="13" t="s">
        <v>0</v>
      </c>
      <c r="T724" s="13" t="s">
        <v>9</v>
      </c>
      <c r="U724" s="13" t="s">
        <v>0</v>
      </c>
      <c r="V724" s="13" t="s">
        <v>0</v>
      </c>
      <c r="W724" s="13" t="s">
        <v>0</v>
      </c>
      <c r="X724" s="13" t="s">
        <v>0</v>
      </c>
      <c r="Y724" s="13" t="s">
        <v>10</v>
      </c>
      <c r="Z724" s="13" t="s">
        <v>0</v>
      </c>
      <c r="AA724" s="14"/>
      <c r="AB724" s="13" t="s">
        <v>0</v>
      </c>
      <c r="AC724" s="13" t="s">
        <v>0</v>
      </c>
      <c r="AD724" s="13" t="s">
        <v>0</v>
      </c>
      <c r="AE724" s="15">
        <v>0</v>
      </c>
    </row>
    <row r="725" spans="1:31" ht="14.15" customHeight="1" x14ac:dyDescent="0.25">
      <c r="A725" s="12" t="s">
        <v>0</v>
      </c>
      <c r="B725" s="13" t="s">
        <v>1</v>
      </c>
      <c r="C725" s="13" t="s">
        <v>759</v>
      </c>
      <c r="D725" s="14">
        <v>44098</v>
      </c>
      <c r="E725" s="14">
        <v>44098</v>
      </c>
      <c r="F725" s="14">
        <v>44100</v>
      </c>
      <c r="G725" s="13" t="s">
        <v>3</v>
      </c>
      <c r="H725" s="13" t="s">
        <v>4</v>
      </c>
      <c r="I725" s="15">
        <v>-25011.14</v>
      </c>
      <c r="J725" s="13" t="s">
        <v>5</v>
      </c>
      <c r="K725" s="13" t="s">
        <v>6</v>
      </c>
      <c r="L725" s="15">
        <v>-2099685.2000000002</v>
      </c>
      <c r="M725" s="15">
        <v>-25011.14</v>
      </c>
      <c r="N725" s="16" t="str">
        <f>IF(M725="","",IF(M725&lt;0,-M725&amp;"_"&amp;COUNTIF(M$2:M725,M725),M725&amp;"_"&amp;COUNTIF(M$2:M725,M725)))</f>
        <v>25011.14_1</v>
      </c>
      <c r="O725" s="17" t="str">
        <f t="shared" si="11"/>
        <v/>
      </c>
      <c r="P725" s="13" t="s">
        <v>760</v>
      </c>
      <c r="Q725" s="13" t="s">
        <v>761</v>
      </c>
      <c r="R725" s="13" t="s">
        <v>0</v>
      </c>
      <c r="S725" s="13" t="s">
        <v>0</v>
      </c>
      <c r="T725" s="13" t="s">
        <v>9</v>
      </c>
      <c r="U725" s="13" t="s">
        <v>0</v>
      </c>
      <c r="V725" s="13" t="s">
        <v>0</v>
      </c>
      <c r="W725" s="13" t="s">
        <v>0</v>
      </c>
      <c r="X725" s="13" t="s">
        <v>0</v>
      </c>
      <c r="Y725" s="13" t="s">
        <v>10</v>
      </c>
      <c r="Z725" s="13" t="s">
        <v>0</v>
      </c>
      <c r="AA725" s="14"/>
      <c r="AB725" s="13" t="s">
        <v>0</v>
      </c>
      <c r="AC725" s="13" t="s">
        <v>0</v>
      </c>
      <c r="AD725" s="13" t="s">
        <v>0</v>
      </c>
      <c r="AE725" s="15">
        <v>0</v>
      </c>
    </row>
    <row r="726" spans="1:31" ht="14.15" customHeight="1" x14ac:dyDescent="0.25">
      <c r="A726" s="12" t="s">
        <v>0</v>
      </c>
      <c r="B726" s="13" t="s">
        <v>1</v>
      </c>
      <c r="C726" s="13" t="s">
        <v>2487</v>
      </c>
      <c r="D726" s="14">
        <v>44234</v>
      </c>
      <c r="E726" s="14">
        <v>44234</v>
      </c>
      <c r="F726" s="14">
        <v>44241</v>
      </c>
      <c r="G726" s="13" t="s">
        <v>3</v>
      </c>
      <c r="H726" s="13" t="s">
        <v>4</v>
      </c>
      <c r="I726" s="15">
        <v>-25003.46</v>
      </c>
      <c r="J726" s="13" t="s">
        <v>5</v>
      </c>
      <c r="K726" s="13" t="s">
        <v>6</v>
      </c>
      <c r="L726" s="15">
        <v>-2099040.4700000002</v>
      </c>
      <c r="M726" s="15">
        <v>-25003.46</v>
      </c>
      <c r="N726" s="16" t="str">
        <f>IF(M726="","",IF(M726&lt;0,-M726&amp;"_"&amp;COUNTIF(M$2:M726,M726),M726&amp;"_"&amp;COUNTIF(M$2:M726,M726)))</f>
        <v>25003.46_1</v>
      </c>
      <c r="O726" s="17" t="str">
        <f t="shared" si="11"/>
        <v/>
      </c>
      <c r="P726" s="13" t="s">
        <v>2488</v>
      </c>
      <c r="Q726" s="13" t="s">
        <v>2462</v>
      </c>
      <c r="R726" s="13" t="s">
        <v>0</v>
      </c>
      <c r="S726" s="13" t="s">
        <v>0</v>
      </c>
      <c r="T726" s="13" t="s">
        <v>9</v>
      </c>
      <c r="U726" s="13" t="s">
        <v>0</v>
      </c>
      <c r="V726" s="13" t="s">
        <v>0</v>
      </c>
      <c r="W726" s="13" t="s">
        <v>0</v>
      </c>
      <c r="X726" s="13" t="s">
        <v>0</v>
      </c>
      <c r="Y726" s="13" t="s">
        <v>10</v>
      </c>
      <c r="Z726" s="13" t="s">
        <v>0</v>
      </c>
      <c r="AA726" s="14"/>
      <c r="AB726" s="13" t="s">
        <v>0</v>
      </c>
      <c r="AC726" s="13" t="s">
        <v>0</v>
      </c>
      <c r="AD726" s="13" t="s">
        <v>0</v>
      </c>
      <c r="AE726" s="15">
        <v>0</v>
      </c>
    </row>
    <row r="727" spans="1:31" ht="14.15" customHeight="1" x14ac:dyDescent="0.25">
      <c r="A727" s="12" t="s">
        <v>0</v>
      </c>
      <c r="B727" s="13" t="s">
        <v>1</v>
      </c>
      <c r="C727" s="13" t="s">
        <v>3025</v>
      </c>
      <c r="D727" s="14">
        <v>44281</v>
      </c>
      <c r="E727" s="14">
        <v>44281</v>
      </c>
      <c r="F727" s="14">
        <v>44290</v>
      </c>
      <c r="G727" s="13" t="s">
        <v>3</v>
      </c>
      <c r="H727" s="13" t="s">
        <v>4</v>
      </c>
      <c r="I727" s="15">
        <v>-24982.28</v>
      </c>
      <c r="J727" s="13" t="s">
        <v>5</v>
      </c>
      <c r="K727" s="13" t="s">
        <v>6</v>
      </c>
      <c r="L727" s="15">
        <v>-2097262.4</v>
      </c>
      <c r="M727" s="15">
        <v>-24982.28</v>
      </c>
      <c r="N727" s="16" t="str">
        <f>IF(M727="","",IF(M727&lt;0,-M727&amp;"_"&amp;COUNTIF(M$2:M727,M727),M727&amp;"_"&amp;COUNTIF(M$2:M727,M727)))</f>
        <v>24982.28_1</v>
      </c>
      <c r="O727" s="17" t="str">
        <f t="shared" si="11"/>
        <v/>
      </c>
      <c r="P727" s="13" t="s">
        <v>3026</v>
      </c>
      <c r="Q727" s="13" t="s">
        <v>3014</v>
      </c>
      <c r="R727" s="13" t="s">
        <v>0</v>
      </c>
      <c r="S727" s="13" t="s">
        <v>0</v>
      </c>
      <c r="T727" s="13" t="s">
        <v>9</v>
      </c>
      <c r="U727" s="13" t="s">
        <v>0</v>
      </c>
      <c r="V727" s="13" t="s">
        <v>0</v>
      </c>
      <c r="W727" s="13" t="s">
        <v>0</v>
      </c>
      <c r="X727" s="13" t="s">
        <v>0</v>
      </c>
      <c r="Y727" s="13" t="s">
        <v>10</v>
      </c>
      <c r="Z727" s="13" t="s">
        <v>0</v>
      </c>
      <c r="AA727" s="14"/>
      <c r="AB727" s="13" t="s">
        <v>0</v>
      </c>
      <c r="AC727" s="13" t="s">
        <v>0</v>
      </c>
      <c r="AD727" s="13" t="s">
        <v>0</v>
      </c>
      <c r="AE727" s="15">
        <v>0</v>
      </c>
    </row>
    <row r="728" spans="1:31" ht="14.15" customHeight="1" x14ac:dyDescent="0.25">
      <c r="A728" s="12" t="s">
        <v>0</v>
      </c>
      <c r="B728" s="13" t="s">
        <v>1</v>
      </c>
      <c r="C728" s="13" t="s">
        <v>1767</v>
      </c>
      <c r="D728" s="14">
        <v>44181</v>
      </c>
      <c r="E728" s="14">
        <v>44181</v>
      </c>
      <c r="F728" s="14">
        <v>44186</v>
      </c>
      <c r="G728" s="13" t="s">
        <v>3</v>
      </c>
      <c r="H728" s="13" t="s">
        <v>4</v>
      </c>
      <c r="I728" s="15">
        <v>-24964.37</v>
      </c>
      <c r="J728" s="13" t="s">
        <v>5</v>
      </c>
      <c r="K728" s="13" t="s">
        <v>6</v>
      </c>
      <c r="L728" s="15">
        <v>-2095758.86</v>
      </c>
      <c r="M728" s="15">
        <v>-24964.37</v>
      </c>
      <c r="N728" s="16" t="str">
        <f>IF(M728="","",IF(M728&lt;0,-M728&amp;"_"&amp;COUNTIF(M$2:M728,M728),M728&amp;"_"&amp;COUNTIF(M$2:M728,M728)))</f>
        <v>24964.37_1</v>
      </c>
      <c r="O728" s="17" t="str">
        <f t="shared" si="11"/>
        <v/>
      </c>
      <c r="P728" s="13" t="s">
        <v>1768</v>
      </c>
      <c r="Q728" s="13" t="s">
        <v>1766</v>
      </c>
      <c r="R728" s="13" t="s">
        <v>0</v>
      </c>
      <c r="S728" s="13" t="s">
        <v>0</v>
      </c>
      <c r="T728" s="13" t="s">
        <v>9</v>
      </c>
      <c r="U728" s="13" t="s">
        <v>0</v>
      </c>
      <c r="V728" s="13" t="s">
        <v>0</v>
      </c>
      <c r="W728" s="13" t="s">
        <v>0</v>
      </c>
      <c r="X728" s="13" t="s">
        <v>0</v>
      </c>
      <c r="Y728" s="13" t="s">
        <v>10</v>
      </c>
      <c r="Z728" s="13" t="s">
        <v>0</v>
      </c>
      <c r="AA728" s="14"/>
      <c r="AB728" s="13" t="s">
        <v>0</v>
      </c>
      <c r="AC728" s="13" t="s">
        <v>0</v>
      </c>
      <c r="AD728" s="13" t="s">
        <v>0</v>
      </c>
      <c r="AE728" s="15">
        <v>0</v>
      </c>
    </row>
    <row r="729" spans="1:31" ht="14.15" customHeight="1" x14ac:dyDescent="0.25">
      <c r="A729" s="12" t="s">
        <v>0</v>
      </c>
      <c r="B729" s="13" t="s">
        <v>1</v>
      </c>
      <c r="C729" s="13" t="s">
        <v>231</v>
      </c>
      <c r="D729" s="14">
        <v>44039</v>
      </c>
      <c r="E729" s="14">
        <v>44039</v>
      </c>
      <c r="F729" s="14">
        <v>44042</v>
      </c>
      <c r="G729" s="13" t="s">
        <v>3</v>
      </c>
      <c r="H729" s="13" t="s">
        <v>4</v>
      </c>
      <c r="I729" s="15">
        <v>-24940.69</v>
      </c>
      <c r="J729" s="13" t="s">
        <v>5</v>
      </c>
      <c r="K729" s="13" t="s">
        <v>6</v>
      </c>
      <c r="L729" s="15">
        <v>-2093770.93</v>
      </c>
      <c r="M729" s="15">
        <v>-24940.69</v>
      </c>
      <c r="N729" s="16" t="str">
        <f>IF(M729="","",IF(M729&lt;0,-M729&amp;"_"&amp;COUNTIF(M$2:M729,M729),M729&amp;"_"&amp;COUNTIF(M$2:M729,M729)))</f>
        <v>24940.69_1</v>
      </c>
      <c r="O729" s="17" t="str">
        <f t="shared" si="11"/>
        <v/>
      </c>
      <c r="P729" s="13" t="s">
        <v>232</v>
      </c>
      <c r="Q729" s="13" t="s">
        <v>230</v>
      </c>
      <c r="R729" s="13" t="s">
        <v>0</v>
      </c>
      <c r="S729" s="13" t="s">
        <v>0</v>
      </c>
      <c r="T729" s="13" t="s">
        <v>9</v>
      </c>
      <c r="U729" s="13" t="s">
        <v>0</v>
      </c>
      <c r="V729" s="13" t="s">
        <v>0</v>
      </c>
      <c r="W729" s="13" t="s">
        <v>0</v>
      </c>
      <c r="X729" s="13" t="s">
        <v>0</v>
      </c>
      <c r="Y729" s="13" t="s">
        <v>10</v>
      </c>
      <c r="Z729" s="13" t="s">
        <v>0</v>
      </c>
      <c r="AA729" s="14"/>
      <c r="AB729" s="13" t="s">
        <v>0</v>
      </c>
      <c r="AC729" s="13" t="s">
        <v>0</v>
      </c>
      <c r="AD729" s="13" t="s">
        <v>0</v>
      </c>
      <c r="AE729" s="15">
        <v>0</v>
      </c>
    </row>
    <row r="730" spans="1:31" ht="14.15" customHeight="1" x14ac:dyDescent="0.25">
      <c r="A730" s="12" t="s">
        <v>0</v>
      </c>
      <c r="B730" s="13" t="s">
        <v>1</v>
      </c>
      <c r="C730" s="13" t="s">
        <v>2864</v>
      </c>
      <c r="D730" s="14">
        <v>44273</v>
      </c>
      <c r="E730" s="14">
        <v>44273</v>
      </c>
      <c r="F730" s="14">
        <v>44279</v>
      </c>
      <c r="G730" s="13" t="s">
        <v>3</v>
      </c>
      <c r="H730" s="13" t="s">
        <v>4</v>
      </c>
      <c r="I730" s="15">
        <v>-24932.32</v>
      </c>
      <c r="J730" s="13" t="s">
        <v>5</v>
      </c>
      <c r="K730" s="13" t="s">
        <v>6</v>
      </c>
      <c r="L730" s="15">
        <v>-2093068.26</v>
      </c>
      <c r="M730" s="15">
        <v>-24932.32</v>
      </c>
      <c r="N730" s="16" t="str">
        <f>IF(M730="","",IF(M730&lt;0,-M730&amp;"_"&amp;COUNTIF(M$2:M730,M730),M730&amp;"_"&amp;COUNTIF(M$2:M730,M730)))</f>
        <v>24932.32_1</v>
      </c>
      <c r="O730" s="17" t="str">
        <f t="shared" si="11"/>
        <v/>
      </c>
      <c r="P730" s="13" t="s">
        <v>2865</v>
      </c>
      <c r="Q730" s="13" t="s">
        <v>2857</v>
      </c>
      <c r="R730" s="13" t="s">
        <v>0</v>
      </c>
      <c r="S730" s="13" t="s">
        <v>0</v>
      </c>
      <c r="T730" s="13" t="s">
        <v>9</v>
      </c>
      <c r="U730" s="13" t="s">
        <v>0</v>
      </c>
      <c r="V730" s="13" t="s">
        <v>0</v>
      </c>
      <c r="W730" s="13" t="s">
        <v>0</v>
      </c>
      <c r="X730" s="13" t="s">
        <v>0</v>
      </c>
      <c r="Y730" s="13" t="s">
        <v>10</v>
      </c>
      <c r="Z730" s="13" t="s">
        <v>0</v>
      </c>
      <c r="AA730" s="14"/>
      <c r="AB730" s="13" t="s">
        <v>0</v>
      </c>
      <c r="AC730" s="13" t="s">
        <v>0</v>
      </c>
      <c r="AD730" s="13" t="s">
        <v>0</v>
      </c>
      <c r="AE730" s="15">
        <v>0</v>
      </c>
    </row>
    <row r="731" spans="1:31" ht="14.15" customHeight="1" x14ac:dyDescent="0.25">
      <c r="A731" s="12" t="s">
        <v>0</v>
      </c>
      <c r="B731" s="13" t="s">
        <v>1</v>
      </c>
      <c r="C731" s="13" t="s">
        <v>1612</v>
      </c>
      <c r="D731" s="14">
        <v>44168</v>
      </c>
      <c r="E731" s="14">
        <v>44168</v>
      </c>
      <c r="F731" s="14">
        <v>44177</v>
      </c>
      <c r="G731" s="13" t="s">
        <v>3</v>
      </c>
      <c r="H731" s="13" t="s">
        <v>4</v>
      </c>
      <c r="I731" s="15">
        <v>-24910.240000000002</v>
      </c>
      <c r="J731" s="13" t="s">
        <v>5</v>
      </c>
      <c r="K731" s="13" t="s">
        <v>6</v>
      </c>
      <c r="L731" s="15">
        <v>-2091214.65</v>
      </c>
      <c r="M731" s="15">
        <v>-24910.240000000002</v>
      </c>
      <c r="N731" s="16" t="str">
        <f>IF(M731="","",IF(M731&lt;0,-M731&amp;"_"&amp;COUNTIF(M$2:M731,M731),M731&amp;"_"&amp;COUNTIF(M$2:M731,M731)))</f>
        <v>24910.24_1</v>
      </c>
      <c r="O731" s="17" t="str">
        <f t="shared" si="11"/>
        <v/>
      </c>
      <c r="P731" s="13" t="s">
        <v>1613</v>
      </c>
      <c r="Q731" s="13" t="s">
        <v>1605</v>
      </c>
      <c r="R731" s="13" t="s">
        <v>0</v>
      </c>
      <c r="S731" s="13" t="s">
        <v>0</v>
      </c>
      <c r="T731" s="13" t="s">
        <v>9</v>
      </c>
      <c r="U731" s="13" t="s">
        <v>0</v>
      </c>
      <c r="V731" s="13" t="s">
        <v>0</v>
      </c>
      <c r="W731" s="13" t="s">
        <v>0</v>
      </c>
      <c r="X731" s="13" t="s">
        <v>0</v>
      </c>
      <c r="Y731" s="13" t="s">
        <v>10</v>
      </c>
      <c r="Z731" s="13" t="s">
        <v>0</v>
      </c>
      <c r="AA731" s="14"/>
      <c r="AB731" s="13" t="s">
        <v>0</v>
      </c>
      <c r="AC731" s="13" t="s">
        <v>0</v>
      </c>
      <c r="AD731" s="13" t="s">
        <v>0</v>
      </c>
      <c r="AE731" s="15">
        <v>0</v>
      </c>
    </row>
    <row r="732" spans="1:31" ht="14.15" customHeight="1" x14ac:dyDescent="0.25">
      <c r="A732" s="12" t="s">
        <v>0</v>
      </c>
      <c r="B732" s="13" t="s">
        <v>1</v>
      </c>
      <c r="C732" s="13" t="s">
        <v>959</v>
      </c>
      <c r="D732" s="14">
        <v>44123</v>
      </c>
      <c r="E732" s="14">
        <v>44123</v>
      </c>
      <c r="F732" s="14">
        <v>44128</v>
      </c>
      <c r="G732" s="13" t="s">
        <v>3</v>
      </c>
      <c r="H732" s="13" t="s">
        <v>4</v>
      </c>
      <c r="I732" s="15">
        <v>-24839.65</v>
      </c>
      <c r="J732" s="13" t="s">
        <v>5</v>
      </c>
      <c r="K732" s="13" t="s">
        <v>6</v>
      </c>
      <c r="L732" s="15">
        <v>-2085288.62</v>
      </c>
      <c r="M732" s="15">
        <v>-24839.65</v>
      </c>
      <c r="N732" s="16" t="str">
        <f>IF(M732="","",IF(M732&lt;0,-M732&amp;"_"&amp;COUNTIF(M$2:M732,M732),M732&amp;"_"&amp;COUNTIF(M$2:M732,M732)))</f>
        <v>24839.65_1</v>
      </c>
      <c r="O732" s="17" t="str">
        <f t="shared" si="11"/>
        <v/>
      </c>
      <c r="P732" s="13" t="s">
        <v>960</v>
      </c>
      <c r="Q732" s="13" t="s">
        <v>958</v>
      </c>
      <c r="R732" s="13" t="s">
        <v>0</v>
      </c>
      <c r="S732" s="13" t="s">
        <v>0</v>
      </c>
      <c r="T732" s="13" t="s">
        <v>9</v>
      </c>
      <c r="U732" s="13" t="s">
        <v>0</v>
      </c>
      <c r="V732" s="13" t="s">
        <v>0</v>
      </c>
      <c r="W732" s="13" t="s">
        <v>0</v>
      </c>
      <c r="X732" s="13" t="s">
        <v>0</v>
      </c>
      <c r="Y732" s="13" t="s">
        <v>10</v>
      </c>
      <c r="Z732" s="13" t="s">
        <v>0</v>
      </c>
      <c r="AA732" s="14"/>
      <c r="AB732" s="13" t="s">
        <v>0</v>
      </c>
      <c r="AC732" s="13" t="s">
        <v>0</v>
      </c>
      <c r="AD732" s="13" t="s">
        <v>0</v>
      </c>
      <c r="AE732" s="15">
        <v>0</v>
      </c>
    </row>
    <row r="733" spans="1:31" ht="14.15" customHeight="1" x14ac:dyDescent="0.25">
      <c r="A733" s="12" t="s">
        <v>0</v>
      </c>
      <c r="B733" s="13" t="s">
        <v>1</v>
      </c>
      <c r="C733" s="13" t="s">
        <v>4242</v>
      </c>
      <c r="D733" s="14">
        <v>44368</v>
      </c>
      <c r="E733" s="14">
        <v>44368</v>
      </c>
      <c r="F733" s="14">
        <v>44371</v>
      </c>
      <c r="G733" s="13" t="s">
        <v>3</v>
      </c>
      <c r="H733" s="13" t="s">
        <v>4</v>
      </c>
      <c r="I733" s="15">
        <v>-24821.75</v>
      </c>
      <c r="J733" s="13" t="s">
        <v>5</v>
      </c>
      <c r="K733" s="13" t="s">
        <v>6</v>
      </c>
      <c r="L733" s="15">
        <v>-2083785.91</v>
      </c>
      <c r="M733" s="15">
        <v>-24821.75</v>
      </c>
      <c r="N733" s="16" t="str">
        <f>IF(M733="","",IF(M733&lt;0,-M733&amp;"_"&amp;COUNTIF(M$2:M733,M733),M733&amp;"_"&amp;COUNTIF(M$2:M733,M733)))</f>
        <v>24821.75_1</v>
      </c>
      <c r="O733" s="17" t="str">
        <f t="shared" si="11"/>
        <v/>
      </c>
      <c r="P733" s="13" t="s">
        <v>4243</v>
      </c>
      <c r="Q733" s="13" t="s">
        <v>4239</v>
      </c>
      <c r="R733" s="13" t="s">
        <v>0</v>
      </c>
      <c r="S733" s="13" t="s">
        <v>0</v>
      </c>
      <c r="T733" s="13" t="s">
        <v>9</v>
      </c>
      <c r="U733" s="13" t="s">
        <v>0</v>
      </c>
      <c r="V733" s="13" t="s">
        <v>0</v>
      </c>
      <c r="W733" s="13" t="s">
        <v>0</v>
      </c>
      <c r="X733" s="13" t="s">
        <v>0</v>
      </c>
      <c r="Y733" s="13" t="s">
        <v>10</v>
      </c>
      <c r="Z733" s="13" t="s">
        <v>0</v>
      </c>
      <c r="AA733" s="14"/>
      <c r="AB733" s="13" t="s">
        <v>0</v>
      </c>
      <c r="AC733" s="13" t="s">
        <v>0</v>
      </c>
      <c r="AD733" s="13" t="s">
        <v>0</v>
      </c>
      <c r="AE733" s="15">
        <v>0</v>
      </c>
    </row>
    <row r="734" spans="1:31" ht="14.15" customHeight="1" x14ac:dyDescent="0.25">
      <c r="A734" s="12" t="s">
        <v>0</v>
      </c>
      <c r="B734" s="13" t="s">
        <v>1</v>
      </c>
      <c r="C734" s="13" t="s">
        <v>334</v>
      </c>
      <c r="D734" s="14">
        <v>44043</v>
      </c>
      <c r="E734" s="14">
        <v>44043</v>
      </c>
      <c r="F734" s="14">
        <v>44057</v>
      </c>
      <c r="G734" s="13" t="s">
        <v>3</v>
      </c>
      <c r="H734" s="13" t="s">
        <v>4</v>
      </c>
      <c r="I734" s="15">
        <v>-24818.75</v>
      </c>
      <c r="J734" s="13" t="s">
        <v>5</v>
      </c>
      <c r="K734" s="13" t="s">
        <v>6</v>
      </c>
      <c r="L734" s="15">
        <v>-2083534.06</v>
      </c>
      <c r="M734" s="15">
        <v>-24818.75</v>
      </c>
      <c r="N734" s="16" t="str">
        <f>IF(M734="","",IF(M734&lt;0,-M734&amp;"_"&amp;COUNTIF(M$2:M734,M734),M734&amp;"_"&amp;COUNTIF(M$2:M734,M734)))</f>
        <v>24818.75_1</v>
      </c>
      <c r="O734" s="17" t="str">
        <f t="shared" si="11"/>
        <v/>
      </c>
      <c r="P734" s="13" t="s">
        <v>335</v>
      </c>
      <c r="Q734" s="13" t="s">
        <v>316</v>
      </c>
      <c r="R734" s="13" t="s">
        <v>0</v>
      </c>
      <c r="S734" s="13" t="s">
        <v>0</v>
      </c>
      <c r="T734" s="13" t="s">
        <v>9</v>
      </c>
      <c r="U734" s="13" t="s">
        <v>0</v>
      </c>
      <c r="V734" s="13" t="s">
        <v>0</v>
      </c>
      <c r="W734" s="13" t="s">
        <v>0</v>
      </c>
      <c r="X734" s="13" t="s">
        <v>0</v>
      </c>
      <c r="Y734" s="13" t="s">
        <v>10</v>
      </c>
      <c r="Z734" s="13" t="s">
        <v>0</v>
      </c>
      <c r="AA734" s="14"/>
      <c r="AB734" s="13" t="s">
        <v>0</v>
      </c>
      <c r="AC734" s="13" t="s">
        <v>0</v>
      </c>
      <c r="AD734" s="13" t="s">
        <v>0</v>
      </c>
      <c r="AE734" s="15">
        <v>0</v>
      </c>
    </row>
    <row r="735" spans="1:31" ht="14.15" customHeight="1" x14ac:dyDescent="0.25">
      <c r="A735" s="12" t="s">
        <v>0</v>
      </c>
      <c r="B735" s="13" t="s">
        <v>1</v>
      </c>
      <c r="C735" s="13" t="s">
        <v>1700</v>
      </c>
      <c r="D735" s="14">
        <v>44173</v>
      </c>
      <c r="E735" s="14">
        <v>44173</v>
      </c>
      <c r="F735" s="14">
        <v>44185</v>
      </c>
      <c r="G735" s="13" t="s">
        <v>3</v>
      </c>
      <c r="H735" s="13" t="s">
        <v>4</v>
      </c>
      <c r="I735" s="15">
        <v>-24705.33</v>
      </c>
      <c r="J735" s="13" t="s">
        <v>5</v>
      </c>
      <c r="K735" s="13" t="s">
        <v>6</v>
      </c>
      <c r="L735" s="15">
        <v>-2074012.45</v>
      </c>
      <c r="M735" s="15">
        <v>-24705.33</v>
      </c>
      <c r="N735" s="16" t="str">
        <f>IF(M735="","",IF(M735&lt;0,-M735&amp;"_"&amp;COUNTIF(M$2:M735,M735),M735&amp;"_"&amp;COUNTIF(M$2:M735,M735)))</f>
        <v>24705.33_1</v>
      </c>
      <c r="O735" s="17" t="str">
        <f t="shared" si="11"/>
        <v/>
      </c>
      <c r="P735" s="13" t="s">
        <v>1701</v>
      </c>
      <c r="Q735" s="13" t="s">
        <v>1687</v>
      </c>
      <c r="R735" s="13" t="s">
        <v>0</v>
      </c>
      <c r="S735" s="13" t="s">
        <v>0</v>
      </c>
      <c r="T735" s="13" t="s">
        <v>9</v>
      </c>
      <c r="U735" s="13" t="s">
        <v>0</v>
      </c>
      <c r="V735" s="13" t="s">
        <v>0</v>
      </c>
      <c r="W735" s="13" t="s">
        <v>0</v>
      </c>
      <c r="X735" s="13" t="s">
        <v>0</v>
      </c>
      <c r="Y735" s="13" t="s">
        <v>10</v>
      </c>
      <c r="Z735" s="13" t="s">
        <v>0</v>
      </c>
      <c r="AA735" s="14"/>
      <c r="AB735" s="13" t="s">
        <v>0</v>
      </c>
      <c r="AC735" s="13" t="s">
        <v>0</v>
      </c>
      <c r="AD735" s="13" t="s">
        <v>0</v>
      </c>
      <c r="AE735" s="15">
        <v>0</v>
      </c>
    </row>
    <row r="736" spans="1:31" ht="14.15" customHeight="1" x14ac:dyDescent="0.25">
      <c r="A736" s="12" t="s">
        <v>0</v>
      </c>
      <c r="B736" s="13" t="s">
        <v>1</v>
      </c>
      <c r="C736" s="13" t="s">
        <v>457</v>
      </c>
      <c r="D736" s="14">
        <v>44067</v>
      </c>
      <c r="E736" s="14">
        <v>44067</v>
      </c>
      <c r="F736" s="14">
        <v>44070</v>
      </c>
      <c r="G736" s="13" t="s">
        <v>3</v>
      </c>
      <c r="H736" s="13" t="s">
        <v>4</v>
      </c>
      <c r="I736" s="15">
        <v>-24705.3</v>
      </c>
      <c r="J736" s="13" t="s">
        <v>5</v>
      </c>
      <c r="K736" s="13" t="s">
        <v>6</v>
      </c>
      <c r="L736" s="15">
        <v>-2074009.94</v>
      </c>
      <c r="M736" s="15">
        <v>-24705.3</v>
      </c>
      <c r="N736" s="16" t="str">
        <f>IF(M736="","",IF(M736&lt;0,-M736&amp;"_"&amp;COUNTIF(M$2:M736,M736),M736&amp;"_"&amp;COUNTIF(M$2:M736,M736)))</f>
        <v>24705.3_1</v>
      </c>
      <c r="O736" s="17" t="str">
        <f t="shared" si="11"/>
        <v/>
      </c>
      <c r="P736" s="13" t="s">
        <v>458</v>
      </c>
      <c r="Q736" s="13" t="s">
        <v>459</v>
      </c>
      <c r="R736" s="13" t="s">
        <v>0</v>
      </c>
      <c r="S736" s="13" t="s">
        <v>0</v>
      </c>
      <c r="T736" s="13" t="s">
        <v>9</v>
      </c>
      <c r="U736" s="13" t="s">
        <v>0</v>
      </c>
      <c r="V736" s="13" t="s">
        <v>0</v>
      </c>
      <c r="W736" s="13" t="s">
        <v>0</v>
      </c>
      <c r="X736" s="13" t="s">
        <v>0</v>
      </c>
      <c r="Y736" s="13" t="s">
        <v>10</v>
      </c>
      <c r="Z736" s="13" t="s">
        <v>0</v>
      </c>
      <c r="AA736" s="14"/>
      <c r="AB736" s="13" t="s">
        <v>0</v>
      </c>
      <c r="AC736" s="13" t="s">
        <v>0</v>
      </c>
      <c r="AD736" s="13" t="s">
        <v>0</v>
      </c>
      <c r="AE736" s="15">
        <v>0</v>
      </c>
    </row>
    <row r="737" spans="1:31" ht="14.15" customHeight="1" x14ac:dyDescent="0.25">
      <c r="A737" s="12" t="s">
        <v>0</v>
      </c>
      <c r="B737" s="13" t="s">
        <v>1</v>
      </c>
      <c r="C737" s="13" t="s">
        <v>43</v>
      </c>
      <c r="D737" s="14">
        <v>44016</v>
      </c>
      <c r="E737" s="14">
        <v>44016</v>
      </c>
      <c r="F737" s="14">
        <v>44018</v>
      </c>
      <c r="G737" s="13" t="s">
        <v>3</v>
      </c>
      <c r="H737" s="13" t="s">
        <v>4</v>
      </c>
      <c r="I737" s="15">
        <v>-24694.7</v>
      </c>
      <c r="J737" s="13" t="s">
        <v>5</v>
      </c>
      <c r="K737" s="13" t="s">
        <v>6</v>
      </c>
      <c r="L737" s="15">
        <v>-2073120.07</v>
      </c>
      <c r="M737" s="15">
        <v>-24694.7</v>
      </c>
      <c r="N737" s="16" t="str">
        <f>IF(M737="","",IF(M737&lt;0,-M737&amp;"_"&amp;COUNTIF(M$2:M737,M737),M737&amp;"_"&amp;COUNTIF(M$2:M737,M737)))</f>
        <v>24694.7_1</v>
      </c>
      <c r="O737" s="17" t="str">
        <f t="shared" si="11"/>
        <v/>
      </c>
      <c r="P737" s="13" t="s">
        <v>44</v>
      </c>
      <c r="Q737" s="13" t="s">
        <v>42</v>
      </c>
      <c r="R737" s="13" t="s">
        <v>0</v>
      </c>
      <c r="S737" s="13" t="s">
        <v>0</v>
      </c>
      <c r="T737" s="13" t="s">
        <v>9</v>
      </c>
      <c r="U737" s="13" t="s">
        <v>0</v>
      </c>
      <c r="V737" s="13" t="s">
        <v>0</v>
      </c>
      <c r="W737" s="13" t="s">
        <v>0</v>
      </c>
      <c r="X737" s="13" t="s">
        <v>0</v>
      </c>
      <c r="Y737" s="13" t="s">
        <v>10</v>
      </c>
      <c r="Z737" s="13" t="s">
        <v>0</v>
      </c>
      <c r="AA737" s="14"/>
      <c r="AB737" s="13" t="s">
        <v>0</v>
      </c>
      <c r="AC737" s="13" t="s">
        <v>0</v>
      </c>
      <c r="AD737" s="13" t="s">
        <v>0</v>
      </c>
      <c r="AE737" s="15">
        <v>0</v>
      </c>
    </row>
    <row r="738" spans="1:31" ht="14.15" customHeight="1" x14ac:dyDescent="0.25">
      <c r="A738" s="12" t="s">
        <v>0</v>
      </c>
      <c r="B738" s="13" t="s">
        <v>1</v>
      </c>
      <c r="C738" s="13" t="s">
        <v>83</v>
      </c>
      <c r="D738" s="14">
        <v>44021</v>
      </c>
      <c r="E738" s="14">
        <v>44021</v>
      </c>
      <c r="F738" s="14">
        <v>44032</v>
      </c>
      <c r="G738" s="13" t="s">
        <v>3</v>
      </c>
      <c r="H738" s="13" t="s">
        <v>4</v>
      </c>
      <c r="I738" s="15">
        <v>-24689.43</v>
      </c>
      <c r="J738" s="13" t="s">
        <v>5</v>
      </c>
      <c r="K738" s="13" t="s">
        <v>6</v>
      </c>
      <c r="L738" s="15">
        <v>-2072677.65</v>
      </c>
      <c r="M738" s="15">
        <v>-24689.43</v>
      </c>
      <c r="N738" s="16" t="str">
        <f>IF(M738="","",IF(M738&lt;0,-M738&amp;"_"&amp;COUNTIF(M$2:M738,M738),M738&amp;"_"&amp;COUNTIF(M$2:M738,M738)))</f>
        <v>24689.43_1</v>
      </c>
      <c r="O738" s="17" t="str">
        <f t="shared" si="11"/>
        <v/>
      </c>
      <c r="P738" s="13" t="s">
        <v>84</v>
      </c>
      <c r="Q738" s="13" t="s">
        <v>85</v>
      </c>
      <c r="R738" s="13" t="s">
        <v>0</v>
      </c>
      <c r="S738" s="13" t="s">
        <v>0</v>
      </c>
      <c r="T738" s="13" t="s">
        <v>9</v>
      </c>
      <c r="U738" s="13" t="s">
        <v>0</v>
      </c>
      <c r="V738" s="13" t="s">
        <v>0</v>
      </c>
      <c r="W738" s="13" t="s">
        <v>0</v>
      </c>
      <c r="X738" s="13" t="s">
        <v>0</v>
      </c>
      <c r="Y738" s="13" t="s">
        <v>10</v>
      </c>
      <c r="Z738" s="13" t="s">
        <v>0</v>
      </c>
      <c r="AA738" s="14"/>
      <c r="AB738" s="13" t="s">
        <v>0</v>
      </c>
      <c r="AC738" s="13" t="s">
        <v>0</v>
      </c>
      <c r="AD738" s="13" t="s">
        <v>0</v>
      </c>
      <c r="AE738" s="15">
        <v>0</v>
      </c>
    </row>
    <row r="739" spans="1:31" ht="14.15" customHeight="1" x14ac:dyDescent="0.25">
      <c r="A739" s="12" t="s">
        <v>0</v>
      </c>
      <c r="B739" s="13" t="s">
        <v>1</v>
      </c>
      <c r="C739" s="13" t="s">
        <v>3635</v>
      </c>
      <c r="D739" s="14">
        <v>44331</v>
      </c>
      <c r="E739" s="14">
        <v>44331</v>
      </c>
      <c r="F739" s="14">
        <v>44336</v>
      </c>
      <c r="G739" s="13" t="s">
        <v>3</v>
      </c>
      <c r="H739" s="13" t="s">
        <v>4</v>
      </c>
      <c r="I739" s="15">
        <v>-24626.55</v>
      </c>
      <c r="J739" s="13" t="s">
        <v>5</v>
      </c>
      <c r="K739" s="13" t="s">
        <v>6</v>
      </c>
      <c r="L739" s="15">
        <v>-2067398.87</v>
      </c>
      <c r="M739" s="15">
        <v>-24626.55</v>
      </c>
      <c r="N739" s="16" t="str">
        <f>IF(M739="","",IF(M739&lt;0,-M739&amp;"_"&amp;COUNTIF(M$2:M739,M739),M739&amp;"_"&amp;COUNTIF(M$2:M739,M739)))</f>
        <v>24626.55_1</v>
      </c>
      <c r="O739" s="17" t="str">
        <f t="shared" si="11"/>
        <v/>
      </c>
      <c r="P739" s="13" t="s">
        <v>3636</v>
      </c>
      <c r="Q739" s="13" t="s">
        <v>3637</v>
      </c>
      <c r="R739" s="13" t="s">
        <v>0</v>
      </c>
      <c r="S739" s="13" t="s">
        <v>0</v>
      </c>
      <c r="T739" s="13" t="s">
        <v>9</v>
      </c>
      <c r="U739" s="13" t="s">
        <v>0</v>
      </c>
      <c r="V739" s="13" t="s">
        <v>0</v>
      </c>
      <c r="W739" s="13" t="s">
        <v>0</v>
      </c>
      <c r="X739" s="13" t="s">
        <v>0</v>
      </c>
      <c r="Y739" s="13" t="s">
        <v>10</v>
      </c>
      <c r="Z739" s="13" t="s">
        <v>0</v>
      </c>
      <c r="AA739" s="14"/>
      <c r="AB739" s="13" t="s">
        <v>0</v>
      </c>
      <c r="AC739" s="13" t="s">
        <v>0</v>
      </c>
      <c r="AD739" s="13" t="s">
        <v>0</v>
      </c>
      <c r="AE739" s="15">
        <v>0</v>
      </c>
    </row>
    <row r="740" spans="1:31" ht="14.15" customHeight="1" x14ac:dyDescent="0.25">
      <c r="A740" s="12" t="s">
        <v>0</v>
      </c>
      <c r="B740" s="13" t="s">
        <v>1</v>
      </c>
      <c r="C740" s="13" t="s">
        <v>2953</v>
      </c>
      <c r="D740" s="14">
        <v>44277</v>
      </c>
      <c r="E740" s="14">
        <v>44277</v>
      </c>
      <c r="F740" s="14">
        <v>44280</v>
      </c>
      <c r="G740" s="13" t="s">
        <v>3</v>
      </c>
      <c r="H740" s="13" t="s">
        <v>4</v>
      </c>
      <c r="I740" s="15">
        <v>-24576.39</v>
      </c>
      <c r="J740" s="13" t="s">
        <v>5</v>
      </c>
      <c r="K740" s="13" t="s">
        <v>6</v>
      </c>
      <c r="L740" s="15">
        <v>-2063187.94</v>
      </c>
      <c r="M740" s="15">
        <v>-24576.39</v>
      </c>
      <c r="N740" s="16" t="str">
        <f>IF(M740="","",IF(M740&lt;0,-M740&amp;"_"&amp;COUNTIF(M$2:M740,M740),M740&amp;"_"&amp;COUNTIF(M$2:M740,M740)))</f>
        <v>24576.39_1</v>
      </c>
      <c r="O740" s="17" t="str">
        <f t="shared" si="11"/>
        <v/>
      </c>
      <c r="P740" s="13" t="s">
        <v>2954</v>
      </c>
      <c r="Q740" s="13" t="s">
        <v>2955</v>
      </c>
      <c r="R740" s="13" t="s">
        <v>0</v>
      </c>
      <c r="S740" s="13" t="s">
        <v>0</v>
      </c>
      <c r="T740" s="13" t="s">
        <v>9</v>
      </c>
      <c r="U740" s="13" t="s">
        <v>0</v>
      </c>
      <c r="V740" s="13" t="s">
        <v>0</v>
      </c>
      <c r="W740" s="13" t="s">
        <v>0</v>
      </c>
      <c r="X740" s="13" t="s">
        <v>0</v>
      </c>
      <c r="Y740" s="13" t="s">
        <v>10</v>
      </c>
      <c r="Z740" s="13" t="s">
        <v>0</v>
      </c>
      <c r="AA740" s="14"/>
      <c r="AB740" s="13" t="s">
        <v>0</v>
      </c>
      <c r="AC740" s="13" t="s">
        <v>0</v>
      </c>
      <c r="AD740" s="13" t="s">
        <v>0</v>
      </c>
      <c r="AE740" s="15">
        <v>0</v>
      </c>
    </row>
    <row r="741" spans="1:31" ht="14.15" customHeight="1" x14ac:dyDescent="0.25">
      <c r="A741" s="12" t="s">
        <v>0</v>
      </c>
      <c r="B741" s="13" t="s">
        <v>1</v>
      </c>
      <c r="C741" s="13" t="s">
        <v>4021</v>
      </c>
      <c r="D741" s="14">
        <v>44358</v>
      </c>
      <c r="E741" s="14">
        <v>44358</v>
      </c>
      <c r="F741" s="14">
        <v>44363</v>
      </c>
      <c r="G741" s="13" t="s">
        <v>3</v>
      </c>
      <c r="H741" s="13" t="s">
        <v>4</v>
      </c>
      <c r="I741" s="15">
        <v>-24509.14</v>
      </c>
      <c r="J741" s="13" t="s">
        <v>5</v>
      </c>
      <c r="K741" s="13" t="s">
        <v>6</v>
      </c>
      <c r="L741" s="15">
        <v>-2057542.3</v>
      </c>
      <c r="M741" s="15">
        <v>-24509.14</v>
      </c>
      <c r="N741" s="16" t="str">
        <f>IF(M741="","",IF(M741&lt;0,-M741&amp;"_"&amp;COUNTIF(M$2:M741,M741),M741&amp;"_"&amp;COUNTIF(M$2:M741,M741)))</f>
        <v>24509.14_1</v>
      </c>
      <c r="O741" s="17" t="str">
        <f t="shared" si="11"/>
        <v/>
      </c>
      <c r="P741" s="13" t="s">
        <v>4022</v>
      </c>
      <c r="Q741" s="13" t="s">
        <v>4006</v>
      </c>
      <c r="R741" s="13" t="s">
        <v>0</v>
      </c>
      <c r="S741" s="13" t="s">
        <v>0</v>
      </c>
      <c r="T741" s="13" t="s">
        <v>9</v>
      </c>
      <c r="U741" s="13" t="s">
        <v>0</v>
      </c>
      <c r="V741" s="13" t="s">
        <v>0</v>
      </c>
      <c r="W741" s="13" t="s">
        <v>0</v>
      </c>
      <c r="X741" s="13" t="s">
        <v>0</v>
      </c>
      <c r="Y741" s="13" t="s">
        <v>10</v>
      </c>
      <c r="Z741" s="13" t="s">
        <v>0</v>
      </c>
      <c r="AA741" s="14"/>
      <c r="AB741" s="13" t="s">
        <v>0</v>
      </c>
      <c r="AC741" s="13" t="s">
        <v>0</v>
      </c>
      <c r="AD741" s="13" t="s">
        <v>0</v>
      </c>
      <c r="AE741" s="15">
        <v>0</v>
      </c>
    </row>
    <row r="742" spans="1:31" ht="14.15" customHeight="1" x14ac:dyDescent="0.25">
      <c r="A742" s="12" t="s">
        <v>0</v>
      </c>
      <c r="B742" s="13" t="s">
        <v>1</v>
      </c>
      <c r="C742" s="13" t="s">
        <v>2739</v>
      </c>
      <c r="D742" s="14">
        <v>44259</v>
      </c>
      <c r="E742" s="14">
        <v>44259</v>
      </c>
      <c r="F742" s="14">
        <v>44265</v>
      </c>
      <c r="G742" s="13" t="s">
        <v>3</v>
      </c>
      <c r="H742" s="13" t="s">
        <v>4</v>
      </c>
      <c r="I742" s="15">
        <v>-24502.45</v>
      </c>
      <c r="J742" s="13" t="s">
        <v>5</v>
      </c>
      <c r="K742" s="13" t="s">
        <v>6</v>
      </c>
      <c r="L742" s="15">
        <v>-2056980.68</v>
      </c>
      <c r="M742" s="15">
        <v>-24502.45</v>
      </c>
      <c r="N742" s="16" t="str">
        <f>IF(M742="","",IF(M742&lt;0,-M742&amp;"_"&amp;COUNTIF(M$2:M742,M742),M742&amp;"_"&amp;COUNTIF(M$2:M742,M742)))</f>
        <v>24502.45_1</v>
      </c>
      <c r="O742" s="17" t="str">
        <f t="shared" si="11"/>
        <v/>
      </c>
      <c r="P742" s="13" t="s">
        <v>2740</v>
      </c>
      <c r="Q742" s="13" t="s">
        <v>2741</v>
      </c>
      <c r="R742" s="13" t="s">
        <v>0</v>
      </c>
      <c r="S742" s="13" t="s">
        <v>0</v>
      </c>
      <c r="T742" s="13" t="s">
        <v>9</v>
      </c>
      <c r="U742" s="13" t="s">
        <v>0</v>
      </c>
      <c r="V742" s="13" t="s">
        <v>0</v>
      </c>
      <c r="W742" s="13" t="s">
        <v>0</v>
      </c>
      <c r="X742" s="13" t="s">
        <v>0</v>
      </c>
      <c r="Y742" s="13" t="s">
        <v>10</v>
      </c>
      <c r="Z742" s="13" t="s">
        <v>0</v>
      </c>
      <c r="AA742" s="14"/>
      <c r="AB742" s="13" t="s">
        <v>0</v>
      </c>
      <c r="AC742" s="13" t="s">
        <v>0</v>
      </c>
      <c r="AD742" s="13" t="s">
        <v>0</v>
      </c>
      <c r="AE742" s="15">
        <v>0</v>
      </c>
    </row>
    <row r="743" spans="1:31" ht="14.15" customHeight="1" x14ac:dyDescent="0.25">
      <c r="A743" s="12" t="s">
        <v>0</v>
      </c>
      <c r="B743" s="13" t="s">
        <v>1</v>
      </c>
      <c r="C743" s="13" t="s">
        <v>4201</v>
      </c>
      <c r="D743" s="14">
        <v>44364</v>
      </c>
      <c r="E743" s="14">
        <v>44364</v>
      </c>
      <c r="F743" s="14">
        <v>44371</v>
      </c>
      <c r="G743" s="13" t="s">
        <v>3</v>
      </c>
      <c r="H743" s="13" t="s">
        <v>4</v>
      </c>
      <c r="I743" s="15">
        <v>-24450.76</v>
      </c>
      <c r="J743" s="13" t="s">
        <v>5</v>
      </c>
      <c r="K743" s="13" t="s">
        <v>6</v>
      </c>
      <c r="L743" s="15">
        <v>-2052641.3</v>
      </c>
      <c r="M743" s="15">
        <v>-24450.76</v>
      </c>
      <c r="N743" s="16" t="str">
        <f>IF(M743="","",IF(M743&lt;0,-M743&amp;"_"&amp;COUNTIF(M$2:M743,M743),M743&amp;"_"&amp;COUNTIF(M$2:M743,M743)))</f>
        <v>24450.76_1</v>
      </c>
      <c r="O743" s="17" t="str">
        <f t="shared" si="11"/>
        <v/>
      </c>
      <c r="P743" s="13" t="s">
        <v>4202</v>
      </c>
      <c r="Q743" s="13" t="s">
        <v>4180</v>
      </c>
      <c r="R743" s="13" t="s">
        <v>0</v>
      </c>
      <c r="S743" s="13" t="s">
        <v>0</v>
      </c>
      <c r="T743" s="13" t="s">
        <v>9</v>
      </c>
      <c r="U743" s="13" t="s">
        <v>0</v>
      </c>
      <c r="V743" s="13" t="s">
        <v>0</v>
      </c>
      <c r="W743" s="13" t="s">
        <v>0</v>
      </c>
      <c r="X743" s="13" t="s">
        <v>0</v>
      </c>
      <c r="Y743" s="13" t="s">
        <v>10</v>
      </c>
      <c r="Z743" s="13" t="s">
        <v>0</v>
      </c>
      <c r="AA743" s="14"/>
      <c r="AB743" s="13" t="s">
        <v>0</v>
      </c>
      <c r="AC743" s="13" t="s">
        <v>0</v>
      </c>
      <c r="AD743" s="13" t="s">
        <v>0</v>
      </c>
      <c r="AE743" s="15">
        <v>0</v>
      </c>
    </row>
    <row r="744" spans="1:31" ht="14.15" customHeight="1" x14ac:dyDescent="0.25">
      <c r="A744" s="12" t="s">
        <v>0</v>
      </c>
      <c r="B744" s="13" t="s">
        <v>1</v>
      </c>
      <c r="C744" s="13" t="s">
        <v>727</v>
      </c>
      <c r="D744" s="14">
        <v>44095</v>
      </c>
      <c r="E744" s="14">
        <v>44095</v>
      </c>
      <c r="F744" s="14">
        <v>44098</v>
      </c>
      <c r="G744" s="13" t="s">
        <v>3</v>
      </c>
      <c r="H744" s="13" t="s">
        <v>4</v>
      </c>
      <c r="I744" s="15">
        <v>-24369.37</v>
      </c>
      <c r="J744" s="13" t="s">
        <v>5</v>
      </c>
      <c r="K744" s="13" t="s">
        <v>6</v>
      </c>
      <c r="L744" s="15">
        <v>-2045808.61</v>
      </c>
      <c r="M744" s="15">
        <v>-24369.37</v>
      </c>
      <c r="N744" s="16" t="str">
        <f>IF(M744="","",IF(M744&lt;0,-M744&amp;"_"&amp;COUNTIF(M$2:M744,M744),M744&amp;"_"&amp;COUNTIF(M$2:M744,M744)))</f>
        <v>24369.37_1</v>
      </c>
      <c r="O744" s="17" t="str">
        <f t="shared" si="11"/>
        <v/>
      </c>
      <c r="P744" s="13" t="s">
        <v>728</v>
      </c>
      <c r="Q744" s="13" t="s">
        <v>726</v>
      </c>
      <c r="R744" s="13" t="s">
        <v>0</v>
      </c>
      <c r="S744" s="13" t="s">
        <v>0</v>
      </c>
      <c r="T744" s="13" t="s">
        <v>9</v>
      </c>
      <c r="U744" s="13" t="s">
        <v>0</v>
      </c>
      <c r="V744" s="13" t="s">
        <v>0</v>
      </c>
      <c r="W744" s="13" t="s">
        <v>0</v>
      </c>
      <c r="X744" s="13" t="s">
        <v>0</v>
      </c>
      <c r="Y744" s="13" t="s">
        <v>10</v>
      </c>
      <c r="Z744" s="13" t="s">
        <v>0</v>
      </c>
      <c r="AA744" s="14"/>
      <c r="AB744" s="13" t="s">
        <v>0</v>
      </c>
      <c r="AC744" s="13" t="s">
        <v>0</v>
      </c>
      <c r="AD744" s="13" t="s">
        <v>0</v>
      </c>
      <c r="AE744" s="15">
        <v>0</v>
      </c>
    </row>
    <row r="745" spans="1:31" ht="14.15" customHeight="1" x14ac:dyDescent="0.25">
      <c r="A745" s="12" t="s">
        <v>0</v>
      </c>
      <c r="B745" s="13" t="s">
        <v>1</v>
      </c>
      <c r="C745" s="13" t="s">
        <v>861</v>
      </c>
      <c r="D745" s="14">
        <v>44110</v>
      </c>
      <c r="E745" s="14">
        <v>44110</v>
      </c>
      <c r="F745" s="14">
        <v>44117</v>
      </c>
      <c r="G745" s="13" t="s">
        <v>3</v>
      </c>
      <c r="H745" s="13" t="s">
        <v>4</v>
      </c>
      <c r="I745" s="15">
        <v>-24351</v>
      </c>
      <c r="J745" s="13" t="s">
        <v>5</v>
      </c>
      <c r="K745" s="13" t="s">
        <v>6</v>
      </c>
      <c r="L745" s="15">
        <v>-2044266.45</v>
      </c>
      <c r="M745" s="15">
        <v>-24351</v>
      </c>
      <c r="N745" s="16" t="str">
        <f>IF(M745="","",IF(M745&lt;0,-M745&amp;"_"&amp;COUNTIF(M$2:M745,M745),M745&amp;"_"&amp;COUNTIF(M$2:M745,M745)))</f>
        <v>24351_1</v>
      </c>
      <c r="O745" s="17" t="str">
        <f t="shared" si="11"/>
        <v/>
      </c>
      <c r="P745" s="13" t="s">
        <v>862</v>
      </c>
      <c r="Q745" s="13" t="s">
        <v>863</v>
      </c>
      <c r="R745" s="13" t="s">
        <v>0</v>
      </c>
      <c r="S745" s="13" t="s">
        <v>0</v>
      </c>
      <c r="T745" s="13" t="s">
        <v>9</v>
      </c>
      <c r="U745" s="13" t="s">
        <v>0</v>
      </c>
      <c r="V745" s="13" t="s">
        <v>0</v>
      </c>
      <c r="W745" s="13" t="s">
        <v>0</v>
      </c>
      <c r="X745" s="13" t="s">
        <v>0</v>
      </c>
      <c r="Y745" s="13" t="s">
        <v>10</v>
      </c>
      <c r="Z745" s="13" t="s">
        <v>0</v>
      </c>
      <c r="AA745" s="14"/>
      <c r="AB745" s="13" t="s">
        <v>0</v>
      </c>
      <c r="AC745" s="13" t="s">
        <v>0</v>
      </c>
      <c r="AD745" s="13" t="s">
        <v>0</v>
      </c>
      <c r="AE745" s="15">
        <v>0</v>
      </c>
    </row>
    <row r="746" spans="1:31" ht="14.15" customHeight="1" x14ac:dyDescent="0.25">
      <c r="A746" s="12" t="s">
        <v>0</v>
      </c>
      <c r="B746" s="13" t="s">
        <v>1</v>
      </c>
      <c r="C746" s="13" t="s">
        <v>861</v>
      </c>
      <c r="D746" s="14">
        <v>44110</v>
      </c>
      <c r="E746" s="14">
        <v>44110</v>
      </c>
      <c r="F746" s="14">
        <v>44117</v>
      </c>
      <c r="G746" s="13" t="s">
        <v>3</v>
      </c>
      <c r="H746" s="13" t="s">
        <v>4</v>
      </c>
      <c r="I746" s="15">
        <v>-24351</v>
      </c>
      <c r="J746" s="13" t="s">
        <v>5</v>
      </c>
      <c r="K746" s="13" t="s">
        <v>6</v>
      </c>
      <c r="L746" s="15">
        <v>-2044266.45</v>
      </c>
      <c r="M746" s="15">
        <v>-24351</v>
      </c>
      <c r="N746" s="16" t="str">
        <f>IF(M746="","",IF(M746&lt;0,-M746&amp;"_"&amp;COUNTIF(M$2:M746,M746),M746&amp;"_"&amp;COUNTIF(M$2:M746,M746)))</f>
        <v>24351_2</v>
      </c>
      <c r="O746" s="17" t="str">
        <f t="shared" si="11"/>
        <v/>
      </c>
      <c r="P746" s="13" t="s">
        <v>862</v>
      </c>
      <c r="Q746" s="13" t="s">
        <v>863</v>
      </c>
      <c r="R746" s="13" t="s">
        <v>0</v>
      </c>
      <c r="S746" s="13" t="s">
        <v>0</v>
      </c>
      <c r="T746" s="13" t="s">
        <v>9</v>
      </c>
      <c r="U746" s="13" t="s">
        <v>0</v>
      </c>
      <c r="V746" s="13" t="s">
        <v>0</v>
      </c>
      <c r="W746" s="13" t="s">
        <v>0</v>
      </c>
      <c r="X746" s="13" t="s">
        <v>0</v>
      </c>
      <c r="Y746" s="13" t="s">
        <v>10</v>
      </c>
      <c r="Z746" s="13" t="s">
        <v>0</v>
      </c>
      <c r="AA746" s="14"/>
      <c r="AB746" s="13" t="s">
        <v>0</v>
      </c>
      <c r="AC746" s="13" t="s">
        <v>0</v>
      </c>
      <c r="AD746" s="13" t="s">
        <v>0</v>
      </c>
      <c r="AE746" s="15">
        <v>0</v>
      </c>
    </row>
    <row r="747" spans="1:31" ht="14.15" customHeight="1" x14ac:dyDescent="0.25">
      <c r="A747" s="12" t="s">
        <v>0</v>
      </c>
      <c r="B747" s="13" t="s">
        <v>1</v>
      </c>
      <c r="C747" s="13" t="s">
        <v>2616</v>
      </c>
      <c r="D747" s="14">
        <v>44245</v>
      </c>
      <c r="E747" s="14">
        <v>44245</v>
      </c>
      <c r="F747" s="14">
        <v>44254</v>
      </c>
      <c r="G747" s="13" t="s">
        <v>3</v>
      </c>
      <c r="H747" s="13" t="s">
        <v>4</v>
      </c>
      <c r="I747" s="15">
        <v>-24348.880000000001</v>
      </c>
      <c r="J747" s="13" t="s">
        <v>5</v>
      </c>
      <c r="K747" s="13" t="s">
        <v>6</v>
      </c>
      <c r="L747" s="15">
        <v>-2044088.48</v>
      </c>
      <c r="M747" s="15">
        <v>-24348.880000000001</v>
      </c>
      <c r="N747" s="16" t="str">
        <f>IF(M747="","",IF(M747&lt;0,-M747&amp;"_"&amp;COUNTIF(M$2:M747,M747),M747&amp;"_"&amp;COUNTIF(M$2:M747,M747)))</f>
        <v>24348.88_1</v>
      </c>
      <c r="O747" s="17" t="str">
        <f t="shared" si="11"/>
        <v/>
      </c>
      <c r="P747" s="13" t="s">
        <v>2617</v>
      </c>
      <c r="Q747" s="13" t="s">
        <v>2613</v>
      </c>
      <c r="R747" s="13" t="s">
        <v>0</v>
      </c>
      <c r="S747" s="13" t="s">
        <v>0</v>
      </c>
      <c r="T747" s="13" t="s">
        <v>9</v>
      </c>
      <c r="U747" s="13" t="s">
        <v>0</v>
      </c>
      <c r="V747" s="13" t="s">
        <v>0</v>
      </c>
      <c r="W747" s="13" t="s">
        <v>0</v>
      </c>
      <c r="X747" s="13" t="s">
        <v>0</v>
      </c>
      <c r="Y747" s="13" t="s">
        <v>10</v>
      </c>
      <c r="Z747" s="13" t="s">
        <v>0</v>
      </c>
      <c r="AA747" s="14"/>
      <c r="AB747" s="13" t="s">
        <v>0</v>
      </c>
      <c r="AC747" s="13" t="s">
        <v>0</v>
      </c>
      <c r="AD747" s="13" t="s">
        <v>0</v>
      </c>
      <c r="AE747" s="15">
        <v>0</v>
      </c>
    </row>
    <row r="748" spans="1:31" ht="14.15" customHeight="1" x14ac:dyDescent="0.25">
      <c r="A748" s="12" t="s">
        <v>0</v>
      </c>
      <c r="B748" s="13" t="s">
        <v>1</v>
      </c>
      <c r="C748" s="13" t="s">
        <v>1264</v>
      </c>
      <c r="D748" s="14">
        <v>44143</v>
      </c>
      <c r="E748" s="14">
        <v>44143</v>
      </c>
      <c r="F748" s="14">
        <v>44149</v>
      </c>
      <c r="G748" s="13" t="s">
        <v>3</v>
      </c>
      <c r="H748" s="13" t="s">
        <v>4</v>
      </c>
      <c r="I748" s="15">
        <v>-24339.83</v>
      </c>
      <c r="J748" s="13" t="s">
        <v>5</v>
      </c>
      <c r="K748" s="13" t="s">
        <v>6</v>
      </c>
      <c r="L748" s="15">
        <v>-2043328.73</v>
      </c>
      <c r="M748" s="15">
        <v>-24339.83</v>
      </c>
      <c r="N748" s="16" t="str">
        <f>IF(M748="","",IF(M748&lt;0,-M748&amp;"_"&amp;COUNTIF(M$2:M748,M748),M748&amp;"_"&amp;COUNTIF(M$2:M748,M748)))</f>
        <v>24339.83_1</v>
      </c>
      <c r="O748" s="17" t="str">
        <f t="shared" si="11"/>
        <v/>
      </c>
      <c r="P748" s="13" t="s">
        <v>1265</v>
      </c>
      <c r="Q748" s="13" t="s">
        <v>1245</v>
      </c>
      <c r="R748" s="13" t="s">
        <v>0</v>
      </c>
      <c r="S748" s="13" t="s">
        <v>0</v>
      </c>
      <c r="T748" s="13" t="s">
        <v>9</v>
      </c>
      <c r="U748" s="13" t="s">
        <v>0</v>
      </c>
      <c r="V748" s="13" t="s">
        <v>0</v>
      </c>
      <c r="W748" s="13" t="s">
        <v>0</v>
      </c>
      <c r="X748" s="13" t="s">
        <v>0</v>
      </c>
      <c r="Y748" s="13" t="s">
        <v>10</v>
      </c>
      <c r="Z748" s="13" t="s">
        <v>0</v>
      </c>
      <c r="AA748" s="14"/>
      <c r="AB748" s="13" t="s">
        <v>0</v>
      </c>
      <c r="AC748" s="13" t="s">
        <v>0</v>
      </c>
      <c r="AD748" s="13" t="s">
        <v>0</v>
      </c>
      <c r="AE748" s="15">
        <v>0</v>
      </c>
    </row>
    <row r="749" spans="1:31" ht="14.15" customHeight="1" x14ac:dyDescent="0.25">
      <c r="A749" s="12" t="s">
        <v>0</v>
      </c>
      <c r="B749" s="13" t="s">
        <v>1</v>
      </c>
      <c r="C749" s="13" t="s">
        <v>4278</v>
      </c>
      <c r="D749" s="14">
        <v>44370</v>
      </c>
      <c r="E749" s="14">
        <v>44370</v>
      </c>
      <c r="F749" s="14">
        <v>44377</v>
      </c>
      <c r="G749" s="13" t="s">
        <v>3</v>
      </c>
      <c r="H749" s="13" t="s">
        <v>4</v>
      </c>
      <c r="I749" s="15">
        <v>-24328.12</v>
      </c>
      <c r="J749" s="13" t="s">
        <v>5</v>
      </c>
      <c r="K749" s="13" t="s">
        <v>6</v>
      </c>
      <c r="L749" s="15">
        <v>-2042345.67</v>
      </c>
      <c r="M749" s="15">
        <v>-24328.12</v>
      </c>
      <c r="N749" s="16" t="str">
        <f>IF(M749="","",IF(M749&lt;0,-M749&amp;"_"&amp;COUNTIF(M$2:M749,M749),M749&amp;"_"&amp;COUNTIF(M$2:M749,M749)))</f>
        <v>24328.12_1</v>
      </c>
      <c r="O749" s="17" t="str">
        <f t="shared" si="11"/>
        <v/>
      </c>
      <c r="P749" s="13" t="s">
        <v>4279</v>
      </c>
      <c r="Q749" s="13" t="s">
        <v>4269</v>
      </c>
      <c r="R749" s="13" t="s">
        <v>0</v>
      </c>
      <c r="S749" s="13" t="s">
        <v>0</v>
      </c>
      <c r="T749" s="13" t="s">
        <v>9</v>
      </c>
      <c r="U749" s="13" t="s">
        <v>0</v>
      </c>
      <c r="V749" s="13" t="s">
        <v>0</v>
      </c>
      <c r="W749" s="13" t="s">
        <v>0</v>
      </c>
      <c r="X749" s="13" t="s">
        <v>0</v>
      </c>
      <c r="Y749" s="13" t="s">
        <v>10</v>
      </c>
      <c r="Z749" s="13" t="s">
        <v>0</v>
      </c>
      <c r="AA749" s="14"/>
      <c r="AB749" s="13" t="s">
        <v>0</v>
      </c>
      <c r="AC749" s="13" t="s">
        <v>0</v>
      </c>
      <c r="AD749" s="13" t="s">
        <v>0</v>
      </c>
      <c r="AE749" s="15">
        <v>0</v>
      </c>
    </row>
    <row r="750" spans="1:31" ht="14.15" customHeight="1" x14ac:dyDescent="0.25">
      <c r="A750" s="12" t="s">
        <v>0</v>
      </c>
      <c r="B750" s="13" t="s">
        <v>1</v>
      </c>
      <c r="C750" s="13" t="s">
        <v>635</v>
      </c>
      <c r="D750" s="14">
        <v>44083</v>
      </c>
      <c r="E750" s="14">
        <v>44083</v>
      </c>
      <c r="F750" s="14">
        <v>44088</v>
      </c>
      <c r="G750" s="13" t="s">
        <v>3</v>
      </c>
      <c r="H750" s="13" t="s">
        <v>4</v>
      </c>
      <c r="I750" s="15">
        <v>-24318</v>
      </c>
      <c r="J750" s="13" t="s">
        <v>5</v>
      </c>
      <c r="K750" s="13" t="s">
        <v>6</v>
      </c>
      <c r="L750" s="15">
        <v>-2041496.1</v>
      </c>
      <c r="M750" s="15">
        <v>-24318</v>
      </c>
      <c r="N750" s="16" t="str">
        <f>IF(M750="","",IF(M750&lt;0,-M750&amp;"_"&amp;COUNTIF(M$2:M750,M750),M750&amp;"_"&amp;COUNTIF(M$2:M750,M750)))</f>
        <v>24318_1</v>
      </c>
      <c r="O750" s="17" t="str">
        <f t="shared" si="11"/>
        <v/>
      </c>
      <c r="P750" s="13" t="s">
        <v>636</v>
      </c>
      <c r="Q750" s="13" t="s">
        <v>624</v>
      </c>
      <c r="R750" s="13" t="s">
        <v>0</v>
      </c>
      <c r="S750" s="13" t="s">
        <v>0</v>
      </c>
      <c r="T750" s="13" t="s">
        <v>9</v>
      </c>
      <c r="U750" s="13" t="s">
        <v>0</v>
      </c>
      <c r="V750" s="13" t="s">
        <v>0</v>
      </c>
      <c r="W750" s="13" t="s">
        <v>0</v>
      </c>
      <c r="X750" s="13" t="s">
        <v>0</v>
      </c>
      <c r="Y750" s="13" t="s">
        <v>10</v>
      </c>
      <c r="Z750" s="13" t="s">
        <v>0</v>
      </c>
      <c r="AA750" s="14"/>
      <c r="AB750" s="13" t="s">
        <v>0</v>
      </c>
      <c r="AC750" s="13" t="s">
        <v>0</v>
      </c>
      <c r="AD750" s="13" t="s">
        <v>0</v>
      </c>
      <c r="AE750" s="15">
        <v>0</v>
      </c>
    </row>
    <row r="751" spans="1:31" ht="14.15" customHeight="1" x14ac:dyDescent="0.25">
      <c r="A751" s="12" t="s">
        <v>0</v>
      </c>
      <c r="B751" s="13" t="s">
        <v>1</v>
      </c>
      <c r="C751" s="13" t="s">
        <v>2500</v>
      </c>
      <c r="D751" s="14">
        <v>44235</v>
      </c>
      <c r="E751" s="14">
        <v>44235</v>
      </c>
      <c r="F751" s="14">
        <v>44241</v>
      </c>
      <c r="G751" s="13" t="s">
        <v>3</v>
      </c>
      <c r="H751" s="13" t="s">
        <v>4</v>
      </c>
      <c r="I751" s="15">
        <v>-24303.24</v>
      </c>
      <c r="J751" s="13" t="s">
        <v>5</v>
      </c>
      <c r="K751" s="13" t="s">
        <v>6</v>
      </c>
      <c r="L751" s="15">
        <v>-2040257</v>
      </c>
      <c r="M751" s="15">
        <v>-24303.24</v>
      </c>
      <c r="N751" s="16" t="str">
        <f>IF(M751="","",IF(M751&lt;0,-M751&amp;"_"&amp;COUNTIF(M$2:M751,M751),M751&amp;"_"&amp;COUNTIF(M$2:M751,M751)))</f>
        <v>24303.24_1</v>
      </c>
      <c r="O751" s="17" t="str">
        <f t="shared" si="11"/>
        <v/>
      </c>
      <c r="P751" s="13" t="s">
        <v>2501</v>
      </c>
      <c r="Q751" s="13" t="s">
        <v>2495</v>
      </c>
      <c r="R751" s="13" t="s">
        <v>0</v>
      </c>
      <c r="S751" s="13" t="s">
        <v>0</v>
      </c>
      <c r="T751" s="13" t="s">
        <v>9</v>
      </c>
      <c r="U751" s="13" t="s">
        <v>0</v>
      </c>
      <c r="V751" s="13" t="s">
        <v>0</v>
      </c>
      <c r="W751" s="13" t="s">
        <v>0</v>
      </c>
      <c r="X751" s="13" t="s">
        <v>0</v>
      </c>
      <c r="Y751" s="13" t="s">
        <v>10</v>
      </c>
      <c r="Z751" s="13" t="s">
        <v>0</v>
      </c>
      <c r="AA751" s="14"/>
      <c r="AB751" s="13" t="s">
        <v>0</v>
      </c>
      <c r="AC751" s="13" t="s">
        <v>0</v>
      </c>
      <c r="AD751" s="13" t="s">
        <v>0</v>
      </c>
      <c r="AE751" s="15">
        <v>0</v>
      </c>
    </row>
    <row r="752" spans="1:31" ht="14.15" customHeight="1" x14ac:dyDescent="0.25">
      <c r="A752" s="12" t="s">
        <v>0</v>
      </c>
      <c r="B752" s="13" t="s">
        <v>1</v>
      </c>
      <c r="C752" s="13" t="s">
        <v>2515</v>
      </c>
      <c r="D752" s="14">
        <v>44237</v>
      </c>
      <c r="E752" s="14">
        <v>44237</v>
      </c>
      <c r="F752" s="14">
        <v>44243</v>
      </c>
      <c r="G752" s="13" t="s">
        <v>3</v>
      </c>
      <c r="H752" s="13" t="s">
        <v>4</v>
      </c>
      <c r="I752" s="15">
        <v>-24297.48</v>
      </c>
      <c r="J752" s="13" t="s">
        <v>5</v>
      </c>
      <c r="K752" s="13" t="s">
        <v>6</v>
      </c>
      <c r="L752" s="15">
        <v>-2039773.45</v>
      </c>
      <c r="M752" s="15">
        <v>-24297.48</v>
      </c>
      <c r="N752" s="16" t="str">
        <f>IF(M752="","",IF(M752&lt;0,-M752&amp;"_"&amp;COUNTIF(M$2:M752,M752),M752&amp;"_"&amp;COUNTIF(M$2:M752,M752)))</f>
        <v>24297.48_1</v>
      </c>
      <c r="O752" s="17" t="str">
        <f t="shared" si="11"/>
        <v/>
      </c>
      <c r="P752" s="13" t="s">
        <v>2516</v>
      </c>
      <c r="Q752" s="13" t="s">
        <v>2517</v>
      </c>
      <c r="R752" s="13" t="s">
        <v>0</v>
      </c>
      <c r="S752" s="13" t="s">
        <v>0</v>
      </c>
      <c r="T752" s="13" t="s">
        <v>9</v>
      </c>
      <c r="U752" s="13" t="s">
        <v>0</v>
      </c>
      <c r="V752" s="13" t="s">
        <v>0</v>
      </c>
      <c r="W752" s="13" t="s">
        <v>0</v>
      </c>
      <c r="X752" s="13" t="s">
        <v>0</v>
      </c>
      <c r="Y752" s="13" t="s">
        <v>10</v>
      </c>
      <c r="Z752" s="13" t="s">
        <v>0</v>
      </c>
      <c r="AA752" s="14"/>
      <c r="AB752" s="13" t="s">
        <v>0</v>
      </c>
      <c r="AC752" s="13" t="s">
        <v>0</v>
      </c>
      <c r="AD752" s="13" t="s">
        <v>0</v>
      </c>
      <c r="AE752" s="15">
        <v>0</v>
      </c>
    </row>
    <row r="753" spans="1:31" ht="14.15" customHeight="1" x14ac:dyDescent="0.25">
      <c r="A753" s="12" t="s">
        <v>0</v>
      </c>
      <c r="B753" s="13" t="s">
        <v>1</v>
      </c>
      <c r="C753" s="13" t="s">
        <v>3031</v>
      </c>
      <c r="D753" s="14">
        <v>44281</v>
      </c>
      <c r="E753" s="14">
        <v>44281</v>
      </c>
      <c r="F753" s="14">
        <v>44290</v>
      </c>
      <c r="G753" s="13" t="s">
        <v>3</v>
      </c>
      <c r="H753" s="13" t="s">
        <v>4</v>
      </c>
      <c r="I753" s="15">
        <v>-24251.98</v>
      </c>
      <c r="J753" s="13" t="s">
        <v>5</v>
      </c>
      <c r="K753" s="13" t="s">
        <v>6</v>
      </c>
      <c r="L753" s="15">
        <v>-2035953.72</v>
      </c>
      <c r="M753" s="15">
        <v>-24251.98</v>
      </c>
      <c r="N753" s="16" t="str">
        <f>IF(M753="","",IF(M753&lt;0,-M753&amp;"_"&amp;COUNTIF(M$2:M753,M753),M753&amp;"_"&amp;COUNTIF(M$2:M753,M753)))</f>
        <v>24251.98_1</v>
      </c>
      <c r="O753" s="17" t="str">
        <f t="shared" si="11"/>
        <v/>
      </c>
      <c r="P753" s="13" t="s">
        <v>3032</v>
      </c>
      <c r="Q753" s="13" t="s">
        <v>3014</v>
      </c>
      <c r="R753" s="13" t="s">
        <v>0</v>
      </c>
      <c r="S753" s="13" t="s">
        <v>0</v>
      </c>
      <c r="T753" s="13" t="s">
        <v>9</v>
      </c>
      <c r="U753" s="13" t="s">
        <v>0</v>
      </c>
      <c r="V753" s="13" t="s">
        <v>0</v>
      </c>
      <c r="W753" s="13" t="s">
        <v>0</v>
      </c>
      <c r="X753" s="13" t="s">
        <v>0</v>
      </c>
      <c r="Y753" s="13" t="s">
        <v>10</v>
      </c>
      <c r="Z753" s="13" t="s">
        <v>0</v>
      </c>
      <c r="AA753" s="14"/>
      <c r="AB753" s="13" t="s">
        <v>0</v>
      </c>
      <c r="AC753" s="13" t="s">
        <v>0</v>
      </c>
      <c r="AD753" s="13" t="s">
        <v>0</v>
      </c>
      <c r="AE753" s="15">
        <v>0</v>
      </c>
    </row>
    <row r="754" spans="1:31" ht="14.15" customHeight="1" x14ac:dyDescent="0.25">
      <c r="A754" s="12" t="s">
        <v>0</v>
      </c>
      <c r="B754" s="13" t="s">
        <v>1</v>
      </c>
      <c r="C754" s="13" t="s">
        <v>660</v>
      </c>
      <c r="D754" s="14">
        <v>44087</v>
      </c>
      <c r="E754" s="14">
        <v>44087</v>
      </c>
      <c r="F754" s="14">
        <v>44097</v>
      </c>
      <c r="G754" s="13" t="s">
        <v>3</v>
      </c>
      <c r="H754" s="13" t="s">
        <v>4</v>
      </c>
      <c r="I754" s="15">
        <v>-24247.62</v>
      </c>
      <c r="J754" s="13" t="s">
        <v>5</v>
      </c>
      <c r="K754" s="13" t="s">
        <v>6</v>
      </c>
      <c r="L754" s="15">
        <v>-2035587.7</v>
      </c>
      <c r="M754" s="15">
        <v>-24247.62</v>
      </c>
      <c r="N754" s="16" t="str">
        <f>IF(M754="","",IF(M754&lt;0,-M754&amp;"_"&amp;COUNTIF(M$2:M754,M754),M754&amp;"_"&amp;COUNTIF(M$2:M754,M754)))</f>
        <v>24247.62_1</v>
      </c>
      <c r="O754" s="17" t="str">
        <f t="shared" si="11"/>
        <v/>
      </c>
      <c r="P754" s="13" t="s">
        <v>661</v>
      </c>
      <c r="Q754" s="13" t="s">
        <v>662</v>
      </c>
      <c r="R754" s="13" t="s">
        <v>0</v>
      </c>
      <c r="S754" s="13" t="s">
        <v>0</v>
      </c>
      <c r="T754" s="13" t="s">
        <v>9</v>
      </c>
      <c r="U754" s="13" t="s">
        <v>0</v>
      </c>
      <c r="V754" s="13" t="s">
        <v>0</v>
      </c>
      <c r="W754" s="13" t="s">
        <v>0</v>
      </c>
      <c r="X754" s="13" t="s">
        <v>0</v>
      </c>
      <c r="Y754" s="13" t="s">
        <v>10</v>
      </c>
      <c r="Z754" s="13" t="s">
        <v>0</v>
      </c>
      <c r="AA754" s="14"/>
      <c r="AB754" s="13" t="s">
        <v>0</v>
      </c>
      <c r="AC754" s="13" t="s">
        <v>0</v>
      </c>
      <c r="AD754" s="13" t="s">
        <v>0</v>
      </c>
      <c r="AE754" s="15">
        <v>0</v>
      </c>
    </row>
    <row r="755" spans="1:31" ht="14.15" customHeight="1" x14ac:dyDescent="0.25">
      <c r="A755" s="12" t="s">
        <v>0</v>
      </c>
      <c r="B755" s="13" t="s">
        <v>1</v>
      </c>
      <c r="C755" s="13" t="s">
        <v>86</v>
      </c>
      <c r="D755" s="14">
        <v>44021</v>
      </c>
      <c r="E755" s="14">
        <v>44021</v>
      </c>
      <c r="F755" s="14">
        <v>44032</v>
      </c>
      <c r="G755" s="13" t="s">
        <v>3</v>
      </c>
      <c r="H755" s="13" t="s">
        <v>4</v>
      </c>
      <c r="I755" s="15">
        <v>-24231.17</v>
      </c>
      <c r="J755" s="13" t="s">
        <v>5</v>
      </c>
      <c r="K755" s="13" t="s">
        <v>6</v>
      </c>
      <c r="L755" s="15">
        <v>-2034206.72</v>
      </c>
      <c r="M755" s="15">
        <v>-24231.17</v>
      </c>
      <c r="N755" s="16" t="str">
        <f>IF(M755="","",IF(M755&lt;0,-M755&amp;"_"&amp;COUNTIF(M$2:M755,M755),M755&amp;"_"&amp;COUNTIF(M$2:M755,M755)))</f>
        <v>24231.17_1</v>
      </c>
      <c r="O755" s="17" t="str">
        <f t="shared" si="11"/>
        <v/>
      </c>
      <c r="P755" s="13" t="s">
        <v>87</v>
      </c>
      <c r="Q755" s="13" t="s">
        <v>85</v>
      </c>
      <c r="R755" s="13" t="s">
        <v>0</v>
      </c>
      <c r="S755" s="13" t="s">
        <v>0</v>
      </c>
      <c r="T755" s="13" t="s">
        <v>9</v>
      </c>
      <c r="U755" s="13" t="s">
        <v>0</v>
      </c>
      <c r="V755" s="13" t="s">
        <v>0</v>
      </c>
      <c r="W755" s="13" t="s">
        <v>0</v>
      </c>
      <c r="X755" s="13" t="s">
        <v>0</v>
      </c>
      <c r="Y755" s="13" t="s">
        <v>10</v>
      </c>
      <c r="Z755" s="13" t="s">
        <v>0</v>
      </c>
      <c r="AA755" s="14"/>
      <c r="AB755" s="13" t="s">
        <v>0</v>
      </c>
      <c r="AC755" s="13" t="s">
        <v>0</v>
      </c>
      <c r="AD755" s="13" t="s">
        <v>0</v>
      </c>
      <c r="AE755" s="15">
        <v>0</v>
      </c>
    </row>
    <row r="756" spans="1:31" ht="14.15" customHeight="1" x14ac:dyDescent="0.25">
      <c r="A756" s="12" t="s">
        <v>0</v>
      </c>
      <c r="B756" s="13" t="s">
        <v>1</v>
      </c>
      <c r="C756" s="13" t="s">
        <v>180</v>
      </c>
      <c r="D756" s="14">
        <v>44034</v>
      </c>
      <c r="E756" s="14">
        <v>44034</v>
      </c>
      <c r="F756" s="14">
        <v>44040</v>
      </c>
      <c r="G756" s="13" t="s">
        <v>3</v>
      </c>
      <c r="H756" s="13" t="s">
        <v>4</v>
      </c>
      <c r="I756" s="15">
        <v>-24200.880000000001</v>
      </c>
      <c r="J756" s="13" t="s">
        <v>5</v>
      </c>
      <c r="K756" s="13" t="s">
        <v>6</v>
      </c>
      <c r="L756" s="15">
        <v>-2031663.88</v>
      </c>
      <c r="M756" s="15">
        <v>-24200.880000000001</v>
      </c>
      <c r="N756" s="16" t="str">
        <f>IF(M756="","",IF(M756&lt;0,-M756&amp;"_"&amp;COUNTIF(M$2:M756,M756),M756&amp;"_"&amp;COUNTIF(M$2:M756,M756)))</f>
        <v>24200.88_1</v>
      </c>
      <c r="O756" s="17" t="str">
        <f t="shared" si="11"/>
        <v/>
      </c>
      <c r="P756" s="13" t="s">
        <v>181</v>
      </c>
      <c r="Q756" s="13" t="s">
        <v>175</v>
      </c>
      <c r="R756" s="13" t="s">
        <v>0</v>
      </c>
      <c r="S756" s="13" t="s">
        <v>0</v>
      </c>
      <c r="T756" s="13" t="s">
        <v>9</v>
      </c>
      <c r="U756" s="13" t="s">
        <v>0</v>
      </c>
      <c r="V756" s="13" t="s">
        <v>0</v>
      </c>
      <c r="W756" s="13" t="s">
        <v>0</v>
      </c>
      <c r="X756" s="13" t="s">
        <v>0</v>
      </c>
      <c r="Y756" s="13" t="s">
        <v>10</v>
      </c>
      <c r="Z756" s="13" t="s">
        <v>0</v>
      </c>
      <c r="AA756" s="14"/>
      <c r="AB756" s="13" t="s">
        <v>0</v>
      </c>
      <c r="AC756" s="13" t="s">
        <v>0</v>
      </c>
      <c r="AD756" s="13" t="s">
        <v>0</v>
      </c>
      <c r="AE756" s="15">
        <v>0</v>
      </c>
    </row>
    <row r="757" spans="1:31" ht="14.15" customHeight="1" x14ac:dyDescent="0.25">
      <c r="A757" s="12" t="s">
        <v>0</v>
      </c>
      <c r="B757" s="13" t="s">
        <v>1</v>
      </c>
      <c r="C757" s="13" t="s">
        <v>1884</v>
      </c>
      <c r="D757" s="14">
        <v>44189</v>
      </c>
      <c r="E757" s="14">
        <v>44189</v>
      </c>
      <c r="F757" s="14">
        <v>44194</v>
      </c>
      <c r="G757" s="13" t="s">
        <v>3</v>
      </c>
      <c r="H757" s="13" t="s">
        <v>4</v>
      </c>
      <c r="I757" s="15">
        <v>-24186.99</v>
      </c>
      <c r="J757" s="13" t="s">
        <v>5</v>
      </c>
      <c r="K757" s="13" t="s">
        <v>6</v>
      </c>
      <c r="L757" s="15">
        <v>-2030497.81</v>
      </c>
      <c r="M757" s="15">
        <v>-24186.99</v>
      </c>
      <c r="N757" s="16" t="str">
        <f>IF(M757="","",IF(M757&lt;0,-M757&amp;"_"&amp;COUNTIF(M$2:M757,M757),M757&amp;"_"&amp;COUNTIF(M$2:M757,M757)))</f>
        <v>24186.99_1</v>
      </c>
      <c r="O757" s="17" t="str">
        <f t="shared" si="11"/>
        <v/>
      </c>
      <c r="P757" s="13" t="s">
        <v>1885</v>
      </c>
      <c r="Q757" s="13" t="s">
        <v>1886</v>
      </c>
      <c r="R757" s="13" t="s">
        <v>0</v>
      </c>
      <c r="S757" s="13" t="s">
        <v>0</v>
      </c>
      <c r="T757" s="13" t="s">
        <v>9</v>
      </c>
      <c r="U757" s="13" t="s">
        <v>0</v>
      </c>
      <c r="V757" s="13" t="s">
        <v>0</v>
      </c>
      <c r="W757" s="13" t="s">
        <v>0</v>
      </c>
      <c r="X757" s="13" t="s">
        <v>0</v>
      </c>
      <c r="Y757" s="13" t="s">
        <v>10</v>
      </c>
      <c r="Z757" s="13" t="s">
        <v>0</v>
      </c>
      <c r="AA757" s="14"/>
      <c r="AB757" s="13" t="s">
        <v>0</v>
      </c>
      <c r="AC757" s="13" t="s">
        <v>0</v>
      </c>
      <c r="AD757" s="13" t="s">
        <v>0</v>
      </c>
      <c r="AE757" s="15">
        <v>0</v>
      </c>
    </row>
    <row r="758" spans="1:31" ht="14.15" customHeight="1" x14ac:dyDescent="0.25">
      <c r="A758" s="12" t="s">
        <v>0</v>
      </c>
      <c r="B758" s="13" t="s">
        <v>1</v>
      </c>
      <c r="C758" s="13" t="s">
        <v>660</v>
      </c>
      <c r="D758" s="14">
        <v>44087</v>
      </c>
      <c r="E758" s="14">
        <v>44087</v>
      </c>
      <c r="F758" s="14">
        <v>44097</v>
      </c>
      <c r="G758" s="13" t="s">
        <v>3</v>
      </c>
      <c r="H758" s="13" t="s">
        <v>4</v>
      </c>
      <c r="I758" s="15">
        <v>-24162</v>
      </c>
      <c r="J758" s="13" t="s">
        <v>5</v>
      </c>
      <c r="K758" s="13" t="s">
        <v>6</v>
      </c>
      <c r="L758" s="15">
        <v>-2028399.9</v>
      </c>
      <c r="M758" s="15">
        <v>-24162</v>
      </c>
      <c r="N758" s="16" t="str">
        <f>IF(M758="","",IF(M758&lt;0,-M758&amp;"_"&amp;COUNTIF(M$2:M758,M758),M758&amp;"_"&amp;COUNTIF(M$2:M758,M758)))</f>
        <v>24162_1</v>
      </c>
      <c r="O758" s="17" t="str">
        <f t="shared" si="11"/>
        <v/>
      </c>
      <c r="P758" s="13" t="s">
        <v>661</v>
      </c>
      <c r="Q758" s="13" t="s">
        <v>662</v>
      </c>
      <c r="R758" s="13" t="s">
        <v>0</v>
      </c>
      <c r="S758" s="13" t="s">
        <v>0</v>
      </c>
      <c r="T758" s="13" t="s">
        <v>9</v>
      </c>
      <c r="U758" s="13" t="s">
        <v>0</v>
      </c>
      <c r="V758" s="13" t="s">
        <v>0</v>
      </c>
      <c r="W758" s="13" t="s">
        <v>0</v>
      </c>
      <c r="X758" s="13" t="s">
        <v>0</v>
      </c>
      <c r="Y758" s="13" t="s">
        <v>10</v>
      </c>
      <c r="Z758" s="13" t="s">
        <v>0</v>
      </c>
      <c r="AA758" s="14"/>
      <c r="AB758" s="13" t="s">
        <v>0</v>
      </c>
      <c r="AC758" s="13" t="s">
        <v>0</v>
      </c>
      <c r="AD758" s="13" t="s">
        <v>0</v>
      </c>
      <c r="AE758" s="15">
        <v>0</v>
      </c>
    </row>
    <row r="759" spans="1:31" ht="14.15" customHeight="1" x14ac:dyDescent="0.25">
      <c r="A759" s="12" t="s">
        <v>0</v>
      </c>
      <c r="B759" s="13" t="s">
        <v>1</v>
      </c>
      <c r="C759" s="13" t="s">
        <v>655</v>
      </c>
      <c r="D759" s="14">
        <v>44085</v>
      </c>
      <c r="E759" s="14">
        <v>44085</v>
      </c>
      <c r="F759" s="14">
        <v>44100</v>
      </c>
      <c r="G759" s="13" t="s">
        <v>3</v>
      </c>
      <c r="H759" s="13" t="s">
        <v>4</v>
      </c>
      <c r="I759" s="15">
        <v>-24146.1</v>
      </c>
      <c r="J759" s="13" t="s">
        <v>5</v>
      </c>
      <c r="K759" s="13" t="s">
        <v>6</v>
      </c>
      <c r="L759" s="15">
        <v>-2027065.1</v>
      </c>
      <c r="M759" s="15">
        <v>-24146.1</v>
      </c>
      <c r="N759" s="16" t="str">
        <f>IF(M759="","",IF(M759&lt;0,-M759&amp;"_"&amp;COUNTIF(M$2:M759,M759),M759&amp;"_"&amp;COUNTIF(M$2:M759,M759)))</f>
        <v>24146.1_1</v>
      </c>
      <c r="O759" s="17" t="str">
        <f t="shared" si="11"/>
        <v/>
      </c>
      <c r="P759" s="13" t="s">
        <v>656</v>
      </c>
      <c r="Q759" s="13" t="s">
        <v>650</v>
      </c>
      <c r="R759" s="13" t="s">
        <v>0</v>
      </c>
      <c r="S759" s="13" t="s">
        <v>0</v>
      </c>
      <c r="T759" s="13" t="s">
        <v>9</v>
      </c>
      <c r="U759" s="13" t="s">
        <v>0</v>
      </c>
      <c r="V759" s="13" t="s">
        <v>0</v>
      </c>
      <c r="W759" s="13" t="s">
        <v>0</v>
      </c>
      <c r="X759" s="13" t="s">
        <v>0</v>
      </c>
      <c r="Y759" s="13" t="s">
        <v>10</v>
      </c>
      <c r="Z759" s="13" t="s">
        <v>0</v>
      </c>
      <c r="AA759" s="14"/>
      <c r="AB759" s="13" t="s">
        <v>0</v>
      </c>
      <c r="AC759" s="13" t="s">
        <v>0</v>
      </c>
      <c r="AD759" s="13" t="s">
        <v>0</v>
      </c>
      <c r="AE759" s="15">
        <v>0</v>
      </c>
    </row>
    <row r="760" spans="1:31" ht="14.15" customHeight="1" x14ac:dyDescent="0.25">
      <c r="A760" s="12" t="s">
        <v>0</v>
      </c>
      <c r="B760" s="13" t="s">
        <v>1</v>
      </c>
      <c r="C760" s="13" t="s">
        <v>2460</v>
      </c>
      <c r="D760" s="14">
        <v>44234</v>
      </c>
      <c r="E760" s="14">
        <v>44234</v>
      </c>
      <c r="F760" s="14">
        <v>44241</v>
      </c>
      <c r="G760" s="13" t="s">
        <v>3</v>
      </c>
      <c r="H760" s="13" t="s">
        <v>4</v>
      </c>
      <c r="I760" s="15">
        <v>-24116.83</v>
      </c>
      <c r="J760" s="13" t="s">
        <v>5</v>
      </c>
      <c r="K760" s="13" t="s">
        <v>6</v>
      </c>
      <c r="L760" s="15">
        <v>-2024607.88</v>
      </c>
      <c r="M760" s="15">
        <v>-24116.83</v>
      </c>
      <c r="N760" s="16" t="str">
        <f>IF(M760="","",IF(M760&lt;0,-M760&amp;"_"&amp;COUNTIF(M$2:M760,M760),M760&amp;"_"&amp;COUNTIF(M$2:M760,M760)))</f>
        <v>24116.83_1</v>
      </c>
      <c r="O760" s="17" t="str">
        <f t="shared" si="11"/>
        <v/>
      </c>
      <c r="P760" s="13" t="s">
        <v>2461</v>
      </c>
      <c r="Q760" s="13" t="s">
        <v>2462</v>
      </c>
      <c r="R760" s="13" t="s">
        <v>0</v>
      </c>
      <c r="S760" s="13" t="s">
        <v>0</v>
      </c>
      <c r="T760" s="13" t="s">
        <v>9</v>
      </c>
      <c r="U760" s="13" t="s">
        <v>0</v>
      </c>
      <c r="V760" s="13" t="s">
        <v>0</v>
      </c>
      <c r="W760" s="13" t="s">
        <v>0</v>
      </c>
      <c r="X760" s="13" t="s">
        <v>0</v>
      </c>
      <c r="Y760" s="13" t="s">
        <v>10</v>
      </c>
      <c r="Z760" s="13" t="s">
        <v>0</v>
      </c>
      <c r="AA760" s="14"/>
      <c r="AB760" s="13" t="s">
        <v>0</v>
      </c>
      <c r="AC760" s="13" t="s">
        <v>0</v>
      </c>
      <c r="AD760" s="13" t="s">
        <v>0</v>
      </c>
      <c r="AE760" s="15">
        <v>0</v>
      </c>
    </row>
    <row r="761" spans="1:31" ht="14.15" customHeight="1" x14ac:dyDescent="0.25">
      <c r="A761" s="12" t="s">
        <v>0</v>
      </c>
      <c r="B761" s="13" t="s">
        <v>1</v>
      </c>
      <c r="C761" s="13" t="s">
        <v>2162</v>
      </c>
      <c r="D761" s="14">
        <v>44209</v>
      </c>
      <c r="E761" s="14">
        <v>44209</v>
      </c>
      <c r="F761" s="14">
        <v>44217</v>
      </c>
      <c r="G761" s="13" t="s">
        <v>3</v>
      </c>
      <c r="H761" s="13" t="s">
        <v>4</v>
      </c>
      <c r="I761" s="15">
        <v>-24097.34</v>
      </c>
      <c r="J761" s="13" t="s">
        <v>5</v>
      </c>
      <c r="K761" s="13" t="s">
        <v>6</v>
      </c>
      <c r="L761" s="15">
        <v>-2022971.69</v>
      </c>
      <c r="M761" s="15">
        <v>-24097.34</v>
      </c>
      <c r="N761" s="16" t="str">
        <f>IF(M761="","",IF(M761&lt;0,-M761&amp;"_"&amp;COUNTIF(M$2:M761,M761),M761&amp;"_"&amp;COUNTIF(M$2:M761,M761)))</f>
        <v>24097.34_1</v>
      </c>
      <c r="O761" s="17" t="str">
        <f t="shared" si="11"/>
        <v/>
      </c>
      <c r="P761" s="13" t="s">
        <v>2163</v>
      </c>
      <c r="Q761" s="13" t="s">
        <v>2159</v>
      </c>
      <c r="R761" s="13" t="s">
        <v>0</v>
      </c>
      <c r="S761" s="13" t="s">
        <v>0</v>
      </c>
      <c r="T761" s="13" t="s">
        <v>9</v>
      </c>
      <c r="U761" s="13" t="s">
        <v>0</v>
      </c>
      <c r="V761" s="13" t="s">
        <v>0</v>
      </c>
      <c r="W761" s="13" t="s">
        <v>0</v>
      </c>
      <c r="X761" s="13" t="s">
        <v>0</v>
      </c>
      <c r="Y761" s="13" t="s">
        <v>10</v>
      </c>
      <c r="Z761" s="13" t="s">
        <v>0</v>
      </c>
      <c r="AA761" s="14"/>
      <c r="AB761" s="13" t="s">
        <v>0</v>
      </c>
      <c r="AC761" s="13" t="s">
        <v>0</v>
      </c>
      <c r="AD761" s="13" t="s">
        <v>0</v>
      </c>
      <c r="AE761" s="15">
        <v>0</v>
      </c>
    </row>
    <row r="762" spans="1:31" ht="14.15" customHeight="1" x14ac:dyDescent="0.25">
      <c r="A762" s="12" t="s">
        <v>0</v>
      </c>
      <c r="B762" s="13" t="s">
        <v>1</v>
      </c>
      <c r="C762" s="13" t="s">
        <v>1406</v>
      </c>
      <c r="D762" s="14">
        <v>44154</v>
      </c>
      <c r="E762" s="14">
        <v>44154</v>
      </c>
      <c r="F762" s="14">
        <v>44159</v>
      </c>
      <c r="G762" s="13" t="s">
        <v>3</v>
      </c>
      <c r="H762" s="13" t="s">
        <v>4</v>
      </c>
      <c r="I762" s="15">
        <v>-24060.43</v>
      </c>
      <c r="J762" s="13" t="s">
        <v>5</v>
      </c>
      <c r="K762" s="13" t="s">
        <v>6</v>
      </c>
      <c r="L762" s="15">
        <v>-2019873.1</v>
      </c>
      <c r="M762" s="15">
        <v>-24060.43</v>
      </c>
      <c r="N762" s="16" t="str">
        <f>IF(M762="","",IF(M762&lt;0,-M762&amp;"_"&amp;COUNTIF(M$2:M762,M762),M762&amp;"_"&amp;COUNTIF(M$2:M762,M762)))</f>
        <v>24060.43_1</v>
      </c>
      <c r="O762" s="17" t="str">
        <f t="shared" si="11"/>
        <v/>
      </c>
      <c r="P762" s="13" t="s">
        <v>1407</v>
      </c>
      <c r="Q762" s="13" t="s">
        <v>1408</v>
      </c>
      <c r="R762" s="13" t="s">
        <v>0</v>
      </c>
      <c r="S762" s="13" t="s">
        <v>0</v>
      </c>
      <c r="T762" s="13" t="s">
        <v>9</v>
      </c>
      <c r="U762" s="13" t="s">
        <v>0</v>
      </c>
      <c r="V762" s="13" t="s">
        <v>0</v>
      </c>
      <c r="W762" s="13" t="s">
        <v>0</v>
      </c>
      <c r="X762" s="13" t="s">
        <v>0</v>
      </c>
      <c r="Y762" s="13" t="s">
        <v>10</v>
      </c>
      <c r="Z762" s="13" t="s">
        <v>0</v>
      </c>
      <c r="AA762" s="14"/>
      <c r="AB762" s="13" t="s">
        <v>0</v>
      </c>
      <c r="AC762" s="13" t="s">
        <v>0</v>
      </c>
      <c r="AD762" s="13" t="s">
        <v>0</v>
      </c>
      <c r="AE762" s="15">
        <v>0</v>
      </c>
    </row>
    <row r="763" spans="1:31" ht="14.15" customHeight="1" x14ac:dyDescent="0.25">
      <c r="A763" s="12" t="s">
        <v>0</v>
      </c>
      <c r="B763" s="13" t="s">
        <v>1</v>
      </c>
      <c r="C763" s="13" t="s">
        <v>2794</v>
      </c>
      <c r="D763" s="14">
        <v>44264</v>
      </c>
      <c r="E763" s="14">
        <v>44264</v>
      </c>
      <c r="F763" s="14">
        <v>44266</v>
      </c>
      <c r="G763" s="13" t="s">
        <v>3</v>
      </c>
      <c r="H763" s="13" t="s">
        <v>4</v>
      </c>
      <c r="I763" s="15">
        <v>-24060.17</v>
      </c>
      <c r="J763" s="13" t="s">
        <v>5</v>
      </c>
      <c r="K763" s="13" t="s">
        <v>6</v>
      </c>
      <c r="L763" s="15">
        <v>-2019851.27</v>
      </c>
      <c r="M763" s="15">
        <v>-24060.17</v>
      </c>
      <c r="N763" s="16" t="str">
        <f>IF(M763="","",IF(M763&lt;0,-M763&amp;"_"&amp;COUNTIF(M$2:M763,M763),M763&amp;"_"&amp;COUNTIF(M$2:M763,M763)))</f>
        <v>24060.17_1</v>
      </c>
      <c r="O763" s="17" t="str">
        <f t="shared" si="11"/>
        <v/>
      </c>
      <c r="P763" s="13" t="s">
        <v>2795</v>
      </c>
      <c r="Q763" s="13" t="s">
        <v>2796</v>
      </c>
      <c r="R763" s="13" t="s">
        <v>0</v>
      </c>
      <c r="S763" s="13" t="s">
        <v>0</v>
      </c>
      <c r="T763" s="13" t="s">
        <v>9</v>
      </c>
      <c r="U763" s="13" t="s">
        <v>0</v>
      </c>
      <c r="V763" s="13" t="s">
        <v>0</v>
      </c>
      <c r="W763" s="13" t="s">
        <v>0</v>
      </c>
      <c r="X763" s="13" t="s">
        <v>0</v>
      </c>
      <c r="Y763" s="13" t="s">
        <v>10</v>
      </c>
      <c r="Z763" s="13" t="s">
        <v>0</v>
      </c>
      <c r="AA763" s="14"/>
      <c r="AB763" s="13" t="s">
        <v>0</v>
      </c>
      <c r="AC763" s="13" t="s">
        <v>0</v>
      </c>
      <c r="AD763" s="13" t="s">
        <v>0</v>
      </c>
      <c r="AE763" s="15">
        <v>0</v>
      </c>
    </row>
    <row r="764" spans="1:31" ht="14.15" customHeight="1" x14ac:dyDescent="0.25">
      <c r="A764" s="12" t="s">
        <v>0</v>
      </c>
      <c r="B764" s="13" t="s">
        <v>1</v>
      </c>
      <c r="C764" s="13" t="s">
        <v>502</v>
      </c>
      <c r="D764" s="14">
        <v>44068</v>
      </c>
      <c r="E764" s="14">
        <v>44068</v>
      </c>
      <c r="F764" s="14">
        <v>44079</v>
      </c>
      <c r="G764" s="13" t="s">
        <v>3</v>
      </c>
      <c r="H764" s="13" t="s">
        <v>4</v>
      </c>
      <c r="I764" s="15">
        <v>-24037.41</v>
      </c>
      <c r="J764" s="13" t="s">
        <v>5</v>
      </c>
      <c r="K764" s="13" t="s">
        <v>6</v>
      </c>
      <c r="L764" s="15">
        <v>-2017940.57</v>
      </c>
      <c r="M764" s="15">
        <v>-24037.41</v>
      </c>
      <c r="N764" s="16" t="str">
        <f>IF(M764="","",IF(M764&lt;0,-M764&amp;"_"&amp;COUNTIF(M$2:M764,M764),M764&amp;"_"&amp;COUNTIF(M$2:M764,M764)))</f>
        <v>24037.41_1</v>
      </c>
      <c r="O764" s="17" t="str">
        <f t="shared" si="11"/>
        <v/>
      </c>
      <c r="P764" s="13" t="s">
        <v>503</v>
      </c>
      <c r="Q764" s="13" t="s">
        <v>501</v>
      </c>
      <c r="R764" s="13" t="s">
        <v>0</v>
      </c>
      <c r="S764" s="13" t="s">
        <v>0</v>
      </c>
      <c r="T764" s="13" t="s">
        <v>9</v>
      </c>
      <c r="U764" s="13" t="s">
        <v>0</v>
      </c>
      <c r="V764" s="13" t="s">
        <v>0</v>
      </c>
      <c r="W764" s="13" t="s">
        <v>0</v>
      </c>
      <c r="X764" s="13" t="s">
        <v>0</v>
      </c>
      <c r="Y764" s="13" t="s">
        <v>10</v>
      </c>
      <c r="Z764" s="13" t="s">
        <v>0</v>
      </c>
      <c r="AA764" s="14"/>
      <c r="AB764" s="13" t="s">
        <v>0</v>
      </c>
      <c r="AC764" s="13" t="s">
        <v>0</v>
      </c>
      <c r="AD764" s="13" t="s">
        <v>0</v>
      </c>
      <c r="AE764" s="15">
        <v>0</v>
      </c>
    </row>
    <row r="765" spans="1:31" ht="14.15" customHeight="1" x14ac:dyDescent="0.25">
      <c r="A765" s="12" t="s">
        <v>0</v>
      </c>
      <c r="B765" s="13" t="s">
        <v>1</v>
      </c>
      <c r="C765" s="13" t="s">
        <v>696</v>
      </c>
      <c r="D765" s="14">
        <v>44090</v>
      </c>
      <c r="E765" s="14">
        <v>44090</v>
      </c>
      <c r="F765" s="14">
        <v>44096</v>
      </c>
      <c r="G765" s="13" t="s">
        <v>3</v>
      </c>
      <c r="H765" s="13" t="s">
        <v>4</v>
      </c>
      <c r="I765" s="15">
        <v>-24019.31</v>
      </c>
      <c r="J765" s="13" t="s">
        <v>5</v>
      </c>
      <c r="K765" s="13" t="s">
        <v>6</v>
      </c>
      <c r="L765" s="15">
        <v>-2016421.07</v>
      </c>
      <c r="M765" s="15">
        <v>-24019.31</v>
      </c>
      <c r="N765" s="16" t="str">
        <f>IF(M765="","",IF(M765&lt;0,-M765&amp;"_"&amp;COUNTIF(M$2:M765,M765),M765&amp;"_"&amp;COUNTIF(M$2:M765,M765)))</f>
        <v>24019.31_1</v>
      </c>
      <c r="O765" s="17" t="str">
        <f t="shared" si="11"/>
        <v/>
      </c>
      <c r="P765" s="13" t="s">
        <v>697</v>
      </c>
      <c r="Q765" s="13" t="s">
        <v>687</v>
      </c>
      <c r="R765" s="13" t="s">
        <v>0</v>
      </c>
      <c r="S765" s="13" t="s">
        <v>0</v>
      </c>
      <c r="T765" s="13" t="s">
        <v>9</v>
      </c>
      <c r="U765" s="13" t="s">
        <v>0</v>
      </c>
      <c r="V765" s="13" t="s">
        <v>0</v>
      </c>
      <c r="W765" s="13" t="s">
        <v>0</v>
      </c>
      <c r="X765" s="13" t="s">
        <v>0</v>
      </c>
      <c r="Y765" s="13" t="s">
        <v>10</v>
      </c>
      <c r="Z765" s="13" t="s">
        <v>0</v>
      </c>
      <c r="AA765" s="14"/>
      <c r="AB765" s="13" t="s">
        <v>0</v>
      </c>
      <c r="AC765" s="13" t="s">
        <v>0</v>
      </c>
      <c r="AD765" s="13" t="s">
        <v>0</v>
      </c>
      <c r="AE765" s="15">
        <v>0</v>
      </c>
    </row>
    <row r="766" spans="1:31" ht="14.15" customHeight="1" x14ac:dyDescent="0.25">
      <c r="A766" s="12" t="s">
        <v>0</v>
      </c>
      <c r="B766" s="13" t="s">
        <v>1</v>
      </c>
      <c r="C766" s="13" t="s">
        <v>2821</v>
      </c>
      <c r="D766" s="14">
        <v>44267</v>
      </c>
      <c r="E766" s="14">
        <v>44267</v>
      </c>
      <c r="F766" s="14">
        <v>44272</v>
      </c>
      <c r="G766" s="13" t="s">
        <v>3</v>
      </c>
      <c r="H766" s="13" t="s">
        <v>4</v>
      </c>
      <c r="I766" s="15">
        <v>-23974.38</v>
      </c>
      <c r="J766" s="13" t="s">
        <v>5</v>
      </c>
      <c r="K766" s="13" t="s">
        <v>6</v>
      </c>
      <c r="L766" s="15">
        <v>-2012649.2</v>
      </c>
      <c r="M766" s="15">
        <v>-23974.38</v>
      </c>
      <c r="N766" s="16" t="str">
        <f>IF(M766="","",IF(M766&lt;0,-M766&amp;"_"&amp;COUNTIF(M$2:M766,M766),M766&amp;"_"&amp;COUNTIF(M$2:M766,M766)))</f>
        <v>23974.38_1</v>
      </c>
      <c r="O766" s="17" t="str">
        <f t="shared" si="11"/>
        <v/>
      </c>
      <c r="P766" s="13" t="s">
        <v>2822</v>
      </c>
      <c r="Q766" s="13" t="s">
        <v>2823</v>
      </c>
      <c r="R766" s="13" t="s">
        <v>0</v>
      </c>
      <c r="S766" s="13" t="s">
        <v>0</v>
      </c>
      <c r="T766" s="13" t="s">
        <v>9</v>
      </c>
      <c r="U766" s="13" t="s">
        <v>0</v>
      </c>
      <c r="V766" s="13" t="s">
        <v>0</v>
      </c>
      <c r="W766" s="13" t="s">
        <v>0</v>
      </c>
      <c r="X766" s="13" t="s">
        <v>0</v>
      </c>
      <c r="Y766" s="13" t="s">
        <v>10</v>
      </c>
      <c r="Z766" s="13" t="s">
        <v>0</v>
      </c>
      <c r="AA766" s="14"/>
      <c r="AB766" s="13" t="s">
        <v>0</v>
      </c>
      <c r="AC766" s="13" t="s">
        <v>0</v>
      </c>
      <c r="AD766" s="13" t="s">
        <v>0</v>
      </c>
      <c r="AE766" s="15">
        <v>0</v>
      </c>
    </row>
    <row r="767" spans="1:31" ht="14.15" customHeight="1" x14ac:dyDescent="0.25">
      <c r="A767" s="12" t="s">
        <v>0</v>
      </c>
      <c r="B767" s="13" t="s">
        <v>1</v>
      </c>
      <c r="C767" s="13" t="s">
        <v>3527</v>
      </c>
      <c r="D767" s="14">
        <v>44324</v>
      </c>
      <c r="E767" s="14">
        <v>44324</v>
      </c>
      <c r="F767" s="14">
        <v>44333</v>
      </c>
      <c r="G767" s="13" t="s">
        <v>3</v>
      </c>
      <c r="H767" s="13" t="s">
        <v>4</v>
      </c>
      <c r="I767" s="15">
        <v>-23896.75</v>
      </c>
      <c r="J767" s="13" t="s">
        <v>5</v>
      </c>
      <c r="K767" s="13" t="s">
        <v>6</v>
      </c>
      <c r="L767" s="15">
        <v>-2006132.17</v>
      </c>
      <c r="M767" s="15">
        <v>-23896.75</v>
      </c>
      <c r="N767" s="16" t="str">
        <f>IF(M767="","",IF(M767&lt;0,-M767&amp;"_"&amp;COUNTIF(M$2:M767,M767),M767&amp;"_"&amp;COUNTIF(M$2:M767,M767)))</f>
        <v>23896.75_1</v>
      </c>
      <c r="O767" s="17" t="str">
        <f t="shared" si="11"/>
        <v/>
      </c>
      <c r="P767" s="13" t="s">
        <v>3528</v>
      </c>
      <c r="Q767" s="13" t="s">
        <v>3512</v>
      </c>
      <c r="R767" s="13" t="s">
        <v>0</v>
      </c>
      <c r="S767" s="13" t="s">
        <v>0</v>
      </c>
      <c r="T767" s="13" t="s">
        <v>9</v>
      </c>
      <c r="U767" s="13" t="s">
        <v>0</v>
      </c>
      <c r="V767" s="13" t="s">
        <v>0</v>
      </c>
      <c r="W767" s="13" t="s">
        <v>0</v>
      </c>
      <c r="X767" s="13" t="s">
        <v>0</v>
      </c>
      <c r="Y767" s="13" t="s">
        <v>10</v>
      </c>
      <c r="Z767" s="13" t="s">
        <v>0</v>
      </c>
      <c r="AA767" s="14"/>
      <c r="AB767" s="13" t="s">
        <v>0</v>
      </c>
      <c r="AC767" s="13" t="s">
        <v>0</v>
      </c>
      <c r="AD767" s="13" t="s">
        <v>0</v>
      </c>
      <c r="AE767" s="15">
        <v>0</v>
      </c>
    </row>
    <row r="768" spans="1:31" ht="14.15" customHeight="1" x14ac:dyDescent="0.25">
      <c r="A768" s="12" t="s">
        <v>0</v>
      </c>
      <c r="B768" s="13" t="s">
        <v>1</v>
      </c>
      <c r="C768" s="13" t="s">
        <v>612</v>
      </c>
      <c r="D768" s="14">
        <v>44082</v>
      </c>
      <c r="E768" s="14">
        <v>44082</v>
      </c>
      <c r="F768" s="14">
        <v>44086</v>
      </c>
      <c r="G768" s="13" t="s">
        <v>3</v>
      </c>
      <c r="H768" s="13" t="s">
        <v>4</v>
      </c>
      <c r="I768" s="15">
        <v>-23853.66</v>
      </c>
      <c r="J768" s="13" t="s">
        <v>5</v>
      </c>
      <c r="K768" s="13" t="s">
        <v>6</v>
      </c>
      <c r="L768" s="15">
        <v>-2002514.76</v>
      </c>
      <c r="M768" s="15">
        <v>-23853.66</v>
      </c>
      <c r="N768" s="16" t="str">
        <f>IF(M768="","",IF(M768&lt;0,-M768&amp;"_"&amp;COUNTIF(M$2:M768,M768),M768&amp;"_"&amp;COUNTIF(M$2:M768,M768)))</f>
        <v>23853.66_1</v>
      </c>
      <c r="O768" s="17" t="str">
        <f t="shared" si="11"/>
        <v/>
      </c>
      <c r="P768" s="13" t="s">
        <v>613</v>
      </c>
      <c r="Q768" s="13" t="s">
        <v>603</v>
      </c>
      <c r="R768" s="13" t="s">
        <v>0</v>
      </c>
      <c r="S768" s="13" t="s">
        <v>0</v>
      </c>
      <c r="T768" s="13" t="s">
        <v>9</v>
      </c>
      <c r="U768" s="13" t="s">
        <v>0</v>
      </c>
      <c r="V768" s="13" t="s">
        <v>0</v>
      </c>
      <c r="W768" s="13" t="s">
        <v>0</v>
      </c>
      <c r="X768" s="13" t="s">
        <v>0</v>
      </c>
      <c r="Y768" s="13" t="s">
        <v>10</v>
      </c>
      <c r="Z768" s="13" t="s">
        <v>0</v>
      </c>
      <c r="AA768" s="14"/>
      <c r="AB768" s="13" t="s">
        <v>0</v>
      </c>
      <c r="AC768" s="13" t="s">
        <v>0</v>
      </c>
      <c r="AD768" s="13" t="s">
        <v>0</v>
      </c>
      <c r="AE768" s="15">
        <v>0</v>
      </c>
    </row>
    <row r="769" spans="1:31" ht="14.15" customHeight="1" x14ac:dyDescent="0.25">
      <c r="A769" s="12" t="s">
        <v>0</v>
      </c>
      <c r="B769" s="13" t="s">
        <v>1</v>
      </c>
      <c r="C769" s="13" t="s">
        <v>3291</v>
      </c>
      <c r="D769" s="14">
        <v>44314</v>
      </c>
      <c r="E769" s="14">
        <v>44314</v>
      </c>
      <c r="F769" s="14">
        <v>44319</v>
      </c>
      <c r="G769" s="13" t="s">
        <v>3</v>
      </c>
      <c r="H769" s="13" t="s">
        <v>4</v>
      </c>
      <c r="I769" s="15">
        <v>-23840.04</v>
      </c>
      <c r="J769" s="13" t="s">
        <v>5</v>
      </c>
      <c r="K769" s="13" t="s">
        <v>6</v>
      </c>
      <c r="L769" s="15">
        <v>-2001371.36</v>
      </c>
      <c r="M769" s="15">
        <v>-23840.04</v>
      </c>
      <c r="N769" s="16" t="str">
        <f>IF(M769="","",IF(M769&lt;0,-M769&amp;"_"&amp;COUNTIF(M$2:M769,M769),M769&amp;"_"&amp;COUNTIF(M$2:M769,M769)))</f>
        <v>23840.04_1</v>
      </c>
      <c r="O769" s="17" t="str">
        <f t="shared" si="11"/>
        <v/>
      </c>
      <c r="P769" s="13" t="s">
        <v>3292</v>
      </c>
      <c r="Q769" s="13" t="s">
        <v>3284</v>
      </c>
      <c r="R769" s="13" t="s">
        <v>0</v>
      </c>
      <c r="S769" s="13" t="s">
        <v>0</v>
      </c>
      <c r="T769" s="13" t="s">
        <v>9</v>
      </c>
      <c r="U769" s="13" t="s">
        <v>0</v>
      </c>
      <c r="V769" s="13" t="s">
        <v>0</v>
      </c>
      <c r="W769" s="13" t="s">
        <v>0</v>
      </c>
      <c r="X769" s="13" t="s">
        <v>0</v>
      </c>
      <c r="Y769" s="13" t="s">
        <v>10</v>
      </c>
      <c r="Z769" s="13" t="s">
        <v>0</v>
      </c>
      <c r="AA769" s="14"/>
      <c r="AB769" s="13" t="s">
        <v>0</v>
      </c>
      <c r="AC769" s="13" t="s">
        <v>0</v>
      </c>
      <c r="AD769" s="13" t="s">
        <v>0</v>
      </c>
      <c r="AE769" s="15">
        <v>0</v>
      </c>
    </row>
    <row r="770" spans="1:31" ht="14.15" customHeight="1" x14ac:dyDescent="0.25">
      <c r="A770" s="12" t="s">
        <v>0</v>
      </c>
      <c r="B770" s="13" t="s">
        <v>1</v>
      </c>
      <c r="C770" s="13" t="s">
        <v>1118</v>
      </c>
      <c r="D770" s="14">
        <v>44137</v>
      </c>
      <c r="E770" s="14">
        <v>44137</v>
      </c>
      <c r="F770" s="14">
        <v>44139</v>
      </c>
      <c r="G770" s="13" t="s">
        <v>3</v>
      </c>
      <c r="H770" s="13" t="s">
        <v>4</v>
      </c>
      <c r="I770" s="15">
        <v>-23838.85</v>
      </c>
      <c r="J770" s="13" t="s">
        <v>5</v>
      </c>
      <c r="K770" s="13" t="s">
        <v>6</v>
      </c>
      <c r="L770" s="15">
        <v>-2001271.46</v>
      </c>
      <c r="M770" s="15">
        <v>-23838.85</v>
      </c>
      <c r="N770" s="16" t="str">
        <f>IF(M770="","",IF(M770&lt;0,-M770&amp;"_"&amp;COUNTIF(M$2:M770,M770),M770&amp;"_"&amp;COUNTIF(M$2:M770,M770)))</f>
        <v>23838.85_1</v>
      </c>
      <c r="O770" s="17" t="str">
        <f t="shared" ref="O770:O833" si="12">IF(COUNTIF(N:N,N770)=2,"x","")</f>
        <v/>
      </c>
      <c r="P770" s="13" t="s">
        <v>1119</v>
      </c>
      <c r="Q770" s="13" t="s">
        <v>1120</v>
      </c>
      <c r="R770" s="13" t="s">
        <v>0</v>
      </c>
      <c r="S770" s="13" t="s">
        <v>0</v>
      </c>
      <c r="T770" s="13" t="s">
        <v>9</v>
      </c>
      <c r="U770" s="13" t="s">
        <v>0</v>
      </c>
      <c r="V770" s="13" t="s">
        <v>0</v>
      </c>
      <c r="W770" s="13" t="s">
        <v>0</v>
      </c>
      <c r="X770" s="13" t="s">
        <v>0</v>
      </c>
      <c r="Y770" s="13" t="s">
        <v>10</v>
      </c>
      <c r="Z770" s="13" t="s">
        <v>0</v>
      </c>
      <c r="AA770" s="14"/>
      <c r="AB770" s="13" t="s">
        <v>0</v>
      </c>
      <c r="AC770" s="13" t="s">
        <v>0</v>
      </c>
      <c r="AD770" s="13" t="s">
        <v>0</v>
      </c>
      <c r="AE770" s="15">
        <v>0</v>
      </c>
    </row>
    <row r="771" spans="1:31" ht="14.15" customHeight="1" x14ac:dyDescent="0.25">
      <c r="A771" s="12" t="s">
        <v>0</v>
      </c>
      <c r="B771" s="13" t="s">
        <v>1</v>
      </c>
      <c r="C771" s="13" t="s">
        <v>2933</v>
      </c>
      <c r="D771" s="14">
        <v>44276</v>
      </c>
      <c r="E771" s="14">
        <v>44276</v>
      </c>
      <c r="F771" s="14">
        <v>44283</v>
      </c>
      <c r="G771" s="13" t="s">
        <v>3</v>
      </c>
      <c r="H771" s="13" t="s">
        <v>4</v>
      </c>
      <c r="I771" s="15">
        <v>-23796.21</v>
      </c>
      <c r="J771" s="13" t="s">
        <v>5</v>
      </c>
      <c r="K771" s="13" t="s">
        <v>6</v>
      </c>
      <c r="L771" s="15">
        <v>-1997691.83</v>
      </c>
      <c r="M771" s="15">
        <v>-23796.21</v>
      </c>
      <c r="N771" s="16" t="str">
        <f>IF(M771="","",IF(M771&lt;0,-M771&amp;"_"&amp;COUNTIF(M$2:M771,M771),M771&amp;"_"&amp;COUNTIF(M$2:M771,M771)))</f>
        <v>23796.21_1</v>
      </c>
      <c r="O771" s="17" t="str">
        <f t="shared" si="12"/>
        <v/>
      </c>
      <c r="P771" s="13" t="s">
        <v>2934</v>
      </c>
      <c r="Q771" s="13" t="s">
        <v>2922</v>
      </c>
      <c r="R771" s="13" t="s">
        <v>0</v>
      </c>
      <c r="S771" s="13" t="s">
        <v>0</v>
      </c>
      <c r="T771" s="13" t="s">
        <v>9</v>
      </c>
      <c r="U771" s="13" t="s">
        <v>0</v>
      </c>
      <c r="V771" s="13" t="s">
        <v>0</v>
      </c>
      <c r="W771" s="13" t="s">
        <v>0</v>
      </c>
      <c r="X771" s="13" t="s">
        <v>0</v>
      </c>
      <c r="Y771" s="13" t="s">
        <v>10</v>
      </c>
      <c r="Z771" s="13" t="s">
        <v>0</v>
      </c>
      <c r="AA771" s="14"/>
      <c r="AB771" s="13" t="s">
        <v>0</v>
      </c>
      <c r="AC771" s="13" t="s">
        <v>0</v>
      </c>
      <c r="AD771" s="13" t="s">
        <v>0</v>
      </c>
      <c r="AE771" s="15">
        <v>0</v>
      </c>
    </row>
    <row r="772" spans="1:31" ht="14.15" customHeight="1" x14ac:dyDescent="0.25">
      <c r="A772" s="12" t="s">
        <v>0</v>
      </c>
      <c r="B772" s="13" t="s">
        <v>1</v>
      </c>
      <c r="C772" s="13" t="s">
        <v>343</v>
      </c>
      <c r="D772" s="14">
        <v>44046</v>
      </c>
      <c r="E772" s="14">
        <v>44046</v>
      </c>
      <c r="F772" s="14">
        <v>44053</v>
      </c>
      <c r="G772" s="13" t="s">
        <v>3</v>
      </c>
      <c r="H772" s="13" t="s">
        <v>4</v>
      </c>
      <c r="I772" s="15">
        <v>-23782.25</v>
      </c>
      <c r="J772" s="13" t="s">
        <v>5</v>
      </c>
      <c r="K772" s="13" t="s">
        <v>6</v>
      </c>
      <c r="L772" s="15">
        <v>-1996519.89</v>
      </c>
      <c r="M772" s="15">
        <v>-23782.25</v>
      </c>
      <c r="N772" s="16" t="str">
        <f>IF(M772="","",IF(M772&lt;0,-M772&amp;"_"&amp;COUNTIF(M$2:M772,M772),M772&amp;"_"&amp;COUNTIF(M$2:M772,M772)))</f>
        <v>23782.25_1</v>
      </c>
      <c r="O772" s="17" t="str">
        <f t="shared" si="12"/>
        <v/>
      </c>
      <c r="P772" s="13" t="s">
        <v>344</v>
      </c>
      <c r="Q772" s="13" t="s">
        <v>338</v>
      </c>
      <c r="R772" s="13" t="s">
        <v>0</v>
      </c>
      <c r="S772" s="13" t="s">
        <v>0</v>
      </c>
      <c r="T772" s="13" t="s">
        <v>9</v>
      </c>
      <c r="U772" s="13" t="s">
        <v>0</v>
      </c>
      <c r="V772" s="13" t="s">
        <v>0</v>
      </c>
      <c r="W772" s="13" t="s">
        <v>0</v>
      </c>
      <c r="X772" s="13" t="s">
        <v>0</v>
      </c>
      <c r="Y772" s="13" t="s">
        <v>10</v>
      </c>
      <c r="Z772" s="13" t="s">
        <v>0</v>
      </c>
      <c r="AA772" s="14"/>
      <c r="AB772" s="13" t="s">
        <v>0</v>
      </c>
      <c r="AC772" s="13" t="s">
        <v>0</v>
      </c>
      <c r="AD772" s="13" t="s">
        <v>0</v>
      </c>
      <c r="AE772" s="15">
        <v>0</v>
      </c>
    </row>
    <row r="773" spans="1:31" ht="14.15" customHeight="1" x14ac:dyDescent="0.25">
      <c r="A773" s="12" t="s">
        <v>0</v>
      </c>
      <c r="B773" s="13" t="s">
        <v>1</v>
      </c>
      <c r="C773" s="13" t="s">
        <v>1750</v>
      </c>
      <c r="D773" s="14">
        <v>44179</v>
      </c>
      <c r="E773" s="14">
        <v>44179</v>
      </c>
      <c r="F773" s="14">
        <v>44185</v>
      </c>
      <c r="G773" s="13" t="s">
        <v>3</v>
      </c>
      <c r="H773" s="13" t="s">
        <v>4</v>
      </c>
      <c r="I773" s="15">
        <v>-23746.17</v>
      </c>
      <c r="J773" s="13" t="s">
        <v>5</v>
      </c>
      <c r="K773" s="13" t="s">
        <v>6</v>
      </c>
      <c r="L773" s="15">
        <v>-1993490.97</v>
      </c>
      <c r="M773" s="15">
        <v>-23746.17</v>
      </c>
      <c r="N773" s="16" t="str">
        <f>IF(M773="","",IF(M773&lt;0,-M773&amp;"_"&amp;COUNTIF(M$2:M773,M773),M773&amp;"_"&amp;COUNTIF(M$2:M773,M773)))</f>
        <v>23746.17_1</v>
      </c>
      <c r="O773" s="17" t="str">
        <f t="shared" si="12"/>
        <v/>
      </c>
      <c r="P773" s="13" t="s">
        <v>1751</v>
      </c>
      <c r="Q773" s="13" t="s">
        <v>1752</v>
      </c>
      <c r="R773" s="13" t="s">
        <v>0</v>
      </c>
      <c r="S773" s="13" t="s">
        <v>0</v>
      </c>
      <c r="T773" s="13" t="s">
        <v>9</v>
      </c>
      <c r="U773" s="13" t="s">
        <v>0</v>
      </c>
      <c r="V773" s="13" t="s">
        <v>0</v>
      </c>
      <c r="W773" s="13" t="s">
        <v>0</v>
      </c>
      <c r="X773" s="13" t="s">
        <v>0</v>
      </c>
      <c r="Y773" s="13" t="s">
        <v>10</v>
      </c>
      <c r="Z773" s="13" t="s">
        <v>0</v>
      </c>
      <c r="AA773" s="14"/>
      <c r="AB773" s="13" t="s">
        <v>0</v>
      </c>
      <c r="AC773" s="13" t="s">
        <v>0</v>
      </c>
      <c r="AD773" s="13" t="s">
        <v>0</v>
      </c>
      <c r="AE773" s="15">
        <v>0</v>
      </c>
    </row>
    <row r="774" spans="1:31" ht="14.15" customHeight="1" x14ac:dyDescent="0.25">
      <c r="A774" s="12" t="s">
        <v>0</v>
      </c>
      <c r="B774" s="13" t="s">
        <v>1</v>
      </c>
      <c r="C774" s="13" t="s">
        <v>2644</v>
      </c>
      <c r="D774" s="14">
        <v>44249</v>
      </c>
      <c r="E774" s="14">
        <v>44249</v>
      </c>
      <c r="F774" s="14">
        <v>44255</v>
      </c>
      <c r="G774" s="13" t="s">
        <v>3</v>
      </c>
      <c r="H774" s="13" t="s">
        <v>4</v>
      </c>
      <c r="I774" s="15">
        <v>-23700.85</v>
      </c>
      <c r="J774" s="13" t="s">
        <v>5</v>
      </c>
      <c r="K774" s="13" t="s">
        <v>6</v>
      </c>
      <c r="L774" s="15">
        <v>-1989686.36</v>
      </c>
      <c r="M774" s="15">
        <v>-23700.85</v>
      </c>
      <c r="N774" s="16" t="str">
        <f>IF(M774="","",IF(M774&lt;0,-M774&amp;"_"&amp;COUNTIF(M$2:M774,M774),M774&amp;"_"&amp;COUNTIF(M$2:M774,M774)))</f>
        <v>23700.85_1</v>
      </c>
      <c r="O774" s="17" t="str">
        <f t="shared" si="12"/>
        <v/>
      </c>
      <c r="P774" s="13" t="s">
        <v>2645</v>
      </c>
      <c r="Q774" s="13" t="s">
        <v>2646</v>
      </c>
      <c r="R774" s="13" t="s">
        <v>0</v>
      </c>
      <c r="S774" s="13" t="s">
        <v>0</v>
      </c>
      <c r="T774" s="13" t="s">
        <v>9</v>
      </c>
      <c r="U774" s="13" t="s">
        <v>0</v>
      </c>
      <c r="V774" s="13" t="s">
        <v>0</v>
      </c>
      <c r="W774" s="13" t="s">
        <v>0</v>
      </c>
      <c r="X774" s="13" t="s">
        <v>0</v>
      </c>
      <c r="Y774" s="13" t="s">
        <v>10</v>
      </c>
      <c r="Z774" s="13" t="s">
        <v>0</v>
      </c>
      <c r="AA774" s="14"/>
      <c r="AB774" s="13" t="s">
        <v>0</v>
      </c>
      <c r="AC774" s="13" t="s">
        <v>0</v>
      </c>
      <c r="AD774" s="13" t="s">
        <v>0</v>
      </c>
      <c r="AE774" s="15">
        <v>0</v>
      </c>
    </row>
    <row r="775" spans="1:31" ht="14.15" customHeight="1" x14ac:dyDescent="0.25">
      <c r="A775" s="12" t="s">
        <v>0</v>
      </c>
      <c r="B775" s="13" t="s">
        <v>1</v>
      </c>
      <c r="C775" s="13" t="s">
        <v>65</v>
      </c>
      <c r="D775" s="14">
        <v>44018</v>
      </c>
      <c r="E775" s="14">
        <v>44018</v>
      </c>
      <c r="F775" s="14">
        <v>44025</v>
      </c>
      <c r="G775" s="13" t="s">
        <v>3</v>
      </c>
      <c r="H775" s="13" t="s">
        <v>4</v>
      </c>
      <c r="I775" s="15">
        <v>-23695.71</v>
      </c>
      <c r="J775" s="13" t="s">
        <v>5</v>
      </c>
      <c r="K775" s="13" t="s">
        <v>6</v>
      </c>
      <c r="L775" s="15">
        <v>-1989254.87</v>
      </c>
      <c r="M775" s="15">
        <v>-23695.71</v>
      </c>
      <c r="N775" s="16" t="str">
        <f>IF(M775="","",IF(M775&lt;0,-M775&amp;"_"&amp;COUNTIF(M$2:M775,M775),M775&amp;"_"&amp;COUNTIF(M$2:M775,M775)))</f>
        <v>23695.71_1</v>
      </c>
      <c r="O775" s="17" t="str">
        <f t="shared" si="12"/>
        <v/>
      </c>
      <c r="P775" s="13" t="s">
        <v>66</v>
      </c>
      <c r="Q775" s="13" t="s">
        <v>62</v>
      </c>
      <c r="R775" s="13" t="s">
        <v>0</v>
      </c>
      <c r="S775" s="13" t="s">
        <v>0</v>
      </c>
      <c r="T775" s="13" t="s">
        <v>9</v>
      </c>
      <c r="U775" s="13" t="s">
        <v>0</v>
      </c>
      <c r="V775" s="13" t="s">
        <v>0</v>
      </c>
      <c r="W775" s="13" t="s">
        <v>0</v>
      </c>
      <c r="X775" s="13" t="s">
        <v>0</v>
      </c>
      <c r="Y775" s="13" t="s">
        <v>10</v>
      </c>
      <c r="Z775" s="13" t="s">
        <v>0</v>
      </c>
      <c r="AA775" s="14"/>
      <c r="AB775" s="13" t="s">
        <v>0</v>
      </c>
      <c r="AC775" s="13" t="s">
        <v>0</v>
      </c>
      <c r="AD775" s="13" t="s">
        <v>0</v>
      </c>
      <c r="AE775" s="15">
        <v>0</v>
      </c>
    </row>
    <row r="776" spans="1:31" ht="14.15" customHeight="1" x14ac:dyDescent="0.25">
      <c r="A776" s="12" t="s">
        <v>0</v>
      </c>
      <c r="B776" s="13" t="s">
        <v>1</v>
      </c>
      <c r="C776" s="13" t="s">
        <v>3245</v>
      </c>
      <c r="D776" s="14">
        <v>44307</v>
      </c>
      <c r="E776" s="14">
        <v>44307</v>
      </c>
      <c r="F776" s="14">
        <v>44313</v>
      </c>
      <c r="G776" s="13" t="s">
        <v>3</v>
      </c>
      <c r="H776" s="13" t="s">
        <v>4</v>
      </c>
      <c r="I776" s="15">
        <v>-23684.21</v>
      </c>
      <c r="J776" s="13" t="s">
        <v>5</v>
      </c>
      <c r="K776" s="13" t="s">
        <v>6</v>
      </c>
      <c r="L776" s="15">
        <v>-1988289.43</v>
      </c>
      <c r="M776" s="15">
        <v>-23684.21</v>
      </c>
      <c r="N776" s="16" t="str">
        <f>IF(M776="","",IF(M776&lt;0,-M776&amp;"_"&amp;COUNTIF(M$2:M776,M776),M776&amp;"_"&amp;COUNTIF(M$2:M776,M776)))</f>
        <v>23684.21_1</v>
      </c>
      <c r="O776" s="17" t="str">
        <f t="shared" si="12"/>
        <v/>
      </c>
      <c r="P776" s="13" t="s">
        <v>3246</v>
      </c>
      <c r="Q776" s="13" t="s">
        <v>3244</v>
      </c>
      <c r="R776" s="13" t="s">
        <v>0</v>
      </c>
      <c r="S776" s="13" t="s">
        <v>0</v>
      </c>
      <c r="T776" s="13" t="s">
        <v>9</v>
      </c>
      <c r="U776" s="13" t="s">
        <v>0</v>
      </c>
      <c r="V776" s="13" t="s">
        <v>0</v>
      </c>
      <c r="W776" s="13" t="s">
        <v>0</v>
      </c>
      <c r="X776" s="13" t="s">
        <v>0</v>
      </c>
      <c r="Y776" s="13" t="s">
        <v>10</v>
      </c>
      <c r="Z776" s="13" t="s">
        <v>0</v>
      </c>
      <c r="AA776" s="14"/>
      <c r="AB776" s="13" t="s">
        <v>0</v>
      </c>
      <c r="AC776" s="13" t="s">
        <v>0</v>
      </c>
      <c r="AD776" s="13" t="s">
        <v>0</v>
      </c>
      <c r="AE776" s="15">
        <v>0</v>
      </c>
    </row>
    <row r="777" spans="1:31" ht="14.15" customHeight="1" x14ac:dyDescent="0.25">
      <c r="A777" s="12" t="s">
        <v>0</v>
      </c>
      <c r="B777" s="13" t="s">
        <v>1</v>
      </c>
      <c r="C777" s="13" t="s">
        <v>3865</v>
      </c>
      <c r="D777" s="14">
        <v>44351</v>
      </c>
      <c r="E777" s="14">
        <v>44351</v>
      </c>
      <c r="F777" s="14">
        <v>44364</v>
      </c>
      <c r="G777" s="13" t="s">
        <v>3</v>
      </c>
      <c r="H777" s="13" t="s">
        <v>4</v>
      </c>
      <c r="I777" s="15">
        <v>-23683.94</v>
      </c>
      <c r="J777" s="13" t="s">
        <v>5</v>
      </c>
      <c r="K777" s="13" t="s">
        <v>6</v>
      </c>
      <c r="L777" s="15">
        <v>-1988266.76</v>
      </c>
      <c r="M777" s="15">
        <v>-23683.94</v>
      </c>
      <c r="N777" s="16" t="str">
        <f>IF(M777="","",IF(M777&lt;0,-M777&amp;"_"&amp;COUNTIF(M$2:M777,M777),M777&amp;"_"&amp;COUNTIF(M$2:M777,M777)))</f>
        <v>23683.94_1</v>
      </c>
      <c r="O777" s="17" t="str">
        <f t="shared" si="12"/>
        <v/>
      </c>
      <c r="P777" s="13" t="s">
        <v>3866</v>
      </c>
      <c r="Q777" s="13" t="s">
        <v>3857</v>
      </c>
      <c r="R777" s="13" t="s">
        <v>0</v>
      </c>
      <c r="S777" s="13" t="s">
        <v>0</v>
      </c>
      <c r="T777" s="13" t="s">
        <v>9</v>
      </c>
      <c r="U777" s="13" t="s">
        <v>0</v>
      </c>
      <c r="V777" s="13" t="s">
        <v>0</v>
      </c>
      <c r="W777" s="13" t="s">
        <v>0</v>
      </c>
      <c r="X777" s="13" t="s">
        <v>0</v>
      </c>
      <c r="Y777" s="13" t="s">
        <v>10</v>
      </c>
      <c r="Z777" s="13" t="s">
        <v>0</v>
      </c>
      <c r="AA777" s="14"/>
      <c r="AB777" s="13" t="s">
        <v>0</v>
      </c>
      <c r="AC777" s="13" t="s">
        <v>0</v>
      </c>
      <c r="AD777" s="13" t="s">
        <v>0</v>
      </c>
      <c r="AE777" s="15">
        <v>0</v>
      </c>
    </row>
    <row r="778" spans="1:31" ht="14.15" customHeight="1" x14ac:dyDescent="0.25">
      <c r="A778" s="12" t="s">
        <v>0</v>
      </c>
      <c r="B778" s="13" t="s">
        <v>1</v>
      </c>
      <c r="C778" s="13" t="s">
        <v>1760</v>
      </c>
      <c r="D778" s="14">
        <v>44180</v>
      </c>
      <c r="E778" s="14">
        <v>44180</v>
      </c>
      <c r="F778" s="14">
        <v>44185</v>
      </c>
      <c r="G778" s="13" t="s">
        <v>3</v>
      </c>
      <c r="H778" s="13" t="s">
        <v>4</v>
      </c>
      <c r="I778" s="15">
        <v>-23567.759999999998</v>
      </c>
      <c r="J778" s="13" t="s">
        <v>5</v>
      </c>
      <c r="K778" s="13" t="s">
        <v>6</v>
      </c>
      <c r="L778" s="15">
        <v>-1978513.45</v>
      </c>
      <c r="M778" s="15">
        <v>-23567.759999999998</v>
      </c>
      <c r="N778" s="16" t="str">
        <f>IF(M778="","",IF(M778&lt;0,-M778&amp;"_"&amp;COUNTIF(M$2:M778,M778),M778&amp;"_"&amp;COUNTIF(M$2:M778,M778)))</f>
        <v>23567.76_1</v>
      </c>
      <c r="O778" s="17" t="str">
        <f t="shared" si="12"/>
        <v/>
      </c>
      <c r="P778" s="13" t="s">
        <v>1761</v>
      </c>
      <c r="Q778" s="13" t="s">
        <v>1757</v>
      </c>
      <c r="R778" s="13" t="s">
        <v>0</v>
      </c>
      <c r="S778" s="13" t="s">
        <v>0</v>
      </c>
      <c r="T778" s="13" t="s">
        <v>9</v>
      </c>
      <c r="U778" s="13" t="s">
        <v>0</v>
      </c>
      <c r="V778" s="13" t="s">
        <v>0</v>
      </c>
      <c r="W778" s="13" t="s">
        <v>0</v>
      </c>
      <c r="X778" s="13" t="s">
        <v>0</v>
      </c>
      <c r="Y778" s="13" t="s">
        <v>10</v>
      </c>
      <c r="Z778" s="13" t="s">
        <v>0</v>
      </c>
      <c r="AA778" s="14"/>
      <c r="AB778" s="13" t="s">
        <v>0</v>
      </c>
      <c r="AC778" s="13" t="s">
        <v>0</v>
      </c>
      <c r="AD778" s="13" t="s">
        <v>0</v>
      </c>
      <c r="AE778" s="15">
        <v>0</v>
      </c>
    </row>
    <row r="779" spans="1:31" ht="14.15" customHeight="1" x14ac:dyDescent="0.25">
      <c r="A779" s="12" t="s">
        <v>0</v>
      </c>
      <c r="B779" s="13" t="s">
        <v>1</v>
      </c>
      <c r="C779" s="13" t="s">
        <v>1200</v>
      </c>
      <c r="D779" s="14">
        <v>44140</v>
      </c>
      <c r="E779" s="14">
        <v>44140</v>
      </c>
      <c r="F779" s="14">
        <v>44146</v>
      </c>
      <c r="G779" s="13" t="s">
        <v>3</v>
      </c>
      <c r="H779" s="13" t="s">
        <v>4</v>
      </c>
      <c r="I779" s="15">
        <v>-23544.2</v>
      </c>
      <c r="J779" s="13" t="s">
        <v>5</v>
      </c>
      <c r="K779" s="13" t="s">
        <v>6</v>
      </c>
      <c r="L779" s="15">
        <v>-1976535.59</v>
      </c>
      <c r="M779" s="15">
        <v>-23544.2</v>
      </c>
      <c r="N779" s="16" t="str">
        <f>IF(M779="","",IF(M779&lt;0,-M779&amp;"_"&amp;COUNTIF(M$2:M779,M779),M779&amp;"_"&amp;COUNTIF(M$2:M779,M779)))</f>
        <v>23544.2_1</v>
      </c>
      <c r="O779" s="17" t="str">
        <f t="shared" si="12"/>
        <v/>
      </c>
      <c r="P779" s="13" t="s">
        <v>1201</v>
      </c>
      <c r="Q779" s="13" t="s">
        <v>1165</v>
      </c>
      <c r="R779" s="13" t="s">
        <v>0</v>
      </c>
      <c r="S779" s="13" t="s">
        <v>0</v>
      </c>
      <c r="T779" s="13" t="s">
        <v>9</v>
      </c>
      <c r="U779" s="13" t="s">
        <v>0</v>
      </c>
      <c r="V779" s="13" t="s">
        <v>0</v>
      </c>
      <c r="W779" s="13" t="s">
        <v>0</v>
      </c>
      <c r="X779" s="13" t="s">
        <v>0</v>
      </c>
      <c r="Y779" s="13" t="s">
        <v>10</v>
      </c>
      <c r="Z779" s="13" t="s">
        <v>0</v>
      </c>
      <c r="AA779" s="14"/>
      <c r="AB779" s="13" t="s">
        <v>0</v>
      </c>
      <c r="AC779" s="13" t="s">
        <v>0</v>
      </c>
      <c r="AD779" s="13" t="s">
        <v>0</v>
      </c>
      <c r="AE779" s="15">
        <v>0</v>
      </c>
    </row>
    <row r="780" spans="1:31" ht="14.15" customHeight="1" x14ac:dyDescent="0.25">
      <c r="A780" s="12" t="s">
        <v>0</v>
      </c>
      <c r="B780" s="13" t="s">
        <v>1</v>
      </c>
      <c r="C780" s="13" t="s">
        <v>1109</v>
      </c>
      <c r="D780" s="14">
        <v>44136</v>
      </c>
      <c r="E780" s="14">
        <v>44136</v>
      </c>
      <c r="F780" s="14">
        <v>44139</v>
      </c>
      <c r="G780" s="13" t="s">
        <v>3</v>
      </c>
      <c r="H780" s="13" t="s">
        <v>4</v>
      </c>
      <c r="I780" s="15">
        <v>-23533.85</v>
      </c>
      <c r="J780" s="13" t="s">
        <v>5</v>
      </c>
      <c r="K780" s="13" t="s">
        <v>6</v>
      </c>
      <c r="L780" s="15">
        <v>-1975666.71</v>
      </c>
      <c r="M780" s="15">
        <v>-23533.85</v>
      </c>
      <c r="N780" s="16" t="str">
        <f>IF(M780="","",IF(M780&lt;0,-M780&amp;"_"&amp;COUNTIF(M$2:M780,M780),M780&amp;"_"&amp;COUNTIF(M$2:M780,M780)))</f>
        <v>23533.85_1</v>
      </c>
      <c r="O780" s="17" t="str">
        <f t="shared" si="12"/>
        <v/>
      </c>
      <c r="P780" s="13" t="s">
        <v>1110</v>
      </c>
      <c r="Q780" s="13" t="s">
        <v>1111</v>
      </c>
      <c r="R780" s="13" t="s">
        <v>0</v>
      </c>
      <c r="S780" s="13" t="s">
        <v>0</v>
      </c>
      <c r="T780" s="13" t="s">
        <v>9</v>
      </c>
      <c r="U780" s="13" t="s">
        <v>0</v>
      </c>
      <c r="V780" s="13" t="s">
        <v>0</v>
      </c>
      <c r="W780" s="13" t="s">
        <v>0</v>
      </c>
      <c r="X780" s="13" t="s">
        <v>0</v>
      </c>
      <c r="Y780" s="13" t="s">
        <v>10</v>
      </c>
      <c r="Z780" s="13" t="s">
        <v>0</v>
      </c>
      <c r="AA780" s="14"/>
      <c r="AB780" s="13" t="s">
        <v>0</v>
      </c>
      <c r="AC780" s="13" t="s">
        <v>0</v>
      </c>
      <c r="AD780" s="13" t="s">
        <v>0</v>
      </c>
      <c r="AE780" s="15">
        <v>0</v>
      </c>
    </row>
    <row r="781" spans="1:31" ht="14.15" customHeight="1" x14ac:dyDescent="0.25">
      <c r="A781" s="12" t="s">
        <v>0</v>
      </c>
      <c r="B781" s="13" t="s">
        <v>1</v>
      </c>
      <c r="C781" s="13" t="s">
        <v>1384</v>
      </c>
      <c r="D781" s="14">
        <v>44153</v>
      </c>
      <c r="E781" s="14">
        <v>44153</v>
      </c>
      <c r="F781" s="14">
        <v>44159</v>
      </c>
      <c r="G781" s="13" t="s">
        <v>3</v>
      </c>
      <c r="H781" s="13" t="s">
        <v>4</v>
      </c>
      <c r="I781" s="15">
        <v>-23507.86</v>
      </c>
      <c r="J781" s="13" t="s">
        <v>5</v>
      </c>
      <c r="K781" s="13" t="s">
        <v>6</v>
      </c>
      <c r="L781" s="15">
        <v>-1973484.85</v>
      </c>
      <c r="M781" s="15">
        <v>-23507.86</v>
      </c>
      <c r="N781" s="16" t="str">
        <f>IF(M781="","",IF(M781&lt;0,-M781&amp;"_"&amp;COUNTIF(M$2:M781,M781),M781&amp;"_"&amp;COUNTIF(M$2:M781,M781)))</f>
        <v>23507.86_1</v>
      </c>
      <c r="O781" s="17" t="str">
        <f t="shared" si="12"/>
        <v/>
      </c>
      <c r="P781" s="13" t="s">
        <v>1385</v>
      </c>
      <c r="Q781" s="13" t="s">
        <v>1381</v>
      </c>
      <c r="R781" s="13" t="s">
        <v>0</v>
      </c>
      <c r="S781" s="13" t="s">
        <v>0</v>
      </c>
      <c r="T781" s="13" t="s">
        <v>9</v>
      </c>
      <c r="U781" s="13" t="s">
        <v>0</v>
      </c>
      <c r="V781" s="13" t="s">
        <v>0</v>
      </c>
      <c r="W781" s="13" t="s">
        <v>0</v>
      </c>
      <c r="X781" s="13" t="s">
        <v>0</v>
      </c>
      <c r="Y781" s="13" t="s">
        <v>10</v>
      </c>
      <c r="Z781" s="13" t="s">
        <v>0</v>
      </c>
      <c r="AA781" s="14"/>
      <c r="AB781" s="13" t="s">
        <v>0</v>
      </c>
      <c r="AC781" s="13" t="s">
        <v>0</v>
      </c>
      <c r="AD781" s="13" t="s">
        <v>0</v>
      </c>
      <c r="AE781" s="15">
        <v>0</v>
      </c>
    </row>
    <row r="782" spans="1:31" ht="14.15" customHeight="1" x14ac:dyDescent="0.25">
      <c r="A782" s="12" t="s">
        <v>0</v>
      </c>
      <c r="B782" s="13" t="s">
        <v>1</v>
      </c>
      <c r="C782" s="13" t="s">
        <v>2797</v>
      </c>
      <c r="D782" s="14">
        <v>44264</v>
      </c>
      <c r="E782" s="14">
        <v>44264</v>
      </c>
      <c r="F782" s="14">
        <v>44268</v>
      </c>
      <c r="G782" s="13" t="s">
        <v>3</v>
      </c>
      <c r="H782" s="13" t="s">
        <v>4</v>
      </c>
      <c r="I782" s="15">
        <v>-23499.94</v>
      </c>
      <c r="J782" s="13" t="s">
        <v>5</v>
      </c>
      <c r="K782" s="13" t="s">
        <v>6</v>
      </c>
      <c r="L782" s="15">
        <v>-1972819.96</v>
      </c>
      <c r="M782" s="15">
        <v>-23499.94</v>
      </c>
      <c r="N782" s="16" t="str">
        <f>IF(M782="","",IF(M782&lt;0,-M782&amp;"_"&amp;COUNTIF(M$2:M782,M782),M782&amp;"_"&amp;COUNTIF(M$2:M782,M782)))</f>
        <v>23499.94_1</v>
      </c>
      <c r="O782" s="17" t="str">
        <f t="shared" si="12"/>
        <v/>
      </c>
      <c r="P782" s="13" t="s">
        <v>2798</v>
      </c>
      <c r="Q782" s="13" t="s">
        <v>2796</v>
      </c>
      <c r="R782" s="13" t="s">
        <v>0</v>
      </c>
      <c r="S782" s="13" t="s">
        <v>0</v>
      </c>
      <c r="T782" s="13" t="s">
        <v>9</v>
      </c>
      <c r="U782" s="13" t="s">
        <v>0</v>
      </c>
      <c r="V782" s="13" t="s">
        <v>0</v>
      </c>
      <c r="W782" s="13" t="s">
        <v>0</v>
      </c>
      <c r="X782" s="13" t="s">
        <v>0</v>
      </c>
      <c r="Y782" s="13" t="s">
        <v>10</v>
      </c>
      <c r="Z782" s="13" t="s">
        <v>0</v>
      </c>
      <c r="AA782" s="14"/>
      <c r="AB782" s="13" t="s">
        <v>0</v>
      </c>
      <c r="AC782" s="13" t="s">
        <v>0</v>
      </c>
      <c r="AD782" s="13" t="s">
        <v>0</v>
      </c>
      <c r="AE782" s="15">
        <v>0</v>
      </c>
    </row>
    <row r="783" spans="1:31" ht="14.15" customHeight="1" x14ac:dyDescent="0.25">
      <c r="A783" s="12" t="s">
        <v>0</v>
      </c>
      <c r="B783" s="13" t="s">
        <v>1</v>
      </c>
      <c r="C783" s="13" t="s">
        <v>3551</v>
      </c>
      <c r="D783" s="14">
        <v>44324</v>
      </c>
      <c r="E783" s="14">
        <v>44324</v>
      </c>
      <c r="F783" s="14">
        <v>44340</v>
      </c>
      <c r="G783" s="13" t="s">
        <v>3</v>
      </c>
      <c r="H783" s="13" t="s">
        <v>4</v>
      </c>
      <c r="I783" s="15">
        <v>-23468.959999999999</v>
      </c>
      <c r="J783" s="13" t="s">
        <v>5</v>
      </c>
      <c r="K783" s="13" t="s">
        <v>6</v>
      </c>
      <c r="L783" s="15">
        <v>-1970219.19</v>
      </c>
      <c r="M783" s="15">
        <v>-23468.959999999999</v>
      </c>
      <c r="N783" s="16" t="str">
        <f>IF(M783="","",IF(M783&lt;0,-M783&amp;"_"&amp;COUNTIF(M$2:M783,M783),M783&amp;"_"&amp;COUNTIF(M$2:M783,M783)))</f>
        <v>23468.96_1</v>
      </c>
      <c r="O783" s="17" t="str">
        <f t="shared" si="12"/>
        <v/>
      </c>
      <c r="P783" s="13" t="s">
        <v>3552</v>
      </c>
      <c r="Q783" s="13" t="s">
        <v>3512</v>
      </c>
      <c r="R783" s="13" t="s">
        <v>0</v>
      </c>
      <c r="S783" s="13" t="s">
        <v>0</v>
      </c>
      <c r="T783" s="13" t="s">
        <v>9</v>
      </c>
      <c r="U783" s="13" t="s">
        <v>0</v>
      </c>
      <c r="V783" s="13" t="s">
        <v>0</v>
      </c>
      <c r="W783" s="13" t="s">
        <v>0</v>
      </c>
      <c r="X783" s="13" t="s">
        <v>0</v>
      </c>
      <c r="Y783" s="13" t="s">
        <v>10</v>
      </c>
      <c r="Z783" s="13" t="s">
        <v>0</v>
      </c>
      <c r="AA783" s="14"/>
      <c r="AB783" s="13" t="s">
        <v>0</v>
      </c>
      <c r="AC783" s="13" t="s">
        <v>0</v>
      </c>
      <c r="AD783" s="13" t="s">
        <v>0</v>
      </c>
      <c r="AE783" s="15">
        <v>0</v>
      </c>
    </row>
    <row r="784" spans="1:31" ht="14.15" customHeight="1" x14ac:dyDescent="0.25">
      <c r="A784" s="12" t="s">
        <v>0</v>
      </c>
      <c r="B784" s="13" t="s">
        <v>1</v>
      </c>
      <c r="C784" s="13" t="s">
        <v>3004</v>
      </c>
      <c r="D784" s="14">
        <v>44280</v>
      </c>
      <c r="E784" s="14">
        <v>44280</v>
      </c>
      <c r="F784" s="14">
        <v>44286</v>
      </c>
      <c r="G784" s="13" t="s">
        <v>3</v>
      </c>
      <c r="H784" s="13" t="s">
        <v>4</v>
      </c>
      <c r="I784" s="15">
        <v>-23454.97</v>
      </c>
      <c r="J784" s="13" t="s">
        <v>5</v>
      </c>
      <c r="K784" s="13" t="s">
        <v>6</v>
      </c>
      <c r="L784" s="15">
        <v>-1969044.73</v>
      </c>
      <c r="M784" s="15">
        <v>-23454.97</v>
      </c>
      <c r="N784" s="16" t="str">
        <f>IF(M784="","",IF(M784&lt;0,-M784&amp;"_"&amp;COUNTIF(M$2:M784,M784),M784&amp;"_"&amp;COUNTIF(M$2:M784,M784)))</f>
        <v>23454.97_1</v>
      </c>
      <c r="O784" s="17" t="str">
        <f t="shared" si="12"/>
        <v/>
      </c>
      <c r="P784" s="13" t="s">
        <v>3005</v>
      </c>
      <c r="Q784" s="13" t="s">
        <v>2989</v>
      </c>
      <c r="R784" s="13" t="s">
        <v>0</v>
      </c>
      <c r="S784" s="13" t="s">
        <v>0</v>
      </c>
      <c r="T784" s="13" t="s">
        <v>9</v>
      </c>
      <c r="U784" s="13" t="s">
        <v>0</v>
      </c>
      <c r="V784" s="13" t="s">
        <v>0</v>
      </c>
      <c r="W784" s="13" t="s">
        <v>0</v>
      </c>
      <c r="X784" s="13" t="s">
        <v>0</v>
      </c>
      <c r="Y784" s="13" t="s">
        <v>10</v>
      </c>
      <c r="Z784" s="13" t="s">
        <v>0</v>
      </c>
      <c r="AA784" s="14"/>
      <c r="AB784" s="13" t="s">
        <v>0</v>
      </c>
      <c r="AC784" s="13" t="s">
        <v>0</v>
      </c>
      <c r="AD784" s="13" t="s">
        <v>0</v>
      </c>
      <c r="AE784" s="15">
        <v>0</v>
      </c>
    </row>
    <row r="785" spans="1:31" ht="14.15" customHeight="1" x14ac:dyDescent="0.25">
      <c r="A785" s="12" t="s">
        <v>0</v>
      </c>
      <c r="B785" s="13" t="s">
        <v>1</v>
      </c>
      <c r="C785" s="13" t="s">
        <v>2587</v>
      </c>
      <c r="D785" s="14">
        <v>44243</v>
      </c>
      <c r="E785" s="14">
        <v>44243</v>
      </c>
      <c r="F785" s="14">
        <v>44249</v>
      </c>
      <c r="G785" s="13" t="s">
        <v>3</v>
      </c>
      <c r="H785" s="13" t="s">
        <v>4</v>
      </c>
      <c r="I785" s="15">
        <v>-23377.66</v>
      </c>
      <c r="J785" s="13" t="s">
        <v>5</v>
      </c>
      <c r="K785" s="13" t="s">
        <v>6</v>
      </c>
      <c r="L785" s="15">
        <v>-1962554.56</v>
      </c>
      <c r="M785" s="15">
        <v>-23377.66</v>
      </c>
      <c r="N785" s="16" t="str">
        <f>IF(M785="","",IF(M785&lt;0,-M785&amp;"_"&amp;COUNTIF(M$2:M785,M785),M785&amp;"_"&amp;COUNTIF(M$2:M785,M785)))</f>
        <v>23377.66_1</v>
      </c>
      <c r="O785" s="17" t="str">
        <f t="shared" si="12"/>
        <v/>
      </c>
      <c r="P785" s="13" t="s">
        <v>2588</v>
      </c>
      <c r="Q785" s="13" t="s">
        <v>2574</v>
      </c>
      <c r="R785" s="13" t="s">
        <v>0</v>
      </c>
      <c r="S785" s="13" t="s">
        <v>0</v>
      </c>
      <c r="T785" s="13" t="s">
        <v>9</v>
      </c>
      <c r="U785" s="13" t="s">
        <v>0</v>
      </c>
      <c r="V785" s="13" t="s">
        <v>0</v>
      </c>
      <c r="W785" s="13" t="s">
        <v>0</v>
      </c>
      <c r="X785" s="13" t="s">
        <v>0</v>
      </c>
      <c r="Y785" s="13" t="s">
        <v>10</v>
      </c>
      <c r="Z785" s="13" t="s">
        <v>0</v>
      </c>
      <c r="AA785" s="14"/>
      <c r="AB785" s="13" t="s">
        <v>0</v>
      </c>
      <c r="AC785" s="13" t="s">
        <v>0</v>
      </c>
      <c r="AD785" s="13" t="s">
        <v>0</v>
      </c>
      <c r="AE785" s="15">
        <v>0</v>
      </c>
    </row>
    <row r="786" spans="1:31" ht="14.15" customHeight="1" x14ac:dyDescent="0.25">
      <c r="A786" s="12" t="s">
        <v>0</v>
      </c>
      <c r="B786" s="13" t="s">
        <v>1</v>
      </c>
      <c r="C786" s="13" t="s">
        <v>2533</v>
      </c>
      <c r="D786" s="14">
        <v>44238</v>
      </c>
      <c r="E786" s="14">
        <v>44238</v>
      </c>
      <c r="F786" s="14">
        <v>44243</v>
      </c>
      <c r="G786" s="13" t="s">
        <v>3</v>
      </c>
      <c r="H786" s="13" t="s">
        <v>4</v>
      </c>
      <c r="I786" s="15">
        <v>-23375</v>
      </c>
      <c r="J786" s="13" t="s">
        <v>5</v>
      </c>
      <c r="K786" s="13" t="s">
        <v>6</v>
      </c>
      <c r="L786" s="15">
        <v>-1962331.25</v>
      </c>
      <c r="M786" s="15">
        <v>-23375</v>
      </c>
      <c r="N786" s="16" t="str">
        <f>IF(M786="","",IF(M786&lt;0,-M786&amp;"_"&amp;COUNTIF(M$2:M786,M786),M786&amp;"_"&amp;COUNTIF(M$2:M786,M786)))</f>
        <v>23375_1</v>
      </c>
      <c r="O786" s="17" t="str">
        <f t="shared" si="12"/>
        <v/>
      </c>
      <c r="P786" s="13" t="s">
        <v>2534</v>
      </c>
      <c r="Q786" s="13" t="s">
        <v>2528</v>
      </c>
      <c r="R786" s="13" t="s">
        <v>0</v>
      </c>
      <c r="S786" s="13" t="s">
        <v>0</v>
      </c>
      <c r="T786" s="13" t="s">
        <v>9</v>
      </c>
      <c r="U786" s="13" t="s">
        <v>0</v>
      </c>
      <c r="V786" s="13" t="s">
        <v>0</v>
      </c>
      <c r="W786" s="13" t="s">
        <v>0</v>
      </c>
      <c r="X786" s="13" t="s">
        <v>0</v>
      </c>
      <c r="Y786" s="13" t="s">
        <v>10</v>
      </c>
      <c r="Z786" s="13" t="s">
        <v>0</v>
      </c>
      <c r="AA786" s="14"/>
      <c r="AB786" s="13" t="s">
        <v>0</v>
      </c>
      <c r="AC786" s="13" t="s">
        <v>0</v>
      </c>
      <c r="AD786" s="13" t="s">
        <v>0</v>
      </c>
      <c r="AE786" s="15">
        <v>0</v>
      </c>
    </row>
    <row r="787" spans="1:31" ht="14.15" customHeight="1" x14ac:dyDescent="0.25">
      <c r="A787" s="12" t="s">
        <v>0</v>
      </c>
      <c r="B787" s="13" t="s">
        <v>1</v>
      </c>
      <c r="C787" s="13" t="s">
        <v>4029</v>
      </c>
      <c r="D787" s="14">
        <v>44358</v>
      </c>
      <c r="E787" s="14">
        <v>44358</v>
      </c>
      <c r="F787" s="14">
        <v>44363</v>
      </c>
      <c r="G787" s="13" t="s">
        <v>3</v>
      </c>
      <c r="H787" s="13" t="s">
        <v>4</v>
      </c>
      <c r="I787" s="15">
        <v>-23355.73</v>
      </c>
      <c r="J787" s="13" t="s">
        <v>5</v>
      </c>
      <c r="K787" s="13" t="s">
        <v>6</v>
      </c>
      <c r="L787" s="15">
        <v>-1960713.53</v>
      </c>
      <c r="M787" s="15">
        <v>-23355.73</v>
      </c>
      <c r="N787" s="16" t="str">
        <f>IF(M787="","",IF(M787&lt;0,-M787&amp;"_"&amp;COUNTIF(M$2:M787,M787),M787&amp;"_"&amp;COUNTIF(M$2:M787,M787)))</f>
        <v>23355.73_1</v>
      </c>
      <c r="O787" s="17" t="str">
        <f t="shared" si="12"/>
        <v/>
      </c>
      <c r="P787" s="13" t="s">
        <v>4030</v>
      </c>
      <c r="Q787" s="13" t="s">
        <v>4006</v>
      </c>
      <c r="R787" s="13" t="s">
        <v>0</v>
      </c>
      <c r="S787" s="13" t="s">
        <v>0</v>
      </c>
      <c r="T787" s="13" t="s">
        <v>9</v>
      </c>
      <c r="U787" s="13" t="s">
        <v>0</v>
      </c>
      <c r="V787" s="13" t="s">
        <v>0</v>
      </c>
      <c r="W787" s="13" t="s">
        <v>0</v>
      </c>
      <c r="X787" s="13" t="s">
        <v>0</v>
      </c>
      <c r="Y787" s="13" t="s">
        <v>10</v>
      </c>
      <c r="Z787" s="13" t="s">
        <v>0</v>
      </c>
      <c r="AA787" s="14"/>
      <c r="AB787" s="13" t="s">
        <v>0</v>
      </c>
      <c r="AC787" s="13" t="s">
        <v>0</v>
      </c>
      <c r="AD787" s="13" t="s">
        <v>0</v>
      </c>
      <c r="AE787" s="15">
        <v>0</v>
      </c>
    </row>
    <row r="788" spans="1:31" ht="14.15" customHeight="1" x14ac:dyDescent="0.25">
      <c r="A788" s="12" t="s">
        <v>0</v>
      </c>
      <c r="B788" s="13" t="s">
        <v>1</v>
      </c>
      <c r="C788" s="13" t="s">
        <v>715</v>
      </c>
      <c r="D788" s="14">
        <v>44093</v>
      </c>
      <c r="E788" s="14">
        <v>44093</v>
      </c>
      <c r="F788" s="14">
        <v>44117</v>
      </c>
      <c r="G788" s="13" t="s">
        <v>3</v>
      </c>
      <c r="H788" s="13" t="s">
        <v>4</v>
      </c>
      <c r="I788" s="15">
        <v>-23319.71</v>
      </c>
      <c r="J788" s="13" t="s">
        <v>5</v>
      </c>
      <c r="K788" s="13" t="s">
        <v>6</v>
      </c>
      <c r="L788" s="15">
        <v>-1957689.65</v>
      </c>
      <c r="M788" s="15">
        <v>-23319.71</v>
      </c>
      <c r="N788" s="16" t="str">
        <f>IF(M788="","",IF(M788&lt;0,-M788&amp;"_"&amp;COUNTIF(M$2:M788,M788),M788&amp;"_"&amp;COUNTIF(M$2:M788,M788)))</f>
        <v>23319.71_1</v>
      </c>
      <c r="O788" s="17" t="str">
        <f t="shared" si="12"/>
        <v/>
      </c>
      <c r="P788" s="13" t="s">
        <v>716</v>
      </c>
      <c r="Q788" s="13" t="s">
        <v>714</v>
      </c>
      <c r="R788" s="13" t="s">
        <v>0</v>
      </c>
      <c r="S788" s="13" t="s">
        <v>0</v>
      </c>
      <c r="T788" s="13" t="s">
        <v>9</v>
      </c>
      <c r="U788" s="13" t="s">
        <v>0</v>
      </c>
      <c r="V788" s="13" t="s">
        <v>0</v>
      </c>
      <c r="W788" s="13" t="s">
        <v>0</v>
      </c>
      <c r="X788" s="13" t="s">
        <v>0</v>
      </c>
      <c r="Y788" s="13" t="s">
        <v>10</v>
      </c>
      <c r="Z788" s="13" t="s">
        <v>0</v>
      </c>
      <c r="AA788" s="14"/>
      <c r="AB788" s="13" t="s">
        <v>0</v>
      </c>
      <c r="AC788" s="13" t="s">
        <v>0</v>
      </c>
      <c r="AD788" s="13" t="s">
        <v>0</v>
      </c>
      <c r="AE788" s="15">
        <v>0</v>
      </c>
    </row>
    <row r="789" spans="1:31" ht="14.15" customHeight="1" x14ac:dyDescent="0.25">
      <c r="A789" s="12" t="s">
        <v>0</v>
      </c>
      <c r="B789" s="13" t="s">
        <v>1</v>
      </c>
      <c r="C789" s="13" t="s">
        <v>2166</v>
      </c>
      <c r="D789" s="14">
        <v>44209</v>
      </c>
      <c r="E789" s="14">
        <v>44209</v>
      </c>
      <c r="F789" s="14">
        <v>44219</v>
      </c>
      <c r="G789" s="13" t="s">
        <v>3</v>
      </c>
      <c r="H789" s="13" t="s">
        <v>4</v>
      </c>
      <c r="I789" s="15">
        <v>-23314.45</v>
      </c>
      <c r="J789" s="13" t="s">
        <v>5</v>
      </c>
      <c r="K789" s="13" t="s">
        <v>6</v>
      </c>
      <c r="L789" s="15">
        <v>-1957248.07</v>
      </c>
      <c r="M789" s="15">
        <v>-23314.45</v>
      </c>
      <c r="N789" s="16" t="str">
        <f>IF(M789="","",IF(M789&lt;0,-M789&amp;"_"&amp;COUNTIF(M$2:M789,M789),M789&amp;"_"&amp;COUNTIF(M$2:M789,M789)))</f>
        <v>23314.45_1</v>
      </c>
      <c r="O789" s="17" t="str">
        <f t="shared" si="12"/>
        <v/>
      </c>
      <c r="P789" s="13" t="s">
        <v>2167</v>
      </c>
      <c r="Q789" s="13" t="s">
        <v>2159</v>
      </c>
      <c r="R789" s="13" t="s">
        <v>0</v>
      </c>
      <c r="S789" s="13" t="s">
        <v>0</v>
      </c>
      <c r="T789" s="13" t="s">
        <v>9</v>
      </c>
      <c r="U789" s="13" t="s">
        <v>0</v>
      </c>
      <c r="V789" s="13" t="s">
        <v>0</v>
      </c>
      <c r="W789" s="13" t="s">
        <v>0</v>
      </c>
      <c r="X789" s="13" t="s">
        <v>0</v>
      </c>
      <c r="Y789" s="13" t="s">
        <v>10</v>
      </c>
      <c r="Z789" s="13" t="s">
        <v>0</v>
      </c>
      <c r="AA789" s="14"/>
      <c r="AB789" s="13" t="s">
        <v>0</v>
      </c>
      <c r="AC789" s="13" t="s">
        <v>0</v>
      </c>
      <c r="AD789" s="13" t="s">
        <v>0</v>
      </c>
      <c r="AE789" s="15">
        <v>0</v>
      </c>
    </row>
    <row r="790" spans="1:31" ht="14.15" customHeight="1" x14ac:dyDescent="0.25">
      <c r="A790" s="12" t="s">
        <v>0</v>
      </c>
      <c r="B790" s="13" t="s">
        <v>1</v>
      </c>
      <c r="C790" s="13" t="s">
        <v>4181</v>
      </c>
      <c r="D790" s="14">
        <v>44364</v>
      </c>
      <c r="E790" s="14">
        <v>44364</v>
      </c>
      <c r="F790" s="14">
        <v>44368</v>
      </c>
      <c r="G790" s="13" t="s">
        <v>3</v>
      </c>
      <c r="H790" s="13" t="s">
        <v>4</v>
      </c>
      <c r="I790" s="15">
        <v>-23270.46</v>
      </c>
      <c r="J790" s="13" t="s">
        <v>5</v>
      </c>
      <c r="K790" s="13" t="s">
        <v>6</v>
      </c>
      <c r="L790" s="15">
        <v>-1953555.12</v>
      </c>
      <c r="M790" s="15">
        <v>-23270.46</v>
      </c>
      <c r="N790" s="16" t="str">
        <f>IF(M790="","",IF(M790&lt;0,-M790&amp;"_"&amp;COUNTIF(M$2:M790,M790),M790&amp;"_"&amp;COUNTIF(M$2:M790,M790)))</f>
        <v>23270.46_1</v>
      </c>
      <c r="O790" s="17" t="str">
        <f t="shared" si="12"/>
        <v/>
      </c>
      <c r="P790" s="13" t="s">
        <v>4182</v>
      </c>
      <c r="Q790" s="13" t="s">
        <v>4180</v>
      </c>
      <c r="R790" s="13" t="s">
        <v>0</v>
      </c>
      <c r="S790" s="13" t="s">
        <v>0</v>
      </c>
      <c r="T790" s="13" t="s">
        <v>9</v>
      </c>
      <c r="U790" s="13" t="s">
        <v>0</v>
      </c>
      <c r="V790" s="13" t="s">
        <v>0</v>
      </c>
      <c r="W790" s="13" t="s">
        <v>0</v>
      </c>
      <c r="X790" s="13" t="s">
        <v>0</v>
      </c>
      <c r="Y790" s="13" t="s">
        <v>10</v>
      </c>
      <c r="Z790" s="13" t="s">
        <v>0</v>
      </c>
      <c r="AA790" s="14"/>
      <c r="AB790" s="13" t="s">
        <v>0</v>
      </c>
      <c r="AC790" s="13" t="s">
        <v>0</v>
      </c>
      <c r="AD790" s="13" t="s">
        <v>0</v>
      </c>
      <c r="AE790" s="15">
        <v>0</v>
      </c>
    </row>
    <row r="791" spans="1:31" ht="14.15" customHeight="1" x14ac:dyDescent="0.25">
      <c r="A791" s="12" t="s">
        <v>0</v>
      </c>
      <c r="B791" s="13" t="s">
        <v>1</v>
      </c>
      <c r="C791" s="13" t="s">
        <v>2627</v>
      </c>
      <c r="D791" s="14">
        <v>44247</v>
      </c>
      <c r="E791" s="14">
        <v>44247</v>
      </c>
      <c r="F791" s="14">
        <v>44257</v>
      </c>
      <c r="G791" s="13" t="s">
        <v>3</v>
      </c>
      <c r="H791" s="13" t="s">
        <v>4</v>
      </c>
      <c r="I791" s="15">
        <v>-23259.360000000001</v>
      </c>
      <c r="J791" s="13" t="s">
        <v>5</v>
      </c>
      <c r="K791" s="13" t="s">
        <v>6</v>
      </c>
      <c r="L791" s="15">
        <v>-1952623.27</v>
      </c>
      <c r="M791" s="15">
        <v>-23259.360000000001</v>
      </c>
      <c r="N791" s="16" t="str">
        <f>IF(M791="","",IF(M791&lt;0,-M791&amp;"_"&amp;COUNTIF(M$2:M791,M791),M791&amp;"_"&amp;COUNTIF(M$2:M791,M791)))</f>
        <v>23259.36_1</v>
      </c>
      <c r="O791" s="17" t="str">
        <f t="shared" si="12"/>
        <v/>
      </c>
      <c r="P791" s="13" t="s">
        <v>2628</v>
      </c>
      <c r="Q791" s="13" t="s">
        <v>2626</v>
      </c>
      <c r="R791" s="13" t="s">
        <v>0</v>
      </c>
      <c r="S791" s="13" t="s">
        <v>0</v>
      </c>
      <c r="T791" s="13" t="s">
        <v>9</v>
      </c>
      <c r="U791" s="13" t="s">
        <v>0</v>
      </c>
      <c r="V791" s="13" t="s">
        <v>0</v>
      </c>
      <c r="W791" s="13" t="s">
        <v>0</v>
      </c>
      <c r="X791" s="13" t="s">
        <v>0</v>
      </c>
      <c r="Y791" s="13" t="s">
        <v>10</v>
      </c>
      <c r="Z791" s="13" t="s">
        <v>0</v>
      </c>
      <c r="AA791" s="14"/>
      <c r="AB791" s="13" t="s">
        <v>0</v>
      </c>
      <c r="AC791" s="13" t="s">
        <v>0</v>
      </c>
      <c r="AD791" s="13" t="s">
        <v>0</v>
      </c>
      <c r="AE791" s="15">
        <v>0</v>
      </c>
    </row>
    <row r="792" spans="1:31" ht="14.15" customHeight="1" x14ac:dyDescent="0.25">
      <c r="A792" s="12" t="s">
        <v>0</v>
      </c>
      <c r="B792" s="13" t="s">
        <v>1</v>
      </c>
      <c r="C792" s="13" t="s">
        <v>1510</v>
      </c>
      <c r="D792" s="14">
        <v>44163</v>
      </c>
      <c r="E792" s="14">
        <v>44163</v>
      </c>
      <c r="F792" s="14">
        <v>44166</v>
      </c>
      <c r="G792" s="13" t="s">
        <v>3</v>
      </c>
      <c r="H792" s="13" t="s">
        <v>4</v>
      </c>
      <c r="I792" s="15">
        <v>-23178.49</v>
      </c>
      <c r="J792" s="13" t="s">
        <v>5</v>
      </c>
      <c r="K792" s="13" t="s">
        <v>6</v>
      </c>
      <c r="L792" s="15">
        <v>-1945834.24</v>
      </c>
      <c r="M792" s="15">
        <v>-23178.49</v>
      </c>
      <c r="N792" s="16" t="str">
        <f>IF(M792="","",IF(M792&lt;0,-M792&amp;"_"&amp;COUNTIF(M$2:M792,M792),M792&amp;"_"&amp;COUNTIF(M$2:M792,M792)))</f>
        <v>23178.49_1</v>
      </c>
      <c r="O792" s="17" t="str">
        <f t="shared" si="12"/>
        <v/>
      </c>
      <c r="P792" s="13" t="s">
        <v>1511</v>
      </c>
      <c r="Q792" s="13" t="s">
        <v>1509</v>
      </c>
      <c r="R792" s="13" t="s">
        <v>0</v>
      </c>
      <c r="S792" s="13" t="s">
        <v>0</v>
      </c>
      <c r="T792" s="13" t="s">
        <v>9</v>
      </c>
      <c r="U792" s="13" t="s">
        <v>0</v>
      </c>
      <c r="V792" s="13" t="s">
        <v>0</v>
      </c>
      <c r="W792" s="13" t="s">
        <v>0</v>
      </c>
      <c r="X792" s="13" t="s">
        <v>0</v>
      </c>
      <c r="Y792" s="13" t="s">
        <v>10</v>
      </c>
      <c r="Z792" s="13" t="s">
        <v>0</v>
      </c>
      <c r="AA792" s="14"/>
      <c r="AB792" s="13" t="s">
        <v>0</v>
      </c>
      <c r="AC792" s="13" t="s">
        <v>0</v>
      </c>
      <c r="AD792" s="13" t="s">
        <v>0</v>
      </c>
      <c r="AE792" s="15">
        <v>0</v>
      </c>
    </row>
    <row r="793" spans="1:31" ht="14.15" customHeight="1" x14ac:dyDescent="0.25">
      <c r="A793" s="12" t="s">
        <v>0</v>
      </c>
      <c r="B793" s="13" t="s">
        <v>1</v>
      </c>
      <c r="C793" s="13" t="s">
        <v>3627</v>
      </c>
      <c r="D793" s="14">
        <v>44330</v>
      </c>
      <c r="E793" s="14">
        <v>44330</v>
      </c>
      <c r="F793" s="14">
        <v>44336</v>
      </c>
      <c r="G793" s="13" t="s">
        <v>3</v>
      </c>
      <c r="H793" s="13" t="s">
        <v>4</v>
      </c>
      <c r="I793" s="15">
        <v>-23174.71</v>
      </c>
      <c r="J793" s="13" t="s">
        <v>5</v>
      </c>
      <c r="K793" s="13" t="s">
        <v>6</v>
      </c>
      <c r="L793" s="15">
        <v>-1945516.9</v>
      </c>
      <c r="M793" s="15">
        <v>-23174.71</v>
      </c>
      <c r="N793" s="16" t="str">
        <f>IF(M793="","",IF(M793&lt;0,-M793&amp;"_"&amp;COUNTIF(M$2:M793,M793),M793&amp;"_"&amp;COUNTIF(M$2:M793,M793)))</f>
        <v>23174.71_1</v>
      </c>
      <c r="O793" s="17" t="str">
        <f t="shared" si="12"/>
        <v/>
      </c>
      <c r="P793" s="13" t="s">
        <v>3628</v>
      </c>
      <c r="Q793" s="13" t="s">
        <v>3624</v>
      </c>
      <c r="R793" s="13" t="s">
        <v>0</v>
      </c>
      <c r="S793" s="13" t="s">
        <v>0</v>
      </c>
      <c r="T793" s="13" t="s">
        <v>9</v>
      </c>
      <c r="U793" s="13" t="s">
        <v>0</v>
      </c>
      <c r="V793" s="13" t="s">
        <v>0</v>
      </c>
      <c r="W793" s="13" t="s">
        <v>0</v>
      </c>
      <c r="X793" s="13" t="s">
        <v>0</v>
      </c>
      <c r="Y793" s="13" t="s">
        <v>10</v>
      </c>
      <c r="Z793" s="13" t="s">
        <v>0</v>
      </c>
      <c r="AA793" s="14"/>
      <c r="AB793" s="13" t="s">
        <v>0</v>
      </c>
      <c r="AC793" s="13" t="s">
        <v>0</v>
      </c>
      <c r="AD793" s="13" t="s">
        <v>0</v>
      </c>
      <c r="AE793" s="15">
        <v>0</v>
      </c>
    </row>
    <row r="794" spans="1:31" ht="14.15" customHeight="1" x14ac:dyDescent="0.25">
      <c r="A794" s="12" t="s">
        <v>0</v>
      </c>
      <c r="B794" s="13" t="s">
        <v>1</v>
      </c>
      <c r="C794" s="13" t="s">
        <v>2032</v>
      </c>
      <c r="D794" s="14">
        <v>44197</v>
      </c>
      <c r="E794" s="14">
        <v>44197</v>
      </c>
      <c r="F794" s="14">
        <v>44201</v>
      </c>
      <c r="G794" s="13" t="s">
        <v>3</v>
      </c>
      <c r="H794" s="13" t="s">
        <v>4</v>
      </c>
      <c r="I794" s="15">
        <v>-23150.799999999999</v>
      </c>
      <c r="J794" s="13" t="s">
        <v>5</v>
      </c>
      <c r="K794" s="13" t="s">
        <v>6</v>
      </c>
      <c r="L794" s="15">
        <v>-1943509.66</v>
      </c>
      <c r="M794" s="15">
        <v>-23150.799999999999</v>
      </c>
      <c r="N794" s="16" t="str">
        <f>IF(M794="","",IF(M794&lt;0,-M794&amp;"_"&amp;COUNTIF(M$2:M794,M794),M794&amp;"_"&amp;COUNTIF(M$2:M794,M794)))</f>
        <v>23150.8_1</v>
      </c>
      <c r="O794" s="17" t="str">
        <f t="shared" si="12"/>
        <v/>
      </c>
      <c r="P794" s="13" t="s">
        <v>2033</v>
      </c>
      <c r="Q794" s="13" t="s">
        <v>2034</v>
      </c>
      <c r="R794" s="13" t="s">
        <v>0</v>
      </c>
      <c r="S794" s="13" t="s">
        <v>0</v>
      </c>
      <c r="T794" s="13" t="s">
        <v>9</v>
      </c>
      <c r="U794" s="13" t="s">
        <v>0</v>
      </c>
      <c r="V794" s="13" t="s">
        <v>0</v>
      </c>
      <c r="W794" s="13" t="s">
        <v>0</v>
      </c>
      <c r="X794" s="13" t="s">
        <v>0</v>
      </c>
      <c r="Y794" s="13" t="s">
        <v>10</v>
      </c>
      <c r="Z794" s="13" t="s">
        <v>0</v>
      </c>
      <c r="AA794" s="14"/>
      <c r="AB794" s="13" t="s">
        <v>0</v>
      </c>
      <c r="AC794" s="13" t="s">
        <v>0</v>
      </c>
      <c r="AD794" s="13" t="s">
        <v>0</v>
      </c>
      <c r="AE794" s="15">
        <v>0</v>
      </c>
    </row>
    <row r="795" spans="1:31" ht="14.15" customHeight="1" x14ac:dyDescent="0.25">
      <c r="A795" s="12" t="s">
        <v>0</v>
      </c>
      <c r="B795" s="13" t="s">
        <v>1</v>
      </c>
      <c r="C795" s="13" t="s">
        <v>1784</v>
      </c>
      <c r="D795" s="14">
        <v>44182</v>
      </c>
      <c r="E795" s="14">
        <v>44182</v>
      </c>
      <c r="F795" s="14">
        <v>44199</v>
      </c>
      <c r="G795" s="13" t="s">
        <v>3</v>
      </c>
      <c r="H795" s="13" t="s">
        <v>4</v>
      </c>
      <c r="I795" s="15">
        <v>-23132.49</v>
      </c>
      <c r="J795" s="13" t="s">
        <v>5</v>
      </c>
      <c r="K795" s="13" t="s">
        <v>6</v>
      </c>
      <c r="L795" s="15">
        <v>-1941972.54</v>
      </c>
      <c r="M795" s="15">
        <v>-23132.49</v>
      </c>
      <c r="N795" s="16" t="str">
        <f>IF(M795="","",IF(M795&lt;0,-M795&amp;"_"&amp;COUNTIF(M$2:M795,M795),M795&amp;"_"&amp;COUNTIF(M$2:M795,M795)))</f>
        <v>23132.49_1</v>
      </c>
      <c r="O795" s="17" t="str">
        <f t="shared" si="12"/>
        <v/>
      </c>
      <c r="P795" s="13" t="s">
        <v>1785</v>
      </c>
      <c r="Q795" s="13" t="s">
        <v>1777</v>
      </c>
      <c r="R795" s="13" t="s">
        <v>0</v>
      </c>
      <c r="S795" s="13" t="s">
        <v>0</v>
      </c>
      <c r="T795" s="13" t="s">
        <v>9</v>
      </c>
      <c r="U795" s="13" t="s">
        <v>0</v>
      </c>
      <c r="V795" s="13" t="s">
        <v>0</v>
      </c>
      <c r="W795" s="13" t="s">
        <v>0</v>
      </c>
      <c r="X795" s="13" t="s">
        <v>0</v>
      </c>
      <c r="Y795" s="13" t="s">
        <v>10</v>
      </c>
      <c r="Z795" s="13" t="s">
        <v>0</v>
      </c>
      <c r="AA795" s="14"/>
      <c r="AB795" s="13" t="s">
        <v>0</v>
      </c>
      <c r="AC795" s="13" t="s">
        <v>0</v>
      </c>
      <c r="AD795" s="13" t="s">
        <v>0</v>
      </c>
      <c r="AE795" s="15">
        <v>0</v>
      </c>
    </row>
    <row r="796" spans="1:31" ht="14.15" customHeight="1" x14ac:dyDescent="0.25">
      <c r="A796" s="12" t="s">
        <v>0</v>
      </c>
      <c r="B796" s="13" t="s">
        <v>1</v>
      </c>
      <c r="C796" s="13" t="s">
        <v>377</v>
      </c>
      <c r="D796" s="14">
        <v>44057</v>
      </c>
      <c r="E796" s="14">
        <v>44057</v>
      </c>
      <c r="F796" s="14">
        <v>44063</v>
      </c>
      <c r="G796" s="13" t="s">
        <v>3</v>
      </c>
      <c r="H796" s="13" t="s">
        <v>4</v>
      </c>
      <c r="I796" s="15">
        <v>-23125.97</v>
      </c>
      <c r="J796" s="13" t="s">
        <v>5</v>
      </c>
      <c r="K796" s="13" t="s">
        <v>6</v>
      </c>
      <c r="L796" s="15">
        <v>-1941425.18</v>
      </c>
      <c r="M796" s="15">
        <v>-23125.97</v>
      </c>
      <c r="N796" s="16" t="str">
        <f>IF(M796="","",IF(M796&lt;0,-M796&amp;"_"&amp;COUNTIF(M$2:M796,M796),M796&amp;"_"&amp;COUNTIF(M$2:M796,M796)))</f>
        <v>23125.97_1</v>
      </c>
      <c r="O796" s="17" t="str">
        <f t="shared" si="12"/>
        <v/>
      </c>
      <c r="P796" s="13" t="s">
        <v>378</v>
      </c>
      <c r="Q796" s="13" t="s">
        <v>376</v>
      </c>
      <c r="R796" s="13" t="s">
        <v>0</v>
      </c>
      <c r="S796" s="13" t="s">
        <v>0</v>
      </c>
      <c r="T796" s="13" t="s">
        <v>9</v>
      </c>
      <c r="U796" s="13" t="s">
        <v>0</v>
      </c>
      <c r="V796" s="13" t="s">
        <v>0</v>
      </c>
      <c r="W796" s="13" t="s">
        <v>0</v>
      </c>
      <c r="X796" s="13" t="s">
        <v>0</v>
      </c>
      <c r="Y796" s="13" t="s">
        <v>10</v>
      </c>
      <c r="Z796" s="13" t="s">
        <v>0</v>
      </c>
      <c r="AA796" s="14"/>
      <c r="AB796" s="13" t="s">
        <v>0</v>
      </c>
      <c r="AC796" s="13" t="s">
        <v>0</v>
      </c>
      <c r="AD796" s="13" t="s">
        <v>0</v>
      </c>
      <c r="AE796" s="15">
        <v>0</v>
      </c>
    </row>
    <row r="797" spans="1:31" ht="14.15" customHeight="1" x14ac:dyDescent="0.25">
      <c r="A797" s="12" t="s">
        <v>0</v>
      </c>
      <c r="B797" s="13" t="s">
        <v>1</v>
      </c>
      <c r="C797" s="13" t="s">
        <v>3915</v>
      </c>
      <c r="D797" s="14">
        <v>44354</v>
      </c>
      <c r="E797" s="14">
        <v>44354</v>
      </c>
      <c r="F797" s="14">
        <v>44357</v>
      </c>
      <c r="G797" s="13" t="s">
        <v>3</v>
      </c>
      <c r="H797" s="13" t="s">
        <v>4</v>
      </c>
      <c r="I797" s="15">
        <v>-23075.23</v>
      </c>
      <c r="J797" s="13" t="s">
        <v>5</v>
      </c>
      <c r="K797" s="13" t="s">
        <v>6</v>
      </c>
      <c r="L797" s="15">
        <v>-1937165.56</v>
      </c>
      <c r="M797" s="15">
        <v>-23075.23</v>
      </c>
      <c r="N797" s="16" t="str">
        <f>IF(M797="","",IF(M797&lt;0,-M797&amp;"_"&amp;COUNTIF(M$2:M797,M797),M797&amp;"_"&amp;COUNTIF(M$2:M797,M797)))</f>
        <v>23075.23_1</v>
      </c>
      <c r="O797" s="17" t="str">
        <f t="shared" si="12"/>
        <v/>
      </c>
      <c r="P797" s="13" t="s">
        <v>3916</v>
      </c>
      <c r="Q797" s="13" t="s">
        <v>3914</v>
      </c>
      <c r="R797" s="13" t="s">
        <v>0</v>
      </c>
      <c r="S797" s="13" t="s">
        <v>0</v>
      </c>
      <c r="T797" s="13" t="s">
        <v>9</v>
      </c>
      <c r="U797" s="13" t="s">
        <v>0</v>
      </c>
      <c r="V797" s="13" t="s">
        <v>0</v>
      </c>
      <c r="W797" s="13" t="s">
        <v>0</v>
      </c>
      <c r="X797" s="13" t="s">
        <v>0</v>
      </c>
      <c r="Y797" s="13" t="s">
        <v>10</v>
      </c>
      <c r="Z797" s="13" t="s">
        <v>0</v>
      </c>
      <c r="AA797" s="14"/>
      <c r="AB797" s="13" t="s">
        <v>0</v>
      </c>
      <c r="AC797" s="13" t="s">
        <v>0</v>
      </c>
      <c r="AD797" s="13" t="s">
        <v>0</v>
      </c>
      <c r="AE797" s="15">
        <v>0</v>
      </c>
    </row>
    <row r="798" spans="1:31" ht="14.15" customHeight="1" x14ac:dyDescent="0.25">
      <c r="A798" s="12" t="s">
        <v>0</v>
      </c>
      <c r="B798" s="13" t="s">
        <v>1</v>
      </c>
      <c r="C798" s="13" t="s">
        <v>694</v>
      </c>
      <c r="D798" s="14">
        <v>44090</v>
      </c>
      <c r="E798" s="14">
        <v>44090</v>
      </c>
      <c r="F798" s="14">
        <v>44096</v>
      </c>
      <c r="G798" s="13" t="s">
        <v>3</v>
      </c>
      <c r="H798" s="13" t="s">
        <v>4</v>
      </c>
      <c r="I798" s="15">
        <v>-23025.41</v>
      </c>
      <c r="J798" s="13" t="s">
        <v>5</v>
      </c>
      <c r="K798" s="13" t="s">
        <v>6</v>
      </c>
      <c r="L798" s="15">
        <v>-1932983.18</v>
      </c>
      <c r="M798" s="15">
        <v>-23025.41</v>
      </c>
      <c r="N798" s="16" t="str">
        <f>IF(M798="","",IF(M798&lt;0,-M798&amp;"_"&amp;COUNTIF(M$2:M798,M798),M798&amp;"_"&amp;COUNTIF(M$2:M798,M798)))</f>
        <v>23025.41_1</v>
      </c>
      <c r="O798" s="17" t="str">
        <f t="shared" si="12"/>
        <v/>
      </c>
      <c r="P798" s="13" t="s">
        <v>695</v>
      </c>
      <c r="Q798" s="13" t="s">
        <v>687</v>
      </c>
      <c r="R798" s="13" t="s">
        <v>0</v>
      </c>
      <c r="S798" s="13" t="s">
        <v>0</v>
      </c>
      <c r="T798" s="13" t="s">
        <v>9</v>
      </c>
      <c r="U798" s="13" t="s">
        <v>0</v>
      </c>
      <c r="V798" s="13" t="s">
        <v>0</v>
      </c>
      <c r="W798" s="13" t="s">
        <v>0</v>
      </c>
      <c r="X798" s="13" t="s">
        <v>0</v>
      </c>
      <c r="Y798" s="13" t="s">
        <v>10</v>
      </c>
      <c r="Z798" s="13" t="s">
        <v>0</v>
      </c>
      <c r="AA798" s="14"/>
      <c r="AB798" s="13" t="s">
        <v>0</v>
      </c>
      <c r="AC798" s="13" t="s">
        <v>0</v>
      </c>
      <c r="AD798" s="13" t="s">
        <v>0</v>
      </c>
      <c r="AE798" s="15">
        <v>0</v>
      </c>
    </row>
    <row r="799" spans="1:31" ht="14.15" customHeight="1" x14ac:dyDescent="0.25">
      <c r="A799" s="12" t="s">
        <v>0</v>
      </c>
      <c r="B799" s="13" t="s">
        <v>1</v>
      </c>
      <c r="C799" s="13" t="s">
        <v>1510</v>
      </c>
      <c r="D799" s="14">
        <v>44163</v>
      </c>
      <c r="E799" s="14">
        <v>44163</v>
      </c>
      <c r="F799" s="14">
        <v>44166</v>
      </c>
      <c r="G799" s="13" t="s">
        <v>3</v>
      </c>
      <c r="H799" s="13" t="s">
        <v>4</v>
      </c>
      <c r="I799" s="15">
        <v>-22994.54</v>
      </c>
      <c r="J799" s="13" t="s">
        <v>5</v>
      </c>
      <c r="K799" s="13" t="s">
        <v>6</v>
      </c>
      <c r="L799" s="15">
        <v>-1930391.63</v>
      </c>
      <c r="M799" s="15">
        <v>-22994.54</v>
      </c>
      <c r="N799" s="16" t="str">
        <f>IF(M799="","",IF(M799&lt;0,-M799&amp;"_"&amp;COUNTIF(M$2:M799,M799),M799&amp;"_"&amp;COUNTIF(M$2:M799,M799)))</f>
        <v>22994.54_1</v>
      </c>
      <c r="O799" s="17" t="str">
        <f t="shared" si="12"/>
        <v/>
      </c>
      <c r="P799" s="13" t="s">
        <v>1511</v>
      </c>
      <c r="Q799" s="13" t="s">
        <v>1509</v>
      </c>
      <c r="R799" s="13" t="s">
        <v>0</v>
      </c>
      <c r="S799" s="13" t="s">
        <v>0</v>
      </c>
      <c r="T799" s="13" t="s">
        <v>9</v>
      </c>
      <c r="U799" s="13" t="s">
        <v>0</v>
      </c>
      <c r="V799" s="13" t="s">
        <v>0</v>
      </c>
      <c r="W799" s="13" t="s">
        <v>0</v>
      </c>
      <c r="X799" s="13" t="s">
        <v>0</v>
      </c>
      <c r="Y799" s="13" t="s">
        <v>10</v>
      </c>
      <c r="Z799" s="13" t="s">
        <v>0</v>
      </c>
      <c r="AA799" s="14"/>
      <c r="AB799" s="13" t="s">
        <v>0</v>
      </c>
      <c r="AC799" s="13" t="s">
        <v>0</v>
      </c>
      <c r="AD799" s="13" t="s">
        <v>0</v>
      </c>
      <c r="AE799" s="15">
        <v>0</v>
      </c>
    </row>
    <row r="800" spans="1:31" ht="14.15" customHeight="1" x14ac:dyDescent="0.25">
      <c r="A800" s="12" t="s">
        <v>0</v>
      </c>
      <c r="B800" s="13" t="s">
        <v>1</v>
      </c>
      <c r="C800" s="13" t="s">
        <v>36</v>
      </c>
      <c r="D800" s="14">
        <v>44015</v>
      </c>
      <c r="E800" s="14">
        <v>44015</v>
      </c>
      <c r="F800" s="14">
        <v>44030</v>
      </c>
      <c r="G800" s="13" t="s">
        <v>3</v>
      </c>
      <c r="H800" s="13" t="s">
        <v>4</v>
      </c>
      <c r="I800" s="15">
        <v>-22979.73</v>
      </c>
      <c r="J800" s="13" t="s">
        <v>5</v>
      </c>
      <c r="K800" s="13" t="s">
        <v>6</v>
      </c>
      <c r="L800" s="15">
        <v>-1929148.33</v>
      </c>
      <c r="M800" s="15">
        <v>-22979.73</v>
      </c>
      <c r="N800" s="16" t="str">
        <f>IF(M800="","",IF(M800&lt;0,-M800&amp;"_"&amp;COUNTIF(M$2:M800,M800),M800&amp;"_"&amp;COUNTIF(M$2:M800,M800)))</f>
        <v>22979.73_1</v>
      </c>
      <c r="O800" s="17" t="str">
        <f t="shared" si="12"/>
        <v/>
      </c>
      <c r="P800" s="13" t="s">
        <v>37</v>
      </c>
      <c r="Q800" s="13" t="s">
        <v>27</v>
      </c>
      <c r="R800" s="13" t="s">
        <v>0</v>
      </c>
      <c r="S800" s="13" t="s">
        <v>0</v>
      </c>
      <c r="T800" s="13" t="s">
        <v>9</v>
      </c>
      <c r="U800" s="13" t="s">
        <v>0</v>
      </c>
      <c r="V800" s="13" t="s">
        <v>0</v>
      </c>
      <c r="W800" s="13" t="s">
        <v>0</v>
      </c>
      <c r="X800" s="13" t="s">
        <v>0</v>
      </c>
      <c r="Y800" s="13" t="s">
        <v>10</v>
      </c>
      <c r="Z800" s="13" t="s">
        <v>0</v>
      </c>
      <c r="AA800" s="14"/>
      <c r="AB800" s="13" t="s">
        <v>0</v>
      </c>
      <c r="AC800" s="13" t="s">
        <v>0</v>
      </c>
      <c r="AD800" s="13" t="s">
        <v>0</v>
      </c>
      <c r="AE800" s="15">
        <v>0</v>
      </c>
    </row>
    <row r="801" spans="1:31" ht="14.15" customHeight="1" x14ac:dyDescent="0.25">
      <c r="A801" s="12" t="s">
        <v>0</v>
      </c>
      <c r="B801" s="13" t="s">
        <v>1</v>
      </c>
      <c r="C801" s="13" t="s">
        <v>2593</v>
      </c>
      <c r="D801" s="14">
        <v>44243</v>
      </c>
      <c r="E801" s="14">
        <v>44243</v>
      </c>
      <c r="F801" s="14">
        <v>44252</v>
      </c>
      <c r="G801" s="13" t="s">
        <v>3</v>
      </c>
      <c r="H801" s="13" t="s">
        <v>4</v>
      </c>
      <c r="I801" s="15">
        <v>-22962.53</v>
      </c>
      <c r="J801" s="13" t="s">
        <v>5</v>
      </c>
      <c r="K801" s="13" t="s">
        <v>6</v>
      </c>
      <c r="L801" s="15">
        <v>-1927704.39</v>
      </c>
      <c r="M801" s="15">
        <v>-22962.53</v>
      </c>
      <c r="N801" s="16" t="str">
        <f>IF(M801="","",IF(M801&lt;0,-M801&amp;"_"&amp;COUNTIF(M$2:M801,M801),M801&amp;"_"&amp;COUNTIF(M$2:M801,M801)))</f>
        <v>22962.53_1</v>
      </c>
      <c r="O801" s="17" t="str">
        <f t="shared" si="12"/>
        <v/>
      </c>
      <c r="P801" s="13" t="s">
        <v>2594</v>
      </c>
      <c r="Q801" s="13" t="s">
        <v>2574</v>
      </c>
      <c r="R801" s="13" t="s">
        <v>0</v>
      </c>
      <c r="S801" s="13" t="s">
        <v>0</v>
      </c>
      <c r="T801" s="13" t="s">
        <v>9</v>
      </c>
      <c r="U801" s="13" t="s">
        <v>0</v>
      </c>
      <c r="V801" s="13" t="s">
        <v>0</v>
      </c>
      <c r="W801" s="13" t="s">
        <v>0</v>
      </c>
      <c r="X801" s="13" t="s">
        <v>0</v>
      </c>
      <c r="Y801" s="13" t="s">
        <v>10</v>
      </c>
      <c r="Z801" s="13" t="s">
        <v>0</v>
      </c>
      <c r="AA801" s="14"/>
      <c r="AB801" s="13" t="s">
        <v>0</v>
      </c>
      <c r="AC801" s="13" t="s">
        <v>0</v>
      </c>
      <c r="AD801" s="13" t="s">
        <v>0</v>
      </c>
      <c r="AE801" s="15">
        <v>0</v>
      </c>
    </row>
    <row r="802" spans="1:31" ht="14.15" customHeight="1" x14ac:dyDescent="0.25">
      <c r="A802" s="12" t="s">
        <v>0</v>
      </c>
      <c r="B802" s="13" t="s">
        <v>1</v>
      </c>
      <c r="C802" s="13" t="s">
        <v>625</v>
      </c>
      <c r="D802" s="14">
        <v>44083</v>
      </c>
      <c r="E802" s="14">
        <v>44083</v>
      </c>
      <c r="F802" s="14">
        <v>44086</v>
      </c>
      <c r="G802" s="13" t="s">
        <v>3</v>
      </c>
      <c r="H802" s="13" t="s">
        <v>4</v>
      </c>
      <c r="I802" s="15">
        <v>-22885.360000000001</v>
      </c>
      <c r="J802" s="13" t="s">
        <v>5</v>
      </c>
      <c r="K802" s="13" t="s">
        <v>6</v>
      </c>
      <c r="L802" s="15">
        <v>-1921225.97</v>
      </c>
      <c r="M802" s="15">
        <v>-22885.360000000001</v>
      </c>
      <c r="N802" s="16" t="str">
        <f>IF(M802="","",IF(M802&lt;0,-M802&amp;"_"&amp;COUNTIF(M$2:M802,M802),M802&amp;"_"&amp;COUNTIF(M$2:M802,M802)))</f>
        <v>22885.36_1</v>
      </c>
      <c r="O802" s="17" t="str">
        <f t="shared" si="12"/>
        <v/>
      </c>
      <c r="P802" s="13" t="s">
        <v>626</v>
      </c>
      <c r="Q802" s="13" t="s">
        <v>624</v>
      </c>
      <c r="R802" s="13" t="s">
        <v>0</v>
      </c>
      <c r="S802" s="13" t="s">
        <v>0</v>
      </c>
      <c r="T802" s="13" t="s">
        <v>9</v>
      </c>
      <c r="U802" s="13" t="s">
        <v>0</v>
      </c>
      <c r="V802" s="13" t="s">
        <v>0</v>
      </c>
      <c r="W802" s="13" t="s">
        <v>0</v>
      </c>
      <c r="X802" s="13" t="s">
        <v>0</v>
      </c>
      <c r="Y802" s="13" t="s">
        <v>10</v>
      </c>
      <c r="Z802" s="13" t="s">
        <v>0</v>
      </c>
      <c r="AA802" s="14"/>
      <c r="AB802" s="13" t="s">
        <v>0</v>
      </c>
      <c r="AC802" s="13" t="s">
        <v>0</v>
      </c>
      <c r="AD802" s="13" t="s">
        <v>0</v>
      </c>
      <c r="AE802" s="15">
        <v>0</v>
      </c>
    </row>
    <row r="803" spans="1:31" ht="14.15" customHeight="1" x14ac:dyDescent="0.25">
      <c r="A803" s="12" t="s">
        <v>0</v>
      </c>
      <c r="B803" s="13" t="s">
        <v>1</v>
      </c>
      <c r="C803" s="13" t="s">
        <v>3033</v>
      </c>
      <c r="D803" s="14">
        <v>44282</v>
      </c>
      <c r="E803" s="14">
        <v>44282</v>
      </c>
      <c r="F803" s="14">
        <v>44286</v>
      </c>
      <c r="G803" s="13" t="s">
        <v>3</v>
      </c>
      <c r="H803" s="13" t="s">
        <v>4</v>
      </c>
      <c r="I803" s="15">
        <v>-22880.9</v>
      </c>
      <c r="J803" s="13" t="s">
        <v>5</v>
      </c>
      <c r="K803" s="13" t="s">
        <v>6</v>
      </c>
      <c r="L803" s="15">
        <v>-1920851.56</v>
      </c>
      <c r="M803" s="15">
        <v>-22880.9</v>
      </c>
      <c r="N803" s="16" t="str">
        <f>IF(M803="","",IF(M803&lt;0,-M803&amp;"_"&amp;COUNTIF(M$2:M803,M803),M803&amp;"_"&amp;COUNTIF(M$2:M803,M803)))</f>
        <v>22880.9_1</v>
      </c>
      <c r="O803" s="17" t="str">
        <f t="shared" si="12"/>
        <v/>
      </c>
      <c r="P803" s="13" t="s">
        <v>3034</v>
      </c>
      <c r="Q803" s="13" t="s">
        <v>3035</v>
      </c>
      <c r="R803" s="13" t="s">
        <v>0</v>
      </c>
      <c r="S803" s="13" t="s">
        <v>0</v>
      </c>
      <c r="T803" s="13" t="s">
        <v>9</v>
      </c>
      <c r="U803" s="13" t="s">
        <v>0</v>
      </c>
      <c r="V803" s="13" t="s">
        <v>0</v>
      </c>
      <c r="W803" s="13" t="s">
        <v>0</v>
      </c>
      <c r="X803" s="13" t="s">
        <v>0</v>
      </c>
      <c r="Y803" s="13" t="s">
        <v>10</v>
      </c>
      <c r="Z803" s="13" t="s">
        <v>0</v>
      </c>
      <c r="AA803" s="14"/>
      <c r="AB803" s="13" t="s">
        <v>0</v>
      </c>
      <c r="AC803" s="13" t="s">
        <v>0</v>
      </c>
      <c r="AD803" s="13" t="s">
        <v>0</v>
      </c>
      <c r="AE803" s="15">
        <v>0</v>
      </c>
    </row>
    <row r="804" spans="1:31" ht="14.15" customHeight="1" x14ac:dyDescent="0.25">
      <c r="A804" s="12" t="s">
        <v>0</v>
      </c>
      <c r="B804" s="13" t="s">
        <v>1</v>
      </c>
      <c r="C804" s="13" t="s">
        <v>1070</v>
      </c>
      <c r="D804" s="14">
        <v>44133</v>
      </c>
      <c r="E804" s="14">
        <v>44133</v>
      </c>
      <c r="F804" s="14">
        <v>44142</v>
      </c>
      <c r="G804" s="13" t="s">
        <v>3</v>
      </c>
      <c r="H804" s="13" t="s">
        <v>4</v>
      </c>
      <c r="I804" s="15">
        <v>-22823.79</v>
      </c>
      <c r="J804" s="13" t="s">
        <v>5</v>
      </c>
      <c r="K804" s="13" t="s">
        <v>6</v>
      </c>
      <c r="L804" s="15">
        <v>-1916057.17</v>
      </c>
      <c r="M804" s="15">
        <v>-22823.79</v>
      </c>
      <c r="N804" s="16" t="str">
        <f>IF(M804="","",IF(M804&lt;0,-M804&amp;"_"&amp;COUNTIF(M$2:M804,M804),M804&amp;"_"&amp;COUNTIF(M$2:M804,M804)))</f>
        <v>22823.79_1</v>
      </c>
      <c r="O804" s="17" t="str">
        <f t="shared" si="12"/>
        <v/>
      </c>
      <c r="P804" s="13" t="s">
        <v>1071</v>
      </c>
      <c r="Q804" s="13" t="s">
        <v>1065</v>
      </c>
      <c r="R804" s="13" t="s">
        <v>0</v>
      </c>
      <c r="S804" s="13" t="s">
        <v>0</v>
      </c>
      <c r="T804" s="13" t="s">
        <v>9</v>
      </c>
      <c r="U804" s="13" t="s">
        <v>0</v>
      </c>
      <c r="V804" s="13" t="s">
        <v>0</v>
      </c>
      <c r="W804" s="13" t="s">
        <v>0</v>
      </c>
      <c r="X804" s="13" t="s">
        <v>0</v>
      </c>
      <c r="Y804" s="13" t="s">
        <v>10</v>
      </c>
      <c r="Z804" s="13" t="s">
        <v>0</v>
      </c>
      <c r="AA804" s="14"/>
      <c r="AB804" s="13" t="s">
        <v>0</v>
      </c>
      <c r="AC804" s="13" t="s">
        <v>0</v>
      </c>
      <c r="AD804" s="13" t="s">
        <v>0</v>
      </c>
      <c r="AE804" s="15">
        <v>0</v>
      </c>
    </row>
    <row r="805" spans="1:31" ht="14.15" customHeight="1" x14ac:dyDescent="0.25">
      <c r="A805" s="12" t="s">
        <v>0</v>
      </c>
      <c r="B805" s="13" t="s">
        <v>1</v>
      </c>
      <c r="C805" s="13" t="s">
        <v>4240</v>
      </c>
      <c r="D805" s="14">
        <v>44368</v>
      </c>
      <c r="E805" s="14">
        <v>44368</v>
      </c>
      <c r="F805" s="14">
        <v>44371</v>
      </c>
      <c r="G805" s="13" t="s">
        <v>3</v>
      </c>
      <c r="H805" s="13" t="s">
        <v>4</v>
      </c>
      <c r="I805" s="15">
        <v>-22806.43</v>
      </c>
      <c r="J805" s="13" t="s">
        <v>5</v>
      </c>
      <c r="K805" s="13" t="s">
        <v>6</v>
      </c>
      <c r="L805" s="15">
        <v>-1914599.8</v>
      </c>
      <c r="M805" s="15">
        <v>-22806.43</v>
      </c>
      <c r="N805" s="16" t="str">
        <f>IF(M805="","",IF(M805&lt;0,-M805&amp;"_"&amp;COUNTIF(M$2:M805,M805),M805&amp;"_"&amp;COUNTIF(M$2:M805,M805)))</f>
        <v>22806.43_1</v>
      </c>
      <c r="O805" s="17" t="str">
        <f t="shared" si="12"/>
        <v/>
      </c>
      <c r="P805" s="13" t="s">
        <v>4241</v>
      </c>
      <c r="Q805" s="13" t="s">
        <v>4239</v>
      </c>
      <c r="R805" s="13" t="s">
        <v>0</v>
      </c>
      <c r="S805" s="13" t="s">
        <v>0</v>
      </c>
      <c r="T805" s="13" t="s">
        <v>9</v>
      </c>
      <c r="U805" s="13" t="s">
        <v>0</v>
      </c>
      <c r="V805" s="13" t="s">
        <v>0</v>
      </c>
      <c r="W805" s="13" t="s">
        <v>0</v>
      </c>
      <c r="X805" s="13" t="s">
        <v>0</v>
      </c>
      <c r="Y805" s="13" t="s">
        <v>10</v>
      </c>
      <c r="Z805" s="13" t="s">
        <v>0</v>
      </c>
      <c r="AA805" s="14"/>
      <c r="AB805" s="13" t="s">
        <v>0</v>
      </c>
      <c r="AC805" s="13" t="s">
        <v>0</v>
      </c>
      <c r="AD805" s="13" t="s">
        <v>0</v>
      </c>
      <c r="AE805" s="15">
        <v>0</v>
      </c>
    </row>
    <row r="806" spans="1:31" ht="14.15" customHeight="1" x14ac:dyDescent="0.25">
      <c r="A806" s="12" t="s">
        <v>0</v>
      </c>
      <c r="B806" s="13" t="s">
        <v>1</v>
      </c>
      <c r="C806" s="13" t="s">
        <v>1214</v>
      </c>
      <c r="D806" s="14">
        <v>44140</v>
      </c>
      <c r="E806" s="14">
        <v>44140</v>
      </c>
      <c r="F806" s="14">
        <v>44151</v>
      </c>
      <c r="G806" s="13" t="s">
        <v>3</v>
      </c>
      <c r="H806" s="13" t="s">
        <v>4</v>
      </c>
      <c r="I806" s="15">
        <v>-22798.44</v>
      </c>
      <c r="J806" s="13" t="s">
        <v>5</v>
      </c>
      <c r="K806" s="13" t="s">
        <v>6</v>
      </c>
      <c r="L806" s="15">
        <v>-1913929.04</v>
      </c>
      <c r="M806" s="15">
        <v>-22798.44</v>
      </c>
      <c r="N806" s="16" t="str">
        <f>IF(M806="","",IF(M806&lt;0,-M806&amp;"_"&amp;COUNTIF(M$2:M806,M806),M806&amp;"_"&amp;COUNTIF(M$2:M806,M806)))</f>
        <v>22798.44_1</v>
      </c>
      <c r="O806" s="17" t="str">
        <f t="shared" si="12"/>
        <v/>
      </c>
      <c r="P806" s="13" t="s">
        <v>1215</v>
      </c>
      <c r="Q806" s="13" t="s">
        <v>1165</v>
      </c>
      <c r="R806" s="13" t="s">
        <v>0</v>
      </c>
      <c r="S806" s="13" t="s">
        <v>0</v>
      </c>
      <c r="T806" s="13" t="s">
        <v>9</v>
      </c>
      <c r="U806" s="13" t="s">
        <v>0</v>
      </c>
      <c r="V806" s="13" t="s">
        <v>0</v>
      </c>
      <c r="W806" s="13" t="s">
        <v>0</v>
      </c>
      <c r="X806" s="13" t="s">
        <v>0</v>
      </c>
      <c r="Y806" s="13" t="s">
        <v>10</v>
      </c>
      <c r="Z806" s="13" t="s">
        <v>0</v>
      </c>
      <c r="AA806" s="14"/>
      <c r="AB806" s="13" t="s">
        <v>0</v>
      </c>
      <c r="AC806" s="13" t="s">
        <v>0</v>
      </c>
      <c r="AD806" s="13" t="s">
        <v>0</v>
      </c>
      <c r="AE806" s="15">
        <v>0</v>
      </c>
    </row>
    <row r="807" spans="1:31" ht="14.15" customHeight="1" x14ac:dyDescent="0.25">
      <c r="A807" s="12" t="s">
        <v>0</v>
      </c>
      <c r="B807" s="13" t="s">
        <v>1</v>
      </c>
      <c r="C807" s="13" t="s">
        <v>2935</v>
      </c>
      <c r="D807" s="14">
        <v>44276</v>
      </c>
      <c r="E807" s="14">
        <v>44276</v>
      </c>
      <c r="F807" s="14">
        <v>44283</v>
      </c>
      <c r="G807" s="13" t="s">
        <v>3</v>
      </c>
      <c r="H807" s="13" t="s">
        <v>4</v>
      </c>
      <c r="I807" s="15">
        <v>-22789.93</v>
      </c>
      <c r="J807" s="13" t="s">
        <v>5</v>
      </c>
      <c r="K807" s="13" t="s">
        <v>6</v>
      </c>
      <c r="L807" s="15">
        <v>-1913214.62</v>
      </c>
      <c r="M807" s="15">
        <v>-22789.93</v>
      </c>
      <c r="N807" s="16" t="str">
        <f>IF(M807="","",IF(M807&lt;0,-M807&amp;"_"&amp;COUNTIF(M$2:M807,M807),M807&amp;"_"&amp;COUNTIF(M$2:M807,M807)))</f>
        <v>22789.93_1</v>
      </c>
      <c r="O807" s="17" t="str">
        <f t="shared" si="12"/>
        <v/>
      </c>
      <c r="P807" s="13" t="s">
        <v>2936</v>
      </c>
      <c r="Q807" s="13" t="s">
        <v>2922</v>
      </c>
      <c r="R807" s="13" t="s">
        <v>0</v>
      </c>
      <c r="S807" s="13" t="s">
        <v>0</v>
      </c>
      <c r="T807" s="13" t="s">
        <v>9</v>
      </c>
      <c r="U807" s="13" t="s">
        <v>0</v>
      </c>
      <c r="V807" s="13" t="s">
        <v>0</v>
      </c>
      <c r="W807" s="13" t="s">
        <v>0</v>
      </c>
      <c r="X807" s="13" t="s">
        <v>0</v>
      </c>
      <c r="Y807" s="13" t="s">
        <v>10</v>
      </c>
      <c r="Z807" s="13" t="s">
        <v>0</v>
      </c>
      <c r="AA807" s="14"/>
      <c r="AB807" s="13" t="s">
        <v>0</v>
      </c>
      <c r="AC807" s="13" t="s">
        <v>0</v>
      </c>
      <c r="AD807" s="13" t="s">
        <v>0</v>
      </c>
      <c r="AE807" s="15">
        <v>0</v>
      </c>
    </row>
    <row r="808" spans="1:31" ht="14.15" customHeight="1" x14ac:dyDescent="0.25">
      <c r="A808" s="12" t="s">
        <v>0</v>
      </c>
      <c r="B808" s="13" t="s">
        <v>1</v>
      </c>
      <c r="C808" s="13" t="s">
        <v>2303</v>
      </c>
      <c r="D808" s="14">
        <v>44219</v>
      </c>
      <c r="E808" s="14">
        <v>44219</v>
      </c>
      <c r="F808" s="14">
        <v>44226</v>
      </c>
      <c r="G808" s="13" t="s">
        <v>3</v>
      </c>
      <c r="H808" s="13" t="s">
        <v>4</v>
      </c>
      <c r="I808" s="15">
        <v>-22739.79</v>
      </c>
      <c r="J808" s="13" t="s">
        <v>5</v>
      </c>
      <c r="K808" s="13" t="s">
        <v>6</v>
      </c>
      <c r="L808" s="15">
        <v>-1909005.37</v>
      </c>
      <c r="M808" s="15">
        <v>-22739.79</v>
      </c>
      <c r="N808" s="16" t="str">
        <f>IF(M808="","",IF(M808&lt;0,-M808&amp;"_"&amp;COUNTIF(M$2:M808,M808),M808&amp;"_"&amp;COUNTIF(M$2:M808,M808)))</f>
        <v>22739.79_1</v>
      </c>
      <c r="O808" s="17" t="str">
        <f t="shared" si="12"/>
        <v/>
      </c>
      <c r="P808" s="13" t="s">
        <v>2304</v>
      </c>
      <c r="Q808" s="13" t="s">
        <v>2282</v>
      </c>
      <c r="R808" s="13" t="s">
        <v>0</v>
      </c>
      <c r="S808" s="13" t="s">
        <v>0</v>
      </c>
      <c r="T808" s="13" t="s">
        <v>9</v>
      </c>
      <c r="U808" s="13" t="s">
        <v>0</v>
      </c>
      <c r="V808" s="13" t="s">
        <v>0</v>
      </c>
      <c r="W808" s="13" t="s">
        <v>0</v>
      </c>
      <c r="X808" s="13" t="s">
        <v>0</v>
      </c>
      <c r="Y808" s="13" t="s">
        <v>10</v>
      </c>
      <c r="Z808" s="13" t="s">
        <v>0</v>
      </c>
      <c r="AA808" s="14"/>
      <c r="AB808" s="13" t="s">
        <v>0</v>
      </c>
      <c r="AC808" s="13" t="s">
        <v>0</v>
      </c>
      <c r="AD808" s="13" t="s">
        <v>0</v>
      </c>
      <c r="AE808" s="15">
        <v>0</v>
      </c>
    </row>
    <row r="809" spans="1:31" ht="14.15" customHeight="1" x14ac:dyDescent="0.25">
      <c r="A809" s="12" t="s">
        <v>0</v>
      </c>
      <c r="B809" s="13" t="s">
        <v>1</v>
      </c>
      <c r="C809" s="13" t="s">
        <v>3943</v>
      </c>
      <c r="D809" s="14">
        <v>44354</v>
      </c>
      <c r="E809" s="14">
        <v>44354</v>
      </c>
      <c r="F809" s="14">
        <v>44364</v>
      </c>
      <c r="G809" s="13" t="s">
        <v>3</v>
      </c>
      <c r="H809" s="13" t="s">
        <v>4</v>
      </c>
      <c r="I809" s="15">
        <v>-22722.18</v>
      </c>
      <c r="J809" s="13" t="s">
        <v>5</v>
      </c>
      <c r="K809" s="13" t="s">
        <v>6</v>
      </c>
      <c r="L809" s="15">
        <v>-1907527.01</v>
      </c>
      <c r="M809" s="15">
        <v>-22722.18</v>
      </c>
      <c r="N809" s="16" t="str">
        <f>IF(M809="","",IF(M809&lt;0,-M809&amp;"_"&amp;COUNTIF(M$2:M809,M809),M809&amp;"_"&amp;COUNTIF(M$2:M809,M809)))</f>
        <v>22722.18_1</v>
      </c>
      <c r="O809" s="17" t="str">
        <f t="shared" si="12"/>
        <v/>
      </c>
      <c r="P809" s="13" t="s">
        <v>3944</v>
      </c>
      <c r="Q809" s="13" t="s">
        <v>3914</v>
      </c>
      <c r="R809" s="13" t="s">
        <v>0</v>
      </c>
      <c r="S809" s="13" t="s">
        <v>0</v>
      </c>
      <c r="T809" s="13" t="s">
        <v>9</v>
      </c>
      <c r="U809" s="13" t="s">
        <v>0</v>
      </c>
      <c r="V809" s="13" t="s">
        <v>0</v>
      </c>
      <c r="W809" s="13" t="s">
        <v>0</v>
      </c>
      <c r="X809" s="13" t="s">
        <v>0</v>
      </c>
      <c r="Y809" s="13" t="s">
        <v>10</v>
      </c>
      <c r="Z809" s="13" t="s">
        <v>0</v>
      </c>
      <c r="AA809" s="14"/>
      <c r="AB809" s="13" t="s">
        <v>0</v>
      </c>
      <c r="AC809" s="13" t="s">
        <v>0</v>
      </c>
      <c r="AD809" s="13" t="s">
        <v>0</v>
      </c>
      <c r="AE809" s="15">
        <v>0</v>
      </c>
    </row>
    <row r="810" spans="1:31" ht="14.15" customHeight="1" x14ac:dyDescent="0.25">
      <c r="A810" s="12" t="s">
        <v>0</v>
      </c>
      <c r="B810" s="13" t="s">
        <v>1</v>
      </c>
      <c r="C810" s="13" t="s">
        <v>3287</v>
      </c>
      <c r="D810" s="14">
        <v>44314</v>
      </c>
      <c r="E810" s="14">
        <v>44314</v>
      </c>
      <c r="F810" s="14">
        <v>44319</v>
      </c>
      <c r="G810" s="13" t="s">
        <v>3</v>
      </c>
      <c r="H810" s="13" t="s">
        <v>4</v>
      </c>
      <c r="I810" s="15">
        <v>-22705.39</v>
      </c>
      <c r="J810" s="13" t="s">
        <v>5</v>
      </c>
      <c r="K810" s="13" t="s">
        <v>6</v>
      </c>
      <c r="L810" s="15">
        <v>-1906117.49</v>
      </c>
      <c r="M810" s="15">
        <v>-22705.39</v>
      </c>
      <c r="N810" s="16" t="str">
        <f>IF(M810="","",IF(M810&lt;0,-M810&amp;"_"&amp;COUNTIF(M$2:M810,M810),M810&amp;"_"&amp;COUNTIF(M$2:M810,M810)))</f>
        <v>22705.39_1</v>
      </c>
      <c r="O810" s="17" t="str">
        <f t="shared" si="12"/>
        <v/>
      </c>
      <c r="P810" s="13" t="s">
        <v>3288</v>
      </c>
      <c r="Q810" s="13" t="s">
        <v>3284</v>
      </c>
      <c r="R810" s="13" t="s">
        <v>0</v>
      </c>
      <c r="S810" s="13" t="s">
        <v>0</v>
      </c>
      <c r="T810" s="13" t="s">
        <v>9</v>
      </c>
      <c r="U810" s="13" t="s">
        <v>0</v>
      </c>
      <c r="V810" s="13" t="s">
        <v>0</v>
      </c>
      <c r="W810" s="13" t="s">
        <v>0</v>
      </c>
      <c r="X810" s="13" t="s">
        <v>0</v>
      </c>
      <c r="Y810" s="13" t="s">
        <v>10</v>
      </c>
      <c r="Z810" s="13" t="s">
        <v>0</v>
      </c>
      <c r="AA810" s="14"/>
      <c r="AB810" s="13" t="s">
        <v>0</v>
      </c>
      <c r="AC810" s="13" t="s">
        <v>0</v>
      </c>
      <c r="AD810" s="13" t="s">
        <v>0</v>
      </c>
      <c r="AE810" s="15">
        <v>0</v>
      </c>
    </row>
    <row r="811" spans="1:31" ht="14.15" customHeight="1" x14ac:dyDescent="0.25">
      <c r="A811" s="12" t="s">
        <v>0</v>
      </c>
      <c r="B811" s="13" t="s">
        <v>1</v>
      </c>
      <c r="C811" s="13" t="s">
        <v>2045</v>
      </c>
      <c r="D811" s="14">
        <v>44197</v>
      </c>
      <c r="E811" s="14">
        <v>44197</v>
      </c>
      <c r="F811" s="14">
        <v>44202</v>
      </c>
      <c r="G811" s="13" t="s">
        <v>3</v>
      </c>
      <c r="H811" s="13" t="s">
        <v>4</v>
      </c>
      <c r="I811" s="15">
        <v>-22692.54</v>
      </c>
      <c r="J811" s="13" t="s">
        <v>5</v>
      </c>
      <c r="K811" s="13" t="s">
        <v>6</v>
      </c>
      <c r="L811" s="15">
        <v>-1905038.73</v>
      </c>
      <c r="M811" s="15">
        <v>-22692.54</v>
      </c>
      <c r="N811" s="16" t="str">
        <f>IF(M811="","",IF(M811&lt;0,-M811&amp;"_"&amp;COUNTIF(M$2:M811,M811),M811&amp;"_"&amp;COUNTIF(M$2:M811,M811)))</f>
        <v>22692.54_1</v>
      </c>
      <c r="O811" s="17" t="str">
        <f t="shared" si="12"/>
        <v/>
      </c>
      <c r="P811" s="13" t="s">
        <v>2046</v>
      </c>
      <c r="Q811" s="13" t="s">
        <v>2034</v>
      </c>
      <c r="R811" s="13" t="s">
        <v>0</v>
      </c>
      <c r="S811" s="13" t="s">
        <v>0</v>
      </c>
      <c r="T811" s="13" t="s">
        <v>9</v>
      </c>
      <c r="U811" s="13" t="s">
        <v>0</v>
      </c>
      <c r="V811" s="13" t="s">
        <v>0</v>
      </c>
      <c r="W811" s="13" t="s">
        <v>0</v>
      </c>
      <c r="X811" s="13" t="s">
        <v>0</v>
      </c>
      <c r="Y811" s="13" t="s">
        <v>10</v>
      </c>
      <c r="Z811" s="13" t="s">
        <v>0</v>
      </c>
      <c r="AA811" s="14"/>
      <c r="AB811" s="13" t="s">
        <v>0</v>
      </c>
      <c r="AC811" s="13" t="s">
        <v>0</v>
      </c>
      <c r="AD811" s="13" t="s">
        <v>0</v>
      </c>
      <c r="AE811" s="15">
        <v>0</v>
      </c>
    </row>
    <row r="812" spans="1:31" ht="14.15" customHeight="1" x14ac:dyDescent="0.25">
      <c r="A812" s="12" t="s">
        <v>0</v>
      </c>
      <c r="B812" s="13" t="s">
        <v>1</v>
      </c>
      <c r="C812" s="13" t="s">
        <v>2683</v>
      </c>
      <c r="D812" s="14">
        <v>44254</v>
      </c>
      <c r="E812" s="14">
        <v>44254</v>
      </c>
      <c r="F812" s="14">
        <v>44257</v>
      </c>
      <c r="G812" s="13" t="s">
        <v>3</v>
      </c>
      <c r="H812" s="13" t="s">
        <v>4</v>
      </c>
      <c r="I812" s="15">
        <v>-22585.31</v>
      </c>
      <c r="J812" s="13" t="s">
        <v>5</v>
      </c>
      <c r="K812" s="13" t="s">
        <v>6</v>
      </c>
      <c r="L812" s="15">
        <v>-1896036.77</v>
      </c>
      <c r="M812" s="15">
        <v>-22585.31</v>
      </c>
      <c r="N812" s="16" t="str">
        <f>IF(M812="","",IF(M812&lt;0,-M812&amp;"_"&amp;COUNTIF(M$2:M812,M812),M812&amp;"_"&amp;COUNTIF(M$2:M812,M812)))</f>
        <v>22585.31_1</v>
      </c>
      <c r="O812" s="17" t="str">
        <f t="shared" si="12"/>
        <v/>
      </c>
      <c r="P812" s="13" t="s">
        <v>2684</v>
      </c>
      <c r="Q812" s="13" t="s">
        <v>2685</v>
      </c>
      <c r="R812" s="13" t="s">
        <v>0</v>
      </c>
      <c r="S812" s="13" t="s">
        <v>0</v>
      </c>
      <c r="T812" s="13" t="s">
        <v>9</v>
      </c>
      <c r="U812" s="13" t="s">
        <v>0</v>
      </c>
      <c r="V812" s="13" t="s">
        <v>0</v>
      </c>
      <c r="W812" s="13" t="s">
        <v>0</v>
      </c>
      <c r="X812" s="13" t="s">
        <v>0</v>
      </c>
      <c r="Y812" s="13" t="s">
        <v>10</v>
      </c>
      <c r="Z812" s="13" t="s">
        <v>0</v>
      </c>
      <c r="AA812" s="14"/>
      <c r="AB812" s="13" t="s">
        <v>0</v>
      </c>
      <c r="AC812" s="13" t="s">
        <v>0</v>
      </c>
      <c r="AD812" s="13" t="s">
        <v>0</v>
      </c>
      <c r="AE812" s="15">
        <v>0</v>
      </c>
    </row>
    <row r="813" spans="1:31" ht="14.15" customHeight="1" x14ac:dyDescent="0.25">
      <c r="A813" s="12" t="s">
        <v>0</v>
      </c>
      <c r="B813" s="13" t="s">
        <v>1</v>
      </c>
      <c r="C813" s="13" t="s">
        <v>2253</v>
      </c>
      <c r="D813" s="14">
        <v>44216</v>
      </c>
      <c r="E813" s="14">
        <v>44216</v>
      </c>
      <c r="F813" s="14">
        <v>44220</v>
      </c>
      <c r="G813" s="13" t="s">
        <v>3</v>
      </c>
      <c r="H813" s="13" t="s">
        <v>4</v>
      </c>
      <c r="I813" s="15">
        <v>-22582.27</v>
      </c>
      <c r="J813" s="13" t="s">
        <v>5</v>
      </c>
      <c r="K813" s="13" t="s">
        <v>6</v>
      </c>
      <c r="L813" s="15">
        <v>-1895781.57</v>
      </c>
      <c r="M813" s="15">
        <v>-22582.27</v>
      </c>
      <c r="N813" s="16" t="str">
        <f>IF(M813="","",IF(M813&lt;0,-M813&amp;"_"&amp;COUNTIF(M$2:M813,M813),M813&amp;"_"&amp;COUNTIF(M$2:M813,M813)))</f>
        <v>22582.27_1</v>
      </c>
      <c r="O813" s="17" t="str">
        <f t="shared" si="12"/>
        <v/>
      </c>
      <c r="P813" s="13" t="s">
        <v>2254</v>
      </c>
      <c r="Q813" s="13" t="s">
        <v>2255</v>
      </c>
      <c r="R813" s="13" t="s">
        <v>0</v>
      </c>
      <c r="S813" s="13" t="s">
        <v>0</v>
      </c>
      <c r="T813" s="13" t="s">
        <v>9</v>
      </c>
      <c r="U813" s="13" t="s">
        <v>0</v>
      </c>
      <c r="V813" s="13" t="s">
        <v>0</v>
      </c>
      <c r="W813" s="13" t="s">
        <v>0</v>
      </c>
      <c r="X813" s="13" t="s">
        <v>0</v>
      </c>
      <c r="Y813" s="13" t="s">
        <v>10</v>
      </c>
      <c r="Z813" s="13" t="s">
        <v>0</v>
      </c>
      <c r="AA813" s="14"/>
      <c r="AB813" s="13" t="s">
        <v>0</v>
      </c>
      <c r="AC813" s="13" t="s">
        <v>0</v>
      </c>
      <c r="AD813" s="13" t="s">
        <v>0</v>
      </c>
      <c r="AE813" s="15">
        <v>0</v>
      </c>
    </row>
    <row r="814" spans="1:31" ht="14.15" customHeight="1" x14ac:dyDescent="0.25">
      <c r="A814" s="12" t="s">
        <v>0</v>
      </c>
      <c r="B814" s="13" t="s">
        <v>1</v>
      </c>
      <c r="C814" s="13" t="s">
        <v>1819</v>
      </c>
      <c r="D814" s="14">
        <v>44183</v>
      </c>
      <c r="E814" s="14">
        <v>44183</v>
      </c>
      <c r="F814" s="14">
        <v>44188</v>
      </c>
      <c r="G814" s="13" t="s">
        <v>3</v>
      </c>
      <c r="H814" s="13" t="s">
        <v>4</v>
      </c>
      <c r="I814" s="15">
        <v>-22574.65</v>
      </c>
      <c r="J814" s="13" t="s">
        <v>5</v>
      </c>
      <c r="K814" s="13" t="s">
        <v>6</v>
      </c>
      <c r="L814" s="15">
        <v>-1895141.87</v>
      </c>
      <c r="M814" s="15">
        <v>-22574.65</v>
      </c>
      <c r="N814" s="16" t="str">
        <f>IF(M814="","",IF(M814&lt;0,-M814&amp;"_"&amp;COUNTIF(M$2:M814,M814),M814&amp;"_"&amp;COUNTIF(M$2:M814,M814)))</f>
        <v>22574.65_1</v>
      </c>
      <c r="O814" s="17" t="str">
        <f t="shared" si="12"/>
        <v/>
      </c>
      <c r="P814" s="13" t="s">
        <v>1820</v>
      </c>
      <c r="Q814" s="13" t="s">
        <v>1792</v>
      </c>
      <c r="R814" s="13" t="s">
        <v>0</v>
      </c>
      <c r="S814" s="13" t="s">
        <v>0</v>
      </c>
      <c r="T814" s="13" t="s">
        <v>9</v>
      </c>
      <c r="U814" s="13" t="s">
        <v>0</v>
      </c>
      <c r="V814" s="13" t="s">
        <v>0</v>
      </c>
      <c r="W814" s="13" t="s">
        <v>0</v>
      </c>
      <c r="X814" s="13" t="s">
        <v>0</v>
      </c>
      <c r="Y814" s="13" t="s">
        <v>10</v>
      </c>
      <c r="Z814" s="13" t="s">
        <v>0</v>
      </c>
      <c r="AA814" s="14"/>
      <c r="AB814" s="13" t="s">
        <v>0</v>
      </c>
      <c r="AC814" s="13" t="s">
        <v>0</v>
      </c>
      <c r="AD814" s="13" t="s">
        <v>0</v>
      </c>
      <c r="AE814" s="15">
        <v>0</v>
      </c>
    </row>
    <row r="815" spans="1:31" ht="14.15" customHeight="1" x14ac:dyDescent="0.25">
      <c r="A815" s="12" t="s">
        <v>0</v>
      </c>
      <c r="B815" s="13" t="s">
        <v>1</v>
      </c>
      <c r="C815" s="13" t="s">
        <v>1736</v>
      </c>
      <c r="D815" s="14">
        <v>44177</v>
      </c>
      <c r="E815" s="14">
        <v>44177</v>
      </c>
      <c r="F815" s="14">
        <v>44188</v>
      </c>
      <c r="G815" s="13" t="s">
        <v>3</v>
      </c>
      <c r="H815" s="13" t="s">
        <v>4</v>
      </c>
      <c r="I815" s="15">
        <v>-22498.25</v>
      </c>
      <c r="J815" s="13" t="s">
        <v>5</v>
      </c>
      <c r="K815" s="13" t="s">
        <v>6</v>
      </c>
      <c r="L815" s="15">
        <v>-1888728.09</v>
      </c>
      <c r="M815" s="15">
        <v>-22498.25</v>
      </c>
      <c r="N815" s="16" t="str">
        <f>IF(M815="","",IF(M815&lt;0,-M815&amp;"_"&amp;COUNTIF(M$2:M815,M815),M815&amp;"_"&amp;COUNTIF(M$2:M815,M815)))</f>
        <v>22498.25_1</v>
      </c>
      <c r="O815" s="17" t="str">
        <f t="shared" si="12"/>
        <v/>
      </c>
      <c r="P815" s="13" t="s">
        <v>1737</v>
      </c>
      <c r="Q815" s="13" t="s">
        <v>1729</v>
      </c>
      <c r="R815" s="13" t="s">
        <v>0</v>
      </c>
      <c r="S815" s="13" t="s">
        <v>0</v>
      </c>
      <c r="T815" s="13" t="s">
        <v>9</v>
      </c>
      <c r="U815" s="13" t="s">
        <v>0</v>
      </c>
      <c r="V815" s="13" t="s">
        <v>0</v>
      </c>
      <c r="W815" s="13" t="s">
        <v>0</v>
      </c>
      <c r="X815" s="13" t="s">
        <v>0</v>
      </c>
      <c r="Y815" s="13" t="s">
        <v>10</v>
      </c>
      <c r="Z815" s="13" t="s">
        <v>0</v>
      </c>
      <c r="AA815" s="14"/>
      <c r="AB815" s="13" t="s">
        <v>0</v>
      </c>
      <c r="AC815" s="13" t="s">
        <v>0</v>
      </c>
      <c r="AD815" s="13" t="s">
        <v>0</v>
      </c>
      <c r="AE815" s="15">
        <v>0</v>
      </c>
    </row>
    <row r="816" spans="1:31" ht="14.15" customHeight="1" x14ac:dyDescent="0.25">
      <c r="A816" s="12" t="s">
        <v>0</v>
      </c>
      <c r="B816" s="13" t="s">
        <v>1</v>
      </c>
      <c r="C816" s="13" t="s">
        <v>1512</v>
      </c>
      <c r="D816" s="14">
        <v>44163</v>
      </c>
      <c r="E816" s="14">
        <v>44163</v>
      </c>
      <c r="F816" s="14">
        <v>44168</v>
      </c>
      <c r="G816" s="13" t="s">
        <v>3</v>
      </c>
      <c r="H816" s="13" t="s">
        <v>4</v>
      </c>
      <c r="I816" s="15">
        <v>-22470.46</v>
      </c>
      <c r="J816" s="13" t="s">
        <v>5</v>
      </c>
      <c r="K816" s="13" t="s">
        <v>6</v>
      </c>
      <c r="L816" s="15">
        <v>-1886395.11</v>
      </c>
      <c r="M816" s="15">
        <v>-22470.46</v>
      </c>
      <c r="N816" s="16" t="str">
        <f>IF(M816="","",IF(M816&lt;0,-M816&amp;"_"&amp;COUNTIF(M$2:M816,M816),M816&amp;"_"&amp;COUNTIF(M$2:M816,M816)))</f>
        <v>22470.46_1</v>
      </c>
      <c r="O816" s="17" t="str">
        <f t="shared" si="12"/>
        <v/>
      </c>
      <c r="P816" s="13" t="s">
        <v>1513</v>
      </c>
      <c r="Q816" s="13" t="s">
        <v>1509</v>
      </c>
      <c r="R816" s="13" t="s">
        <v>0</v>
      </c>
      <c r="S816" s="13" t="s">
        <v>0</v>
      </c>
      <c r="T816" s="13" t="s">
        <v>9</v>
      </c>
      <c r="U816" s="13" t="s">
        <v>0</v>
      </c>
      <c r="V816" s="13" t="s">
        <v>0</v>
      </c>
      <c r="W816" s="13" t="s">
        <v>0</v>
      </c>
      <c r="X816" s="13" t="s">
        <v>0</v>
      </c>
      <c r="Y816" s="13" t="s">
        <v>10</v>
      </c>
      <c r="Z816" s="13" t="s">
        <v>0</v>
      </c>
      <c r="AA816" s="14"/>
      <c r="AB816" s="13" t="s">
        <v>0</v>
      </c>
      <c r="AC816" s="13" t="s">
        <v>0</v>
      </c>
      <c r="AD816" s="13" t="s">
        <v>0</v>
      </c>
      <c r="AE816" s="15">
        <v>0</v>
      </c>
    </row>
    <row r="817" spans="1:31" ht="14.15" customHeight="1" x14ac:dyDescent="0.25">
      <c r="A817" s="12" t="s">
        <v>0</v>
      </c>
      <c r="B817" s="13" t="s">
        <v>1</v>
      </c>
      <c r="C817" s="13" t="s">
        <v>184</v>
      </c>
      <c r="D817" s="14">
        <v>44034</v>
      </c>
      <c r="E817" s="14">
        <v>44034</v>
      </c>
      <c r="F817" s="14">
        <v>44040</v>
      </c>
      <c r="G817" s="13" t="s">
        <v>3</v>
      </c>
      <c r="H817" s="13" t="s">
        <v>4</v>
      </c>
      <c r="I817" s="15">
        <v>-22363.02</v>
      </c>
      <c r="J817" s="13" t="s">
        <v>5</v>
      </c>
      <c r="K817" s="13" t="s">
        <v>6</v>
      </c>
      <c r="L817" s="15">
        <v>-1877375.53</v>
      </c>
      <c r="M817" s="15">
        <v>-22363.02</v>
      </c>
      <c r="N817" s="16" t="str">
        <f>IF(M817="","",IF(M817&lt;0,-M817&amp;"_"&amp;COUNTIF(M$2:M817,M817),M817&amp;"_"&amp;COUNTIF(M$2:M817,M817)))</f>
        <v>22363.02_1</v>
      </c>
      <c r="O817" s="17" t="str">
        <f t="shared" si="12"/>
        <v/>
      </c>
      <c r="P817" s="13" t="s">
        <v>185</v>
      </c>
      <c r="Q817" s="13" t="s">
        <v>175</v>
      </c>
      <c r="R817" s="13" t="s">
        <v>0</v>
      </c>
      <c r="S817" s="13" t="s">
        <v>0</v>
      </c>
      <c r="T817" s="13" t="s">
        <v>9</v>
      </c>
      <c r="U817" s="13" t="s">
        <v>0</v>
      </c>
      <c r="V817" s="13" t="s">
        <v>0</v>
      </c>
      <c r="W817" s="13" t="s">
        <v>0</v>
      </c>
      <c r="X817" s="13" t="s">
        <v>0</v>
      </c>
      <c r="Y817" s="13" t="s">
        <v>10</v>
      </c>
      <c r="Z817" s="13" t="s">
        <v>0</v>
      </c>
      <c r="AA817" s="14"/>
      <c r="AB817" s="13" t="s">
        <v>0</v>
      </c>
      <c r="AC817" s="13" t="s">
        <v>0</v>
      </c>
      <c r="AD817" s="13" t="s">
        <v>0</v>
      </c>
      <c r="AE817" s="15">
        <v>0</v>
      </c>
    </row>
    <row r="818" spans="1:31" ht="14.15" customHeight="1" x14ac:dyDescent="0.25">
      <c r="A818" s="12" t="s">
        <v>0</v>
      </c>
      <c r="B818" s="13" t="s">
        <v>1</v>
      </c>
      <c r="C818" s="13" t="s">
        <v>3907</v>
      </c>
      <c r="D818" s="14">
        <v>44353</v>
      </c>
      <c r="E818" s="14">
        <v>44353</v>
      </c>
      <c r="F818" s="14">
        <v>44364</v>
      </c>
      <c r="G818" s="13" t="s">
        <v>3</v>
      </c>
      <c r="H818" s="13" t="s">
        <v>4</v>
      </c>
      <c r="I818" s="15">
        <v>-22343.74</v>
      </c>
      <c r="J818" s="13" t="s">
        <v>5</v>
      </c>
      <c r="K818" s="13" t="s">
        <v>6</v>
      </c>
      <c r="L818" s="15">
        <v>-1875756.97</v>
      </c>
      <c r="M818" s="15">
        <v>-22343.74</v>
      </c>
      <c r="N818" s="16" t="str">
        <f>IF(M818="","",IF(M818&lt;0,-M818&amp;"_"&amp;COUNTIF(M$2:M818,M818),M818&amp;"_"&amp;COUNTIF(M$2:M818,M818)))</f>
        <v>22343.74_1</v>
      </c>
      <c r="O818" s="17" t="str">
        <f t="shared" si="12"/>
        <v/>
      </c>
      <c r="P818" s="13" t="s">
        <v>3908</v>
      </c>
      <c r="Q818" s="13" t="s">
        <v>3886</v>
      </c>
      <c r="R818" s="13" t="s">
        <v>0</v>
      </c>
      <c r="S818" s="13" t="s">
        <v>0</v>
      </c>
      <c r="T818" s="13" t="s">
        <v>9</v>
      </c>
      <c r="U818" s="13" t="s">
        <v>0</v>
      </c>
      <c r="V818" s="13" t="s">
        <v>0</v>
      </c>
      <c r="W818" s="13" t="s">
        <v>0</v>
      </c>
      <c r="X818" s="13" t="s">
        <v>0</v>
      </c>
      <c r="Y818" s="13" t="s">
        <v>10</v>
      </c>
      <c r="Z818" s="13" t="s">
        <v>0</v>
      </c>
      <c r="AA818" s="14"/>
      <c r="AB818" s="13" t="s">
        <v>0</v>
      </c>
      <c r="AC818" s="13" t="s">
        <v>0</v>
      </c>
      <c r="AD818" s="13" t="s">
        <v>0</v>
      </c>
      <c r="AE818" s="15">
        <v>0</v>
      </c>
    </row>
    <row r="819" spans="1:31" ht="14.15" customHeight="1" x14ac:dyDescent="0.25">
      <c r="A819" s="12" t="s">
        <v>0</v>
      </c>
      <c r="B819" s="13" t="s">
        <v>1</v>
      </c>
      <c r="C819" s="13" t="s">
        <v>2498</v>
      </c>
      <c r="D819" s="14">
        <v>44235</v>
      </c>
      <c r="E819" s="14">
        <v>44235</v>
      </c>
      <c r="F819" s="14">
        <v>44241</v>
      </c>
      <c r="G819" s="13" t="s">
        <v>3</v>
      </c>
      <c r="H819" s="13" t="s">
        <v>4</v>
      </c>
      <c r="I819" s="15">
        <v>-22329.9</v>
      </c>
      <c r="J819" s="13" t="s">
        <v>5</v>
      </c>
      <c r="K819" s="13" t="s">
        <v>6</v>
      </c>
      <c r="L819" s="15">
        <v>-1874595.11</v>
      </c>
      <c r="M819" s="15">
        <v>-22329.9</v>
      </c>
      <c r="N819" s="16" t="str">
        <f>IF(M819="","",IF(M819&lt;0,-M819&amp;"_"&amp;COUNTIF(M$2:M819,M819),M819&amp;"_"&amp;COUNTIF(M$2:M819,M819)))</f>
        <v>22329.9_1</v>
      </c>
      <c r="O819" s="17" t="str">
        <f t="shared" si="12"/>
        <v/>
      </c>
      <c r="P819" s="13" t="s">
        <v>2499</v>
      </c>
      <c r="Q819" s="13" t="s">
        <v>2495</v>
      </c>
      <c r="R819" s="13" t="s">
        <v>0</v>
      </c>
      <c r="S819" s="13" t="s">
        <v>0</v>
      </c>
      <c r="T819" s="13" t="s">
        <v>9</v>
      </c>
      <c r="U819" s="13" t="s">
        <v>0</v>
      </c>
      <c r="V819" s="13" t="s">
        <v>0</v>
      </c>
      <c r="W819" s="13" t="s">
        <v>0</v>
      </c>
      <c r="X819" s="13" t="s">
        <v>0</v>
      </c>
      <c r="Y819" s="13" t="s">
        <v>10</v>
      </c>
      <c r="Z819" s="13" t="s">
        <v>0</v>
      </c>
      <c r="AA819" s="14"/>
      <c r="AB819" s="13" t="s">
        <v>0</v>
      </c>
      <c r="AC819" s="13" t="s">
        <v>0</v>
      </c>
      <c r="AD819" s="13" t="s">
        <v>0</v>
      </c>
      <c r="AE819" s="15">
        <v>0</v>
      </c>
    </row>
    <row r="820" spans="1:31" ht="14.15" customHeight="1" x14ac:dyDescent="0.25">
      <c r="A820" s="12" t="s">
        <v>0</v>
      </c>
      <c r="B820" s="13" t="s">
        <v>1</v>
      </c>
      <c r="C820" s="13" t="s">
        <v>3000</v>
      </c>
      <c r="D820" s="14">
        <v>44280</v>
      </c>
      <c r="E820" s="14">
        <v>44280</v>
      </c>
      <c r="F820" s="14">
        <v>44286</v>
      </c>
      <c r="G820" s="13" t="s">
        <v>3</v>
      </c>
      <c r="H820" s="13" t="s">
        <v>4</v>
      </c>
      <c r="I820" s="15">
        <v>-22296.68</v>
      </c>
      <c r="J820" s="13" t="s">
        <v>5</v>
      </c>
      <c r="K820" s="13" t="s">
        <v>6</v>
      </c>
      <c r="L820" s="15">
        <v>-1871806.29</v>
      </c>
      <c r="M820" s="15">
        <v>-22296.68</v>
      </c>
      <c r="N820" s="16" t="str">
        <f>IF(M820="","",IF(M820&lt;0,-M820&amp;"_"&amp;COUNTIF(M$2:M820,M820),M820&amp;"_"&amp;COUNTIF(M$2:M820,M820)))</f>
        <v>22296.68_1</v>
      </c>
      <c r="O820" s="17" t="str">
        <f t="shared" si="12"/>
        <v/>
      </c>
      <c r="P820" s="13" t="s">
        <v>3001</v>
      </c>
      <c r="Q820" s="13" t="s">
        <v>2989</v>
      </c>
      <c r="R820" s="13" t="s">
        <v>0</v>
      </c>
      <c r="S820" s="13" t="s">
        <v>0</v>
      </c>
      <c r="T820" s="13" t="s">
        <v>9</v>
      </c>
      <c r="U820" s="13" t="s">
        <v>0</v>
      </c>
      <c r="V820" s="13" t="s">
        <v>0</v>
      </c>
      <c r="W820" s="13" t="s">
        <v>0</v>
      </c>
      <c r="X820" s="13" t="s">
        <v>0</v>
      </c>
      <c r="Y820" s="13" t="s">
        <v>10</v>
      </c>
      <c r="Z820" s="13" t="s">
        <v>0</v>
      </c>
      <c r="AA820" s="14"/>
      <c r="AB820" s="13" t="s">
        <v>0</v>
      </c>
      <c r="AC820" s="13" t="s">
        <v>0</v>
      </c>
      <c r="AD820" s="13" t="s">
        <v>0</v>
      </c>
      <c r="AE820" s="15">
        <v>0</v>
      </c>
    </row>
    <row r="821" spans="1:31" ht="14.15" customHeight="1" x14ac:dyDescent="0.25">
      <c r="A821" s="12" t="s">
        <v>0</v>
      </c>
      <c r="B821" s="13" t="s">
        <v>1</v>
      </c>
      <c r="C821" s="13" t="s">
        <v>1015</v>
      </c>
      <c r="D821" s="14">
        <v>44128</v>
      </c>
      <c r="E821" s="14">
        <v>44128</v>
      </c>
      <c r="F821" s="14">
        <v>44136</v>
      </c>
      <c r="G821" s="13" t="s">
        <v>3</v>
      </c>
      <c r="H821" s="13" t="s">
        <v>4</v>
      </c>
      <c r="I821" s="15">
        <v>-22193.74</v>
      </c>
      <c r="J821" s="13" t="s">
        <v>5</v>
      </c>
      <c r="K821" s="13" t="s">
        <v>6</v>
      </c>
      <c r="L821" s="15">
        <v>-1863164.47</v>
      </c>
      <c r="M821" s="15">
        <v>-22193.74</v>
      </c>
      <c r="N821" s="16" t="str">
        <f>IF(M821="","",IF(M821&lt;0,-M821&amp;"_"&amp;COUNTIF(M$2:M821,M821),M821&amp;"_"&amp;COUNTIF(M$2:M821,M821)))</f>
        <v>22193.74_1</v>
      </c>
      <c r="O821" s="17" t="str">
        <f t="shared" si="12"/>
        <v/>
      </c>
      <c r="P821" s="13" t="s">
        <v>1016</v>
      </c>
      <c r="Q821" s="13" t="s">
        <v>1014</v>
      </c>
      <c r="R821" s="13" t="s">
        <v>0</v>
      </c>
      <c r="S821" s="13" t="s">
        <v>0</v>
      </c>
      <c r="T821" s="13" t="s">
        <v>9</v>
      </c>
      <c r="U821" s="13" t="s">
        <v>0</v>
      </c>
      <c r="V821" s="13" t="s">
        <v>0</v>
      </c>
      <c r="W821" s="13" t="s">
        <v>0</v>
      </c>
      <c r="X821" s="13" t="s">
        <v>0</v>
      </c>
      <c r="Y821" s="13" t="s">
        <v>10</v>
      </c>
      <c r="Z821" s="13" t="s">
        <v>0</v>
      </c>
      <c r="AA821" s="14"/>
      <c r="AB821" s="13" t="s">
        <v>0</v>
      </c>
      <c r="AC821" s="13" t="s">
        <v>0</v>
      </c>
      <c r="AD821" s="13" t="s">
        <v>0</v>
      </c>
      <c r="AE821" s="15">
        <v>0</v>
      </c>
    </row>
    <row r="822" spans="1:31" ht="14.15" customHeight="1" x14ac:dyDescent="0.25">
      <c r="A822" s="12" t="s">
        <v>0</v>
      </c>
      <c r="B822" s="13" t="s">
        <v>1</v>
      </c>
      <c r="C822" s="13" t="s">
        <v>2599</v>
      </c>
      <c r="D822" s="14">
        <v>44243</v>
      </c>
      <c r="E822" s="14">
        <v>44243</v>
      </c>
      <c r="F822" s="14">
        <v>44252</v>
      </c>
      <c r="G822" s="13" t="s">
        <v>3</v>
      </c>
      <c r="H822" s="13" t="s">
        <v>4</v>
      </c>
      <c r="I822" s="15">
        <v>-22152.35</v>
      </c>
      <c r="J822" s="13" t="s">
        <v>5</v>
      </c>
      <c r="K822" s="13" t="s">
        <v>6</v>
      </c>
      <c r="L822" s="15">
        <v>-1859689.78</v>
      </c>
      <c r="M822" s="15">
        <v>-22152.35</v>
      </c>
      <c r="N822" s="16" t="str">
        <f>IF(M822="","",IF(M822&lt;0,-M822&amp;"_"&amp;COUNTIF(M$2:M822,M822),M822&amp;"_"&amp;COUNTIF(M$2:M822,M822)))</f>
        <v>22152.35_1</v>
      </c>
      <c r="O822" s="17" t="str">
        <f t="shared" si="12"/>
        <v/>
      </c>
      <c r="P822" s="13" t="s">
        <v>2600</v>
      </c>
      <c r="Q822" s="13" t="s">
        <v>2574</v>
      </c>
      <c r="R822" s="13" t="s">
        <v>0</v>
      </c>
      <c r="S822" s="13" t="s">
        <v>0</v>
      </c>
      <c r="T822" s="13" t="s">
        <v>9</v>
      </c>
      <c r="U822" s="13" t="s">
        <v>0</v>
      </c>
      <c r="V822" s="13" t="s">
        <v>0</v>
      </c>
      <c r="W822" s="13" t="s">
        <v>0</v>
      </c>
      <c r="X822" s="13" t="s">
        <v>0</v>
      </c>
      <c r="Y822" s="13" t="s">
        <v>10</v>
      </c>
      <c r="Z822" s="13" t="s">
        <v>0</v>
      </c>
      <c r="AA822" s="14"/>
      <c r="AB822" s="13" t="s">
        <v>0</v>
      </c>
      <c r="AC822" s="13" t="s">
        <v>0</v>
      </c>
      <c r="AD822" s="13" t="s">
        <v>0</v>
      </c>
      <c r="AE822" s="15">
        <v>0</v>
      </c>
    </row>
    <row r="823" spans="1:31" ht="14.15" customHeight="1" x14ac:dyDescent="0.25">
      <c r="A823" s="12" t="s">
        <v>0</v>
      </c>
      <c r="B823" s="13" t="s">
        <v>1</v>
      </c>
      <c r="C823" s="13" t="s">
        <v>1880</v>
      </c>
      <c r="D823" s="14">
        <v>44188</v>
      </c>
      <c r="E823" s="14">
        <v>44188</v>
      </c>
      <c r="F823" s="14">
        <v>44199</v>
      </c>
      <c r="G823" s="13" t="s">
        <v>3</v>
      </c>
      <c r="H823" s="13" t="s">
        <v>4</v>
      </c>
      <c r="I823" s="15">
        <v>-22145.58</v>
      </c>
      <c r="J823" s="13" t="s">
        <v>5</v>
      </c>
      <c r="K823" s="13" t="s">
        <v>6</v>
      </c>
      <c r="L823" s="15">
        <v>-1859121.44</v>
      </c>
      <c r="M823" s="15">
        <v>-22145.58</v>
      </c>
      <c r="N823" s="16" t="str">
        <f>IF(M823="","",IF(M823&lt;0,-M823&amp;"_"&amp;COUNTIF(M$2:M823,M823),M823&amp;"_"&amp;COUNTIF(M$2:M823,M823)))</f>
        <v>22145.58_1</v>
      </c>
      <c r="O823" s="17" t="str">
        <f t="shared" si="12"/>
        <v/>
      </c>
      <c r="P823" s="13" t="s">
        <v>1881</v>
      </c>
      <c r="Q823" s="13" t="s">
        <v>1869</v>
      </c>
      <c r="R823" s="13" t="s">
        <v>0</v>
      </c>
      <c r="S823" s="13" t="s">
        <v>0</v>
      </c>
      <c r="T823" s="13" t="s">
        <v>9</v>
      </c>
      <c r="U823" s="13" t="s">
        <v>0</v>
      </c>
      <c r="V823" s="13" t="s">
        <v>0</v>
      </c>
      <c r="W823" s="13" t="s">
        <v>0</v>
      </c>
      <c r="X823" s="13" t="s">
        <v>0</v>
      </c>
      <c r="Y823" s="13" t="s">
        <v>10</v>
      </c>
      <c r="Z823" s="13" t="s">
        <v>0</v>
      </c>
      <c r="AA823" s="14"/>
      <c r="AB823" s="13" t="s">
        <v>0</v>
      </c>
      <c r="AC823" s="13" t="s">
        <v>0</v>
      </c>
      <c r="AD823" s="13" t="s">
        <v>0</v>
      </c>
      <c r="AE823" s="15">
        <v>0</v>
      </c>
    </row>
    <row r="824" spans="1:31" ht="14.15" customHeight="1" x14ac:dyDescent="0.25">
      <c r="A824" s="12" t="s">
        <v>0</v>
      </c>
      <c r="B824" s="13" t="s">
        <v>1</v>
      </c>
      <c r="C824" s="13" t="s">
        <v>3307</v>
      </c>
      <c r="D824" s="14">
        <v>44314</v>
      </c>
      <c r="E824" s="14">
        <v>44314</v>
      </c>
      <c r="F824" s="14">
        <v>44323</v>
      </c>
      <c r="G824" s="13" t="s">
        <v>3</v>
      </c>
      <c r="H824" s="13" t="s">
        <v>4</v>
      </c>
      <c r="I824" s="15">
        <v>-22058.19</v>
      </c>
      <c r="J824" s="13" t="s">
        <v>5</v>
      </c>
      <c r="K824" s="13" t="s">
        <v>6</v>
      </c>
      <c r="L824" s="15">
        <v>-1851785.05</v>
      </c>
      <c r="M824" s="15">
        <v>-22058.19</v>
      </c>
      <c r="N824" s="16" t="str">
        <f>IF(M824="","",IF(M824&lt;0,-M824&amp;"_"&amp;COUNTIF(M$2:M824,M824),M824&amp;"_"&amp;COUNTIF(M$2:M824,M824)))</f>
        <v>22058.19_1</v>
      </c>
      <c r="O824" s="17" t="str">
        <f t="shared" si="12"/>
        <v/>
      </c>
      <c r="P824" s="13" t="s">
        <v>3308</v>
      </c>
      <c r="Q824" s="13" t="s">
        <v>3284</v>
      </c>
      <c r="R824" s="13" t="s">
        <v>0</v>
      </c>
      <c r="S824" s="13" t="s">
        <v>0</v>
      </c>
      <c r="T824" s="13" t="s">
        <v>9</v>
      </c>
      <c r="U824" s="13" t="s">
        <v>0</v>
      </c>
      <c r="V824" s="13" t="s">
        <v>0</v>
      </c>
      <c r="W824" s="13" t="s">
        <v>0</v>
      </c>
      <c r="X824" s="13" t="s">
        <v>0</v>
      </c>
      <c r="Y824" s="13" t="s">
        <v>10</v>
      </c>
      <c r="Z824" s="13" t="s">
        <v>0</v>
      </c>
      <c r="AA824" s="14"/>
      <c r="AB824" s="13" t="s">
        <v>0</v>
      </c>
      <c r="AC824" s="13" t="s">
        <v>0</v>
      </c>
      <c r="AD824" s="13" t="s">
        <v>0</v>
      </c>
      <c r="AE824" s="15">
        <v>0</v>
      </c>
    </row>
    <row r="825" spans="1:31" ht="14.15" customHeight="1" x14ac:dyDescent="0.25">
      <c r="A825" s="12" t="s">
        <v>0</v>
      </c>
      <c r="B825" s="13" t="s">
        <v>1</v>
      </c>
      <c r="C825" s="13" t="s">
        <v>3185</v>
      </c>
      <c r="D825" s="14">
        <v>44299</v>
      </c>
      <c r="E825" s="14">
        <v>44299</v>
      </c>
      <c r="F825" s="14">
        <v>44308</v>
      </c>
      <c r="G825" s="13" t="s">
        <v>3</v>
      </c>
      <c r="H825" s="13" t="s">
        <v>4</v>
      </c>
      <c r="I825" s="15">
        <v>-22024.71</v>
      </c>
      <c r="J825" s="13" t="s">
        <v>5</v>
      </c>
      <c r="K825" s="13" t="s">
        <v>6</v>
      </c>
      <c r="L825" s="15">
        <v>-1848974.4</v>
      </c>
      <c r="M825" s="15">
        <v>-22024.71</v>
      </c>
      <c r="N825" s="16" t="str">
        <f>IF(M825="","",IF(M825&lt;0,-M825&amp;"_"&amp;COUNTIF(M$2:M825,M825),M825&amp;"_"&amp;COUNTIF(M$2:M825,M825)))</f>
        <v>22024.71_1</v>
      </c>
      <c r="O825" s="17" t="str">
        <f t="shared" si="12"/>
        <v/>
      </c>
      <c r="P825" s="13" t="s">
        <v>3186</v>
      </c>
      <c r="Q825" s="13" t="s">
        <v>3170</v>
      </c>
      <c r="R825" s="13" t="s">
        <v>0</v>
      </c>
      <c r="S825" s="13" t="s">
        <v>0</v>
      </c>
      <c r="T825" s="13" t="s">
        <v>9</v>
      </c>
      <c r="U825" s="13" t="s">
        <v>0</v>
      </c>
      <c r="V825" s="13" t="s">
        <v>0</v>
      </c>
      <c r="W825" s="13" t="s">
        <v>0</v>
      </c>
      <c r="X825" s="13" t="s">
        <v>0</v>
      </c>
      <c r="Y825" s="13" t="s">
        <v>10</v>
      </c>
      <c r="Z825" s="13" t="s">
        <v>0</v>
      </c>
      <c r="AA825" s="14"/>
      <c r="AB825" s="13" t="s">
        <v>0</v>
      </c>
      <c r="AC825" s="13" t="s">
        <v>0</v>
      </c>
      <c r="AD825" s="13" t="s">
        <v>0</v>
      </c>
      <c r="AE825" s="15">
        <v>0</v>
      </c>
    </row>
    <row r="826" spans="1:31" ht="14.15" customHeight="1" x14ac:dyDescent="0.25">
      <c r="A826" s="12" t="s">
        <v>0</v>
      </c>
      <c r="B826" s="13" t="s">
        <v>1</v>
      </c>
      <c r="C826" s="13" t="s">
        <v>3867</v>
      </c>
      <c r="D826" s="14">
        <v>44351</v>
      </c>
      <c r="E826" s="14">
        <v>44351</v>
      </c>
      <c r="F826" s="14">
        <v>44364</v>
      </c>
      <c r="G826" s="13" t="s">
        <v>3</v>
      </c>
      <c r="H826" s="13" t="s">
        <v>4</v>
      </c>
      <c r="I826" s="15">
        <v>-21970.959999999999</v>
      </c>
      <c r="J826" s="13" t="s">
        <v>5</v>
      </c>
      <c r="K826" s="13" t="s">
        <v>6</v>
      </c>
      <c r="L826" s="15">
        <v>-1844462.09</v>
      </c>
      <c r="M826" s="15">
        <v>-21970.959999999999</v>
      </c>
      <c r="N826" s="16" t="str">
        <f>IF(M826="","",IF(M826&lt;0,-M826&amp;"_"&amp;COUNTIF(M$2:M826,M826),M826&amp;"_"&amp;COUNTIF(M$2:M826,M826)))</f>
        <v>21970.96_1</v>
      </c>
      <c r="O826" s="17" t="str">
        <f t="shared" si="12"/>
        <v/>
      </c>
      <c r="P826" s="13" t="s">
        <v>3868</v>
      </c>
      <c r="Q826" s="13" t="s">
        <v>3857</v>
      </c>
      <c r="R826" s="13" t="s">
        <v>0</v>
      </c>
      <c r="S826" s="13" t="s">
        <v>0</v>
      </c>
      <c r="T826" s="13" t="s">
        <v>9</v>
      </c>
      <c r="U826" s="13" t="s">
        <v>0</v>
      </c>
      <c r="V826" s="13" t="s">
        <v>0</v>
      </c>
      <c r="W826" s="13" t="s">
        <v>0</v>
      </c>
      <c r="X826" s="13" t="s">
        <v>0</v>
      </c>
      <c r="Y826" s="13" t="s">
        <v>10</v>
      </c>
      <c r="Z826" s="13" t="s">
        <v>0</v>
      </c>
      <c r="AA826" s="14"/>
      <c r="AB826" s="13" t="s">
        <v>0</v>
      </c>
      <c r="AC826" s="13" t="s">
        <v>0</v>
      </c>
      <c r="AD826" s="13" t="s">
        <v>0</v>
      </c>
      <c r="AE826" s="15">
        <v>0</v>
      </c>
    </row>
    <row r="827" spans="1:31" ht="14.15" customHeight="1" x14ac:dyDescent="0.25">
      <c r="A827" s="12" t="s">
        <v>0</v>
      </c>
      <c r="B827" s="13" t="s">
        <v>1</v>
      </c>
      <c r="C827" s="13" t="s">
        <v>4080</v>
      </c>
      <c r="D827" s="14">
        <v>44361</v>
      </c>
      <c r="E827" s="14">
        <v>44361</v>
      </c>
      <c r="F827" s="14">
        <v>44364</v>
      </c>
      <c r="G827" s="13" t="s">
        <v>3</v>
      </c>
      <c r="H827" s="13" t="s">
        <v>4</v>
      </c>
      <c r="I827" s="15">
        <v>-21969.119999999999</v>
      </c>
      <c r="J827" s="13" t="s">
        <v>5</v>
      </c>
      <c r="K827" s="13" t="s">
        <v>6</v>
      </c>
      <c r="L827" s="15">
        <v>-1844307.62</v>
      </c>
      <c r="M827" s="15">
        <v>-21969.119999999999</v>
      </c>
      <c r="N827" s="16" t="str">
        <f>IF(M827="","",IF(M827&lt;0,-M827&amp;"_"&amp;COUNTIF(M$2:M827,M827),M827&amp;"_"&amp;COUNTIF(M$2:M827,M827)))</f>
        <v>21969.12_1</v>
      </c>
      <c r="O827" s="17" t="str">
        <f t="shared" si="12"/>
        <v/>
      </c>
      <c r="P827" s="13" t="s">
        <v>4081</v>
      </c>
      <c r="Q827" s="13" t="s">
        <v>4075</v>
      </c>
      <c r="R827" s="13" t="s">
        <v>0</v>
      </c>
      <c r="S827" s="13" t="s">
        <v>0</v>
      </c>
      <c r="T827" s="13" t="s">
        <v>9</v>
      </c>
      <c r="U827" s="13" t="s">
        <v>0</v>
      </c>
      <c r="V827" s="13" t="s">
        <v>0</v>
      </c>
      <c r="W827" s="13" t="s">
        <v>0</v>
      </c>
      <c r="X827" s="13" t="s">
        <v>0</v>
      </c>
      <c r="Y827" s="13" t="s">
        <v>10</v>
      </c>
      <c r="Z827" s="13" t="s">
        <v>0</v>
      </c>
      <c r="AA827" s="14"/>
      <c r="AB827" s="13" t="s">
        <v>0</v>
      </c>
      <c r="AC827" s="13" t="s">
        <v>0</v>
      </c>
      <c r="AD827" s="13" t="s">
        <v>0</v>
      </c>
      <c r="AE827" s="15">
        <v>0</v>
      </c>
    </row>
    <row r="828" spans="1:31" ht="14.15" customHeight="1" x14ac:dyDescent="0.25">
      <c r="A828" s="12" t="s">
        <v>0</v>
      </c>
      <c r="B828" s="13" t="s">
        <v>1</v>
      </c>
      <c r="C828" s="13" t="s">
        <v>2620</v>
      </c>
      <c r="D828" s="14">
        <v>44245</v>
      </c>
      <c r="E828" s="14">
        <v>44245</v>
      </c>
      <c r="F828" s="14">
        <v>44255</v>
      </c>
      <c r="G828" s="13" t="s">
        <v>3</v>
      </c>
      <c r="H828" s="13" t="s">
        <v>4</v>
      </c>
      <c r="I828" s="15">
        <v>-21953.55</v>
      </c>
      <c r="J828" s="13" t="s">
        <v>5</v>
      </c>
      <c r="K828" s="13" t="s">
        <v>6</v>
      </c>
      <c r="L828" s="15">
        <v>-1843000.52</v>
      </c>
      <c r="M828" s="15">
        <v>-21953.55</v>
      </c>
      <c r="N828" s="16" t="str">
        <f>IF(M828="","",IF(M828&lt;0,-M828&amp;"_"&amp;COUNTIF(M$2:M828,M828),M828&amp;"_"&amp;COUNTIF(M$2:M828,M828)))</f>
        <v>21953.55_1</v>
      </c>
      <c r="O828" s="17" t="str">
        <f t="shared" si="12"/>
        <v/>
      </c>
      <c r="P828" s="13" t="s">
        <v>2621</v>
      </c>
      <c r="Q828" s="13" t="s">
        <v>2613</v>
      </c>
      <c r="R828" s="13" t="s">
        <v>0</v>
      </c>
      <c r="S828" s="13" t="s">
        <v>0</v>
      </c>
      <c r="T828" s="13" t="s">
        <v>9</v>
      </c>
      <c r="U828" s="13" t="s">
        <v>0</v>
      </c>
      <c r="V828" s="13" t="s">
        <v>0</v>
      </c>
      <c r="W828" s="13" t="s">
        <v>0</v>
      </c>
      <c r="X828" s="13" t="s">
        <v>0</v>
      </c>
      <c r="Y828" s="13" t="s">
        <v>10</v>
      </c>
      <c r="Z828" s="13" t="s">
        <v>0</v>
      </c>
      <c r="AA828" s="14"/>
      <c r="AB828" s="13" t="s">
        <v>0</v>
      </c>
      <c r="AC828" s="13" t="s">
        <v>0</v>
      </c>
      <c r="AD828" s="13" t="s">
        <v>0</v>
      </c>
      <c r="AE828" s="15">
        <v>0</v>
      </c>
    </row>
    <row r="829" spans="1:31" ht="14.15" customHeight="1" x14ac:dyDescent="0.25">
      <c r="A829" s="12" t="s">
        <v>0</v>
      </c>
      <c r="B829" s="13" t="s">
        <v>1</v>
      </c>
      <c r="C829" s="13" t="s">
        <v>4205</v>
      </c>
      <c r="D829" s="14">
        <v>44364</v>
      </c>
      <c r="E829" s="14">
        <v>44364</v>
      </c>
      <c r="F829" s="14">
        <v>44371</v>
      </c>
      <c r="G829" s="13" t="s">
        <v>3</v>
      </c>
      <c r="H829" s="13" t="s">
        <v>4</v>
      </c>
      <c r="I829" s="15">
        <v>-21919.040000000001</v>
      </c>
      <c r="J829" s="13" t="s">
        <v>5</v>
      </c>
      <c r="K829" s="13" t="s">
        <v>6</v>
      </c>
      <c r="L829" s="15">
        <v>-1840103.41</v>
      </c>
      <c r="M829" s="15">
        <v>-21919.040000000001</v>
      </c>
      <c r="N829" s="16" t="str">
        <f>IF(M829="","",IF(M829&lt;0,-M829&amp;"_"&amp;COUNTIF(M$2:M829,M829),M829&amp;"_"&amp;COUNTIF(M$2:M829,M829)))</f>
        <v>21919.04_1</v>
      </c>
      <c r="O829" s="17" t="str">
        <f t="shared" si="12"/>
        <v/>
      </c>
      <c r="P829" s="13" t="s">
        <v>4206</v>
      </c>
      <c r="Q829" s="13" t="s">
        <v>4180</v>
      </c>
      <c r="R829" s="13" t="s">
        <v>0</v>
      </c>
      <c r="S829" s="13" t="s">
        <v>0</v>
      </c>
      <c r="T829" s="13" t="s">
        <v>9</v>
      </c>
      <c r="U829" s="13" t="s">
        <v>0</v>
      </c>
      <c r="V829" s="13" t="s">
        <v>0</v>
      </c>
      <c r="W829" s="13" t="s">
        <v>0</v>
      </c>
      <c r="X829" s="13" t="s">
        <v>0</v>
      </c>
      <c r="Y829" s="13" t="s">
        <v>10</v>
      </c>
      <c r="Z829" s="13" t="s">
        <v>0</v>
      </c>
      <c r="AA829" s="14"/>
      <c r="AB829" s="13" t="s">
        <v>0</v>
      </c>
      <c r="AC829" s="13" t="s">
        <v>0</v>
      </c>
      <c r="AD829" s="13" t="s">
        <v>0</v>
      </c>
      <c r="AE829" s="15">
        <v>0</v>
      </c>
    </row>
    <row r="830" spans="1:31" ht="14.15" customHeight="1" x14ac:dyDescent="0.25">
      <c r="A830" s="12" t="s">
        <v>0</v>
      </c>
      <c r="B830" s="13" t="s">
        <v>1</v>
      </c>
      <c r="C830" s="13" t="s">
        <v>1392</v>
      </c>
      <c r="D830" s="14">
        <v>44153</v>
      </c>
      <c r="E830" s="14">
        <v>44153</v>
      </c>
      <c r="F830" s="14">
        <v>44159</v>
      </c>
      <c r="G830" s="13" t="s">
        <v>3</v>
      </c>
      <c r="H830" s="13" t="s">
        <v>4</v>
      </c>
      <c r="I830" s="15">
        <v>-21883.91</v>
      </c>
      <c r="J830" s="13" t="s">
        <v>5</v>
      </c>
      <c r="K830" s="13" t="s">
        <v>6</v>
      </c>
      <c r="L830" s="15">
        <v>-1837154.24</v>
      </c>
      <c r="M830" s="15">
        <v>-21883.91</v>
      </c>
      <c r="N830" s="16" t="str">
        <f>IF(M830="","",IF(M830&lt;0,-M830&amp;"_"&amp;COUNTIF(M$2:M830,M830),M830&amp;"_"&amp;COUNTIF(M$2:M830,M830)))</f>
        <v>21883.91_1</v>
      </c>
      <c r="O830" s="17" t="str">
        <f t="shared" si="12"/>
        <v/>
      </c>
      <c r="P830" s="13" t="s">
        <v>1393</v>
      </c>
      <c r="Q830" s="13" t="s">
        <v>1381</v>
      </c>
      <c r="R830" s="13" t="s">
        <v>0</v>
      </c>
      <c r="S830" s="13" t="s">
        <v>0</v>
      </c>
      <c r="T830" s="13" t="s">
        <v>9</v>
      </c>
      <c r="U830" s="13" t="s">
        <v>0</v>
      </c>
      <c r="V830" s="13" t="s">
        <v>0</v>
      </c>
      <c r="W830" s="13" t="s">
        <v>0</v>
      </c>
      <c r="X830" s="13" t="s">
        <v>0</v>
      </c>
      <c r="Y830" s="13" t="s">
        <v>10</v>
      </c>
      <c r="Z830" s="13" t="s">
        <v>0</v>
      </c>
      <c r="AA830" s="14"/>
      <c r="AB830" s="13" t="s">
        <v>0</v>
      </c>
      <c r="AC830" s="13" t="s">
        <v>0</v>
      </c>
      <c r="AD830" s="13" t="s">
        <v>0</v>
      </c>
      <c r="AE830" s="15">
        <v>0</v>
      </c>
    </row>
    <row r="831" spans="1:31" ht="14.15" customHeight="1" x14ac:dyDescent="0.25">
      <c r="A831" s="12" t="s">
        <v>0</v>
      </c>
      <c r="B831" s="13" t="s">
        <v>1</v>
      </c>
      <c r="C831" s="13" t="s">
        <v>17</v>
      </c>
      <c r="D831" s="14">
        <v>44014</v>
      </c>
      <c r="E831" s="14">
        <v>44014</v>
      </c>
      <c r="F831" s="14">
        <v>44030</v>
      </c>
      <c r="G831" s="13" t="s">
        <v>3</v>
      </c>
      <c r="H831" s="13" t="s">
        <v>4</v>
      </c>
      <c r="I831" s="15">
        <v>-21869.599999999999</v>
      </c>
      <c r="J831" s="13" t="s">
        <v>5</v>
      </c>
      <c r="K831" s="13" t="s">
        <v>6</v>
      </c>
      <c r="L831" s="15">
        <v>-1835952.92</v>
      </c>
      <c r="M831" s="15">
        <v>-21869.599999999999</v>
      </c>
      <c r="N831" s="16" t="str">
        <f>IF(M831="","",IF(M831&lt;0,-M831&amp;"_"&amp;COUNTIF(M$2:M831,M831),M831&amp;"_"&amp;COUNTIF(M$2:M831,M831)))</f>
        <v>21869.6_1</v>
      </c>
      <c r="O831" s="17" t="str">
        <f t="shared" si="12"/>
        <v/>
      </c>
      <c r="P831" s="13" t="s">
        <v>18</v>
      </c>
      <c r="Q831" s="13" t="s">
        <v>8</v>
      </c>
      <c r="R831" s="13" t="s">
        <v>0</v>
      </c>
      <c r="S831" s="13" t="s">
        <v>0</v>
      </c>
      <c r="T831" s="13" t="s">
        <v>9</v>
      </c>
      <c r="U831" s="13" t="s">
        <v>0</v>
      </c>
      <c r="V831" s="13" t="s">
        <v>0</v>
      </c>
      <c r="W831" s="13" t="s">
        <v>0</v>
      </c>
      <c r="X831" s="13" t="s">
        <v>0</v>
      </c>
      <c r="Y831" s="13" t="s">
        <v>10</v>
      </c>
      <c r="Z831" s="13" t="s">
        <v>0</v>
      </c>
      <c r="AA831" s="14"/>
      <c r="AB831" s="13" t="s">
        <v>0</v>
      </c>
      <c r="AC831" s="13" t="s">
        <v>0</v>
      </c>
      <c r="AD831" s="13" t="s">
        <v>0</v>
      </c>
      <c r="AE831" s="15">
        <v>0</v>
      </c>
    </row>
    <row r="832" spans="1:31" ht="14.15" customHeight="1" x14ac:dyDescent="0.25">
      <c r="A832" s="12" t="s">
        <v>0</v>
      </c>
      <c r="B832" s="13" t="s">
        <v>1</v>
      </c>
      <c r="C832" s="13" t="s">
        <v>688</v>
      </c>
      <c r="D832" s="14">
        <v>44090</v>
      </c>
      <c r="E832" s="14">
        <v>44090</v>
      </c>
      <c r="F832" s="14">
        <v>44096</v>
      </c>
      <c r="G832" s="13" t="s">
        <v>3</v>
      </c>
      <c r="H832" s="13" t="s">
        <v>4</v>
      </c>
      <c r="I832" s="15">
        <v>-21865.85</v>
      </c>
      <c r="J832" s="13" t="s">
        <v>5</v>
      </c>
      <c r="K832" s="13" t="s">
        <v>6</v>
      </c>
      <c r="L832" s="15">
        <v>-1835638.11</v>
      </c>
      <c r="M832" s="15">
        <v>-21865.85</v>
      </c>
      <c r="N832" s="16" t="str">
        <f>IF(M832="","",IF(M832&lt;0,-M832&amp;"_"&amp;COUNTIF(M$2:M832,M832),M832&amp;"_"&amp;COUNTIF(M$2:M832,M832)))</f>
        <v>21865.85_1</v>
      </c>
      <c r="O832" s="17" t="str">
        <f t="shared" si="12"/>
        <v/>
      </c>
      <c r="P832" s="13" t="s">
        <v>689</v>
      </c>
      <c r="Q832" s="13" t="s">
        <v>687</v>
      </c>
      <c r="R832" s="13" t="s">
        <v>0</v>
      </c>
      <c r="S832" s="13" t="s">
        <v>0</v>
      </c>
      <c r="T832" s="13" t="s">
        <v>9</v>
      </c>
      <c r="U832" s="13" t="s">
        <v>0</v>
      </c>
      <c r="V832" s="13" t="s">
        <v>0</v>
      </c>
      <c r="W832" s="13" t="s">
        <v>0</v>
      </c>
      <c r="X832" s="13" t="s">
        <v>0</v>
      </c>
      <c r="Y832" s="13" t="s">
        <v>10</v>
      </c>
      <c r="Z832" s="13" t="s">
        <v>0</v>
      </c>
      <c r="AA832" s="14"/>
      <c r="AB832" s="13" t="s">
        <v>0</v>
      </c>
      <c r="AC832" s="13" t="s">
        <v>0</v>
      </c>
      <c r="AD832" s="13" t="s">
        <v>0</v>
      </c>
      <c r="AE832" s="15">
        <v>0</v>
      </c>
    </row>
    <row r="833" spans="1:31" ht="14.15" customHeight="1" x14ac:dyDescent="0.25">
      <c r="A833" s="12" t="s">
        <v>0</v>
      </c>
      <c r="B833" s="13" t="s">
        <v>1</v>
      </c>
      <c r="C833" s="13" t="s">
        <v>2212</v>
      </c>
      <c r="D833" s="14">
        <v>44213</v>
      </c>
      <c r="E833" s="14">
        <v>44213</v>
      </c>
      <c r="F833" s="14">
        <v>44219</v>
      </c>
      <c r="G833" s="13" t="s">
        <v>3</v>
      </c>
      <c r="H833" s="13" t="s">
        <v>4</v>
      </c>
      <c r="I833" s="15">
        <v>-21836.560000000001</v>
      </c>
      <c r="J833" s="13" t="s">
        <v>5</v>
      </c>
      <c r="K833" s="13" t="s">
        <v>6</v>
      </c>
      <c r="L833" s="15">
        <v>-1833179.21</v>
      </c>
      <c r="M833" s="15">
        <v>-21836.560000000001</v>
      </c>
      <c r="N833" s="16" t="str">
        <f>IF(M833="","",IF(M833&lt;0,-M833&amp;"_"&amp;COUNTIF(M$2:M833,M833),M833&amp;"_"&amp;COUNTIF(M$2:M833,M833)))</f>
        <v>21836.56_1</v>
      </c>
      <c r="O833" s="17" t="str">
        <f t="shared" si="12"/>
        <v/>
      </c>
      <c r="P833" s="13" t="s">
        <v>2213</v>
      </c>
      <c r="Q833" s="13" t="s">
        <v>2211</v>
      </c>
      <c r="R833" s="13" t="s">
        <v>0</v>
      </c>
      <c r="S833" s="13" t="s">
        <v>0</v>
      </c>
      <c r="T833" s="13" t="s">
        <v>9</v>
      </c>
      <c r="U833" s="13" t="s">
        <v>0</v>
      </c>
      <c r="V833" s="13" t="s">
        <v>0</v>
      </c>
      <c r="W833" s="13" t="s">
        <v>0</v>
      </c>
      <c r="X833" s="13" t="s">
        <v>0</v>
      </c>
      <c r="Y833" s="13" t="s">
        <v>10</v>
      </c>
      <c r="Z833" s="13" t="s">
        <v>0</v>
      </c>
      <c r="AA833" s="14"/>
      <c r="AB833" s="13" t="s">
        <v>0</v>
      </c>
      <c r="AC833" s="13" t="s">
        <v>0</v>
      </c>
      <c r="AD833" s="13" t="s">
        <v>0</v>
      </c>
      <c r="AE833" s="15">
        <v>0</v>
      </c>
    </row>
    <row r="834" spans="1:31" ht="14.15" customHeight="1" x14ac:dyDescent="0.25">
      <c r="A834" s="12" t="s">
        <v>0</v>
      </c>
      <c r="B834" s="13" t="s">
        <v>1</v>
      </c>
      <c r="C834" s="13" t="s">
        <v>1692</v>
      </c>
      <c r="D834" s="14">
        <v>44173</v>
      </c>
      <c r="E834" s="14">
        <v>44173</v>
      </c>
      <c r="F834" s="14">
        <v>44178</v>
      </c>
      <c r="G834" s="13" t="s">
        <v>3</v>
      </c>
      <c r="H834" s="13" t="s">
        <v>4</v>
      </c>
      <c r="I834" s="15">
        <v>-21695.26</v>
      </c>
      <c r="J834" s="13" t="s">
        <v>5</v>
      </c>
      <c r="K834" s="13" t="s">
        <v>6</v>
      </c>
      <c r="L834" s="15">
        <v>-1821317.08</v>
      </c>
      <c r="M834" s="15">
        <v>-21695.26</v>
      </c>
      <c r="N834" s="16" t="str">
        <f>IF(M834="","",IF(M834&lt;0,-M834&amp;"_"&amp;COUNTIF(M$2:M834,M834),M834&amp;"_"&amp;COUNTIF(M$2:M834,M834)))</f>
        <v>21695.26_1</v>
      </c>
      <c r="O834" s="17" t="str">
        <f t="shared" ref="O834:O897" si="13">IF(COUNTIF(N:N,N834)=2,"x","")</f>
        <v/>
      </c>
      <c r="P834" s="13" t="s">
        <v>1693</v>
      </c>
      <c r="Q834" s="13" t="s">
        <v>1687</v>
      </c>
      <c r="R834" s="13" t="s">
        <v>0</v>
      </c>
      <c r="S834" s="13" t="s">
        <v>0</v>
      </c>
      <c r="T834" s="13" t="s">
        <v>9</v>
      </c>
      <c r="U834" s="13" t="s">
        <v>0</v>
      </c>
      <c r="V834" s="13" t="s">
        <v>0</v>
      </c>
      <c r="W834" s="13" t="s">
        <v>0</v>
      </c>
      <c r="X834" s="13" t="s">
        <v>0</v>
      </c>
      <c r="Y834" s="13" t="s">
        <v>10</v>
      </c>
      <c r="Z834" s="13" t="s">
        <v>0</v>
      </c>
      <c r="AA834" s="14"/>
      <c r="AB834" s="13" t="s">
        <v>0</v>
      </c>
      <c r="AC834" s="13" t="s">
        <v>0</v>
      </c>
      <c r="AD834" s="13" t="s">
        <v>0</v>
      </c>
      <c r="AE834" s="15">
        <v>0</v>
      </c>
    </row>
    <row r="835" spans="1:31" ht="14.15" customHeight="1" x14ac:dyDescent="0.25">
      <c r="A835" s="12" t="s">
        <v>0</v>
      </c>
      <c r="B835" s="13" t="s">
        <v>1</v>
      </c>
      <c r="C835" s="13" t="s">
        <v>3147</v>
      </c>
      <c r="D835" s="14">
        <v>44296</v>
      </c>
      <c r="E835" s="14">
        <v>44296</v>
      </c>
      <c r="F835" s="14">
        <v>44299</v>
      </c>
      <c r="G835" s="13" t="s">
        <v>3</v>
      </c>
      <c r="H835" s="13" t="s">
        <v>4</v>
      </c>
      <c r="I835" s="15">
        <v>-21658.53</v>
      </c>
      <c r="J835" s="13" t="s">
        <v>5</v>
      </c>
      <c r="K835" s="13" t="s">
        <v>6</v>
      </c>
      <c r="L835" s="15">
        <v>-1818233.6</v>
      </c>
      <c r="M835" s="15">
        <v>-21658.53</v>
      </c>
      <c r="N835" s="16" t="str">
        <f>IF(M835="","",IF(M835&lt;0,-M835&amp;"_"&amp;COUNTIF(M$2:M835,M835),M835&amp;"_"&amp;COUNTIF(M$2:M835,M835)))</f>
        <v>21658.53_1</v>
      </c>
      <c r="O835" s="17" t="str">
        <f t="shared" si="13"/>
        <v/>
      </c>
      <c r="P835" s="13" t="s">
        <v>3148</v>
      </c>
      <c r="Q835" s="13" t="s">
        <v>3149</v>
      </c>
      <c r="R835" s="13" t="s">
        <v>0</v>
      </c>
      <c r="S835" s="13" t="s">
        <v>0</v>
      </c>
      <c r="T835" s="13" t="s">
        <v>9</v>
      </c>
      <c r="U835" s="13" t="s">
        <v>0</v>
      </c>
      <c r="V835" s="13" t="s">
        <v>0</v>
      </c>
      <c r="W835" s="13" t="s">
        <v>0</v>
      </c>
      <c r="X835" s="13" t="s">
        <v>0</v>
      </c>
      <c r="Y835" s="13" t="s">
        <v>10</v>
      </c>
      <c r="Z835" s="13" t="s">
        <v>0</v>
      </c>
      <c r="AA835" s="14"/>
      <c r="AB835" s="13" t="s">
        <v>0</v>
      </c>
      <c r="AC835" s="13" t="s">
        <v>0</v>
      </c>
      <c r="AD835" s="13" t="s">
        <v>0</v>
      </c>
      <c r="AE835" s="15">
        <v>0</v>
      </c>
    </row>
    <row r="836" spans="1:31" ht="14.15" customHeight="1" x14ac:dyDescent="0.25">
      <c r="A836" s="12" t="s">
        <v>0</v>
      </c>
      <c r="B836" s="13" t="s">
        <v>1</v>
      </c>
      <c r="C836" s="13" t="s">
        <v>202</v>
      </c>
      <c r="D836" s="14">
        <v>44034</v>
      </c>
      <c r="E836" s="14">
        <v>44034</v>
      </c>
      <c r="F836" s="14">
        <v>44049</v>
      </c>
      <c r="G836" s="13" t="s">
        <v>3</v>
      </c>
      <c r="H836" s="13" t="s">
        <v>4</v>
      </c>
      <c r="I836" s="15">
        <v>-21550.86</v>
      </c>
      <c r="J836" s="13" t="s">
        <v>5</v>
      </c>
      <c r="K836" s="13" t="s">
        <v>6</v>
      </c>
      <c r="L836" s="15">
        <v>-1809194.7</v>
      </c>
      <c r="M836" s="15">
        <v>-21550.86</v>
      </c>
      <c r="N836" s="16" t="str">
        <f>IF(M836="","",IF(M836&lt;0,-M836&amp;"_"&amp;COUNTIF(M$2:M836,M836),M836&amp;"_"&amp;COUNTIF(M$2:M836,M836)))</f>
        <v>21550.86_1</v>
      </c>
      <c r="O836" s="17" t="str">
        <f t="shared" si="13"/>
        <v/>
      </c>
      <c r="P836" s="13" t="s">
        <v>203</v>
      </c>
      <c r="Q836" s="13" t="s">
        <v>175</v>
      </c>
      <c r="R836" s="13" t="s">
        <v>0</v>
      </c>
      <c r="S836" s="13" t="s">
        <v>0</v>
      </c>
      <c r="T836" s="13" t="s">
        <v>9</v>
      </c>
      <c r="U836" s="13" t="s">
        <v>0</v>
      </c>
      <c r="V836" s="13" t="s">
        <v>0</v>
      </c>
      <c r="W836" s="13" t="s">
        <v>0</v>
      </c>
      <c r="X836" s="13" t="s">
        <v>0</v>
      </c>
      <c r="Y836" s="13" t="s">
        <v>10</v>
      </c>
      <c r="Z836" s="13" t="s">
        <v>0</v>
      </c>
      <c r="AA836" s="14"/>
      <c r="AB836" s="13" t="s">
        <v>0</v>
      </c>
      <c r="AC836" s="13" t="s">
        <v>0</v>
      </c>
      <c r="AD836" s="13" t="s">
        <v>0</v>
      </c>
      <c r="AE836" s="15">
        <v>0</v>
      </c>
    </row>
    <row r="837" spans="1:31" ht="14.15" customHeight="1" x14ac:dyDescent="0.25">
      <c r="A837" s="12" t="s">
        <v>0</v>
      </c>
      <c r="B837" s="13" t="s">
        <v>1</v>
      </c>
      <c r="C837" s="13" t="s">
        <v>3648</v>
      </c>
      <c r="D837" s="14">
        <v>44331</v>
      </c>
      <c r="E837" s="14">
        <v>44331</v>
      </c>
      <c r="F837" s="14">
        <v>44340</v>
      </c>
      <c r="G837" s="13" t="s">
        <v>3</v>
      </c>
      <c r="H837" s="13" t="s">
        <v>4</v>
      </c>
      <c r="I837" s="15">
        <v>-21501.21</v>
      </c>
      <c r="J837" s="13" t="s">
        <v>5</v>
      </c>
      <c r="K837" s="13" t="s">
        <v>6</v>
      </c>
      <c r="L837" s="15">
        <v>-1805026.58</v>
      </c>
      <c r="M837" s="15">
        <v>-21501.21</v>
      </c>
      <c r="N837" s="16" t="str">
        <f>IF(M837="","",IF(M837&lt;0,-M837&amp;"_"&amp;COUNTIF(M$2:M837,M837),M837&amp;"_"&amp;COUNTIF(M$2:M837,M837)))</f>
        <v>21501.21_1</v>
      </c>
      <c r="O837" s="17" t="str">
        <f t="shared" si="13"/>
        <v/>
      </c>
      <c r="P837" s="13" t="s">
        <v>3649</v>
      </c>
      <c r="Q837" s="13" t="s">
        <v>3637</v>
      </c>
      <c r="R837" s="13" t="s">
        <v>0</v>
      </c>
      <c r="S837" s="13" t="s">
        <v>0</v>
      </c>
      <c r="T837" s="13" t="s">
        <v>9</v>
      </c>
      <c r="U837" s="13" t="s">
        <v>0</v>
      </c>
      <c r="V837" s="13" t="s">
        <v>0</v>
      </c>
      <c r="W837" s="13" t="s">
        <v>0</v>
      </c>
      <c r="X837" s="13" t="s">
        <v>0</v>
      </c>
      <c r="Y837" s="13" t="s">
        <v>10</v>
      </c>
      <c r="Z837" s="13" t="s">
        <v>0</v>
      </c>
      <c r="AA837" s="14"/>
      <c r="AB837" s="13" t="s">
        <v>0</v>
      </c>
      <c r="AC837" s="13" t="s">
        <v>0</v>
      </c>
      <c r="AD837" s="13" t="s">
        <v>0</v>
      </c>
      <c r="AE837" s="15">
        <v>0</v>
      </c>
    </row>
    <row r="838" spans="1:31" ht="14.15" customHeight="1" x14ac:dyDescent="0.25">
      <c r="A838" s="12" t="s">
        <v>0</v>
      </c>
      <c r="B838" s="13" t="s">
        <v>1</v>
      </c>
      <c r="C838" s="13" t="s">
        <v>590</v>
      </c>
      <c r="D838" s="14">
        <v>44079</v>
      </c>
      <c r="E838" s="14">
        <v>44079</v>
      </c>
      <c r="F838" s="14">
        <v>44098</v>
      </c>
      <c r="G838" s="13" t="s">
        <v>3</v>
      </c>
      <c r="H838" s="13" t="s">
        <v>4</v>
      </c>
      <c r="I838" s="15">
        <v>-21458.67</v>
      </c>
      <c r="J838" s="13" t="s">
        <v>5</v>
      </c>
      <c r="K838" s="13" t="s">
        <v>6</v>
      </c>
      <c r="L838" s="15">
        <v>-1801455.35</v>
      </c>
      <c r="M838" s="15">
        <v>-21458.67</v>
      </c>
      <c r="N838" s="16" t="str">
        <f>IF(M838="","",IF(M838&lt;0,-M838&amp;"_"&amp;COUNTIF(M$2:M838,M838),M838&amp;"_"&amp;COUNTIF(M$2:M838,M838)))</f>
        <v>21458.67_1</v>
      </c>
      <c r="O838" s="17" t="str">
        <f t="shared" si="13"/>
        <v/>
      </c>
      <c r="P838" s="13" t="s">
        <v>591</v>
      </c>
      <c r="Q838" s="13" t="s">
        <v>587</v>
      </c>
      <c r="R838" s="13" t="s">
        <v>0</v>
      </c>
      <c r="S838" s="13" t="s">
        <v>0</v>
      </c>
      <c r="T838" s="13" t="s">
        <v>9</v>
      </c>
      <c r="U838" s="13" t="s">
        <v>0</v>
      </c>
      <c r="V838" s="13" t="s">
        <v>0</v>
      </c>
      <c r="W838" s="13" t="s">
        <v>0</v>
      </c>
      <c r="X838" s="13" t="s">
        <v>0</v>
      </c>
      <c r="Y838" s="13" t="s">
        <v>10</v>
      </c>
      <c r="Z838" s="13" t="s">
        <v>0</v>
      </c>
      <c r="AA838" s="14"/>
      <c r="AB838" s="13" t="s">
        <v>0</v>
      </c>
      <c r="AC838" s="13" t="s">
        <v>0</v>
      </c>
      <c r="AD838" s="13" t="s">
        <v>0</v>
      </c>
      <c r="AE838" s="15">
        <v>0</v>
      </c>
    </row>
    <row r="839" spans="1:31" ht="14.15" customHeight="1" x14ac:dyDescent="0.25">
      <c r="A839" s="12" t="s">
        <v>0</v>
      </c>
      <c r="B839" s="13" t="s">
        <v>1</v>
      </c>
      <c r="C839" s="13" t="s">
        <v>2607</v>
      </c>
      <c r="D839" s="14">
        <v>44243</v>
      </c>
      <c r="E839" s="14">
        <v>44243</v>
      </c>
      <c r="F839" s="14">
        <v>44252</v>
      </c>
      <c r="G839" s="13" t="s">
        <v>3</v>
      </c>
      <c r="H839" s="13" t="s">
        <v>4</v>
      </c>
      <c r="I839" s="15">
        <v>-21452.34</v>
      </c>
      <c r="J839" s="13" t="s">
        <v>5</v>
      </c>
      <c r="K839" s="13" t="s">
        <v>6</v>
      </c>
      <c r="L839" s="15">
        <v>-1800923.94</v>
      </c>
      <c r="M839" s="15">
        <v>-21452.34</v>
      </c>
      <c r="N839" s="16" t="str">
        <f>IF(M839="","",IF(M839&lt;0,-M839&amp;"_"&amp;COUNTIF(M$2:M839,M839),M839&amp;"_"&amp;COUNTIF(M$2:M839,M839)))</f>
        <v>21452.34_1</v>
      </c>
      <c r="O839" s="17" t="str">
        <f t="shared" si="13"/>
        <v/>
      </c>
      <c r="P839" s="13" t="s">
        <v>2608</v>
      </c>
      <c r="Q839" s="13" t="s">
        <v>2574</v>
      </c>
      <c r="R839" s="13" t="s">
        <v>0</v>
      </c>
      <c r="S839" s="13" t="s">
        <v>0</v>
      </c>
      <c r="T839" s="13" t="s">
        <v>9</v>
      </c>
      <c r="U839" s="13" t="s">
        <v>0</v>
      </c>
      <c r="V839" s="13" t="s">
        <v>0</v>
      </c>
      <c r="W839" s="13" t="s">
        <v>0</v>
      </c>
      <c r="X839" s="13" t="s">
        <v>0</v>
      </c>
      <c r="Y839" s="13" t="s">
        <v>10</v>
      </c>
      <c r="Z839" s="13" t="s">
        <v>0</v>
      </c>
      <c r="AA839" s="14"/>
      <c r="AB839" s="13" t="s">
        <v>0</v>
      </c>
      <c r="AC839" s="13" t="s">
        <v>0</v>
      </c>
      <c r="AD839" s="13" t="s">
        <v>0</v>
      </c>
      <c r="AE839" s="15">
        <v>0</v>
      </c>
    </row>
    <row r="840" spans="1:31" ht="14.15" customHeight="1" x14ac:dyDescent="0.25">
      <c r="A840" s="12" t="s">
        <v>0</v>
      </c>
      <c r="B840" s="13" t="s">
        <v>1</v>
      </c>
      <c r="C840" s="13" t="s">
        <v>1753</v>
      </c>
      <c r="D840" s="14">
        <v>44179</v>
      </c>
      <c r="E840" s="14">
        <v>44179</v>
      </c>
      <c r="F840" s="14">
        <v>44185</v>
      </c>
      <c r="G840" s="13" t="s">
        <v>3</v>
      </c>
      <c r="H840" s="13" t="s">
        <v>4</v>
      </c>
      <c r="I840" s="15">
        <v>-21437.09</v>
      </c>
      <c r="J840" s="13" t="s">
        <v>5</v>
      </c>
      <c r="K840" s="13" t="s">
        <v>6</v>
      </c>
      <c r="L840" s="15">
        <v>-1799643.7</v>
      </c>
      <c r="M840" s="15">
        <v>-21437.09</v>
      </c>
      <c r="N840" s="16" t="str">
        <f>IF(M840="","",IF(M840&lt;0,-M840&amp;"_"&amp;COUNTIF(M$2:M840,M840),M840&amp;"_"&amp;COUNTIF(M$2:M840,M840)))</f>
        <v>21437.09_1</v>
      </c>
      <c r="O840" s="17" t="str">
        <f t="shared" si="13"/>
        <v/>
      </c>
      <c r="P840" s="13" t="s">
        <v>1754</v>
      </c>
      <c r="Q840" s="13" t="s">
        <v>1752</v>
      </c>
      <c r="R840" s="13" t="s">
        <v>0</v>
      </c>
      <c r="S840" s="13" t="s">
        <v>0</v>
      </c>
      <c r="T840" s="13" t="s">
        <v>9</v>
      </c>
      <c r="U840" s="13" t="s">
        <v>0</v>
      </c>
      <c r="V840" s="13" t="s">
        <v>0</v>
      </c>
      <c r="W840" s="13" t="s">
        <v>0</v>
      </c>
      <c r="X840" s="13" t="s">
        <v>0</v>
      </c>
      <c r="Y840" s="13" t="s">
        <v>10</v>
      </c>
      <c r="Z840" s="13" t="s">
        <v>0</v>
      </c>
      <c r="AA840" s="14"/>
      <c r="AB840" s="13" t="s">
        <v>0</v>
      </c>
      <c r="AC840" s="13" t="s">
        <v>0</v>
      </c>
      <c r="AD840" s="13" t="s">
        <v>0</v>
      </c>
      <c r="AE840" s="15">
        <v>0</v>
      </c>
    </row>
    <row r="841" spans="1:31" ht="14.15" customHeight="1" x14ac:dyDescent="0.25">
      <c r="A841" s="12" t="s">
        <v>0</v>
      </c>
      <c r="B841" s="13" t="s">
        <v>1</v>
      </c>
      <c r="C841" s="13" t="s">
        <v>3569</v>
      </c>
      <c r="D841" s="14">
        <v>44325</v>
      </c>
      <c r="E841" s="14">
        <v>44325</v>
      </c>
      <c r="F841" s="14">
        <v>44333</v>
      </c>
      <c r="G841" s="13" t="s">
        <v>3</v>
      </c>
      <c r="H841" s="13" t="s">
        <v>4</v>
      </c>
      <c r="I841" s="15">
        <v>-21435.33</v>
      </c>
      <c r="J841" s="13" t="s">
        <v>5</v>
      </c>
      <c r="K841" s="13" t="s">
        <v>6</v>
      </c>
      <c r="L841" s="15">
        <v>-1799495.95</v>
      </c>
      <c r="M841" s="15">
        <v>-21435.33</v>
      </c>
      <c r="N841" s="16" t="str">
        <f>IF(M841="","",IF(M841&lt;0,-M841&amp;"_"&amp;COUNTIF(M$2:M841,M841),M841&amp;"_"&amp;COUNTIF(M$2:M841,M841)))</f>
        <v>21435.33_1</v>
      </c>
      <c r="O841" s="17" t="str">
        <f t="shared" si="13"/>
        <v/>
      </c>
      <c r="P841" s="13" t="s">
        <v>3570</v>
      </c>
      <c r="Q841" s="13" t="s">
        <v>3557</v>
      </c>
      <c r="R841" s="13" t="s">
        <v>0</v>
      </c>
      <c r="S841" s="13" t="s">
        <v>0</v>
      </c>
      <c r="T841" s="13" t="s">
        <v>9</v>
      </c>
      <c r="U841" s="13" t="s">
        <v>0</v>
      </c>
      <c r="V841" s="13" t="s">
        <v>0</v>
      </c>
      <c r="W841" s="13" t="s">
        <v>0</v>
      </c>
      <c r="X841" s="13" t="s">
        <v>0</v>
      </c>
      <c r="Y841" s="13" t="s">
        <v>10</v>
      </c>
      <c r="Z841" s="13" t="s">
        <v>0</v>
      </c>
      <c r="AA841" s="14"/>
      <c r="AB841" s="13" t="s">
        <v>0</v>
      </c>
      <c r="AC841" s="13" t="s">
        <v>0</v>
      </c>
      <c r="AD841" s="13" t="s">
        <v>0</v>
      </c>
      <c r="AE841" s="15">
        <v>0</v>
      </c>
    </row>
    <row r="842" spans="1:31" ht="14.15" customHeight="1" x14ac:dyDescent="0.25">
      <c r="A842" s="12" t="s">
        <v>0</v>
      </c>
      <c r="B842" s="13" t="s">
        <v>1</v>
      </c>
      <c r="C842" s="13" t="s">
        <v>4270</v>
      </c>
      <c r="D842" s="14">
        <v>44370</v>
      </c>
      <c r="E842" s="14">
        <v>44370</v>
      </c>
      <c r="F842" s="14">
        <v>44371</v>
      </c>
      <c r="G842" s="13" t="s">
        <v>3</v>
      </c>
      <c r="H842" s="13" t="s">
        <v>4</v>
      </c>
      <c r="I842" s="15">
        <v>-21414.61</v>
      </c>
      <c r="J842" s="13" t="s">
        <v>5</v>
      </c>
      <c r="K842" s="13" t="s">
        <v>6</v>
      </c>
      <c r="L842" s="15">
        <v>-1797756.51</v>
      </c>
      <c r="M842" s="15">
        <v>-21414.61</v>
      </c>
      <c r="N842" s="16" t="str">
        <f>IF(M842="","",IF(M842&lt;0,-M842&amp;"_"&amp;COUNTIF(M$2:M842,M842),M842&amp;"_"&amp;COUNTIF(M$2:M842,M842)))</f>
        <v>21414.61_1</v>
      </c>
      <c r="O842" s="17" t="str">
        <f t="shared" si="13"/>
        <v/>
      </c>
      <c r="P842" s="13" t="s">
        <v>4271</v>
      </c>
      <c r="Q842" s="13" t="s">
        <v>4269</v>
      </c>
      <c r="R842" s="13" t="s">
        <v>0</v>
      </c>
      <c r="S842" s="13" t="s">
        <v>0</v>
      </c>
      <c r="T842" s="13" t="s">
        <v>9</v>
      </c>
      <c r="U842" s="13" t="s">
        <v>0</v>
      </c>
      <c r="V842" s="13" t="s">
        <v>0</v>
      </c>
      <c r="W842" s="13" t="s">
        <v>0</v>
      </c>
      <c r="X842" s="13" t="s">
        <v>0</v>
      </c>
      <c r="Y842" s="13" t="s">
        <v>10</v>
      </c>
      <c r="Z842" s="13" t="s">
        <v>0</v>
      </c>
      <c r="AA842" s="14"/>
      <c r="AB842" s="13" t="s">
        <v>0</v>
      </c>
      <c r="AC842" s="13" t="s">
        <v>0</v>
      </c>
      <c r="AD842" s="13" t="s">
        <v>0</v>
      </c>
      <c r="AE842" s="15">
        <v>0</v>
      </c>
    </row>
    <row r="843" spans="1:31" ht="14.15" customHeight="1" x14ac:dyDescent="0.25">
      <c r="A843" s="12" t="s">
        <v>0</v>
      </c>
      <c r="B843" s="13" t="s">
        <v>1</v>
      </c>
      <c r="C843" s="13" t="s">
        <v>1778</v>
      </c>
      <c r="D843" s="14">
        <v>44182</v>
      </c>
      <c r="E843" s="14">
        <v>44182</v>
      </c>
      <c r="F843" s="14">
        <v>44188</v>
      </c>
      <c r="G843" s="13" t="s">
        <v>3</v>
      </c>
      <c r="H843" s="13" t="s">
        <v>4</v>
      </c>
      <c r="I843" s="15">
        <v>-21380.48</v>
      </c>
      <c r="J843" s="13" t="s">
        <v>5</v>
      </c>
      <c r="K843" s="13" t="s">
        <v>6</v>
      </c>
      <c r="L843" s="15">
        <v>-1794891.3</v>
      </c>
      <c r="M843" s="15">
        <v>-21380.48</v>
      </c>
      <c r="N843" s="16" t="str">
        <f>IF(M843="","",IF(M843&lt;0,-M843&amp;"_"&amp;COUNTIF(M$2:M843,M843),M843&amp;"_"&amp;COUNTIF(M$2:M843,M843)))</f>
        <v>21380.48_1</v>
      </c>
      <c r="O843" s="17" t="str">
        <f t="shared" si="13"/>
        <v/>
      </c>
      <c r="P843" s="13" t="s">
        <v>1779</v>
      </c>
      <c r="Q843" s="13" t="s">
        <v>1777</v>
      </c>
      <c r="R843" s="13" t="s">
        <v>0</v>
      </c>
      <c r="S843" s="13" t="s">
        <v>0</v>
      </c>
      <c r="T843" s="13" t="s">
        <v>9</v>
      </c>
      <c r="U843" s="13" t="s">
        <v>0</v>
      </c>
      <c r="V843" s="13" t="s">
        <v>0</v>
      </c>
      <c r="W843" s="13" t="s">
        <v>0</v>
      </c>
      <c r="X843" s="13" t="s">
        <v>0</v>
      </c>
      <c r="Y843" s="13" t="s">
        <v>10</v>
      </c>
      <c r="Z843" s="13" t="s">
        <v>0</v>
      </c>
      <c r="AA843" s="14"/>
      <c r="AB843" s="13" t="s">
        <v>0</v>
      </c>
      <c r="AC843" s="13" t="s">
        <v>0</v>
      </c>
      <c r="AD843" s="13" t="s">
        <v>0</v>
      </c>
      <c r="AE843" s="15">
        <v>0</v>
      </c>
    </row>
    <row r="844" spans="1:31" ht="14.15" customHeight="1" x14ac:dyDescent="0.25">
      <c r="A844" s="12" t="s">
        <v>0</v>
      </c>
      <c r="B844" s="13" t="s">
        <v>1</v>
      </c>
      <c r="C844" s="13" t="s">
        <v>3565</v>
      </c>
      <c r="D844" s="14">
        <v>44325</v>
      </c>
      <c r="E844" s="14">
        <v>44325</v>
      </c>
      <c r="F844" s="14">
        <v>44333</v>
      </c>
      <c r="G844" s="13" t="s">
        <v>3</v>
      </c>
      <c r="H844" s="13" t="s">
        <v>4</v>
      </c>
      <c r="I844" s="15">
        <v>-21369.94</v>
      </c>
      <c r="J844" s="13" t="s">
        <v>5</v>
      </c>
      <c r="K844" s="13" t="s">
        <v>6</v>
      </c>
      <c r="L844" s="15">
        <v>-1794006.46</v>
      </c>
      <c r="M844" s="15">
        <v>-21369.94</v>
      </c>
      <c r="N844" s="16" t="str">
        <f>IF(M844="","",IF(M844&lt;0,-M844&amp;"_"&amp;COUNTIF(M$2:M844,M844),M844&amp;"_"&amp;COUNTIF(M$2:M844,M844)))</f>
        <v>21369.94_1</v>
      </c>
      <c r="O844" s="17" t="str">
        <f t="shared" si="13"/>
        <v/>
      </c>
      <c r="P844" s="13" t="s">
        <v>3566</v>
      </c>
      <c r="Q844" s="13" t="s">
        <v>3557</v>
      </c>
      <c r="R844" s="13" t="s">
        <v>0</v>
      </c>
      <c r="S844" s="13" t="s">
        <v>0</v>
      </c>
      <c r="T844" s="13" t="s">
        <v>9</v>
      </c>
      <c r="U844" s="13" t="s">
        <v>0</v>
      </c>
      <c r="V844" s="13" t="s">
        <v>0</v>
      </c>
      <c r="W844" s="13" t="s">
        <v>0</v>
      </c>
      <c r="X844" s="13" t="s">
        <v>0</v>
      </c>
      <c r="Y844" s="13" t="s">
        <v>10</v>
      </c>
      <c r="Z844" s="13" t="s">
        <v>0</v>
      </c>
      <c r="AA844" s="14"/>
      <c r="AB844" s="13" t="s">
        <v>0</v>
      </c>
      <c r="AC844" s="13" t="s">
        <v>0</v>
      </c>
      <c r="AD844" s="13" t="s">
        <v>0</v>
      </c>
      <c r="AE844" s="15">
        <v>0</v>
      </c>
    </row>
    <row r="845" spans="1:31" ht="14.15" customHeight="1" x14ac:dyDescent="0.25">
      <c r="A845" s="12" t="s">
        <v>0</v>
      </c>
      <c r="B845" s="13" t="s">
        <v>1</v>
      </c>
      <c r="C845" s="13" t="s">
        <v>2047</v>
      </c>
      <c r="D845" s="14">
        <v>44197</v>
      </c>
      <c r="E845" s="14">
        <v>44197</v>
      </c>
      <c r="F845" s="14">
        <v>44203</v>
      </c>
      <c r="G845" s="13" t="s">
        <v>3</v>
      </c>
      <c r="H845" s="13" t="s">
        <v>4</v>
      </c>
      <c r="I845" s="15">
        <v>-21368.47</v>
      </c>
      <c r="J845" s="13" t="s">
        <v>5</v>
      </c>
      <c r="K845" s="13" t="s">
        <v>6</v>
      </c>
      <c r="L845" s="15">
        <v>-1793883.06</v>
      </c>
      <c r="M845" s="15">
        <v>-21368.47</v>
      </c>
      <c r="N845" s="16" t="str">
        <f>IF(M845="","",IF(M845&lt;0,-M845&amp;"_"&amp;COUNTIF(M$2:M845,M845),M845&amp;"_"&amp;COUNTIF(M$2:M845,M845)))</f>
        <v>21368.47_1</v>
      </c>
      <c r="O845" s="17" t="str">
        <f t="shared" si="13"/>
        <v/>
      </c>
      <c r="P845" s="13" t="s">
        <v>2048</v>
      </c>
      <c r="Q845" s="13" t="s">
        <v>2034</v>
      </c>
      <c r="R845" s="13" t="s">
        <v>0</v>
      </c>
      <c r="S845" s="13" t="s">
        <v>0</v>
      </c>
      <c r="T845" s="13" t="s">
        <v>9</v>
      </c>
      <c r="U845" s="13" t="s">
        <v>0</v>
      </c>
      <c r="V845" s="13" t="s">
        <v>0</v>
      </c>
      <c r="W845" s="13" t="s">
        <v>0</v>
      </c>
      <c r="X845" s="13" t="s">
        <v>0</v>
      </c>
      <c r="Y845" s="13" t="s">
        <v>10</v>
      </c>
      <c r="Z845" s="13" t="s">
        <v>0</v>
      </c>
      <c r="AA845" s="14"/>
      <c r="AB845" s="13" t="s">
        <v>0</v>
      </c>
      <c r="AC845" s="13" t="s">
        <v>0</v>
      </c>
      <c r="AD845" s="13" t="s">
        <v>0</v>
      </c>
      <c r="AE845" s="15">
        <v>0</v>
      </c>
    </row>
    <row r="846" spans="1:31" ht="14.15" customHeight="1" x14ac:dyDescent="0.25">
      <c r="A846" s="12" t="s">
        <v>0</v>
      </c>
      <c r="B846" s="13" t="s">
        <v>1</v>
      </c>
      <c r="C846" s="13" t="s">
        <v>3855</v>
      </c>
      <c r="D846" s="14">
        <v>44351</v>
      </c>
      <c r="E846" s="14">
        <v>44351</v>
      </c>
      <c r="F846" s="14">
        <v>44356</v>
      </c>
      <c r="G846" s="13" t="s">
        <v>3</v>
      </c>
      <c r="H846" s="13" t="s">
        <v>4</v>
      </c>
      <c r="I846" s="15">
        <v>-21355.14</v>
      </c>
      <c r="J846" s="13" t="s">
        <v>5</v>
      </c>
      <c r="K846" s="13" t="s">
        <v>6</v>
      </c>
      <c r="L846" s="15">
        <v>-1792764</v>
      </c>
      <c r="M846" s="15">
        <v>-21355.14</v>
      </c>
      <c r="N846" s="16" t="str">
        <f>IF(M846="","",IF(M846&lt;0,-M846&amp;"_"&amp;COUNTIF(M$2:M846,M846),M846&amp;"_"&amp;COUNTIF(M$2:M846,M846)))</f>
        <v>21355.14_1</v>
      </c>
      <c r="O846" s="17" t="str">
        <f t="shared" si="13"/>
        <v/>
      </c>
      <c r="P846" s="13" t="s">
        <v>3856</v>
      </c>
      <c r="Q846" s="13" t="s">
        <v>3857</v>
      </c>
      <c r="R846" s="13" t="s">
        <v>0</v>
      </c>
      <c r="S846" s="13" t="s">
        <v>0</v>
      </c>
      <c r="T846" s="13" t="s">
        <v>9</v>
      </c>
      <c r="U846" s="13" t="s">
        <v>0</v>
      </c>
      <c r="V846" s="13" t="s">
        <v>0</v>
      </c>
      <c r="W846" s="13" t="s">
        <v>0</v>
      </c>
      <c r="X846" s="13" t="s">
        <v>0</v>
      </c>
      <c r="Y846" s="13" t="s">
        <v>10</v>
      </c>
      <c r="Z846" s="13" t="s">
        <v>0</v>
      </c>
      <c r="AA846" s="14"/>
      <c r="AB846" s="13" t="s">
        <v>0</v>
      </c>
      <c r="AC846" s="13" t="s">
        <v>0</v>
      </c>
      <c r="AD846" s="13" t="s">
        <v>0</v>
      </c>
      <c r="AE846" s="15">
        <v>0</v>
      </c>
    </row>
    <row r="847" spans="1:31" ht="14.15" customHeight="1" x14ac:dyDescent="0.25">
      <c r="A847" s="12" t="s">
        <v>0</v>
      </c>
      <c r="B847" s="13" t="s">
        <v>1</v>
      </c>
      <c r="C847" s="13" t="s">
        <v>2434</v>
      </c>
      <c r="D847" s="14">
        <v>44231</v>
      </c>
      <c r="E847" s="14">
        <v>44231</v>
      </c>
      <c r="F847" s="14">
        <v>44237</v>
      </c>
      <c r="G847" s="13" t="s">
        <v>3</v>
      </c>
      <c r="H847" s="13" t="s">
        <v>4</v>
      </c>
      <c r="I847" s="15">
        <v>-21302.59</v>
      </c>
      <c r="J847" s="13" t="s">
        <v>5</v>
      </c>
      <c r="K847" s="13" t="s">
        <v>6</v>
      </c>
      <c r="L847" s="15">
        <v>-1788352.43</v>
      </c>
      <c r="M847" s="15">
        <v>-21302.59</v>
      </c>
      <c r="N847" s="16" t="str">
        <f>IF(M847="","",IF(M847&lt;0,-M847&amp;"_"&amp;COUNTIF(M$2:M847,M847),M847&amp;"_"&amp;COUNTIF(M$2:M847,M847)))</f>
        <v>21302.59_1</v>
      </c>
      <c r="O847" s="17" t="str">
        <f t="shared" si="13"/>
        <v/>
      </c>
      <c r="P847" s="13" t="s">
        <v>2435</v>
      </c>
      <c r="Q847" s="13" t="s">
        <v>2427</v>
      </c>
      <c r="R847" s="13" t="s">
        <v>0</v>
      </c>
      <c r="S847" s="13" t="s">
        <v>0</v>
      </c>
      <c r="T847" s="13" t="s">
        <v>9</v>
      </c>
      <c r="U847" s="13" t="s">
        <v>0</v>
      </c>
      <c r="V847" s="13" t="s">
        <v>0</v>
      </c>
      <c r="W847" s="13" t="s">
        <v>0</v>
      </c>
      <c r="X847" s="13" t="s">
        <v>0</v>
      </c>
      <c r="Y847" s="13" t="s">
        <v>10</v>
      </c>
      <c r="Z847" s="13" t="s">
        <v>0</v>
      </c>
      <c r="AA847" s="14"/>
      <c r="AB847" s="13" t="s">
        <v>0</v>
      </c>
      <c r="AC847" s="13" t="s">
        <v>0</v>
      </c>
      <c r="AD847" s="13" t="s">
        <v>0</v>
      </c>
      <c r="AE847" s="15">
        <v>0</v>
      </c>
    </row>
    <row r="848" spans="1:31" ht="14.15" customHeight="1" x14ac:dyDescent="0.25">
      <c r="A848" s="12" t="s">
        <v>0</v>
      </c>
      <c r="B848" s="13" t="s">
        <v>1</v>
      </c>
      <c r="C848" s="13" t="s">
        <v>3635</v>
      </c>
      <c r="D848" s="14">
        <v>44331</v>
      </c>
      <c r="E848" s="14">
        <v>44331</v>
      </c>
      <c r="F848" s="14">
        <v>44336</v>
      </c>
      <c r="G848" s="13" t="s">
        <v>3</v>
      </c>
      <c r="H848" s="13" t="s">
        <v>4</v>
      </c>
      <c r="I848" s="15">
        <v>-21291.97</v>
      </c>
      <c r="J848" s="13" t="s">
        <v>5</v>
      </c>
      <c r="K848" s="13" t="s">
        <v>6</v>
      </c>
      <c r="L848" s="15">
        <v>-1787460.88</v>
      </c>
      <c r="M848" s="15">
        <v>-21291.97</v>
      </c>
      <c r="N848" s="16" t="str">
        <f>IF(M848="","",IF(M848&lt;0,-M848&amp;"_"&amp;COUNTIF(M$2:M848,M848),M848&amp;"_"&amp;COUNTIF(M$2:M848,M848)))</f>
        <v>21291.97_1</v>
      </c>
      <c r="O848" s="17" t="str">
        <f t="shared" si="13"/>
        <v/>
      </c>
      <c r="P848" s="13" t="s">
        <v>3636</v>
      </c>
      <c r="Q848" s="13" t="s">
        <v>3637</v>
      </c>
      <c r="R848" s="13" t="s">
        <v>0</v>
      </c>
      <c r="S848" s="13" t="s">
        <v>0</v>
      </c>
      <c r="T848" s="13" t="s">
        <v>9</v>
      </c>
      <c r="U848" s="13" t="s">
        <v>0</v>
      </c>
      <c r="V848" s="13" t="s">
        <v>0</v>
      </c>
      <c r="W848" s="13" t="s">
        <v>0</v>
      </c>
      <c r="X848" s="13" t="s">
        <v>0</v>
      </c>
      <c r="Y848" s="13" t="s">
        <v>10</v>
      </c>
      <c r="Z848" s="13" t="s">
        <v>0</v>
      </c>
      <c r="AA848" s="14"/>
      <c r="AB848" s="13" t="s">
        <v>0</v>
      </c>
      <c r="AC848" s="13" t="s">
        <v>0</v>
      </c>
      <c r="AD848" s="13" t="s">
        <v>0</v>
      </c>
      <c r="AE848" s="15">
        <v>0</v>
      </c>
    </row>
    <row r="849" spans="1:31" ht="14.15" customHeight="1" x14ac:dyDescent="0.25">
      <c r="A849" s="12" t="s">
        <v>0</v>
      </c>
      <c r="B849" s="13" t="s">
        <v>1</v>
      </c>
      <c r="C849" s="13" t="s">
        <v>4039</v>
      </c>
      <c r="D849" s="14">
        <v>44358</v>
      </c>
      <c r="E849" s="14">
        <v>44358</v>
      </c>
      <c r="F849" s="14">
        <v>44364</v>
      </c>
      <c r="G849" s="13" t="s">
        <v>3</v>
      </c>
      <c r="H849" s="13" t="s">
        <v>4</v>
      </c>
      <c r="I849" s="15">
        <v>-21276.92</v>
      </c>
      <c r="J849" s="13" t="s">
        <v>5</v>
      </c>
      <c r="K849" s="13" t="s">
        <v>6</v>
      </c>
      <c r="L849" s="15">
        <v>-1786197.43</v>
      </c>
      <c r="M849" s="15">
        <v>-21276.92</v>
      </c>
      <c r="N849" s="16" t="str">
        <f>IF(M849="","",IF(M849&lt;0,-M849&amp;"_"&amp;COUNTIF(M$2:M849,M849),M849&amp;"_"&amp;COUNTIF(M$2:M849,M849)))</f>
        <v>21276.92_1</v>
      </c>
      <c r="O849" s="17" t="str">
        <f t="shared" si="13"/>
        <v/>
      </c>
      <c r="P849" s="13" t="s">
        <v>4040</v>
      </c>
      <c r="Q849" s="13" t="s">
        <v>4006</v>
      </c>
      <c r="R849" s="13" t="s">
        <v>0</v>
      </c>
      <c r="S849" s="13" t="s">
        <v>0</v>
      </c>
      <c r="T849" s="13" t="s">
        <v>9</v>
      </c>
      <c r="U849" s="13" t="s">
        <v>0</v>
      </c>
      <c r="V849" s="13" t="s">
        <v>0</v>
      </c>
      <c r="W849" s="13" t="s">
        <v>0</v>
      </c>
      <c r="X849" s="13" t="s">
        <v>0</v>
      </c>
      <c r="Y849" s="13" t="s">
        <v>10</v>
      </c>
      <c r="Z849" s="13" t="s">
        <v>0</v>
      </c>
      <c r="AA849" s="14"/>
      <c r="AB849" s="13" t="s">
        <v>0</v>
      </c>
      <c r="AC849" s="13" t="s">
        <v>0</v>
      </c>
      <c r="AD849" s="13" t="s">
        <v>0</v>
      </c>
      <c r="AE849" s="15">
        <v>0</v>
      </c>
    </row>
    <row r="850" spans="1:31" ht="14.15" customHeight="1" x14ac:dyDescent="0.25">
      <c r="A850" s="12" t="s">
        <v>0</v>
      </c>
      <c r="B850" s="13" t="s">
        <v>1</v>
      </c>
      <c r="C850" s="13" t="s">
        <v>3646</v>
      </c>
      <c r="D850" s="14">
        <v>44331</v>
      </c>
      <c r="E850" s="14">
        <v>44331</v>
      </c>
      <c r="F850" s="14">
        <v>44336</v>
      </c>
      <c r="G850" s="13" t="s">
        <v>3</v>
      </c>
      <c r="H850" s="13" t="s">
        <v>4</v>
      </c>
      <c r="I850" s="15">
        <v>-21274.34</v>
      </c>
      <c r="J850" s="13" t="s">
        <v>5</v>
      </c>
      <c r="K850" s="13" t="s">
        <v>6</v>
      </c>
      <c r="L850" s="15">
        <v>-1785980.84</v>
      </c>
      <c r="M850" s="15">
        <v>-21274.34</v>
      </c>
      <c r="N850" s="16" t="str">
        <f>IF(M850="","",IF(M850&lt;0,-M850&amp;"_"&amp;COUNTIF(M$2:M850,M850),M850&amp;"_"&amp;COUNTIF(M$2:M850,M850)))</f>
        <v>21274.34_1</v>
      </c>
      <c r="O850" s="17" t="str">
        <f t="shared" si="13"/>
        <v/>
      </c>
      <c r="P850" s="13" t="s">
        <v>3647</v>
      </c>
      <c r="Q850" s="13" t="s">
        <v>3637</v>
      </c>
      <c r="R850" s="13" t="s">
        <v>0</v>
      </c>
      <c r="S850" s="13" t="s">
        <v>0</v>
      </c>
      <c r="T850" s="13" t="s">
        <v>9</v>
      </c>
      <c r="U850" s="13" t="s">
        <v>0</v>
      </c>
      <c r="V850" s="13" t="s">
        <v>0</v>
      </c>
      <c r="W850" s="13" t="s">
        <v>0</v>
      </c>
      <c r="X850" s="13" t="s">
        <v>0</v>
      </c>
      <c r="Y850" s="13" t="s">
        <v>10</v>
      </c>
      <c r="Z850" s="13" t="s">
        <v>0</v>
      </c>
      <c r="AA850" s="14"/>
      <c r="AB850" s="13" t="s">
        <v>0</v>
      </c>
      <c r="AC850" s="13" t="s">
        <v>0</v>
      </c>
      <c r="AD850" s="13" t="s">
        <v>0</v>
      </c>
      <c r="AE850" s="15">
        <v>0</v>
      </c>
    </row>
    <row r="851" spans="1:31" ht="14.15" customHeight="1" x14ac:dyDescent="0.25">
      <c r="A851" s="12" t="s">
        <v>0</v>
      </c>
      <c r="B851" s="13" t="s">
        <v>1</v>
      </c>
      <c r="C851" s="13" t="s">
        <v>4187</v>
      </c>
      <c r="D851" s="14">
        <v>44364</v>
      </c>
      <c r="E851" s="14">
        <v>44364</v>
      </c>
      <c r="F851" s="14">
        <v>44370</v>
      </c>
      <c r="G851" s="13" t="s">
        <v>3</v>
      </c>
      <c r="H851" s="13" t="s">
        <v>4</v>
      </c>
      <c r="I851" s="15">
        <v>-21258.69</v>
      </c>
      <c r="J851" s="13" t="s">
        <v>5</v>
      </c>
      <c r="K851" s="13" t="s">
        <v>6</v>
      </c>
      <c r="L851" s="15">
        <v>-1784667.03</v>
      </c>
      <c r="M851" s="15">
        <v>-21258.69</v>
      </c>
      <c r="N851" s="16" t="str">
        <f>IF(M851="","",IF(M851&lt;0,-M851&amp;"_"&amp;COUNTIF(M$2:M851,M851),M851&amp;"_"&amp;COUNTIF(M$2:M851,M851)))</f>
        <v>21258.69_1</v>
      </c>
      <c r="O851" s="17" t="str">
        <f t="shared" si="13"/>
        <v/>
      </c>
      <c r="P851" s="13" t="s">
        <v>4188</v>
      </c>
      <c r="Q851" s="13" t="s">
        <v>4180</v>
      </c>
      <c r="R851" s="13" t="s">
        <v>0</v>
      </c>
      <c r="S851" s="13" t="s">
        <v>0</v>
      </c>
      <c r="T851" s="13" t="s">
        <v>9</v>
      </c>
      <c r="U851" s="13" t="s">
        <v>0</v>
      </c>
      <c r="V851" s="13" t="s">
        <v>0</v>
      </c>
      <c r="W851" s="13" t="s">
        <v>0</v>
      </c>
      <c r="X851" s="13" t="s">
        <v>0</v>
      </c>
      <c r="Y851" s="13" t="s">
        <v>10</v>
      </c>
      <c r="Z851" s="13" t="s">
        <v>0</v>
      </c>
      <c r="AA851" s="14"/>
      <c r="AB851" s="13" t="s">
        <v>0</v>
      </c>
      <c r="AC851" s="13" t="s">
        <v>0</v>
      </c>
      <c r="AD851" s="13" t="s">
        <v>0</v>
      </c>
      <c r="AE851" s="15">
        <v>0</v>
      </c>
    </row>
    <row r="852" spans="1:31" ht="14.15" customHeight="1" x14ac:dyDescent="0.25">
      <c r="A852" s="12" t="s">
        <v>0</v>
      </c>
      <c r="B852" s="13" t="s">
        <v>1</v>
      </c>
      <c r="C852" s="13" t="s">
        <v>2755</v>
      </c>
      <c r="D852" s="14">
        <v>44260</v>
      </c>
      <c r="E852" s="14">
        <v>44260</v>
      </c>
      <c r="F852" s="14">
        <v>44265</v>
      </c>
      <c r="G852" s="13" t="s">
        <v>3</v>
      </c>
      <c r="H852" s="13" t="s">
        <v>4</v>
      </c>
      <c r="I852" s="15">
        <v>-21247.85</v>
      </c>
      <c r="J852" s="13" t="s">
        <v>5</v>
      </c>
      <c r="K852" s="13" t="s">
        <v>6</v>
      </c>
      <c r="L852" s="15">
        <v>-1783757.01</v>
      </c>
      <c r="M852" s="15">
        <v>-21247.85</v>
      </c>
      <c r="N852" s="16" t="str">
        <f>IF(M852="","",IF(M852&lt;0,-M852&amp;"_"&amp;COUNTIF(M$2:M852,M852),M852&amp;"_"&amp;COUNTIF(M$2:M852,M852)))</f>
        <v>21247.85_1</v>
      </c>
      <c r="O852" s="17" t="str">
        <f t="shared" si="13"/>
        <v/>
      </c>
      <c r="P852" s="13" t="s">
        <v>2756</v>
      </c>
      <c r="Q852" s="13" t="s">
        <v>2746</v>
      </c>
      <c r="R852" s="13" t="s">
        <v>0</v>
      </c>
      <c r="S852" s="13" t="s">
        <v>0</v>
      </c>
      <c r="T852" s="13" t="s">
        <v>9</v>
      </c>
      <c r="U852" s="13" t="s">
        <v>0</v>
      </c>
      <c r="V852" s="13" t="s">
        <v>0</v>
      </c>
      <c r="W852" s="13" t="s">
        <v>0</v>
      </c>
      <c r="X852" s="13" t="s">
        <v>0</v>
      </c>
      <c r="Y852" s="13" t="s">
        <v>10</v>
      </c>
      <c r="Z852" s="13" t="s">
        <v>0</v>
      </c>
      <c r="AA852" s="14"/>
      <c r="AB852" s="13" t="s">
        <v>0</v>
      </c>
      <c r="AC852" s="13" t="s">
        <v>0</v>
      </c>
      <c r="AD852" s="13" t="s">
        <v>0</v>
      </c>
      <c r="AE852" s="15">
        <v>0</v>
      </c>
    </row>
    <row r="853" spans="1:31" ht="14.15" customHeight="1" x14ac:dyDescent="0.25">
      <c r="A853" s="12" t="s">
        <v>0</v>
      </c>
      <c r="B853" s="13" t="s">
        <v>1</v>
      </c>
      <c r="C853" s="13" t="s">
        <v>3460</v>
      </c>
      <c r="D853" s="14">
        <v>44320</v>
      </c>
      <c r="E853" s="14">
        <v>44320</v>
      </c>
      <c r="F853" s="14">
        <v>44328</v>
      </c>
      <c r="G853" s="13" t="s">
        <v>3</v>
      </c>
      <c r="H853" s="13" t="s">
        <v>4</v>
      </c>
      <c r="I853" s="15">
        <v>-21240.44</v>
      </c>
      <c r="J853" s="13" t="s">
        <v>5</v>
      </c>
      <c r="K853" s="13" t="s">
        <v>6</v>
      </c>
      <c r="L853" s="15">
        <v>-1783134.94</v>
      </c>
      <c r="M853" s="15">
        <v>-21240.44</v>
      </c>
      <c r="N853" s="16" t="str">
        <f>IF(M853="","",IF(M853&lt;0,-M853&amp;"_"&amp;COUNTIF(M$2:M853,M853),M853&amp;"_"&amp;COUNTIF(M$2:M853,M853)))</f>
        <v>21240.44_1</v>
      </c>
      <c r="O853" s="17" t="str">
        <f t="shared" si="13"/>
        <v/>
      </c>
      <c r="P853" s="13" t="s">
        <v>3461</v>
      </c>
      <c r="Q853" s="13" t="s">
        <v>3453</v>
      </c>
      <c r="R853" s="13" t="s">
        <v>0</v>
      </c>
      <c r="S853" s="13" t="s">
        <v>0</v>
      </c>
      <c r="T853" s="13" t="s">
        <v>9</v>
      </c>
      <c r="U853" s="13" t="s">
        <v>0</v>
      </c>
      <c r="V853" s="13" t="s">
        <v>0</v>
      </c>
      <c r="W853" s="13" t="s">
        <v>0</v>
      </c>
      <c r="X853" s="13" t="s">
        <v>0</v>
      </c>
      <c r="Y853" s="13" t="s">
        <v>10</v>
      </c>
      <c r="Z853" s="13" t="s">
        <v>0</v>
      </c>
      <c r="AA853" s="14"/>
      <c r="AB853" s="13" t="s">
        <v>0</v>
      </c>
      <c r="AC853" s="13" t="s">
        <v>0</v>
      </c>
      <c r="AD853" s="13" t="s">
        <v>0</v>
      </c>
      <c r="AE853" s="15">
        <v>0</v>
      </c>
    </row>
    <row r="854" spans="1:31" ht="14.15" customHeight="1" x14ac:dyDescent="0.25">
      <c r="A854" s="12" t="s">
        <v>0</v>
      </c>
      <c r="B854" s="13" t="s">
        <v>1</v>
      </c>
      <c r="C854" s="13" t="s">
        <v>733</v>
      </c>
      <c r="D854" s="14">
        <v>44095</v>
      </c>
      <c r="E854" s="14">
        <v>44095</v>
      </c>
      <c r="F854" s="14">
        <v>44100</v>
      </c>
      <c r="G854" s="13" t="s">
        <v>3</v>
      </c>
      <c r="H854" s="13" t="s">
        <v>4</v>
      </c>
      <c r="I854" s="15">
        <v>-21226.21</v>
      </c>
      <c r="J854" s="13" t="s">
        <v>5</v>
      </c>
      <c r="K854" s="13" t="s">
        <v>6</v>
      </c>
      <c r="L854" s="15">
        <v>-1781940.33</v>
      </c>
      <c r="M854" s="15">
        <v>-21226.21</v>
      </c>
      <c r="N854" s="16" t="str">
        <f>IF(M854="","",IF(M854&lt;0,-M854&amp;"_"&amp;COUNTIF(M$2:M854,M854),M854&amp;"_"&amp;COUNTIF(M$2:M854,M854)))</f>
        <v>21226.21_1</v>
      </c>
      <c r="O854" s="17" t="str">
        <f t="shared" si="13"/>
        <v/>
      </c>
      <c r="P854" s="13" t="s">
        <v>734</v>
      </c>
      <c r="Q854" s="13" t="s">
        <v>726</v>
      </c>
      <c r="R854" s="13" t="s">
        <v>0</v>
      </c>
      <c r="S854" s="13" t="s">
        <v>0</v>
      </c>
      <c r="T854" s="13" t="s">
        <v>9</v>
      </c>
      <c r="U854" s="13" t="s">
        <v>0</v>
      </c>
      <c r="V854" s="13" t="s">
        <v>0</v>
      </c>
      <c r="W854" s="13" t="s">
        <v>0</v>
      </c>
      <c r="X854" s="13" t="s">
        <v>0</v>
      </c>
      <c r="Y854" s="13" t="s">
        <v>10</v>
      </c>
      <c r="Z854" s="13" t="s">
        <v>0</v>
      </c>
      <c r="AA854" s="14"/>
      <c r="AB854" s="13" t="s">
        <v>0</v>
      </c>
      <c r="AC854" s="13" t="s">
        <v>0</v>
      </c>
      <c r="AD854" s="13" t="s">
        <v>0</v>
      </c>
      <c r="AE854" s="15">
        <v>0</v>
      </c>
    </row>
    <row r="855" spans="1:31" ht="14.15" customHeight="1" x14ac:dyDescent="0.25">
      <c r="A855" s="12" t="s">
        <v>0</v>
      </c>
      <c r="B855" s="13" t="s">
        <v>1</v>
      </c>
      <c r="C855" s="13" t="s">
        <v>1118</v>
      </c>
      <c r="D855" s="14">
        <v>44137</v>
      </c>
      <c r="E855" s="14">
        <v>44137</v>
      </c>
      <c r="F855" s="14">
        <v>44139</v>
      </c>
      <c r="G855" s="13" t="s">
        <v>3</v>
      </c>
      <c r="H855" s="13" t="s">
        <v>4</v>
      </c>
      <c r="I855" s="15">
        <v>-21219.29</v>
      </c>
      <c r="J855" s="13" t="s">
        <v>5</v>
      </c>
      <c r="K855" s="13" t="s">
        <v>6</v>
      </c>
      <c r="L855" s="15">
        <v>-1781359.4</v>
      </c>
      <c r="M855" s="15">
        <v>-21219.29</v>
      </c>
      <c r="N855" s="16" t="str">
        <f>IF(M855="","",IF(M855&lt;0,-M855&amp;"_"&amp;COUNTIF(M$2:M855,M855),M855&amp;"_"&amp;COUNTIF(M$2:M855,M855)))</f>
        <v>21219.29_1</v>
      </c>
      <c r="O855" s="17" t="str">
        <f t="shared" si="13"/>
        <v/>
      </c>
      <c r="P855" s="13" t="s">
        <v>1119</v>
      </c>
      <c r="Q855" s="13" t="s">
        <v>1120</v>
      </c>
      <c r="R855" s="13" t="s">
        <v>0</v>
      </c>
      <c r="S855" s="13" t="s">
        <v>0</v>
      </c>
      <c r="T855" s="13" t="s">
        <v>9</v>
      </c>
      <c r="U855" s="13" t="s">
        <v>0</v>
      </c>
      <c r="V855" s="13" t="s">
        <v>0</v>
      </c>
      <c r="W855" s="13" t="s">
        <v>0</v>
      </c>
      <c r="X855" s="13" t="s">
        <v>0</v>
      </c>
      <c r="Y855" s="13" t="s">
        <v>10</v>
      </c>
      <c r="Z855" s="13" t="s">
        <v>0</v>
      </c>
      <c r="AA855" s="14"/>
      <c r="AB855" s="13" t="s">
        <v>0</v>
      </c>
      <c r="AC855" s="13" t="s">
        <v>0</v>
      </c>
      <c r="AD855" s="13" t="s">
        <v>0</v>
      </c>
      <c r="AE855" s="15">
        <v>0</v>
      </c>
    </row>
    <row r="856" spans="1:31" ht="14.15" customHeight="1" x14ac:dyDescent="0.25">
      <c r="A856" s="12" t="s">
        <v>0</v>
      </c>
      <c r="B856" s="13" t="s">
        <v>289</v>
      </c>
      <c r="C856" s="13" t="s">
        <v>2399</v>
      </c>
      <c r="D856" s="14">
        <v>44227</v>
      </c>
      <c r="E856" s="14">
        <v>44227</v>
      </c>
      <c r="F856" s="14">
        <v>44234</v>
      </c>
      <c r="G856" s="13" t="s">
        <v>48</v>
      </c>
      <c r="H856" s="13" t="s">
        <v>4</v>
      </c>
      <c r="I856" s="15">
        <v>-21213.06</v>
      </c>
      <c r="J856" s="13" t="s">
        <v>5</v>
      </c>
      <c r="K856" s="13" t="s">
        <v>6</v>
      </c>
      <c r="L856" s="15">
        <v>-1780836.39</v>
      </c>
      <c r="M856" s="15">
        <v>-21213.06</v>
      </c>
      <c r="N856" s="16" t="str">
        <f>IF(M856="","",IF(M856&lt;0,-M856&amp;"_"&amp;COUNTIF(M$2:M856,M856),M856&amp;"_"&amp;COUNTIF(M$2:M856,M856)))</f>
        <v>21213.06_1</v>
      </c>
      <c r="O856" s="17" t="str">
        <f t="shared" si="13"/>
        <v/>
      </c>
      <c r="P856" s="13" t="s">
        <v>2400</v>
      </c>
      <c r="Q856" s="13" t="s">
        <v>2400</v>
      </c>
      <c r="R856" s="13" t="s">
        <v>2401</v>
      </c>
      <c r="S856" s="13" t="s">
        <v>0</v>
      </c>
      <c r="T856" s="13" t="s">
        <v>9</v>
      </c>
      <c r="U856" s="13" t="s">
        <v>295</v>
      </c>
      <c r="V856" s="13" t="s">
        <v>0</v>
      </c>
      <c r="W856" s="13" t="s">
        <v>0</v>
      </c>
      <c r="X856" s="13" t="s">
        <v>0</v>
      </c>
      <c r="Y856" s="13" t="s">
        <v>0</v>
      </c>
      <c r="Z856" s="13" t="s">
        <v>0</v>
      </c>
      <c r="AA856" s="14"/>
      <c r="AB856" s="13" t="s">
        <v>0</v>
      </c>
      <c r="AC856" s="13" t="s">
        <v>0</v>
      </c>
      <c r="AD856" s="13" t="s">
        <v>0</v>
      </c>
      <c r="AE856" s="15">
        <v>0</v>
      </c>
    </row>
    <row r="857" spans="1:31" ht="14.15" customHeight="1" x14ac:dyDescent="0.25">
      <c r="A857" s="12" t="s">
        <v>0</v>
      </c>
      <c r="B857" s="13" t="s">
        <v>1</v>
      </c>
      <c r="C857" s="13" t="s">
        <v>2794</v>
      </c>
      <c r="D857" s="14">
        <v>44264</v>
      </c>
      <c r="E857" s="14">
        <v>44264</v>
      </c>
      <c r="F857" s="14">
        <v>44266</v>
      </c>
      <c r="G857" s="13" t="s">
        <v>3</v>
      </c>
      <c r="H857" s="13" t="s">
        <v>4</v>
      </c>
      <c r="I857" s="15">
        <v>-21200.07</v>
      </c>
      <c r="J857" s="13" t="s">
        <v>5</v>
      </c>
      <c r="K857" s="13" t="s">
        <v>6</v>
      </c>
      <c r="L857" s="15">
        <v>-1779745.88</v>
      </c>
      <c r="M857" s="15">
        <v>-21200.07</v>
      </c>
      <c r="N857" s="16" t="str">
        <f>IF(M857="","",IF(M857&lt;0,-M857&amp;"_"&amp;COUNTIF(M$2:M857,M857),M857&amp;"_"&amp;COUNTIF(M$2:M857,M857)))</f>
        <v>21200.07_1</v>
      </c>
      <c r="O857" s="17" t="str">
        <f t="shared" si="13"/>
        <v/>
      </c>
      <c r="P857" s="13" t="s">
        <v>2795</v>
      </c>
      <c r="Q857" s="13" t="s">
        <v>2796</v>
      </c>
      <c r="R857" s="13" t="s">
        <v>0</v>
      </c>
      <c r="S857" s="13" t="s">
        <v>0</v>
      </c>
      <c r="T857" s="13" t="s">
        <v>9</v>
      </c>
      <c r="U857" s="13" t="s">
        <v>0</v>
      </c>
      <c r="V857" s="13" t="s">
        <v>0</v>
      </c>
      <c r="W857" s="13" t="s">
        <v>0</v>
      </c>
      <c r="X857" s="13" t="s">
        <v>0</v>
      </c>
      <c r="Y857" s="13" t="s">
        <v>10</v>
      </c>
      <c r="Z857" s="13" t="s">
        <v>0</v>
      </c>
      <c r="AA857" s="14"/>
      <c r="AB857" s="13" t="s">
        <v>0</v>
      </c>
      <c r="AC857" s="13" t="s">
        <v>0</v>
      </c>
      <c r="AD857" s="13" t="s">
        <v>0</v>
      </c>
      <c r="AE857" s="15">
        <v>0</v>
      </c>
    </row>
    <row r="858" spans="1:31" ht="14.15" customHeight="1" x14ac:dyDescent="0.25">
      <c r="A858" s="12" t="s">
        <v>0</v>
      </c>
      <c r="B858" s="13" t="s">
        <v>1</v>
      </c>
      <c r="C858" s="13" t="s">
        <v>3199</v>
      </c>
      <c r="D858" s="14">
        <v>44302</v>
      </c>
      <c r="E858" s="14">
        <v>44302</v>
      </c>
      <c r="F858" s="14">
        <v>44308</v>
      </c>
      <c r="G858" s="13" t="s">
        <v>3</v>
      </c>
      <c r="H858" s="13" t="s">
        <v>4</v>
      </c>
      <c r="I858" s="15">
        <v>-21191.05</v>
      </c>
      <c r="J858" s="13" t="s">
        <v>5</v>
      </c>
      <c r="K858" s="13" t="s">
        <v>6</v>
      </c>
      <c r="L858" s="15">
        <v>-1778988.65</v>
      </c>
      <c r="M858" s="15">
        <v>-21191.05</v>
      </c>
      <c r="N858" s="16" t="str">
        <f>IF(M858="","",IF(M858&lt;0,-M858&amp;"_"&amp;COUNTIF(M$2:M858,M858),M858&amp;"_"&amp;COUNTIF(M$2:M858,M858)))</f>
        <v>21191.05_1</v>
      </c>
      <c r="O858" s="17" t="str">
        <f t="shared" si="13"/>
        <v/>
      </c>
      <c r="P858" s="13" t="s">
        <v>3200</v>
      </c>
      <c r="Q858" s="13" t="s">
        <v>3196</v>
      </c>
      <c r="R858" s="13" t="s">
        <v>0</v>
      </c>
      <c r="S858" s="13" t="s">
        <v>0</v>
      </c>
      <c r="T858" s="13" t="s">
        <v>9</v>
      </c>
      <c r="U858" s="13" t="s">
        <v>0</v>
      </c>
      <c r="V858" s="13" t="s">
        <v>0</v>
      </c>
      <c r="W858" s="13" t="s">
        <v>0</v>
      </c>
      <c r="X858" s="13" t="s">
        <v>0</v>
      </c>
      <c r="Y858" s="13" t="s">
        <v>10</v>
      </c>
      <c r="Z858" s="13" t="s">
        <v>0</v>
      </c>
      <c r="AA858" s="14"/>
      <c r="AB858" s="13" t="s">
        <v>0</v>
      </c>
      <c r="AC858" s="13" t="s">
        <v>0</v>
      </c>
      <c r="AD858" s="13" t="s">
        <v>0</v>
      </c>
      <c r="AE858" s="15">
        <v>0</v>
      </c>
    </row>
    <row r="859" spans="1:31" ht="14.15" customHeight="1" x14ac:dyDescent="0.25">
      <c r="A859" s="12" t="s">
        <v>0</v>
      </c>
      <c r="B859" s="13" t="s">
        <v>1</v>
      </c>
      <c r="C859" s="13" t="s">
        <v>1125</v>
      </c>
      <c r="D859" s="14">
        <v>44137</v>
      </c>
      <c r="E859" s="14">
        <v>44137</v>
      </c>
      <c r="F859" s="14">
        <v>44139</v>
      </c>
      <c r="G859" s="13" t="s">
        <v>3</v>
      </c>
      <c r="H859" s="13" t="s">
        <v>4</v>
      </c>
      <c r="I859" s="15">
        <v>-21190.65</v>
      </c>
      <c r="J859" s="13" t="s">
        <v>5</v>
      </c>
      <c r="K859" s="13" t="s">
        <v>6</v>
      </c>
      <c r="L859" s="15">
        <v>-1778955.07</v>
      </c>
      <c r="M859" s="15">
        <v>-21190.65</v>
      </c>
      <c r="N859" s="16" t="str">
        <f>IF(M859="","",IF(M859&lt;0,-M859&amp;"_"&amp;COUNTIF(M$2:M859,M859),M859&amp;"_"&amp;COUNTIF(M$2:M859,M859)))</f>
        <v>21190.65_1</v>
      </c>
      <c r="O859" s="17" t="str">
        <f t="shared" si="13"/>
        <v/>
      </c>
      <c r="P859" s="13" t="s">
        <v>1126</v>
      </c>
      <c r="Q859" s="13" t="s">
        <v>1120</v>
      </c>
      <c r="R859" s="13" t="s">
        <v>0</v>
      </c>
      <c r="S859" s="13" t="s">
        <v>0</v>
      </c>
      <c r="T859" s="13" t="s">
        <v>9</v>
      </c>
      <c r="U859" s="13" t="s">
        <v>0</v>
      </c>
      <c r="V859" s="13" t="s">
        <v>0</v>
      </c>
      <c r="W859" s="13" t="s">
        <v>0</v>
      </c>
      <c r="X859" s="13" t="s">
        <v>0</v>
      </c>
      <c r="Y859" s="13" t="s">
        <v>10</v>
      </c>
      <c r="Z859" s="13" t="s">
        <v>0</v>
      </c>
      <c r="AA859" s="14"/>
      <c r="AB859" s="13" t="s">
        <v>0</v>
      </c>
      <c r="AC859" s="13" t="s">
        <v>0</v>
      </c>
      <c r="AD859" s="13" t="s">
        <v>0</v>
      </c>
      <c r="AE859" s="15">
        <v>0</v>
      </c>
    </row>
    <row r="860" spans="1:31" ht="14.15" customHeight="1" x14ac:dyDescent="0.25">
      <c r="A860" s="12" t="s">
        <v>0</v>
      </c>
      <c r="B860" s="13" t="s">
        <v>1</v>
      </c>
      <c r="C860" s="13" t="s">
        <v>1325</v>
      </c>
      <c r="D860" s="14">
        <v>44148</v>
      </c>
      <c r="E860" s="14">
        <v>44148</v>
      </c>
      <c r="F860" s="14">
        <v>44154</v>
      </c>
      <c r="G860" s="13" t="s">
        <v>3</v>
      </c>
      <c r="H860" s="13" t="s">
        <v>4</v>
      </c>
      <c r="I860" s="15">
        <v>-21190.14</v>
      </c>
      <c r="J860" s="13" t="s">
        <v>5</v>
      </c>
      <c r="K860" s="13" t="s">
        <v>6</v>
      </c>
      <c r="L860" s="15">
        <v>-1778912.25</v>
      </c>
      <c r="M860" s="15">
        <v>-21190.14</v>
      </c>
      <c r="N860" s="16" t="str">
        <f>IF(M860="","",IF(M860&lt;0,-M860&amp;"_"&amp;COUNTIF(M$2:M860,M860),M860&amp;"_"&amp;COUNTIF(M$2:M860,M860)))</f>
        <v>21190.14_1</v>
      </c>
      <c r="O860" s="17" t="str">
        <f t="shared" si="13"/>
        <v/>
      </c>
      <c r="P860" s="13" t="s">
        <v>1326</v>
      </c>
      <c r="Q860" s="13" t="s">
        <v>1324</v>
      </c>
      <c r="R860" s="13" t="s">
        <v>0</v>
      </c>
      <c r="S860" s="13" t="s">
        <v>0</v>
      </c>
      <c r="T860" s="13" t="s">
        <v>9</v>
      </c>
      <c r="U860" s="13" t="s">
        <v>0</v>
      </c>
      <c r="V860" s="13" t="s">
        <v>0</v>
      </c>
      <c r="W860" s="13" t="s">
        <v>0</v>
      </c>
      <c r="X860" s="13" t="s">
        <v>0</v>
      </c>
      <c r="Y860" s="13" t="s">
        <v>10</v>
      </c>
      <c r="Z860" s="13" t="s">
        <v>0</v>
      </c>
      <c r="AA860" s="14"/>
      <c r="AB860" s="13" t="s">
        <v>0</v>
      </c>
      <c r="AC860" s="13" t="s">
        <v>0</v>
      </c>
      <c r="AD860" s="13" t="s">
        <v>0</v>
      </c>
      <c r="AE860" s="15">
        <v>0</v>
      </c>
    </row>
    <row r="861" spans="1:31" ht="14.15" customHeight="1" x14ac:dyDescent="0.25">
      <c r="A861" s="12" t="s">
        <v>0</v>
      </c>
      <c r="B861" s="13" t="s">
        <v>1</v>
      </c>
      <c r="C861" s="13" t="s">
        <v>3527</v>
      </c>
      <c r="D861" s="14">
        <v>44324</v>
      </c>
      <c r="E861" s="14">
        <v>44324</v>
      </c>
      <c r="F861" s="14">
        <v>44333</v>
      </c>
      <c r="G861" s="13" t="s">
        <v>3</v>
      </c>
      <c r="H861" s="13" t="s">
        <v>4</v>
      </c>
      <c r="I861" s="15">
        <v>-21154.98</v>
      </c>
      <c r="J861" s="13" t="s">
        <v>5</v>
      </c>
      <c r="K861" s="13" t="s">
        <v>6</v>
      </c>
      <c r="L861" s="15">
        <v>-1775960.55</v>
      </c>
      <c r="M861" s="15">
        <v>-21154.98</v>
      </c>
      <c r="N861" s="16" t="str">
        <f>IF(M861="","",IF(M861&lt;0,-M861&amp;"_"&amp;COUNTIF(M$2:M861,M861),M861&amp;"_"&amp;COUNTIF(M$2:M861,M861)))</f>
        <v>21154.98_1</v>
      </c>
      <c r="O861" s="17" t="str">
        <f t="shared" si="13"/>
        <v/>
      </c>
      <c r="P861" s="13" t="s">
        <v>3528</v>
      </c>
      <c r="Q861" s="13" t="s">
        <v>3512</v>
      </c>
      <c r="R861" s="13" t="s">
        <v>0</v>
      </c>
      <c r="S861" s="13" t="s">
        <v>0</v>
      </c>
      <c r="T861" s="13" t="s">
        <v>9</v>
      </c>
      <c r="U861" s="13" t="s">
        <v>0</v>
      </c>
      <c r="V861" s="13" t="s">
        <v>0</v>
      </c>
      <c r="W861" s="13" t="s">
        <v>0</v>
      </c>
      <c r="X861" s="13" t="s">
        <v>0</v>
      </c>
      <c r="Y861" s="13" t="s">
        <v>10</v>
      </c>
      <c r="Z861" s="13" t="s">
        <v>0</v>
      </c>
      <c r="AA861" s="14"/>
      <c r="AB861" s="13" t="s">
        <v>0</v>
      </c>
      <c r="AC861" s="13" t="s">
        <v>0</v>
      </c>
      <c r="AD861" s="13" t="s">
        <v>0</v>
      </c>
      <c r="AE861" s="15">
        <v>0</v>
      </c>
    </row>
    <row r="862" spans="1:31" ht="14.15" customHeight="1" x14ac:dyDescent="0.25">
      <c r="A862" s="12" t="s">
        <v>0</v>
      </c>
      <c r="B862" s="13" t="s">
        <v>1</v>
      </c>
      <c r="C862" s="13" t="s">
        <v>2541</v>
      </c>
      <c r="D862" s="14">
        <v>44238</v>
      </c>
      <c r="E862" s="14">
        <v>44238</v>
      </c>
      <c r="F862" s="14">
        <v>44243</v>
      </c>
      <c r="G862" s="13" t="s">
        <v>3</v>
      </c>
      <c r="H862" s="13" t="s">
        <v>4</v>
      </c>
      <c r="I862" s="15">
        <v>-21146.45</v>
      </c>
      <c r="J862" s="13" t="s">
        <v>5</v>
      </c>
      <c r="K862" s="13" t="s">
        <v>6</v>
      </c>
      <c r="L862" s="15">
        <v>-1775244.48</v>
      </c>
      <c r="M862" s="15">
        <v>-21146.45</v>
      </c>
      <c r="N862" s="16" t="str">
        <f>IF(M862="","",IF(M862&lt;0,-M862&amp;"_"&amp;COUNTIF(M$2:M862,M862),M862&amp;"_"&amp;COUNTIF(M$2:M862,M862)))</f>
        <v>21146.45_1</v>
      </c>
      <c r="O862" s="17" t="str">
        <f t="shared" si="13"/>
        <v/>
      </c>
      <c r="P862" s="13" t="s">
        <v>2542</v>
      </c>
      <c r="Q862" s="13" t="s">
        <v>2528</v>
      </c>
      <c r="R862" s="13" t="s">
        <v>0</v>
      </c>
      <c r="S862" s="13" t="s">
        <v>0</v>
      </c>
      <c r="T862" s="13" t="s">
        <v>9</v>
      </c>
      <c r="U862" s="13" t="s">
        <v>0</v>
      </c>
      <c r="V862" s="13" t="s">
        <v>0</v>
      </c>
      <c r="W862" s="13" t="s">
        <v>0</v>
      </c>
      <c r="X862" s="13" t="s">
        <v>0</v>
      </c>
      <c r="Y862" s="13" t="s">
        <v>10</v>
      </c>
      <c r="Z862" s="13" t="s">
        <v>0</v>
      </c>
      <c r="AA862" s="14"/>
      <c r="AB862" s="13" t="s">
        <v>0</v>
      </c>
      <c r="AC862" s="13" t="s">
        <v>0</v>
      </c>
      <c r="AD862" s="13" t="s">
        <v>0</v>
      </c>
      <c r="AE862" s="15">
        <v>0</v>
      </c>
    </row>
    <row r="863" spans="1:31" ht="14.15" customHeight="1" x14ac:dyDescent="0.25">
      <c r="A863" s="12" t="s">
        <v>0</v>
      </c>
      <c r="B863" s="13" t="s">
        <v>1</v>
      </c>
      <c r="C863" s="13" t="s">
        <v>855</v>
      </c>
      <c r="D863" s="14">
        <v>44108</v>
      </c>
      <c r="E863" s="14">
        <v>44108</v>
      </c>
      <c r="F863" s="14">
        <v>44128</v>
      </c>
      <c r="G863" s="13" t="s">
        <v>3</v>
      </c>
      <c r="H863" s="13" t="s">
        <v>4</v>
      </c>
      <c r="I863" s="15">
        <v>-21119.56</v>
      </c>
      <c r="J863" s="13" t="s">
        <v>5</v>
      </c>
      <c r="K863" s="13" t="s">
        <v>6</v>
      </c>
      <c r="L863" s="15">
        <v>-1772987.06</v>
      </c>
      <c r="M863" s="15">
        <v>-21119.56</v>
      </c>
      <c r="N863" s="16" t="str">
        <f>IF(M863="","",IF(M863&lt;0,-M863&amp;"_"&amp;COUNTIF(M$2:M863,M863),M863&amp;"_"&amp;COUNTIF(M$2:M863,M863)))</f>
        <v>21119.56_1</v>
      </c>
      <c r="O863" s="17" t="str">
        <f t="shared" si="13"/>
        <v/>
      </c>
      <c r="P863" s="13" t="s">
        <v>856</v>
      </c>
      <c r="Q863" s="13" t="s">
        <v>850</v>
      </c>
      <c r="R863" s="13" t="s">
        <v>0</v>
      </c>
      <c r="S863" s="13" t="s">
        <v>0</v>
      </c>
      <c r="T863" s="13" t="s">
        <v>9</v>
      </c>
      <c r="U863" s="13" t="s">
        <v>0</v>
      </c>
      <c r="V863" s="13" t="s">
        <v>0</v>
      </c>
      <c r="W863" s="13" t="s">
        <v>0</v>
      </c>
      <c r="X863" s="13" t="s">
        <v>0</v>
      </c>
      <c r="Y863" s="13" t="s">
        <v>10</v>
      </c>
      <c r="Z863" s="13" t="s">
        <v>0</v>
      </c>
      <c r="AA863" s="14"/>
      <c r="AB863" s="13" t="s">
        <v>0</v>
      </c>
      <c r="AC863" s="13" t="s">
        <v>0</v>
      </c>
      <c r="AD863" s="13" t="s">
        <v>0</v>
      </c>
      <c r="AE863" s="15">
        <v>0</v>
      </c>
    </row>
    <row r="864" spans="1:31" ht="14.15" customHeight="1" x14ac:dyDescent="0.25">
      <c r="A864" s="12" t="s">
        <v>0</v>
      </c>
      <c r="B864" s="13" t="s">
        <v>1</v>
      </c>
      <c r="C864" s="13" t="s">
        <v>2587</v>
      </c>
      <c r="D864" s="14">
        <v>44243</v>
      </c>
      <c r="E864" s="14">
        <v>44243</v>
      </c>
      <c r="F864" s="14">
        <v>44249</v>
      </c>
      <c r="G864" s="13" t="s">
        <v>3</v>
      </c>
      <c r="H864" s="13" t="s">
        <v>4</v>
      </c>
      <c r="I864" s="15">
        <v>-21082.13</v>
      </c>
      <c r="J864" s="13" t="s">
        <v>5</v>
      </c>
      <c r="K864" s="13" t="s">
        <v>6</v>
      </c>
      <c r="L864" s="15">
        <v>-1769844.81</v>
      </c>
      <c r="M864" s="15">
        <v>-21082.13</v>
      </c>
      <c r="N864" s="16" t="str">
        <f>IF(M864="","",IF(M864&lt;0,-M864&amp;"_"&amp;COUNTIF(M$2:M864,M864),M864&amp;"_"&amp;COUNTIF(M$2:M864,M864)))</f>
        <v>21082.13_1</v>
      </c>
      <c r="O864" s="17" t="str">
        <f t="shared" si="13"/>
        <v/>
      </c>
      <c r="P864" s="13" t="s">
        <v>2588</v>
      </c>
      <c r="Q864" s="13" t="s">
        <v>2574</v>
      </c>
      <c r="R864" s="13" t="s">
        <v>0</v>
      </c>
      <c r="S864" s="13" t="s">
        <v>0</v>
      </c>
      <c r="T864" s="13" t="s">
        <v>9</v>
      </c>
      <c r="U864" s="13" t="s">
        <v>0</v>
      </c>
      <c r="V864" s="13" t="s">
        <v>0</v>
      </c>
      <c r="W864" s="13" t="s">
        <v>0</v>
      </c>
      <c r="X864" s="13" t="s">
        <v>0</v>
      </c>
      <c r="Y864" s="13" t="s">
        <v>10</v>
      </c>
      <c r="Z864" s="13" t="s">
        <v>0</v>
      </c>
      <c r="AA864" s="14"/>
      <c r="AB864" s="13" t="s">
        <v>0</v>
      </c>
      <c r="AC864" s="13" t="s">
        <v>0</v>
      </c>
      <c r="AD864" s="13" t="s">
        <v>0</v>
      </c>
      <c r="AE864" s="15">
        <v>0</v>
      </c>
    </row>
    <row r="865" spans="1:31" ht="14.15" customHeight="1" x14ac:dyDescent="0.25">
      <c r="A865" s="12" t="s">
        <v>0</v>
      </c>
      <c r="B865" s="13" t="s">
        <v>1</v>
      </c>
      <c r="C865" s="13" t="s">
        <v>3644</v>
      </c>
      <c r="D865" s="14">
        <v>44331</v>
      </c>
      <c r="E865" s="14">
        <v>44331</v>
      </c>
      <c r="F865" s="14">
        <v>44336</v>
      </c>
      <c r="G865" s="13" t="s">
        <v>3</v>
      </c>
      <c r="H865" s="13" t="s">
        <v>4</v>
      </c>
      <c r="I865" s="15">
        <v>-21048.3</v>
      </c>
      <c r="J865" s="13" t="s">
        <v>5</v>
      </c>
      <c r="K865" s="13" t="s">
        <v>6</v>
      </c>
      <c r="L865" s="15">
        <v>-1767004.78</v>
      </c>
      <c r="M865" s="15">
        <v>-21048.3</v>
      </c>
      <c r="N865" s="16" t="str">
        <f>IF(M865="","",IF(M865&lt;0,-M865&amp;"_"&amp;COUNTIF(M$2:M865,M865),M865&amp;"_"&amp;COUNTIF(M$2:M865,M865)))</f>
        <v>21048.3_1</v>
      </c>
      <c r="O865" s="17" t="str">
        <f t="shared" si="13"/>
        <v/>
      </c>
      <c r="P865" s="13" t="s">
        <v>3645</v>
      </c>
      <c r="Q865" s="13" t="s">
        <v>3637</v>
      </c>
      <c r="R865" s="13" t="s">
        <v>0</v>
      </c>
      <c r="S865" s="13" t="s">
        <v>0</v>
      </c>
      <c r="T865" s="13" t="s">
        <v>9</v>
      </c>
      <c r="U865" s="13" t="s">
        <v>0</v>
      </c>
      <c r="V865" s="13" t="s">
        <v>0</v>
      </c>
      <c r="W865" s="13" t="s">
        <v>0</v>
      </c>
      <c r="X865" s="13" t="s">
        <v>0</v>
      </c>
      <c r="Y865" s="13" t="s">
        <v>10</v>
      </c>
      <c r="Z865" s="13" t="s">
        <v>0</v>
      </c>
      <c r="AA865" s="14"/>
      <c r="AB865" s="13" t="s">
        <v>0</v>
      </c>
      <c r="AC865" s="13" t="s">
        <v>0</v>
      </c>
      <c r="AD865" s="13" t="s">
        <v>0</v>
      </c>
      <c r="AE865" s="15">
        <v>0</v>
      </c>
    </row>
    <row r="866" spans="1:31" ht="14.15" customHeight="1" x14ac:dyDescent="0.25">
      <c r="A866" s="12" t="s">
        <v>0</v>
      </c>
      <c r="B866" s="13" t="s">
        <v>1</v>
      </c>
      <c r="C866" s="13" t="s">
        <v>1884</v>
      </c>
      <c r="D866" s="14">
        <v>44189</v>
      </c>
      <c r="E866" s="14">
        <v>44189</v>
      </c>
      <c r="F866" s="14">
        <v>44194</v>
      </c>
      <c r="G866" s="13" t="s">
        <v>3</v>
      </c>
      <c r="H866" s="13" t="s">
        <v>4</v>
      </c>
      <c r="I866" s="15">
        <v>-21035.98</v>
      </c>
      <c r="J866" s="13" t="s">
        <v>5</v>
      </c>
      <c r="K866" s="13" t="s">
        <v>6</v>
      </c>
      <c r="L866" s="15">
        <v>-1765970.52</v>
      </c>
      <c r="M866" s="15">
        <v>-21035.98</v>
      </c>
      <c r="N866" s="16" t="str">
        <f>IF(M866="","",IF(M866&lt;0,-M866&amp;"_"&amp;COUNTIF(M$2:M866,M866),M866&amp;"_"&amp;COUNTIF(M$2:M866,M866)))</f>
        <v>21035.98_1</v>
      </c>
      <c r="O866" s="17" t="str">
        <f t="shared" si="13"/>
        <v/>
      </c>
      <c r="P866" s="13" t="s">
        <v>1885</v>
      </c>
      <c r="Q866" s="13" t="s">
        <v>1886</v>
      </c>
      <c r="R866" s="13" t="s">
        <v>0</v>
      </c>
      <c r="S866" s="13" t="s">
        <v>0</v>
      </c>
      <c r="T866" s="13" t="s">
        <v>9</v>
      </c>
      <c r="U866" s="13" t="s">
        <v>0</v>
      </c>
      <c r="V866" s="13" t="s">
        <v>0</v>
      </c>
      <c r="W866" s="13" t="s">
        <v>0</v>
      </c>
      <c r="X866" s="13" t="s">
        <v>0</v>
      </c>
      <c r="Y866" s="13" t="s">
        <v>10</v>
      </c>
      <c r="Z866" s="13" t="s">
        <v>0</v>
      </c>
      <c r="AA866" s="14"/>
      <c r="AB866" s="13" t="s">
        <v>0</v>
      </c>
      <c r="AC866" s="13" t="s">
        <v>0</v>
      </c>
      <c r="AD866" s="13" t="s">
        <v>0</v>
      </c>
      <c r="AE866" s="15">
        <v>0</v>
      </c>
    </row>
    <row r="867" spans="1:31" ht="14.15" customHeight="1" x14ac:dyDescent="0.25">
      <c r="A867" s="12" t="s">
        <v>0</v>
      </c>
      <c r="B867" s="13" t="s">
        <v>1</v>
      </c>
      <c r="C867" s="13" t="s">
        <v>164</v>
      </c>
      <c r="D867" s="14">
        <v>44032</v>
      </c>
      <c r="E867" s="14">
        <v>44032</v>
      </c>
      <c r="F867" s="14">
        <v>44037</v>
      </c>
      <c r="G867" s="13" t="s">
        <v>3</v>
      </c>
      <c r="H867" s="13" t="s">
        <v>4</v>
      </c>
      <c r="I867" s="15">
        <v>-21027.8</v>
      </c>
      <c r="J867" s="13" t="s">
        <v>5</v>
      </c>
      <c r="K867" s="13" t="s">
        <v>6</v>
      </c>
      <c r="L867" s="15">
        <v>-1765283.81</v>
      </c>
      <c r="M867" s="15">
        <v>-21027.8</v>
      </c>
      <c r="N867" s="16" t="str">
        <f>IF(M867="","",IF(M867&lt;0,-M867&amp;"_"&amp;COUNTIF(M$2:M867,M867),M867&amp;"_"&amp;COUNTIF(M$2:M867,M867)))</f>
        <v>21027.8_1</v>
      </c>
      <c r="O867" s="17" t="str">
        <f t="shared" si="13"/>
        <v/>
      </c>
      <c r="P867" s="13" t="s">
        <v>165</v>
      </c>
      <c r="Q867" s="13" t="s">
        <v>163</v>
      </c>
      <c r="R867" s="13" t="s">
        <v>0</v>
      </c>
      <c r="S867" s="13" t="s">
        <v>0</v>
      </c>
      <c r="T867" s="13" t="s">
        <v>9</v>
      </c>
      <c r="U867" s="13" t="s">
        <v>0</v>
      </c>
      <c r="V867" s="13" t="s">
        <v>0</v>
      </c>
      <c r="W867" s="13" t="s">
        <v>0</v>
      </c>
      <c r="X867" s="13" t="s">
        <v>0</v>
      </c>
      <c r="Y867" s="13" t="s">
        <v>10</v>
      </c>
      <c r="Z867" s="13" t="s">
        <v>0</v>
      </c>
      <c r="AA867" s="14"/>
      <c r="AB867" s="13" t="s">
        <v>0</v>
      </c>
      <c r="AC867" s="13" t="s">
        <v>0</v>
      </c>
      <c r="AD867" s="13" t="s">
        <v>0</v>
      </c>
      <c r="AE867" s="15">
        <v>0</v>
      </c>
    </row>
    <row r="868" spans="1:31" ht="14.15" customHeight="1" x14ac:dyDescent="0.25">
      <c r="A868" s="12" t="s">
        <v>0</v>
      </c>
      <c r="B868" s="13" t="s">
        <v>1</v>
      </c>
      <c r="C868" s="13" t="s">
        <v>188</v>
      </c>
      <c r="D868" s="14">
        <v>44034</v>
      </c>
      <c r="E868" s="14">
        <v>44034</v>
      </c>
      <c r="F868" s="14">
        <v>44040</v>
      </c>
      <c r="G868" s="13" t="s">
        <v>3</v>
      </c>
      <c r="H868" s="13" t="s">
        <v>4</v>
      </c>
      <c r="I868" s="15">
        <v>-21021.24</v>
      </c>
      <c r="J868" s="13" t="s">
        <v>5</v>
      </c>
      <c r="K868" s="13" t="s">
        <v>6</v>
      </c>
      <c r="L868" s="15">
        <v>-1764733.1</v>
      </c>
      <c r="M868" s="15">
        <v>-21021.24</v>
      </c>
      <c r="N868" s="16" t="str">
        <f>IF(M868="","",IF(M868&lt;0,-M868&amp;"_"&amp;COUNTIF(M$2:M868,M868),M868&amp;"_"&amp;COUNTIF(M$2:M868,M868)))</f>
        <v>21021.24_1</v>
      </c>
      <c r="O868" s="17" t="str">
        <f t="shared" si="13"/>
        <v/>
      </c>
      <c r="P868" s="13" t="s">
        <v>189</v>
      </c>
      <c r="Q868" s="13" t="s">
        <v>175</v>
      </c>
      <c r="R868" s="13" t="s">
        <v>0</v>
      </c>
      <c r="S868" s="13" t="s">
        <v>0</v>
      </c>
      <c r="T868" s="13" t="s">
        <v>9</v>
      </c>
      <c r="U868" s="13" t="s">
        <v>0</v>
      </c>
      <c r="V868" s="13" t="s">
        <v>0</v>
      </c>
      <c r="W868" s="13" t="s">
        <v>0</v>
      </c>
      <c r="X868" s="13" t="s">
        <v>0</v>
      </c>
      <c r="Y868" s="13" t="s">
        <v>10</v>
      </c>
      <c r="Z868" s="13" t="s">
        <v>0</v>
      </c>
      <c r="AA868" s="14"/>
      <c r="AB868" s="13" t="s">
        <v>0</v>
      </c>
      <c r="AC868" s="13" t="s">
        <v>0</v>
      </c>
      <c r="AD868" s="13" t="s">
        <v>0</v>
      </c>
      <c r="AE868" s="15">
        <v>0</v>
      </c>
    </row>
    <row r="869" spans="1:31" ht="14.15" customHeight="1" x14ac:dyDescent="0.25">
      <c r="A869" s="12" t="s">
        <v>0</v>
      </c>
      <c r="B869" s="13" t="s">
        <v>1</v>
      </c>
      <c r="C869" s="13" t="s">
        <v>2354</v>
      </c>
      <c r="D869" s="14">
        <v>44224</v>
      </c>
      <c r="E869" s="14">
        <v>44224</v>
      </c>
      <c r="F869" s="14">
        <v>44229</v>
      </c>
      <c r="G869" s="13" t="s">
        <v>3</v>
      </c>
      <c r="H869" s="13" t="s">
        <v>4</v>
      </c>
      <c r="I869" s="15">
        <v>-20992.38</v>
      </c>
      <c r="J869" s="13" t="s">
        <v>5</v>
      </c>
      <c r="K869" s="13" t="s">
        <v>6</v>
      </c>
      <c r="L869" s="15">
        <v>-1762310.3</v>
      </c>
      <c r="M869" s="15">
        <v>-20992.38</v>
      </c>
      <c r="N869" s="16" t="str">
        <f>IF(M869="","",IF(M869&lt;0,-M869&amp;"_"&amp;COUNTIF(M$2:M869,M869),M869&amp;"_"&amp;COUNTIF(M$2:M869,M869)))</f>
        <v>20992.38_1</v>
      </c>
      <c r="O869" s="17" t="str">
        <f t="shared" si="13"/>
        <v/>
      </c>
      <c r="P869" s="13" t="s">
        <v>2355</v>
      </c>
      <c r="Q869" s="13" t="s">
        <v>2345</v>
      </c>
      <c r="R869" s="13" t="s">
        <v>0</v>
      </c>
      <c r="S869" s="13" t="s">
        <v>0</v>
      </c>
      <c r="T869" s="13" t="s">
        <v>9</v>
      </c>
      <c r="U869" s="13" t="s">
        <v>0</v>
      </c>
      <c r="V869" s="13" t="s">
        <v>0</v>
      </c>
      <c r="W869" s="13" t="s">
        <v>0</v>
      </c>
      <c r="X869" s="13" t="s">
        <v>0</v>
      </c>
      <c r="Y869" s="13" t="s">
        <v>10</v>
      </c>
      <c r="Z869" s="13" t="s">
        <v>0</v>
      </c>
      <c r="AA869" s="14"/>
      <c r="AB869" s="13" t="s">
        <v>0</v>
      </c>
      <c r="AC869" s="13" t="s">
        <v>0</v>
      </c>
      <c r="AD869" s="13" t="s">
        <v>0</v>
      </c>
      <c r="AE869" s="15">
        <v>0</v>
      </c>
    </row>
    <row r="870" spans="1:31" ht="14.15" customHeight="1" x14ac:dyDescent="0.25">
      <c r="A870" s="12" t="s">
        <v>0</v>
      </c>
      <c r="B870" s="13" t="s">
        <v>1</v>
      </c>
      <c r="C870" s="13" t="s">
        <v>3499</v>
      </c>
      <c r="D870" s="14">
        <v>44321</v>
      </c>
      <c r="E870" s="14">
        <v>44321</v>
      </c>
      <c r="F870" s="14">
        <v>44331</v>
      </c>
      <c r="G870" s="13" t="s">
        <v>3</v>
      </c>
      <c r="H870" s="13" t="s">
        <v>4</v>
      </c>
      <c r="I870" s="15">
        <v>-20964.22</v>
      </c>
      <c r="J870" s="13" t="s">
        <v>5</v>
      </c>
      <c r="K870" s="13" t="s">
        <v>6</v>
      </c>
      <c r="L870" s="15">
        <v>-1759946.27</v>
      </c>
      <c r="M870" s="15">
        <v>-20964.22</v>
      </c>
      <c r="N870" s="16" t="str">
        <f>IF(M870="","",IF(M870&lt;0,-M870&amp;"_"&amp;COUNTIF(M$2:M870,M870),M870&amp;"_"&amp;COUNTIF(M$2:M870,M870)))</f>
        <v>20964.22_1</v>
      </c>
      <c r="O870" s="17" t="str">
        <f t="shared" si="13"/>
        <v/>
      </c>
      <c r="P870" s="13" t="s">
        <v>3500</v>
      </c>
      <c r="Q870" s="13" t="s">
        <v>3490</v>
      </c>
      <c r="R870" s="13" t="s">
        <v>0</v>
      </c>
      <c r="S870" s="13" t="s">
        <v>0</v>
      </c>
      <c r="T870" s="13" t="s">
        <v>9</v>
      </c>
      <c r="U870" s="13" t="s">
        <v>0</v>
      </c>
      <c r="V870" s="13" t="s">
        <v>0</v>
      </c>
      <c r="W870" s="13" t="s">
        <v>0</v>
      </c>
      <c r="X870" s="13" t="s">
        <v>0</v>
      </c>
      <c r="Y870" s="13" t="s">
        <v>10</v>
      </c>
      <c r="Z870" s="13" t="s">
        <v>0</v>
      </c>
      <c r="AA870" s="14"/>
      <c r="AB870" s="13" t="s">
        <v>0</v>
      </c>
      <c r="AC870" s="13" t="s">
        <v>0</v>
      </c>
      <c r="AD870" s="13" t="s">
        <v>0</v>
      </c>
      <c r="AE870" s="15">
        <v>0</v>
      </c>
    </row>
    <row r="871" spans="1:31" ht="14.15" customHeight="1" x14ac:dyDescent="0.25">
      <c r="A871" s="12" t="s">
        <v>0</v>
      </c>
      <c r="B871" s="13" t="s">
        <v>289</v>
      </c>
      <c r="C871" s="13" t="s">
        <v>3093</v>
      </c>
      <c r="D871" s="14">
        <v>44286</v>
      </c>
      <c r="E871" s="14">
        <v>44286</v>
      </c>
      <c r="F871" s="14">
        <v>44292</v>
      </c>
      <c r="G871" s="13" t="s">
        <v>48</v>
      </c>
      <c r="H871" s="13" t="s">
        <v>4</v>
      </c>
      <c r="I871" s="15">
        <v>-20960.89</v>
      </c>
      <c r="J871" s="13" t="s">
        <v>5</v>
      </c>
      <c r="K871" s="13" t="s">
        <v>6</v>
      </c>
      <c r="L871" s="15">
        <v>-1759666.72</v>
      </c>
      <c r="M871" s="15">
        <v>-20960.89</v>
      </c>
      <c r="N871" s="16" t="str">
        <f>IF(M871="","",IF(M871&lt;0,-M871&amp;"_"&amp;COUNTIF(M$2:M871,M871),M871&amp;"_"&amp;COUNTIF(M$2:M871,M871)))</f>
        <v>20960.89_1</v>
      </c>
      <c r="O871" s="17" t="str">
        <f t="shared" si="13"/>
        <v/>
      </c>
      <c r="P871" s="13" t="s">
        <v>3094</v>
      </c>
      <c r="Q871" s="13" t="s">
        <v>3094</v>
      </c>
      <c r="R871" s="13" t="s">
        <v>1994</v>
      </c>
      <c r="S871" s="13" t="s">
        <v>0</v>
      </c>
      <c r="T871" s="13" t="s">
        <v>9</v>
      </c>
      <c r="U871" s="13" t="s">
        <v>1995</v>
      </c>
      <c r="V871" s="13" t="s">
        <v>0</v>
      </c>
      <c r="W871" s="13" t="s">
        <v>0</v>
      </c>
      <c r="X871" s="13" t="s">
        <v>0</v>
      </c>
      <c r="Y871" s="13" t="s">
        <v>0</v>
      </c>
      <c r="Z871" s="13" t="s">
        <v>0</v>
      </c>
      <c r="AA871" s="14"/>
      <c r="AB871" s="13" t="s">
        <v>0</v>
      </c>
      <c r="AC871" s="13" t="s">
        <v>0</v>
      </c>
      <c r="AD871" s="13" t="s">
        <v>0</v>
      </c>
      <c r="AE871" s="15">
        <v>0</v>
      </c>
    </row>
    <row r="872" spans="1:31" ht="14.15" customHeight="1" x14ac:dyDescent="0.25">
      <c r="A872" s="12" t="s">
        <v>0</v>
      </c>
      <c r="B872" s="13" t="s">
        <v>1</v>
      </c>
      <c r="C872" s="13" t="s">
        <v>2996</v>
      </c>
      <c r="D872" s="14">
        <v>44280</v>
      </c>
      <c r="E872" s="14">
        <v>44280</v>
      </c>
      <c r="F872" s="14">
        <v>44286</v>
      </c>
      <c r="G872" s="13" t="s">
        <v>3</v>
      </c>
      <c r="H872" s="13" t="s">
        <v>4</v>
      </c>
      <c r="I872" s="15">
        <v>-20945.87</v>
      </c>
      <c r="J872" s="13" t="s">
        <v>5</v>
      </c>
      <c r="K872" s="13" t="s">
        <v>6</v>
      </c>
      <c r="L872" s="15">
        <v>-1758405.79</v>
      </c>
      <c r="M872" s="15">
        <v>-20945.87</v>
      </c>
      <c r="N872" s="16" t="str">
        <f>IF(M872="","",IF(M872&lt;0,-M872&amp;"_"&amp;COUNTIF(M$2:M872,M872),M872&amp;"_"&amp;COUNTIF(M$2:M872,M872)))</f>
        <v>20945.87_1</v>
      </c>
      <c r="O872" s="17" t="str">
        <f t="shared" si="13"/>
        <v/>
      </c>
      <c r="P872" s="13" t="s">
        <v>2997</v>
      </c>
      <c r="Q872" s="13" t="s">
        <v>2989</v>
      </c>
      <c r="R872" s="13" t="s">
        <v>0</v>
      </c>
      <c r="S872" s="13" t="s">
        <v>0</v>
      </c>
      <c r="T872" s="13" t="s">
        <v>9</v>
      </c>
      <c r="U872" s="13" t="s">
        <v>0</v>
      </c>
      <c r="V872" s="13" t="s">
        <v>0</v>
      </c>
      <c r="W872" s="13" t="s">
        <v>0</v>
      </c>
      <c r="X872" s="13" t="s">
        <v>0</v>
      </c>
      <c r="Y872" s="13" t="s">
        <v>10</v>
      </c>
      <c r="Z872" s="13" t="s">
        <v>0</v>
      </c>
      <c r="AA872" s="14"/>
      <c r="AB872" s="13" t="s">
        <v>0</v>
      </c>
      <c r="AC872" s="13" t="s">
        <v>0</v>
      </c>
      <c r="AD872" s="13" t="s">
        <v>0</v>
      </c>
      <c r="AE872" s="15">
        <v>0</v>
      </c>
    </row>
    <row r="873" spans="1:31" ht="14.15" customHeight="1" x14ac:dyDescent="0.25">
      <c r="A873" s="12" t="s">
        <v>0</v>
      </c>
      <c r="B873" s="13" t="s">
        <v>1</v>
      </c>
      <c r="C873" s="13" t="s">
        <v>2537</v>
      </c>
      <c r="D873" s="14">
        <v>44238</v>
      </c>
      <c r="E873" s="14">
        <v>44238</v>
      </c>
      <c r="F873" s="14">
        <v>44243</v>
      </c>
      <c r="G873" s="13" t="s">
        <v>3</v>
      </c>
      <c r="H873" s="13" t="s">
        <v>4</v>
      </c>
      <c r="I873" s="15">
        <v>-20926.939999999999</v>
      </c>
      <c r="J873" s="13" t="s">
        <v>5</v>
      </c>
      <c r="K873" s="13" t="s">
        <v>6</v>
      </c>
      <c r="L873" s="15">
        <v>-1756816.61</v>
      </c>
      <c r="M873" s="15">
        <v>-20926.939999999999</v>
      </c>
      <c r="N873" s="16" t="str">
        <f>IF(M873="","",IF(M873&lt;0,-M873&amp;"_"&amp;COUNTIF(M$2:M873,M873),M873&amp;"_"&amp;COUNTIF(M$2:M873,M873)))</f>
        <v>20926.94_1</v>
      </c>
      <c r="O873" s="17" t="str">
        <f t="shared" si="13"/>
        <v/>
      </c>
      <c r="P873" s="13" t="s">
        <v>2538</v>
      </c>
      <c r="Q873" s="13" t="s">
        <v>2528</v>
      </c>
      <c r="R873" s="13" t="s">
        <v>0</v>
      </c>
      <c r="S873" s="13" t="s">
        <v>0</v>
      </c>
      <c r="T873" s="13" t="s">
        <v>9</v>
      </c>
      <c r="U873" s="13" t="s">
        <v>0</v>
      </c>
      <c r="V873" s="13" t="s">
        <v>0</v>
      </c>
      <c r="W873" s="13" t="s">
        <v>0</v>
      </c>
      <c r="X873" s="13" t="s">
        <v>0</v>
      </c>
      <c r="Y873" s="13" t="s">
        <v>10</v>
      </c>
      <c r="Z873" s="13" t="s">
        <v>0</v>
      </c>
      <c r="AA873" s="14"/>
      <c r="AB873" s="13" t="s">
        <v>0</v>
      </c>
      <c r="AC873" s="13" t="s">
        <v>0</v>
      </c>
      <c r="AD873" s="13" t="s">
        <v>0</v>
      </c>
      <c r="AE873" s="15">
        <v>0</v>
      </c>
    </row>
    <row r="874" spans="1:31" ht="14.15" customHeight="1" x14ac:dyDescent="0.25">
      <c r="A874" s="12" t="s">
        <v>0</v>
      </c>
      <c r="B874" s="13" t="s">
        <v>1</v>
      </c>
      <c r="C874" s="13" t="s">
        <v>642</v>
      </c>
      <c r="D874" s="14">
        <v>44084</v>
      </c>
      <c r="E874" s="14">
        <v>44084</v>
      </c>
      <c r="F874" s="14">
        <v>44104</v>
      </c>
      <c r="G874" s="13" t="s">
        <v>3</v>
      </c>
      <c r="H874" s="13" t="s">
        <v>4</v>
      </c>
      <c r="I874" s="15">
        <v>-20890.28</v>
      </c>
      <c r="J874" s="13" t="s">
        <v>5</v>
      </c>
      <c r="K874" s="13" t="s">
        <v>6</v>
      </c>
      <c r="L874" s="15">
        <v>-1753739.01</v>
      </c>
      <c r="M874" s="15">
        <v>-20890.28</v>
      </c>
      <c r="N874" s="16" t="str">
        <f>IF(M874="","",IF(M874&lt;0,-M874&amp;"_"&amp;COUNTIF(M$2:M874,M874),M874&amp;"_"&amp;COUNTIF(M$2:M874,M874)))</f>
        <v>20890.28_1</v>
      </c>
      <c r="O874" s="17" t="str">
        <f t="shared" si="13"/>
        <v/>
      </c>
      <c r="P874" s="13" t="s">
        <v>643</v>
      </c>
      <c r="Q874" s="13" t="s">
        <v>641</v>
      </c>
      <c r="R874" s="13" t="s">
        <v>0</v>
      </c>
      <c r="S874" s="13" t="s">
        <v>0</v>
      </c>
      <c r="T874" s="13" t="s">
        <v>9</v>
      </c>
      <c r="U874" s="13" t="s">
        <v>0</v>
      </c>
      <c r="V874" s="13" t="s">
        <v>0</v>
      </c>
      <c r="W874" s="13" t="s">
        <v>0</v>
      </c>
      <c r="X874" s="13" t="s">
        <v>0</v>
      </c>
      <c r="Y874" s="13" t="s">
        <v>10</v>
      </c>
      <c r="Z874" s="13" t="s">
        <v>0</v>
      </c>
      <c r="AA874" s="14"/>
      <c r="AB874" s="13" t="s">
        <v>0</v>
      </c>
      <c r="AC874" s="13" t="s">
        <v>0</v>
      </c>
      <c r="AD874" s="13" t="s">
        <v>0</v>
      </c>
      <c r="AE874" s="15">
        <v>0</v>
      </c>
    </row>
    <row r="875" spans="1:31" ht="14.15" customHeight="1" x14ac:dyDescent="0.25">
      <c r="A875" s="12" t="s">
        <v>0</v>
      </c>
      <c r="B875" s="13" t="s">
        <v>1</v>
      </c>
      <c r="C875" s="13" t="s">
        <v>1377</v>
      </c>
      <c r="D875" s="14">
        <v>44152</v>
      </c>
      <c r="E875" s="14">
        <v>44152</v>
      </c>
      <c r="F875" s="14">
        <v>44159</v>
      </c>
      <c r="G875" s="13" t="s">
        <v>3</v>
      </c>
      <c r="H875" s="13" t="s">
        <v>4</v>
      </c>
      <c r="I875" s="15">
        <v>-20887.349999999999</v>
      </c>
      <c r="J875" s="13" t="s">
        <v>5</v>
      </c>
      <c r="K875" s="13" t="s">
        <v>6</v>
      </c>
      <c r="L875" s="15">
        <v>-1753493.03</v>
      </c>
      <c r="M875" s="15">
        <v>-20887.349999999999</v>
      </c>
      <c r="N875" s="16" t="str">
        <f>IF(M875="","",IF(M875&lt;0,-M875&amp;"_"&amp;COUNTIF(M$2:M875,M875),M875&amp;"_"&amp;COUNTIF(M$2:M875,M875)))</f>
        <v>20887.35_1</v>
      </c>
      <c r="O875" s="17" t="str">
        <f t="shared" si="13"/>
        <v/>
      </c>
      <c r="P875" s="13" t="s">
        <v>1378</v>
      </c>
      <c r="Q875" s="13" t="s">
        <v>1376</v>
      </c>
      <c r="R875" s="13" t="s">
        <v>0</v>
      </c>
      <c r="S875" s="13" t="s">
        <v>0</v>
      </c>
      <c r="T875" s="13" t="s">
        <v>9</v>
      </c>
      <c r="U875" s="13" t="s">
        <v>0</v>
      </c>
      <c r="V875" s="13" t="s">
        <v>0</v>
      </c>
      <c r="W875" s="13" t="s">
        <v>0</v>
      </c>
      <c r="X875" s="13" t="s">
        <v>0</v>
      </c>
      <c r="Y875" s="13" t="s">
        <v>10</v>
      </c>
      <c r="Z875" s="13" t="s">
        <v>0</v>
      </c>
      <c r="AA875" s="14"/>
      <c r="AB875" s="13" t="s">
        <v>0</v>
      </c>
      <c r="AC875" s="13" t="s">
        <v>0</v>
      </c>
      <c r="AD875" s="13" t="s">
        <v>0</v>
      </c>
      <c r="AE875" s="15">
        <v>0</v>
      </c>
    </row>
    <row r="876" spans="1:31" ht="14.15" customHeight="1" x14ac:dyDescent="0.25">
      <c r="A876" s="12" t="s">
        <v>0</v>
      </c>
      <c r="B876" s="13" t="s">
        <v>1</v>
      </c>
      <c r="C876" s="13" t="s">
        <v>1001</v>
      </c>
      <c r="D876" s="14">
        <v>44126</v>
      </c>
      <c r="E876" s="14">
        <v>44126</v>
      </c>
      <c r="F876" s="14">
        <v>44136</v>
      </c>
      <c r="G876" s="13" t="s">
        <v>3</v>
      </c>
      <c r="H876" s="13" t="s">
        <v>4</v>
      </c>
      <c r="I876" s="15">
        <v>-20865.52</v>
      </c>
      <c r="J876" s="13" t="s">
        <v>5</v>
      </c>
      <c r="K876" s="13" t="s">
        <v>6</v>
      </c>
      <c r="L876" s="15">
        <v>-1751660.4</v>
      </c>
      <c r="M876" s="15">
        <v>-20865.52</v>
      </c>
      <c r="N876" s="16" t="str">
        <f>IF(M876="","",IF(M876&lt;0,-M876&amp;"_"&amp;COUNTIF(M$2:M876,M876),M876&amp;"_"&amp;COUNTIF(M$2:M876,M876)))</f>
        <v>20865.52_1</v>
      </c>
      <c r="O876" s="17" t="str">
        <f t="shared" si="13"/>
        <v/>
      </c>
      <c r="P876" s="13" t="s">
        <v>1002</v>
      </c>
      <c r="Q876" s="13" t="s">
        <v>992</v>
      </c>
      <c r="R876" s="13" t="s">
        <v>0</v>
      </c>
      <c r="S876" s="13" t="s">
        <v>0</v>
      </c>
      <c r="T876" s="13" t="s">
        <v>9</v>
      </c>
      <c r="U876" s="13" t="s">
        <v>0</v>
      </c>
      <c r="V876" s="13" t="s">
        <v>0</v>
      </c>
      <c r="W876" s="13" t="s">
        <v>0</v>
      </c>
      <c r="X876" s="13" t="s">
        <v>0</v>
      </c>
      <c r="Y876" s="13" t="s">
        <v>10</v>
      </c>
      <c r="Z876" s="13" t="s">
        <v>0</v>
      </c>
      <c r="AA876" s="14"/>
      <c r="AB876" s="13" t="s">
        <v>0</v>
      </c>
      <c r="AC876" s="13" t="s">
        <v>0</v>
      </c>
      <c r="AD876" s="13" t="s">
        <v>0</v>
      </c>
      <c r="AE876" s="15">
        <v>0</v>
      </c>
    </row>
    <row r="877" spans="1:31" ht="14.15" customHeight="1" x14ac:dyDescent="0.25">
      <c r="A877" s="12" t="s">
        <v>0</v>
      </c>
      <c r="B877" s="13" t="s">
        <v>1</v>
      </c>
      <c r="C877" s="13" t="s">
        <v>4065</v>
      </c>
      <c r="D877" s="14">
        <v>44360</v>
      </c>
      <c r="E877" s="14">
        <v>44360</v>
      </c>
      <c r="F877" s="14">
        <v>44364</v>
      </c>
      <c r="G877" s="13" t="s">
        <v>3</v>
      </c>
      <c r="H877" s="13" t="s">
        <v>4</v>
      </c>
      <c r="I877" s="15">
        <v>-20825.75</v>
      </c>
      <c r="J877" s="13" t="s">
        <v>5</v>
      </c>
      <c r="K877" s="13" t="s">
        <v>6</v>
      </c>
      <c r="L877" s="15">
        <v>-1748321.71</v>
      </c>
      <c r="M877" s="15">
        <v>-20825.75</v>
      </c>
      <c r="N877" s="16" t="str">
        <f>IF(M877="","",IF(M877&lt;0,-M877&amp;"_"&amp;COUNTIF(M$2:M877,M877),M877&amp;"_"&amp;COUNTIF(M$2:M877,M877)))</f>
        <v>20825.75_1</v>
      </c>
      <c r="O877" s="17" t="str">
        <f t="shared" si="13"/>
        <v/>
      </c>
      <c r="P877" s="13" t="s">
        <v>4066</v>
      </c>
      <c r="Q877" s="13" t="s">
        <v>4062</v>
      </c>
      <c r="R877" s="13" t="s">
        <v>0</v>
      </c>
      <c r="S877" s="13" t="s">
        <v>0</v>
      </c>
      <c r="T877" s="13" t="s">
        <v>9</v>
      </c>
      <c r="U877" s="13" t="s">
        <v>0</v>
      </c>
      <c r="V877" s="13" t="s">
        <v>0</v>
      </c>
      <c r="W877" s="13" t="s">
        <v>0</v>
      </c>
      <c r="X877" s="13" t="s">
        <v>0</v>
      </c>
      <c r="Y877" s="13" t="s">
        <v>10</v>
      </c>
      <c r="Z877" s="13" t="s">
        <v>0</v>
      </c>
      <c r="AA877" s="14"/>
      <c r="AB877" s="13" t="s">
        <v>0</v>
      </c>
      <c r="AC877" s="13" t="s">
        <v>0</v>
      </c>
      <c r="AD877" s="13" t="s">
        <v>0</v>
      </c>
      <c r="AE877" s="15">
        <v>0</v>
      </c>
    </row>
    <row r="878" spans="1:31" ht="14.15" customHeight="1" x14ac:dyDescent="0.25">
      <c r="A878" s="12" t="s">
        <v>0</v>
      </c>
      <c r="B878" s="13" t="s">
        <v>1</v>
      </c>
      <c r="C878" s="13" t="s">
        <v>434</v>
      </c>
      <c r="D878" s="14">
        <v>44064</v>
      </c>
      <c r="E878" s="14">
        <v>44064</v>
      </c>
      <c r="F878" s="14">
        <v>44072</v>
      </c>
      <c r="G878" s="13" t="s">
        <v>3</v>
      </c>
      <c r="H878" s="13" t="s">
        <v>4</v>
      </c>
      <c r="I878" s="15">
        <v>-20819.490000000002</v>
      </c>
      <c r="J878" s="13" t="s">
        <v>5</v>
      </c>
      <c r="K878" s="13" t="s">
        <v>6</v>
      </c>
      <c r="L878" s="15">
        <v>-1747796.19</v>
      </c>
      <c r="M878" s="15">
        <v>-20819.490000000002</v>
      </c>
      <c r="N878" s="16" t="str">
        <f>IF(M878="","",IF(M878&lt;0,-M878&amp;"_"&amp;COUNTIF(M$2:M878,M878),M878&amp;"_"&amp;COUNTIF(M$2:M878,M878)))</f>
        <v>20819.49_1</v>
      </c>
      <c r="O878" s="17" t="str">
        <f t="shared" si="13"/>
        <v/>
      </c>
      <c r="P878" s="13" t="s">
        <v>435</v>
      </c>
      <c r="Q878" s="13" t="s">
        <v>431</v>
      </c>
      <c r="R878" s="13" t="s">
        <v>0</v>
      </c>
      <c r="S878" s="13" t="s">
        <v>0</v>
      </c>
      <c r="T878" s="13" t="s">
        <v>9</v>
      </c>
      <c r="U878" s="13" t="s">
        <v>0</v>
      </c>
      <c r="V878" s="13" t="s">
        <v>0</v>
      </c>
      <c r="W878" s="13" t="s">
        <v>0</v>
      </c>
      <c r="X878" s="13" t="s">
        <v>0</v>
      </c>
      <c r="Y878" s="13" t="s">
        <v>10</v>
      </c>
      <c r="Z878" s="13" t="s">
        <v>0</v>
      </c>
      <c r="AA878" s="14"/>
      <c r="AB878" s="13" t="s">
        <v>0</v>
      </c>
      <c r="AC878" s="13" t="s">
        <v>0</v>
      </c>
      <c r="AD878" s="13" t="s">
        <v>0</v>
      </c>
      <c r="AE878" s="15">
        <v>0</v>
      </c>
    </row>
    <row r="879" spans="1:31" ht="14.15" customHeight="1" x14ac:dyDescent="0.25">
      <c r="A879" s="12" t="s">
        <v>0</v>
      </c>
      <c r="B879" s="13" t="s">
        <v>1</v>
      </c>
      <c r="C879" s="13" t="s">
        <v>19</v>
      </c>
      <c r="D879" s="14">
        <v>44014</v>
      </c>
      <c r="E879" s="14">
        <v>44014</v>
      </c>
      <c r="F879" s="14">
        <v>44030</v>
      </c>
      <c r="G879" s="13" t="s">
        <v>3</v>
      </c>
      <c r="H879" s="13" t="s">
        <v>4</v>
      </c>
      <c r="I879" s="15">
        <v>-20759.47</v>
      </c>
      <c r="J879" s="13" t="s">
        <v>5</v>
      </c>
      <c r="K879" s="13" t="s">
        <v>6</v>
      </c>
      <c r="L879" s="15">
        <v>-1742757.51</v>
      </c>
      <c r="M879" s="15">
        <v>-20759.47</v>
      </c>
      <c r="N879" s="16" t="str">
        <f>IF(M879="","",IF(M879&lt;0,-M879&amp;"_"&amp;COUNTIF(M$2:M879,M879),M879&amp;"_"&amp;COUNTIF(M$2:M879,M879)))</f>
        <v>20759.47_1</v>
      </c>
      <c r="O879" s="17" t="str">
        <f t="shared" si="13"/>
        <v/>
      </c>
      <c r="P879" s="13" t="s">
        <v>20</v>
      </c>
      <c r="Q879" s="13" t="s">
        <v>8</v>
      </c>
      <c r="R879" s="13" t="s">
        <v>0</v>
      </c>
      <c r="S879" s="13" t="s">
        <v>0</v>
      </c>
      <c r="T879" s="13" t="s">
        <v>9</v>
      </c>
      <c r="U879" s="13" t="s">
        <v>0</v>
      </c>
      <c r="V879" s="13" t="s">
        <v>0</v>
      </c>
      <c r="W879" s="13" t="s">
        <v>0</v>
      </c>
      <c r="X879" s="13" t="s">
        <v>0</v>
      </c>
      <c r="Y879" s="13" t="s">
        <v>10</v>
      </c>
      <c r="Z879" s="13" t="s">
        <v>0</v>
      </c>
      <c r="AA879" s="14"/>
      <c r="AB879" s="13" t="s">
        <v>0</v>
      </c>
      <c r="AC879" s="13" t="s">
        <v>0</v>
      </c>
      <c r="AD879" s="13" t="s">
        <v>0</v>
      </c>
      <c r="AE879" s="15">
        <v>0</v>
      </c>
    </row>
    <row r="880" spans="1:31" ht="14.15" customHeight="1" x14ac:dyDescent="0.25">
      <c r="A880" s="12" t="s">
        <v>0</v>
      </c>
      <c r="B880" s="13" t="s">
        <v>1</v>
      </c>
      <c r="C880" s="13" t="s">
        <v>2575</v>
      </c>
      <c r="D880" s="14">
        <v>44243</v>
      </c>
      <c r="E880" s="14">
        <v>44243</v>
      </c>
      <c r="F880" s="14">
        <v>44249</v>
      </c>
      <c r="G880" s="13" t="s">
        <v>3</v>
      </c>
      <c r="H880" s="13" t="s">
        <v>4</v>
      </c>
      <c r="I880" s="15">
        <v>-20751.23</v>
      </c>
      <c r="J880" s="13" t="s">
        <v>5</v>
      </c>
      <c r="K880" s="13" t="s">
        <v>6</v>
      </c>
      <c r="L880" s="15">
        <v>-1742065.76</v>
      </c>
      <c r="M880" s="15">
        <v>-20751.23</v>
      </c>
      <c r="N880" s="16" t="str">
        <f>IF(M880="","",IF(M880&lt;0,-M880&amp;"_"&amp;COUNTIF(M$2:M880,M880),M880&amp;"_"&amp;COUNTIF(M$2:M880,M880)))</f>
        <v>20751.23_1</v>
      </c>
      <c r="O880" s="17" t="str">
        <f t="shared" si="13"/>
        <v/>
      </c>
      <c r="P880" s="13" t="s">
        <v>2576</v>
      </c>
      <c r="Q880" s="13" t="s">
        <v>2574</v>
      </c>
      <c r="R880" s="13" t="s">
        <v>0</v>
      </c>
      <c r="S880" s="13" t="s">
        <v>0</v>
      </c>
      <c r="T880" s="13" t="s">
        <v>9</v>
      </c>
      <c r="U880" s="13" t="s">
        <v>0</v>
      </c>
      <c r="V880" s="13" t="s">
        <v>0</v>
      </c>
      <c r="W880" s="13" t="s">
        <v>0</v>
      </c>
      <c r="X880" s="13" t="s">
        <v>0</v>
      </c>
      <c r="Y880" s="13" t="s">
        <v>10</v>
      </c>
      <c r="Z880" s="13" t="s">
        <v>0</v>
      </c>
      <c r="AA880" s="14"/>
      <c r="AB880" s="13" t="s">
        <v>0</v>
      </c>
      <c r="AC880" s="13" t="s">
        <v>0</v>
      </c>
      <c r="AD880" s="13" t="s">
        <v>0</v>
      </c>
      <c r="AE880" s="15">
        <v>0</v>
      </c>
    </row>
    <row r="881" spans="1:31" ht="14.15" customHeight="1" x14ac:dyDescent="0.25">
      <c r="A881" s="12" t="s">
        <v>0</v>
      </c>
      <c r="B881" s="13" t="s">
        <v>1</v>
      </c>
      <c r="C881" s="13" t="s">
        <v>1829</v>
      </c>
      <c r="D881" s="14">
        <v>44184</v>
      </c>
      <c r="E881" s="14">
        <v>44184</v>
      </c>
      <c r="F881" s="14">
        <v>44188</v>
      </c>
      <c r="G881" s="13" t="s">
        <v>3</v>
      </c>
      <c r="H881" s="13" t="s">
        <v>4</v>
      </c>
      <c r="I881" s="15">
        <v>-20747.53</v>
      </c>
      <c r="J881" s="13" t="s">
        <v>5</v>
      </c>
      <c r="K881" s="13" t="s">
        <v>6</v>
      </c>
      <c r="L881" s="15">
        <v>-1741755.14</v>
      </c>
      <c r="M881" s="15">
        <v>-20747.53</v>
      </c>
      <c r="N881" s="16" t="str">
        <f>IF(M881="","",IF(M881&lt;0,-M881&amp;"_"&amp;COUNTIF(M$2:M881,M881),M881&amp;"_"&amp;COUNTIF(M$2:M881,M881)))</f>
        <v>20747.53_1</v>
      </c>
      <c r="O881" s="17" t="str">
        <f t="shared" si="13"/>
        <v/>
      </c>
      <c r="P881" s="13" t="s">
        <v>1830</v>
      </c>
      <c r="Q881" s="13" t="s">
        <v>1831</v>
      </c>
      <c r="R881" s="13" t="s">
        <v>0</v>
      </c>
      <c r="S881" s="13" t="s">
        <v>0</v>
      </c>
      <c r="T881" s="13" t="s">
        <v>9</v>
      </c>
      <c r="U881" s="13" t="s">
        <v>0</v>
      </c>
      <c r="V881" s="13" t="s">
        <v>0</v>
      </c>
      <c r="W881" s="13" t="s">
        <v>0</v>
      </c>
      <c r="X881" s="13" t="s">
        <v>0</v>
      </c>
      <c r="Y881" s="13" t="s">
        <v>10</v>
      </c>
      <c r="Z881" s="13" t="s">
        <v>0</v>
      </c>
      <c r="AA881" s="14"/>
      <c r="AB881" s="13" t="s">
        <v>0</v>
      </c>
      <c r="AC881" s="13" t="s">
        <v>0</v>
      </c>
      <c r="AD881" s="13" t="s">
        <v>0</v>
      </c>
      <c r="AE881" s="15">
        <v>0</v>
      </c>
    </row>
    <row r="882" spans="1:31" ht="14.15" customHeight="1" x14ac:dyDescent="0.25">
      <c r="A882" s="12" t="s">
        <v>0</v>
      </c>
      <c r="B882" s="13" t="s">
        <v>1</v>
      </c>
      <c r="C882" s="13" t="s">
        <v>1291</v>
      </c>
      <c r="D882" s="14">
        <v>44146</v>
      </c>
      <c r="E882" s="14">
        <v>44146</v>
      </c>
      <c r="F882" s="14">
        <v>44151</v>
      </c>
      <c r="G882" s="13" t="s">
        <v>3</v>
      </c>
      <c r="H882" s="13" t="s">
        <v>4</v>
      </c>
      <c r="I882" s="15">
        <v>-20744.349999999999</v>
      </c>
      <c r="J882" s="13" t="s">
        <v>5</v>
      </c>
      <c r="K882" s="13" t="s">
        <v>6</v>
      </c>
      <c r="L882" s="15">
        <v>-1741488.18</v>
      </c>
      <c r="M882" s="15">
        <v>-20744.349999999999</v>
      </c>
      <c r="N882" s="16" t="str">
        <f>IF(M882="","",IF(M882&lt;0,-M882&amp;"_"&amp;COUNTIF(M$2:M882,M882),M882&amp;"_"&amp;COUNTIF(M$2:M882,M882)))</f>
        <v>20744.35_1</v>
      </c>
      <c r="O882" s="17" t="str">
        <f t="shared" si="13"/>
        <v/>
      </c>
      <c r="P882" s="13" t="s">
        <v>1292</v>
      </c>
      <c r="Q882" s="13" t="s">
        <v>1282</v>
      </c>
      <c r="R882" s="13" t="s">
        <v>0</v>
      </c>
      <c r="S882" s="13" t="s">
        <v>0</v>
      </c>
      <c r="T882" s="13" t="s">
        <v>9</v>
      </c>
      <c r="U882" s="13" t="s">
        <v>0</v>
      </c>
      <c r="V882" s="13" t="s">
        <v>0</v>
      </c>
      <c r="W882" s="13" t="s">
        <v>0</v>
      </c>
      <c r="X882" s="13" t="s">
        <v>0</v>
      </c>
      <c r="Y882" s="13" t="s">
        <v>10</v>
      </c>
      <c r="Z882" s="13" t="s">
        <v>0</v>
      </c>
      <c r="AA882" s="14"/>
      <c r="AB882" s="13" t="s">
        <v>0</v>
      </c>
      <c r="AC882" s="13" t="s">
        <v>0</v>
      </c>
      <c r="AD882" s="13" t="s">
        <v>0</v>
      </c>
      <c r="AE882" s="15">
        <v>0</v>
      </c>
    </row>
    <row r="883" spans="1:31" ht="14.15" customHeight="1" x14ac:dyDescent="0.25">
      <c r="A883" s="12" t="s">
        <v>0</v>
      </c>
      <c r="B883" s="13" t="s">
        <v>1</v>
      </c>
      <c r="C883" s="13" t="s">
        <v>2962</v>
      </c>
      <c r="D883" s="14">
        <v>44278</v>
      </c>
      <c r="E883" s="14">
        <v>44278</v>
      </c>
      <c r="F883" s="14">
        <v>44283</v>
      </c>
      <c r="G883" s="13" t="s">
        <v>3</v>
      </c>
      <c r="H883" s="13" t="s">
        <v>4</v>
      </c>
      <c r="I883" s="15">
        <v>-20725.54</v>
      </c>
      <c r="J883" s="13" t="s">
        <v>5</v>
      </c>
      <c r="K883" s="13" t="s">
        <v>6</v>
      </c>
      <c r="L883" s="15">
        <v>-1739909.09</v>
      </c>
      <c r="M883" s="15">
        <v>-20725.54</v>
      </c>
      <c r="N883" s="16" t="str">
        <f>IF(M883="","",IF(M883&lt;0,-M883&amp;"_"&amp;COUNTIF(M$2:M883,M883),M883&amp;"_"&amp;COUNTIF(M$2:M883,M883)))</f>
        <v>20725.54_1</v>
      </c>
      <c r="O883" s="17" t="str">
        <f t="shared" si="13"/>
        <v/>
      </c>
      <c r="P883" s="13" t="s">
        <v>2963</v>
      </c>
      <c r="Q883" s="13" t="s">
        <v>2964</v>
      </c>
      <c r="R883" s="13" t="s">
        <v>0</v>
      </c>
      <c r="S883" s="13" t="s">
        <v>0</v>
      </c>
      <c r="T883" s="13" t="s">
        <v>9</v>
      </c>
      <c r="U883" s="13" t="s">
        <v>0</v>
      </c>
      <c r="V883" s="13" t="s">
        <v>0</v>
      </c>
      <c r="W883" s="13" t="s">
        <v>0</v>
      </c>
      <c r="X883" s="13" t="s">
        <v>0</v>
      </c>
      <c r="Y883" s="13" t="s">
        <v>10</v>
      </c>
      <c r="Z883" s="13" t="s">
        <v>0</v>
      </c>
      <c r="AA883" s="14"/>
      <c r="AB883" s="13" t="s">
        <v>0</v>
      </c>
      <c r="AC883" s="13" t="s">
        <v>0</v>
      </c>
      <c r="AD883" s="13" t="s">
        <v>0</v>
      </c>
      <c r="AE883" s="15">
        <v>0</v>
      </c>
    </row>
    <row r="884" spans="1:31" ht="14.15" customHeight="1" x14ac:dyDescent="0.25">
      <c r="A884" s="12" t="s">
        <v>0</v>
      </c>
      <c r="B884" s="13" t="s">
        <v>1</v>
      </c>
      <c r="C884" s="13" t="s">
        <v>1042</v>
      </c>
      <c r="D884" s="14">
        <v>44131</v>
      </c>
      <c r="E884" s="14">
        <v>44131</v>
      </c>
      <c r="F884" s="14">
        <v>44136</v>
      </c>
      <c r="G884" s="13" t="s">
        <v>3</v>
      </c>
      <c r="H884" s="13" t="s">
        <v>4</v>
      </c>
      <c r="I884" s="15">
        <v>-20704.62</v>
      </c>
      <c r="J884" s="13" t="s">
        <v>5</v>
      </c>
      <c r="K884" s="13" t="s">
        <v>6</v>
      </c>
      <c r="L884" s="15">
        <v>-1738152.85</v>
      </c>
      <c r="M884" s="15">
        <v>-20704.62</v>
      </c>
      <c r="N884" s="16" t="str">
        <f>IF(M884="","",IF(M884&lt;0,-M884&amp;"_"&amp;COUNTIF(M$2:M884,M884),M884&amp;"_"&amp;COUNTIF(M$2:M884,M884)))</f>
        <v>20704.62_1</v>
      </c>
      <c r="O884" s="17" t="str">
        <f t="shared" si="13"/>
        <v/>
      </c>
      <c r="P884" s="13" t="s">
        <v>1043</v>
      </c>
      <c r="Q884" s="13" t="s">
        <v>1041</v>
      </c>
      <c r="R884" s="13" t="s">
        <v>0</v>
      </c>
      <c r="S884" s="13" t="s">
        <v>0</v>
      </c>
      <c r="T884" s="13" t="s">
        <v>9</v>
      </c>
      <c r="U884" s="13" t="s">
        <v>0</v>
      </c>
      <c r="V884" s="13" t="s">
        <v>0</v>
      </c>
      <c r="W884" s="13" t="s">
        <v>0</v>
      </c>
      <c r="X884" s="13" t="s">
        <v>0</v>
      </c>
      <c r="Y884" s="13" t="s">
        <v>10</v>
      </c>
      <c r="Z884" s="13" t="s">
        <v>0</v>
      </c>
      <c r="AA884" s="14"/>
      <c r="AB884" s="13" t="s">
        <v>0</v>
      </c>
      <c r="AC884" s="13" t="s">
        <v>0</v>
      </c>
      <c r="AD884" s="13" t="s">
        <v>0</v>
      </c>
      <c r="AE884" s="15">
        <v>0</v>
      </c>
    </row>
    <row r="885" spans="1:31" ht="14.15" customHeight="1" x14ac:dyDescent="0.25">
      <c r="A885" s="12" t="s">
        <v>0</v>
      </c>
      <c r="B885" s="13" t="s">
        <v>1</v>
      </c>
      <c r="C885" s="13" t="s">
        <v>797</v>
      </c>
      <c r="D885" s="14">
        <v>44102</v>
      </c>
      <c r="E885" s="14">
        <v>44102</v>
      </c>
      <c r="F885" s="14">
        <v>44118</v>
      </c>
      <c r="G885" s="13" t="s">
        <v>3</v>
      </c>
      <c r="H885" s="13" t="s">
        <v>4</v>
      </c>
      <c r="I885" s="15">
        <v>-20692.73</v>
      </c>
      <c r="J885" s="13" t="s">
        <v>5</v>
      </c>
      <c r="K885" s="13" t="s">
        <v>6</v>
      </c>
      <c r="L885" s="15">
        <v>-1737154.68</v>
      </c>
      <c r="M885" s="15">
        <v>-20692.73</v>
      </c>
      <c r="N885" s="16" t="str">
        <f>IF(M885="","",IF(M885&lt;0,-M885&amp;"_"&amp;COUNTIF(M$2:M885,M885),M885&amp;"_"&amp;COUNTIF(M$2:M885,M885)))</f>
        <v>20692.73_1</v>
      </c>
      <c r="O885" s="17" t="str">
        <f t="shared" si="13"/>
        <v/>
      </c>
      <c r="P885" s="13" t="s">
        <v>798</v>
      </c>
      <c r="Q885" s="13" t="s">
        <v>799</v>
      </c>
      <c r="R885" s="13" t="s">
        <v>0</v>
      </c>
      <c r="S885" s="13" t="s">
        <v>0</v>
      </c>
      <c r="T885" s="13" t="s">
        <v>9</v>
      </c>
      <c r="U885" s="13" t="s">
        <v>0</v>
      </c>
      <c r="V885" s="13" t="s">
        <v>0</v>
      </c>
      <c r="W885" s="13" t="s">
        <v>0</v>
      </c>
      <c r="X885" s="13" t="s">
        <v>0</v>
      </c>
      <c r="Y885" s="13" t="s">
        <v>10</v>
      </c>
      <c r="Z885" s="13" t="s">
        <v>0</v>
      </c>
      <c r="AA885" s="14"/>
      <c r="AB885" s="13" t="s">
        <v>0</v>
      </c>
      <c r="AC885" s="13" t="s">
        <v>0</v>
      </c>
      <c r="AD885" s="13" t="s">
        <v>0</v>
      </c>
      <c r="AE885" s="15">
        <v>0</v>
      </c>
    </row>
    <row r="886" spans="1:31" ht="14.15" customHeight="1" x14ac:dyDescent="0.25">
      <c r="A886" s="12" t="s">
        <v>0</v>
      </c>
      <c r="B886" s="13" t="s">
        <v>1</v>
      </c>
      <c r="C886" s="13" t="s">
        <v>4265</v>
      </c>
      <c r="D886" s="14">
        <v>44369</v>
      </c>
      <c r="E886" s="14">
        <v>44369</v>
      </c>
      <c r="F886" s="14">
        <v>44375</v>
      </c>
      <c r="G886" s="13" t="s">
        <v>3</v>
      </c>
      <c r="H886" s="13" t="s">
        <v>4</v>
      </c>
      <c r="I886" s="15">
        <v>-20686.849999999999</v>
      </c>
      <c r="J886" s="13" t="s">
        <v>5</v>
      </c>
      <c r="K886" s="13" t="s">
        <v>6</v>
      </c>
      <c r="L886" s="15">
        <v>-1736661.06</v>
      </c>
      <c r="M886" s="15">
        <v>-20686.849999999999</v>
      </c>
      <c r="N886" s="16" t="str">
        <f>IF(M886="","",IF(M886&lt;0,-M886&amp;"_"&amp;COUNTIF(M$2:M886,M886),M886&amp;"_"&amp;COUNTIF(M$2:M886,M886)))</f>
        <v>20686.85_1</v>
      </c>
      <c r="O886" s="17" t="str">
        <f t="shared" si="13"/>
        <v/>
      </c>
      <c r="P886" s="13" t="s">
        <v>4266</v>
      </c>
      <c r="Q886" s="13" t="s">
        <v>4248</v>
      </c>
      <c r="R886" s="13" t="s">
        <v>0</v>
      </c>
      <c r="S886" s="13" t="s">
        <v>0</v>
      </c>
      <c r="T886" s="13" t="s">
        <v>9</v>
      </c>
      <c r="U886" s="13" t="s">
        <v>0</v>
      </c>
      <c r="V886" s="13" t="s">
        <v>0</v>
      </c>
      <c r="W886" s="13" t="s">
        <v>0</v>
      </c>
      <c r="X886" s="13" t="s">
        <v>0</v>
      </c>
      <c r="Y886" s="13" t="s">
        <v>10</v>
      </c>
      <c r="Z886" s="13" t="s">
        <v>0</v>
      </c>
      <c r="AA886" s="14"/>
      <c r="AB886" s="13" t="s">
        <v>0</v>
      </c>
      <c r="AC886" s="13" t="s">
        <v>0</v>
      </c>
      <c r="AD886" s="13" t="s">
        <v>0</v>
      </c>
      <c r="AE886" s="15">
        <v>0</v>
      </c>
    </row>
    <row r="887" spans="1:31" ht="14.15" customHeight="1" x14ac:dyDescent="0.25">
      <c r="A887" s="12" t="s">
        <v>0</v>
      </c>
      <c r="B887" s="13" t="s">
        <v>1</v>
      </c>
      <c r="C887" s="13" t="s">
        <v>3563</v>
      </c>
      <c r="D887" s="14">
        <v>44325</v>
      </c>
      <c r="E887" s="14">
        <v>44325</v>
      </c>
      <c r="F887" s="14">
        <v>44333</v>
      </c>
      <c r="G887" s="13" t="s">
        <v>3</v>
      </c>
      <c r="H887" s="13" t="s">
        <v>4</v>
      </c>
      <c r="I887" s="15">
        <v>-20663.79</v>
      </c>
      <c r="J887" s="13" t="s">
        <v>5</v>
      </c>
      <c r="K887" s="13" t="s">
        <v>6</v>
      </c>
      <c r="L887" s="15">
        <v>-1734725.17</v>
      </c>
      <c r="M887" s="15">
        <v>-20663.79</v>
      </c>
      <c r="N887" s="16" t="str">
        <f>IF(M887="","",IF(M887&lt;0,-M887&amp;"_"&amp;COUNTIF(M$2:M887,M887),M887&amp;"_"&amp;COUNTIF(M$2:M887,M887)))</f>
        <v>20663.79_1</v>
      </c>
      <c r="O887" s="17" t="str">
        <f t="shared" si="13"/>
        <v/>
      </c>
      <c r="P887" s="13" t="s">
        <v>3564</v>
      </c>
      <c r="Q887" s="13" t="s">
        <v>3557</v>
      </c>
      <c r="R887" s="13" t="s">
        <v>0</v>
      </c>
      <c r="S887" s="13" t="s">
        <v>0</v>
      </c>
      <c r="T887" s="13" t="s">
        <v>9</v>
      </c>
      <c r="U887" s="13" t="s">
        <v>0</v>
      </c>
      <c r="V887" s="13" t="s">
        <v>0</v>
      </c>
      <c r="W887" s="13" t="s">
        <v>0</v>
      </c>
      <c r="X887" s="13" t="s">
        <v>0</v>
      </c>
      <c r="Y887" s="13" t="s">
        <v>10</v>
      </c>
      <c r="Z887" s="13" t="s">
        <v>0</v>
      </c>
      <c r="AA887" s="14"/>
      <c r="AB887" s="13" t="s">
        <v>0</v>
      </c>
      <c r="AC887" s="13" t="s">
        <v>0</v>
      </c>
      <c r="AD887" s="13" t="s">
        <v>0</v>
      </c>
      <c r="AE887" s="15">
        <v>0</v>
      </c>
    </row>
    <row r="888" spans="1:31" ht="14.15" customHeight="1" x14ac:dyDescent="0.25">
      <c r="A888" s="12" t="s">
        <v>0</v>
      </c>
      <c r="B888" s="13" t="s">
        <v>1</v>
      </c>
      <c r="C888" s="13" t="s">
        <v>3614</v>
      </c>
      <c r="D888" s="14">
        <v>44329</v>
      </c>
      <c r="E888" s="14">
        <v>44329</v>
      </c>
      <c r="F888" s="14">
        <v>44336</v>
      </c>
      <c r="G888" s="13" t="s">
        <v>3</v>
      </c>
      <c r="H888" s="13" t="s">
        <v>4</v>
      </c>
      <c r="I888" s="15">
        <v>-20662.189999999999</v>
      </c>
      <c r="J888" s="13" t="s">
        <v>5</v>
      </c>
      <c r="K888" s="13" t="s">
        <v>6</v>
      </c>
      <c r="L888" s="15">
        <v>-1734590.85</v>
      </c>
      <c r="M888" s="15">
        <v>-20662.189999999999</v>
      </c>
      <c r="N888" s="16" t="str">
        <f>IF(M888="","",IF(M888&lt;0,-M888&amp;"_"&amp;COUNTIF(M$2:M888,M888),M888&amp;"_"&amp;COUNTIF(M$2:M888,M888)))</f>
        <v>20662.19_1</v>
      </c>
      <c r="O888" s="17" t="str">
        <f t="shared" si="13"/>
        <v/>
      </c>
      <c r="P888" s="13" t="s">
        <v>3615</v>
      </c>
      <c r="Q888" s="13" t="s">
        <v>3603</v>
      </c>
      <c r="R888" s="13" t="s">
        <v>0</v>
      </c>
      <c r="S888" s="13" t="s">
        <v>0</v>
      </c>
      <c r="T888" s="13" t="s">
        <v>9</v>
      </c>
      <c r="U888" s="13" t="s">
        <v>0</v>
      </c>
      <c r="V888" s="13" t="s">
        <v>0</v>
      </c>
      <c r="W888" s="13" t="s">
        <v>0</v>
      </c>
      <c r="X888" s="13" t="s">
        <v>0</v>
      </c>
      <c r="Y888" s="13" t="s">
        <v>10</v>
      </c>
      <c r="Z888" s="13" t="s">
        <v>0</v>
      </c>
      <c r="AA888" s="14"/>
      <c r="AB888" s="13" t="s">
        <v>0</v>
      </c>
      <c r="AC888" s="13" t="s">
        <v>0</v>
      </c>
      <c r="AD888" s="13" t="s">
        <v>0</v>
      </c>
      <c r="AE888" s="15">
        <v>0</v>
      </c>
    </row>
    <row r="889" spans="1:31" ht="14.15" customHeight="1" x14ac:dyDescent="0.25">
      <c r="A889" s="12" t="s">
        <v>0</v>
      </c>
      <c r="B889" s="13" t="s">
        <v>1</v>
      </c>
      <c r="C889" s="13" t="s">
        <v>3460</v>
      </c>
      <c r="D889" s="14">
        <v>44320</v>
      </c>
      <c r="E889" s="14">
        <v>44320</v>
      </c>
      <c r="F889" s="14">
        <v>44328</v>
      </c>
      <c r="G889" s="13" t="s">
        <v>3</v>
      </c>
      <c r="H889" s="13" t="s">
        <v>4</v>
      </c>
      <c r="I889" s="15">
        <v>-20620.009999999998</v>
      </c>
      <c r="J889" s="13" t="s">
        <v>5</v>
      </c>
      <c r="K889" s="13" t="s">
        <v>6</v>
      </c>
      <c r="L889" s="15">
        <v>-1731049.84</v>
      </c>
      <c r="M889" s="15">
        <v>-20620.009999999998</v>
      </c>
      <c r="N889" s="16" t="str">
        <f>IF(M889="","",IF(M889&lt;0,-M889&amp;"_"&amp;COUNTIF(M$2:M889,M889),M889&amp;"_"&amp;COUNTIF(M$2:M889,M889)))</f>
        <v>20620.01_1</v>
      </c>
      <c r="O889" s="17" t="str">
        <f t="shared" si="13"/>
        <v/>
      </c>
      <c r="P889" s="13" t="s">
        <v>3461</v>
      </c>
      <c r="Q889" s="13" t="s">
        <v>3453</v>
      </c>
      <c r="R889" s="13" t="s">
        <v>0</v>
      </c>
      <c r="S889" s="13" t="s">
        <v>0</v>
      </c>
      <c r="T889" s="13" t="s">
        <v>9</v>
      </c>
      <c r="U889" s="13" t="s">
        <v>0</v>
      </c>
      <c r="V889" s="13" t="s">
        <v>0</v>
      </c>
      <c r="W889" s="13" t="s">
        <v>0</v>
      </c>
      <c r="X889" s="13" t="s">
        <v>0</v>
      </c>
      <c r="Y889" s="13" t="s">
        <v>10</v>
      </c>
      <c r="Z889" s="13" t="s">
        <v>0</v>
      </c>
      <c r="AA889" s="14"/>
      <c r="AB889" s="13" t="s">
        <v>0</v>
      </c>
      <c r="AC889" s="13" t="s">
        <v>0</v>
      </c>
      <c r="AD889" s="13" t="s">
        <v>0</v>
      </c>
      <c r="AE889" s="15">
        <v>0</v>
      </c>
    </row>
    <row r="890" spans="1:31" ht="14.15" customHeight="1" x14ac:dyDescent="0.25">
      <c r="A890" s="12" t="s">
        <v>0</v>
      </c>
      <c r="B890" s="13" t="s">
        <v>1</v>
      </c>
      <c r="C890" s="13" t="s">
        <v>3869</v>
      </c>
      <c r="D890" s="14">
        <v>44351</v>
      </c>
      <c r="E890" s="14">
        <v>44351</v>
      </c>
      <c r="F890" s="14">
        <v>44364</v>
      </c>
      <c r="G890" s="13" t="s">
        <v>3</v>
      </c>
      <c r="H890" s="13" t="s">
        <v>4</v>
      </c>
      <c r="I890" s="15">
        <v>-20572.990000000002</v>
      </c>
      <c r="J890" s="13" t="s">
        <v>5</v>
      </c>
      <c r="K890" s="13" t="s">
        <v>6</v>
      </c>
      <c r="L890" s="15">
        <v>-1727102.51</v>
      </c>
      <c r="M890" s="15">
        <v>-20572.990000000002</v>
      </c>
      <c r="N890" s="16" t="str">
        <f>IF(M890="","",IF(M890&lt;0,-M890&amp;"_"&amp;COUNTIF(M$2:M890,M890),M890&amp;"_"&amp;COUNTIF(M$2:M890,M890)))</f>
        <v>20572.99_1</v>
      </c>
      <c r="O890" s="17" t="str">
        <f t="shared" si="13"/>
        <v/>
      </c>
      <c r="P890" s="13" t="s">
        <v>3870</v>
      </c>
      <c r="Q890" s="13" t="s">
        <v>3857</v>
      </c>
      <c r="R890" s="13" t="s">
        <v>0</v>
      </c>
      <c r="S890" s="13" t="s">
        <v>0</v>
      </c>
      <c r="T890" s="13" t="s">
        <v>9</v>
      </c>
      <c r="U890" s="13" t="s">
        <v>0</v>
      </c>
      <c r="V890" s="13" t="s">
        <v>0</v>
      </c>
      <c r="W890" s="13" t="s">
        <v>0</v>
      </c>
      <c r="X890" s="13" t="s">
        <v>0</v>
      </c>
      <c r="Y890" s="13" t="s">
        <v>10</v>
      </c>
      <c r="Z890" s="13" t="s">
        <v>0</v>
      </c>
      <c r="AA890" s="14"/>
      <c r="AB890" s="13" t="s">
        <v>0</v>
      </c>
      <c r="AC890" s="13" t="s">
        <v>0</v>
      </c>
      <c r="AD890" s="13" t="s">
        <v>0</v>
      </c>
      <c r="AE890" s="15">
        <v>0</v>
      </c>
    </row>
    <row r="891" spans="1:31" ht="14.15" customHeight="1" x14ac:dyDescent="0.25">
      <c r="A891" s="12" t="s">
        <v>0</v>
      </c>
      <c r="B891" s="13" t="s">
        <v>1</v>
      </c>
      <c r="C891" s="13" t="s">
        <v>839</v>
      </c>
      <c r="D891" s="14">
        <v>44107</v>
      </c>
      <c r="E891" s="14">
        <v>44107</v>
      </c>
      <c r="F891" s="14">
        <v>44114</v>
      </c>
      <c r="G891" s="13" t="s">
        <v>3</v>
      </c>
      <c r="H891" s="13" t="s">
        <v>4</v>
      </c>
      <c r="I891" s="15">
        <v>-20540.650000000001</v>
      </c>
      <c r="J891" s="13" t="s">
        <v>5</v>
      </c>
      <c r="K891" s="13" t="s">
        <v>6</v>
      </c>
      <c r="L891" s="15">
        <v>-1724387.57</v>
      </c>
      <c r="M891" s="15">
        <v>-20540.650000000001</v>
      </c>
      <c r="N891" s="16" t="str">
        <f>IF(M891="","",IF(M891&lt;0,-M891&amp;"_"&amp;COUNTIF(M$2:M891,M891),M891&amp;"_"&amp;COUNTIF(M$2:M891,M891)))</f>
        <v>20540.65_1</v>
      </c>
      <c r="O891" s="17" t="str">
        <f t="shared" si="13"/>
        <v/>
      </c>
      <c r="P891" s="13" t="s">
        <v>840</v>
      </c>
      <c r="Q891" s="13" t="s">
        <v>841</v>
      </c>
      <c r="R891" s="13" t="s">
        <v>0</v>
      </c>
      <c r="S891" s="13" t="s">
        <v>0</v>
      </c>
      <c r="T891" s="13" t="s">
        <v>9</v>
      </c>
      <c r="U891" s="13" t="s">
        <v>0</v>
      </c>
      <c r="V891" s="13" t="s">
        <v>0</v>
      </c>
      <c r="W891" s="13" t="s">
        <v>0</v>
      </c>
      <c r="X891" s="13" t="s">
        <v>0</v>
      </c>
      <c r="Y891" s="13" t="s">
        <v>10</v>
      </c>
      <c r="Z891" s="13" t="s">
        <v>0</v>
      </c>
      <c r="AA891" s="14"/>
      <c r="AB891" s="13" t="s">
        <v>0</v>
      </c>
      <c r="AC891" s="13" t="s">
        <v>0</v>
      </c>
      <c r="AD891" s="13" t="s">
        <v>0</v>
      </c>
      <c r="AE891" s="15">
        <v>0</v>
      </c>
    </row>
    <row r="892" spans="1:31" ht="14.15" customHeight="1" x14ac:dyDescent="0.25">
      <c r="A892" s="12" t="s">
        <v>0</v>
      </c>
      <c r="B892" s="13" t="s">
        <v>1</v>
      </c>
      <c r="C892" s="13" t="s">
        <v>222</v>
      </c>
      <c r="D892" s="14">
        <v>44038</v>
      </c>
      <c r="E892" s="14">
        <v>44038</v>
      </c>
      <c r="F892" s="14">
        <v>44041</v>
      </c>
      <c r="G892" s="13" t="s">
        <v>3</v>
      </c>
      <c r="H892" s="13" t="s">
        <v>4</v>
      </c>
      <c r="I892" s="15">
        <v>-20520.46</v>
      </c>
      <c r="J892" s="13" t="s">
        <v>5</v>
      </c>
      <c r="K892" s="13" t="s">
        <v>6</v>
      </c>
      <c r="L892" s="15">
        <v>-1722692.62</v>
      </c>
      <c r="M892" s="15">
        <v>-20520.46</v>
      </c>
      <c r="N892" s="16" t="str">
        <f>IF(M892="","",IF(M892&lt;0,-M892&amp;"_"&amp;COUNTIF(M$2:M892,M892),M892&amp;"_"&amp;COUNTIF(M$2:M892,M892)))</f>
        <v>20520.46_1</v>
      </c>
      <c r="O892" s="17" t="str">
        <f t="shared" si="13"/>
        <v/>
      </c>
      <c r="P892" s="13" t="s">
        <v>223</v>
      </c>
      <c r="Q892" s="13" t="s">
        <v>215</v>
      </c>
      <c r="R892" s="13" t="s">
        <v>0</v>
      </c>
      <c r="S892" s="13" t="s">
        <v>0</v>
      </c>
      <c r="T892" s="13" t="s">
        <v>9</v>
      </c>
      <c r="U892" s="13" t="s">
        <v>0</v>
      </c>
      <c r="V892" s="13" t="s">
        <v>0</v>
      </c>
      <c r="W892" s="13" t="s">
        <v>0</v>
      </c>
      <c r="X892" s="13" t="s">
        <v>0</v>
      </c>
      <c r="Y892" s="13" t="s">
        <v>10</v>
      </c>
      <c r="Z892" s="13" t="s">
        <v>0</v>
      </c>
      <c r="AA892" s="14"/>
      <c r="AB892" s="13" t="s">
        <v>0</v>
      </c>
      <c r="AC892" s="13" t="s">
        <v>0</v>
      </c>
      <c r="AD892" s="13" t="s">
        <v>0</v>
      </c>
      <c r="AE892" s="15">
        <v>0</v>
      </c>
    </row>
    <row r="893" spans="1:31" ht="14.15" customHeight="1" x14ac:dyDescent="0.25">
      <c r="A893" s="12" t="s">
        <v>0</v>
      </c>
      <c r="B893" s="13" t="s">
        <v>1</v>
      </c>
      <c r="C893" s="13" t="s">
        <v>2603</v>
      </c>
      <c r="D893" s="14">
        <v>44243</v>
      </c>
      <c r="E893" s="14">
        <v>44243</v>
      </c>
      <c r="F893" s="14">
        <v>44252</v>
      </c>
      <c r="G893" s="13" t="s">
        <v>3</v>
      </c>
      <c r="H893" s="13" t="s">
        <v>4</v>
      </c>
      <c r="I893" s="15">
        <v>-20483.07</v>
      </c>
      <c r="J893" s="13" t="s">
        <v>5</v>
      </c>
      <c r="K893" s="13" t="s">
        <v>6</v>
      </c>
      <c r="L893" s="15">
        <v>-1719553.74</v>
      </c>
      <c r="M893" s="15">
        <v>-20483.07</v>
      </c>
      <c r="N893" s="16" t="str">
        <f>IF(M893="","",IF(M893&lt;0,-M893&amp;"_"&amp;COUNTIF(M$2:M893,M893),M893&amp;"_"&amp;COUNTIF(M$2:M893,M893)))</f>
        <v>20483.07_1</v>
      </c>
      <c r="O893" s="17" t="str">
        <f t="shared" si="13"/>
        <v/>
      </c>
      <c r="P893" s="13" t="s">
        <v>2604</v>
      </c>
      <c r="Q893" s="13" t="s">
        <v>2574</v>
      </c>
      <c r="R893" s="13" t="s">
        <v>0</v>
      </c>
      <c r="S893" s="13" t="s">
        <v>0</v>
      </c>
      <c r="T893" s="13" t="s">
        <v>9</v>
      </c>
      <c r="U893" s="13" t="s">
        <v>0</v>
      </c>
      <c r="V893" s="13" t="s">
        <v>0</v>
      </c>
      <c r="W893" s="13" t="s">
        <v>0</v>
      </c>
      <c r="X893" s="13" t="s">
        <v>0</v>
      </c>
      <c r="Y893" s="13" t="s">
        <v>10</v>
      </c>
      <c r="Z893" s="13" t="s">
        <v>0</v>
      </c>
      <c r="AA893" s="14"/>
      <c r="AB893" s="13" t="s">
        <v>0</v>
      </c>
      <c r="AC893" s="13" t="s">
        <v>0</v>
      </c>
      <c r="AD893" s="13" t="s">
        <v>0</v>
      </c>
      <c r="AE893" s="15">
        <v>0</v>
      </c>
    </row>
    <row r="894" spans="1:31" ht="14.15" customHeight="1" x14ac:dyDescent="0.25">
      <c r="A894" s="12" t="s">
        <v>0</v>
      </c>
      <c r="B894" s="13" t="s">
        <v>1</v>
      </c>
      <c r="C894" s="13" t="s">
        <v>2166</v>
      </c>
      <c r="D894" s="14">
        <v>44209</v>
      </c>
      <c r="E894" s="14">
        <v>44209</v>
      </c>
      <c r="F894" s="14">
        <v>44219</v>
      </c>
      <c r="G894" s="13" t="s">
        <v>3</v>
      </c>
      <c r="H894" s="13" t="s">
        <v>4</v>
      </c>
      <c r="I894" s="15">
        <v>-20475.86</v>
      </c>
      <c r="J894" s="13" t="s">
        <v>5</v>
      </c>
      <c r="K894" s="13" t="s">
        <v>6</v>
      </c>
      <c r="L894" s="15">
        <v>-1718948.45</v>
      </c>
      <c r="M894" s="15">
        <v>-20475.86</v>
      </c>
      <c r="N894" s="16" t="str">
        <f>IF(M894="","",IF(M894&lt;0,-M894&amp;"_"&amp;COUNTIF(M$2:M894,M894),M894&amp;"_"&amp;COUNTIF(M$2:M894,M894)))</f>
        <v>20475.86_1</v>
      </c>
      <c r="O894" s="17" t="str">
        <f t="shared" si="13"/>
        <v/>
      </c>
      <c r="P894" s="13" t="s">
        <v>2167</v>
      </c>
      <c r="Q894" s="13" t="s">
        <v>2159</v>
      </c>
      <c r="R894" s="13" t="s">
        <v>0</v>
      </c>
      <c r="S894" s="13" t="s">
        <v>0</v>
      </c>
      <c r="T894" s="13" t="s">
        <v>9</v>
      </c>
      <c r="U894" s="13" t="s">
        <v>0</v>
      </c>
      <c r="V894" s="13" t="s">
        <v>0</v>
      </c>
      <c r="W894" s="13" t="s">
        <v>0</v>
      </c>
      <c r="X894" s="13" t="s">
        <v>0</v>
      </c>
      <c r="Y894" s="13" t="s">
        <v>10</v>
      </c>
      <c r="Z894" s="13" t="s">
        <v>0</v>
      </c>
      <c r="AA894" s="14"/>
      <c r="AB894" s="13" t="s">
        <v>0</v>
      </c>
      <c r="AC894" s="13" t="s">
        <v>0</v>
      </c>
      <c r="AD894" s="13" t="s">
        <v>0</v>
      </c>
      <c r="AE894" s="15">
        <v>0</v>
      </c>
    </row>
    <row r="895" spans="1:31" ht="14.15" customHeight="1" x14ac:dyDescent="0.25">
      <c r="A895" s="12" t="s">
        <v>0</v>
      </c>
      <c r="B895" s="13" t="s">
        <v>1</v>
      </c>
      <c r="C895" s="13" t="s">
        <v>2773</v>
      </c>
      <c r="D895" s="14">
        <v>44262</v>
      </c>
      <c r="E895" s="14">
        <v>44262</v>
      </c>
      <c r="F895" s="14">
        <v>44266</v>
      </c>
      <c r="G895" s="13" t="s">
        <v>3</v>
      </c>
      <c r="H895" s="13" t="s">
        <v>4</v>
      </c>
      <c r="I895" s="15">
        <v>-20461.98</v>
      </c>
      <c r="J895" s="13" t="s">
        <v>5</v>
      </c>
      <c r="K895" s="13" t="s">
        <v>6</v>
      </c>
      <c r="L895" s="15">
        <v>-1717783.22</v>
      </c>
      <c r="M895" s="15">
        <v>-20461.98</v>
      </c>
      <c r="N895" s="16" t="str">
        <f>IF(M895="","",IF(M895&lt;0,-M895&amp;"_"&amp;COUNTIF(M$2:M895,M895),M895&amp;"_"&amp;COUNTIF(M$2:M895,M895)))</f>
        <v>20461.98_1</v>
      </c>
      <c r="O895" s="17" t="str">
        <f t="shared" si="13"/>
        <v/>
      </c>
      <c r="P895" s="13" t="s">
        <v>2774</v>
      </c>
      <c r="Q895" s="13" t="s">
        <v>2770</v>
      </c>
      <c r="R895" s="13" t="s">
        <v>0</v>
      </c>
      <c r="S895" s="13" t="s">
        <v>0</v>
      </c>
      <c r="T895" s="13" t="s">
        <v>9</v>
      </c>
      <c r="U895" s="13" t="s">
        <v>0</v>
      </c>
      <c r="V895" s="13" t="s">
        <v>0</v>
      </c>
      <c r="W895" s="13" t="s">
        <v>0</v>
      </c>
      <c r="X895" s="13" t="s">
        <v>0</v>
      </c>
      <c r="Y895" s="13" t="s">
        <v>10</v>
      </c>
      <c r="Z895" s="13" t="s">
        <v>0</v>
      </c>
      <c r="AA895" s="14"/>
      <c r="AB895" s="13" t="s">
        <v>0</v>
      </c>
      <c r="AC895" s="13" t="s">
        <v>0</v>
      </c>
      <c r="AD895" s="13" t="s">
        <v>0</v>
      </c>
      <c r="AE895" s="15">
        <v>0</v>
      </c>
    </row>
    <row r="896" spans="1:31" ht="14.15" customHeight="1" x14ac:dyDescent="0.25">
      <c r="A896" s="12" t="s">
        <v>0</v>
      </c>
      <c r="B896" s="13" t="s">
        <v>1</v>
      </c>
      <c r="C896" s="13" t="s">
        <v>724</v>
      </c>
      <c r="D896" s="14">
        <v>44095</v>
      </c>
      <c r="E896" s="14">
        <v>44095</v>
      </c>
      <c r="F896" s="14">
        <v>44098</v>
      </c>
      <c r="G896" s="13" t="s">
        <v>3</v>
      </c>
      <c r="H896" s="13" t="s">
        <v>4</v>
      </c>
      <c r="I896" s="15">
        <v>-20457.28</v>
      </c>
      <c r="J896" s="13" t="s">
        <v>5</v>
      </c>
      <c r="K896" s="13" t="s">
        <v>6</v>
      </c>
      <c r="L896" s="15">
        <v>-1717388.66</v>
      </c>
      <c r="M896" s="15">
        <v>-20457.28</v>
      </c>
      <c r="N896" s="16" t="str">
        <f>IF(M896="","",IF(M896&lt;0,-M896&amp;"_"&amp;COUNTIF(M$2:M896,M896),M896&amp;"_"&amp;COUNTIF(M$2:M896,M896)))</f>
        <v>20457.28_1</v>
      </c>
      <c r="O896" s="17" t="str">
        <f t="shared" si="13"/>
        <v/>
      </c>
      <c r="P896" s="13" t="s">
        <v>725</v>
      </c>
      <c r="Q896" s="13" t="s">
        <v>726</v>
      </c>
      <c r="R896" s="13" t="s">
        <v>0</v>
      </c>
      <c r="S896" s="13" t="s">
        <v>0</v>
      </c>
      <c r="T896" s="13" t="s">
        <v>9</v>
      </c>
      <c r="U896" s="13" t="s">
        <v>0</v>
      </c>
      <c r="V896" s="13" t="s">
        <v>0</v>
      </c>
      <c r="W896" s="13" t="s">
        <v>0</v>
      </c>
      <c r="X896" s="13" t="s">
        <v>0</v>
      </c>
      <c r="Y896" s="13" t="s">
        <v>10</v>
      </c>
      <c r="Z896" s="13" t="s">
        <v>0</v>
      </c>
      <c r="AA896" s="14"/>
      <c r="AB896" s="13" t="s">
        <v>0</v>
      </c>
      <c r="AC896" s="13" t="s">
        <v>0</v>
      </c>
      <c r="AD896" s="13" t="s">
        <v>0</v>
      </c>
      <c r="AE896" s="15">
        <v>0</v>
      </c>
    </row>
    <row r="897" spans="1:31" ht="14.15" customHeight="1" x14ac:dyDescent="0.25">
      <c r="A897" s="12" t="s">
        <v>0</v>
      </c>
      <c r="B897" s="13" t="s">
        <v>1</v>
      </c>
      <c r="C897" s="13" t="s">
        <v>2747</v>
      </c>
      <c r="D897" s="14">
        <v>44260</v>
      </c>
      <c r="E897" s="14">
        <v>44260</v>
      </c>
      <c r="F897" s="14">
        <v>44265</v>
      </c>
      <c r="G897" s="13" t="s">
        <v>3</v>
      </c>
      <c r="H897" s="13" t="s">
        <v>4</v>
      </c>
      <c r="I897" s="15">
        <v>-20448.38</v>
      </c>
      <c r="J897" s="13" t="s">
        <v>5</v>
      </c>
      <c r="K897" s="13" t="s">
        <v>6</v>
      </c>
      <c r="L897" s="15">
        <v>-1716641.5</v>
      </c>
      <c r="M897" s="15">
        <v>-20448.38</v>
      </c>
      <c r="N897" s="16" t="str">
        <f>IF(M897="","",IF(M897&lt;0,-M897&amp;"_"&amp;COUNTIF(M$2:M897,M897),M897&amp;"_"&amp;COUNTIF(M$2:M897,M897)))</f>
        <v>20448.38_1</v>
      </c>
      <c r="O897" s="17" t="str">
        <f t="shared" si="13"/>
        <v/>
      </c>
      <c r="P897" s="13" t="s">
        <v>2748</v>
      </c>
      <c r="Q897" s="13" t="s">
        <v>2746</v>
      </c>
      <c r="R897" s="13" t="s">
        <v>0</v>
      </c>
      <c r="S897" s="13" t="s">
        <v>0</v>
      </c>
      <c r="T897" s="13" t="s">
        <v>9</v>
      </c>
      <c r="U897" s="13" t="s">
        <v>0</v>
      </c>
      <c r="V897" s="13" t="s">
        <v>0</v>
      </c>
      <c r="W897" s="13" t="s">
        <v>0</v>
      </c>
      <c r="X897" s="13" t="s">
        <v>0</v>
      </c>
      <c r="Y897" s="13" t="s">
        <v>10</v>
      </c>
      <c r="Z897" s="13" t="s">
        <v>0</v>
      </c>
      <c r="AA897" s="14"/>
      <c r="AB897" s="13" t="s">
        <v>0</v>
      </c>
      <c r="AC897" s="13" t="s">
        <v>0</v>
      </c>
      <c r="AD897" s="13" t="s">
        <v>0</v>
      </c>
      <c r="AE897" s="15">
        <v>0</v>
      </c>
    </row>
    <row r="898" spans="1:31" ht="14.15" customHeight="1" x14ac:dyDescent="0.25">
      <c r="A898" s="12" t="s">
        <v>0</v>
      </c>
      <c r="B898" s="13" t="s">
        <v>1</v>
      </c>
      <c r="C898" s="13" t="s">
        <v>3927</v>
      </c>
      <c r="D898" s="14">
        <v>44354</v>
      </c>
      <c r="E898" s="14">
        <v>44354</v>
      </c>
      <c r="F898" s="14">
        <v>44357</v>
      </c>
      <c r="G898" s="13" t="s">
        <v>3</v>
      </c>
      <c r="H898" s="13" t="s">
        <v>4</v>
      </c>
      <c r="I898" s="15">
        <v>-20437.54</v>
      </c>
      <c r="J898" s="13" t="s">
        <v>5</v>
      </c>
      <c r="K898" s="13" t="s">
        <v>6</v>
      </c>
      <c r="L898" s="15">
        <v>-1715731.48</v>
      </c>
      <c r="M898" s="15">
        <v>-20437.54</v>
      </c>
      <c r="N898" s="16" t="str">
        <f>IF(M898="","",IF(M898&lt;0,-M898&amp;"_"&amp;COUNTIF(M$2:M898,M898),M898&amp;"_"&amp;COUNTIF(M$2:M898,M898)))</f>
        <v>20437.54_1</v>
      </c>
      <c r="O898" s="17" t="str">
        <f t="shared" ref="O898:O961" si="14">IF(COUNTIF(N:N,N898)=2,"x","")</f>
        <v/>
      </c>
      <c r="P898" s="13" t="s">
        <v>3928</v>
      </c>
      <c r="Q898" s="13" t="s">
        <v>3914</v>
      </c>
      <c r="R898" s="13" t="s">
        <v>0</v>
      </c>
      <c r="S898" s="13" t="s">
        <v>0</v>
      </c>
      <c r="T898" s="13" t="s">
        <v>9</v>
      </c>
      <c r="U898" s="13" t="s">
        <v>0</v>
      </c>
      <c r="V898" s="13" t="s">
        <v>0</v>
      </c>
      <c r="W898" s="13" t="s">
        <v>0</v>
      </c>
      <c r="X898" s="13" t="s">
        <v>0</v>
      </c>
      <c r="Y898" s="13" t="s">
        <v>10</v>
      </c>
      <c r="Z898" s="13" t="s">
        <v>0</v>
      </c>
      <c r="AA898" s="14"/>
      <c r="AB898" s="13" t="s">
        <v>0</v>
      </c>
      <c r="AC898" s="13" t="s">
        <v>0</v>
      </c>
      <c r="AD898" s="13" t="s">
        <v>0</v>
      </c>
      <c r="AE898" s="15">
        <v>0</v>
      </c>
    </row>
    <row r="899" spans="1:31" ht="14.15" customHeight="1" x14ac:dyDescent="0.25">
      <c r="A899" s="12" t="s">
        <v>0</v>
      </c>
      <c r="B899" s="13" t="s">
        <v>1</v>
      </c>
      <c r="C899" s="13" t="s">
        <v>1388</v>
      </c>
      <c r="D899" s="14">
        <v>44153</v>
      </c>
      <c r="E899" s="14">
        <v>44153</v>
      </c>
      <c r="F899" s="14">
        <v>44159</v>
      </c>
      <c r="G899" s="13" t="s">
        <v>3</v>
      </c>
      <c r="H899" s="13" t="s">
        <v>4</v>
      </c>
      <c r="I899" s="15">
        <v>-20435.23</v>
      </c>
      <c r="J899" s="13" t="s">
        <v>5</v>
      </c>
      <c r="K899" s="13" t="s">
        <v>6</v>
      </c>
      <c r="L899" s="15">
        <v>-1715537.56</v>
      </c>
      <c r="M899" s="15">
        <v>-20435.23</v>
      </c>
      <c r="N899" s="16" t="str">
        <f>IF(M899="","",IF(M899&lt;0,-M899&amp;"_"&amp;COUNTIF(M$2:M899,M899),M899&amp;"_"&amp;COUNTIF(M$2:M899,M899)))</f>
        <v>20435.23_1</v>
      </c>
      <c r="O899" s="17" t="str">
        <f t="shared" si="14"/>
        <v/>
      </c>
      <c r="P899" s="13" t="s">
        <v>1389</v>
      </c>
      <c r="Q899" s="13" t="s">
        <v>1381</v>
      </c>
      <c r="R899" s="13" t="s">
        <v>0</v>
      </c>
      <c r="S899" s="13" t="s">
        <v>0</v>
      </c>
      <c r="T899" s="13" t="s">
        <v>9</v>
      </c>
      <c r="U899" s="13" t="s">
        <v>0</v>
      </c>
      <c r="V899" s="13" t="s">
        <v>0</v>
      </c>
      <c r="W899" s="13" t="s">
        <v>0</v>
      </c>
      <c r="X899" s="13" t="s">
        <v>0</v>
      </c>
      <c r="Y899" s="13" t="s">
        <v>10</v>
      </c>
      <c r="Z899" s="13" t="s">
        <v>0</v>
      </c>
      <c r="AA899" s="14"/>
      <c r="AB899" s="13" t="s">
        <v>0</v>
      </c>
      <c r="AC899" s="13" t="s">
        <v>0</v>
      </c>
      <c r="AD899" s="13" t="s">
        <v>0</v>
      </c>
      <c r="AE899" s="15">
        <v>0</v>
      </c>
    </row>
    <row r="900" spans="1:31" ht="14.15" customHeight="1" x14ac:dyDescent="0.25">
      <c r="A900" s="12" t="s">
        <v>0</v>
      </c>
      <c r="B900" s="13" t="s">
        <v>1</v>
      </c>
      <c r="C900" s="13" t="s">
        <v>542</v>
      </c>
      <c r="D900" s="14">
        <v>44074</v>
      </c>
      <c r="E900" s="14">
        <v>44074</v>
      </c>
      <c r="F900" s="14">
        <v>44077</v>
      </c>
      <c r="G900" s="13" t="s">
        <v>3</v>
      </c>
      <c r="H900" s="13" t="s">
        <v>4</v>
      </c>
      <c r="I900" s="15">
        <v>-20418.54</v>
      </c>
      <c r="J900" s="13" t="s">
        <v>5</v>
      </c>
      <c r="K900" s="13" t="s">
        <v>6</v>
      </c>
      <c r="L900" s="15">
        <v>-1714136.43</v>
      </c>
      <c r="M900" s="15">
        <v>-20418.54</v>
      </c>
      <c r="N900" s="16" t="str">
        <f>IF(M900="","",IF(M900&lt;0,-M900&amp;"_"&amp;COUNTIF(M$2:M900,M900),M900&amp;"_"&amp;COUNTIF(M$2:M900,M900)))</f>
        <v>20418.54_1</v>
      </c>
      <c r="O900" s="17" t="str">
        <f t="shared" si="14"/>
        <v/>
      </c>
      <c r="P900" s="13" t="s">
        <v>543</v>
      </c>
      <c r="Q900" s="13" t="s">
        <v>539</v>
      </c>
      <c r="R900" s="13" t="s">
        <v>0</v>
      </c>
      <c r="S900" s="13" t="s">
        <v>0</v>
      </c>
      <c r="T900" s="13" t="s">
        <v>9</v>
      </c>
      <c r="U900" s="13" t="s">
        <v>0</v>
      </c>
      <c r="V900" s="13" t="s">
        <v>0</v>
      </c>
      <c r="W900" s="13" t="s">
        <v>0</v>
      </c>
      <c r="X900" s="13" t="s">
        <v>0</v>
      </c>
      <c r="Y900" s="13" t="s">
        <v>10</v>
      </c>
      <c r="Z900" s="13" t="s">
        <v>0</v>
      </c>
      <c r="AA900" s="14"/>
      <c r="AB900" s="13" t="s">
        <v>0</v>
      </c>
      <c r="AC900" s="13" t="s">
        <v>0</v>
      </c>
      <c r="AD900" s="13" t="s">
        <v>0</v>
      </c>
      <c r="AE900" s="15">
        <v>0</v>
      </c>
    </row>
    <row r="901" spans="1:31" ht="14.15" customHeight="1" x14ac:dyDescent="0.25">
      <c r="A901" s="12" t="s">
        <v>0</v>
      </c>
      <c r="B901" s="13" t="s">
        <v>1</v>
      </c>
      <c r="C901" s="13" t="s">
        <v>3608</v>
      </c>
      <c r="D901" s="14">
        <v>44329</v>
      </c>
      <c r="E901" s="14">
        <v>44329</v>
      </c>
      <c r="F901" s="14">
        <v>44336</v>
      </c>
      <c r="G901" s="13" t="s">
        <v>3</v>
      </c>
      <c r="H901" s="13" t="s">
        <v>4</v>
      </c>
      <c r="I901" s="15">
        <v>-20316.41</v>
      </c>
      <c r="J901" s="13" t="s">
        <v>5</v>
      </c>
      <c r="K901" s="13" t="s">
        <v>6</v>
      </c>
      <c r="L901" s="15">
        <v>-1705562.62</v>
      </c>
      <c r="M901" s="15">
        <v>-20316.41</v>
      </c>
      <c r="N901" s="16" t="str">
        <f>IF(M901="","",IF(M901&lt;0,-M901&amp;"_"&amp;COUNTIF(M$2:M901,M901),M901&amp;"_"&amp;COUNTIF(M$2:M901,M901)))</f>
        <v>20316.41_1</v>
      </c>
      <c r="O901" s="17" t="str">
        <f t="shared" si="14"/>
        <v/>
      </c>
      <c r="P901" s="13" t="s">
        <v>3609</v>
      </c>
      <c r="Q901" s="13" t="s">
        <v>3603</v>
      </c>
      <c r="R901" s="13" t="s">
        <v>0</v>
      </c>
      <c r="S901" s="13" t="s">
        <v>0</v>
      </c>
      <c r="T901" s="13" t="s">
        <v>9</v>
      </c>
      <c r="U901" s="13" t="s">
        <v>0</v>
      </c>
      <c r="V901" s="13" t="s">
        <v>0</v>
      </c>
      <c r="W901" s="13" t="s">
        <v>0</v>
      </c>
      <c r="X901" s="13" t="s">
        <v>0</v>
      </c>
      <c r="Y901" s="13" t="s">
        <v>10</v>
      </c>
      <c r="Z901" s="13" t="s">
        <v>0</v>
      </c>
      <c r="AA901" s="14"/>
      <c r="AB901" s="13" t="s">
        <v>0</v>
      </c>
      <c r="AC901" s="13" t="s">
        <v>0</v>
      </c>
      <c r="AD901" s="13" t="s">
        <v>0</v>
      </c>
      <c r="AE901" s="15">
        <v>0</v>
      </c>
    </row>
    <row r="902" spans="1:31" ht="14.15" customHeight="1" x14ac:dyDescent="0.25">
      <c r="A902" s="12" t="s">
        <v>0</v>
      </c>
      <c r="B902" s="13" t="s">
        <v>1</v>
      </c>
      <c r="C902" s="13" t="s">
        <v>2761</v>
      </c>
      <c r="D902" s="14">
        <v>44261</v>
      </c>
      <c r="E902" s="14">
        <v>44261</v>
      </c>
      <c r="F902" s="14">
        <v>44265</v>
      </c>
      <c r="G902" s="13" t="s">
        <v>3</v>
      </c>
      <c r="H902" s="13" t="s">
        <v>4</v>
      </c>
      <c r="I902" s="15">
        <v>-20315.02</v>
      </c>
      <c r="J902" s="13" t="s">
        <v>5</v>
      </c>
      <c r="K902" s="13" t="s">
        <v>6</v>
      </c>
      <c r="L902" s="15">
        <v>-1705445.93</v>
      </c>
      <c r="M902" s="15">
        <v>-20315.02</v>
      </c>
      <c r="N902" s="16" t="str">
        <f>IF(M902="","",IF(M902&lt;0,-M902&amp;"_"&amp;COUNTIF(M$2:M902,M902),M902&amp;"_"&amp;COUNTIF(M$2:M902,M902)))</f>
        <v>20315.02_1</v>
      </c>
      <c r="O902" s="17" t="str">
        <f t="shared" si="14"/>
        <v/>
      </c>
      <c r="P902" s="13" t="s">
        <v>2762</v>
      </c>
      <c r="Q902" s="13" t="s">
        <v>2763</v>
      </c>
      <c r="R902" s="13" t="s">
        <v>0</v>
      </c>
      <c r="S902" s="13" t="s">
        <v>0</v>
      </c>
      <c r="T902" s="13" t="s">
        <v>9</v>
      </c>
      <c r="U902" s="13" t="s">
        <v>0</v>
      </c>
      <c r="V902" s="13" t="s">
        <v>0</v>
      </c>
      <c r="W902" s="13" t="s">
        <v>0</v>
      </c>
      <c r="X902" s="13" t="s">
        <v>0</v>
      </c>
      <c r="Y902" s="13" t="s">
        <v>10</v>
      </c>
      <c r="Z902" s="13" t="s">
        <v>0</v>
      </c>
      <c r="AA902" s="14"/>
      <c r="AB902" s="13" t="s">
        <v>0</v>
      </c>
      <c r="AC902" s="13" t="s">
        <v>0</v>
      </c>
      <c r="AD902" s="13" t="s">
        <v>0</v>
      </c>
      <c r="AE902" s="15">
        <v>0</v>
      </c>
    </row>
    <row r="903" spans="1:31" ht="14.15" customHeight="1" x14ac:dyDescent="0.25">
      <c r="A903" s="12" t="s">
        <v>0</v>
      </c>
      <c r="B903" s="13" t="s">
        <v>1</v>
      </c>
      <c r="C903" s="13" t="s">
        <v>3860</v>
      </c>
      <c r="D903" s="14">
        <v>44351</v>
      </c>
      <c r="E903" s="14">
        <v>44351</v>
      </c>
      <c r="F903" s="14">
        <v>44357</v>
      </c>
      <c r="G903" s="13" t="s">
        <v>3</v>
      </c>
      <c r="H903" s="13" t="s">
        <v>4</v>
      </c>
      <c r="I903" s="15">
        <v>-20309.88</v>
      </c>
      <c r="J903" s="13" t="s">
        <v>5</v>
      </c>
      <c r="K903" s="13" t="s">
        <v>6</v>
      </c>
      <c r="L903" s="15">
        <v>-1705014.42</v>
      </c>
      <c r="M903" s="15">
        <v>-20309.88</v>
      </c>
      <c r="N903" s="16" t="str">
        <f>IF(M903="","",IF(M903&lt;0,-M903&amp;"_"&amp;COUNTIF(M$2:M903,M903),M903&amp;"_"&amp;COUNTIF(M$2:M903,M903)))</f>
        <v>20309.88_1</v>
      </c>
      <c r="O903" s="17" t="str">
        <f t="shared" si="14"/>
        <v/>
      </c>
      <c r="P903" s="13" t="s">
        <v>3861</v>
      </c>
      <c r="Q903" s="13" t="s">
        <v>3857</v>
      </c>
      <c r="R903" s="13" t="s">
        <v>0</v>
      </c>
      <c r="S903" s="13" t="s">
        <v>0</v>
      </c>
      <c r="T903" s="13" t="s">
        <v>9</v>
      </c>
      <c r="U903" s="13" t="s">
        <v>0</v>
      </c>
      <c r="V903" s="13" t="s">
        <v>0</v>
      </c>
      <c r="W903" s="13" t="s">
        <v>0</v>
      </c>
      <c r="X903" s="13" t="s">
        <v>0</v>
      </c>
      <c r="Y903" s="13" t="s">
        <v>10</v>
      </c>
      <c r="Z903" s="13" t="s">
        <v>0</v>
      </c>
      <c r="AA903" s="14"/>
      <c r="AB903" s="13" t="s">
        <v>0</v>
      </c>
      <c r="AC903" s="13" t="s">
        <v>0</v>
      </c>
      <c r="AD903" s="13" t="s">
        <v>0</v>
      </c>
      <c r="AE903" s="15">
        <v>0</v>
      </c>
    </row>
    <row r="904" spans="1:31" ht="14.15" customHeight="1" x14ac:dyDescent="0.25">
      <c r="A904" s="12" t="s">
        <v>0</v>
      </c>
      <c r="B904" s="13" t="s">
        <v>1</v>
      </c>
      <c r="C904" s="13" t="s">
        <v>4308</v>
      </c>
      <c r="D904" s="14">
        <v>44371</v>
      </c>
      <c r="E904" s="14">
        <v>44371</v>
      </c>
      <c r="F904" s="14">
        <v>44377</v>
      </c>
      <c r="G904" s="13" t="s">
        <v>3</v>
      </c>
      <c r="H904" s="13" t="s">
        <v>4</v>
      </c>
      <c r="I904" s="15">
        <v>-20308.16</v>
      </c>
      <c r="J904" s="13" t="s">
        <v>5</v>
      </c>
      <c r="K904" s="13" t="s">
        <v>6</v>
      </c>
      <c r="L904" s="15">
        <v>-1704870.03</v>
      </c>
      <c r="M904" s="15">
        <v>-20308.16</v>
      </c>
      <c r="N904" s="16" t="str">
        <f>IF(M904="","",IF(M904&lt;0,-M904&amp;"_"&amp;COUNTIF(M$2:M904,M904),M904&amp;"_"&amp;COUNTIF(M$2:M904,M904)))</f>
        <v>20308.16_1</v>
      </c>
      <c r="O904" s="17" t="str">
        <f t="shared" si="14"/>
        <v/>
      </c>
      <c r="P904" s="13" t="s">
        <v>4309</v>
      </c>
      <c r="Q904" s="13" t="s">
        <v>4307</v>
      </c>
      <c r="R904" s="13" t="s">
        <v>0</v>
      </c>
      <c r="S904" s="13" t="s">
        <v>0</v>
      </c>
      <c r="T904" s="13" t="s">
        <v>9</v>
      </c>
      <c r="U904" s="13" t="s">
        <v>0</v>
      </c>
      <c r="V904" s="13" t="s">
        <v>0</v>
      </c>
      <c r="W904" s="13" t="s">
        <v>0</v>
      </c>
      <c r="X904" s="13" t="s">
        <v>0</v>
      </c>
      <c r="Y904" s="13" t="s">
        <v>10</v>
      </c>
      <c r="Z904" s="13" t="s">
        <v>0</v>
      </c>
      <c r="AA904" s="14"/>
      <c r="AB904" s="13" t="s">
        <v>0</v>
      </c>
      <c r="AC904" s="13" t="s">
        <v>0</v>
      </c>
      <c r="AD904" s="13" t="s">
        <v>0</v>
      </c>
      <c r="AE904" s="15">
        <v>0</v>
      </c>
    </row>
    <row r="905" spans="1:31" ht="14.15" customHeight="1" x14ac:dyDescent="0.25">
      <c r="A905" s="12" t="s">
        <v>0</v>
      </c>
      <c r="B905" s="13" t="s">
        <v>1</v>
      </c>
      <c r="C905" s="13" t="s">
        <v>1732</v>
      </c>
      <c r="D905" s="14">
        <v>44177</v>
      </c>
      <c r="E905" s="14">
        <v>44177</v>
      </c>
      <c r="F905" s="14">
        <v>44185</v>
      </c>
      <c r="G905" s="13" t="s">
        <v>3</v>
      </c>
      <c r="H905" s="13" t="s">
        <v>4</v>
      </c>
      <c r="I905" s="15">
        <v>-20307.080000000002</v>
      </c>
      <c r="J905" s="13" t="s">
        <v>5</v>
      </c>
      <c r="K905" s="13" t="s">
        <v>6</v>
      </c>
      <c r="L905" s="15">
        <v>-1704779.37</v>
      </c>
      <c r="M905" s="15">
        <v>-20307.080000000002</v>
      </c>
      <c r="N905" s="16" t="str">
        <f>IF(M905="","",IF(M905&lt;0,-M905&amp;"_"&amp;COUNTIF(M$2:M905,M905),M905&amp;"_"&amp;COUNTIF(M$2:M905,M905)))</f>
        <v>20307.08_1</v>
      </c>
      <c r="O905" s="17" t="str">
        <f t="shared" si="14"/>
        <v/>
      </c>
      <c r="P905" s="13" t="s">
        <v>1733</v>
      </c>
      <c r="Q905" s="13" t="s">
        <v>1729</v>
      </c>
      <c r="R905" s="13" t="s">
        <v>0</v>
      </c>
      <c r="S905" s="13" t="s">
        <v>0</v>
      </c>
      <c r="T905" s="13" t="s">
        <v>9</v>
      </c>
      <c r="U905" s="13" t="s">
        <v>0</v>
      </c>
      <c r="V905" s="13" t="s">
        <v>0</v>
      </c>
      <c r="W905" s="13" t="s">
        <v>0</v>
      </c>
      <c r="X905" s="13" t="s">
        <v>0</v>
      </c>
      <c r="Y905" s="13" t="s">
        <v>10</v>
      </c>
      <c r="Z905" s="13" t="s">
        <v>0</v>
      </c>
      <c r="AA905" s="14"/>
      <c r="AB905" s="13" t="s">
        <v>0</v>
      </c>
      <c r="AC905" s="13" t="s">
        <v>0</v>
      </c>
      <c r="AD905" s="13" t="s">
        <v>0</v>
      </c>
      <c r="AE905" s="15">
        <v>0</v>
      </c>
    </row>
    <row r="906" spans="1:31" ht="14.15" customHeight="1" x14ac:dyDescent="0.25">
      <c r="A906" s="12" t="s">
        <v>0</v>
      </c>
      <c r="B906" s="13" t="s">
        <v>1</v>
      </c>
      <c r="C906" s="13" t="s">
        <v>1468</v>
      </c>
      <c r="D906" s="14">
        <v>44160</v>
      </c>
      <c r="E906" s="14">
        <v>44160</v>
      </c>
      <c r="F906" s="14">
        <v>44163</v>
      </c>
      <c r="G906" s="13" t="s">
        <v>3</v>
      </c>
      <c r="H906" s="13" t="s">
        <v>4</v>
      </c>
      <c r="I906" s="15">
        <v>-20300.09</v>
      </c>
      <c r="J906" s="13" t="s">
        <v>5</v>
      </c>
      <c r="K906" s="13" t="s">
        <v>6</v>
      </c>
      <c r="L906" s="15">
        <v>-1704192.56</v>
      </c>
      <c r="M906" s="15">
        <v>-20300.09</v>
      </c>
      <c r="N906" s="16" t="str">
        <f>IF(M906="","",IF(M906&lt;0,-M906&amp;"_"&amp;COUNTIF(M$2:M906,M906),M906&amp;"_"&amp;COUNTIF(M$2:M906,M906)))</f>
        <v>20300.09_1</v>
      </c>
      <c r="O906" s="17" t="str">
        <f t="shared" si="14"/>
        <v/>
      </c>
      <c r="P906" s="13" t="s">
        <v>1469</v>
      </c>
      <c r="Q906" s="13" t="s">
        <v>1470</v>
      </c>
      <c r="R906" s="13" t="s">
        <v>0</v>
      </c>
      <c r="S906" s="13" t="s">
        <v>0</v>
      </c>
      <c r="T906" s="13" t="s">
        <v>9</v>
      </c>
      <c r="U906" s="13" t="s">
        <v>0</v>
      </c>
      <c r="V906" s="13" t="s">
        <v>0</v>
      </c>
      <c r="W906" s="13" t="s">
        <v>0</v>
      </c>
      <c r="X906" s="13" t="s">
        <v>0</v>
      </c>
      <c r="Y906" s="13" t="s">
        <v>10</v>
      </c>
      <c r="Z906" s="13" t="s">
        <v>0</v>
      </c>
      <c r="AA906" s="14"/>
      <c r="AB906" s="13" t="s">
        <v>0</v>
      </c>
      <c r="AC906" s="13" t="s">
        <v>0</v>
      </c>
      <c r="AD906" s="13" t="s">
        <v>0</v>
      </c>
      <c r="AE906" s="15">
        <v>0</v>
      </c>
    </row>
    <row r="907" spans="1:31" ht="14.15" customHeight="1" x14ac:dyDescent="0.25">
      <c r="A907" s="12" t="s">
        <v>0</v>
      </c>
      <c r="B907" s="13" t="s">
        <v>1</v>
      </c>
      <c r="C907" s="13" t="s">
        <v>4078</v>
      </c>
      <c r="D907" s="14">
        <v>44361</v>
      </c>
      <c r="E907" s="14">
        <v>44361</v>
      </c>
      <c r="F907" s="14">
        <v>44364</v>
      </c>
      <c r="G907" s="13" t="s">
        <v>3</v>
      </c>
      <c r="H907" s="13" t="s">
        <v>4</v>
      </c>
      <c r="I907" s="15">
        <v>-20293.259999999998</v>
      </c>
      <c r="J907" s="13" t="s">
        <v>5</v>
      </c>
      <c r="K907" s="13" t="s">
        <v>6</v>
      </c>
      <c r="L907" s="15">
        <v>-1703619.18</v>
      </c>
      <c r="M907" s="15">
        <v>-20293.259999999998</v>
      </c>
      <c r="N907" s="16" t="str">
        <f>IF(M907="","",IF(M907&lt;0,-M907&amp;"_"&amp;COUNTIF(M$2:M907,M907),M907&amp;"_"&amp;COUNTIF(M$2:M907,M907)))</f>
        <v>20293.26_1</v>
      </c>
      <c r="O907" s="17" t="str">
        <f t="shared" si="14"/>
        <v/>
      </c>
      <c r="P907" s="13" t="s">
        <v>4079</v>
      </c>
      <c r="Q907" s="13" t="s">
        <v>4075</v>
      </c>
      <c r="R907" s="13" t="s">
        <v>0</v>
      </c>
      <c r="S907" s="13" t="s">
        <v>0</v>
      </c>
      <c r="T907" s="13" t="s">
        <v>9</v>
      </c>
      <c r="U907" s="13" t="s">
        <v>0</v>
      </c>
      <c r="V907" s="13" t="s">
        <v>0</v>
      </c>
      <c r="W907" s="13" t="s">
        <v>0</v>
      </c>
      <c r="X907" s="13" t="s">
        <v>0</v>
      </c>
      <c r="Y907" s="13" t="s">
        <v>10</v>
      </c>
      <c r="Z907" s="13" t="s">
        <v>0</v>
      </c>
      <c r="AA907" s="14"/>
      <c r="AB907" s="13" t="s">
        <v>0</v>
      </c>
      <c r="AC907" s="13" t="s">
        <v>0</v>
      </c>
      <c r="AD907" s="13" t="s">
        <v>0</v>
      </c>
      <c r="AE907" s="15">
        <v>0</v>
      </c>
    </row>
    <row r="908" spans="1:31" ht="14.15" customHeight="1" x14ac:dyDescent="0.25">
      <c r="A908" s="12" t="s">
        <v>0</v>
      </c>
      <c r="B908" s="13" t="s">
        <v>1</v>
      </c>
      <c r="C908" s="13" t="s">
        <v>3731</v>
      </c>
      <c r="D908" s="14">
        <v>44337</v>
      </c>
      <c r="E908" s="14">
        <v>44337</v>
      </c>
      <c r="F908" s="14">
        <v>44355</v>
      </c>
      <c r="G908" s="13" t="s">
        <v>3</v>
      </c>
      <c r="H908" s="13" t="s">
        <v>4</v>
      </c>
      <c r="I908" s="15">
        <v>-20269.84</v>
      </c>
      <c r="J908" s="13" t="s">
        <v>5</v>
      </c>
      <c r="K908" s="13" t="s">
        <v>6</v>
      </c>
      <c r="L908" s="15">
        <v>-1701653.07</v>
      </c>
      <c r="M908" s="15">
        <v>-20269.84</v>
      </c>
      <c r="N908" s="16" t="str">
        <f>IF(M908="","",IF(M908&lt;0,-M908&amp;"_"&amp;COUNTIF(M$2:M908,M908),M908&amp;"_"&amp;COUNTIF(M$2:M908,M908)))</f>
        <v>20269.84_1</v>
      </c>
      <c r="O908" s="17" t="str">
        <f t="shared" si="14"/>
        <v/>
      </c>
      <c r="P908" s="13" t="s">
        <v>3732</v>
      </c>
      <c r="Q908" s="13" t="s">
        <v>3726</v>
      </c>
      <c r="R908" s="13" t="s">
        <v>0</v>
      </c>
      <c r="S908" s="13" t="s">
        <v>0</v>
      </c>
      <c r="T908" s="13" t="s">
        <v>9</v>
      </c>
      <c r="U908" s="13" t="s">
        <v>0</v>
      </c>
      <c r="V908" s="13" t="s">
        <v>0</v>
      </c>
      <c r="W908" s="13" t="s">
        <v>0</v>
      </c>
      <c r="X908" s="13" t="s">
        <v>0</v>
      </c>
      <c r="Y908" s="13" t="s">
        <v>10</v>
      </c>
      <c r="Z908" s="13" t="s">
        <v>0</v>
      </c>
      <c r="AA908" s="14"/>
      <c r="AB908" s="13" t="s">
        <v>0</v>
      </c>
      <c r="AC908" s="13" t="s">
        <v>0</v>
      </c>
      <c r="AD908" s="13" t="s">
        <v>0</v>
      </c>
      <c r="AE908" s="15">
        <v>0</v>
      </c>
    </row>
    <row r="909" spans="1:31" ht="14.15" customHeight="1" x14ac:dyDescent="0.25">
      <c r="A909" s="12" t="s">
        <v>0</v>
      </c>
      <c r="B909" s="13" t="s">
        <v>1</v>
      </c>
      <c r="C909" s="13" t="s">
        <v>1377</v>
      </c>
      <c r="D909" s="14">
        <v>44152</v>
      </c>
      <c r="E909" s="14">
        <v>44152</v>
      </c>
      <c r="F909" s="14">
        <v>44159</v>
      </c>
      <c r="G909" s="13" t="s">
        <v>3</v>
      </c>
      <c r="H909" s="13" t="s">
        <v>4</v>
      </c>
      <c r="I909" s="15">
        <v>-20245.310000000001</v>
      </c>
      <c r="J909" s="13" t="s">
        <v>5</v>
      </c>
      <c r="K909" s="13" t="s">
        <v>6</v>
      </c>
      <c r="L909" s="15">
        <v>-1699593.77</v>
      </c>
      <c r="M909" s="15">
        <v>-20245.310000000001</v>
      </c>
      <c r="N909" s="16" t="str">
        <f>IF(M909="","",IF(M909&lt;0,-M909&amp;"_"&amp;COUNTIF(M$2:M909,M909),M909&amp;"_"&amp;COUNTIF(M$2:M909,M909)))</f>
        <v>20245.31_1</v>
      </c>
      <c r="O909" s="17" t="str">
        <f t="shared" si="14"/>
        <v/>
      </c>
      <c r="P909" s="13" t="s">
        <v>1378</v>
      </c>
      <c r="Q909" s="13" t="s">
        <v>1376</v>
      </c>
      <c r="R909" s="13" t="s">
        <v>0</v>
      </c>
      <c r="S909" s="13" t="s">
        <v>0</v>
      </c>
      <c r="T909" s="13" t="s">
        <v>9</v>
      </c>
      <c r="U909" s="13" t="s">
        <v>0</v>
      </c>
      <c r="V909" s="13" t="s">
        <v>0</v>
      </c>
      <c r="W909" s="13" t="s">
        <v>0</v>
      </c>
      <c r="X909" s="13" t="s">
        <v>0</v>
      </c>
      <c r="Y909" s="13" t="s">
        <v>10</v>
      </c>
      <c r="Z909" s="13" t="s">
        <v>0</v>
      </c>
      <c r="AA909" s="14"/>
      <c r="AB909" s="13" t="s">
        <v>0</v>
      </c>
      <c r="AC909" s="13" t="s">
        <v>0</v>
      </c>
      <c r="AD909" s="13" t="s">
        <v>0</v>
      </c>
      <c r="AE909" s="15">
        <v>0</v>
      </c>
    </row>
    <row r="910" spans="1:31" ht="14.15" customHeight="1" x14ac:dyDescent="0.25">
      <c r="A910" s="12" t="s">
        <v>0</v>
      </c>
      <c r="B910" s="13" t="s">
        <v>1</v>
      </c>
      <c r="C910" s="13" t="s">
        <v>618</v>
      </c>
      <c r="D910" s="14">
        <v>44082</v>
      </c>
      <c r="E910" s="14">
        <v>44082</v>
      </c>
      <c r="F910" s="14">
        <v>44086</v>
      </c>
      <c r="G910" s="13" t="s">
        <v>3</v>
      </c>
      <c r="H910" s="13" t="s">
        <v>4</v>
      </c>
      <c r="I910" s="15">
        <v>-20209.349999999999</v>
      </c>
      <c r="J910" s="13" t="s">
        <v>5</v>
      </c>
      <c r="K910" s="13" t="s">
        <v>6</v>
      </c>
      <c r="L910" s="15">
        <v>-1696574.93</v>
      </c>
      <c r="M910" s="15">
        <v>-20209.349999999999</v>
      </c>
      <c r="N910" s="16" t="str">
        <f>IF(M910="","",IF(M910&lt;0,-M910&amp;"_"&amp;COUNTIF(M$2:M910,M910),M910&amp;"_"&amp;COUNTIF(M$2:M910,M910)))</f>
        <v>20209.35_1</v>
      </c>
      <c r="O910" s="17" t="str">
        <f t="shared" si="14"/>
        <v/>
      </c>
      <c r="P910" s="13" t="s">
        <v>619</v>
      </c>
      <c r="Q910" s="13" t="s">
        <v>603</v>
      </c>
      <c r="R910" s="13" t="s">
        <v>0</v>
      </c>
      <c r="S910" s="13" t="s">
        <v>0</v>
      </c>
      <c r="T910" s="13" t="s">
        <v>9</v>
      </c>
      <c r="U910" s="13" t="s">
        <v>0</v>
      </c>
      <c r="V910" s="13" t="s">
        <v>0</v>
      </c>
      <c r="W910" s="13" t="s">
        <v>0</v>
      </c>
      <c r="X910" s="13" t="s">
        <v>0</v>
      </c>
      <c r="Y910" s="13" t="s">
        <v>10</v>
      </c>
      <c r="Z910" s="13" t="s">
        <v>0</v>
      </c>
      <c r="AA910" s="14"/>
      <c r="AB910" s="13" t="s">
        <v>0</v>
      </c>
      <c r="AC910" s="13" t="s">
        <v>0</v>
      </c>
      <c r="AD910" s="13" t="s">
        <v>0</v>
      </c>
      <c r="AE910" s="15">
        <v>0</v>
      </c>
    </row>
    <row r="911" spans="1:31" ht="14.15" customHeight="1" x14ac:dyDescent="0.25">
      <c r="A911" s="12" t="s">
        <v>0</v>
      </c>
      <c r="B911" s="13" t="s">
        <v>1</v>
      </c>
      <c r="C911" s="13" t="s">
        <v>3031</v>
      </c>
      <c r="D911" s="14">
        <v>44281</v>
      </c>
      <c r="E911" s="14">
        <v>44281</v>
      </c>
      <c r="F911" s="14">
        <v>44290</v>
      </c>
      <c r="G911" s="13" t="s">
        <v>3</v>
      </c>
      <c r="H911" s="13" t="s">
        <v>4</v>
      </c>
      <c r="I911" s="15">
        <v>-20207.73</v>
      </c>
      <c r="J911" s="13" t="s">
        <v>5</v>
      </c>
      <c r="K911" s="13" t="s">
        <v>6</v>
      </c>
      <c r="L911" s="15">
        <v>-1696438.93</v>
      </c>
      <c r="M911" s="15">
        <v>-20207.73</v>
      </c>
      <c r="N911" s="16" t="str">
        <f>IF(M911="","",IF(M911&lt;0,-M911&amp;"_"&amp;COUNTIF(M$2:M911,M911),M911&amp;"_"&amp;COUNTIF(M$2:M911,M911)))</f>
        <v>20207.73_1</v>
      </c>
      <c r="O911" s="17" t="str">
        <f t="shared" si="14"/>
        <v/>
      </c>
      <c r="P911" s="13" t="s">
        <v>3032</v>
      </c>
      <c r="Q911" s="13" t="s">
        <v>3014</v>
      </c>
      <c r="R911" s="13" t="s">
        <v>0</v>
      </c>
      <c r="S911" s="13" t="s">
        <v>0</v>
      </c>
      <c r="T911" s="13" t="s">
        <v>9</v>
      </c>
      <c r="U911" s="13" t="s">
        <v>0</v>
      </c>
      <c r="V911" s="13" t="s">
        <v>0</v>
      </c>
      <c r="W911" s="13" t="s">
        <v>0</v>
      </c>
      <c r="X911" s="13" t="s">
        <v>0</v>
      </c>
      <c r="Y911" s="13" t="s">
        <v>10</v>
      </c>
      <c r="Z911" s="13" t="s">
        <v>0</v>
      </c>
      <c r="AA911" s="14"/>
      <c r="AB911" s="13" t="s">
        <v>0</v>
      </c>
      <c r="AC911" s="13" t="s">
        <v>0</v>
      </c>
      <c r="AD911" s="13" t="s">
        <v>0</v>
      </c>
      <c r="AE911" s="15">
        <v>0</v>
      </c>
    </row>
    <row r="912" spans="1:31" ht="14.15" customHeight="1" x14ac:dyDescent="0.25">
      <c r="A912" s="12" t="s">
        <v>0</v>
      </c>
      <c r="B912" s="13" t="s">
        <v>1</v>
      </c>
      <c r="C912" s="13" t="s">
        <v>2496</v>
      </c>
      <c r="D912" s="14">
        <v>44235</v>
      </c>
      <c r="E912" s="14">
        <v>44235</v>
      </c>
      <c r="F912" s="14">
        <v>44241</v>
      </c>
      <c r="G912" s="13" t="s">
        <v>3</v>
      </c>
      <c r="H912" s="13" t="s">
        <v>4</v>
      </c>
      <c r="I912" s="15">
        <v>-20169.61</v>
      </c>
      <c r="J912" s="13" t="s">
        <v>5</v>
      </c>
      <c r="K912" s="13" t="s">
        <v>6</v>
      </c>
      <c r="L912" s="15">
        <v>-1693238.76</v>
      </c>
      <c r="M912" s="15">
        <v>-20169.61</v>
      </c>
      <c r="N912" s="16" t="str">
        <f>IF(M912="","",IF(M912&lt;0,-M912&amp;"_"&amp;COUNTIF(M$2:M912,M912),M912&amp;"_"&amp;COUNTIF(M$2:M912,M912)))</f>
        <v>20169.61_1</v>
      </c>
      <c r="O912" s="17" t="str">
        <f t="shared" si="14"/>
        <v/>
      </c>
      <c r="P912" s="13" t="s">
        <v>2497</v>
      </c>
      <c r="Q912" s="13" t="s">
        <v>2495</v>
      </c>
      <c r="R912" s="13" t="s">
        <v>0</v>
      </c>
      <c r="S912" s="13" t="s">
        <v>0</v>
      </c>
      <c r="T912" s="13" t="s">
        <v>9</v>
      </c>
      <c r="U912" s="13" t="s">
        <v>0</v>
      </c>
      <c r="V912" s="13" t="s">
        <v>0</v>
      </c>
      <c r="W912" s="13" t="s">
        <v>0</v>
      </c>
      <c r="X912" s="13" t="s">
        <v>0</v>
      </c>
      <c r="Y912" s="13" t="s">
        <v>10</v>
      </c>
      <c r="Z912" s="13" t="s">
        <v>0</v>
      </c>
      <c r="AA912" s="14"/>
      <c r="AB912" s="13" t="s">
        <v>0</v>
      </c>
      <c r="AC912" s="13" t="s">
        <v>0</v>
      </c>
      <c r="AD912" s="13" t="s">
        <v>0</v>
      </c>
      <c r="AE912" s="15">
        <v>0</v>
      </c>
    </row>
    <row r="913" spans="1:31" ht="14.15" customHeight="1" x14ac:dyDescent="0.25">
      <c r="A913" s="12" t="s">
        <v>0</v>
      </c>
      <c r="B913" s="13" t="s">
        <v>289</v>
      </c>
      <c r="C913" s="13" t="s">
        <v>2397</v>
      </c>
      <c r="D913" s="14">
        <v>44227</v>
      </c>
      <c r="E913" s="14">
        <v>44227</v>
      </c>
      <c r="F913" s="14">
        <v>44234</v>
      </c>
      <c r="G913" s="13" t="s">
        <v>48</v>
      </c>
      <c r="H913" s="13" t="s">
        <v>4</v>
      </c>
      <c r="I913" s="15">
        <v>-20141.16</v>
      </c>
      <c r="J913" s="13" t="s">
        <v>5</v>
      </c>
      <c r="K913" s="13" t="s">
        <v>6</v>
      </c>
      <c r="L913" s="15">
        <v>-1690850.38</v>
      </c>
      <c r="M913" s="15">
        <v>-20141.16</v>
      </c>
      <c r="N913" s="16" t="str">
        <f>IF(M913="","",IF(M913&lt;0,-M913&amp;"_"&amp;COUNTIF(M$2:M913,M913),M913&amp;"_"&amp;COUNTIF(M$2:M913,M913)))</f>
        <v>20141.16_1</v>
      </c>
      <c r="O913" s="17" t="str">
        <f t="shared" si="14"/>
        <v/>
      </c>
      <c r="P913" s="13" t="s">
        <v>2398</v>
      </c>
      <c r="Q913" s="13" t="s">
        <v>2398</v>
      </c>
      <c r="R913" s="13" t="s">
        <v>1994</v>
      </c>
      <c r="S913" s="13" t="s">
        <v>0</v>
      </c>
      <c r="T913" s="13" t="s">
        <v>9</v>
      </c>
      <c r="U913" s="13" t="s">
        <v>1995</v>
      </c>
      <c r="V913" s="13" t="s">
        <v>0</v>
      </c>
      <c r="W913" s="13" t="s">
        <v>0</v>
      </c>
      <c r="X913" s="13" t="s">
        <v>0</v>
      </c>
      <c r="Y913" s="13" t="s">
        <v>0</v>
      </c>
      <c r="Z913" s="13" t="s">
        <v>0</v>
      </c>
      <c r="AA913" s="14"/>
      <c r="AB913" s="13" t="s">
        <v>0</v>
      </c>
      <c r="AC913" s="13" t="s">
        <v>0</v>
      </c>
      <c r="AD913" s="13" t="s">
        <v>0</v>
      </c>
      <c r="AE913" s="15">
        <v>0</v>
      </c>
    </row>
    <row r="914" spans="1:31" ht="14.15" customHeight="1" x14ac:dyDescent="0.25">
      <c r="A914" s="12" t="s">
        <v>0</v>
      </c>
      <c r="B914" s="13" t="s">
        <v>1</v>
      </c>
      <c r="C914" s="13" t="s">
        <v>3155</v>
      </c>
      <c r="D914" s="14">
        <v>44297</v>
      </c>
      <c r="E914" s="14">
        <v>44297</v>
      </c>
      <c r="F914" s="14">
        <v>44306</v>
      </c>
      <c r="G914" s="13" t="s">
        <v>3</v>
      </c>
      <c r="H914" s="13" t="s">
        <v>4</v>
      </c>
      <c r="I914" s="15">
        <v>-20127.13</v>
      </c>
      <c r="J914" s="13" t="s">
        <v>5</v>
      </c>
      <c r="K914" s="13" t="s">
        <v>6</v>
      </c>
      <c r="L914" s="15">
        <v>-1689672.55</v>
      </c>
      <c r="M914" s="15">
        <v>-20127.13</v>
      </c>
      <c r="N914" s="16" t="str">
        <f>IF(M914="","",IF(M914&lt;0,-M914&amp;"_"&amp;COUNTIF(M$2:M914,M914),M914&amp;"_"&amp;COUNTIF(M$2:M914,M914)))</f>
        <v>20127.13_1</v>
      </c>
      <c r="O914" s="17" t="str">
        <f t="shared" si="14"/>
        <v/>
      </c>
      <c r="P914" s="13" t="s">
        <v>3156</v>
      </c>
      <c r="Q914" s="13" t="s">
        <v>3152</v>
      </c>
      <c r="R914" s="13" t="s">
        <v>0</v>
      </c>
      <c r="S914" s="13" t="s">
        <v>0</v>
      </c>
      <c r="T914" s="13" t="s">
        <v>9</v>
      </c>
      <c r="U914" s="13" t="s">
        <v>0</v>
      </c>
      <c r="V914" s="13" t="s">
        <v>0</v>
      </c>
      <c r="W914" s="13" t="s">
        <v>0</v>
      </c>
      <c r="X914" s="13" t="s">
        <v>0</v>
      </c>
      <c r="Y914" s="13" t="s">
        <v>10</v>
      </c>
      <c r="Z914" s="13" t="s">
        <v>0</v>
      </c>
      <c r="AA914" s="14"/>
      <c r="AB914" s="13" t="s">
        <v>0</v>
      </c>
      <c r="AC914" s="13" t="s">
        <v>0</v>
      </c>
      <c r="AD914" s="13" t="s">
        <v>0</v>
      </c>
      <c r="AE914" s="15">
        <v>0</v>
      </c>
    </row>
    <row r="915" spans="1:31" ht="14.15" customHeight="1" x14ac:dyDescent="0.25">
      <c r="A915" s="12" t="s">
        <v>0</v>
      </c>
      <c r="B915" s="13" t="s">
        <v>1</v>
      </c>
      <c r="C915" s="13" t="s">
        <v>3025</v>
      </c>
      <c r="D915" s="14">
        <v>44281</v>
      </c>
      <c r="E915" s="14">
        <v>44281</v>
      </c>
      <c r="F915" s="14">
        <v>44290</v>
      </c>
      <c r="G915" s="13" t="s">
        <v>3</v>
      </c>
      <c r="H915" s="13" t="s">
        <v>4</v>
      </c>
      <c r="I915" s="15">
        <v>-20124.439999999999</v>
      </c>
      <c r="J915" s="13" t="s">
        <v>5</v>
      </c>
      <c r="K915" s="13" t="s">
        <v>6</v>
      </c>
      <c r="L915" s="15">
        <v>-1689446.74</v>
      </c>
      <c r="M915" s="15">
        <v>-20124.439999999999</v>
      </c>
      <c r="N915" s="16" t="str">
        <f>IF(M915="","",IF(M915&lt;0,-M915&amp;"_"&amp;COUNTIF(M$2:M915,M915),M915&amp;"_"&amp;COUNTIF(M$2:M915,M915)))</f>
        <v>20124.44_1</v>
      </c>
      <c r="O915" s="17" t="str">
        <f t="shared" si="14"/>
        <v/>
      </c>
      <c r="P915" s="13" t="s">
        <v>3026</v>
      </c>
      <c r="Q915" s="13" t="s">
        <v>3014</v>
      </c>
      <c r="R915" s="13" t="s">
        <v>0</v>
      </c>
      <c r="S915" s="13" t="s">
        <v>0</v>
      </c>
      <c r="T915" s="13" t="s">
        <v>9</v>
      </c>
      <c r="U915" s="13" t="s">
        <v>0</v>
      </c>
      <c r="V915" s="13" t="s">
        <v>0</v>
      </c>
      <c r="W915" s="13" t="s">
        <v>0</v>
      </c>
      <c r="X915" s="13" t="s">
        <v>0</v>
      </c>
      <c r="Y915" s="13" t="s">
        <v>10</v>
      </c>
      <c r="Z915" s="13" t="s">
        <v>0</v>
      </c>
      <c r="AA915" s="14"/>
      <c r="AB915" s="13" t="s">
        <v>0</v>
      </c>
      <c r="AC915" s="13" t="s">
        <v>0</v>
      </c>
      <c r="AD915" s="13" t="s">
        <v>0</v>
      </c>
      <c r="AE915" s="15">
        <v>0</v>
      </c>
    </row>
    <row r="916" spans="1:31" ht="14.15" customHeight="1" x14ac:dyDescent="0.25">
      <c r="A916" s="12" t="s">
        <v>0</v>
      </c>
      <c r="B916" s="13" t="s">
        <v>1</v>
      </c>
      <c r="C916" s="13" t="s">
        <v>2862</v>
      </c>
      <c r="D916" s="14">
        <v>44273</v>
      </c>
      <c r="E916" s="14">
        <v>44273</v>
      </c>
      <c r="F916" s="14">
        <v>44279</v>
      </c>
      <c r="G916" s="13" t="s">
        <v>3</v>
      </c>
      <c r="H916" s="13" t="s">
        <v>4</v>
      </c>
      <c r="I916" s="15">
        <v>-20106.400000000001</v>
      </c>
      <c r="J916" s="13" t="s">
        <v>5</v>
      </c>
      <c r="K916" s="13" t="s">
        <v>6</v>
      </c>
      <c r="L916" s="15">
        <v>-1687932.28</v>
      </c>
      <c r="M916" s="15">
        <v>-20106.400000000001</v>
      </c>
      <c r="N916" s="16" t="str">
        <f>IF(M916="","",IF(M916&lt;0,-M916&amp;"_"&amp;COUNTIF(M$2:M916,M916),M916&amp;"_"&amp;COUNTIF(M$2:M916,M916)))</f>
        <v>20106.4_1</v>
      </c>
      <c r="O916" s="17" t="str">
        <f t="shared" si="14"/>
        <v/>
      </c>
      <c r="P916" s="13" t="s">
        <v>2863</v>
      </c>
      <c r="Q916" s="13" t="s">
        <v>2857</v>
      </c>
      <c r="R916" s="13" t="s">
        <v>0</v>
      </c>
      <c r="S916" s="13" t="s">
        <v>0</v>
      </c>
      <c r="T916" s="13" t="s">
        <v>9</v>
      </c>
      <c r="U916" s="13" t="s">
        <v>0</v>
      </c>
      <c r="V916" s="13" t="s">
        <v>0</v>
      </c>
      <c r="W916" s="13" t="s">
        <v>0</v>
      </c>
      <c r="X916" s="13" t="s">
        <v>0</v>
      </c>
      <c r="Y916" s="13" t="s">
        <v>10</v>
      </c>
      <c r="Z916" s="13" t="s">
        <v>0</v>
      </c>
      <c r="AA916" s="14"/>
      <c r="AB916" s="13" t="s">
        <v>0</v>
      </c>
      <c r="AC916" s="13" t="s">
        <v>0</v>
      </c>
      <c r="AD916" s="13" t="s">
        <v>0</v>
      </c>
      <c r="AE916" s="15">
        <v>0</v>
      </c>
    </row>
    <row r="917" spans="1:31" ht="14.15" customHeight="1" x14ac:dyDescent="0.25">
      <c r="A917" s="12" t="s">
        <v>0</v>
      </c>
      <c r="B917" s="13" t="s">
        <v>1</v>
      </c>
      <c r="C917" s="13" t="s">
        <v>694</v>
      </c>
      <c r="D917" s="14">
        <v>44090</v>
      </c>
      <c r="E917" s="14">
        <v>44090</v>
      </c>
      <c r="F917" s="14">
        <v>44096</v>
      </c>
      <c r="G917" s="13" t="s">
        <v>3</v>
      </c>
      <c r="H917" s="13" t="s">
        <v>4</v>
      </c>
      <c r="I917" s="15">
        <v>-20074.73</v>
      </c>
      <c r="J917" s="13" t="s">
        <v>5</v>
      </c>
      <c r="K917" s="13" t="s">
        <v>6</v>
      </c>
      <c r="L917" s="15">
        <v>-1685273.58</v>
      </c>
      <c r="M917" s="15">
        <v>-20074.73</v>
      </c>
      <c r="N917" s="16" t="str">
        <f>IF(M917="","",IF(M917&lt;0,-M917&amp;"_"&amp;COUNTIF(M$2:M917,M917),M917&amp;"_"&amp;COUNTIF(M$2:M917,M917)))</f>
        <v>20074.73_1</v>
      </c>
      <c r="O917" s="17" t="str">
        <f t="shared" si="14"/>
        <v/>
      </c>
      <c r="P917" s="13" t="s">
        <v>695</v>
      </c>
      <c r="Q917" s="13" t="s">
        <v>687</v>
      </c>
      <c r="R917" s="13" t="s">
        <v>0</v>
      </c>
      <c r="S917" s="13" t="s">
        <v>0</v>
      </c>
      <c r="T917" s="13" t="s">
        <v>9</v>
      </c>
      <c r="U917" s="13" t="s">
        <v>0</v>
      </c>
      <c r="V917" s="13" t="s">
        <v>0</v>
      </c>
      <c r="W917" s="13" t="s">
        <v>0</v>
      </c>
      <c r="X917" s="13" t="s">
        <v>0</v>
      </c>
      <c r="Y917" s="13" t="s">
        <v>10</v>
      </c>
      <c r="Z917" s="13" t="s">
        <v>0</v>
      </c>
      <c r="AA917" s="14"/>
      <c r="AB917" s="13" t="s">
        <v>0</v>
      </c>
      <c r="AC917" s="13" t="s">
        <v>0</v>
      </c>
      <c r="AD917" s="13" t="s">
        <v>0</v>
      </c>
      <c r="AE917" s="15">
        <v>0</v>
      </c>
    </row>
    <row r="918" spans="1:31" ht="14.15" customHeight="1" x14ac:dyDescent="0.25">
      <c r="A918" s="12" t="s">
        <v>0</v>
      </c>
      <c r="B918" s="13" t="s">
        <v>1</v>
      </c>
      <c r="C918" s="13" t="s">
        <v>1349</v>
      </c>
      <c r="D918" s="14">
        <v>44150</v>
      </c>
      <c r="E918" s="14">
        <v>44150</v>
      </c>
      <c r="F918" s="14">
        <v>44154</v>
      </c>
      <c r="G918" s="13" t="s">
        <v>3</v>
      </c>
      <c r="H918" s="13" t="s">
        <v>4</v>
      </c>
      <c r="I918" s="15">
        <v>-20049.59</v>
      </c>
      <c r="J918" s="13" t="s">
        <v>5</v>
      </c>
      <c r="K918" s="13" t="s">
        <v>6</v>
      </c>
      <c r="L918" s="15">
        <v>-1683163.08</v>
      </c>
      <c r="M918" s="15">
        <v>-20049.59</v>
      </c>
      <c r="N918" s="16" t="str">
        <f>IF(M918="","",IF(M918&lt;0,-M918&amp;"_"&amp;COUNTIF(M$2:M918,M918),M918&amp;"_"&amp;COUNTIF(M$2:M918,M918)))</f>
        <v>20049.59_1</v>
      </c>
      <c r="O918" s="17" t="str">
        <f t="shared" si="14"/>
        <v/>
      </c>
      <c r="P918" s="13" t="s">
        <v>1350</v>
      </c>
      <c r="Q918" s="13" t="s">
        <v>1338</v>
      </c>
      <c r="R918" s="13" t="s">
        <v>0</v>
      </c>
      <c r="S918" s="13" t="s">
        <v>0</v>
      </c>
      <c r="T918" s="13" t="s">
        <v>9</v>
      </c>
      <c r="U918" s="13" t="s">
        <v>0</v>
      </c>
      <c r="V918" s="13" t="s">
        <v>0</v>
      </c>
      <c r="W918" s="13" t="s">
        <v>0</v>
      </c>
      <c r="X918" s="13" t="s">
        <v>0</v>
      </c>
      <c r="Y918" s="13" t="s">
        <v>10</v>
      </c>
      <c r="Z918" s="13" t="s">
        <v>0</v>
      </c>
      <c r="AA918" s="14"/>
      <c r="AB918" s="13" t="s">
        <v>0</v>
      </c>
      <c r="AC918" s="13" t="s">
        <v>0</v>
      </c>
      <c r="AD918" s="13" t="s">
        <v>0</v>
      </c>
      <c r="AE918" s="15">
        <v>0</v>
      </c>
    </row>
    <row r="919" spans="1:31" ht="14.15" customHeight="1" x14ac:dyDescent="0.25">
      <c r="A919" s="12" t="s">
        <v>0</v>
      </c>
      <c r="B919" s="13" t="s">
        <v>1</v>
      </c>
      <c r="C919" s="13" t="s">
        <v>259</v>
      </c>
      <c r="D919" s="14">
        <v>44041</v>
      </c>
      <c r="E919" s="14">
        <v>44041</v>
      </c>
      <c r="F919" s="14">
        <v>44057</v>
      </c>
      <c r="G919" s="13" t="s">
        <v>3</v>
      </c>
      <c r="H919" s="13" t="s">
        <v>4</v>
      </c>
      <c r="I919" s="15">
        <v>-20024.22</v>
      </c>
      <c r="J919" s="13" t="s">
        <v>5</v>
      </c>
      <c r="K919" s="13" t="s">
        <v>6</v>
      </c>
      <c r="L919" s="15">
        <v>-1681033.27</v>
      </c>
      <c r="M919" s="15">
        <v>-20024.22</v>
      </c>
      <c r="N919" s="16" t="str">
        <f>IF(M919="","",IF(M919&lt;0,-M919&amp;"_"&amp;COUNTIF(M$2:M919,M919),M919&amp;"_"&amp;COUNTIF(M$2:M919,M919)))</f>
        <v>20024.22_1</v>
      </c>
      <c r="O919" s="17" t="str">
        <f t="shared" si="14"/>
        <v/>
      </c>
      <c r="P919" s="13" t="s">
        <v>260</v>
      </c>
      <c r="Q919" s="13" t="s">
        <v>250</v>
      </c>
      <c r="R919" s="13" t="s">
        <v>0</v>
      </c>
      <c r="S919" s="13" t="s">
        <v>0</v>
      </c>
      <c r="T919" s="13" t="s">
        <v>9</v>
      </c>
      <c r="U919" s="13" t="s">
        <v>0</v>
      </c>
      <c r="V919" s="13" t="s">
        <v>0</v>
      </c>
      <c r="W919" s="13" t="s">
        <v>0</v>
      </c>
      <c r="X919" s="13" t="s">
        <v>0</v>
      </c>
      <c r="Y919" s="13" t="s">
        <v>10</v>
      </c>
      <c r="Z919" s="13" t="s">
        <v>0</v>
      </c>
      <c r="AA919" s="14"/>
      <c r="AB919" s="13" t="s">
        <v>0</v>
      </c>
      <c r="AC919" s="13" t="s">
        <v>0</v>
      </c>
      <c r="AD919" s="13" t="s">
        <v>0</v>
      </c>
      <c r="AE919" s="15">
        <v>0</v>
      </c>
    </row>
    <row r="920" spans="1:31" ht="14.15" customHeight="1" x14ac:dyDescent="0.25">
      <c r="A920" s="12" t="s">
        <v>0</v>
      </c>
      <c r="B920" s="13" t="s">
        <v>1</v>
      </c>
      <c r="C920" s="13" t="s">
        <v>1884</v>
      </c>
      <c r="D920" s="14">
        <v>44189</v>
      </c>
      <c r="E920" s="14">
        <v>44189</v>
      </c>
      <c r="F920" s="14">
        <v>44194</v>
      </c>
      <c r="G920" s="13" t="s">
        <v>3</v>
      </c>
      <c r="H920" s="13" t="s">
        <v>4</v>
      </c>
      <c r="I920" s="15">
        <v>-20022.25</v>
      </c>
      <c r="J920" s="13" t="s">
        <v>5</v>
      </c>
      <c r="K920" s="13" t="s">
        <v>6</v>
      </c>
      <c r="L920" s="15">
        <v>-1680867.89</v>
      </c>
      <c r="M920" s="15">
        <v>-20022.25</v>
      </c>
      <c r="N920" s="16" t="str">
        <f>IF(M920="","",IF(M920&lt;0,-M920&amp;"_"&amp;COUNTIF(M$2:M920,M920),M920&amp;"_"&amp;COUNTIF(M$2:M920,M920)))</f>
        <v>20022.25_1</v>
      </c>
      <c r="O920" s="17" t="str">
        <f t="shared" si="14"/>
        <v/>
      </c>
      <c r="P920" s="13" t="s">
        <v>1885</v>
      </c>
      <c r="Q920" s="13" t="s">
        <v>1886</v>
      </c>
      <c r="R920" s="13" t="s">
        <v>0</v>
      </c>
      <c r="S920" s="13" t="s">
        <v>0</v>
      </c>
      <c r="T920" s="13" t="s">
        <v>9</v>
      </c>
      <c r="U920" s="13" t="s">
        <v>0</v>
      </c>
      <c r="V920" s="13" t="s">
        <v>0</v>
      </c>
      <c r="W920" s="13" t="s">
        <v>0</v>
      </c>
      <c r="X920" s="13" t="s">
        <v>0</v>
      </c>
      <c r="Y920" s="13" t="s">
        <v>10</v>
      </c>
      <c r="Z920" s="13" t="s">
        <v>0</v>
      </c>
      <c r="AA920" s="14"/>
      <c r="AB920" s="13" t="s">
        <v>0</v>
      </c>
      <c r="AC920" s="13" t="s">
        <v>0</v>
      </c>
      <c r="AD920" s="13" t="s">
        <v>0</v>
      </c>
      <c r="AE920" s="15">
        <v>0</v>
      </c>
    </row>
    <row r="921" spans="1:31" ht="14.15" customHeight="1" x14ac:dyDescent="0.25">
      <c r="A921" s="12" t="s">
        <v>0</v>
      </c>
      <c r="B921" s="13" t="s">
        <v>1</v>
      </c>
      <c r="C921" s="13" t="s">
        <v>855</v>
      </c>
      <c r="D921" s="14">
        <v>44108</v>
      </c>
      <c r="E921" s="14">
        <v>44108</v>
      </c>
      <c r="F921" s="14">
        <v>44128</v>
      </c>
      <c r="G921" s="13" t="s">
        <v>3</v>
      </c>
      <c r="H921" s="13" t="s">
        <v>4</v>
      </c>
      <c r="I921" s="15">
        <v>-20020.55</v>
      </c>
      <c r="J921" s="13" t="s">
        <v>5</v>
      </c>
      <c r="K921" s="13" t="s">
        <v>6</v>
      </c>
      <c r="L921" s="15">
        <v>-1680725.17</v>
      </c>
      <c r="M921" s="15">
        <v>-20020.55</v>
      </c>
      <c r="N921" s="16" t="str">
        <f>IF(M921="","",IF(M921&lt;0,-M921&amp;"_"&amp;COUNTIF(M$2:M921,M921),M921&amp;"_"&amp;COUNTIF(M$2:M921,M921)))</f>
        <v>20020.55_1</v>
      </c>
      <c r="O921" s="17" t="str">
        <f t="shared" si="14"/>
        <v/>
      </c>
      <c r="P921" s="13" t="s">
        <v>856</v>
      </c>
      <c r="Q921" s="13" t="s">
        <v>850</v>
      </c>
      <c r="R921" s="13" t="s">
        <v>0</v>
      </c>
      <c r="S921" s="13" t="s">
        <v>0</v>
      </c>
      <c r="T921" s="13" t="s">
        <v>9</v>
      </c>
      <c r="U921" s="13" t="s">
        <v>0</v>
      </c>
      <c r="V921" s="13" t="s">
        <v>0</v>
      </c>
      <c r="W921" s="13" t="s">
        <v>0</v>
      </c>
      <c r="X921" s="13" t="s">
        <v>0</v>
      </c>
      <c r="Y921" s="13" t="s">
        <v>10</v>
      </c>
      <c r="Z921" s="13" t="s">
        <v>0</v>
      </c>
      <c r="AA921" s="14"/>
      <c r="AB921" s="13" t="s">
        <v>0</v>
      </c>
      <c r="AC921" s="13" t="s">
        <v>0</v>
      </c>
      <c r="AD921" s="13" t="s">
        <v>0</v>
      </c>
      <c r="AE921" s="15">
        <v>0</v>
      </c>
    </row>
    <row r="922" spans="1:31" ht="14.15" customHeight="1" x14ac:dyDescent="0.25">
      <c r="A922" s="12" t="s">
        <v>0</v>
      </c>
      <c r="B922" s="13" t="s">
        <v>1</v>
      </c>
      <c r="C922" s="13" t="s">
        <v>3549</v>
      </c>
      <c r="D922" s="14">
        <v>44324</v>
      </c>
      <c r="E922" s="14">
        <v>44324</v>
      </c>
      <c r="F922" s="14">
        <v>44340</v>
      </c>
      <c r="G922" s="13" t="s">
        <v>3</v>
      </c>
      <c r="H922" s="13" t="s">
        <v>4</v>
      </c>
      <c r="I922" s="15">
        <v>-19982.36</v>
      </c>
      <c r="J922" s="13" t="s">
        <v>5</v>
      </c>
      <c r="K922" s="13" t="s">
        <v>6</v>
      </c>
      <c r="L922" s="15">
        <v>-1677519.12</v>
      </c>
      <c r="M922" s="15">
        <v>-19982.36</v>
      </c>
      <c r="N922" s="16" t="str">
        <f>IF(M922="","",IF(M922&lt;0,-M922&amp;"_"&amp;COUNTIF(M$2:M922,M922),M922&amp;"_"&amp;COUNTIF(M$2:M922,M922)))</f>
        <v>19982.36_1</v>
      </c>
      <c r="O922" s="17" t="str">
        <f t="shared" si="14"/>
        <v/>
      </c>
      <c r="P922" s="13" t="s">
        <v>3550</v>
      </c>
      <c r="Q922" s="13" t="s">
        <v>3512</v>
      </c>
      <c r="R922" s="13" t="s">
        <v>0</v>
      </c>
      <c r="S922" s="13" t="s">
        <v>0</v>
      </c>
      <c r="T922" s="13" t="s">
        <v>9</v>
      </c>
      <c r="U922" s="13" t="s">
        <v>0</v>
      </c>
      <c r="V922" s="13" t="s">
        <v>0</v>
      </c>
      <c r="W922" s="13" t="s">
        <v>0</v>
      </c>
      <c r="X922" s="13" t="s">
        <v>0</v>
      </c>
      <c r="Y922" s="13" t="s">
        <v>10</v>
      </c>
      <c r="Z922" s="13" t="s">
        <v>0</v>
      </c>
      <c r="AA922" s="14"/>
      <c r="AB922" s="13" t="s">
        <v>0</v>
      </c>
      <c r="AC922" s="13" t="s">
        <v>0</v>
      </c>
      <c r="AD922" s="13" t="s">
        <v>0</v>
      </c>
      <c r="AE922" s="15">
        <v>0</v>
      </c>
    </row>
    <row r="923" spans="1:31" ht="14.15" customHeight="1" x14ac:dyDescent="0.25">
      <c r="A923" s="12" t="s">
        <v>0</v>
      </c>
      <c r="B923" s="13" t="s">
        <v>1</v>
      </c>
      <c r="C923" s="13" t="s">
        <v>4261</v>
      </c>
      <c r="D923" s="14">
        <v>44369</v>
      </c>
      <c r="E923" s="14">
        <v>44369</v>
      </c>
      <c r="F923" s="14">
        <v>44373</v>
      </c>
      <c r="G923" s="13" t="s">
        <v>3</v>
      </c>
      <c r="H923" s="13" t="s">
        <v>4</v>
      </c>
      <c r="I923" s="15">
        <v>-19981.349999999999</v>
      </c>
      <c r="J923" s="13" t="s">
        <v>5</v>
      </c>
      <c r="K923" s="13" t="s">
        <v>6</v>
      </c>
      <c r="L923" s="15">
        <v>-1677434.34</v>
      </c>
      <c r="M923" s="15">
        <v>-19981.349999999999</v>
      </c>
      <c r="N923" s="16" t="str">
        <f>IF(M923="","",IF(M923&lt;0,-M923&amp;"_"&amp;COUNTIF(M$2:M923,M923),M923&amp;"_"&amp;COUNTIF(M$2:M923,M923)))</f>
        <v>19981.35_1</v>
      </c>
      <c r="O923" s="17" t="str">
        <f t="shared" si="14"/>
        <v/>
      </c>
      <c r="P923" s="13" t="s">
        <v>4262</v>
      </c>
      <c r="Q923" s="13" t="s">
        <v>4248</v>
      </c>
      <c r="R923" s="13" t="s">
        <v>0</v>
      </c>
      <c r="S923" s="13" t="s">
        <v>0</v>
      </c>
      <c r="T923" s="13" t="s">
        <v>9</v>
      </c>
      <c r="U923" s="13" t="s">
        <v>0</v>
      </c>
      <c r="V923" s="13" t="s">
        <v>0</v>
      </c>
      <c r="W923" s="13" t="s">
        <v>0</v>
      </c>
      <c r="X923" s="13" t="s">
        <v>0</v>
      </c>
      <c r="Y923" s="13" t="s">
        <v>10</v>
      </c>
      <c r="Z923" s="13" t="s">
        <v>0</v>
      </c>
      <c r="AA923" s="14"/>
      <c r="AB923" s="13" t="s">
        <v>0</v>
      </c>
      <c r="AC923" s="13" t="s">
        <v>0</v>
      </c>
      <c r="AD923" s="13" t="s">
        <v>0</v>
      </c>
      <c r="AE923" s="15">
        <v>0</v>
      </c>
    </row>
    <row r="924" spans="1:31" ht="14.15" customHeight="1" x14ac:dyDescent="0.25">
      <c r="A924" s="12" t="s">
        <v>0</v>
      </c>
      <c r="B924" s="13" t="s">
        <v>1</v>
      </c>
      <c r="C924" s="13" t="s">
        <v>2956</v>
      </c>
      <c r="D924" s="14">
        <v>44277</v>
      </c>
      <c r="E924" s="14">
        <v>44277</v>
      </c>
      <c r="F924" s="14">
        <v>44280</v>
      </c>
      <c r="G924" s="13" t="s">
        <v>3</v>
      </c>
      <c r="H924" s="13" t="s">
        <v>4</v>
      </c>
      <c r="I924" s="15">
        <v>-19890.62</v>
      </c>
      <c r="J924" s="13" t="s">
        <v>5</v>
      </c>
      <c r="K924" s="13" t="s">
        <v>6</v>
      </c>
      <c r="L924" s="15">
        <v>-1669817.55</v>
      </c>
      <c r="M924" s="15">
        <v>-19890.62</v>
      </c>
      <c r="N924" s="16" t="str">
        <f>IF(M924="","",IF(M924&lt;0,-M924&amp;"_"&amp;COUNTIF(M$2:M924,M924),M924&amp;"_"&amp;COUNTIF(M$2:M924,M924)))</f>
        <v>19890.62_1</v>
      </c>
      <c r="O924" s="17" t="str">
        <f t="shared" si="14"/>
        <v/>
      </c>
      <c r="P924" s="13" t="s">
        <v>2957</v>
      </c>
      <c r="Q924" s="13" t="s">
        <v>2955</v>
      </c>
      <c r="R924" s="13" t="s">
        <v>0</v>
      </c>
      <c r="S924" s="13" t="s">
        <v>0</v>
      </c>
      <c r="T924" s="13" t="s">
        <v>9</v>
      </c>
      <c r="U924" s="13" t="s">
        <v>0</v>
      </c>
      <c r="V924" s="13" t="s">
        <v>0</v>
      </c>
      <c r="W924" s="13" t="s">
        <v>0</v>
      </c>
      <c r="X924" s="13" t="s">
        <v>0</v>
      </c>
      <c r="Y924" s="13" t="s">
        <v>10</v>
      </c>
      <c r="Z924" s="13" t="s">
        <v>0</v>
      </c>
      <c r="AA924" s="14"/>
      <c r="AB924" s="13" t="s">
        <v>0</v>
      </c>
      <c r="AC924" s="13" t="s">
        <v>0</v>
      </c>
      <c r="AD924" s="13" t="s">
        <v>0</v>
      </c>
      <c r="AE924" s="15">
        <v>0</v>
      </c>
    </row>
    <row r="925" spans="1:31" ht="14.15" customHeight="1" x14ac:dyDescent="0.25">
      <c r="A925" s="12" t="s">
        <v>0</v>
      </c>
      <c r="B925" s="13" t="s">
        <v>1</v>
      </c>
      <c r="C925" s="13" t="s">
        <v>3543</v>
      </c>
      <c r="D925" s="14">
        <v>44324</v>
      </c>
      <c r="E925" s="14">
        <v>44324</v>
      </c>
      <c r="F925" s="14">
        <v>44340</v>
      </c>
      <c r="G925" s="13" t="s">
        <v>3</v>
      </c>
      <c r="H925" s="13" t="s">
        <v>4</v>
      </c>
      <c r="I925" s="15">
        <v>-19871.64</v>
      </c>
      <c r="J925" s="13" t="s">
        <v>5</v>
      </c>
      <c r="K925" s="13" t="s">
        <v>6</v>
      </c>
      <c r="L925" s="15">
        <v>-1668224.18</v>
      </c>
      <c r="M925" s="15">
        <v>-19871.64</v>
      </c>
      <c r="N925" s="16" t="str">
        <f>IF(M925="","",IF(M925&lt;0,-M925&amp;"_"&amp;COUNTIF(M$2:M925,M925),M925&amp;"_"&amp;COUNTIF(M$2:M925,M925)))</f>
        <v>19871.64_1</v>
      </c>
      <c r="O925" s="17" t="str">
        <f t="shared" si="14"/>
        <v/>
      </c>
      <c r="P925" s="13" t="s">
        <v>3544</v>
      </c>
      <c r="Q925" s="13" t="s">
        <v>3512</v>
      </c>
      <c r="R925" s="13" t="s">
        <v>0</v>
      </c>
      <c r="S925" s="13" t="s">
        <v>0</v>
      </c>
      <c r="T925" s="13" t="s">
        <v>9</v>
      </c>
      <c r="U925" s="13" t="s">
        <v>0</v>
      </c>
      <c r="V925" s="13" t="s">
        <v>0</v>
      </c>
      <c r="W925" s="13" t="s">
        <v>0</v>
      </c>
      <c r="X925" s="13" t="s">
        <v>0</v>
      </c>
      <c r="Y925" s="13" t="s">
        <v>10</v>
      </c>
      <c r="Z925" s="13" t="s">
        <v>0</v>
      </c>
      <c r="AA925" s="14"/>
      <c r="AB925" s="13" t="s">
        <v>0</v>
      </c>
      <c r="AC925" s="13" t="s">
        <v>0</v>
      </c>
      <c r="AD925" s="13" t="s">
        <v>0</v>
      </c>
      <c r="AE925" s="15">
        <v>0</v>
      </c>
    </row>
    <row r="926" spans="1:31" ht="14.15" customHeight="1" x14ac:dyDescent="0.25">
      <c r="A926" s="12" t="s">
        <v>0</v>
      </c>
      <c r="B926" s="13" t="s">
        <v>1</v>
      </c>
      <c r="C926" s="13" t="s">
        <v>2965</v>
      </c>
      <c r="D926" s="14">
        <v>44278</v>
      </c>
      <c r="E926" s="14">
        <v>44278</v>
      </c>
      <c r="F926" s="14">
        <v>44283</v>
      </c>
      <c r="G926" s="13" t="s">
        <v>3</v>
      </c>
      <c r="H926" s="13" t="s">
        <v>4</v>
      </c>
      <c r="I926" s="15">
        <v>-19831.91</v>
      </c>
      <c r="J926" s="13" t="s">
        <v>5</v>
      </c>
      <c r="K926" s="13" t="s">
        <v>6</v>
      </c>
      <c r="L926" s="15">
        <v>-1664888.85</v>
      </c>
      <c r="M926" s="15">
        <v>-19831.91</v>
      </c>
      <c r="N926" s="16" t="str">
        <f>IF(M926="","",IF(M926&lt;0,-M926&amp;"_"&amp;COUNTIF(M$2:M926,M926),M926&amp;"_"&amp;COUNTIF(M$2:M926,M926)))</f>
        <v>19831.91_1</v>
      </c>
      <c r="O926" s="17" t="str">
        <f t="shared" si="14"/>
        <v/>
      </c>
      <c r="P926" s="13" t="s">
        <v>2966</v>
      </c>
      <c r="Q926" s="13" t="s">
        <v>2964</v>
      </c>
      <c r="R926" s="13" t="s">
        <v>0</v>
      </c>
      <c r="S926" s="13" t="s">
        <v>0</v>
      </c>
      <c r="T926" s="13" t="s">
        <v>9</v>
      </c>
      <c r="U926" s="13" t="s">
        <v>0</v>
      </c>
      <c r="V926" s="13" t="s">
        <v>0</v>
      </c>
      <c r="W926" s="13" t="s">
        <v>0</v>
      </c>
      <c r="X926" s="13" t="s">
        <v>0</v>
      </c>
      <c r="Y926" s="13" t="s">
        <v>10</v>
      </c>
      <c r="Z926" s="13" t="s">
        <v>0</v>
      </c>
      <c r="AA926" s="14"/>
      <c r="AB926" s="13" t="s">
        <v>0</v>
      </c>
      <c r="AC926" s="13" t="s">
        <v>0</v>
      </c>
      <c r="AD926" s="13" t="s">
        <v>0</v>
      </c>
      <c r="AE926" s="15">
        <v>0</v>
      </c>
    </row>
    <row r="927" spans="1:31" ht="14.15" customHeight="1" x14ac:dyDescent="0.25">
      <c r="A927" s="12" t="s">
        <v>0</v>
      </c>
      <c r="B927" s="13" t="s">
        <v>1</v>
      </c>
      <c r="C927" s="13" t="s">
        <v>184</v>
      </c>
      <c r="D927" s="14">
        <v>44034</v>
      </c>
      <c r="E927" s="14">
        <v>44034</v>
      </c>
      <c r="F927" s="14">
        <v>44040</v>
      </c>
      <c r="G927" s="13" t="s">
        <v>3</v>
      </c>
      <c r="H927" s="13" t="s">
        <v>4</v>
      </c>
      <c r="I927" s="15">
        <v>-19828.54</v>
      </c>
      <c r="J927" s="13" t="s">
        <v>5</v>
      </c>
      <c r="K927" s="13" t="s">
        <v>6</v>
      </c>
      <c r="L927" s="15">
        <v>-1664605.93</v>
      </c>
      <c r="M927" s="15">
        <v>-19828.54</v>
      </c>
      <c r="N927" s="16" t="str">
        <f>IF(M927="","",IF(M927&lt;0,-M927&amp;"_"&amp;COUNTIF(M$2:M927,M927),M927&amp;"_"&amp;COUNTIF(M$2:M927,M927)))</f>
        <v>19828.54_1</v>
      </c>
      <c r="O927" s="17" t="str">
        <f t="shared" si="14"/>
        <v/>
      </c>
      <c r="P927" s="13" t="s">
        <v>185</v>
      </c>
      <c r="Q927" s="13" t="s">
        <v>175</v>
      </c>
      <c r="R927" s="13" t="s">
        <v>0</v>
      </c>
      <c r="S927" s="13" t="s">
        <v>0</v>
      </c>
      <c r="T927" s="13" t="s">
        <v>9</v>
      </c>
      <c r="U927" s="13" t="s">
        <v>0</v>
      </c>
      <c r="V927" s="13" t="s">
        <v>0</v>
      </c>
      <c r="W927" s="13" t="s">
        <v>0</v>
      </c>
      <c r="X927" s="13" t="s">
        <v>0</v>
      </c>
      <c r="Y927" s="13" t="s">
        <v>10</v>
      </c>
      <c r="Z927" s="13" t="s">
        <v>0</v>
      </c>
      <c r="AA927" s="14"/>
      <c r="AB927" s="13" t="s">
        <v>0</v>
      </c>
      <c r="AC927" s="13" t="s">
        <v>0</v>
      </c>
      <c r="AD927" s="13" t="s">
        <v>0</v>
      </c>
      <c r="AE927" s="15">
        <v>0</v>
      </c>
    </row>
    <row r="928" spans="1:31" ht="14.15" customHeight="1" x14ac:dyDescent="0.25">
      <c r="A928" s="12" t="s">
        <v>0</v>
      </c>
      <c r="B928" s="13" t="s">
        <v>1</v>
      </c>
      <c r="C928" s="13" t="s">
        <v>3234</v>
      </c>
      <c r="D928" s="14">
        <v>44306</v>
      </c>
      <c r="E928" s="14">
        <v>44306</v>
      </c>
      <c r="F928" s="14">
        <v>44311</v>
      </c>
      <c r="G928" s="13" t="s">
        <v>3</v>
      </c>
      <c r="H928" s="13" t="s">
        <v>4</v>
      </c>
      <c r="I928" s="15">
        <v>-19816.650000000001</v>
      </c>
      <c r="J928" s="13" t="s">
        <v>5</v>
      </c>
      <c r="K928" s="13" t="s">
        <v>6</v>
      </c>
      <c r="L928" s="15">
        <v>-1663607.77</v>
      </c>
      <c r="M928" s="15">
        <v>-19816.650000000001</v>
      </c>
      <c r="N928" s="16" t="str">
        <f>IF(M928="","",IF(M928&lt;0,-M928&amp;"_"&amp;COUNTIF(M$2:M928,M928),M928&amp;"_"&amp;COUNTIF(M$2:M928,M928)))</f>
        <v>19816.65_1</v>
      </c>
      <c r="O928" s="17" t="str">
        <f t="shared" si="14"/>
        <v/>
      </c>
      <c r="P928" s="13" t="s">
        <v>3235</v>
      </c>
      <c r="Q928" s="13" t="s">
        <v>3229</v>
      </c>
      <c r="R928" s="13" t="s">
        <v>0</v>
      </c>
      <c r="S928" s="13" t="s">
        <v>0</v>
      </c>
      <c r="T928" s="13" t="s">
        <v>9</v>
      </c>
      <c r="U928" s="13" t="s">
        <v>0</v>
      </c>
      <c r="V928" s="13" t="s">
        <v>0</v>
      </c>
      <c r="W928" s="13" t="s">
        <v>0</v>
      </c>
      <c r="X928" s="13" t="s">
        <v>0</v>
      </c>
      <c r="Y928" s="13" t="s">
        <v>10</v>
      </c>
      <c r="Z928" s="13" t="s">
        <v>0</v>
      </c>
      <c r="AA928" s="14"/>
      <c r="AB928" s="13" t="s">
        <v>0</v>
      </c>
      <c r="AC928" s="13" t="s">
        <v>0</v>
      </c>
      <c r="AD928" s="13" t="s">
        <v>0</v>
      </c>
      <c r="AE928" s="15">
        <v>0</v>
      </c>
    </row>
    <row r="929" spans="1:31" ht="14.15" customHeight="1" x14ac:dyDescent="0.25">
      <c r="A929" s="12" t="s">
        <v>0</v>
      </c>
      <c r="B929" s="13" t="s">
        <v>1</v>
      </c>
      <c r="C929" s="13" t="s">
        <v>228</v>
      </c>
      <c r="D929" s="14">
        <v>44039</v>
      </c>
      <c r="E929" s="14">
        <v>44039</v>
      </c>
      <c r="F929" s="14">
        <v>44042</v>
      </c>
      <c r="G929" s="13" t="s">
        <v>3</v>
      </c>
      <c r="H929" s="13" t="s">
        <v>4</v>
      </c>
      <c r="I929" s="15">
        <v>-19757.98</v>
      </c>
      <c r="J929" s="13" t="s">
        <v>5</v>
      </c>
      <c r="K929" s="13" t="s">
        <v>6</v>
      </c>
      <c r="L929" s="15">
        <v>-1658682.42</v>
      </c>
      <c r="M929" s="15">
        <v>-19757.98</v>
      </c>
      <c r="N929" s="16" t="str">
        <f>IF(M929="","",IF(M929&lt;0,-M929&amp;"_"&amp;COUNTIF(M$2:M929,M929),M929&amp;"_"&amp;COUNTIF(M$2:M929,M929)))</f>
        <v>19757.98_1</v>
      </c>
      <c r="O929" s="17" t="str">
        <f t="shared" si="14"/>
        <v/>
      </c>
      <c r="P929" s="13" t="s">
        <v>229</v>
      </c>
      <c r="Q929" s="13" t="s">
        <v>230</v>
      </c>
      <c r="R929" s="13" t="s">
        <v>0</v>
      </c>
      <c r="S929" s="13" t="s">
        <v>0</v>
      </c>
      <c r="T929" s="13" t="s">
        <v>9</v>
      </c>
      <c r="U929" s="13" t="s">
        <v>0</v>
      </c>
      <c r="V929" s="13" t="s">
        <v>0</v>
      </c>
      <c r="W929" s="13" t="s">
        <v>0</v>
      </c>
      <c r="X929" s="13" t="s">
        <v>0</v>
      </c>
      <c r="Y929" s="13" t="s">
        <v>10</v>
      </c>
      <c r="Z929" s="13" t="s">
        <v>0</v>
      </c>
      <c r="AA929" s="14"/>
      <c r="AB929" s="13" t="s">
        <v>0</v>
      </c>
      <c r="AC929" s="13" t="s">
        <v>0</v>
      </c>
      <c r="AD929" s="13" t="s">
        <v>0</v>
      </c>
      <c r="AE929" s="15">
        <v>0</v>
      </c>
    </row>
    <row r="930" spans="1:31" ht="14.15" customHeight="1" x14ac:dyDescent="0.25">
      <c r="A930" s="12" t="s">
        <v>0</v>
      </c>
      <c r="B930" s="13" t="s">
        <v>1</v>
      </c>
      <c r="C930" s="13" t="s">
        <v>715</v>
      </c>
      <c r="D930" s="14">
        <v>44093</v>
      </c>
      <c r="E930" s="14">
        <v>44093</v>
      </c>
      <c r="F930" s="14">
        <v>44117</v>
      </c>
      <c r="G930" s="13" t="s">
        <v>3</v>
      </c>
      <c r="H930" s="13" t="s">
        <v>4</v>
      </c>
      <c r="I930" s="15">
        <v>-19737.310000000001</v>
      </c>
      <c r="J930" s="13" t="s">
        <v>5</v>
      </c>
      <c r="K930" s="13" t="s">
        <v>6</v>
      </c>
      <c r="L930" s="15">
        <v>-1656947.18</v>
      </c>
      <c r="M930" s="15">
        <v>-19737.310000000001</v>
      </c>
      <c r="N930" s="16" t="str">
        <f>IF(M930="","",IF(M930&lt;0,-M930&amp;"_"&amp;COUNTIF(M$2:M930,M930),M930&amp;"_"&amp;COUNTIF(M$2:M930,M930)))</f>
        <v>19737.31_1</v>
      </c>
      <c r="O930" s="17" t="str">
        <f t="shared" si="14"/>
        <v/>
      </c>
      <c r="P930" s="13" t="s">
        <v>716</v>
      </c>
      <c r="Q930" s="13" t="s">
        <v>714</v>
      </c>
      <c r="R930" s="13" t="s">
        <v>0</v>
      </c>
      <c r="S930" s="13" t="s">
        <v>0</v>
      </c>
      <c r="T930" s="13" t="s">
        <v>9</v>
      </c>
      <c r="U930" s="13" t="s">
        <v>0</v>
      </c>
      <c r="V930" s="13" t="s">
        <v>0</v>
      </c>
      <c r="W930" s="13" t="s">
        <v>0</v>
      </c>
      <c r="X930" s="13" t="s">
        <v>0</v>
      </c>
      <c r="Y930" s="13" t="s">
        <v>10</v>
      </c>
      <c r="Z930" s="13" t="s">
        <v>0</v>
      </c>
      <c r="AA930" s="14"/>
      <c r="AB930" s="13" t="s">
        <v>0</v>
      </c>
      <c r="AC930" s="13" t="s">
        <v>0</v>
      </c>
      <c r="AD930" s="13" t="s">
        <v>0</v>
      </c>
      <c r="AE930" s="15">
        <v>0</v>
      </c>
    </row>
    <row r="931" spans="1:31" ht="14.15" customHeight="1" x14ac:dyDescent="0.25">
      <c r="A931" s="12" t="s">
        <v>0</v>
      </c>
      <c r="B931" s="13" t="s">
        <v>1</v>
      </c>
      <c r="C931" s="13" t="s">
        <v>681</v>
      </c>
      <c r="D931" s="14">
        <v>44089</v>
      </c>
      <c r="E931" s="14">
        <v>44089</v>
      </c>
      <c r="F931" s="14">
        <v>44091</v>
      </c>
      <c r="G931" s="13" t="s">
        <v>3</v>
      </c>
      <c r="H931" s="13" t="s">
        <v>4</v>
      </c>
      <c r="I931" s="15">
        <v>-19712.400000000001</v>
      </c>
      <c r="J931" s="13" t="s">
        <v>5</v>
      </c>
      <c r="K931" s="13" t="s">
        <v>6</v>
      </c>
      <c r="L931" s="15">
        <v>-1654855.98</v>
      </c>
      <c r="M931" s="15">
        <v>-19712.400000000001</v>
      </c>
      <c r="N931" s="16" t="str">
        <f>IF(M931="","",IF(M931&lt;0,-M931&amp;"_"&amp;COUNTIF(M$2:M931,M931),M931&amp;"_"&amp;COUNTIF(M$2:M931,M931)))</f>
        <v>19712.4_1</v>
      </c>
      <c r="O931" s="17" t="str">
        <f t="shared" si="14"/>
        <v/>
      </c>
      <c r="P931" s="13" t="s">
        <v>682</v>
      </c>
      <c r="Q931" s="13" t="s">
        <v>680</v>
      </c>
      <c r="R931" s="13" t="s">
        <v>0</v>
      </c>
      <c r="S931" s="13" t="s">
        <v>0</v>
      </c>
      <c r="T931" s="13" t="s">
        <v>9</v>
      </c>
      <c r="U931" s="13" t="s">
        <v>0</v>
      </c>
      <c r="V931" s="13" t="s">
        <v>0</v>
      </c>
      <c r="W931" s="13" t="s">
        <v>0</v>
      </c>
      <c r="X931" s="13" t="s">
        <v>0</v>
      </c>
      <c r="Y931" s="13" t="s">
        <v>10</v>
      </c>
      <c r="Z931" s="13" t="s">
        <v>0</v>
      </c>
      <c r="AA931" s="14"/>
      <c r="AB931" s="13" t="s">
        <v>0</v>
      </c>
      <c r="AC931" s="13" t="s">
        <v>0</v>
      </c>
      <c r="AD931" s="13" t="s">
        <v>0</v>
      </c>
      <c r="AE931" s="15">
        <v>0</v>
      </c>
    </row>
    <row r="932" spans="1:31" ht="14.15" customHeight="1" x14ac:dyDescent="0.25">
      <c r="A932" s="12" t="s">
        <v>0</v>
      </c>
      <c r="B932" s="13" t="s">
        <v>1</v>
      </c>
      <c r="C932" s="13" t="s">
        <v>4246</v>
      </c>
      <c r="D932" s="14">
        <v>44369</v>
      </c>
      <c r="E932" s="14">
        <v>44369</v>
      </c>
      <c r="F932" s="14">
        <v>44371</v>
      </c>
      <c r="G932" s="13" t="s">
        <v>3</v>
      </c>
      <c r="H932" s="13" t="s">
        <v>4</v>
      </c>
      <c r="I932" s="15">
        <v>-19707.689999999999</v>
      </c>
      <c r="J932" s="13" t="s">
        <v>5</v>
      </c>
      <c r="K932" s="13" t="s">
        <v>6</v>
      </c>
      <c r="L932" s="15">
        <v>-1654460.57</v>
      </c>
      <c r="M932" s="15">
        <v>-19707.689999999999</v>
      </c>
      <c r="N932" s="16" t="str">
        <f>IF(M932="","",IF(M932&lt;0,-M932&amp;"_"&amp;COUNTIF(M$2:M932,M932),M932&amp;"_"&amp;COUNTIF(M$2:M932,M932)))</f>
        <v>19707.69_1</v>
      </c>
      <c r="O932" s="17" t="str">
        <f t="shared" si="14"/>
        <v/>
      </c>
      <c r="P932" s="13" t="s">
        <v>4247</v>
      </c>
      <c r="Q932" s="13" t="s">
        <v>4248</v>
      </c>
      <c r="R932" s="13" t="s">
        <v>0</v>
      </c>
      <c r="S932" s="13" t="s">
        <v>0</v>
      </c>
      <c r="T932" s="13" t="s">
        <v>9</v>
      </c>
      <c r="U932" s="13" t="s">
        <v>0</v>
      </c>
      <c r="V932" s="13" t="s">
        <v>0</v>
      </c>
      <c r="W932" s="13" t="s">
        <v>0</v>
      </c>
      <c r="X932" s="13" t="s">
        <v>0</v>
      </c>
      <c r="Y932" s="13" t="s">
        <v>10</v>
      </c>
      <c r="Z932" s="13" t="s">
        <v>0</v>
      </c>
      <c r="AA932" s="14"/>
      <c r="AB932" s="13" t="s">
        <v>0</v>
      </c>
      <c r="AC932" s="13" t="s">
        <v>0</v>
      </c>
      <c r="AD932" s="13" t="s">
        <v>0</v>
      </c>
      <c r="AE932" s="15">
        <v>0</v>
      </c>
    </row>
    <row r="933" spans="1:31" ht="14.15" customHeight="1" x14ac:dyDescent="0.25">
      <c r="A933" s="12" t="s">
        <v>0</v>
      </c>
      <c r="B933" s="13" t="s">
        <v>1</v>
      </c>
      <c r="C933" s="13" t="s">
        <v>3666</v>
      </c>
      <c r="D933" s="14">
        <v>44335</v>
      </c>
      <c r="E933" s="14">
        <v>44335</v>
      </c>
      <c r="F933" s="14">
        <v>44340</v>
      </c>
      <c r="G933" s="13" t="s">
        <v>3</v>
      </c>
      <c r="H933" s="13" t="s">
        <v>4</v>
      </c>
      <c r="I933" s="15">
        <v>-19679.37</v>
      </c>
      <c r="J933" s="13" t="s">
        <v>5</v>
      </c>
      <c r="K933" s="13" t="s">
        <v>6</v>
      </c>
      <c r="L933" s="15">
        <v>-1652083.12</v>
      </c>
      <c r="M933" s="15">
        <v>-19679.37</v>
      </c>
      <c r="N933" s="16" t="str">
        <f>IF(M933="","",IF(M933&lt;0,-M933&amp;"_"&amp;COUNTIF(M$2:M933,M933),M933&amp;"_"&amp;COUNTIF(M$2:M933,M933)))</f>
        <v>19679.37_1</v>
      </c>
      <c r="O933" s="17" t="str">
        <f t="shared" si="14"/>
        <v/>
      </c>
      <c r="P933" s="13" t="s">
        <v>3667</v>
      </c>
      <c r="Q933" s="13" t="s">
        <v>3665</v>
      </c>
      <c r="R933" s="13" t="s">
        <v>0</v>
      </c>
      <c r="S933" s="13" t="s">
        <v>0</v>
      </c>
      <c r="T933" s="13" t="s">
        <v>9</v>
      </c>
      <c r="U933" s="13" t="s">
        <v>0</v>
      </c>
      <c r="V933" s="13" t="s">
        <v>0</v>
      </c>
      <c r="W933" s="13" t="s">
        <v>0</v>
      </c>
      <c r="X933" s="13" t="s">
        <v>0</v>
      </c>
      <c r="Y933" s="13" t="s">
        <v>10</v>
      </c>
      <c r="Z933" s="13" t="s">
        <v>0</v>
      </c>
      <c r="AA933" s="14"/>
      <c r="AB933" s="13" t="s">
        <v>0</v>
      </c>
      <c r="AC933" s="13" t="s">
        <v>0</v>
      </c>
      <c r="AD933" s="13" t="s">
        <v>0</v>
      </c>
      <c r="AE933" s="15">
        <v>0</v>
      </c>
    </row>
    <row r="934" spans="1:31" ht="14.15" customHeight="1" x14ac:dyDescent="0.25">
      <c r="A934" s="12" t="s">
        <v>0</v>
      </c>
      <c r="B934" s="13" t="s">
        <v>1</v>
      </c>
      <c r="C934" s="13" t="s">
        <v>710</v>
      </c>
      <c r="D934" s="14">
        <v>44092</v>
      </c>
      <c r="E934" s="14">
        <v>44092</v>
      </c>
      <c r="F934" s="14">
        <v>44098</v>
      </c>
      <c r="G934" s="13" t="s">
        <v>3</v>
      </c>
      <c r="H934" s="13" t="s">
        <v>4</v>
      </c>
      <c r="I934" s="15">
        <v>-19677.599999999999</v>
      </c>
      <c r="J934" s="13" t="s">
        <v>5</v>
      </c>
      <c r="K934" s="13" t="s">
        <v>6</v>
      </c>
      <c r="L934" s="15">
        <v>-1651934.52</v>
      </c>
      <c r="M934" s="15">
        <v>-19677.599999999999</v>
      </c>
      <c r="N934" s="16" t="str">
        <f>IF(M934="","",IF(M934&lt;0,-M934&amp;"_"&amp;COUNTIF(M$2:M934,M934),M934&amp;"_"&amp;COUNTIF(M$2:M934,M934)))</f>
        <v>19677.6_1</v>
      </c>
      <c r="O934" s="17" t="str">
        <f t="shared" si="14"/>
        <v/>
      </c>
      <c r="P934" s="13" t="s">
        <v>711</v>
      </c>
      <c r="Q934" s="13" t="s">
        <v>709</v>
      </c>
      <c r="R934" s="13" t="s">
        <v>0</v>
      </c>
      <c r="S934" s="13" t="s">
        <v>0</v>
      </c>
      <c r="T934" s="13" t="s">
        <v>9</v>
      </c>
      <c r="U934" s="13" t="s">
        <v>0</v>
      </c>
      <c r="V934" s="13" t="s">
        <v>0</v>
      </c>
      <c r="W934" s="13" t="s">
        <v>0</v>
      </c>
      <c r="X934" s="13" t="s">
        <v>0</v>
      </c>
      <c r="Y934" s="13" t="s">
        <v>10</v>
      </c>
      <c r="Z934" s="13" t="s">
        <v>0</v>
      </c>
      <c r="AA934" s="14"/>
      <c r="AB934" s="13" t="s">
        <v>0</v>
      </c>
      <c r="AC934" s="13" t="s">
        <v>0</v>
      </c>
      <c r="AD934" s="13" t="s">
        <v>0</v>
      </c>
      <c r="AE934" s="15">
        <v>0</v>
      </c>
    </row>
    <row r="935" spans="1:31" ht="14.15" customHeight="1" x14ac:dyDescent="0.25">
      <c r="A935" s="12" t="s">
        <v>0</v>
      </c>
      <c r="B935" s="13" t="s">
        <v>1</v>
      </c>
      <c r="C935" s="13" t="s">
        <v>616</v>
      </c>
      <c r="D935" s="14">
        <v>44082</v>
      </c>
      <c r="E935" s="14">
        <v>44082</v>
      </c>
      <c r="F935" s="14">
        <v>44086</v>
      </c>
      <c r="G935" s="13" t="s">
        <v>3</v>
      </c>
      <c r="H935" s="13" t="s">
        <v>4</v>
      </c>
      <c r="I935" s="15">
        <v>-19638.11</v>
      </c>
      <c r="J935" s="13" t="s">
        <v>5</v>
      </c>
      <c r="K935" s="13" t="s">
        <v>6</v>
      </c>
      <c r="L935" s="15">
        <v>-1648619.33</v>
      </c>
      <c r="M935" s="15">
        <v>-19638.11</v>
      </c>
      <c r="N935" s="16" t="str">
        <f>IF(M935="","",IF(M935&lt;0,-M935&amp;"_"&amp;COUNTIF(M$2:M935,M935),M935&amp;"_"&amp;COUNTIF(M$2:M935,M935)))</f>
        <v>19638.11_1</v>
      </c>
      <c r="O935" s="17" t="str">
        <f t="shared" si="14"/>
        <v/>
      </c>
      <c r="P935" s="13" t="s">
        <v>617</v>
      </c>
      <c r="Q935" s="13" t="s">
        <v>603</v>
      </c>
      <c r="R935" s="13" t="s">
        <v>0</v>
      </c>
      <c r="S935" s="13" t="s">
        <v>0</v>
      </c>
      <c r="T935" s="13" t="s">
        <v>9</v>
      </c>
      <c r="U935" s="13" t="s">
        <v>0</v>
      </c>
      <c r="V935" s="13" t="s">
        <v>0</v>
      </c>
      <c r="W935" s="13" t="s">
        <v>0</v>
      </c>
      <c r="X935" s="13" t="s">
        <v>0</v>
      </c>
      <c r="Y935" s="13" t="s">
        <v>10</v>
      </c>
      <c r="Z935" s="13" t="s">
        <v>0</v>
      </c>
      <c r="AA935" s="14"/>
      <c r="AB935" s="13" t="s">
        <v>0</v>
      </c>
      <c r="AC935" s="13" t="s">
        <v>0</v>
      </c>
      <c r="AD935" s="13" t="s">
        <v>0</v>
      </c>
      <c r="AE935" s="15">
        <v>0</v>
      </c>
    </row>
    <row r="936" spans="1:31" ht="14.15" customHeight="1" x14ac:dyDescent="0.25">
      <c r="A936" s="12" t="s">
        <v>0</v>
      </c>
      <c r="B936" s="13" t="s">
        <v>1</v>
      </c>
      <c r="C936" s="13" t="s">
        <v>355</v>
      </c>
      <c r="D936" s="14">
        <v>44048</v>
      </c>
      <c r="E936" s="14">
        <v>44048</v>
      </c>
      <c r="F936" s="14">
        <v>44072</v>
      </c>
      <c r="G936" s="13" t="s">
        <v>3</v>
      </c>
      <c r="H936" s="13" t="s">
        <v>4</v>
      </c>
      <c r="I936" s="15">
        <v>-19636.46</v>
      </c>
      <c r="J936" s="13" t="s">
        <v>5</v>
      </c>
      <c r="K936" s="13" t="s">
        <v>6</v>
      </c>
      <c r="L936" s="15">
        <v>-1648480.82</v>
      </c>
      <c r="M936" s="15">
        <v>-19636.46</v>
      </c>
      <c r="N936" s="16" t="str">
        <f>IF(M936="","",IF(M936&lt;0,-M936&amp;"_"&amp;COUNTIF(M$2:M936,M936),M936&amp;"_"&amp;COUNTIF(M$2:M936,M936)))</f>
        <v>19636.46_1</v>
      </c>
      <c r="O936" s="17" t="str">
        <f t="shared" si="14"/>
        <v/>
      </c>
      <c r="P936" s="13" t="s">
        <v>356</v>
      </c>
      <c r="Q936" s="13" t="s">
        <v>357</v>
      </c>
      <c r="R936" s="13" t="s">
        <v>0</v>
      </c>
      <c r="S936" s="13" t="s">
        <v>0</v>
      </c>
      <c r="T936" s="13" t="s">
        <v>9</v>
      </c>
      <c r="U936" s="13" t="s">
        <v>0</v>
      </c>
      <c r="V936" s="13" t="s">
        <v>0</v>
      </c>
      <c r="W936" s="13" t="s">
        <v>0</v>
      </c>
      <c r="X936" s="13" t="s">
        <v>0</v>
      </c>
      <c r="Y936" s="13" t="s">
        <v>10</v>
      </c>
      <c r="Z936" s="13" t="s">
        <v>0</v>
      </c>
      <c r="AA936" s="14"/>
      <c r="AB936" s="13" t="s">
        <v>0</v>
      </c>
      <c r="AC936" s="13" t="s">
        <v>0</v>
      </c>
      <c r="AD936" s="13" t="s">
        <v>0</v>
      </c>
      <c r="AE936" s="15">
        <v>0</v>
      </c>
    </row>
    <row r="937" spans="1:31" ht="14.15" customHeight="1" x14ac:dyDescent="0.25">
      <c r="A937" s="12" t="s">
        <v>0</v>
      </c>
      <c r="B937" s="13" t="s">
        <v>1</v>
      </c>
      <c r="C937" s="13" t="s">
        <v>1003</v>
      </c>
      <c r="D937" s="14">
        <v>44126</v>
      </c>
      <c r="E937" s="14">
        <v>44126</v>
      </c>
      <c r="F937" s="14">
        <v>44136</v>
      </c>
      <c r="G937" s="13" t="s">
        <v>3</v>
      </c>
      <c r="H937" s="13" t="s">
        <v>4</v>
      </c>
      <c r="I937" s="15">
        <v>-19580.400000000001</v>
      </c>
      <c r="J937" s="13" t="s">
        <v>5</v>
      </c>
      <c r="K937" s="13" t="s">
        <v>6</v>
      </c>
      <c r="L937" s="15">
        <v>-1643774.58</v>
      </c>
      <c r="M937" s="15">
        <v>-19580.400000000001</v>
      </c>
      <c r="N937" s="16" t="str">
        <f>IF(M937="","",IF(M937&lt;0,-M937&amp;"_"&amp;COUNTIF(M$2:M937,M937),M937&amp;"_"&amp;COUNTIF(M$2:M937,M937)))</f>
        <v>19580.4_1</v>
      </c>
      <c r="O937" s="17" t="str">
        <f t="shared" si="14"/>
        <v/>
      </c>
      <c r="P937" s="13" t="s">
        <v>1004</v>
      </c>
      <c r="Q937" s="13" t="s">
        <v>992</v>
      </c>
      <c r="R937" s="13" t="s">
        <v>0</v>
      </c>
      <c r="S937" s="13" t="s">
        <v>0</v>
      </c>
      <c r="T937" s="13" t="s">
        <v>9</v>
      </c>
      <c r="U937" s="13" t="s">
        <v>0</v>
      </c>
      <c r="V937" s="13" t="s">
        <v>0</v>
      </c>
      <c r="W937" s="13" t="s">
        <v>0</v>
      </c>
      <c r="X937" s="13" t="s">
        <v>0</v>
      </c>
      <c r="Y937" s="13" t="s">
        <v>10</v>
      </c>
      <c r="Z937" s="13" t="s">
        <v>0</v>
      </c>
      <c r="AA937" s="14"/>
      <c r="AB937" s="13" t="s">
        <v>0</v>
      </c>
      <c r="AC937" s="13" t="s">
        <v>0</v>
      </c>
      <c r="AD937" s="13" t="s">
        <v>0</v>
      </c>
      <c r="AE937" s="15">
        <v>0</v>
      </c>
    </row>
    <row r="938" spans="1:31" ht="14.15" customHeight="1" x14ac:dyDescent="0.25">
      <c r="A938" s="12" t="s">
        <v>0</v>
      </c>
      <c r="B938" s="13" t="s">
        <v>1</v>
      </c>
      <c r="C938" s="13" t="s">
        <v>2326</v>
      </c>
      <c r="D938" s="14">
        <v>44220</v>
      </c>
      <c r="E938" s="14">
        <v>44220</v>
      </c>
      <c r="F938" s="14">
        <v>44229</v>
      </c>
      <c r="G938" s="13" t="s">
        <v>3</v>
      </c>
      <c r="H938" s="13" t="s">
        <v>4</v>
      </c>
      <c r="I938" s="15">
        <v>-19580.400000000001</v>
      </c>
      <c r="J938" s="13" t="s">
        <v>5</v>
      </c>
      <c r="K938" s="13" t="s">
        <v>6</v>
      </c>
      <c r="L938" s="15">
        <v>-1643774.58</v>
      </c>
      <c r="M938" s="15">
        <v>-19580.400000000001</v>
      </c>
      <c r="N938" s="16" t="str">
        <f>IF(M938="","",IF(M938&lt;0,-M938&amp;"_"&amp;COUNTIF(M$2:M938,M938),M938&amp;"_"&amp;COUNTIF(M$2:M938,M938)))</f>
        <v>19580.4_2</v>
      </c>
      <c r="O938" s="17" t="str">
        <f t="shared" si="14"/>
        <v/>
      </c>
      <c r="P938" s="13" t="s">
        <v>2327</v>
      </c>
      <c r="Q938" s="13" t="s">
        <v>2317</v>
      </c>
      <c r="R938" s="13" t="s">
        <v>0</v>
      </c>
      <c r="S938" s="13" t="s">
        <v>0</v>
      </c>
      <c r="T938" s="13" t="s">
        <v>9</v>
      </c>
      <c r="U938" s="13" t="s">
        <v>0</v>
      </c>
      <c r="V938" s="13" t="s">
        <v>0</v>
      </c>
      <c r="W938" s="13" t="s">
        <v>0</v>
      </c>
      <c r="X938" s="13" t="s">
        <v>0</v>
      </c>
      <c r="Y938" s="13" t="s">
        <v>10</v>
      </c>
      <c r="Z938" s="13" t="s">
        <v>0</v>
      </c>
      <c r="AA938" s="14"/>
      <c r="AB938" s="13" t="s">
        <v>0</v>
      </c>
      <c r="AC938" s="13" t="s">
        <v>0</v>
      </c>
      <c r="AD938" s="13" t="s">
        <v>0</v>
      </c>
      <c r="AE938" s="15">
        <v>0</v>
      </c>
    </row>
    <row r="939" spans="1:31" ht="14.15" customHeight="1" x14ac:dyDescent="0.25">
      <c r="A939" s="12" t="s">
        <v>0</v>
      </c>
      <c r="B939" s="13" t="s">
        <v>1</v>
      </c>
      <c r="C939" s="13" t="s">
        <v>1819</v>
      </c>
      <c r="D939" s="14">
        <v>44183</v>
      </c>
      <c r="E939" s="14">
        <v>44183</v>
      </c>
      <c r="F939" s="14">
        <v>44188</v>
      </c>
      <c r="G939" s="13" t="s">
        <v>3</v>
      </c>
      <c r="H939" s="13" t="s">
        <v>4</v>
      </c>
      <c r="I939" s="15">
        <v>-19579.64</v>
      </c>
      <c r="J939" s="13" t="s">
        <v>5</v>
      </c>
      <c r="K939" s="13" t="s">
        <v>6</v>
      </c>
      <c r="L939" s="15">
        <v>-1643710.78</v>
      </c>
      <c r="M939" s="15">
        <v>-19579.64</v>
      </c>
      <c r="N939" s="16" t="str">
        <f>IF(M939="","",IF(M939&lt;0,-M939&amp;"_"&amp;COUNTIF(M$2:M939,M939),M939&amp;"_"&amp;COUNTIF(M$2:M939,M939)))</f>
        <v>19579.64_1</v>
      </c>
      <c r="O939" s="17" t="str">
        <f t="shared" si="14"/>
        <v/>
      </c>
      <c r="P939" s="13" t="s">
        <v>1820</v>
      </c>
      <c r="Q939" s="13" t="s">
        <v>1792</v>
      </c>
      <c r="R939" s="13" t="s">
        <v>0</v>
      </c>
      <c r="S939" s="13" t="s">
        <v>0</v>
      </c>
      <c r="T939" s="13" t="s">
        <v>9</v>
      </c>
      <c r="U939" s="13" t="s">
        <v>0</v>
      </c>
      <c r="V939" s="13" t="s">
        <v>0</v>
      </c>
      <c r="W939" s="13" t="s">
        <v>0</v>
      </c>
      <c r="X939" s="13" t="s">
        <v>0</v>
      </c>
      <c r="Y939" s="13" t="s">
        <v>10</v>
      </c>
      <c r="Z939" s="13" t="s">
        <v>0</v>
      </c>
      <c r="AA939" s="14"/>
      <c r="AB939" s="13" t="s">
        <v>0</v>
      </c>
      <c r="AC939" s="13" t="s">
        <v>0</v>
      </c>
      <c r="AD939" s="13" t="s">
        <v>0</v>
      </c>
      <c r="AE939" s="15">
        <v>0</v>
      </c>
    </row>
    <row r="940" spans="1:31" ht="14.15" customHeight="1" x14ac:dyDescent="0.25">
      <c r="A940" s="12" t="s">
        <v>0</v>
      </c>
      <c r="B940" s="13" t="s">
        <v>1</v>
      </c>
      <c r="C940" s="13" t="s">
        <v>2681</v>
      </c>
      <c r="D940" s="14">
        <v>44253</v>
      </c>
      <c r="E940" s="14">
        <v>44253</v>
      </c>
      <c r="F940" s="14">
        <v>44258</v>
      </c>
      <c r="G940" s="13" t="s">
        <v>3</v>
      </c>
      <c r="H940" s="13" t="s">
        <v>4</v>
      </c>
      <c r="I940" s="15">
        <v>-19562.400000000001</v>
      </c>
      <c r="J940" s="13" t="s">
        <v>5</v>
      </c>
      <c r="K940" s="13" t="s">
        <v>6</v>
      </c>
      <c r="L940" s="15">
        <v>-1642263.48</v>
      </c>
      <c r="M940" s="15">
        <v>-19562.400000000001</v>
      </c>
      <c r="N940" s="16" t="str">
        <f>IF(M940="","",IF(M940&lt;0,-M940&amp;"_"&amp;COUNTIF(M$2:M940,M940),M940&amp;"_"&amp;COUNTIF(M$2:M940,M940)))</f>
        <v>19562.4_1</v>
      </c>
      <c r="O940" s="17" t="str">
        <f t="shared" si="14"/>
        <v/>
      </c>
      <c r="P940" s="13" t="s">
        <v>2682</v>
      </c>
      <c r="Q940" s="13" t="s">
        <v>2660</v>
      </c>
      <c r="R940" s="13" t="s">
        <v>0</v>
      </c>
      <c r="S940" s="13" t="s">
        <v>0</v>
      </c>
      <c r="T940" s="13" t="s">
        <v>9</v>
      </c>
      <c r="U940" s="13" t="s">
        <v>0</v>
      </c>
      <c r="V940" s="13" t="s">
        <v>0</v>
      </c>
      <c r="W940" s="13" t="s">
        <v>0</v>
      </c>
      <c r="X940" s="13" t="s">
        <v>0</v>
      </c>
      <c r="Y940" s="13" t="s">
        <v>10</v>
      </c>
      <c r="Z940" s="13" t="s">
        <v>0</v>
      </c>
      <c r="AA940" s="14"/>
      <c r="AB940" s="13" t="s">
        <v>0</v>
      </c>
      <c r="AC940" s="13" t="s">
        <v>0</v>
      </c>
      <c r="AD940" s="13" t="s">
        <v>0</v>
      </c>
      <c r="AE940" s="15">
        <v>0</v>
      </c>
    </row>
    <row r="941" spans="1:31" ht="14.15" customHeight="1" x14ac:dyDescent="0.25">
      <c r="A941" s="12" t="s">
        <v>0</v>
      </c>
      <c r="B941" s="13" t="s">
        <v>1</v>
      </c>
      <c r="C941" s="13" t="s">
        <v>1512</v>
      </c>
      <c r="D941" s="14">
        <v>44163</v>
      </c>
      <c r="E941" s="14">
        <v>44163</v>
      </c>
      <c r="F941" s="14">
        <v>44168</v>
      </c>
      <c r="G941" s="13" t="s">
        <v>3</v>
      </c>
      <c r="H941" s="13" t="s">
        <v>4</v>
      </c>
      <c r="I941" s="15">
        <v>-19522.86</v>
      </c>
      <c r="J941" s="13" t="s">
        <v>5</v>
      </c>
      <c r="K941" s="13" t="s">
        <v>6</v>
      </c>
      <c r="L941" s="15">
        <v>-1638944.1</v>
      </c>
      <c r="M941" s="15">
        <v>-19522.86</v>
      </c>
      <c r="N941" s="16" t="str">
        <f>IF(M941="","",IF(M941&lt;0,-M941&amp;"_"&amp;COUNTIF(M$2:M941,M941),M941&amp;"_"&amp;COUNTIF(M$2:M941,M941)))</f>
        <v>19522.86_1</v>
      </c>
      <c r="O941" s="17" t="str">
        <f t="shared" si="14"/>
        <v/>
      </c>
      <c r="P941" s="13" t="s">
        <v>1513</v>
      </c>
      <c r="Q941" s="13" t="s">
        <v>1509</v>
      </c>
      <c r="R941" s="13" t="s">
        <v>0</v>
      </c>
      <c r="S941" s="13" t="s">
        <v>0</v>
      </c>
      <c r="T941" s="13" t="s">
        <v>9</v>
      </c>
      <c r="U941" s="13" t="s">
        <v>0</v>
      </c>
      <c r="V941" s="13" t="s">
        <v>0</v>
      </c>
      <c r="W941" s="13" t="s">
        <v>0</v>
      </c>
      <c r="X941" s="13" t="s">
        <v>0</v>
      </c>
      <c r="Y941" s="13" t="s">
        <v>10</v>
      </c>
      <c r="Z941" s="13" t="s">
        <v>0</v>
      </c>
      <c r="AA941" s="14"/>
      <c r="AB941" s="13" t="s">
        <v>0</v>
      </c>
      <c r="AC941" s="13" t="s">
        <v>0</v>
      </c>
      <c r="AD941" s="13" t="s">
        <v>0</v>
      </c>
      <c r="AE941" s="15">
        <v>0</v>
      </c>
    </row>
    <row r="942" spans="1:31" ht="14.15" customHeight="1" x14ac:dyDescent="0.25">
      <c r="A942" s="12" t="s">
        <v>0</v>
      </c>
      <c r="B942" s="13" t="s">
        <v>1</v>
      </c>
      <c r="C942" s="13" t="s">
        <v>1584</v>
      </c>
      <c r="D942" s="14">
        <v>44166</v>
      </c>
      <c r="E942" s="14">
        <v>44166</v>
      </c>
      <c r="F942" s="14">
        <v>44180</v>
      </c>
      <c r="G942" s="13" t="s">
        <v>3</v>
      </c>
      <c r="H942" s="13" t="s">
        <v>4</v>
      </c>
      <c r="I942" s="15">
        <v>-19507.650000000001</v>
      </c>
      <c r="J942" s="13" t="s">
        <v>5</v>
      </c>
      <c r="K942" s="13" t="s">
        <v>6</v>
      </c>
      <c r="L942" s="15">
        <v>-1637667.22</v>
      </c>
      <c r="M942" s="15">
        <v>-19507.650000000001</v>
      </c>
      <c r="N942" s="16" t="str">
        <f>IF(M942="","",IF(M942&lt;0,-M942&amp;"_"&amp;COUNTIF(M$2:M942,M942),M942&amp;"_"&amp;COUNTIF(M$2:M942,M942)))</f>
        <v>19507.65_1</v>
      </c>
      <c r="O942" s="17" t="str">
        <f t="shared" si="14"/>
        <v/>
      </c>
      <c r="P942" s="13" t="s">
        <v>1585</v>
      </c>
      <c r="Q942" s="13" t="s">
        <v>1579</v>
      </c>
      <c r="R942" s="13" t="s">
        <v>0</v>
      </c>
      <c r="S942" s="13" t="s">
        <v>0</v>
      </c>
      <c r="T942" s="13" t="s">
        <v>9</v>
      </c>
      <c r="U942" s="13" t="s">
        <v>0</v>
      </c>
      <c r="V942" s="13" t="s">
        <v>0</v>
      </c>
      <c r="W942" s="13" t="s">
        <v>0</v>
      </c>
      <c r="X942" s="13" t="s">
        <v>0</v>
      </c>
      <c r="Y942" s="13" t="s">
        <v>10</v>
      </c>
      <c r="Z942" s="13" t="s">
        <v>0</v>
      </c>
      <c r="AA942" s="14"/>
      <c r="AB942" s="13" t="s">
        <v>0</v>
      </c>
      <c r="AC942" s="13" t="s">
        <v>0</v>
      </c>
      <c r="AD942" s="13" t="s">
        <v>0</v>
      </c>
      <c r="AE942" s="15">
        <v>0</v>
      </c>
    </row>
    <row r="943" spans="1:31" ht="14.15" customHeight="1" x14ac:dyDescent="0.25">
      <c r="A943" s="12" t="s">
        <v>0</v>
      </c>
      <c r="B943" s="13" t="s">
        <v>1</v>
      </c>
      <c r="C943" s="13" t="s">
        <v>408</v>
      </c>
      <c r="D943" s="14">
        <v>44062</v>
      </c>
      <c r="E943" s="14">
        <v>44062</v>
      </c>
      <c r="F943" s="14">
        <v>44079</v>
      </c>
      <c r="G943" s="13" t="s">
        <v>3</v>
      </c>
      <c r="H943" s="13" t="s">
        <v>4</v>
      </c>
      <c r="I943" s="15">
        <v>-19499.88</v>
      </c>
      <c r="J943" s="13" t="s">
        <v>5</v>
      </c>
      <c r="K943" s="13" t="s">
        <v>6</v>
      </c>
      <c r="L943" s="15">
        <v>-1637014.93</v>
      </c>
      <c r="M943" s="15">
        <v>-19499.88</v>
      </c>
      <c r="N943" s="16" t="str">
        <f>IF(M943="","",IF(M943&lt;0,-M943&amp;"_"&amp;COUNTIF(M$2:M943,M943),M943&amp;"_"&amp;COUNTIF(M$2:M943,M943)))</f>
        <v>19499.88_1</v>
      </c>
      <c r="O943" s="17" t="str">
        <f t="shared" si="14"/>
        <v/>
      </c>
      <c r="P943" s="13" t="s">
        <v>409</v>
      </c>
      <c r="Q943" s="13" t="s">
        <v>403</v>
      </c>
      <c r="R943" s="13" t="s">
        <v>0</v>
      </c>
      <c r="S943" s="13" t="s">
        <v>0</v>
      </c>
      <c r="T943" s="13" t="s">
        <v>9</v>
      </c>
      <c r="U943" s="13" t="s">
        <v>0</v>
      </c>
      <c r="V943" s="13" t="s">
        <v>0</v>
      </c>
      <c r="W943" s="13" t="s">
        <v>0</v>
      </c>
      <c r="X943" s="13" t="s">
        <v>0</v>
      </c>
      <c r="Y943" s="13" t="s">
        <v>10</v>
      </c>
      <c r="Z943" s="13" t="s">
        <v>0</v>
      </c>
      <c r="AA943" s="14"/>
      <c r="AB943" s="13" t="s">
        <v>0</v>
      </c>
      <c r="AC943" s="13" t="s">
        <v>0</v>
      </c>
      <c r="AD943" s="13" t="s">
        <v>0</v>
      </c>
      <c r="AE943" s="15">
        <v>0</v>
      </c>
    </row>
    <row r="944" spans="1:31" ht="14.15" customHeight="1" x14ac:dyDescent="0.25">
      <c r="A944" s="12" t="s">
        <v>0</v>
      </c>
      <c r="B944" s="13" t="s">
        <v>1</v>
      </c>
      <c r="C944" s="13" t="s">
        <v>3774</v>
      </c>
      <c r="D944" s="14">
        <v>44343</v>
      </c>
      <c r="E944" s="14">
        <v>44343</v>
      </c>
      <c r="F944" s="14">
        <v>44348</v>
      </c>
      <c r="G944" s="13" t="s">
        <v>3</v>
      </c>
      <c r="H944" s="13" t="s">
        <v>4</v>
      </c>
      <c r="I944" s="15">
        <v>-19488.650000000001</v>
      </c>
      <c r="J944" s="13" t="s">
        <v>5</v>
      </c>
      <c r="K944" s="13" t="s">
        <v>6</v>
      </c>
      <c r="L944" s="15">
        <v>-1636072.17</v>
      </c>
      <c r="M944" s="15">
        <v>-19488.650000000001</v>
      </c>
      <c r="N944" s="16" t="str">
        <f>IF(M944="","",IF(M944&lt;0,-M944&amp;"_"&amp;COUNTIF(M$2:M944,M944),M944&amp;"_"&amp;COUNTIF(M$2:M944,M944)))</f>
        <v>19488.65_1</v>
      </c>
      <c r="O944" s="17" t="str">
        <f t="shared" si="14"/>
        <v/>
      </c>
      <c r="P944" s="13" t="s">
        <v>3775</v>
      </c>
      <c r="Q944" s="13" t="s">
        <v>3773</v>
      </c>
      <c r="R944" s="13" t="s">
        <v>0</v>
      </c>
      <c r="S944" s="13" t="s">
        <v>0</v>
      </c>
      <c r="T944" s="13" t="s">
        <v>9</v>
      </c>
      <c r="U944" s="13" t="s">
        <v>0</v>
      </c>
      <c r="V944" s="13" t="s">
        <v>0</v>
      </c>
      <c r="W944" s="13" t="s">
        <v>0</v>
      </c>
      <c r="X944" s="13" t="s">
        <v>0</v>
      </c>
      <c r="Y944" s="13" t="s">
        <v>10</v>
      </c>
      <c r="Z944" s="13" t="s">
        <v>0</v>
      </c>
      <c r="AA944" s="14"/>
      <c r="AB944" s="13" t="s">
        <v>0</v>
      </c>
      <c r="AC944" s="13" t="s">
        <v>0</v>
      </c>
      <c r="AD944" s="13" t="s">
        <v>0</v>
      </c>
      <c r="AE944" s="15">
        <v>0</v>
      </c>
    </row>
    <row r="945" spans="1:31" ht="14.15" customHeight="1" x14ac:dyDescent="0.25">
      <c r="A945" s="12" t="s">
        <v>0</v>
      </c>
      <c r="B945" s="13" t="s">
        <v>1</v>
      </c>
      <c r="C945" s="13" t="s">
        <v>2125</v>
      </c>
      <c r="D945" s="14">
        <v>44202</v>
      </c>
      <c r="E945" s="14">
        <v>44202</v>
      </c>
      <c r="F945" s="14">
        <v>44208</v>
      </c>
      <c r="G945" s="13" t="s">
        <v>3</v>
      </c>
      <c r="H945" s="13" t="s">
        <v>4</v>
      </c>
      <c r="I945" s="15">
        <v>-19475.45</v>
      </c>
      <c r="J945" s="13" t="s">
        <v>5</v>
      </c>
      <c r="K945" s="13" t="s">
        <v>6</v>
      </c>
      <c r="L945" s="15">
        <v>-1634964.03</v>
      </c>
      <c r="M945" s="15">
        <v>-19475.45</v>
      </c>
      <c r="N945" s="16" t="str">
        <f>IF(M945="","",IF(M945&lt;0,-M945&amp;"_"&amp;COUNTIF(M$2:M945,M945),M945&amp;"_"&amp;COUNTIF(M$2:M945,M945)))</f>
        <v>19475.45_1</v>
      </c>
      <c r="O945" s="17" t="str">
        <f t="shared" si="14"/>
        <v/>
      </c>
      <c r="P945" s="13" t="s">
        <v>2126</v>
      </c>
      <c r="Q945" s="13" t="s">
        <v>2127</v>
      </c>
      <c r="R945" s="13" t="s">
        <v>0</v>
      </c>
      <c r="S945" s="13" t="s">
        <v>0</v>
      </c>
      <c r="T945" s="13" t="s">
        <v>9</v>
      </c>
      <c r="U945" s="13" t="s">
        <v>0</v>
      </c>
      <c r="V945" s="13" t="s">
        <v>0</v>
      </c>
      <c r="W945" s="13" t="s">
        <v>0</v>
      </c>
      <c r="X945" s="13" t="s">
        <v>0</v>
      </c>
      <c r="Y945" s="13" t="s">
        <v>10</v>
      </c>
      <c r="Z945" s="13" t="s">
        <v>0</v>
      </c>
      <c r="AA945" s="14"/>
      <c r="AB945" s="13" t="s">
        <v>0</v>
      </c>
      <c r="AC945" s="13" t="s">
        <v>0</v>
      </c>
      <c r="AD945" s="13" t="s">
        <v>0</v>
      </c>
      <c r="AE945" s="15">
        <v>0</v>
      </c>
    </row>
    <row r="946" spans="1:31" ht="14.15" customHeight="1" x14ac:dyDescent="0.25">
      <c r="A946" s="12" t="s">
        <v>0</v>
      </c>
      <c r="B946" s="13" t="s">
        <v>289</v>
      </c>
      <c r="C946" s="13" t="s">
        <v>296</v>
      </c>
      <c r="D946" s="14">
        <v>44042</v>
      </c>
      <c r="E946" s="14">
        <v>44042</v>
      </c>
      <c r="F946" s="14">
        <v>44054</v>
      </c>
      <c r="G946" s="13" t="s">
        <v>48</v>
      </c>
      <c r="H946" s="13" t="s">
        <v>4</v>
      </c>
      <c r="I946" s="15">
        <v>-19471.71</v>
      </c>
      <c r="J946" s="13" t="s">
        <v>5</v>
      </c>
      <c r="K946" s="13" t="s">
        <v>6</v>
      </c>
      <c r="L946" s="15">
        <v>-1634650.05</v>
      </c>
      <c r="M946" s="15">
        <v>-19471.71</v>
      </c>
      <c r="N946" s="16" t="str">
        <f>IF(M946="","",IF(M946&lt;0,-M946&amp;"_"&amp;COUNTIF(M$2:M946,M946),M946&amp;"_"&amp;COUNTIF(M$2:M946,M946)))</f>
        <v>19471.71_1</v>
      </c>
      <c r="O946" s="17" t="str">
        <f t="shared" si="14"/>
        <v/>
      </c>
      <c r="P946" s="13" t="s">
        <v>297</v>
      </c>
      <c r="Q946" s="13" t="s">
        <v>297</v>
      </c>
      <c r="R946" s="13" t="s">
        <v>294</v>
      </c>
      <c r="S946" s="13" t="s">
        <v>0</v>
      </c>
      <c r="T946" s="13" t="s">
        <v>9</v>
      </c>
      <c r="U946" s="13" t="s">
        <v>295</v>
      </c>
      <c r="V946" s="13" t="s">
        <v>0</v>
      </c>
      <c r="W946" s="13" t="s">
        <v>0</v>
      </c>
      <c r="X946" s="13" t="s">
        <v>0</v>
      </c>
      <c r="Y946" s="13" t="s">
        <v>291</v>
      </c>
      <c r="Z946" s="13" t="s">
        <v>0</v>
      </c>
      <c r="AA946" s="14"/>
      <c r="AB946" s="13" t="s">
        <v>0</v>
      </c>
      <c r="AC946" s="13" t="s">
        <v>0</v>
      </c>
      <c r="AD946" s="13" t="s">
        <v>0</v>
      </c>
      <c r="AE946" s="15">
        <v>0</v>
      </c>
    </row>
    <row r="947" spans="1:31" ht="14.15" customHeight="1" x14ac:dyDescent="0.25">
      <c r="A947" s="12" t="s">
        <v>0</v>
      </c>
      <c r="B947" s="13" t="s">
        <v>1</v>
      </c>
      <c r="C947" s="13" t="s">
        <v>707</v>
      </c>
      <c r="D947" s="14">
        <v>44092</v>
      </c>
      <c r="E947" s="14">
        <v>44092</v>
      </c>
      <c r="F947" s="14">
        <v>44098</v>
      </c>
      <c r="G947" s="13" t="s">
        <v>3</v>
      </c>
      <c r="H947" s="13" t="s">
        <v>4</v>
      </c>
      <c r="I947" s="15">
        <v>-19468.509999999998</v>
      </c>
      <c r="J947" s="13" t="s">
        <v>5</v>
      </c>
      <c r="K947" s="13" t="s">
        <v>6</v>
      </c>
      <c r="L947" s="15">
        <v>-1634381.42</v>
      </c>
      <c r="M947" s="15">
        <v>-19468.509999999998</v>
      </c>
      <c r="N947" s="16" t="str">
        <f>IF(M947="","",IF(M947&lt;0,-M947&amp;"_"&amp;COUNTIF(M$2:M947,M947),M947&amp;"_"&amp;COUNTIF(M$2:M947,M947)))</f>
        <v>19468.51_1</v>
      </c>
      <c r="O947" s="17" t="str">
        <f t="shared" si="14"/>
        <v/>
      </c>
      <c r="P947" s="13" t="s">
        <v>708</v>
      </c>
      <c r="Q947" s="13" t="s">
        <v>709</v>
      </c>
      <c r="R947" s="13" t="s">
        <v>0</v>
      </c>
      <c r="S947" s="13" t="s">
        <v>0</v>
      </c>
      <c r="T947" s="13" t="s">
        <v>9</v>
      </c>
      <c r="U947" s="13" t="s">
        <v>0</v>
      </c>
      <c r="V947" s="13" t="s">
        <v>0</v>
      </c>
      <c r="W947" s="13" t="s">
        <v>0</v>
      </c>
      <c r="X947" s="13" t="s">
        <v>0</v>
      </c>
      <c r="Y947" s="13" t="s">
        <v>10</v>
      </c>
      <c r="Z947" s="13" t="s">
        <v>0</v>
      </c>
      <c r="AA947" s="14"/>
      <c r="AB947" s="13" t="s">
        <v>0</v>
      </c>
      <c r="AC947" s="13" t="s">
        <v>0</v>
      </c>
      <c r="AD947" s="13" t="s">
        <v>0</v>
      </c>
      <c r="AE947" s="15">
        <v>0</v>
      </c>
    </row>
    <row r="948" spans="1:31" ht="14.15" customHeight="1" x14ac:dyDescent="0.25">
      <c r="A948" s="12" t="s">
        <v>0</v>
      </c>
      <c r="B948" s="13" t="s">
        <v>1</v>
      </c>
      <c r="C948" s="13" t="s">
        <v>3567</v>
      </c>
      <c r="D948" s="14">
        <v>44325</v>
      </c>
      <c r="E948" s="14">
        <v>44325</v>
      </c>
      <c r="F948" s="14">
        <v>44333</v>
      </c>
      <c r="G948" s="13" t="s">
        <v>3</v>
      </c>
      <c r="H948" s="13" t="s">
        <v>4</v>
      </c>
      <c r="I948" s="15">
        <v>-19420.91</v>
      </c>
      <c r="J948" s="13" t="s">
        <v>5</v>
      </c>
      <c r="K948" s="13" t="s">
        <v>6</v>
      </c>
      <c r="L948" s="15">
        <v>-1630385.39</v>
      </c>
      <c r="M948" s="15">
        <v>-19420.91</v>
      </c>
      <c r="N948" s="16" t="str">
        <f>IF(M948="","",IF(M948&lt;0,-M948&amp;"_"&amp;COUNTIF(M$2:M948,M948),M948&amp;"_"&amp;COUNTIF(M$2:M948,M948)))</f>
        <v>19420.91_1</v>
      </c>
      <c r="O948" s="17" t="str">
        <f t="shared" si="14"/>
        <v/>
      </c>
      <c r="P948" s="13" t="s">
        <v>3568</v>
      </c>
      <c r="Q948" s="13" t="s">
        <v>3557</v>
      </c>
      <c r="R948" s="13" t="s">
        <v>0</v>
      </c>
      <c r="S948" s="13" t="s">
        <v>0</v>
      </c>
      <c r="T948" s="13" t="s">
        <v>9</v>
      </c>
      <c r="U948" s="13" t="s">
        <v>0</v>
      </c>
      <c r="V948" s="13" t="s">
        <v>0</v>
      </c>
      <c r="W948" s="13" t="s">
        <v>0</v>
      </c>
      <c r="X948" s="13" t="s">
        <v>0</v>
      </c>
      <c r="Y948" s="13" t="s">
        <v>10</v>
      </c>
      <c r="Z948" s="13" t="s">
        <v>0</v>
      </c>
      <c r="AA948" s="14"/>
      <c r="AB948" s="13" t="s">
        <v>0</v>
      </c>
      <c r="AC948" s="13" t="s">
        <v>0</v>
      </c>
      <c r="AD948" s="13" t="s">
        <v>0</v>
      </c>
      <c r="AE948" s="15">
        <v>0</v>
      </c>
    </row>
    <row r="949" spans="1:31" ht="14.15" customHeight="1" x14ac:dyDescent="0.25">
      <c r="A949" s="12" t="s">
        <v>0</v>
      </c>
      <c r="B949" s="13" t="s">
        <v>1</v>
      </c>
      <c r="C949" s="13" t="s">
        <v>1039</v>
      </c>
      <c r="D949" s="14">
        <v>44131</v>
      </c>
      <c r="E949" s="14">
        <v>44131</v>
      </c>
      <c r="F949" s="14">
        <v>44136</v>
      </c>
      <c r="G949" s="13" t="s">
        <v>3</v>
      </c>
      <c r="H949" s="13" t="s">
        <v>4</v>
      </c>
      <c r="I949" s="15">
        <v>-19419.53</v>
      </c>
      <c r="J949" s="13" t="s">
        <v>5</v>
      </c>
      <c r="K949" s="13" t="s">
        <v>6</v>
      </c>
      <c r="L949" s="15">
        <v>-1630269.54</v>
      </c>
      <c r="M949" s="15">
        <v>-19419.53</v>
      </c>
      <c r="N949" s="16" t="str">
        <f>IF(M949="","",IF(M949&lt;0,-M949&amp;"_"&amp;COUNTIF(M$2:M949,M949),M949&amp;"_"&amp;COUNTIF(M$2:M949,M949)))</f>
        <v>19419.53_1</v>
      </c>
      <c r="O949" s="17" t="str">
        <f t="shared" si="14"/>
        <v/>
      </c>
      <c r="P949" s="13" t="s">
        <v>1040</v>
      </c>
      <c r="Q949" s="13" t="s">
        <v>1041</v>
      </c>
      <c r="R949" s="13" t="s">
        <v>0</v>
      </c>
      <c r="S949" s="13" t="s">
        <v>0</v>
      </c>
      <c r="T949" s="13" t="s">
        <v>9</v>
      </c>
      <c r="U949" s="13" t="s">
        <v>0</v>
      </c>
      <c r="V949" s="13" t="s">
        <v>0</v>
      </c>
      <c r="W949" s="13" t="s">
        <v>0</v>
      </c>
      <c r="X949" s="13" t="s">
        <v>0</v>
      </c>
      <c r="Y949" s="13" t="s">
        <v>10</v>
      </c>
      <c r="Z949" s="13" t="s">
        <v>0</v>
      </c>
      <c r="AA949" s="14"/>
      <c r="AB949" s="13" t="s">
        <v>0</v>
      </c>
      <c r="AC949" s="13" t="s">
        <v>0</v>
      </c>
      <c r="AD949" s="13" t="s">
        <v>0</v>
      </c>
      <c r="AE949" s="15">
        <v>0</v>
      </c>
    </row>
    <row r="950" spans="1:31" ht="14.15" customHeight="1" x14ac:dyDescent="0.25">
      <c r="A950" s="12" t="s">
        <v>0</v>
      </c>
      <c r="B950" s="13" t="s">
        <v>1</v>
      </c>
      <c r="C950" s="13" t="s">
        <v>644</v>
      </c>
      <c r="D950" s="14">
        <v>44084</v>
      </c>
      <c r="E950" s="14">
        <v>44084</v>
      </c>
      <c r="F950" s="14">
        <v>44110</v>
      </c>
      <c r="G950" s="13" t="s">
        <v>3</v>
      </c>
      <c r="H950" s="13" t="s">
        <v>4</v>
      </c>
      <c r="I950" s="15">
        <v>-19406.86</v>
      </c>
      <c r="J950" s="13" t="s">
        <v>5</v>
      </c>
      <c r="K950" s="13" t="s">
        <v>6</v>
      </c>
      <c r="L950" s="15">
        <v>-1629205.9</v>
      </c>
      <c r="M950" s="15">
        <v>-19406.86</v>
      </c>
      <c r="N950" s="16" t="str">
        <f>IF(M950="","",IF(M950&lt;0,-M950&amp;"_"&amp;COUNTIF(M$2:M950,M950),M950&amp;"_"&amp;COUNTIF(M$2:M950,M950)))</f>
        <v>19406.86_1</v>
      </c>
      <c r="O950" s="17" t="str">
        <f t="shared" si="14"/>
        <v/>
      </c>
      <c r="P950" s="13" t="s">
        <v>645</v>
      </c>
      <c r="Q950" s="13" t="s">
        <v>641</v>
      </c>
      <c r="R950" s="13" t="s">
        <v>0</v>
      </c>
      <c r="S950" s="13" t="s">
        <v>0</v>
      </c>
      <c r="T950" s="13" t="s">
        <v>9</v>
      </c>
      <c r="U950" s="13" t="s">
        <v>0</v>
      </c>
      <c r="V950" s="13" t="s">
        <v>0</v>
      </c>
      <c r="W950" s="13" t="s">
        <v>0</v>
      </c>
      <c r="X950" s="13" t="s">
        <v>0</v>
      </c>
      <c r="Y950" s="13" t="s">
        <v>10</v>
      </c>
      <c r="Z950" s="13" t="s">
        <v>0</v>
      </c>
      <c r="AA950" s="14"/>
      <c r="AB950" s="13" t="s">
        <v>0</v>
      </c>
      <c r="AC950" s="13" t="s">
        <v>0</v>
      </c>
      <c r="AD950" s="13" t="s">
        <v>0</v>
      </c>
      <c r="AE950" s="15">
        <v>0</v>
      </c>
    </row>
    <row r="951" spans="1:31" ht="14.15" customHeight="1" x14ac:dyDescent="0.25">
      <c r="A951" s="12" t="s">
        <v>0</v>
      </c>
      <c r="B951" s="13" t="s">
        <v>1</v>
      </c>
      <c r="C951" s="13" t="s">
        <v>606</v>
      </c>
      <c r="D951" s="14">
        <v>44082</v>
      </c>
      <c r="E951" s="14">
        <v>44082</v>
      </c>
      <c r="F951" s="14">
        <v>44086</v>
      </c>
      <c r="G951" s="13" t="s">
        <v>3</v>
      </c>
      <c r="H951" s="13" t="s">
        <v>4</v>
      </c>
      <c r="I951" s="15">
        <v>-19404</v>
      </c>
      <c r="J951" s="13" t="s">
        <v>5</v>
      </c>
      <c r="K951" s="13" t="s">
        <v>6</v>
      </c>
      <c r="L951" s="15">
        <v>-1628965.8</v>
      </c>
      <c r="M951" s="15">
        <v>-19404</v>
      </c>
      <c r="N951" s="16" t="str">
        <f>IF(M951="","",IF(M951&lt;0,-M951&amp;"_"&amp;COUNTIF(M$2:M951,M951),M951&amp;"_"&amp;COUNTIF(M$2:M951,M951)))</f>
        <v>19404_1</v>
      </c>
      <c r="O951" s="17" t="str">
        <f t="shared" si="14"/>
        <v/>
      </c>
      <c r="P951" s="13" t="s">
        <v>607</v>
      </c>
      <c r="Q951" s="13" t="s">
        <v>603</v>
      </c>
      <c r="R951" s="13" t="s">
        <v>0</v>
      </c>
      <c r="S951" s="13" t="s">
        <v>0</v>
      </c>
      <c r="T951" s="13" t="s">
        <v>9</v>
      </c>
      <c r="U951" s="13" t="s">
        <v>0</v>
      </c>
      <c r="V951" s="13" t="s">
        <v>0</v>
      </c>
      <c r="W951" s="13" t="s">
        <v>0</v>
      </c>
      <c r="X951" s="13" t="s">
        <v>0</v>
      </c>
      <c r="Y951" s="13" t="s">
        <v>10</v>
      </c>
      <c r="Z951" s="13" t="s">
        <v>0</v>
      </c>
      <c r="AA951" s="14"/>
      <c r="AB951" s="13" t="s">
        <v>0</v>
      </c>
      <c r="AC951" s="13" t="s">
        <v>0</v>
      </c>
      <c r="AD951" s="13" t="s">
        <v>0</v>
      </c>
      <c r="AE951" s="15">
        <v>0</v>
      </c>
    </row>
    <row r="952" spans="1:31" ht="14.15" customHeight="1" x14ac:dyDescent="0.25">
      <c r="A952" s="12" t="s">
        <v>0</v>
      </c>
      <c r="B952" s="13" t="s">
        <v>1</v>
      </c>
      <c r="C952" s="13" t="s">
        <v>2962</v>
      </c>
      <c r="D952" s="14">
        <v>44278</v>
      </c>
      <c r="E952" s="14">
        <v>44278</v>
      </c>
      <c r="F952" s="14">
        <v>44283</v>
      </c>
      <c r="G952" s="13" t="s">
        <v>3</v>
      </c>
      <c r="H952" s="13" t="s">
        <v>4</v>
      </c>
      <c r="I952" s="15">
        <v>-19381.43</v>
      </c>
      <c r="J952" s="13" t="s">
        <v>5</v>
      </c>
      <c r="K952" s="13" t="s">
        <v>6</v>
      </c>
      <c r="L952" s="15">
        <v>-1627071.03</v>
      </c>
      <c r="M952" s="15">
        <v>-19381.43</v>
      </c>
      <c r="N952" s="16" t="str">
        <f>IF(M952="","",IF(M952&lt;0,-M952&amp;"_"&amp;COUNTIF(M$2:M952,M952),M952&amp;"_"&amp;COUNTIF(M$2:M952,M952)))</f>
        <v>19381.43_1</v>
      </c>
      <c r="O952" s="17" t="str">
        <f t="shared" si="14"/>
        <v/>
      </c>
      <c r="P952" s="13" t="s">
        <v>2963</v>
      </c>
      <c r="Q952" s="13" t="s">
        <v>2964</v>
      </c>
      <c r="R952" s="13" t="s">
        <v>0</v>
      </c>
      <c r="S952" s="13" t="s">
        <v>0</v>
      </c>
      <c r="T952" s="13" t="s">
        <v>9</v>
      </c>
      <c r="U952" s="13" t="s">
        <v>0</v>
      </c>
      <c r="V952" s="13" t="s">
        <v>0</v>
      </c>
      <c r="W952" s="13" t="s">
        <v>0</v>
      </c>
      <c r="X952" s="13" t="s">
        <v>0</v>
      </c>
      <c r="Y952" s="13" t="s">
        <v>10</v>
      </c>
      <c r="Z952" s="13" t="s">
        <v>0</v>
      </c>
      <c r="AA952" s="14"/>
      <c r="AB952" s="13" t="s">
        <v>0</v>
      </c>
      <c r="AC952" s="13" t="s">
        <v>0</v>
      </c>
      <c r="AD952" s="13" t="s">
        <v>0</v>
      </c>
      <c r="AE952" s="15">
        <v>0</v>
      </c>
    </row>
    <row r="953" spans="1:31" ht="14.15" customHeight="1" x14ac:dyDescent="0.25">
      <c r="A953" s="12" t="s">
        <v>0</v>
      </c>
      <c r="B953" s="13" t="s">
        <v>1</v>
      </c>
      <c r="C953" s="13" t="s">
        <v>186</v>
      </c>
      <c r="D953" s="14">
        <v>44034</v>
      </c>
      <c r="E953" s="14">
        <v>44034</v>
      </c>
      <c r="F953" s="14">
        <v>44040</v>
      </c>
      <c r="G953" s="13" t="s">
        <v>3</v>
      </c>
      <c r="H953" s="13" t="s">
        <v>4</v>
      </c>
      <c r="I953" s="15">
        <v>-19381.28</v>
      </c>
      <c r="J953" s="13" t="s">
        <v>5</v>
      </c>
      <c r="K953" s="13" t="s">
        <v>6</v>
      </c>
      <c r="L953" s="15">
        <v>-1627058.45</v>
      </c>
      <c r="M953" s="15">
        <v>-19381.28</v>
      </c>
      <c r="N953" s="16" t="str">
        <f>IF(M953="","",IF(M953&lt;0,-M953&amp;"_"&amp;COUNTIF(M$2:M953,M953),M953&amp;"_"&amp;COUNTIF(M$2:M953,M953)))</f>
        <v>19381.28_1</v>
      </c>
      <c r="O953" s="17" t="str">
        <f t="shared" si="14"/>
        <v/>
      </c>
      <c r="P953" s="13" t="s">
        <v>187</v>
      </c>
      <c r="Q953" s="13" t="s">
        <v>175</v>
      </c>
      <c r="R953" s="13" t="s">
        <v>0</v>
      </c>
      <c r="S953" s="13" t="s">
        <v>0</v>
      </c>
      <c r="T953" s="13" t="s">
        <v>9</v>
      </c>
      <c r="U953" s="13" t="s">
        <v>0</v>
      </c>
      <c r="V953" s="13" t="s">
        <v>0</v>
      </c>
      <c r="W953" s="13" t="s">
        <v>0</v>
      </c>
      <c r="X953" s="13" t="s">
        <v>0</v>
      </c>
      <c r="Y953" s="13" t="s">
        <v>10</v>
      </c>
      <c r="Z953" s="13" t="s">
        <v>0</v>
      </c>
      <c r="AA953" s="14"/>
      <c r="AB953" s="13" t="s">
        <v>0</v>
      </c>
      <c r="AC953" s="13" t="s">
        <v>0</v>
      </c>
      <c r="AD953" s="13" t="s">
        <v>0</v>
      </c>
      <c r="AE953" s="15">
        <v>0</v>
      </c>
    </row>
    <row r="954" spans="1:31" ht="14.15" customHeight="1" x14ac:dyDescent="0.25">
      <c r="A954" s="12" t="s">
        <v>0</v>
      </c>
      <c r="B954" s="13" t="s">
        <v>1</v>
      </c>
      <c r="C954" s="13" t="s">
        <v>2442</v>
      </c>
      <c r="D954" s="14">
        <v>44231</v>
      </c>
      <c r="E954" s="14">
        <v>44231</v>
      </c>
      <c r="F954" s="14">
        <v>44237</v>
      </c>
      <c r="G954" s="13" t="s">
        <v>3</v>
      </c>
      <c r="H954" s="13" t="s">
        <v>4</v>
      </c>
      <c r="I954" s="15">
        <v>-19338.89</v>
      </c>
      <c r="J954" s="13" t="s">
        <v>5</v>
      </c>
      <c r="K954" s="13" t="s">
        <v>6</v>
      </c>
      <c r="L954" s="15">
        <v>-1623499.82</v>
      </c>
      <c r="M954" s="15">
        <v>-19338.89</v>
      </c>
      <c r="N954" s="16" t="str">
        <f>IF(M954="","",IF(M954&lt;0,-M954&amp;"_"&amp;COUNTIF(M$2:M954,M954),M954&amp;"_"&amp;COUNTIF(M$2:M954,M954)))</f>
        <v>19338.89_1</v>
      </c>
      <c r="O954" s="17" t="str">
        <f t="shared" si="14"/>
        <v/>
      </c>
      <c r="P954" s="13" t="s">
        <v>2443</v>
      </c>
      <c r="Q954" s="13" t="s">
        <v>2427</v>
      </c>
      <c r="R954" s="13" t="s">
        <v>0</v>
      </c>
      <c r="S954" s="13" t="s">
        <v>0</v>
      </c>
      <c r="T954" s="13" t="s">
        <v>9</v>
      </c>
      <c r="U954" s="13" t="s">
        <v>0</v>
      </c>
      <c r="V954" s="13" t="s">
        <v>0</v>
      </c>
      <c r="W954" s="13" t="s">
        <v>0</v>
      </c>
      <c r="X954" s="13" t="s">
        <v>0</v>
      </c>
      <c r="Y954" s="13" t="s">
        <v>10</v>
      </c>
      <c r="Z954" s="13" t="s">
        <v>0</v>
      </c>
      <c r="AA954" s="14"/>
      <c r="AB954" s="13" t="s">
        <v>0</v>
      </c>
      <c r="AC954" s="13" t="s">
        <v>0</v>
      </c>
      <c r="AD954" s="13" t="s">
        <v>0</v>
      </c>
      <c r="AE954" s="15">
        <v>0</v>
      </c>
    </row>
    <row r="955" spans="1:31" ht="14.15" customHeight="1" x14ac:dyDescent="0.25">
      <c r="A955" s="12" t="s">
        <v>0</v>
      </c>
      <c r="B955" s="13" t="s">
        <v>1</v>
      </c>
      <c r="C955" s="13" t="s">
        <v>1685</v>
      </c>
      <c r="D955" s="14">
        <v>44173</v>
      </c>
      <c r="E955" s="14">
        <v>44173</v>
      </c>
      <c r="F955" s="14">
        <v>44178</v>
      </c>
      <c r="G955" s="13" t="s">
        <v>3</v>
      </c>
      <c r="H955" s="13" t="s">
        <v>4</v>
      </c>
      <c r="I955" s="15">
        <v>-19331.75</v>
      </c>
      <c r="J955" s="13" t="s">
        <v>5</v>
      </c>
      <c r="K955" s="13" t="s">
        <v>6</v>
      </c>
      <c r="L955" s="15">
        <v>-1622900.41</v>
      </c>
      <c r="M955" s="15">
        <v>-19331.75</v>
      </c>
      <c r="N955" s="16" t="str">
        <f>IF(M955="","",IF(M955&lt;0,-M955&amp;"_"&amp;COUNTIF(M$2:M955,M955),M955&amp;"_"&amp;COUNTIF(M$2:M955,M955)))</f>
        <v>19331.75_1</v>
      </c>
      <c r="O955" s="17" t="str">
        <f t="shared" si="14"/>
        <v/>
      </c>
      <c r="P955" s="13" t="s">
        <v>1686</v>
      </c>
      <c r="Q955" s="13" t="s">
        <v>1687</v>
      </c>
      <c r="R955" s="13" t="s">
        <v>0</v>
      </c>
      <c r="S955" s="13" t="s">
        <v>0</v>
      </c>
      <c r="T955" s="13" t="s">
        <v>9</v>
      </c>
      <c r="U955" s="13" t="s">
        <v>0</v>
      </c>
      <c r="V955" s="13" t="s">
        <v>0</v>
      </c>
      <c r="W955" s="13" t="s">
        <v>0</v>
      </c>
      <c r="X955" s="13" t="s">
        <v>0</v>
      </c>
      <c r="Y955" s="13" t="s">
        <v>10</v>
      </c>
      <c r="Z955" s="13" t="s">
        <v>0</v>
      </c>
      <c r="AA955" s="14"/>
      <c r="AB955" s="13" t="s">
        <v>0</v>
      </c>
      <c r="AC955" s="13" t="s">
        <v>0</v>
      </c>
      <c r="AD955" s="13" t="s">
        <v>0</v>
      </c>
      <c r="AE955" s="15">
        <v>0</v>
      </c>
    </row>
    <row r="956" spans="1:31" ht="14.15" customHeight="1" x14ac:dyDescent="0.25">
      <c r="A956" s="12" t="s">
        <v>0</v>
      </c>
      <c r="B956" s="13" t="s">
        <v>1</v>
      </c>
      <c r="C956" s="13" t="s">
        <v>244</v>
      </c>
      <c r="D956" s="14">
        <v>44040</v>
      </c>
      <c r="E956" s="14">
        <v>44040</v>
      </c>
      <c r="F956" s="14">
        <v>44057</v>
      </c>
      <c r="G956" s="13" t="s">
        <v>3</v>
      </c>
      <c r="H956" s="13" t="s">
        <v>4</v>
      </c>
      <c r="I956" s="15">
        <v>-19323.650000000001</v>
      </c>
      <c r="J956" s="13" t="s">
        <v>5</v>
      </c>
      <c r="K956" s="13" t="s">
        <v>6</v>
      </c>
      <c r="L956" s="15">
        <v>-1622220.42</v>
      </c>
      <c r="M956" s="15">
        <v>-19323.650000000001</v>
      </c>
      <c r="N956" s="16" t="str">
        <f>IF(M956="","",IF(M956&lt;0,-M956&amp;"_"&amp;COUNTIF(M$2:M956,M956),M956&amp;"_"&amp;COUNTIF(M$2:M956,M956)))</f>
        <v>19323.65_1</v>
      </c>
      <c r="O956" s="17" t="str">
        <f t="shared" si="14"/>
        <v/>
      </c>
      <c r="P956" s="13" t="s">
        <v>245</v>
      </c>
      <c r="Q956" s="13" t="s">
        <v>241</v>
      </c>
      <c r="R956" s="13" t="s">
        <v>0</v>
      </c>
      <c r="S956" s="13" t="s">
        <v>0</v>
      </c>
      <c r="T956" s="13" t="s">
        <v>9</v>
      </c>
      <c r="U956" s="13" t="s">
        <v>0</v>
      </c>
      <c r="V956" s="13" t="s">
        <v>0</v>
      </c>
      <c r="W956" s="13" t="s">
        <v>0</v>
      </c>
      <c r="X956" s="13" t="s">
        <v>0</v>
      </c>
      <c r="Y956" s="13" t="s">
        <v>10</v>
      </c>
      <c r="Z956" s="13" t="s">
        <v>0</v>
      </c>
      <c r="AA956" s="14"/>
      <c r="AB956" s="13" t="s">
        <v>0</v>
      </c>
      <c r="AC956" s="13" t="s">
        <v>0</v>
      </c>
      <c r="AD956" s="13" t="s">
        <v>0</v>
      </c>
      <c r="AE956" s="15">
        <v>0</v>
      </c>
    </row>
    <row r="957" spans="1:31" ht="14.15" customHeight="1" x14ac:dyDescent="0.25">
      <c r="A957" s="12" t="s">
        <v>0</v>
      </c>
      <c r="B957" s="13" t="s">
        <v>1</v>
      </c>
      <c r="C957" s="13" t="s">
        <v>1784</v>
      </c>
      <c r="D957" s="14">
        <v>44182</v>
      </c>
      <c r="E957" s="14">
        <v>44182</v>
      </c>
      <c r="F957" s="14">
        <v>44199</v>
      </c>
      <c r="G957" s="13" t="s">
        <v>3</v>
      </c>
      <c r="H957" s="13" t="s">
        <v>4</v>
      </c>
      <c r="I957" s="15">
        <v>-19304.39</v>
      </c>
      <c r="J957" s="13" t="s">
        <v>5</v>
      </c>
      <c r="K957" s="13" t="s">
        <v>6</v>
      </c>
      <c r="L957" s="15">
        <v>-1620603.54</v>
      </c>
      <c r="M957" s="15">
        <v>-19304.39</v>
      </c>
      <c r="N957" s="16" t="str">
        <f>IF(M957="","",IF(M957&lt;0,-M957&amp;"_"&amp;COUNTIF(M$2:M957,M957),M957&amp;"_"&amp;COUNTIF(M$2:M957,M957)))</f>
        <v>19304.39_1</v>
      </c>
      <c r="O957" s="17" t="str">
        <f t="shared" si="14"/>
        <v/>
      </c>
      <c r="P957" s="13" t="s">
        <v>1785</v>
      </c>
      <c r="Q957" s="13" t="s">
        <v>1777</v>
      </c>
      <c r="R957" s="13" t="s">
        <v>0</v>
      </c>
      <c r="S957" s="13" t="s">
        <v>0</v>
      </c>
      <c r="T957" s="13" t="s">
        <v>9</v>
      </c>
      <c r="U957" s="13" t="s">
        <v>0</v>
      </c>
      <c r="V957" s="13" t="s">
        <v>0</v>
      </c>
      <c r="W957" s="13" t="s">
        <v>0</v>
      </c>
      <c r="X957" s="13" t="s">
        <v>0</v>
      </c>
      <c r="Y957" s="13" t="s">
        <v>10</v>
      </c>
      <c r="Z957" s="13" t="s">
        <v>0</v>
      </c>
      <c r="AA957" s="14"/>
      <c r="AB957" s="13" t="s">
        <v>0</v>
      </c>
      <c r="AC957" s="13" t="s">
        <v>0</v>
      </c>
      <c r="AD957" s="13" t="s">
        <v>0</v>
      </c>
      <c r="AE957" s="15">
        <v>0</v>
      </c>
    </row>
    <row r="958" spans="1:31" ht="14.15" customHeight="1" x14ac:dyDescent="0.25">
      <c r="A958" s="12" t="s">
        <v>0</v>
      </c>
      <c r="B958" s="13" t="s">
        <v>1</v>
      </c>
      <c r="C958" s="13" t="s">
        <v>2611</v>
      </c>
      <c r="D958" s="14">
        <v>44245</v>
      </c>
      <c r="E958" s="14">
        <v>44245</v>
      </c>
      <c r="F958" s="14">
        <v>44252</v>
      </c>
      <c r="G958" s="13" t="s">
        <v>3</v>
      </c>
      <c r="H958" s="13" t="s">
        <v>4</v>
      </c>
      <c r="I958" s="15">
        <v>-19295.32</v>
      </c>
      <c r="J958" s="13" t="s">
        <v>5</v>
      </c>
      <c r="K958" s="13" t="s">
        <v>6</v>
      </c>
      <c r="L958" s="15">
        <v>-1619842.11</v>
      </c>
      <c r="M958" s="15">
        <v>-19295.32</v>
      </c>
      <c r="N958" s="16" t="str">
        <f>IF(M958="","",IF(M958&lt;0,-M958&amp;"_"&amp;COUNTIF(M$2:M958,M958),M958&amp;"_"&amp;COUNTIF(M$2:M958,M958)))</f>
        <v>19295.32_1</v>
      </c>
      <c r="O958" s="17" t="str">
        <f t="shared" si="14"/>
        <v/>
      </c>
      <c r="P958" s="13" t="s">
        <v>2612</v>
      </c>
      <c r="Q958" s="13" t="s">
        <v>2613</v>
      </c>
      <c r="R958" s="13" t="s">
        <v>0</v>
      </c>
      <c r="S958" s="13" t="s">
        <v>0</v>
      </c>
      <c r="T958" s="13" t="s">
        <v>9</v>
      </c>
      <c r="U958" s="13" t="s">
        <v>0</v>
      </c>
      <c r="V958" s="13" t="s">
        <v>0</v>
      </c>
      <c r="W958" s="13" t="s">
        <v>0</v>
      </c>
      <c r="X958" s="13" t="s">
        <v>0</v>
      </c>
      <c r="Y958" s="13" t="s">
        <v>10</v>
      </c>
      <c r="Z958" s="13" t="s">
        <v>0</v>
      </c>
      <c r="AA958" s="14"/>
      <c r="AB958" s="13" t="s">
        <v>0</v>
      </c>
      <c r="AC958" s="13" t="s">
        <v>0</v>
      </c>
      <c r="AD958" s="13" t="s">
        <v>0</v>
      </c>
      <c r="AE958" s="15">
        <v>0</v>
      </c>
    </row>
    <row r="959" spans="1:31" ht="14.15" customHeight="1" x14ac:dyDescent="0.25">
      <c r="A959" s="12" t="s">
        <v>0</v>
      </c>
      <c r="B959" s="13" t="s">
        <v>1</v>
      </c>
      <c r="C959" s="13" t="s">
        <v>4344</v>
      </c>
      <c r="D959" s="14">
        <v>44375</v>
      </c>
      <c r="E959" s="14">
        <v>44375</v>
      </c>
      <c r="F959" s="14">
        <v>44377</v>
      </c>
      <c r="G959" s="13" t="s">
        <v>3</v>
      </c>
      <c r="H959" s="13" t="s">
        <v>4</v>
      </c>
      <c r="I959" s="15">
        <v>-19288.759999999998</v>
      </c>
      <c r="J959" s="13" t="s">
        <v>5</v>
      </c>
      <c r="K959" s="13" t="s">
        <v>6</v>
      </c>
      <c r="L959" s="15">
        <v>-1619291.4</v>
      </c>
      <c r="M959" s="15">
        <v>-19288.759999999998</v>
      </c>
      <c r="N959" s="16" t="str">
        <f>IF(M959="","",IF(M959&lt;0,-M959&amp;"_"&amp;COUNTIF(M$2:M959,M959),M959&amp;"_"&amp;COUNTIF(M$2:M959,M959)))</f>
        <v>19288.76_1</v>
      </c>
      <c r="O959" s="17" t="str">
        <f t="shared" si="14"/>
        <v/>
      </c>
      <c r="P959" s="13" t="s">
        <v>4345</v>
      </c>
      <c r="Q959" s="13" t="s">
        <v>4341</v>
      </c>
      <c r="R959" s="13" t="s">
        <v>0</v>
      </c>
      <c r="S959" s="13" t="s">
        <v>0</v>
      </c>
      <c r="T959" s="13" t="s">
        <v>9</v>
      </c>
      <c r="U959" s="13" t="s">
        <v>0</v>
      </c>
      <c r="V959" s="13" t="s">
        <v>0</v>
      </c>
      <c r="W959" s="13" t="s">
        <v>0</v>
      </c>
      <c r="X959" s="13" t="s">
        <v>0</v>
      </c>
      <c r="Y959" s="13" t="s">
        <v>10</v>
      </c>
      <c r="Z959" s="13" t="s">
        <v>0</v>
      </c>
      <c r="AA959" s="14"/>
      <c r="AB959" s="13" t="s">
        <v>0</v>
      </c>
      <c r="AC959" s="13" t="s">
        <v>0</v>
      </c>
      <c r="AD959" s="13" t="s">
        <v>0</v>
      </c>
      <c r="AE959" s="15">
        <v>0</v>
      </c>
    </row>
    <row r="960" spans="1:31" ht="14.15" customHeight="1" x14ac:dyDescent="0.25">
      <c r="A960" s="12" t="s">
        <v>0</v>
      </c>
      <c r="B960" s="13" t="s">
        <v>1</v>
      </c>
      <c r="C960" s="13" t="s">
        <v>4058</v>
      </c>
      <c r="D960" s="14">
        <v>44359</v>
      </c>
      <c r="E960" s="14">
        <v>44359</v>
      </c>
      <c r="F960" s="14">
        <v>44368</v>
      </c>
      <c r="G960" s="13" t="s">
        <v>3</v>
      </c>
      <c r="H960" s="13" t="s">
        <v>4</v>
      </c>
      <c r="I960" s="15">
        <v>-19287.18</v>
      </c>
      <c r="J960" s="13" t="s">
        <v>5</v>
      </c>
      <c r="K960" s="13" t="s">
        <v>6</v>
      </c>
      <c r="L960" s="15">
        <v>-1619158.76</v>
      </c>
      <c r="M960" s="15">
        <v>-19287.18</v>
      </c>
      <c r="N960" s="16" t="str">
        <f>IF(M960="","",IF(M960&lt;0,-M960&amp;"_"&amp;COUNTIF(M$2:M960,M960),M960&amp;"_"&amp;COUNTIF(M$2:M960,M960)))</f>
        <v>19287.18_1</v>
      </c>
      <c r="O960" s="17" t="str">
        <f t="shared" si="14"/>
        <v/>
      </c>
      <c r="P960" s="13" t="s">
        <v>4059</v>
      </c>
      <c r="Q960" s="13" t="s">
        <v>4055</v>
      </c>
      <c r="R960" s="13" t="s">
        <v>0</v>
      </c>
      <c r="S960" s="13" t="s">
        <v>0</v>
      </c>
      <c r="T960" s="13" t="s">
        <v>9</v>
      </c>
      <c r="U960" s="13" t="s">
        <v>0</v>
      </c>
      <c r="V960" s="13" t="s">
        <v>0</v>
      </c>
      <c r="W960" s="13" t="s">
        <v>0</v>
      </c>
      <c r="X960" s="13" t="s">
        <v>0</v>
      </c>
      <c r="Y960" s="13" t="s">
        <v>10</v>
      </c>
      <c r="Z960" s="13" t="s">
        <v>0</v>
      </c>
      <c r="AA960" s="14"/>
      <c r="AB960" s="13" t="s">
        <v>0</v>
      </c>
      <c r="AC960" s="13" t="s">
        <v>0</v>
      </c>
      <c r="AD960" s="13" t="s">
        <v>0</v>
      </c>
      <c r="AE960" s="15">
        <v>0</v>
      </c>
    </row>
    <row r="961" spans="1:31" ht="14.15" customHeight="1" x14ac:dyDescent="0.25">
      <c r="A961" s="12" t="s">
        <v>0</v>
      </c>
      <c r="B961" s="13" t="s">
        <v>1</v>
      </c>
      <c r="C961" s="13" t="s">
        <v>3847</v>
      </c>
      <c r="D961" s="14">
        <v>44350</v>
      </c>
      <c r="E961" s="14">
        <v>44350</v>
      </c>
      <c r="F961" s="14">
        <v>44356</v>
      </c>
      <c r="G961" s="13" t="s">
        <v>3</v>
      </c>
      <c r="H961" s="13" t="s">
        <v>4</v>
      </c>
      <c r="I961" s="15">
        <v>-19246.849999999999</v>
      </c>
      <c r="J961" s="13" t="s">
        <v>5</v>
      </c>
      <c r="K961" s="13" t="s">
        <v>6</v>
      </c>
      <c r="L961" s="15">
        <v>-1615773.06</v>
      </c>
      <c r="M961" s="15">
        <v>-19246.849999999999</v>
      </c>
      <c r="N961" s="16" t="str">
        <f>IF(M961="","",IF(M961&lt;0,-M961&amp;"_"&amp;COUNTIF(M$2:M961,M961),M961&amp;"_"&amp;COUNTIF(M$2:M961,M961)))</f>
        <v>19246.85_1</v>
      </c>
      <c r="O961" s="17" t="str">
        <f t="shared" si="14"/>
        <v/>
      </c>
      <c r="P961" s="13" t="s">
        <v>3848</v>
      </c>
      <c r="Q961" s="13" t="s">
        <v>3844</v>
      </c>
      <c r="R961" s="13" t="s">
        <v>0</v>
      </c>
      <c r="S961" s="13" t="s">
        <v>0</v>
      </c>
      <c r="T961" s="13" t="s">
        <v>9</v>
      </c>
      <c r="U961" s="13" t="s">
        <v>0</v>
      </c>
      <c r="V961" s="13" t="s">
        <v>0</v>
      </c>
      <c r="W961" s="13" t="s">
        <v>0</v>
      </c>
      <c r="X961" s="13" t="s">
        <v>0</v>
      </c>
      <c r="Y961" s="13" t="s">
        <v>10</v>
      </c>
      <c r="Z961" s="13" t="s">
        <v>0</v>
      </c>
      <c r="AA961" s="14"/>
      <c r="AB961" s="13" t="s">
        <v>0</v>
      </c>
      <c r="AC961" s="13" t="s">
        <v>0</v>
      </c>
      <c r="AD961" s="13" t="s">
        <v>0</v>
      </c>
      <c r="AE961" s="15">
        <v>0</v>
      </c>
    </row>
    <row r="962" spans="1:31" ht="14.15" customHeight="1" x14ac:dyDescent="0.25">
      <c r="A962" s="12" t="s">
        <v>0</v>
      </c>
      <c r="B962" s="13" t="s">
        <v>1</v>
      </c>
      <c r="C962" s="13" t="s">
        <v>2432</v>
      </c>
      <c r="D962" s="14">
        <v>44231</v>
      </c>
      <c r="E962" s="14">
        <v>44231</v>
      </c>
      <c r="F962" s="14">
        <v>44237</v>
      </c>
      <c r="G962" s="13" t="s">
        <v>3</v>
      </c>
      <c r="H962" s="13" t="s">
        <v>4</v>
      </c>
      <c r="I962" s="15">
        <v>-19233.27</v>
      </c>
      <c r="J962" s="13" t="s">
        <v>5</v>
      </c>
      <c r="K962" s="13" t="s">
        <v>6</v>
      </c>
      <c r="L962" s="15">
        <v>-1614633.02</v>
      </c>
      <c r="M962" s="15">
        <v>-19233.27</v>
      </c>
      <c r="N962" s="16" t="str">
        <f>IF(M962="","",IF(M962&lt;0,-M962&amp;"_"&amp;COUNTIF(M$2:M962,M962),M962&amp;"_"&amp;COUNTIF(M$2:M962,M962)))</f>
        <v>19233.27_1</v>
      </c>
      <c r="O962" s="17" t="str">
        <f t="shared" ref="O962:O1025" si="15">IF(COUNTIF(N:N,N962)=2,"x","")</f>
        <v/>
      </c>
      <c r="P962" s="13" t="s">
        <v>2433</v>
      </c>
      <c r="Q962" s="13" t="s">
        <v>2427</v>
      </c>
      <c r="R962" s="13" t="s">
        <v>0</v>
      </c>
      <c r="S962" s="13" t="s">
        <v>0</v>
      </c>
      <c r="T962" s="13" t="s">
        <v>9</v>
      </c>
      <c r="U962" s="13" t="s">
        <v>0</v>
      </c>
      <c r="V962" s="13" t="s">
        <v>0</v>
      </c>
      <c r="W962" s="13" t="s">
        <v>0</v>
      </c>
      <c r="X962" s="13" t="s">
        <v>0</v>
      </c>
      <c r="Y962" s="13" t="s">
        <v>10</v>
      </c>
      <c r="Z962" s="13" t="s">
        <v>0</v>
      </c>
      <c r="AA962" s="14"/>
      <c r="AB962" s="13" t="s">
        <v>0</v>
      </c>
      <c r="AC962" s="13" t="s">
        <v>0</v>
      </c>
      <c r="AD962" s="13" t="s">
        <v>0</v>
      </c>
      <c r="AE962" s="15">
        <v>0</v>
      </c>
    </row>
    <row r="963" spans="1:31" ht="14.15" customHeight="1" x14ac:dyDescent="0.25">
      <c r="A963" s="12" t="s">
        <v>0</v>
      </c>
      <c r="B963" s="13" t="s">
        <v>1</v>
      </c>
      <c r="C963" s="13" t="s">
        <v>4067</v>
      </c>
      <c r="D963" s="14">
        <v>44360</v>
      </c>
      <c r="E963" s="14">
        <v>44360</v>
      </c>
      <c r="F963" s="14">
        <v>44364</v>
      </c>
      <c r="G963" s="13" t="s">
        <v>3</v>
      </c>
      <c r="H963" s="13" t="s">
        <v>4</v>
      </c>
      <c r="I963" s="15">
        <v>-19217.099999999999</v>
      </c>
      <c r="J963" s="13" t="s">
        <v>5</v>
      </c>
      <c r="K963" s="13" t="s">
        <v>6</v>
      </c>
      <c r="L963" s="15">
        <v>-1613275.55</v>
      </c>
      <c r="M963" s="15">
        <v>-19217.099999999999</v>
      </c>
      <c r="N963" s="16" t="str">
        <f>IF(M963="","",IF(M963&lt;0,-M963&amp;"_"&amp;COUNTIF(M$2:M963,M963),M963&amp;"_"&amp;COUNTIF(M$2:M963,M963)))</f>
        <v>19217.1_1</v>
      </c>
      <c r="O963" s="17" t="str">
        <f t="shared" si="15"/>
        <v/>
      </c>
      <c r="P963" s="13" t="s">
        <v>4068</v>
      </c>
      <c r="Q963" s="13" t="s">
        <v>4062</v>
      </c>
      <c r="R963" s="13" t="s">
        <v>0</v>
      </c>
      <c r="S963" s="13" t="s">
        <v>0</v>
      </c>
      <c r="T963" s="13" t="s">
        <v>9</v>
      </c>
      <c r="U963" s="13" t="s">
        <v>0</v>
      </c>
      <c r="V963" s="13" t="s">
        <v>0</v>
      </c>
      <c r="W963" s="13" t="s">
        <v>0</v>
      </c>
      <c r="X963" s="13" t="s">
        <v>0</v>
      </c>
      <c r="Y963" s="13" t="s">
        <v>10</v>
      </c>
      <c r="Z963" s="13" t="s">
        <v>0</v>
      </c>
      <c r="AA963" s="14"/>
      <c r="AB963" s="13" t="s">
        <v>0</v>
      </c>
      <c r="AC963" s="13" t="s">
        <v>0</v>
      </c>
      <c r="AD963" s="13" t="s">
        <v>0</v>
      </c>
      <c r="AE963" s="15">
        <v>0</v>
      </c>
    </row>
    <row r="964" spans="1:31" ht="14.15" customHeight="1" x14ac:dyDescent="0.25">
      <c r="A964" s="12" t="s">
        <v>0</v>
      </c>
      <c r="B964" s="13" t="s">
        <v>1</v>
      </c>
      <c r="C964" s="13" t="s">
        <v>1778</v>
      </c>
      <c r="D964" s="14">
        <v>44182</v>
      </c>
      <c r="E964" s="14">
        <v>44182</v>
      </c>
      <c r="F964" s="14">
        <v>44188</v>
      </c>
      <c r="G964" s="13" t="s">
        <v>3</v>
      </c>
      <c r="H964" s="13" t="s">
        <v>4</v>
      </c>
      <c r="I964" s="15">
        <v>-19216.32</v>
      </c>
      <c r="J964" s="13" t="s">
        <v>5</v>
      </c>
      <c r="K964" s="13" t="s">
        <v>6</v>
      </c>
      <c r="L964" s="15">
        <v>-1613210.06</v>
      </c>
      <c r="M964" s="15">
        <v>-19216.32</v>
      </c>
      <c r="N964" s="16" t="str">
        <f>IF(M964="","",IF(M964&lt;0,-M964&amp;"_"&amp;COUNTIF(M$2:M964,M964),M964&amp;"_"&amp;COUNTIF(M$2:M964,M964)))</f>
        <v>19216.32_1</v>
      </c>
      <c r="O964" s="17" t="str">
        <f t="shared" si="15"/>
        <v/>
      </c>
      <c r="P964" s="13" t="s">
        <v>1779</v>
      </c>
      <c r="Q964" s="13" t="s">
        <v>1777</v>
      </c>
      <c r="R964" s="13" t="s">
        <v>0</v>
      </c>
      <c r="S964" s="13" t="s">
        <v>0</v>
      </c>
      <c r="T964" s="13" t="s">
        <v>9</v>
      </c>
      <c r="U964" s="13" t="s">
        <v>0</v>
      </c>
      <c r="V964" s="13" t="s">
        <v>0</v>
      </c>
      <c r="W964" s="13" t="s">
        <v>0</v>
      </c>
      <c r="X964" s="13" t="s">
        <v>0</v>
      </c>
      <c r="Y964" s="13" t="s">
        <v>10</v>
      </c>
      <c r="Z964" s="13" t="s">
        <v>0</v>
      </c>
      <c r="AA964" s="14"/>
      <c r="AB964" s="13" t="s">
        <v>0</v>
      </c>
      <c r="AC964" s="13" t="s">
        <v>0</v>
      </c>
      <c r="AD964" s="13" t="s">
        <v>0</v>
      </c>
      <c r="AE964" s="15">
        <v>0</v>
      </c>
    </row>
    <row r="965" spans="1:31" ht="14.15" customHeight="1" x14ac:dyDescent="0.25">
      <c r="A965" s="12" t="s">
        <v>0</v>
      </c>
      <c r="B965" s="13" t="s">
        <v>1</v>
      </c>
      <c r="C965" s="13" t="s">
        <v>2125</v>
      </c>
      <c r="D965" s="14">
        <v>44202</v>
      </c>
      <c r="E965" s="14">
        <v>44202</v>
      </c>
      <c r="F965" s="14">
        <v>44208</v>
      </c>
      <c r="G965" s="13" t="s">
        <v>3</v>
      </c>
      <c r="H965" s="13" t="s">
        <v>4</v>
      </c>
      <c r="I965" s="15">
        <v>-19204.95</v>
      </c>
      <c r="J965" s="13" t="s">
        <v>5</v>
      </c>
      <c r="K965" s="13" t="s">
        <v>6</v>
      </c>
      <c r="L965" s="15">
        <v>-1612255.55</v>
      </c>
      <c r="M965" s="15">
        <v>-19204.95</v>
      </c>
      <c r="N965" s="16" t="str">
        <f>IF(M965="","",IF(M965&lt;0,-M965&amp;"_"&amp;COUNTIF(M$2:M965,M965),M965&amp;"_"&amp;COUNTIF(M$2:M965,M965)))</f>
        <v>19204.95_1</v>
      </c>
      <c r="O965" s="17" t="str">
        <f t="shared" si="15"/>
        <v/>
      </c>
      <c r="P965" s="13" t="s">
        <v>2126</v>
      </c>
      <c r="Q965" s="13" t="s">
        <v>2127</v>
      </c>
      <c r="R965" s="13" t="s">
        <v>0</v>
      </c>
      <c r="S965" s="13" t="s">
        <v>0</v>
      </c>
      <c r="T965" s="13" t="s">
        <v>9</v>
      </c>
      <c r="U965" s="13" t="s">
        <v>0</v>
      </c>
      <c r="V965" s="13" t="s">
        <v>0</v>
      </c>
      <c r="W965" s="13" t="s">
        <v>0</v>
      </c>
      <c r="X965" s="13" t="s">
        <v>0</v>
      </c>
      <c r="Y965" s="13" t="s">
        <v>10</v>
      </c>
      <c r="Z965" s="13" t="s">
        <v>0</v>
      </c>
      <c r="AA965" s="14"/>
      <c r="AB965" s="13" t="s">
        <v>0</v>
      </c>
      <c r="AC965" s="13" t="s">
        <v>0</v>
      </c>
      <c r="AD965" s="13" t="s">
        <v>0</v>
      </c>
      <c r="AE965" s="15">
        <v>0</v>
      </c>
    </row>
    <row r="966" spans="1:31" ht="14.15" customHeight="1" x14ac:dyDescent="0.25">
      <c r="A966" s="12" t="s">
        <v>0</v>
      </c>
      <c r="B966" s="13" t="s">
        <v>1</v>
      </c>
      <c r="C966" s="13" t="s">
        <v>2558</v>
      </c>
      <c r="D966" s="14">
        <v>44240</v>
      </c>
      <c r="E966" s="14">
        <v>44240</v>
      </c>
      <c r="F966" s="14">
        <v>44249</v>
      </c>
      <c r="G966" s="13" t="s">
        <v>3</v>
      </c>
      <c r="H966" s="13" t="s">
        <v>4</v>
      </c>
      <c r="I966" s="15">
        <v>-19180.48</v>
      </c>
      <c r="J966" s="13" t="s">
        <v>5</v>
      </c>
      <c r="K966" s="13" t="s">
        <v>6</v>
      </c>
      <c r="L966" s="15">
        <v>-1610201.3</v>
      </c>
      <c r="M966" s="15">
        <v>-19180.48</v>
      </c>
      <c r="N966" s="16" t="str">
        <f>IF(M966="","",IF(M966&lt;0,-M966&amp;"_"&amp;COUNTIF(M$2:M966,M966),M966&amp;"_"&amp;COUNTIF(M$2:M966,M966)))</f>
        <v>19180.48_1</v>
      </c>
      <c r="O966" s="17" t="str">
        <f t="shared" si="15"/>
        <v/>
      </c>
      <c r="P966" s="13" t="s">
        <v>2559</v>
      </c>
      <c r="Q966" s="13" t="s">
        <v>2560</v>
      </c>
      <c r="R966" s="13" t="s">
        <v>0</v>
      </c>
      <c r="S966" s="13" t="s">
        <v>0</v>
      </c>
      <c r="T966" s="13" t="s">
        <v>9</v>
      </c>
      <c r="U966" s="13" t="s">
        <v>0</v>
      </c>
      <c r="V966" s="13" t="s">
        <v>0</v>
      </c>
      <c r="W966" s="13" t="s">
        <v>0</v>
      </c>
      <c r="X966" s="13" t="s">
        <v>0</v>
      </c>
      <c r="Y966" s="13" t="s">
        <v>10</v>
      </c>
      <c r="Z966" s="13" t="s">
        <v>0</v>
      </c>
      <c r="AA966" s="14"/>
      <c r="AB966" s="13" t="s">
        <v>0</v>
      </c>
      <c r="AC966" s="13" t="s">
        <v>0</v>
      </c>
      <c r="AD966" s="13" t="s">
        <v>0</v>
      </c>
      <c r="AE966" s="15">
        <v>0</v>
      </c>
    </row>
    <row r="967" spans="1:31" ht="14.15" customHeight="1" x14ac:dyDescent="0.25">
      <c r="A967" s="12" t="s">
        <v>0</v>
      </c>
      <c r="B967" s="13" t="s">
        <v>1</v>
      </c>
      <c r="C967" s="13" t="s">
        <v>1580</v>
      </c>
      <c r="D967" s="14">
        <v>44166</v>
      </c>
      <c r="E967" s="14">
        <v>44166</v>
      </c>
      <c r="F967" s="14">
        <v>44174</v>
      </c>
      <c r="G967" s="13" t="s">
        <v>3</v>
      </c>
      <c r="H967" s="13" t="s">
        <v>4</v>
      </c>
      <c r="I967" s="15">
        <v>-19169.5</v>
      </c>
      <c r="J967" s="13" t="s">
        <v>5</v>
      </c>
      <c r="K967" s="13" t="s">
        <v>6</v>
      </c>
      <c r="L967" s="15">
        <v>-1609279.53</v>
      </c>
      <c r="M967" s="15">
        <v>-19169.5</v>
      </c>
      <c r="N967" s="16" t="str">
        <f>IF(M967="","",IF(M967&lt;0,-M967&amp;"_"&amp;COUNTIF(M$2:M967,M967),M967&amp;"_"&amp;COUNTIF(M$2:M967,M967)))</f>
        <v>19169.5_1</v>
      </c>
      <c r="O967" s="17" t="str">
        <f t="shared" si="15"/>
        <v/>
      </c>
      <c r="P967" s="13" t="s">
        <v>1581</v>
      </c>
      <c r="Q967" s="13" t="s">
        <v>1579</v>
      </c>
      <c r="R967" s="13" t="s">
        <v>0</v>
      </c>
      <c r="S967" s="13" t="s">
        <v>0</v>
      </c>
      <c r="T967" s="13" t="s">
        <v>9</v>
      </c>
      <c r="U967" s="13" t="s">
        <v>0</v>
      </c>
      <c r="V967" s="13" t="s">
        <v>0</v>
      </c>
      <c r="W967" s="13" t="s">
        <v>0</v>
      </c>
      <c r="X967" s="13" t="s">
        <v>0</v>
      </c>
      <c r="Y967" s="13" t="s">
        <v>10</v>
      </c>
      <c r="Z967" s="13" t="s">
        <v>0</v>
      </c>
      <c r="AA967" s="14"/>
      <c r="AB967" s="13" t="s">
        <v>0</v>
      </c>
      <c r="AC967" s="13" t="s">
        <v>0</v>
      </c>
      <c r="AD967" s="13" t="s">
        <v>0</v>
      </c>
      <c r="AE967" s="15">
        <v>0</v>
      </c>
    </row>
    <row r="968" spans="1:31" ht="14.15" customHeight="1" x14ac:dyDescent="0.25">
      <c r="A968" s="12" t="s">
        <v>0</v>
      </c>
      <c r="B968" s="13" t="s">
        <v>1</v>
      </c>
      <c r="C968" s="13" t="s">
        <v>707</v>
      </c>
      <c r="D968" s="14">
        <v>44092</v>
      </c>
      <c r="E968" s="14">
        <v>44092</v>
      </c>
      <c r="F968" s="14">
        <v>44098</v>
      </c>
      <c r="G968" s="13" t="s">
        <v>3</v>
      </c>
      <c r="H968" s="13" t="s">
        <v>4</v>
      </c>
      <c r="I968" s="15">
        <v>-19160.560000000001</v>
      </c>
      <c r="J968" s="13" t="s">
        <v>5</v>
      </c>
      <c r="K968" s="13" t="s">
        <v>6</v>
      </c>
      <c r="L968" s="15">
        <v>-1608529.01</v>
      </c>
      <c r="M968" s="15">
        <v>-19160.560000000001</v>
      </c>
      <c r="N968" s="16" t="str">
        <f>IF(M968="","",IF(M968&lt;0,-M968&amp;"_"&amp;COUNTIF(M$2:M968,M968),M968&amp;"_"&amp;COUNTIF(M$2:M968,M968)))</f>
        <v>19160.56_1</v>
      </c>
      <c r="O968" s="17" t="str">
        <f t="shared" si="15"/>
        <v/>
      </c>
      <c r="P968" s="13" t="s">
        <v>708</v>
      </c>
      <c r="Q968" s="13" t="s">
        <v>709</v>
      </c>
      <c r="R968" s="13" t="s">
        <v>0</v>
      </c>
      <c r="S968" s="13" t="s">
        <v>0</v>
      </c>
      <c r="T968" s="13" t="s">
        <v>9</v>
      </c>
      <c r="U968" s="13" t="s">
        <v>0</v>
      </c>
      <c r="V968" s="13" t="s">
        <v>0</v>
      </c>
      <c r="W968" s="13" t="s">
        <v>0</v>
      </c>
      <c r="X968" s="13" t="s">
        <v>0</v>
      </c>
      <c r="Y968" s="13" t="s">
        <v>10</v>
      </c>
      <c r="Z968" s="13" t="s">
        <v>0</v>
      </c>
      <c r="AA968" s="14"/>
      <c r="AB968" s="13" t="s">
        <v>0</v>
      </c>
      <c r="AC968" s="13" t="s">
        <v>0</v>
      </c>
      <c r="AD968" s="13" t="s">
        <v>0</v>
      </c>
      <c r="AE968" s="15">
        <v>0</v>
      </c>
    </row>
    <row r="969" spans="1:31" ht="14.15" customHeight="1" x14ac:dyDescent="0.25">
      <c r="A969" s="12" t="s">
        <v>0</v>
      </c>
      <c r="B969" s="13" t="s">
        <v>1</v>
      </c>
      <c r="C969" s="13" t="s">
        <v>1230</v>
      </c>
      <c r="D969" s="14">
        <v>44142</v>
      </c>
      <c r="E969" s="14">
        <v>44142</v>
      </c>
      <c r="F969" s="14">
        <v>44149</v>
      </c>
      <c r="G969" s="13" t="s">
        <v>3</v>
      </c>
      <c r="H969" s="13" t="s">
        <v>4</v>
      </c>
      <c r="I969" s="15">
        <v>-19099.689999999999</v>
      </c>
      <c r="J969" s="13" t="s">
        <v>5</v>
      </c>
      <c r="K969" s="13" t="s">
        <v>6</v>
      </c>
      <c r="L969" s="15">
        <v>-1603418.98</v>
      </c>
      <c r="M969" s="15">
        <v>-19099.689999999999</v>
      </c>
      <c r="N969" s="16" t="str">
        <f>IF(M969="","",IF(M969&lt;0,-M969&amp;"_"&amp;COUNTIF(M$2:M969,M969),M969&amp;"_"&amp;COUNTIF(M$2:M969,M969)))</f>
        <v>19099.69_1</v>
      </c>
      <c r="O969" s="17" t="str">
        <f t="shared" si="15"/>
        <v/>
      </c>
      <c r="P969" s="13" t="s">
        <v>1231</v>
      </c>
      <c r="Q969" s="13" t="s">
        <v>1229</v>
      </c>
      <c r="R969" s="13" t="s">
        <v>0</v>
      </c>
      <c r="S969" s="13" t="s">
        <v>0</v>
      </c>
      <c r="T969" s="13" t="s">
        <v>9</v>
      </c>
      <c r="U969" s="13" t="s">
        <v>0</v>
      </c>
      <c r="V969" s="13" t="s">
        <v>0</v>
      </c>
      <c r="W969" s="13" t="s">
        <v>0</v>
      </c>
      <c r="X969" s="13" t="s">
        <v>0</v>
      </c>
      <c r="Y969" s="13" t="s">
        <v>10</v>
      </c>
      <c r="Z969" s="13" t="s">
        <v>0</v>
      </c>
      <c r="AA969" s="14"/>
      <c r="AB969" s="13" t="s">
        <v>0</v>
      </c>
      <c r="AC969" s="13" t="s">
        <v>0</v>
      </c>
      <c r="AD969" s="13" t="s">
        <v>0</v>
      </c>
      <c r="AE969" s="15">
        <v>0</v>
      </c>
    </row>
    <row r="970" spans="1:31" ht="14.15" customHeight="1" x14ac:dyDescent="0.25">
      <c r="A970" s="12" t="s">
        <v>0</v>
      </c>
      <c r="B970" s="13" t="s">
        <v>1</v>
      </c>
      <c r="C970" s="13" t="s">
        <v>910</v>
      </c>
      <c r="D970" s="14">
        <v>44115</v>
      </c>
      <c r="E970" s="14">
        <v>44115</v>
      </c>
      <c r="F970" s="14">
        <v>44118</v>
      </c>
      <c r="G970" s="13" t="s">
        <v>3</v>
      </c>
      <c r="H970" s="13" t="s">
        <v>4</v>
      </c>
      <c r="I970" s="15">
        <v>-19092.14</v>
      </c>
      <c r="J970" s="13" t="s">
        <v>5</v>
      </c>
      <c r="K970" s="13" t="s">
        <v>6</v>
      </c>
      <c r="L970" s="15">
        <v>-1602785.15</v>
      </c>
      <c r="M970" s="15">
        <v>-19092.14</v>
      </c>
      <c r="N970" s="16" t="str">
        <f>IF(M970="","",IF(M970&lt;0,-M970&amp;"_"&amp;COUNTIF(M$2:M970,M970),M970&amp;"_"&amp;COUNTIF(M$2:M970,M970)))</f>
        <v>19092.14_1</v>
      </c>
      <c r="O970" s="17" t="str">
        <f t="shared" si="15"/>
        <v/>
      </c>
      <c r="P970" s="13" t="s">
        <v>911</v>
      </c>
      <c r="Q970" s="13" t="s">
        <v>909</v>
      </c>
      <c r="R970" s="13" t="s">
        <v>0</v>
      </c>
      <c r="S970" s="13" t="s">
        <v>0</v>
      </c>
      <c r="T970" s="13" t="s">
        <v>9</v>
      </c>
      <c r="U970" s="13" t="s">
        <v>0</v>
      </c>
      <c r="V970" s="13" t="s">
        <v>0</v>
      </c>
      <c r="W970" s="13" t="s">
        <v>0</v>
      </c>
      <c r="X970" s="13" t="s">
        <v>0</v>
      </c>
      <c r="Y970" s="13" t="s">
        <v>10</v>
      </c>
      <c r="Z970" s="13" t="s">
        <v>0</v>
      </c>
      <c r="AA970" s="14"/>
      <c r="AB970" s="13" t="s">
        <v>0</v>
      </c>
      <c r="AC970" s="13" t="s">
        <v>0</v>
      </c>
      <c r="AD970" s="13" t="s">
        <v>0</v>
      </c>
      <c r="AE970" s="15">
        <v>0</v>
      </c>
    </row>
    <row r="971" spans="1:31" ht="14.15" customHeight="1" x14ac:dyDescent="0.25">
      <c r="A971" s="12" t="s">
        <v>0</v>
      </c>
      <c r="B971" s="13" t="s">
        <v>1</v>
      </c>
      <c r="C971" s="13" t="s">
        <v>2744</v>
      </c>
      <c r="D971" s="14">
        <v>44260</v>
      </c>
      <c r="E971" s="14">
        <v>44260</v>
      </c>
      <c r="F971" s="14">
        <v>44265</v>
      </c>
      <c r="G971" s="13" t="s">
        <v>3</v>
      </c>
      <c r="H971" s="13" t="s">
        <v>4</v>
      </c>
      <c r="I971" s="15">
        <v>-19084.62</v>
      </c>
      <c r="J971" s="13" t="s">
        <v>5</v>
      </c>
      <c r="K971" s="13" t="s">
        <v>6</v>
      </c>
      <c r="L971" s="15">
        <v>-1602153.85</v>
      </c>
      <c r="M971" s="15">
        <v>-19084.62</v>
      </c>
      <c r="N971" s="16" t="str">
        <f>IF(M971="","",IF(M971&lt;0,-M971&amp;"_"&amp;COUNTIF(M$2:M971,M971),M971&amp;"_"&amp;COUNTIF(M$2:M971,M971)))</f>
        <v>19084.62_1</v>
      </c>
      <c r="O971" s="17" t="str">
        <f t="shared" si="15"/>
        <v/>
      </c>
      <c r="P971" s="13" t="s">
        <v>2745</v>
      </c>
      <c r="Q971" s="13" t="s">
        <v>2746</v>
      </c>
      <c r="R971" s="13" t="s">
        <v>0</v>
      </c>
      <c r="S971" s="13" t="s">
        <v>0</v>
      </c>
      <c r="T971" s="13" t="s">
        <v>9</v>
      </c>
      <c r="U971" s="13" t="s">
        <v>0</v>
      </c>
      <c r="V971" s="13" t="s">
        <v>0</v>
      </c>
      <c r="W971" s="13" t="s">
        <v>0</v>
      </c>
      <c r="X971" s="13" t="s">
        <v>0</v>
      </c>
      <c r="Y971" s="13" t="s">
        <v>10</v>
      </c>
      <c r="Z971" s="13" t="s">
        <v>0</v>
      </c>
      <c r="AA971" s="14"/>
      <c r="AB971" s="13" t="s">
        <v>0</v>
      </c>
      <c r="AC971" s="13" t="s">
        <v>0</v>
      </c>
      <c r="AD971" s="13" t="s">
        <v>0</v>
      </c>
      <c r="AE971" s="15">
        <v>0</v>
      </c>
    </row>
    <row r="972" spans="1:31" ht="14.15" customHeight="1" x14ac:dyDescent="0.25">
      <c r="A972" s="12" t="s">
        <v>0</v>
      </c>
      <c r="B972" s="13" t="s">
        <v>1</v>
      </c>
      <c r="C972" s="13" t="s">
        <v>3234</v>
      </c>
      <c r="D972" s="14">
        <v>44306</v>
      </c>
      <c r="E972" s="14">
        <v>44306</v>
      </c>
      <c r="F972" s="14">
        <v>44311</v>
      </c>
      <c r="G972" s="13" t="s">
        <v>3</v>
      </c>
      <c r="H972" s="13" t="s">
        <v>4</v>
      </c>
      <c r="I972" s="15">
        <v>-19061.73</v>
      </c>
      <c r="J972" s="13" t="s">
        <v>5</v>
      </c>
      <c r="K972" s="13" t="s">
        <v>6</v>
      </c>
      <c r="L972" s="15">
        <v>-1600232.23</v>
      </c>
      <c r="M972" s="15">
        <v>-19061.73</v>
      </c>
      <c r="N972" s="16" t="str">
        <f>IF(M972="","",IF(M972&lt;0,-M972&amp;"_"&amp;COUNTIF(M$2:M972,M972),M972&amp;"_"&amp;COUNTIF(M$2:M972,M972)))</f>
        <v>19061.73_1</v>
      </c>
      <c r="O972" s="17" t="str">
        <f t="shared" si="15"/>
        <v/>
      </c>
      <c r="P972" s="13" t="s">
        <v>3235</v>
      </c>
      <c r="Q972" s="13" t="s">
        <v>3229</v>
      </c>
      <c r="R972" s="13" t="s">
        <v>0</v>
      </c>
      <c r="S972" s="13" t="s">
        <v>0</v>
      </c>
      <c r="T972" s="13" t="s">
        <v>9</v>
      </c>
      <c r="U972" s="13" t="s">
        <v>0</v>
      </c>
      <c r="V972" s="13" t="s">
        <v>0</v>
      </c>
      <c r="W972" s="13" t="s">
        <v>0</v>
      </c>
      <c r="X972" s="13" t="s">
        <v>0</v>
      </c>
      <c r="Y972" s="13" t="s">
        <v>10</v>
      </c>
      <c r="Z972" s="13" t="s">
        <v>0</v>
      </c>
      <c r="AA972" s="14"/>
      <c r="AB972" s="13" t="s">
        <v>0</v>
      </c>
      <c r="AC972" s="13" t="s">
        <v>0</v>
      </c>
      <c r="AD972" s="13" t="s">
        <v>0</v>
      </c>
      <c r="AE972" s="15">
        <v>0</v>
      </c>
    </row>
    <row r="973" spans="1:31" ht="14.15" customHeight="1" x14ac:dyDescent="0.25">
      <c r="A973" s="12" t="s">
        <v>0</v>
      </c>
      <c r="B973" s="13" t="s">
        <v>1</v>
      </c>
      <c r="C973" s="13" t="s">
        <v>885</v>
      </c>
      <c r="D973" s="14">
        <v>44113</v>
      </c>
      <c r="E973" s="14">
        <v>44113</v>
      </c>
      <c r="F973" s="14">
        <v>44118</v>
      </c>
      <c r="G973" s="13" t="s">
        <v>3</v>
      </c>
      <c r="H973" s="13" t="s">
        <v>4</v>
      </c>
      <c r="I973" s="15">
        <v>-19035.12</v>
      </c>
      <c r="J973" s="13" t="s">
        <v>5</v>
      </c>
      <c r="K973" s="13" t="s">
        <v>6</v>
      </c>
      <c r="L973" s="15">
        <v>-1597998.32</v>
      </c>
      <c r="M973" s="15">
        <v>-19035.12</v>
      </c>
      <c r="N973" s="16" t="str">
        <f>IF(M973="","",IF(M973&lt;0,-M973&amp;"_"&amp;COUNTIF(M$2:M973,M973),M973&amp;"_"&amp;COUNTIF(M$2:M973,M973)))</f>
        <v>19035.12_1</v>
      </c>
      <c r="O973" s="17" t="str">
        <f t="shared" si="15"/>
        <v/>
      </c>
      <c r="P973" s="13" t="s">
        <v>886</v>
      </c>
      <c r="Q973" s="13" t="s">
        <v>882</v>
      </c>
      <c r="R973" s="13" t="s">
        <v>0</v>
      </c>
      <c r="S973" s="13" t="s">
        <v>0</v>
      </c>
      <c r="T973" s="13" t="s">
        <v>9</v>
      </c>
      <c r="U973" s="13" t="s">
        <v>0</v>
      </c>
      <c r="V973" s="13" t="s">
        <v>0</v>
      </c>
      <c r="W973" s="13" t="s">
        <v>0</v>
      </c>
      <c r="X973" s="13" t="s">
        <v>0</v>
      </c>
      <c r="Y973" s="13" t="s">
        <v>10</v>
      </c>
      <c r="Z973" s="13" t="s">
        <v>0</v>
      </c>
      <c r="AA973" s="14"/>
      <c r="AB973" s="13" t="s">
        <v>0</v>
      </c>
      <c r="AC973" s="13" t="s">
        <v>0</v>
      </c>
      <c r="AD973" s="13" t="s">
        <v>0</v>
      </c>
      <c r="AE973" s="15">
        <v>0</v>
      </c>
    </row>
    <row r="974" spans="1:31" ht="14.15" customHeight="1" x14ac:dyDescent="0.25">
      <c r="A974" s="12" t="s">
        <v>0</v>
      </c>
      <c r="B974" s="13" t="s">
        <v>1</v>
      </c>
      <c r="C974" s="13" t="s">
        <v>3573</v>
      </c>
      <c r="D974" s="14">
        <v>44325</v>
      </c>
      <c r="E974" s="14">
        <v>44325</v>
      </c>
      <c r="F974" s="14">
        <v>44333</v>
      </c>
      <c r="G974" s="13" t="s">
        <v>3</v>
      </c>
      <c r="H974" s="13" t="s">
        <v>4</v>
      </c>
      <c r="I974" s="15">
        <v>-19008.560000000001</v>
      </c>
      <c r="J974" s="13" t="s">
        <v>5</v>
      </c>
      <c r="K974" s="13" t="s">
        <v>6</v>
      </c>
      <c r="L974" s="15">
        <v>-1595768.61</v>
      </c>
      <c r="M974" s="15">
        <v>-19008.560000000001</v>
      </c>
      <c r="N974" s="16" t="str">
        <f>IF(M974="","",IF(M974&lt;0,-M974&amp;"_"&amp;COUNTIF(M$2:M974,M974),M974&amp;"_"&amp;COUNTIF(M$2:M974,M974)))</f>
        <v>19008.56_1</v>
      </c>
      <c r="O974" s="17" t="str">
        <f t="shared" si="15"/>
        <v/>
      </c>
      <c r="P974" s="13" t="s">
        <v>3574</v>
      </c>
      <c r="Q974" s="13" t="s">
        <v>3557</v>
      </c>
      <c r="R974" s="13" t="s">
        <v>0</v>
      </c>
      <c r="S974" s="13" t="s">
        <v>0</v>
      </c>
      <c r="T974" s="13" t="s">
        <v>9</v>
      </c>
      <c r="U974" s="13" t="s">
        <v>0</v>
      </c>
      <c r="V974" s="13" t="s">
        <v>0</v>
      </c>
      <c r="W974" s="13" t="s">
        <v>0</v>
      </c>
      <c r="X974" s="13" t="s">
        <v>0</v>
      </c>
      <c r="Y974" s="13" t="s">
        <v>10</v>
      </c>
      <c r="Z974" s="13" t="s">
        <v>0</v>
      </c>
      <c r="AA974" s="14"/>
      <c r="AB974" s="13" t="s">
        <v>0</v>
      </c>
      <c r="AC974" s="13" t="s">
        <v>0</v>
      </c>
      <c r="AD974" s="13" t="s">
        <v>0</v>
      </c>
      <c r="AE974" s="15">
        <v>0</v>
      </c>
    </row>
    <row r="975" spans="1:31" ht="14.15" customHeight="1" x14ac:dyDescent="0.25">
      <c r="A975" s="12" t="s">
        <v>0</v>
      </c>
      <c r="B975" s="13" t="s">
        <v>1</v>
      </c>
      <c r="C975" s="13" t="s">
        <v>3139</v>
      </c>
      <c r="D975" s="14">
        <v>44294</v>
      </c>
      <c r="E975" s="14">
        <v>44294</v>
      </c>
      <c r="F975" s="14">
        <v>44298</v>
      </c>
      <c r="G975" s="13" t="s">
        <v>3</v>
      </c>
      <c r="H975" s="13" t="s">
        <v>4</v>
      </c>
      <c r="I975" s="15">
        <v>-18955.689999999999</v>
      </c>
      <c r="J975" s="13" t="s">
        <v>5</v>
      </c>
      <c r="K975" s="13" t="s">
        <v>6</v>
      </c>
      <c r="L975" s="15">
        <v>-1591330.18</v>
      </c>
      <c r="M975" s="15">
        <v>-18955.689999999999</v>
      </c>
      <c r="N975" s="16" t="str">
        <f>IF(M975="","",IF(M975&lt;0,-M975&amp;"_"&amp;COUNTIF(M$2:M975,M975),M975&amp;"_"&amp;COUNTIF(M$2:M975,M975)))</f>
        <v>18955.69_1</v>
      </c>
      <c r="O975" s="17" t="str">
        <f t="shared" si="15"/>
        <v/>
      </c>
      <c r="P975" s="13" t="s">
        <v>3140</v>
      </c>
      <c r="Q975" s="13" t="s">
        <v>3138</v>
      </c>
      <c r="R975" s="13" t="s">
        <v>0</v>
      </c>
      <c r="S975" s="13" t="s">
        <v>0</v>
      </c>
      <c r="T975" s="13" t="s">
        <v>9</v>
      </c>
      <c r="U975" s="13" t="s">
        <v>0</v>
      </c>
      <c r="V975" s="13" t="s">
        <v>0</v>
      </c>
      <c r="W975" s="13" t="s">
        <v>0</v>
      </c>
      <c r="X975" s="13" t="s">
        <v>0</v>
      </c>
      <c r="Y975" s="13" t="s">
        <v>10</v>
      </c>
      <c r="Z975" s="13" t="s">
        <v>0</v>
      </c>
      <c r="AA975" s="14"/>
      <c r="AB975" s="13" t="s">
        <v>0</v>
      </c>
      <c r="AC975" s="13" t="s">
        <v>0</v>
      </c>
      <c r="AD975" s="13" t="s">
        <v>0</v>
      </c>
      <c r="AE975" s="15">
        <v>0</v>
      </c>
    </row>
    <row r="976" spans="1:31" ht="14.15" customHeight="1" x14ac:dyDescent="0.25">
      <c r="A976" s="12" t="s">
        <v>0</v>
      </c>
      <c r="B976" s="13" t="s">
        <v>1</v>
      </c>
      <c r="C976" s="13" t="s">
        <v>3905</v>
      </c>
      <c r="D976" s="14">
        <v>44353</v>
      </c>
      <c r="E976" s="14">
        <v>44353</v>
      </c>
      <c r="F976" s="14">
        <v>44364</v>
      </c>
      <c r="G976" s="13" t="s">
        <v>3</v>
      </c>
      <c r="H976" s="13" t="s">
        <v>4</v>
      </c>
      <c r="I976" s="15">
        <v>-18950.12</v>
      </c>
      <c r="J976" s="13" t="s">
        <v>5</v>
      </c>
      <c r="K976" s="13" t="s">
        <v>6</v>
      </c>
      <c r="L976" s="15">
        <v>-1590862.57</v>
      </c>
      <c r="M976" s="15">
        <v>-18950.12</v>
      </c>
      <c r="N976" s="16" t="str">
        <f>IF(M976="","",IF(M976&lt;0,-M976&amp;"_"&amp;COUNTIF(M$2:M976,M976),M976&amp;"_"&amp;COUNTIF(M$2:M976,M976)))</f>
        <v>18950.12_1</v>
      </c>
      <c r="O976" s="17" t="str">
        <f t="shared" si="15"/>
        <v/>
      </c>
      <c r="P976" s="13" t="s">
        <v>3906</v>
      </c>
      <c r="Q976" s="13" t="s">
        <v>3886</v>
      </c>
      <c r="R976" s="13" t="s">
        <v>0</v>
      </c>
      <c r="S976" s="13" t="s">
        <v>0</v>
      </c>
      <c r="T976" s="13" t="s">
        <v>9</v>
      </c>
      <c r="U976" s="13" t="s">
        <v>0</v>
      </c>
      <c r="V976" s="13" t="s">
        <v>0</v>
      </c>
      <c r="W976" s="13" t="s">
        <v>0</v>
      </c>
      <c r="X976" s="13" t="s">
        <v>0</v>
      </c>
      <c r="Y976" s="13" t="s">
        <v>10</v>
      </c>
      <c r="Z976" s="13" t="s">
        <v>0</v>
      </c>
      <c r="AA976" s="14"/>
      <c r="AB976" s="13" t="s">
        <v>0</v>
      </c>
      <c r="AC976" s="13" t="s">
        <v>0</v>
      </c>
      <c r="AD976" s="13" t="s">
        <v>0</v>
      </c>
      <c r="AE976" s="15">
        <v>0</v>
      </c>
    </row>
    <row r="977" spans="1:31" ht="14.15" customHeight="1" x14ac:dyDescent="0.25">
      <c r="A977" s="12" t="s">
        <v>0</v>
      </c>
      <c r="B977" s="13" t="s">
        <v>1</v>
      </c>
      <c r="C977" s="13" t="s">
        <v>963</v>
      </c>
      <c r="D977" s="14">
        <v>44123</v>
      </c>
      <c r="E977" s="14">
        <v>44123</v>
      </c>
      <c r="F977" s="14">
        <v>44128</v>
      </c>
      <c r="G977" s="13" t="s">
        <v>3</v>
      </c>
      <c r="H977" s="13" t="s">
        <v>4</v>
      </c>
      <c r="I977" s="15">
        <v>-18941.93</v>
      </c>
      <c r="J977" s="13" t="s">
        <v>5</v>
      </c>
      <c r="K977" s="13" t="s">
        <v>6</v>
      </c>
      <c r="L977" s="15">
        <v>-1590175.02</v>
      </c>
      <c r="M977" s="15">
        <v>-18941.93</v>
      </c>
      <c r="N977" s="16" t="str">
        <f>IF(M977="","",IF(M977&lt;0,-M977&amp;"_"&amp;COUNTIF(M$2:M977,M977),M977&amp;"_"&amp;COUNTIF(M$2:M977,M977)))</f>
        <v>18941.93_1</v>
      </c>
      <c r="O977" s="17" t="str">
        <f t="shared" si="15"/>
        <v/>
      </c>
      <c r="P977" s="13" t="s">
        <v>964</v>
      </c>
      <c r="Q977" s="13" t="s">
        <v>958</v>
      </c>
      <c r="R977" s="13" t="s">
        <v>0</v>
      </c>
      <c r="S977" s="13" t="s">
        <v>0</v>
      </c>
      <c r="T977" s="13" t="s">
        <v>9</v>
      </c>
      <c r="U977" s="13" t="s">
        <v>0</v>
      </c>
      <c r="V977" s="13" t="s">
        <v>0</v>
      </c>
      <c r="W977" s="13" t="s">
        <v>0</v>
      </c>
      <c r="X977" s="13" t="s">
        <v>0</v>
      </c>
      <c r="Y977" s="13" t="s">
        <v>10</v>
      </c>
      <c r="Z977" s="13" t="s">
        <v>0</v>
      </c>
      <c r="AA977" s="14"/>
      <c r="AB977" s="13" t="s">
        <v>0</v>
      </c>
      <c r="AC977" s="13" t="s">
        <v>0</v>
      </c>
      <c r="AD977" s="13" t="s">
        <v>0</v>
      </c>
      <c r="AE977" s="15">
        <v>0</v>
      </c>
    </row>
    <row r="978" spans="1:31" ht="14.15" customHeight="1" x14ac:dyDescent="0.25">
      <c r="A978" s="12" t="s">
        <v>0</v>
      </c>
      <c r="B978" s="13" t="s">
        <v>1</v>
      </c>
      <c r="C978" s="13" t="s">
        <v>1188</v>
      </c>
      <c r="D978" s="14">
        <v>44140</v>
      </c>
      <c r="E978" s="14">
        <v>44140</v>
      </c>
      <c r="F978" s="14">
        <v>44146</v>
      </c>
      <c r="G978" s="13" t="s">
        <v>3</v>
      </c>
      <c r="H978" s="13" t="s">
        <v>4</v>
      </c>
      <c r="I978" s="15">
        <v>-18884.150000000001</v>
      </c>
      <c r="J978" s="13" t="s">
        <v>5</v>
      </c>
      <c r="K978" s="13" t="s">
        <v>6</v>
      </c>
      <c r="L978" s="15">
        <v>-1585324.39</v>
      </c>
      <c r="M978" s="15">
        <v>-18884.150000000001</v>
      </c>
      <c r="N978" s="16" t="str">
        <f>IF(M978="","",IF(M978&lt;0,-M978&amp;"_"&amp;COUNTIF(M$2:M978,M978),M978&amp;"_"&amp;COUNTIF(M$2:M978,M978)))</f>
        <v>18884.15_1</v>
      </c>
      <c r="O978" s="17" t="str">
        <f t="shared" si="15"/>
        <v/>
      </c>
      <c r="P978" s="13" t="s">
        <v>1189</v>
      </c>
      <c r="Q978" s="13" t="s">
        <v>1165</v>
      </c>
      <c r="R978" s="13" t="s">
        <v>0</v>
      </c>
      <c r="S978" s="13" t="s">
        <v>0</v>
      </c>
      <c r="T978" s="13" t="s">
        <v>9</v>
      </c>
      <c r="U978" s="13" t="s">
        <v>0</v>
      </c>
      <c r="V978" s="13" t="s">
        <v>0</v>
      </c>
      <c r="W978" s="13" t="s">
        <v>0</v>
      </c>
      <c r="X978" s="13" t="s">
        <v>0</v>
      </c>
      <c r="Y978" s="13" t="s">
        <v>10</v>
      </c>
      <c r="Z978" s="13" t="s">
        <v>0</v>
      </c>
      <c r="AA978" s="14"/>
      <c r="AB978" s="13" t="s">
        <v>0</v>
      </c>
      <c r="AC978" s="13" t="s">
        <v>0</v>
      </c>
      <c r="AD978" s="13" t="s">
        <v>0</v>
      </c>
      <c r="AE978" s="15">
        <v>0</v>
      </c>
    </row>
    <row r="979" spans="1:31" ht="14.15" customHeight="1" x14ac:dyDescent="0.25">
      <c r="A979" s="12" t="s">
        <v>0</v>
      </c>
      <c r="B979" s="13" t="s">
        <v>1</v>
      </c>
      <c r="C979" s="13" t="s">
        <v>2251</v>
      </c>
      <c r="D979" s="14">
        <v>44215</v>
      </c>
      <c r="E979" s="14">
        <v>44215</v>
      </c>
      <c r="F979" s="14">
        <v>44222</v>
      </c>
      <c r="G979" s="13" t="s">
        <v>3</v>
      </c>
      <c r="H979" s="13" t="s">
        <v>4</v>
      </c>
      <c r="I979" s="15">
        <v>-18866.97</v>
      </c>
      <c r="J979" s="13" t="s">
        <v>5</v>
      </c>
      <c r="K979" s="13" t="s">
        <v>6</v>
      </c>
      <c r="L979" s="15">
        <v>-1583882.13</v>
      </c>
      <c r="M979" s="15">
        <v>-18866.97</v>
      </c>
      <c r="N979" s="16" t="str">
        <f>IF(M979="","",IF(M979&lt;0,-M979&amp;"_"&amp;COUNTIF(M$2:M979,M979),M979&amp;"_"&amp;COUNTIF(M$2:M979,M979)))</f>
        <v>18866.97_1</v>
      </c>
      <c r="O979" s="17" t="str">
        <f t="shared" si="15"/>
        <v/>
      </c>
      <c r="P979" s="13" t="s">
        <v>2252</v>
      </c>
      <c r="Q979" s="13" t="s">
        <v>2250</v>
      </c>
      <c r="R979" s="13" t="s">
        <v>0</v>
      </c>
      <c r="S979" s="13" t="s">
        <v>0</v>
      </c>
      <c r="T979" s="13" t="s">
        <v>9</v>
      </c>
      <c r="U979" s="13" t="s">
        <v>0</v>
      </c>
      <c r="V979" s="13" t="s">
        <v>0</v>
      </c>
      <c r="W979" s="13" t="s">
        <v>0</v>
      </c>
      <c r="X979" s="13" t="s">
        <v>0</v>
      </c>
      <c r="Y979" s="13" t="s">
        <v>10</v>
      </c>
      <c r="Z979" s="13" t="s">
        <v>0</v>
      </c>
      <c r="AA979" s="14"/>
      <c r="AB979" s="13" t="s">
        <v>0</v>
      </c>
      <c r="AC979" s="13" t="s">
        <v>0</v>
      </c>
      <c r="AD979" s="13" t="s">
        <v>0</v>
      </c>
      <c r="AE979" s="15">
        <v>0</v>
      </c>
    </row>
    <row r="980" spans="1:31" ht="14.15" customHeight="1" x14ac:dyDescent="0.25">
      <c r="A980" s="12" t="s">
        <v>0</v>
      </c>
      <c r="B980" s="13" t="s">
        <v>1</v>
      </c>
      <c r="C980" s="13" t="s">
        <v>523</v>
      </c>
      <c r="D980" s="14">
        <v>44073</v>
      </c>
      <c r="E980" s="14">
        <v>44073</v>
      </c>
      <c r="F980" s="14">
        <v>44077</v>
      </c>
      <c r="G980" s="13" t="s">
        <v>3</v>
      </c>
      <c r="H980" s="13" t="s">
        <v>4</v>
      </c>
      <c r="I980" s="15">
        <v>-18862.86</v>
      </c>
      <c r="J980" s="13" t="s">
        <v>5</v>
      </c>
      <c r="K980" s="13" t="s">
        <v>6</v>
      </c>
      <c r="L980" s="15">
        <v>-1583537.1</v>
      </c>
      <c r="M980" s="15">
        <v>-18862.86</v>
      </c>
      <c r="N980" s="16" t="str">
        <f>IF(M980="","",IF(M980&lt;0,-M980&amp;"_"&amp;COUNTIF(M$2:M980,M980),M980&amp;"_"&amp;COUNTIF(M$2:M980,M980)))</f>
        <v>18862.86_1</v>
      </c>
      <c r="O980" s="17" t="str">
        <f t="shared" si="15"/>
        <v/>
      </c>
      <c r="P980" s="13" t="s">
        <v>524</v>
      </c>
      <c r="Q980" s="13" t="s">
        <v>525</v>
      </c>
      <c r="R980" s="13" t="s">
        <v>0</v>
      </c>
      <c r="S980" s="13" t="s">
        <v>0</v>
      </c>
      <c r="T980" s="13" t="s">
        <v>9</v>
      </c>
      <c r="U980" s="13" t="s">
        <v>0</v>
      </c>
      <c r="V980" s="13" t="s">
        <v>0</v>
      </c>
      <c r="W980" s="13" t="s">
        <v>0</v>
      </c>
      <c r="X980" s="13" t="s">
        <v>0</v>
      </c>
      <c r="Y980" s="13" t="s">
        <v>10</v>
      </c>
      <c r="Z980" s="13" t="s">
        <v>0</v>
      </c>
      <c r="AA980" s="14"/>
      <c r="AB980" s="13" t="s">
        <v>0</v>
      </c>
      <c r="AC980" s="13" t="s">
        <v>0</v>
      </c>
      <c r="AD980" s="13" t="s">
        <v>0</v>
      </c>
      <c r="AE980" s="15">
        <v>0</v>
      </c>
    </row>
    <row r="981" spans="1:31" ht="14.15" customHeight="1" x14ac:dyDescent="0.25">
      <c r="A981" s="12" t="s">
        <v>0</v>
      </c>
      <c r="B981" s="13" t="s">
        <v>1</v>
      </c>
      <c r="C981" s="13" t="s">
        <v>755</v>
      </c>
      <c r="D981" s="14">
        <v>44097</v>
      </c>
      <c r="E981" s="14">
        <v>44097</v>
      </c>
      <c r="F981" s="14">
        <v>44103</v>
      </c>
      <c r="G981" s="13" t="s">
        <v>3</v>
      </c>
      <c r="H981" s="13" t="s">
        <v>4</v>
      </c>
      <c r="I981" s="15">
        <v>-18854.64</v>
      </c>
      <c r="J981" s="13" t="s">
        <v>5</v>
      </c>
      <c r="K981" s="13" t="s">
        <v>6</v>
      </c>
      <c r="L981" s="15">
        <v>-1582847.03</v>
      </c>
      <c r="M981" s="15">
        <v>-18854.64</v>
      </c>
      <c r="N981" s="16" t="str">
        <f>IF(M981="","",IF(M981&lt;0,-M981&amp;"_"&amp;COUNTIF(M$2:M981,M981),M981&amp;"_"&amp;COUNTIF(M$2:M981,M981)))</f>
        <v>18854.64_1</v>
      </c>
      <c r="O981" s="17" t="str">
        <f t="shared" si="15"/>
        <v/>
      </c>
      <c r="P981" s="13" t="s">
        <v>756</v>
      </c>
      <c r="Q981" s="13" t="s">
        <v>754</v>
      </c>
      <c r="R981" s="13" t="s">
        <v>0</v>
      </c>
      <c r="S981" s="13" t="s">
        <v>0</v>
      </c>
      <c r="T981" s="13" t="s">
        <v>9</v>
      </c>
      <c r="U981" s="13" t="s">
        <v>0</v>
      </c>
      <c r="V981" s="13" t="s">
        <v>0</v>
      </c>
      <c r="W981" s="13" t="s">
        <v>0</v>
      </c>
      <c r="X981" s="13" t="s">
        <v>0</v>
      </c>
      <c r="Y981" s="13" t="s">
        <v>10</v>
      </c>
      <c r="Z981" s="13" t="s">
        <v>0</v>
      </c>
      <c r="AA981" s="14"/>
      <c r="AB981" s="13" t="s">
        <v>0</v>
      </c>
      <c r="AC981" s="13" t="s">
        <v>0</v>
      </c>
      <c r="AD981" s="13" t="s">
        <v>0</v>
      </c>
      <c r="AE981" s="15">
        <v>0</v>
      </c>
    </row>
    <row r="982" spans="1:31" ht="14.15" customHeight="1" x14ac:dyDescent="0.25">
      <c r="A982" s="12" t="s">
        <v>0</v>
      </c>
      <c r="B982" s="13" t="s">
        <v>1</v>
      </c>
      <c r="C982" s="13" t="s">
        <v>1742</v>
      </c>
      <c r="D982" s="14">
        <v>44178</v>
      </c>
      <c r="E982" s="14">
        <v>44178</v>
      </c>
      <c r="F982" s="14">
        <v>44188</v>
      </c>
      <c r="G982" s="13" t="s">
        <v>3</v>
      </c>
      <c r="H982" s="13" t="s">
        <v>4</v>
      </c>
      <c r="I982" s="15">
        <v>-18832.64</v>
      </c>
      <c r="J982" s="13" t="s">
        <v>5</v>
      </c>
      <c r="K982" s="13" t="s">
        <v>6</v>
      </c>
      <c r="L982" s="15">
        <v>-1581000.13</v>
      </c>
      <c r="M982" s="15">
        <v>-18832.64</v>
      </c>
      <c r="N982" s="16" t="str">
        <f>IF(M982="","",IF(M982&lt;0,-M982&amp;"_"&amp;COUNTIF(M$2:M982,M982),M982&amp;"_"&amp;COUNTIF(M$2:M982,M982)))</f>
        <v>18832.64_1</v>
      </c>
      <c r="O982" s="17" t="str">
        <f t="shared" si="15"/>
        <v/>
      </c>
      <c r="P982" s="13" t="s">
        <v>1743</v>
      </c>
      <c r="Q982" s="13" t="s">
        <v>1739</v>
      </c>
      <c r="R982" s="13" t="s">
        <v>0</v>
      </c>
      <c r="S982" s="13" t="s">
        <v>0</v>
      </c>
      <c r="T982" s="13" t="s">
        <v>9</v>
      </c>
      <c r="U982" s="13" t="s">
        <v>0</v>
      </c>
      <c r="V982" s="13" t="s">
        <v>0</v>
      </c>
      <c r="W982" s="13" t="s">
        <v>0</v>
      </c>
      <c r="X982" s="13" t="s">
        <v>0</v>
      </c>
      <c r="Y982" s="13" t="s">
        <v>10</v>
      </c>
      <c r="Z982" s="13" t="s">
        <v>0</v>
      </c>
      <c r="AA982" s="14"/>
      <c r="AB982" s="13" t="s">
        <v>0</v>
      </c>
      <c r="AC982" s="13" t="s">
        <v>0</v>
      </c>
      <c r="AD982" s="13" t="s">
        <v>0</v>
      </c>
      <c r="AE982" s="15">
        <v>0</v>
      </c>
    </row>
    <row r="983" spans="1:31" ht="14.15" customHeight="1" x14ac:dyDescent="0.25">
      <c r="A983" s="12" t="s">
        <v>0</v>
      </c>
      <c r="B983" s="13" t="s">
        <v>289</v>
      </c>
      <c r="C983" s="13" t="s">
        <v>818</v>
      </c>
      <c r="D983" s="14">
        <v>44104</v>
      </c>
      <c r="E983" s="14">
        <v>44104</v>
      </c>
      <c r="F983" s="14">
        <v>44114</v>
      </c>
      <c r="G983" s="13" t="s">
        <v>48</v>
      </c>
      <c r="H983" s="13" t="s">
        <v>4</v>
      </c>
      <c r="I983" s="15">
        <v>-18832.13</v>
      </c>
      <c r="J983" s="13" t="s">
        <v>5</v>
      </c>
      <c r="K983" s="13" t="s">
        <v>6</v>
      </c>
      <c r="L983" s="15">
        <v>-1580957.31</v>
      </c>
      <c r="M983" s="15">
        <v>-18832.13</v>
      </c>
      <c r="N983" s="16" t="str">
        <f>IF(M983="","",IF(M983&lt;0,-M983&amp;"_"&amp;COUNTIF(M$2:M983,M983),M983&amp;"_"&amp;COUNTIF(M$2:M983,M983)))</f>
        <v>18832.13_1</v>
      </c>
      <c r="O983" s="17" t="str">
        <f t="shared" si="15"/>
        <v/>
      </c>
      <c r="P983" s="13" t="s">
        <v>819</v>
      </c>
      <c r="Q983" s="13" t="s">
        <v>819</v>
      </c>
      <c r="R983" s="13" t="s">
        <v>302</v>
      </c>
      <c r="S983" s="13" t="s">
        <v>0</v>
      </c>
      <c r="T983" s="13" t="s">
        <v>9</v>
      </c>
      <c r="U983" s="13" t="s">
        <v>295</v>
      </c>
      <c r="V983" s="13" t="s">
        <v>0</v>
      </c>
      <c r="W983" s="13" t="s">
        <v>0</v>
      </c>
      <c r="X983" s="13" t="s">
        <v>0</v>
      </c>
      <c r="Y983" s="13" t="s">
        <v>291</v>
      </c>
      <c r="Z983" s="13" t="s">
        <v>0</v>
      </c>
      <c r="AA983" s="14"/>
      <c r="AB983" s="13" t="s">
        <v>0</v>
      </c>
      <c r="AC983" s="13" t="s">
        <v>0</v>
      </c>
      <c r="AD983" s="13" t="s">
        <v>0</v>
      </c>
      <c r="AE983" s="15">
        <v>0</v>
      </c>
    </row>
    <row r="984" spans="1:31" ht="14.15" customHeight="1" x14ac:dyDescent="0.25">
      <c r="A984" s="12" t="s">
        <v>0</v>
      </c>
      <c r="B984" s="13" t="s">
        <v>1</v>
      </c>
      <c r="C984" s="13" t="s">
        <v>1316</v>
      </c>
      <c r="D984" s="14">
        <v>44147</v>
      </c>
      <c r="E984" s="14">
        <v>44147</v>
      </c>
      <c r="F984" s="14">
        <v>44151</v>
      </c>
      <c r="G984" s="13" t="s">
        <v>3</v>
      </c>
      <c r="H984" s="13" t="s">
        <v>4</v>
      </c>
      <c r="I984" s="15">
        <v>-18793.150000000001</v>
      </c>
      <c r="J984" s="13" t="s">
        <v>5</v>
      </c>
      <c r="K984" s="13" t="s">
        <v>6</v>
      </c>
      <c r="L984" s="15">
        <v>-1577684.94</v>
      </c>
      <c r="M984" s="15">
        <v>-18793.150000000001</v>
      </c>
      <c r="N984" s="16" t="str">
        <f>IF(M984="","",IF(M984&lt;0,-M984&amp;"_"&amp;COUNTIF(M$2:M984,M984),M984&amp;"_"&amp;COUNTIF(M$2:M984,M984)))</f>
        <v>18793.15_1</v>
      </c>
      <c r="O984" s="17" t="str">
        <f t="shared" si="15"/>
        <v/>
      </c>
      <c r="P984" s="13" t="s">
        <v>1317</v>
      </c>
      <c r="Q984" s="13" t="s">
        <v>1313</v>
      </c>
      <c r="R984" s="13" t="s">
        <v>0</v>
      </c>
      <c r="S984" s="13" t="s">
        <v>0</v>
      </c>
      <c r="T984" s="13" t="s">
        <v>9</v>
      </c>
      <c r="U984" s="13" t="s">
        <v>0</v>
      </c>
      <c r="V984" s="13" t="s">
        <v>0</v>
      </c>
      <c r="W984" s="13" t="s">
        <v>0</v>
      </c>
      <c r="X984" s="13" t="s">
        <v>0</v>
      </c>
      <c r="Y984" s="13" t="s">
        <v>10</v>
      </c>
      <c r="Z984" s="13" t="s">
        <v>0</v>
      </c>
      <c r="AA984" s="14"/>
      <c r="AB984" s="13" t="s">
        <v>0</v>
      </c>
      <c r="AC984" s="13" t="s">
        <v>0</v>
      </c>
      <c r="AD984" s="13" t="s">
        <v>0</v>
      </c>
      <c r="AE984" s="15">
        <v>0</v>
      </c>
    </row>
    <row r="985" spans="1:31" ht="14.15" customHeight="1" x14ac:dyDescent="0.25">
      <c r="A985" s="12" t="s">
        <v>0</v>
      </c>
      <c r="B985" s="13" t="s">
        <v>1</v>
      </c>
      <c r="C985" s="13" t="s">
        <v>408</v>
      </c>
      <c r="D985" s="14">
        <v>44062</v>
      </c>
      <c r="E985" s="14">
        <v>44062</v>
      </c>
      <c r="F985" s="14">
        <v>44079</v>
      </c>
      <c r="G985" s="13" t="s">
        <v>3</v>
      </c>
      <c r="H985" s="13" t="s">
        <v>4</v>
      </c>
      <c r="I985" s="15">
        <v>-18772.689999999999</v>
      </c>
      <c r="J985" s="13" t="s">
        <v>5</v>
      </c>
      <c r="K985" s="13" t="s">
        <v>6</v>
      </c>
      <c r="L985" s="15">
        <v>-1575967.32</v>
      </c>
      <c r="M985" s="15">
        <v>-18772.689999999999</v>
      </c>
      <c r="N985" s="16" t="str">
        <f>IF(M985="","",IF(M985&lt;0,-M985&amp;"_"&amp;COUNTIF(M$2:M985,M985),M985&amp;"_"&amp;COUNTIF(M$2:M985,M985)))</f>
        <v>18772.69_1</v>
      </c>
      <c r="O985" s="17" t="str">
        <f t="shared" si="15"/>
        <v/>
      </c>
      <c r="P985" s="13" t="s">
        <v>409</v>
      </c>
      <c r="Q985" s="13" t="s">
        <v>403</v>
      </c>
      <c r="R985" s="13" t="s">
        <v>0</v>
      </c>
      <c r="S985" s="13" t="s">
        <v>0</v>
      </c>
      <c r="T985" s="13" t="s">
        <v>9</v>
      </c>
      <c r="U985" s="13" t="s">
        <v>0</v>
      </c>
      <c r="V985" s="13" t="s">
        <v>0</v>
      </c>
      <c r="W985" s="13" t="s">
        <v>0</v>
      </c>
      <c r="X985" s="13" t="s">
        <v>0</v>
      </c>
      <c r="Y985" s="13" t="s">
        <v>10</v>
      </c>
      <c r="Z985" s="13" t="s">
        <v>0</v>
      </c>
      <c r="AA985" s="14"/>
      <c r="AB985" s="13" t="s">
        <v>0</v>
      </c>
      <c r="AC985" s="13" t="s">
        <v>0</v>
      </c>
      <c r="AD985" s="13" t="s">
        <v>0</v>
      </c>
      <c r="AE985" s="15">
        <v>0</v>
      </c>
    </row>
    <row r="986" spans="1:31" ht="14.15" customHeight="1" x14ac:dyDescent="0.25">
      <c r="A986" s="12" t="s">
        <v>0</v>
      </c>
      <c r="B986" s="13" t="s">
        <v>1</v>
      </c>
      <c r="C986" s="13" t="s">
        <v>1967</v>
      </c>
      <c r="D986" s="14">
        <v>44195</v>
      </c>
      <c r="E986" s="14">
        <v>44195</v>
      </c>
      <c r="F986" s="14">
        <v>44202</v>
      </c>
      <c r="G986" s="13" t="s">
        <v>3</v>
      </c>
      <c r="H986" s="13" t="s">
        <v>4</v>
      </c>
      <c r="I986" s="15">
        <v>-18765.27</v>
      </c>
      <c r="J986" s="13" t="s">
        <v>5</v>
      </c>
      <c r="K986" s="13" t="s">
        <v>6</v>
      </c>
      <c r="L986" s="15">
        <v>-1575344.42</v>
      </c>
      <c r="M986" s="15">
        <v>-18765.27</v>
      </c>
      <c r="N986" s="16" t="str">
        <f>IF(M986="","",IF(M986&lt;0,-M986&amp;"_"&amp;COUNTIF(M$2:M986,M986),M986&amp;"_"&amp;COUNTIF(M$2:M986,M986)))</f>
        <v>18765.27_1</v>
      </c>
      <c r="O986" s="17" t="str">
        <f t="shared" si="15"/>
        <v/>
      </c>
      <c r="P986" s="13" t="s">
        <v>1968</v>
      </c>
      <c r="Q986" s="13" t="s">
        <v>1956</v>
      </c>
      <c r="R986" s="13" t="s">
        <v>0</v>
      </c>
      <c r="S986" s="13" t="s">
        <v>0</v>
      </c>
      <c r="T986" s="13" t="s">
        <v>9</v>
      </c>
      <c r="U986" s="13" t="s">
        <v>0</v>
      </c>
      <c r="V986" s="13" t="s">
        <v>0</v>
      </c>
      <c r="W986" s="13" t="s">
        <v>0</v>
      </c>
      <c r="X986" s="13" t="s">
        <v>0</v>
      </c>
      <c r="Y986" s="13" t="s">
        <v>10</v>
      </c>
      <c r="Z986" s="13" t="s">
        <v>0</v>
      </c>
      <c r="AA986" s="14"/>
      <c r="AB986" s="13" t="s">
        <v>0</v>
      </c>
      <c r="AC986" s="13" t="s">
        <v>0</v>
      </c>
      <c r="AD986" s="13" t="s">
        <v>0</v>
      </c>
      <c r="AE986" s="15">
        <v>0</v>
      </c>
    </row>
    <row r="987" spans="1:31" ht="14.15" customHeight="1" x14ac:dyDescent="0.25">
      <c r="A987" s="12" t="s">
        <v>0</v>
      </c>
      <c r="B987" s="13" t="s">
        <v>1</v>
      </c>
      <c r="C987" s="13" t="s">
        <v>710</v>
      </c>
      <c r="D987" s="14">
        <v>44092</v>
      </c>
      <c r="E987" s="14">
        <v>44092</v>
      </c>
      <c r="F987" s="14">
        <v>44098</v>
      </c>
      <c r="G987" s="13" t="s">
        <v>3</v>
      </c>
      <c r="H987" s="13" t="s">
        <v>4</v>
      </c>
      <c r="I987" s="15">
        <v>-18749.98</v>
      </c>
      <c r="J987" s="13" t="s">
        <v>5</v>
      </c>
      <c r="K987" s="13" t="s">
        <v>6</v>
      </c>
      <c r="L987" s="15">
        <v>-1574060.82</v>
      </c>
      <c r="M987" s="15">
        <v>-18749.98</v>
      </c>
      <c r="N987" s="16" t="str">
        <f>IF(M987="","",IF(M987&lt;0,-M987&amp;"_"&amp;COUNTIF(M$2:M987,M987),M987&amp;"_"&amp;COUNTIF(M$2:M987,M987)))</f>
        <v>18749.98_1</v>
      </c>
      <c r="O987" s="17" t="str">
        <f t="shared" si="15"/>
        <v/>
      </c>
      <c r="P987" s="13" t="s">
        <v>711</v>
      </c>
      <c r="Q987" s="13" t="s">
        <v>709</v>
      </c>
      <c r="R987" s="13" t="s">
        <v>0</v>
      </c>
      <c r="S987" s="13" t="s">
        <v>0</v>
      </c>
      <c r="T987" s="13" t="s">
        <v>9</v>
      </c>
      <c r="U987" s="13" t="s">
        <v>0</v>
      </c>
      <c r="V987" s="13" t="s">
        <v>0</v>
      </c>
      <c r="W987" s="13" t="s">
        <v>0</v>
      </c>
      <c r="X987" s="13" t="s">
        <v>0</v>
      </c>
      <c r="Y987" s="13" t="s">
        <v>10</v>
      </c>
      <c r="Z987" s="13" t="s">
        <v>0</v>
      </c>
      <c r="AA987" s="14"/>
      <c r="AB987" s="13" t="s">
        <v>0</v>
      </c>
      <c r="AC987" s="13" t="s">
        <v>0</v>
      </c>
      <c r="AD987" s="13" t="s">
        <v>0</v>
      </c>
      <c r="AE987" s="15">
        <v>0</v>
      </c>
    </row>
    <row r="988" spans="1:31" ht="14.15" customHeight="1" x14ac:dyDescent="0.25">
      <c r="A988" s="12" t="s">
        <v>0</v>
      </c>
      <c r="B988" s="13" t="s">
        <v>1</v>
      </c>
      <c r="C988" s="13" t="s">
        <v>639</v>
      </c>
      <c r="D988" s="14">
        <v>44084</v>
      </c>
      <c r="E988" s="14">
        <v>44084</v>
      </c>
      <c r="F988" s="14">
        <v>44098</v>
      </c>
      <c r="G988" s="13" t="s">
        <v>3</v>
      </c>
      <c r="H988" s="13" t="s">
        <v>4</v>
      </c>
      <c r="I988" s="15">
        <v>-18726.09</v>
      </c>
      <c r="J988" s="13" t="s">
        <v>5</v>
      </c>
      <c r="K988" s="13" t="s">
        <v>6</v>
      </c>
      <c r="L988" s="15">
        <v>-1572055.26</v>
      </c>
      <c r="M988" s="15">
        <v>-18726.09</v>
      </c>
      <c r="N988" s="16" t="str">
        <f>IF(M988="","",IF(M988&lt;0,-M988&amp;"_"&amp;COUNTIF(M$2:M988,M988),M988&amp;"_"&amp;COUNTIF(M$2:M988,M988)))</f>
        <v>18726.09_1</v>
      </c>
      <c r="O988" s="17" t="str">
        <f t="shared" si="15"/>
        <v/>
      </c>
      <c r="P988" s="13" t="s">
        <v>640</v>
      </c>
      <c r="Q988" s="13" t="s">
        <v>641</v>
      </c>
      <c r="R988" s="13" t="s">
        <v>0</v>
      </c>
      <c r="S988" s="13" t="s">
        <v>0</v>
      </c>
      <c r="T988" s="13" t="s">
        <v>9</v>
      </c>
      <c r="U988" s="13" t="s">
        <v>0</v>
      </c>
      <c r="V988" s="13" t="s">
        <v>0</v>
      </c>
      <c r="W988" s="13" t="s">
        <v>0</v>
      </c>
      <c r="X988" s="13" t="s">
        <v>0</v>
      </c>
      <c r="Y988" s="13" t="s">
        <v>10</v>
      </c>
      <c r="Z988" s="13" t="s">
        <v>0</v>
      </c>
      <c r="AA988" s="14"/>
      <c r="AB988" s="13" t="s">
        <v>0</v>
      </c>
      <c r="AC988" s="13" t="s">
        <v>0</v>
      </c>
      <c r="AD988" s="13" t="s">
        <v>0</v>
      </c>
      <c r="AE988" s="15">
        <v>0</v>
      </c>
    </row>
    <row r="989" spans="1:31" ht="14.15" customHeight="1" x14ac:dyDescent="0.25">
      <c r="A989" s="12" t="s">
        <v>0</v>
      </c>
      <c r="B989" s="13" t="s">
        <v>1</v>
      </c>
      <c r="C989" s="13" t="s">
        <v>4033</v>
      </c>
      <c r="D989" s="14">
        <v>44358</v>
      </c>
      <c r="E989" s="14">
        <v>44358</v>
      </c>
      <c r="F989" s="14">
        <v>44364</v>
      </c>
      <c r="G989" s="13" t="s">
        <v>3</v>
      </c>
      <c r="H989" s="13" t="s">
        <v>4</v>
      </c>
      <c r="I989" s="15">
        <v>-18719.7</v>
      </c>
      <c r="J989" s="13" t="s">
        <v>5</v>
      </c>
      <c r="K989" s="13" t="s">
        <v>6</v>
      </c>
      <c r="L989" s="15">
        <v>-1571518.82</v>
      </c>
      <c r="M989" s="15">
        <v>-18719.7</v>
      </c>
      <c r="N989" s="16" t="str">
        <f>IF(M989="","",IF(M989&lt;0,-M989&amp;"_"&amp;COUNTIF(M$2:M989,M989),M989&amp;"_"&amp;COUNTIF(M$2:M989,M989)))</f>
        <v>18719.7_1</v>
      </c>
      <c r="O989" s="17" t="str">
        <f t="shared" si="15"/>
        <v/>
      </c>
      <c r="P989" s="13" t="s">
        <v>4034</v>
      </c>
      <c r="Q989" s="13" t="s">
        <v>4006</v>
      </c>
      <c r="R989" s="13" t="s">
        <v>0</v>
      </c>
      <c r="S989" s="13" t="s">
        <v>0</v>
      </c>
      <c r="T989" s="13" t="s">
        <v>9</v>
      </c>
      <c r="U989" s="13" t="s">
        <v>0</v>
      </c>
      <c r="V989" s="13" t="s">
        <v>0</v>
      </c>
      <c r="W989" s="13" t="s">
        <v>0</v>
      </c>
      <c r="X989" s="13" t="s">
        <v>0</v>
      </c>
      <c r="Y989" s="13" t="s">
        <v>10</v>
      </c>
      <c r="Z989" s="13" t="s">
        <v>0</v>
      </c>
      <c r="AA989" s="14"/>
      <c r="AB989" s="13" t="s">
        <v>0</v>
      </c>
      <c r="AC989" s="13" t="s">
        <v>0</v>
      </c>
      <c r="AD989" s="13" t="s">
        <v>0</v>
      </c>
      <c r="AE989" s="15">
        <v>0</v>
      </c>
    </row>
    <row r="990" spans="1:31" ht="14.15" customHeight="1" x14ac:dyDescent="0.25">
      <c r="A990" s="12" t="s">
        <v>0</v>
      </c>
      <c r="B990" s="13" t="s">
        <v>1</v>
      </c>
      <c r="C990" s="13" t="s">
        <v>1271</v>
      </c>
      <c r="D990" s="14">
        <v>44144</v>
      </c>
      <c r="E990" s="14">
        <v>44144</v>
      </c>
      <c r="F990" s="14">
        <v>44149</v>
      </c>
      <c r="G990" s="13" t="s">
        <v>3</v>
      </c>
      <c r="H990" s="13" t="s">
        <v>4</v>
      </c>
      <c r="I990" s="15">
        <v>-18717.490000000002</v>
      </c>
      <c r="J990" s="13" t="s">
        <v>5</v>
      </c>
      <c r="K990" s="13" t="s">
        <v>6</v>
      </c>
      <c r="L990" s="15">
        <v>-1571333.28</v>
      </c>
      <c r="M990" s="15">
        <v>-18717.490000000002</v>
      </c>
      <c r="N990" s="16" t="str">
        <f>IF(M990="","",IF(M990&lt;0,-M990&amp;"_"&amp;COUNTIF(M$2:M990,M990),M990&amp;"_"&amp;COUNTIF(M$2:M990,M990)))</f>
        <v>18717.49_1</v>
      </c>
      <c r="O990" s="17" t="str">
        <f t="shared" si="15"/>
        <v/>
      </c>
      <c r="P990" s="13" t="s">
        <v>1272</v>
      </c>
      <c r="Q990" s="13" t="s">
        <v>1270</v>
      </c>
      <c r="R990" s="13" t="s">
        <v>0</v>
      </c>
      <c r="S990" s="13" t="s">
        <v>0</v>
      </c>
      <c r="T990" s="13" t="s">
        <v>9</v>
      </c>
      <c r="U990" s="13" t="s">
        <v>0</v>
      </c>
      <c r="V990" s="13" t="s">
        <v>0</v>
      </c>
      <c r="W990" s="13" t="s">
        <v>0</v>
      </c>
      <c r="X990" s="13" t="s">
        <v>0</v>
      </c>
      <c r="Y990" s="13" t="s">
        <v>10</v>
      </c>
      <c r="Z990" s="13" t="s">
        <v>0</v>
      </c>
      <c r="AA990" s="14"/>
      <c r="AB990" s="13" t="s">
        <v>0</v>
      </c>
      <c r="AC990" s="13" t="s">
        <v>0</v>
      </c>
      <c r="AD990" s="13" t="s">
        <v>0</v>
      </c>
      <c r="AE990" s="15">
        <v>0</v>
      </c>
    </row>
    <row r="991" spans="1:31" ht="14.15" customHeight="1" x14ac:dyDescent="0.25">
      <c r="A991" s="12" t="s">
        <v>0</v>
      </c>
      <c r="B991" s="13" t="s">
        <v>1</v>
      </c>
      <c r="C991" s="13" t="s">
        <v>1533</v>
      </c>
      <c r="D991" s="14">
        <v>44164</v>
      </c>
      <c r="E991" s="14">
        <v>44164</v>
      </c>
      <c r="F991" s="14">
        <v>44174</v>
      </c>
      <c r="G991" s="13" t="s">
        <v>3</v>
      </c>
      <c r="H991" s="13" t="s">
        <v>4</v>
      </c>
      <c r="I991" s="15">
        <v>-18597.52</v>
      </c>
      <c r="J991" s="13" t="s">
        <v>5</v>
      </c>
      <c r="K991" s="13" t="s">
        <v>6</v>
      </c>
      <c r="L991" s="15">
        <v>-1561261.8</v>
      </c>
      <c r="M991" s="15">
        <v>-18597.52</v>
      </c>
      <c r="N991" s="16" t="str">
        <f>IF(M991="","",IF(M991&lt;0,-M991&amp;"_"&amp;COUNTIF(M$2:M991,M991),M991&amp;"_"&amp;COUNTIF(M$2:M991,M991)))</f>
        <v>18597.52_1</v>
      </c>
      <c r="O991" s="17" t="str">
        <f t="shared" si="15"/>
        <v/>
      </c>
      <c r="P991" s="13" t="s">
        <v>1534</v>
      </c>
      <c r="Q991" s="13" t="s">
        <v>1516</v>
      </c>
      <c r="R991" s="13" t="s">
        <v>0</v>
      </c>
      <c r="S991" s="13" t="s">
        <v>0</v>
      </c>
      <c r="T991" s="13" t="s">
        <v>9</v>
      </c>
      <c r="U991" s="13" t="s">
        <v>0</v>
      </c>
      <c r="V991" s="13" t="s">
        <v>0</v>
      </c>
      <c r="W991" s="13" t="s">
        <v>0</v>
      </c>
      <c r="X991" s="13" t="s">
        <v>0</v>
      </c>
      <c r="Y991" s="13" t="s">
        <v>10</v>
      </c>
      <c r="Z991" s="13" t="s">
        <v>0</v>
      </c>
      <c r="AA991" s="14"/>
      <c r="AB991" s="13" t="s">
        <v>0</v>
      </c>
      <c r="AC991" s="13" t="s">
        <v>0</v>
      </c>
      <c r="AD991" s="13" t="s">
        <v>0</v>
      </c>
      <c r="AE991" s="15">
        <v>0</v>
      </c>
    </row>
    <row r="992" spans="1:31" ht="14.15" customHeight="1" x14ac:dyDescent="0.25">
      <c r="A992" s="12" t="s">
        <v>0</v>
      </c>
      <c r="B992" s="13" t="s">
        <v>1</v>
      </c>
      <c r="C992" s="13" t="s">
        <v>3825</v>
      </c>
      <c r="D992" s="14">
        <v>44347</v>
      </c>
      <c r="E992" s="14">
        <v>44347</v>
      </c>
      <c r="F992" s="14">
        <v>44350</v>
      </c>
      <c r="G992" s="13" t="s">
        <v>3</v>
      </c>
      <c r="H992" s="13" t="s">
        <v>4</v>
      </c>
      <c r="I992" s="15">
        <v>-18571.88</v>
      </c>
      <c r="J992" s="13" t="s">
        <v>5</v>
      </c>
      <c r="K992" s="13" t="s">
        <v>6</v>
      </c>
      <c r="L992" s="15">
        <v>-1559109.33</v>
      </c>
      <c r="M992" s="15">
        <v>-18571.88</v>
      </c>
      <c r="N992" s="16" t="str">
        <f>IF(M992="","",IF(M992&lt;0,-M992&amp;"_"&amp;COUNTIF(M$2:M992,M992),M992&amp;"_"&amp;COUNTIF(M$2:M992,M992)))</f>
        <v>18571.88_1</v>
      </c>
      <c r="O992" s="17" t="str">
        <f t="shared" si="15"/>
        <v/>
      </c>
      <c r="P992" s="13" t="s">
        <v>3826</v>
      </c>
      <c r="Q992" s="13" t="s">
        <v>3824</v>
      </c>
      <c r="R992" s="13" t="s">
        <v>0</v>
      </c>
      <c r="S992" s="13" t="s">
        <v>0</v>
      </c>
      <c r="T992" s="13" t="s">
        <v>9</v>
      </c>
      <c r="U992" s="13" t="s">
        <v>0</v>
      </c>
      <c r="V992" s="13" t="s">
        <v>0</v>
      </c>
      <c r="W992" s="13" t="s">
        <v>0</v>
      </c>
      <c r="X992" s="13" t="s">
        <v>0</v>
      </c>
      <c r="Y992" s="13" t="s">
        <v>10</v>
      </c>
      <c r="Z992" s="13" t="s">
        <v>0</v>
      </c>
      <c r="AA992" s="14"/>
      <c r="AB992" s="13" t="s">
        <v>0</v>
      </c>
      <c r="AC992" s="13" t="s">
        <v>0</v>
      </c>
      <c r="AD992" s="13" t="s">
        <v>0</v>
      </c>
      <c r="AE992" s="15">
        <v>0</v>
      </c>
    </row>
    <row r="993" spans="1:31" ht="14.15" customHeight="1" x14ac:dyDescent="0.25">
      <c r="A993" s="12" t="s">
        <v>0</v>
      </c>
      <c r="B993" s="13" t="s">
        <v>1</v>
      </c>
      <c r="C993" s="13" t="s">
        <v>1033</v>
      </c>
      <c r="D993" s="14">
        <v>44130</v>
      </c>
      <c r="E993" s="14">
        <v>44130</v>
      </c>
      <c r="F993" s="14">
        <v>44138</v>
      </c>
      <c r="G993" s="13" t="s">
        <v>3</v>
      </c>
      <c r="H993" s="13" t="s">
        <v>4</v>
      </c>
      <c r="I993" s="15">
        <v>-18562.79</v>
      </c>
      <c r="J993" s="13" t="s">
        <v>5</v>
      </c>
      <c r="K993" s="13" t="s">
        <v>6</v>
      </c>
      <c r="L993" s="15">
        <v>-1558346.22</v>
      </c>
      <c r="M993" s="15">
        <v>-18562.79</v>
      </c>
      <c r="N993" s="16" t="str">
        <f>IF(M993="","",IF(M993&lt;0,-M993&amp;"_"&amp;COUNTIF(M$2:M993,M993),M993&amp;"_"&amp;COUNTIF(M$2:M993,M993)))</f>
        <v>18562.79_1</v>
      </c>
      <c r="O993" s="17" t="str">
        <f t="shared" si="15"/>
        <v/>
      </c>
      <c r="P993" s="13" t="s">
        <v>1034</v>
      </c>
      <c r="Q993" s="13" t="s">
        <v>1024</v>
      </c>
      <c r="R993" s="13" t="s">
        <v>0</v>
      </c>
      <c r="S993" s="13" t="s">
        <v>0</v>
      </c>
      <c r="T993" s="13" t="s">
        <v>9</v>
      </c>
      <c r="U993" s="13" t="s">
        <v>0</v>
      </c>
      <c r="V993" s="13" t="s">
        <v>0</v>
      </c>
      <c r="W993" s="13" t="s">
        <v>0</v>
      </c>
      <c r="X993" s="13" t="s">
        <v>0</v>
      </c>
      <c r="Y993" s="13" t="s">
        <v>10</v>
      </c>
      <c r="Z993" s="13" t="s">
        <v>0</v>
      </c>
      <c r="AA993" s="14"/>
      <c r="AB993" s="13" t="s">
        <v>0</v>
      </c>
      <c r="AC993" s="13" t="s">
        <v>0</v>
      </c>
      <c r="AD993" s="13" t="s">
        <v>0</v>
      </c>
      <c r="AE993" s="15">
        <v>0</v>
      </c>
    </row>
    <row r="994" spans="1:31" ht="14.15" customHeight="1" x14ac:dyDescent="0.25">
      <c r="A994" s="12" t="s">
        <v>0</v>
      </c>
      <c r="B994" s="13" t="s">
        <v>1</v>
      </c>
      <c r="C994" s="13" t="s">
        <v>1552</v>
      </c>
      <c r="D994" s="14">
        <v>44165</v>
      </c>
      <c r="E994" s="14">
        <v>44165</v>
      </c>
      <c r="F994" s="14">
        <v>44172</v>
      </c>
      <c r="G994" s="13" t="s">
        <v>3</v>
      </c>
      <c r="H994" s="13" t="s">
        <v>4</v>
      </c>
      <c r="I994" s="15">
        <v>-18527.689999999999</v>
      </c>
      <c r="J994" s="13" t="s">
        <v>5</v>
      </c>
      <c r="K994" s="13" t="s">
        <v>6</v>
      </c>
      <c r="L994" s="15">
        <v>-1555399.58</v>
      </c>
      <c r="M994" s="15">
        <v>-18527.689999999999</v>
      </c>
      <c r="N994" s="16" t="str">
        <f>IF(M994="","",IF(M994&lt;0,-M994&amp;"_"&amp;COUNTIF(M$2:M994,M994),M994&amp;"_"&amp;COUNTIF(M$2:M994,M994)))</f>
        <v>18527.69_1</v>
      </c>
      <c r="O994" s="17" t="str">
        <f t="shared" si="15"/>
        <v/>
      </c>
      <c r="P994" s="13" t="s">
        <v>1553</v>
      </c>
      <c r="Q994" s="13" t="s">
        <v>1541</v>
      </c>
      <c r="R994" s="13" t="s">
        <v>0</v>
      </c>
      <c r="S994" s="13" t="s">
        <v>0</v>
      </c>
      <c r="T994" s="13" t="s">
        <v>9</v>
      </c>
      <c r="U994" s="13" t="s">
        <v>0</v>
      </c>
      <c r="V994" s="13" t="s">
        <v>0</v>
      </c>
      <c r="W994" s="13" t="s">
        <v>0</v>
      </c>
      <c r="X994" s="13" t="s">
        <v>0</v>
      </c>
      <c r="Y994" s="13" t="s">
        <v>10</v>
      </c>
      <c r="Z994" s="13" t="s">
        <v>0</v>
      </c>
      <c r="AA994" s="14"/>
      <c r="AB994" s="13" t="s">
        <v>0</v>
      </c>
      <c r="AC994" s="13" t="s">
        <v>0</v>
      </c>
      <c r="AD994" s="13" t="s">
        <v>0</v>
      </c>
      <c r="AE994" s="15">
        <v>0</v>
      </c>
    </row>
    <row r="995" spans="1:31" ht="14.15" customHeight="1" x14ac:dyDescent="0.25">
      <c r="A995" s="12" t="s">
        <v>0</v>
      </c>
      <c r="B995" s="13" t="s">
        <v>1</v>
      </c>
      <c r="C995" s="13" t="s">
        <v>1535</v>
      </c>
      <c r="D995" s="14">
        <v>44164</v>
      </c>
      <c r="E995" s="14">
        <v>44164</v>
      </c>
      <c r="F995" s="14">
        <v>44174</v>
      </c>
      <c r="G995" s="13" t="s">
        <v>3</v>
      </c>
      <c r="H995" s="13" t="s">
        <v>4</v>
      </c>
      <c r="I995" s="15">
        <v>-18524.02</v>
      </c>
      <c r="J995" s="13" t="s">
        <v>5</v>
      </c>
      <c r="K995" s="13" t="s">
        <v>6</v>
      </c>
      <c r="L995" s="15">
        <v>-1555091.48</v>
      </c>
      <c r="M995" s="15">
        <v>-18524.02</v>
      </c>
      <c r="N995" s="16" t="str">
        <f>IF(M995="","",IF(M995&lt;0,-M995&amp;"_"&amp;COUNTIF(M$2:M995,M995),M995&amp;"_"&amp;COUNTIF(M$2:M995,M995)))</f>
        <v>18524.02_1</v>
      </c>
      <c r="O995" s="17" t="str">
        <f t="shared" si="15"/>
        <v/>
      </c>
      <c r="P995" s="13" t="s">
        <v>1536</v>
      </c>
      <c r="Q995" s="13" t="s">
        <v>1516</v>
      </c>
      <c r="R995" s="13" t="s">
        <v>0</v>
      </c>
      <c r="S995" s="13" t="s">
        <v>0</v>
      </c>
      <c r="T995" s="13" t="s">
        <v>9</v>
      </c>
      <c r="U995" s="13" t="s">
        <v>0</v>
      </c>
      <c r="V995" s="13" t="s">
        <v>0</v>
      </c>
      <c r="W995" s="13" t="s">
        <v>0</v>
      </c>
      <c r="X995" s="13" t="s">
        <v>0</v>
      </c>
      <c r="Y995" s="13" t="s">
        <v>10</v>
      </c>
      <c r="Z995" s="13" t="s">
        <v>0</v>
      </c>
      <c r="AA995" s="14"/>
      <c r="AB995" s="13" t="s">
        <v>0</v>
      </c>
      <c r="AC995" s="13" t="s">
        <v>0</v>
      </c>
      <c r="AD995" s="13" t="s">
        <v>0</v>
      </c>
      <c r="AE995" s="15">
        <v>0</v>
      </c>
    </row>
    <row r="996" spans="1:31" ht="14.15" customHeight="1" x14ac:dyDescent="0.25">
      <c r="A996" s="12" t="s">
        <v>0</v>
      </c>
      <c r="B996" s="13" t="s">
        <v>1</v>
      </c>
      <c r="C996" s="13" t="s">
        <v>1784</v>
      </c>
      <c r="D996" s="14">
        <v>44182</v>
      </c>
      <c r="E996" s="14">
        <v>44182</v>
      </c>
      <c r="F996" s="14">
        <v>44199</v>
      </c>
      <c r="G996" s="13" t="s">
        <v>3</v>
      </c>
      <c r="H996" s="13" t="s">
        <v>4</v>
      </c>
      <c r="I996" s="15">
        <v>-18521.39</v>
      </c>
      <c r="J996" s="13" t="s">
        <v>5</v>
      </c>
      <c r="K996" s="13" t="s">
        <v>6</v>
      </c>
      <c r="L996" s="15">
        <v>-1554870.69</v>
      </c>
      <c r="M996" s="15">
        <v>-18521.39</v>
      </c>
      <c r="N996" s="16" t="str">
        <f>IF(M996="","",IF(M996&lt;0,-M996&amp;"_"&amp;COUNTIF(M$2:M996,M996),M996&amp;"_"&amp;COUNTIF(M$2:M996,M996)))</f>
        <v>18521.39_1</v>
      </c>
      <c r="O996" s="17" t="str">
        <f t="shared" si="15"/>
        <v/>
      </c>
      <c r="P996" s="13" t="s">
        <v>1785</v>
      </c>
      <c r="Q996" s="13" t="s">
        <v>1777</v>
      </c>
      <c r="R996" s="13" t="s">
        <v>0</v>
      </c>
      <c r="S996" s="13" t="s">
        <v>0</v>
      </c>
      <c r="T996" s="13" t="s">
        <v>9</v>
      </c>
      <c r="U996" s="13" t="s">
        <v>0</v>
      </c>
      <c r="V996" s="13" t="s">
        <v>0</v>
      </c>
      <c r="W996" s="13" t="s">
        <v>0</v>
      </c>
      <c r="X996" s="13" t="s">
        <v>0</v>
      </c>
      <c r="Y996" s="13" t="s">
        <v>10</v>
      </c>
      <c r="Z996" s="13" t="s">
        <v>0</v>
      </c>
      <c r="AA996" s="14"/>
      <c r="AB996" s="13" t="s">
        <v>0</v>
      </c>
      <c r="AC996" s="13" t="s">
        <v>0</v>
      </c>
      <c r="AD996" s="13" t="s">
        <v>0</v>
      </c>
      <c r="AE996" s="15">
        <v>0</v>
      </c>
    </row>
    <row r="997" spans="1:31" ht="14.15" customHeight="1" x14ac:dyDescent="0.25">
      <c r="A997" s="12" t="s">
        <v>0</v>
      </c>
      <c r="B997" s="13" t="s">
        <v>1</v>
      </c>
      <c r="C997" s="13" t="s">
        <v>1744</v>
      </c>
      <c r="D997" s="14">
        <v>44178</v>
      </c>
      <c r="E997" s="14">
        <v>44178</v>
      </c>
      <c r="F997" s="14">
        <v>44188</v>
      </c>
      <c r="G997" s="13" t="s">
        <v>3</v>
      </c>
      <c r="H997" s="13" t="s">
        <v>4</v>
      </c>
      <c r="I997" s="15">
        <v>-18497.46</v>
      </c>
      <c r="J997" s="13" t="s">
        <v>5</v>
      </c>
      <c r="K997" s="13" t="s">
        <v>6</v>
      </c>
      <c r="L997" s="15">
        <v>-1552861.77</v>
      </c>
      <c r="M997" s="15">
        <v>-18497.46</v>
      </c>
      <c r="N997" s="16" t="str">
        <f>IF(M997="","",IF(M997&lt;0,-M997&amp;"_"&amp;COUNTIF(M$2:M997,M997),M997&amp;"_"&amp;COUNTIF(M$2:M997,M997)))</f>
        <v>18497.46_1</v>
      </c>
      <c r="O997" s="17" t="str">
        <f t="shared" si="15"/>
        <v/>
      </c>
      <c r="P997" s="13" t="s">
        <v>1745</v>
      </c>
      <c r="Q997" s="13" t="s">
        <v>1739</v>
      </c>
      <c r="R997" s="13" t="s">
        <v>0</v>
      </c>
      <c r="S997" s="13" t="s">
        <v>0</v>
      </c>
      <c r="T997" s="13" t="s">
        <v>9</v>
      </c>
      <c r="U997" s="13" t="s">
        <v>0</v>
      </c>
      <c r="V997" s="13" t="s">
        <v>0</v>
      </c>
      <c r="W997" s="13" t="s">
        <v>0</v>
      </c>
      <c r="X997" s="13" t="s">
        <v>0</v>
      </c>
      <c r="Y997" s="13" t="s">
        <v>10</v>
      </c>
      <c r="Z997" s="13" t="s">
        <v>0</v>
      </c>
      <c r="AA997" s="14"/>
      <c r="AB997" s="13" t="s">
        <v>0</v>
      </c>
      <c r="AC997" s="13" t="s">
        <v>0</v>
      </c>
      <c r="AD997" s="13" t="s">
        <v>0</v>
      </c>
      <c r="AE997" s="15">
        <v>0</v>
      </c>
    </row>
    <row r="998" spans="1:31" ht="14.15" customHeight="1" x14ac:dyDescent="0.25">
      <c r="A998" s="12" t="s">
        <v>0</v>
      </c>
      <c r="B998" s="13" t="s">
        <v>1</v>
      </c>
      <c r="C998" s="13" t="s">
        <v>28</v>
      </c>
      <c r="D998" s="14">
        <v>44015</v>
      </c>
      <c r="E998" s="14">
        <v>44015</v>
      </c>
      <c r="F998" s="14">
        <v>44019</v>
      </c>
      <c r="G998" s="13" t="s">
        <v>3</v>
      </c>
      <c r="H998" s="13" t="s">
        <v>4</v>
      </c>
      <c r="I998" s="15">
        <v>-18448.22</v>
      </c>
      <c r="J998" s="13" t="s">
        <v>5</v>
      </c>
      <c r="K998" s="13" t="s">
        <v>6</v>
      </c>
      <c r="L998" s="15">
        <v>-1548728.07</v>
      </c>
      <c r="M998" s="15">
        <v>-18448.22</v>
      </c>
      <c r="N998" s="16" t="str">
        <f>IF(M998="","",IF(M998&lt;0,-M998&amp;"_"&amp;COUNTIF(M$2:M998,M998),M998&amp;"_"&amp;COUNTIF(M$2:M998,M998)))</f>
        <v>18448.22_1</v>
      </c>
      <c r="O998" s="17" t="str">
        <f t="shared" si="15"/>
        <v/>
      </c>
      <c r="P998" s="13" t="s">
        <v>29</v>
      </c>
      <c r="Q998" s="13" t="s">
        <v>27</v>
      </c>
      <c r="R998" s="13" t="s">
        <v>0</v>
      </c>
      <c r="S998" s="13" t="s">
        <v>0</v>
      </c>
      <c r="T998" s="13" t="s">
        <v>9</v>
      </c>
      <c r="U998" s="13" t="s">
        <v>0</v>
      </c>
      <c r="V998" s="13" t="s">
        <v>0</v>
      </c>
      <c r="W998" s="13" t="s">
        <v>0</v>
      </c>
      <c r="X998" s="13" t="s">
        <v>0</v>
      </c>
      <c r="Y998" s="13" t="s">
        <v>10</v>
      </c>
      <c r="Z998" s="13" t="s">
        <v>0</v>
      </c>
      <c r="AA998" s="14"/>
      <c r="AB998" s="13" t="s">
        <v>0</v>
      </c>
      <c r="AC998" s="13" t="s">
        <v>0</v>
      </c>
      <c r="AD998" s="13" t="s">
        <v>0</v>
      </c>
      <c r="AE998" s="15">
        <v>0</v>
      </c>
    </row>
    <row r="999" spans="1:31" ht="14.15" customHeight="1" x14ac:dyDescent="0.25">
      <c r="A999" s="12" t="s">
        <v>0</v>
      </c>
      <c r="B999" s="13" t="s">
        <v>1</v>
      </c>
      <c r="C999" s="13" t="s">
        <v>2609</v>
      </c>
      <c r="D999" s="14">
        <v>44243</v>
      </c>
      <c r="E999" s="14">
        <v>44243</v>
      </c>
      <c r="F999" s="14">
        <v>44252</v>
      </c>
      <c r="G999" s="13" t="s">
        <v>3</v>
      </c>
      <c r="H999" s="13" t="s">
        <v>4</v>
      </c>
      <c r="I999" s="15">
        <v>-18441.84</v>
      </c>
      <c r="J999" s="13" t="s">
        <v>5</v>
      </c>
      <c r="K999" s="13" t="s">
        <v>6</v>
      </c>
      <c r="L999" s="15">
        <v>-1548192.47</v>
      </c>
      <c r="M999" s="15">
        <v>-18441.84</v>
      </c>
      <c r="N999" s="16" t="str">
        <f>IF(M999="","",IF(M999&lt;0,-M999&amp;"_"&amp;COUNTIF(M$2:M999,M999),M999&amp;"_"&amp;COUNTIF(M$2:M999,M999)))</f>
        <v>18441.84_1</v>
      </c>
      <c r="O999" s="17" t="str">
        <f t="shared" si="15"/>
        <v/>
      </c>
      <c r="P999" s="13" t="s">
        <v>2610</v>
      </c>
      <c r="Q999" s="13" t="s">
        <v>2574</v>
      </c>
      <c r="R999" s="13" t="s">
        <v>0</v>
      </c>
      <c r="S999" s="13" t="s">
        <v>0</v>
      </c>
      <c r="T999" s="13" t="s">
        <v>9</v>
      </c>
      <c r="U999" s="13" t="s">
        <v>0</v>
      </c>
      <c r="V999" s="13" t="s">
        <v>0</v>
      </c>
      <c r="W999" s="13" t="s">
        <v>0</v>
      </c>
      <c r="X999" s="13" t="s">
        <v>0</v>
      </c>
      <c r="Y999" s="13" t="s">
        <v>10</v>
      </c>
      <c r="Z999" s="13" t="s">
        <v>0</v>
      </c>
      <c r="AA999" s="14"/>
      <c r="AB999" s="13" t="s">
        <v>0</v>
      </c>
      <c r="AC999" s="13" t="s">
        <v>0</v>
      </c>
      <c r="AD999" s="13" t="s">
        <v>0</v>
      </c>
      <c r="AE999" s="15">
        <v>0</v>
      </c>
    </row>
    <row r="1000" spans="1:31" ht="14.15" customHeight="1" x14ac:dyDescent="0.25">
      <c r="A1000" s="12" t="s">
        <v>0</v>
      </c>
      <c r="B1000" s="13" t="s">
        <v>1</v>
      </c>
      <c r="C1000" s="13" t="s">
        <v>1464</v>
      </c>
      <c r="D1000" s="14">
        <v>44159</v>
      </c>
      <c r="E1000" s="14">
        <v>44159</v>
      </c>
      <c r="F1000" s="14">
        <v>44163</v>
      </c>
      <c r="G1000" s="13" t="s">
        <v>3</v>
      </c>
      <c r="H1000" s="13" t="s">
        <v>4</v>
      </c>
      <c r="I1000" s="15">
        <v>-18423.900000000001</v>
      </c>
      <c r="J1000" s="13" t="s">
        <v>5</v>
      </c>
      <c r="K1000" s="13" t="s">
        <v>6</v>
      </c>
      <c r="L1000" s="15">
        <v>-1546686.41</v>
      </c>
      <c r="M1000" s="15">
        <v>-18423.900000000001</v>
      </c>
      <c r="N1000" s="16" t="str">
        <f>IF(M1000="","",IF(M1000&lt;0,-M1000&amp;"_"&amp;COUNTIF(M$2:M1000,M1000),M1000&amp;"_"&amp;COUNTIF(M$2:M1000,M1000)))</f>
        <v>18423.9_1</v>
      </c>
      <c r="O1000" s="17" t="str">
        <f t="shared" si="15"/>
        <v/>
      </c>
      <c r="P1000" s="13" t="s">
        <v>1465</v>
      </c>
      <c r="Q1000" s="13" t="s">
        <v>1455</v>
      </c>
      <c r="R1000" s="13" t="s">
        <v>0</v>
      </c>
      <c r="S1000" s="13" t="s">
        <v>0</v>
      </c>
      <c r="T1000" s="13" t="s">
        <v>9</v>
      </c>
      <c r="U1000" s="13" t="s">
        <v>0</v>
      </c>
      <c r="V1000" s="13" t="s">
        <v>0</v>
      </c>
      <c r="W1000" s="13" t="s">
        <v>0</v>
      </c>
      <c r="X1000" s="13" t="s">
        <v>0</v>
      </c>
      <c r="Y1000" s="13" t="s">
        <v>10</v>
      </c>
      <c r="Z1000" s="13" t="s">
        <v>0</v>
      </c>
      <c r="AA1000" s="14"/>
      <c r="AB1000" s="13" t="s">
        <v>0</v>
      </c>
      <c r="AC1000" s="13" t="s">
        <v>0</v>
      </c>
      <c r="AD1000" s="13" t="s">
        <v>0</v>
      </c>
      <c r="AE1000" s="15">
        <v>0</v>
      </c>
    </row>
    <row r="1001" spans="1:31" ht="14.15" customHeight="1" x14ac:dyDescent="0.25">
      <c r="A1001" s="12" t="s">
        <v>0</v>
      </c>
      <c r="B1001" s="13" t="s">
        <v>1</v>
      </c>
      <c r="C1001" s="13" t="s">
        <v>4205</v>
      </c>
      <c r="D1001" s="14">
        <v>44364</v>
      </c>
      <c r="E1001" s="14">
        <v>44364</v>
      </c>
      <c r="F1001" s="14">
        <v>44371</v>
      </c>
      <c r="G1001" s="13" t="s">
        <v>3</v>
      </c>
      <c r="H1001" s="13" t="s">
        <v>4</v>
      </c>
      <c r="I1001" s="15">
        <v>-18413.97</v>
      </c>
      <c r="J1001" s="13" t="s">
        <v>5</v>
      </c>
      <c r="K1001" s="13" t="s">
        <v>6</v>
      </c>
      <c r="L1001" s="15">
        <v>-1545852.78</v>
      </c>
      <c r="M1001" s="15">
        <v>-18413.97</v>
      </c>
      <c r="N1001" s="16" t="str">
        <f>IF(M1001="","",IF(M1001&lt;0,-M1001&amp;"_"&amp;COUNTIF(M$2:M1001,M1001),M1001&amp;"_"&amp;COUNTIF(M$2:M1001,M1001)))</f>
        <v>18413.97_1</v>
      </c>
      <c r="O1001" s="17" t="str">
        <f t="shared" si="15"/>
        <v/>
      </c>
      <c r="P1001" s="13" t="s">
        <v>4206</v>
      </c>
      <c r="Q1001" s="13" t="s">
        <v>4180</v>
      </c>
      <c r="R1001" s="13" t="s">
        <v>0</v>
      </c>
      <c r="S1001" s="13" t="s">
        <v>0</v>
      </c>
      <c r="T1001" s="13" t="s">
        <v>9</v>
      </c>
      <c r="U1001" s="13" t="s">
        <v>0</v>
      </c>
      <c r="V1001" s="13" t="s">
        <v>0</v>
      </c>
      <c r="W1001" s="13" t="s">
        <v>0</v>
      </c>
      <c r="X1001" s="13" t="s">
        <v>0</v>
      </c>
      <c r="Y1001" s="13" t="s">
        <v>10</v>
      </c>
      <c r="Z1001" s="13" t="s">
        <v>0</v>
      </c>
      <c r="AA1001" s="14"/>
      <c r="AB1001" s="13" t="s">
        <v>0</v>
      </c>
      <c r="AC1001" s="13" t="s">
        <v>0</v>
      </c>
      <c r="AD1001" s="13" t="s">
        <v>0</v>
      </c>
      <c r="AE1001" s="15">
        <v>0</v>
      </c>
    </row>
    <row r="1002" spans="1:31" ht="14.15" customHeight="1" x14ac:dyDescent="0.25">
      <c r="A1002" s="12" t="s">
        <v>0</v>
      </c>
      <c r="B1002" s="13" t="s">
        <v>1</v>
      </c>
      <c r="C1002" s="13" t="s">
        <v>582</v>
      </c>
      <c r="D1002" s="14">
        <v>44078</v>
      </c>
      <c r="E1002" s="14">
        <v>44078</v>
      </c>
      <c r="F1002" s="14">
        <v>44082</v>
      </c>
      <c r="G1002" s="13" t="s">
        <v>3</v>
      </c>
      <c r="H1002" s="13" t="s">
        <v>4</v>
      </c>
      <c r="I1002" s="15">
        <v>-18402.54</v>
      </c>
      <c r="J1002" s="13" t="s">
        <v>5</v>
      </c>
      <c r="K1002" s="13" t="s">
        <v>6</v>
      </c>
      <c r="L1002" s="15">
        <v>-1544893.23</v>
      </c>
      <c r="M1002" s="15">
        <v>-18402.54</v>
      </c>
      <c r="N1002" s="16" t="str">
        <f>IF(M1002="","",IF(M1002&lt;0,-M1002&amp;"_"&amp;COUNTIF(M$2:M1002,M1002),M1002&amp;"_"&amp;COUNTIF(M$2:M1002,M1002)))</f>
        <v>18402.54_1</v>
      </c>
      <c r="O1002" s="17" t="str">
        <f t="shared" si="15"/>
        <v/>
      </c>
      <c r="P1002" s="13" t="s">
        <v>583</v>
      </c>
      <c r="Q1002" s="13" t="s">
        <v>584</v>
      </c>
      <c r="R1002" s="13" t="s">
        <v>0</v>
      </c>
      <c r="S1002" s="13" t="s">
        <v>0</v>
      </c>
      <c r="T1002" s="13" t="s">
        <v>9</v>
      </c>
      <c r="U1002" s="13" t="s">
        <v>0</v>
      </c>
      <c r="V1002" s="13" t="s">
        <v>0</v>
      </c>
      <c r="W1002" s="13" t="s">
        <v>0</v>
      </c>
      <c r="X1002" s="13" t="s">
        <v>0</v>
      </c>
      <c r="Y1002" s="13" t="s">
        <v>10</v>
      </c>
      <c r="Z1002" s="13" t="s">
        <v>0</v>
      </c>
      <c r="AA1002" s="14"/>
      <c r="AB1002" s="13" t="s">
        <v>0</v>
      </c>
      <c r="AC1002" s="13" t="s">
        <v>0</v>
      </c>
      <c r="AD1002" s="13" t="s">
        <v>0</v>
      </c>
      <c r="AE1002" s="15">
        <v>0</v>
      </c>
    </row>
    <row r="1003" spans="1:31" ht="14.15" customHeight="1" x14ac:dyDescent="0.25">
      <c r="A1003" s="12" t="s">
        <v>0</v>
      </c>
      <c r="B1003" s="13" t="s">
        <v>1</v>
      </c>
      <c r="C1003" s="13" t="s">
        <v>1068</v>
      </c>
      <c r="D1003" s="14">
        <v>44133</v>
      </c>
      <c r="E1003" s="14">
        <v>44133</v>
      </c>
      <c r="F1003" s="14">
        <v>44138</v>
      </c>
      <c r="G1003" s="13" t="s">
        <v>3</v>
      </c>
      <c r="H1003" s="13" t="s">
        <v>4</v>
      </c>
      <c r="I1003" s="15">
        <v>-18399.71</v>
      </c>
      <c r="J1003" s="13" t="s">
        <v>5</v>
      </c>
      <c r="K1003" s="13" t="s">
        <v>6</v>
      </c>
      <c r="L1003" s="15">
        <v>-1544655.65</v>
      </c>
      <c r="M1003" s="15">
        <v>-18399.71</v>
      </c>
      <c r="N1003" s="16" t="str">
        <f>IF(M1003="","",IF(M1003&lt;0,-M1003&amp;"_"&amp;COUNTIF(M$2:M1003,M1003),M1003&amp;"_"&amp;COUNTIF(M$2:M1003,M1003)))</f>
        <v>18399.71_1</v>
      </c>
      <c r="O1003" s="17" t="str">
        <f t="shared" si="15"/>
        <v/>
      </c>
      <c r="P1003" s="13" t="s">
        <v>1069</v>
      </c>
      <c r="Q1003" s="13" t="s">
        <v>1065</v>
      </c>
      <c r="R1003" s="13" t="s">
        <v>0</v>
      </c>
      <c r="S1003" s="13" t="s">
        <v>0</v>
      </c>
      <c r="T1003" s="13" t="s">
        <v>9</v>
      </c>
      <c r="U1003" s="13" t="s">
        <v>0</v>
      </c>
      <c r="V1003" s="13" t="s">
        <v>0</v>
      </c>
      <c r="W1003" s="13" t="s">
        <v>0</v>
      </c>
      <c r="X1003" s="13" t="s">
        <v>0</v>
      </c>
      <c r="Y1003" s="13" t="s">
        <v>10</v>
      </c>
      <c r="Z1003" s="13" t="s">
        <v>0</v>
      </c>
      <c r="AA1003" s="14"/>
      <c r="AB1003" s="13" t="s">
        <v>0</v>
      </c>
      <c r="AC1003" s="13" t="s">
        <v>0</v>
      </c>
      <c r="AD1003" s="13" t="s">
        <v>0</v>
      </c>
      <c r="AE1003" s="15">
        <v>0</v>
      </c>
    </row>
    <row r="1004" spans="1:31" ht="14.15" customHeight="1" x14ac:dyDescent="0.25">
      <c r="A1004" s="12" t="s">
        <v>0</v>
      </c>
      <c r="B1004" s="13" t="s">
        <v>1</v>
      </c>
      <c r="C1004" s="13" t="s">
        <v>3282</v>
      </c>
      <c r="D1004" s="14">
        <v>44314</v>
      </c>
      <c r="E1004" s="14">
        <v>44314</v>
      </c>
      <c r="F1004" s="14">
        <v>44319</v>
      </c>
      <c r="G1004" s="13" t="s">
        <v>3</v>
      </c>
      <c r="H1004" s="13" t="s">
        <v>4</v>
      </c>
      <c r="I1004" s="15">
        <v>-18395.150000000001</v>
      </c>
      <c r="J1004" s="13" t="s">
        <v>5</v>
      </c>
      <c r="K1004" s="13" t="s">
        <v>6</v>
      </c>
      <c r="L1004" s="15">
        <v>-1544272.84</v>
      </c>
      <c r="M1004" s="15">
        <v>-18395.150000000001</v>
      </c>
      <c r="N1004" s="16" t="str">
        <f>IF(M1004="","",IF(M1004&lt;0,-M1004&amp;"_"&amp;COUNTIF(M$2:M1004,M1004),M1004&amp;"_"&amp;COUNTIF(M$2:M1004,M1004)))</f>
        <v>18395.15_1</v>
      </c>
      <c r="O1004" s="17" t="str">
        <f t="shared" si="15"/>
        <v/>
      </c>
      <c r="P1004" s="13" t="s">
        <v>3283</v>
      </c>
      <c r="Q1004" s="13" t="s">
        <v>3284</v>
      </c>
      <c r="R1004" s="13" t="s">
        <v>0</v>
      </c>
      <c r="S1004" s="13" t="s">
        <v>0</v>
      </c>
      <c r="T1004" s="13" t="s">
        <v>9</v>
      </c>
      <c r="U1004" s="13" t="s">
        <v>0</v>
      </c>
      <c r="V1004" s="13" t="s">
        <v>0</v>
      </c>
      <c r="W1004" s="13" t="s">
        <v>0</v>
      </c>
      <c r="X1004" s="13" t="s">
        <v>0</v>
      </c>
      <c r="Y1004" s="13" t="s">
        <v>10</v>
      </c>
      <c r="Z1004" s="13" t="s">
        <v>0</v>
      </c>
      <c r="AA1004" s="14"/>
      <c r="AB1004" s="13" t="s">
        <v>0</v>
      </c>
      <c r="AC1004" s="13" t="s">
        <v>0</v>
      </c>
      <c r="AD1004" s="13" t="s">
        <v>0</v>
      </c>
      <c r="AE1004" s="15">
        <v>0</v>
      </c>
    </row>
    <row r="1005" spans="1:31" ht="14.15" customHeight="1" x14ac:dyDescent="0.25">
      <c r="A1005" s="12" t="s">
        <v>0</v>
      </c>
      <c r="B1005" s="13" t="s">
        <v>1</v>
      </c>
      <c r="C1005" s="13" t="s">
        <v>2601</v>
      </c>
      <c r="D1005" s="14">
        <v>44243</v>
      </c>
      <c r="E1005" s="14">
        <v>44243</v>
      </c>
      <c r="F1005" s="14">
        <v>44252</v>
      </c>
      <c r="G1005" s="13" t="s">
        <v>3</v>
      </c>
      <c r="H1005" s="13" t="s">
        <v>4</v>
      </c>
      <c r="I1005" s="15">
        <v>-18359.59</v>
      </c>
      <c r="J1005" s="13" t="s">
        <v>5</v>
      </c>
      <c r="K1005" s="13" t="s">
        <v>6</v>
      </c>
      <c r="L1005" s="15">
        <v>-1541287.58</v>
      </c>
      <c r="M1005" s="15">
        <v>-18359.59</v>
      </c>
      <c r="N1005" s="16" t="str">
        <f>IF(M1005="","",IF(M1005&lt;0,-M1005&amp;"_"&amp;COUNTIF(M$2:M1005,M1005),M1005&amp;"_"&amp;COUNTIF(M$2:M1005,M1005)))</f>
        <v>18359.59_1</v>
      </c>
      <c r="O1005" s="17" t="str">
        <f t="shared" si="15"/>
        <v/>
      </c>
      <c r="P1005" s="13" t="s">
        <v>2602</v>
      </c>
      <c r="Q1005" s="13" t="s">
        <v>2574</v>
      </c>
      <c r="R1005" s="13" t="s">
        <v>0</v>
      </c>
      <c r="S1005" s="13" t="s">
        <v>0</v>
      </c>
      <c r="T1005" s="13" t="s">
        <v>9</v>
      </c>
      <c r="U1005" s="13" t="s">
        <v>0</v>
      </c>
      <c r="V1005" s="13" t="s">
        <v>0</v>
      </c>
      <c r="W1005" s="13" t="s">
        <v>0</v>
      </c>
      <c r="X1005" s="13" t="s">
        <v>0</v>
      </c>
      <c r="Y1005" s="13" t="s">
        <v>10</v>
      </c>
      <c r="Z1005" s="13" t="s">
        <v>0</v>
      </c>
      <c r="AA1005" s="14"/>
      <c r="AB1005" s="13" t="s">
        <v>0</v>
      </c>
      <c r="AC1005" s="13" t="s">
        <v>0</v>
      </c>
      <c r="AD1005" s="13" t="s">
        <v>0</v>
      </c>
      <c r="AE1005" s="15">
        <v>0</v>
      </c>
    </row>
    <row r="1006" spans="1:31" ht="14.15" customHeight="1" x14ac:dyDescent="0.25">
      <c r="A1006" s="12" t="s">
        <v>0</v>
      </c>
      <c r="B1006" s="13" t="s">
        <v>1</v>
      </c>
      <c r="C1006" s="13" t="s">
        <v>1012</v>
      </c>
      <c r="D1006" s="14">
        <v>44128</v>
      </c>
      <c r="E1006" s="14">
        <v>44128</v>
      </c>
      <c r="F1006" s="14">
        <v>44136</v>
      </c>
      <c r="G1006" s="13" t="s">
        <v>3</v>
      </c>
      <c r="H1006" s="13" t="s">
        <v>4</v>
      </c>
      <c r="I1006" s="15">
        <v>-18357.78</v>
      </c>
      <c r="J1006" s="13" t="s">
        <v>5</v>
      </c>
      <c r="K1006" s="13" t="s">
        <v>6</v>
      </c>
      <c r="L1006" s="15">
        <v>-1541135.63</v>
      </c>
      <c r="M1006" s="15">
        <v>-18357.78</v>
      </c>
      <c r="N1006" s="16" t="str">
        <f>IF(M1006="","",IF(M1006&lt;0,-M1006&amp;"_"&amp;COUNTIF(M$2:M1006,M1006),M1006&amp;"_"&amp;COUNTIF(M$2:M1006,M1006)))</f>
        <v>18357.78_1</v>
      </c>
      <c r="O1006" s="17" t="str">
        <f t="shared" si="15"/>
        <v/>
      </c>
      <c r="P1006" s="13" t="s">
        <v>1013</v>
      </c>
      <c r="Q1006" s="13" t="s">
        <v>1014</v>
      </c>
      <c r="R1006" s="13" t="s">
        <v>0</v>
      </c>
      <c r="S1006" s="13" t="s">
        <v>0</v>
      </c>
      <c r="T1006" s="13" t="s">
        <v>9</v>
      </c>
      <c r="U1006" s="13" t="s">
        <v>0</v>
      </c>
      <c r="V1006" s="13" t="s">
        <v>0</v>
      </c>
      <c r="W1006" s="13" t="s">
        <v>0</v>
      </c>
      <c r="X1006" s="13" t="s">
        <v>0</v>
      </c>
      <c r="Y1006" s="13" t="s">
        <v>10</v>
      </c>
      <c r="Z1006" s="13" t="s">
        <v>0</v>
      </c>
      <c r="AA1006" s="14"/>
      <c r="AB1006" s="13" t="s">
        <v>0</v>
      </c>
      <c r="AC1006" s="13" t="s">
        <v>0</v>
      </c>
      <c r="AD1006" s="13" t="s">
        <v>0</v>
      </c>
      <c r="AE1006" s="15">
        <v>0</v>
      </c>
    </row>
    <row r="1007" spans="1:31" ht="14.15" customHeight="1" x14ac:dyDescent="0.25">
      <c r="A1007" s="12" t="s">
        <v>0</v>
      </c>
      <c r="B1007" s="13" t="s">
        <v>1</v>
      </c>
      <c r="C1007" s="13" t="s">
        <v>4203</v>
      </c>
      <c r="D1007" s="14">
        <v>44364</v>
      </c>
      <c r="E1007" s="14">
        <v>44364</v>
      </c>
      <c r="F1007" s="14">
        <v>44371</v>
      </c>
      <c r="G1007" s="13" t="s">
        <v>3</v>
      </c>
      <c r="H1007" s="13" t="s">
        <v>4</v>
      </c>
      <c r="I1007" s="15">
        <v>-18335.740000000002</v>
      </c>
      <c r="J1007" s="13" t="s">
        <v>5</v>
      </c>
      <c r="K1007" s="13" t="s">
        <v>6</v>
      </c>
      <c r="L1007" s="15">
        <v>-1539285.37</v>
      </c>
      <c r="M1007" s="15">
        <v>-18335.740000000002</v>
      </c>
      <c r="N1007" s="16" t="str">
        <f>IF(M1007="","",IF(M1007&lt;0,-M1007&amp;"_"&amp;COUNTIF(M$2:M1007,M1007),M1007&amp;"_"&amp;COUNTIF(M$2:M1007,M1007)))</f>
        <v>18335.74_1</v>
      </c>
      <c r="O1007" s="17" t="str">
        <f t="shared" si="15"/>
        <v/>
      </c>
      <c r="P1007" s="13" t="s">
        <v>4204</v>
      </c>
      <c r="Q1007" s="13" t="s">
        <v>4180</v>
      </c>
      <c r="R1007" s="13" t="s">
        <v>0</v>
      </c>
      <c r="S1007" s="13" t="s">
        <v>0</v>
      </c>
      <c r="T1007" s="13" t="s">
        <v>9</v>
      </c>
      <c r="U1007" s="13" t="s">
        <v>0</v>
      </c>
      <c r="V1007" s="13" t="s">
        <v>0</v>
      </c>
      <c r="W1007" s="13" t="s">
        <v>0</v>
      </c>
      <c r="X1007" s="13" t="s">
        <v>0</v>
      </c>
      <c r="Y1007" s="13" t="s">
        <v>10</v>
      </c>
      <c r="Z1007" s="13" t="s">
        <v>0</v>
      </c>
      <c r="AA1007" s="14"/>
      <c r="AB1007" s="13" t="s">
        <v>0</v>
      </c>
      <c r="AC1007" s="13" t="s">
        <v>0</v>
      </c>
      <c r="AD1007" s="13" t="s">
        <v>0</v>
      </c>
      <c r="AE1007" s="15">
        <v>0</v>
      </c>
    </row>
    <row r="1008" spans="1:31" ht="14.15" customHeight="1" x14ac:dyDescent="0.25">
      <c r="A1008" s="12" t="s">
        <v>0</v>
      </c>
      <c r="B1008" s="13" t="s">
        <v>1</v>
      </c>
      <c r="C1008" s="13" t="s">
        <v>4310</v>
      </c>
      <c r="D1008" s="14">
        <v>44372</v>
      </c>
      <c r="E1008" s="14">
        <v>44372</v>
      </c>
      <c r="F1008" s="14">
        <v>44375</v>
      </c>
      <c r="G1008" s="13" t="s">
        <v>3</v>
      </c>
      <c r="H1008" s="13" t="s">
        <v>4</v>
      </c>
      <c r="I1008" s="15">
        <v>-18299.39</v>
      </c>
      <c r="J1008" s="13" t="s">
        <v>5</v>
      </c>
      <c r="K1008" s="13" t="s">
        <v>6</v>
      </c>
      <c r="L1008" s="15">
        <v>-1536233.79</v>
      </c>
      <c r="M1008" s="15">
        <v>-18299.39</v>
      </c>
      <c r="N1008" s="16" t="str">
        <f>IF(M1008="","",IF(M1008&lt;0,-M1008&amp;"_"&amp;COUNTIF(M$2:M1008,M1008),M1008&amp;"_"&amp;COUNTIF(M$2:M1008,M1008)))</f>
        <v>18299.39_1</v>
      </c>
      <c r="O1008" s="17" t="str">
        <f t="shared" si="15"/>
        <v/>
      </c>
      <c r="P1008" s="13" t="s">
        <v>4311</v>
      </c>
      <c r="Q1008" s="13" t="s">
        <v>4312</v>
      </c>
      <c r="R1008" s="13" t="s">
        <v>0</v>
      </c>
      <c r="S1008" s="13" t="s">
        <v>0</v>
      </c>
      <c r="T1008" s="13" t="s">
        <v>9</v>
      </c>
      <c r="U1008" s="13" t="s">
        <v>0</v>
      </c>
      <c r="V1008" s="13" t="s">
        <v>0</v>
      </c>
      <c r="W1008" s="13" t="s">
        <v>0</v>
      </c>
      <c r="X1008" s="13" t="s">
        <v>0</v>
      </c>
      <c r="Y1008" s="13" t="s">
        <v>10</v>
      </c>
      <c r="Z1008" s="13" t="s">
        <v>0</v>
      </c>
      <c r="AA1008" s="14"/>
      <c r="AB1008" s="13" t="s">
        <v>0</v>
      </c>
      <c r="AC1008" s="13" t="s">
        <v>0</v>
      </c>
      <c r="AD1008" s="13" t="s">
        <v>0</v>
      </c>
      <c r="AE1008" s="15">
        <v>0</v>
      </c>
    </row>
    <row r="1009" spans="1:31" ht="14.15" customHeight="1" x14ac:dyDescent="0.25">
      <c r="A1009" s="12" t="s">
        <v>0</v>
      </c>
      <c r="B1009" s="13" t="s">
        <v>1</v>
      </c>
      <c r="C1009" s="13" t="s">
        <v>4203</v>
      </c>
      <c r="D1009" s="14">
        <v>44364</v>
      </c>
      <c r="E1009" s="14">
        <v>44364</v>
      </c>
      <c r="F1009" s="14">
        <v>44371</v>
      </c>
      <c r="G1009" s="13" t="s">
        <v>3</v>
      </c>
      <c r="H1009" s="13" t="s">
        <v>4</v>
      </c>
      <c r="I1009" s="15">
        <v>-18269.09</v>
      </c>
      <c r="J1009" s="13" t="s">
        <v>5</v>
      </c>
      <c r="K1009" s="13" t="s">
        <v>6</v>
      </c>
      <c r="L1009" s="15">
        <v>-1533690.11</v>
      </c>
      <c r="M1009" s="15">
        <v>-18269.09</v>
      </c>
      <c r="N1009" s="16" t="str">
        <f>IF(M1009="","",IF(M1009&lt;0,-M1009&amp;"_"&amp;COUNTIF(M$2:M1009,M1009),M1009&amp;"_"&amp;COUNTIF(M$2:M1009,M1009)))</f>
        <v>18269.09_1</v>
      </c>
      <c r="O1009" s="17" t="str">
        <f t="shared" si="15"/>
        <v/>
      </c>
      <c r="P1009" s="13" t="s">
        <v>4204</v>
      </c>
      <c r="Q1009" s="13" t="s">
        <v>4180</v>
      </c>
      <c r="R1009" s="13" t="s">
        <v>0</v>
      </c>
      <c r="S1009" s="13" t="s">
        <v>0</v>
      </c>
      <c r="T1009" s="13" t="s">
        <v>9</v>
      </c>
      <c r="U1009" s="13" t="s">
        <v>0</v>
      </c>
      <c r="V1009" s="13" t="s">
        <v>0</v>
      </c>
      <c r="W1009" s="13" t="s">
        <v>0</v>
      </c>
      <c r="X1009" s="13" t="s">
        <v>0</v>
      </c>
      <c r="Y1009" s="13" t="s">
        <v>10</v>
      </c>
      <c r="Z1009" s="13" t="s">
        <v>0</v>
      </c>
      <c r="AA1009" s="14"/>
      <c r="AB1009" s="13" t="s">
        <v>0</v>
      </c>
      <c r="AC1009" s="13" t="s">
        <v>0</v>
      </c>
      <c r="AD1009" s="13" t="s">
        <v>0</v>
      </c>
      <c r="AE1009" s="15">
        <v>0</v>
      </c>
    </row>
    <row r="1010" spans="1:31" ht="14.15" customHeight="1" x14ac:dyDescent="0.25">
      <c r="A1010" s="12" t="s">
        <v>0</v>
      </c>
      <c r="B1010" s="13" t="s">
        <v>1</v>
      </c>
      <c r="C1010" s="13" t="s">
        <v>1580</v>
      </c>
      <c r="D1010" s="14">
        <v>44166</v>
      </c>
      <c r="E1010" s="14">
        <v>44166</v>
      </c>
      <c r="F1010" s="14">
        <v>44174</v>
      </c>
      <c r="G1010" s="13" t="s">
        <v>3</v>
      </c>
      <c r="H1010" s="13" t="s">
        <v>4</v>
      </c>
      <c r="I1010" s="15">
        <v>-18220.21</v>
      </c>
      <c r="J1010" s="13" t="s">
        <v>5</v>
      </c>
      <c r="K1010" s="13" t="s">
        <v>6</v>
      </c>
      <c r="L1010" s="15">
        <v>-1529586.63</v>
      </c>
      <c r="M1010" s="15">
        <v>-18220.21</v>
      </c>
      <c r="N1010" s="16" t="str">
        <f>IF(M1010="","",IF(M1010&lt;0,-M1010&amp;"_"&amp;COUNTIF(M$2:M1010,M1010),M1010&amp;"_"&amp;COUNTIF(M$2:M1010,M1010)))</f>
        <v>18220.21_1</v>
      </c>
      <c r="O1010" s="17" t="str">
        <f t="shared" si="15"/>
        <v/>
      </c>
      <c r="P1010" s="13" t="s">
        <v>1581</v>
      </c>
      <c r="Q1010" s="13" t="s">
        <v>1579</v>
      </c>
      <c r="R1010" s="13" t="s">
        <v>0</v>
      </c>
      <c r="S1010" s="13" t="s">
        <v>0</v>
      </c>
      <c r="T1010" s="13" t="s">
        <v>9</v>
      </c>
      <c r="U1010" s="13" t="s">
        <v>0</v>
      </c>
      <c r="V1010" s="13" t="s">
        <v>0</v>
      </c>
      <c r="W1010" s="13" t="s">
        <v>0</v>
      </c>
      <c r="X1010" s="13" t="s">
        <v>0</v>
      </c>
      <c r="Y1010" s="13" t="s">
        <v>10</v>
      </c>
      <c r="Z1010" s="13" t="s">
        <v>0</v>
      </c>
      <c r="AA1010" s="14"/>
      <c r="AB1010" s="13" t="s">
        <v>0</v>
      </c>
      <c r="AC1010" s="13" t="s">
        <v>0</v>
      </c>
      <c r="AD1010" s="13" t="s">
        <v>0</v>
      </c>
      <c r="AE1010" s="15">
        <v>0</v>
      </c>
    </row>
    <row r="1011" spans="1:31" ht="14.15" customHeight="1" x14ac:dyDescent="0.25">
      <c r="A1011" s="12" t="s">
        <v>0</v>
      </c>
      <c r="B1011" s="13" t="s">
        <v>1</v>
      </c>
      <c r="C1011" s="13" t="s">
        <v>3242</v>
      </c>
      <c r="D1011" s="14">
        <v>44307</v>
      </c>
      <c r="E1011" s="14">
        <v>44307</v>
      </c>
      <c r="F1011" s="14">
        <v>44313</v>
      </c>
      <c r="G1011" s="13" t="s">
        <v>3</v>
      </c>
      <c r="H1011" s="13" t="s">
        <v>4</v>
      </c>
      <c r="I1011" s="15">
        <v>-18174.7</v>
      </c>
      <c r="J1011" s="13" t="s">
        <v>5</v>
      </c>
      <c r="K1011" s="13" t="s">
        <v>6</v>
      </c>
      <c r="L1011" s="15">
        <v>-1525766.07</v>
      </c>
      <c r="M1011" s="15">
        <v>-18174.7</v>
      </c>
      <c r="N1011" s="16" t="str">
        <f>IF(M1011="","",IF(M1011&lt;0,-M1011&amp;"_"&amp;COUNTIF(M$2:M1011,M1011),M1011&amp;"_"&amp;COUNTIF(M$2:M1011,M1011)))</f>
        <v>18174.7_1</v>
      </c>
      <c r="O1011" s="17" t="str">
        <f t="shared" si="15"/>
        <v/>
      </c>
      <c r="P1011" s="13" t="s">
        <v>3243</v>
      </c>
      <c r="Q1011" s="13" t="s">
        <v>3244</v>
      </c>
      <c r="R1011" s="13" t="s">
        <v>0</v>
      </c>
      <c r="S1011" s="13" t="s">
        <v>0</v>
      </c>
      <c r="T1011" s="13" t="s">
        <v>9</v>
      </c>
      <c r="U1011" s="13" t="s">
        <v>0</v>
      </c>
      <c r="V1011" s="13" t="s">
        <v>0</v>
      </c>
      <c r="W1011" s="13" t="s">
        <v>0</v>
      </c>
      <c r="X1011" s="13" t="s">
        <v>0</v>
      </c>
      <c r="Y1011" s="13" t="s">
        <v>10</v>
      </c>
      <c r="Z1011" s="13" t="s">
        <v>0</v>
      </c>
      <c r="AA1011" s="14"/>
      <c r="AB1011" s="13" t="s">
        <v>0</v>
      </c>
      <c r="AC1011" s="13" t="s">
        <v>0</v>
      </c>
      <c r="AD1011" s="13" t="s">
        <v>0</v>
      </c>
      <c r="AE1011" s="15">
        <v>0</v>
      </c>
    </row>
    <row r="1012" spans="1:31" ht="14.15" customHeight="1" x14ac:dyDescent="0.25">
      <c r="A1012" s="12" t="s">
        <v>0</v>
      </c>
      <c r="B1012" s="13" t="s">
        <v>1</v>
      </c>
      <c r="C1012" s="13" t="s">
        <v>1413</v>
      </c>
      <c r="D1012" s="14">
        <v>44154</v>
      </c>
      <c r="E1012" s="14">
        <v>44154</v>
      </c>
      <c r="F1012" s="14">
        <v>44159</v>
      </c>
      <c r="G1012" s="13" t="s">
        <v>3</v>
      </c>
      <c r="H1012" s="13" t="s">
        <v>4</v>
      </c>
      <c r="I1012" s="15">
        <v>-18164.8</v>
      </c>
      <c r="J1012" s="13" t="s">
        <v>5</v>
      </c>
      <c r="K1012" s="13" t="s">
        <v>6</v>
      </c>
      <c r="L1012" s="15">
        <v>-1524934.96</v>
      </c>
      <c r="M1012" s="15">
        <v>-18164.8</v>
      </c>
      <c r="N1012" s="16" t="str">
        <f>IF(M1012="","",IF(M1012&lt;0,-M1012&amp;"_"&amp;COUNTIF(M$2:M1012,M1012),M1012&amp;"_"&amp;COUNTIF(M$2:M1012,M1012)))</f>
        <v>18164.8_1</v>
      </c>
      <c r="O1012" s="17" t="str">
        <f t="shared" si="15"/>
        <v/>
      </c>
      <c r="P1012" s="13" t="s">
        <v>1414</v>
      </c>
      <c r="Q1012" s="13" t="s">
        <v>1408</v>
      </c>
      <c r="R1012" s="13" t="s">
        <v>0</v>
      </c>
      <c r="S1012" s="13" t="s">
        <v>0</v>
      </c>
      <c r="T1012" s="13" t="s">
        <v>9</v>
      </c>
      <c r="U1012" s="13" t="s">
        <v>0</v>
      </c>
      <c r="V1012" s="13" t="s">
        <v>0</v>
      </c>
      <c r="W1012" s="13" t="s">
        <v>0</v>
      </c>
      <c r="X1012" s="13" t="s">
        <v>0</v>
      </c>
      <c r="Y1012" s="13" t="s">
        <v>10</v>
      </c>
      <c r="Z1012" s="13" t="s">
        <v>0</v>
      </c>
      <c r="AA1012" s="14"/>
      <c r="AB1012" s="13" t="s">
        <v>0</v>
      </c>
      <c r="AC1012" s="13" t="s">
        <v>0</v>
      </c>
      <c r="AD1012" s="13" t="s">
        <v>0</v>
      </c>
      <c r="AE1012" s="15">
        <v>0</v>
      </c>
    </row>
    <row r="1013" spans="1:31" ht="14.15" customHeight="1" x14ac:dyDescent="0.25">
      <c r="A1013" s="12" t="s">
        <v>0</v>
      </c>
      <c r="B1013" s="13" t="s">
        <v>1</v>
      </c>
      <c r="C1013" s="13" t="s">
        <v>871</v>
      </c>
      <c r="D1013" s="14">
        <v>44111</v>
      </c>
      <c r="E1013" s="14">
        <v>44111</v>
      </c>
      <c r="F1013" s="14">
        <v>44118</v>
      </c>
      <c r="G1013" s="13" t="s">
        <v>3</v>
      </c>
      <c r="H1013" s="13" t="s">
        <v>4</v>
      </c>
      <c r="I1013" s="15">
        <v>-18160.46</v>
      </c>
      <c r="J1013" s="13" t="s">
        <v>5</v>
      </c>
      <c r="K1013" s="13" t="s">
        <v>6</v>
      </c>
      <c r="L1013" s="15">
        <v>-1524570.61</v>
      </c>
      <c r="M1013" s="15">
        <v>-18160.46</v>
      </c>
      <c r="N1013" s="16" t="str">
        <f>IF(M1013="","",IF(M1013&lt;0,-M1013&amp;"_"&amp;COUNTIF(M$2:M1013,M1013),M1013&amp;"_"&amp;COUNTIF(M$2:M1013,M1013)))</f>
        <v>18160.46_1</v>
      </c>
      <c r="O1013" s="17" t="str">
        <f t="shared" si="15"/>
        <v/>
      </c>
      <c r="P1013" s="13" t="s">
        <v>872</v>
      </c>
      <c r="Q1013" s="13" t="s">
        <v>866</v>
      </c>
      <c r="R1013" s="13" t="s">
        <v>0</v>
      </c>
      <c r="S1013" s="13" t="s">
        <v>0</v>
      </c>
      <c r="T1013" s="13" t="s">
        <v>9</v>
      </c>
      <c r="U1013" s="13" t="s">
        <v>0</v>
      </c>
      <c r="V1013" s="13" t="s">
        <v>0</v>
      </c>
      <c r="W1013" s="13" t="s">
        <v>0</v>
      </c>
      <c r="X1013" s="13" t="s">
        <v>0</v>
      </c>
      <c r="Y1013" s="13" t="s">
        <v>10</v>
      </c>
      <c r="Z1013" s="13" t="s">
        <v>0</v>
      </c>
      <c r="AA1013" s="14"/>
      <c r="AB1013" s="13" t="s">
        <v>0</v>
      </c>
      <c r="AC1013" s="13" t="s">
        <v>0</v>
      </c>
      <c r="AD1013" s="13" t="s">
        <v>0</v>
      </c>
      <c r="AE1013" s="15">
        <v>0</v>
      </c>
    </row>
    <row r="1014" spans="1:31" ht="14.15" customHeight="1" x14ac:dyDescent="0.25">
      <c r="A1014" s="12" t="s">
        <v>0</v>
      </c>
      <c r="B1014" s="13" t="s">
        <v>1</v>
      </c>
      <c r="C1014" s="13" t="s">
        <v>86</v>
      </c>
      <c r="D1014" s="14">
        <v>44021</v>
      </c>
      <c r="E1014" s="14">
        <v>44021</v>
      </c>
      <c r="F1014" s="14">
        <v>44032</v>
      </c>
      <c r="G1014" s="13" t="s">
        <v>3</v>
      </c>
      <c r="H1014" s="13" t="s">
        <v>4</v>
      </c>
      <c r="I1014" s="15">
        <v>-18143.03</v>
      </c>
      <c r="J1014" s="13" t="s">
        <v>5</v>
      </c>
      <c r="K1014" s="13" t="s">
        <v>6</v>
      </c>
      <c r="L1014" s="15">
        <v>-1523107.37</v>
      </c>
      <c r="M1014" s="15">
        <v>-18143.03</v>
      </c>
      <c r="N1014" s="16" t="str">
        <f>IF(M1014="","",IF(M1014&lt;0,-M1014&amp;"_"&amp;COUNTIF(M$2:M1014,M1014),M1014&amp;"_"&amp;COUNTIF(M$2:M1014,M1014)))</f>
        <v>18143.03_1</v>
      </c>
      <c r="O1014" s="17" t="str">
        <f t="shared" si="15"/>
        <v/>
      </c>
      <c r="P1014" s="13" t="s">
        <v>87</v>
      </c>
      <c r="Q1014" s="13" t="s">
        <v>85</v>
      </c>
      <c r="R1014" s="13" t="s">
        <v>0</v>
      </c>
      <c r="S1014" s="13" t="s">
        <v>0</v>
      </c>
      <c r="T1014" s="13" t="s">
        <v>9</v>
      </c>
      <c r="U1014" s="13" t="s">
        <v>0</v>
      </c>
      <c r="V1014" s="13" t="s">
        <v>0</v>
      </c>
      <c r="W1014" s="13" t="s">
        <v>0</v>
      </c>
      <c r="X1014" s="13" t="s">
        <v>0</v>
      </c>
      <c r="Y1014" s="13" t="s">
        <v>10</v>
      </c>
      <c r="Z1014" s="13" t="s">
        <v>0</v>
      </c>
      <c r="AA1014" s="14"/>
      <c r="AB1014" s="13" t="s">
        <v>0</v>
      </c>
      <c r="AC1014" s="13" t="s">
        <v>0</v>
      </c>
      <c r="AD1014" s="13" t="s">
        <v>0</v>
      </c>
      <c r="AE1014" s="15">
        <v>0</v>
      </c>
    </row>
    <row r="1015" spans="1:31" ht="14.15" customHeight="1" x14ac:dyDescent="0.25">
      <c r="A1015" s="12" t="s">
        <v>0</v>
      </c>
      <c r="B1015" s="13" t="s">
        <v>1</v>
      </c>
      <c r="C1015" s="13" t="s">
        <v>4313</v>
      </c>
      <c r="D1015" s="14">
        <v>44372</v>
      </c>
      <c r="E1015" s="14">
        <v>44372</v>
      </c>
      <c r="F1015" s="14">
        <v>44376</v>
      </c>
      <c r="G1015" s="13" t="s">
        <v>3</v>
      </c>
      <c r="H1015" s="13" t="s">
        <v>4</v>
      </c>
      <c r="I1015" s="15">
        <v>-18129.48</v>
      </c>
      <c r="J1015" s="13" t="s">
        <v>5</v>
      </c>
      <c r="K1015" s="13" t="s">
        <v>6</v>
      </c>
      <c r="L1015" s="15">
        <v>-1521969.85</v>
      </c>
      <c r="M1015" s="15">
        <v>-18129.48</v>
      </c>
      <c r="N1015" s="16" t="str">
        <f>IF(M1015="","",IF(M1015&lt;0,-M1015&amp;"_"&amp;COUNTIF(M$2:M1015,M1015),M1015&amp;"_"&amp;COUNTIF(M$2:M1015,M1015)))</f>
        <v>18129.48_1</v>
      </c>
      <c r="O1015" s="17" t="str">
        <f t="shared" si="15"/>
        <v/>
      </c>
      <c r="P1015" s="13" t="s">
        <v>4314</v>
      </c>
      <c r="Q1015" s="13" t="s">
        <v>4312</v>
      </c>
      <c r="R1015" s="13" t="s">
        <v>0</v>
      </c>
      <c r="S1015" s="13" t="s">
        <v>0</v>
      </c>
      <c r="T1015" s="13" t="s">
        <v>9</v>
      </c>
      <c r="U1015" s="13" t="s">
        <v>0</v>
      </c>
      <c r="V1015" s="13" t="s">
        <v>0</v>
      </c>
      <c r="W1015" s="13" t="s">
        <v>0</v>
      </c>
      <c r="X1015" s="13" t="s">
        <v>0</v>
      </c>
      <c r="Y1015" s="13" t="s">
        <v>10</v>
      </c>
      <c r="Z1015" s="13" t="s">
        <v>0</v>
      </c>
      <c r="AA1015" s="14"/>
      <c r="AB1015" s="13" t="s">
        <v>0</v>
      </c>
      <c r="AC1015" s="13" t="s">
        <v>0</v>
      </c>
      <c r="AD1015" s="13" t="s">
        <v>0</v>
      </c>
      <c r="AE1015" s="15">
        <v>0</v>
      </c>
    </row>
    <row r="1016" spans="1:31" ht="14.15" customHeight="1" x14ac:dyDescent="0.25">
      <c r="A1016" s="12" t="s">
        <v>0</v>
      </c>
      <c r="B1016" s="13" t="s">
        <v>1</v>
      </c>
      <c r="C1016" s="13" t="s">
        <v>3454</v>
      </c>
      <c r="D1016" s="14">
        <v>44320</v>
      </c>
      <c r="E1016" s="14">
        <v>44320</v>
      </c>
      <c r="F1016" s="14">
        <v>44325</v>
      </c>
      <c r="G1016" s="13" t="s">
        <v>3</v>
      </c>
      <c r="H1016" s="13" t="s">
        <v>4</v>
      </c>
      <c r="I1016" s="15">
        <v>-18118.259999999998</v>
      </c>
      <c r="J1016" s="13" t="s">
        <v>5</v>
      </c>
      <c r="K1016" s="13" t="s">
        <v>6</v>
      </c>
      <c r="L1016" s="15">
        <v>-1521027.92</v>
      </c>
      <c r="M1016" s="15">
        <v>-18118.259999999998</v>
      </c>
      <c r="N1016" s="16" t="str">
        <f>IF(M1016="","",IF(M1016&lt;0,-M1016&amp;"_"&amp;COUNTIF(M$2:M1016,M1016),M1016&amp;"_"&amp;COUNTIF(M$2:M1016,M1016)))</f>
        <v>18118.26_1</v>
      </c>
      <c r="O1016" s="17" t="str">
        <f t="shared" si="15"/>
        <v/>
      </c>
      <c r="P1016" s="13" t="s">
        <v>3455</v>
      </c>
      <c r="Q1016" s="13" t="s">
        <v>3453</v>
      </c>
      <c r="R1016" s="13" t="s">
        <v>0</v>
      </c>
      <c r="S1016" s="13" t="s">
        <v>0</v>
      </c>
      <c r="T1016" s="13" t="s">
        <v>9</v>
      </c>
      <c r="U1016" s="13" t="s">
        <v>0</v>
      </c>
      <c r="V1016" s="13" t="s">
        <v>0</v>
      </c>
      <c r="W1016" s="13" t="s">
        <v>0</v>
      </c>
      <c r="X1016" s="13" t="s">
        <v>0</v>
      </c>
      <c r="Y1016" s="13" t="s">
        <v>10</v>
      </c>
      <c r="Z1016" s="13" t="s">
        <v>0</v>
      </c>
      <c r="AA1016" s="14"/>
      <c r="AB1016" s="13" t="s">
        <v>0</v>
      </c>
      <c r="AC1016" s="13" t="s">
        <v>0</v>
      </c>
      <c r="AD1016" s="13" t="s">
        <v>0</v>
      </c>
      <c r="AE1016" s="15">
        <v>0</v>
      </c>
    </row>
    <row r="1017" spans="1:31" ht="14.15" customHeight="1" x14ac:dyDescent="0.25">
      <c r="A1017" s="12" t="s">
        <v>0</v>
      </c>
      <c r="B1017" s="13" t="s">
        <v>1</v>
      </c>
      <c r="C1017" s="13" t="s">
        <v>2764</v>
      </c>
      <c r="D1017" s="14">
        <v>44261</v>
      </c>
      <c r="E1017" s="14">
        <v>44261</v>
      </c>
      <c r="F1017" s="14">
        <v>44265</v>
      </c>
      <c r="G1017" s="13" t="s">
        <v>3</v>
      </c>
      <c r="H1017" s="13" t="s">
        <v>4</v>
      </c>
      <c r="I1017" s="15">
        <v>-18113.18</v>
      </c>
      <c r="J1017" s="13" t="s">
        <v>5</v>
      </c>
      <c r="K1017" s="13" t="s">
        <v>6</v>
      </c>
      <c r="L1017" s="15">
        <v>-1520601.46</v>
      </c>
      <c r="M1017" s="15">
        <v>-18113.18</v>
      </c>
      <c r="N1017" s="16" t="str">
        <f>IF(M1017="","",IF(M1017&lt;0,-M1017&amp;"_"&amp;COUNTIF(M$2:M1017,M1017),M1017&amp;"_"&amp;COUNTIF(M$2:M1017,M1017)))</f>
        <v>18113.18_1</v>
      </c>
      <c r="O1017" s="17" t="str">
        <f t="shared" si="15"/>
        <v/>
      </c>
      <c r="P1017" s="13" t="s">
        <v>2765</v>
      </c>
      <c r="Q1017" s="13" t="s">
        <v>2763</v>
      </c>
      <c r="R1017" s="13" t="s">
        <v>0</v>
      </c>
      <c r="S1017" s="13" t="s">
        <v>0</v>
      </c>
      <c r="T1017" s="13" t="s">
        <v>9</v>
      </c>
      <c r="U1017" s="13" t="s">
        <v>0</v>
      </c>
      <c r="V1017" s="13" t="s">
        <v>0</v>
      </c>
      <c r="W1017" s="13" t="s">
        <v>0</v>
      </c>
      <c r="X1017" s="13" t="s">
        <v>0</v>
      </c>
      <c r="Y1017" s="13" t="s">
        <v>10</v>
      </c>
      <c r="Z1017" s="13" t="s">
        <v>0</v>
      </c>
      <c r="AA1017" s="14"/>
      <c r="AB1017" s="13" t="s">
        <v>0</v>
      </c>
      <c r="AC1017" s="13" t="s">
        <v>0</v>
      </c>
      <c r="AD1017" s="13" t="s">
        <v>0</v>
      </c>
      <c r="AE1017" s="15">
        <v>0</v>
      </c>
    </row>
    <row r="1018" spans="1:31" ht="14.15" customHeight="1" x14ac:dyDescent="0.25">
      <c r="A1018" s="12" t="s">
        <v>0</v>
      </c>
      <c r="B1018" s="13" t="s">
        <v>1</v>
      </c>
      <c r="C1018" s="13" t="s">
        <v>3905</v>
      </c>
      <c r="D1018" s="14">
        <v>44353</v>
      </c>
      <c r="E1018" s="14">
        <v>44353</v>
      </c>
      <c r="F1018" s="14">
        <v>44364</v>
      </c>
      <c r="G1018" s="13" t="s">
        <v>3</v>
      </c>
      <c r="H1018" s="13" t="s">
        <v>4</v>
      </c>
      <c r="I1018" s="15">
        <v>-18111.89</v>
      </c>
      <c r="J1018" s="13" t="s">
        <v>5</v>
      </c>
      <c r="K1018" s="13" t="s">
        <v>6</v>
      </c>
      <c r="L1018" s="15">
        <v>-1520493.17</v>
      </c>
      <c r="M1018" s="15">
        <v>-18111.89</v>
      </c>
      <c r="N1018" s="16" t="str">
        <f>IF(M1018="","",IF(M1018&lt;0,-M1018&amp;"_"&amp;COUNTIF(M$2:M1018,M1018),M1018&amp;"_"&amp;COUNTIF(M$2:M1018,M1018)))</f>
        <v>18111.89_1</v>
      </c>
      <c r="O1018" s="17" t="str">
        <f t="shared" si="15"/>
        <v/>
      </c>
      <c r="P1018" s="13" t="s">
        <v>3906</v>
      </c>
      <c r="Q1018" s="13" t="s">
        <v>3886</v>
      </c>
      <c r="R1018" s="13" t="s">
        <v>0</v>
      </c>
      <c r="S1018" s="13" t="s">
        <v>0</v>
      </c>
      <c r="T1018" s="13" t="s">
        <v>9</v>
      </c>
      <c r="U1018" s="13" t="s">
        <v>0</v>
      </c>
      <c r="V1018" s="13" t="s">
        <v>0</v>
      </c>
      <c r="W1018" s="13" t="s">
        <v>0</v>
      </c>
      <c r="X1018" s="13" t="s">
        <v>0</v>
      </c>
      <c r="Y1018" s="13" t="s">
        <v>10</v>
      </c>
      <c r="Z1018" s="13" t="s">
        <v>0</v>
      </c>
      <c r="AA1018" s="14"/>
      <c r="AB1018" s="13" t="s">
        <v>0</v>
      </c>
      <c r="AC1018" s="13" t="s">
        <v>0</v>
      </c>
      <c r="AD1018" s="13" t="s">
        <v>0</v>
      </c>
      <c r="AE1018" s="15">
        <v>0</v>
      </c>
    </row>
    <row r="1019" spans="1:31" ht="14.15" customHeight="1" x14ac:dyDescent="0.25">
      <c r="A1019" s="12" t="s">
        <v>0</v>
      </c>
      <c r="B1019" s="13" t="s">
        <v>1</v>
      </c>
      <c r="C1019" s="13" t="s">
        <v>4199</v>
      </c>
      <c r="D1019" s="14">
        <v>44364</v>
      </c>
      <c r="E1019" s="14">
        <v>44364</v>
      </c>
      <c r="F1019" s="14">
        <v>44371</v>
      </c>
      <c r="G1019" s="13" t="s">
        <v>3</v>
      </c>
      <c r="H1019" s="13" t="s">
        <v>4</v>
      </c>
      <c r="I1019" s="15">
        <v>-18090.54</v>
      </c>
      <c r="J1019" s="13" t="s">
        <v>5</v>
      </c>
      <c r="K1019" s="13" t="s">
        <v>6</v>
      </c>
      <c r="L1019" s="15">
        <v>-1518700.83</v>
      </c>
      <c r="M1019" s="15">
        <v>-18090.54</v>
      </c>
      <c r="N1019" s="16" t="str">
        <f>IF(M1019="","",IF(M1019&lt;0,-M1019&amp;"_"&amp;COUNTIF(M$2:M1019,M1019),M1019&amp;"_"&amp;COUNTIF(M$2:M1019,M1019)))</f>
        <v>18090.54_1</v>
      </c>
      <c r="O1019" s="17" t="str">
        <f t="shared" si="15"/>
        <v/>
      </c>
      <c r="P1019" s="13" t="s">
        <v>4200</v>
      </c>
      <c r="Q1019" s="13" t="s">
        <v>4180</v>
      </c>
      <c r="R1019" s="13" t="s">
        <v>0</v>
      </c>
      <c r="S1019" s="13" t="s">
        <v>0</v>
      </c>
      <c r="T1019" s="13" t="s">
        <v>9</v>
      </c>
      <c r="U1019" s="13" t="s">
        <v>0</v>
      </c>
      <c r="V1019" s="13" t="s">
        <v>0</v>
      </c>
      <c r="W1019" s="13" t="s">
        <v>0</v>
      </c>
      <c r="X1019" s="13" t="s">
        <v>0</v>
      </c>
      <c r="Y1019" s="13" t="s">
        <v>10</v>
      </c>
      <c r="Z1019" s="13" t="s">
        <v>0</v>
      </c>
      <c r="AA1019" s="14"/>
      <c r="AB1019" s="13" t="s">
        <v>0</v>
      </c>
      <c r="AC1019" s="13" t="s">
        <v>0</v>
      </c>
      <c r="AD1019" s="13" t="s">
        <v>0</v>
      </c>
      <c r="AE1019" s="15">
        <v>0</v>
      </c>
    </row>
    <row r="1020" spans="1:31" ht="14.15" customHeight="1" x14ac:dyDescent="0.25">
      <c r="A1020" s="12" t="s">
        <v>0</v>
      </c>
      <c r="B1020" s="13" t="s">
        <v>1</v>
      </c>
      <c r="C1020" s="13" t="s">
        <v>922</v>
      </c>
      <c r="D1020" s="14">
        <v>44117</v>
      </c>
      <c r="E1020" s="14">
        <v>44117</v>
      </c>
      <c r="F1020" s="14">
        <v>44123</v>
      </c>
      <c r="G1020" s="13" t="s">
        <v>3</v>
      </c>
      <c r="H1020" s="13" t="s">
        <v>4</v>
      </c>
      <c r="I1020" s="15">
        <v>-18086.13</v>
      </c>
      <c r="J1020" s="13" t="s">
        <v>5</v>
      </c>
      <c r="K1020" s="13" t="s">
        <v>6</v>
      </c>
      <c r="L1020" s="15">
        <v>-1518330.61</v>
      </c>
      <c r="M1020" s="15">
        <v>-18086.13</v>
      </c>
      <c r="N1020" s="16" t="str">
        <f>IF(M1020="","",IF(M1020&lt;0,-M1020&amp;"_"&amp;COUNTIF(M$2:M1020,M1020),M1020&amp;"_"&amp;COUNTIF(M$2:M1020,M1020)))</f>
        <v>18086.13_1</v>
      </c>
      <c r="O1020" s="17" t="str">
        <f t="shared" si="15"/>
        <v/>
      </c>
      <c r="P1020" s="13" t="s">
        <v>923</v>
      </c>
      <c r="Q1020" s="13" t="s">
        <v>917</v>
      </c>
      <c r="R1020" s="13" t="s">
        <v>0</v>
      </c>
      <c r="S1020" s="13" t="s">
        <v>0</v>
      </c>
      <c r="T1020" s="13" t="s">
        <v>9</v>
      </c>
      <c r="U1020" s="13" t="s">
        <v>0</v>
      </c>
      <c r="V1020" s="13" t="s">
        <v>0</v>
      </c>
      <c r="W1020" s="13" t="s">
        <v>0</v>
      </c>
      <c r="X1020" s="13" t="s">
        <v>0</v>
      </c>
      <c r="Y1020" s="13" t="s">
        <v>10</v>
      </c>
      <c r="Z1020" s="13" t="s">
        <v>0</v>
      </c>
      <c r="AA1020" s="14"/>
      <c r="AB1020" s="13" t="s">
        <v>0</v>
      </c>
      <c r="AC1020" s="13" t="s">
        <v>0</v>
      </c>
      <c r="AD1020" s="13" t="s">
        <v>0</v>
      </c>
      <c r="AE1020" s="15">
        <v>0</v>
      </c>
    </row>
    <row r="1021" spans="1:31" ht="14.15" customHeight="1" x14ac:dyDescent="0.25">
      <c r="A1021" s="12" t="s">
        <v>0</v>
      </c>
      <c r="B1021" s="13" t="s">
        <v>1</v>
      </c>
      <c r="C1021" s="13" t="s">
        <v>918</v>
      </c>
      <c r="D1021" s="14">
        <v>44117</v>
      </c>
      <c r="E1021" s="14">
        <v>44117</v>
      </c>
      <c r="F1021" s="14">
        <v>44121</v>
      </c>
      <c r="G1021" s="13" t="s">
        <v>3</v>
      </c>
      <c r="H1021" s="13" t="s">
        <v>4</v>
      </c>
      <c r="I1021" s="15">
        <v>-18003.25</v>
      </c>
      <c r="J1021" s="13" t="s">
        <v>5</v>
      </c>
      <c r="K1021" s="13" t="s">
        <v>6</v>
      </c>
      <c r="L1021" s="15">
        <v>-1511372.84</v>
      </c>
      <c r="M1021" s="15">
        <v>-18003.25</v>
      </c>
      <c r="N1021" s="16" t="str">
        <f>IF(M1021="","",IF(M1021&lt;0,-M1021&amp;"_"&amp;COUNTIF(M$2:M1021,M1021),M1021&amp;"_"&amp;COUNTIF(M$2:M1021,M1021)))</f>
        <v>18003.25_1</v>
      </c>
      <c r="O1021" s="17" t="str">
        <f t="shared" si="15"/>
        <v/>
      </c>
      <c r="P1021" s="13" t="s">
        <v>919</v>
      </c>
      <c r="Q1021" s="13" t="s">
        <v>917</v>
      </c>
      <c r="R1021" s="13" t="s">
        <v>0</v>
      </c>
      <c r="S1021" s="13" t="s">
        <v>0</v>
      </c>
      <c r="T1021" s="13" t="s">
        <v>9</v>
      </c>
      <c r="U1021" s="13" t="s">
        <v>0</v>
      </c>
      <c r="V1021" s="13" t="s">
        <v>0</v>
      </c>
      <c r="W1021" s="13" t="s">
        <v>0</v>
      </c>
      <c r="X1021" s="13" t="s">
        <v>0</v>
      </c>
      <c r="Y1021" s="13" t="s">
        <v>10</v>
      </c>
      <c r="Z1021" s="13" t="s">
        <v>0</v>
      </c>
      <c r="AA1021" s="14"/>
      <c r="AB1021" s="13" t="s">
        <v>0</v>
      </c>
      <c r="AC1021" s="13" t="s">
        <v>0</v>
      </c>
      <c r="AD1021" s="13" t="s">
        <v>0</v>
      </c>
      <c r="AE1021" s="15">
        <v>0</v>
      </c>
    </row>
    <row r="1022" spans="1:31" ht="14.15" customHeight="1" x14ac:dyDescent="0.25">
      <c r="A1022" s="12" t="s">
        <v>0</v>
      </c>
      <c r="B1022" s="13" t="s">
        <v>1</v>
      </c>
      <c r="C1022" s="13" t="s">
        <v>3220</v>
      </c>
      <c r="D1022" s="14">
        <v>44303</v>
      </c>
      <c r="E1022" s="14">
        <v>44303</v>
      </c>
      <c r="F1022" s="14">
        <v>44308</v>
      </c>
      <c r="G1022" s="13" t="s">
        <v>3</v>
      </c>
      <c r="H1022" s="13" t="s">
        <v>4</v>
      </c>
      <c r="I1022" s="15">
        <v>-18001</v>
      </c>
      <c r="J1022" s="13" t="s">
        <v>5</v>
      </c>
      <c r="K1022" s="13" t="s">
        <v>6</v>
      </c>
      <c r="L1022" s="15">
        <v>-1511183.95</v>
      </c>
      <c r="M1022" s="15">
        <v>-18001</v>
      </c>
      <c r="N1022" s="16" t="str">
        <f>IF(M1022="","",IF(M1022&lt;0,-M1022&amp;"_"&amp;COUNTIF(M$2:M1022,M1022),M1022&amp;"_"&amp;COUNTIF(M$2:M1022,M1022)))</f>
        <v>18001_1</v>
      </c>
      <c r="O1022" s="17" t="str">
        <f t="shared" si="15"/>
        <v/>
      </c>
      <c r="P1022" s="13" t="s">
        <v>3221</v>
      </c>
      <c r="Q1022" s="13" t="s">
        <v>3215</v>
      </c>
      <c r="R1022" s="13" t="s">
        <v>0</v>
      </c>
      <c r="S1022" s="13" t="s">
        <v>0</v>
      </c>
      <c r="T1022" s="13" t="s">
        <v>9</v>
      </c>
      <c r="U1022" s="13" t="s">
        <v>0</v>
      </c>
      <c r="V1022" s="13" t="s">
        <v>0</v>
      </c>
      <c r="W1022" s="13" t="s">
        <v>0</v>
      </c>
      <c r="X1022" s="13" t="s">
        <v>0</v>
      </c>
      <c r="Y1022" s="13" t="s">
        <v>10</v>
      </c>
      <c r="Z1022" s="13" t="s">
        <v>0</v>
      </c>
      <c r="AA1022" s="14"/>
      <c r="AB1022" s="13" t="s">
        <v>0</v>
      </c>
      <c r="AC1022" s="13" t="s">
        <v>0</v>
      </c>
      <c r="AD1022" s="13" t="s">
        <v>0</v>
      </c>
      <c r="AE1022" s="15">
        <v>0</v>
      </c>
    </row>
    <row r="1023" spans="1:31" ht="14.15" customHeight="1" x14ac:dyDescent="0.25">
      <c r="A1023" s="12" t="s">
        <v>0</v>
      </c>
      <c r="B1023" s="13" t="s">
        <v>1</v>
      </c>
      <c r="C1023" s="13" t="s">
        <v>4363</v>
      </c>
      <c r="D1023" s="14">
        <v>44376</v>
      </c>
      <c r="E1023" s="14">
        <v>44376</v>
      </c>
      <c r="F1023" s="14">
        <v>44382</v>
      </c>
      <c r="G1023" s="13" t="s">
        <v>3</v>
      </c>
      <c r="H1023" s="13" t="s">
        <v>4</v>
      </c>
      <c r="I1023" s="15">
        <v>-17987.21</v>
      </c>
      <c r="J1023" s="13" t="s">
        <v>5</v>
      </c>
      <c r="K1023" s="13" t="s">
        <v>6</v>
      </c>
      <c r="L1023" s="15">
        <v>-1510026.28</v>
      </c>
      <c r="M1023" s="15">
        <v>-17987.21</v>
      </c>
      <c r="N1023" s="16" t="str">
        <f>IF(M1023="","",IF(M1023&lt;0,-M1023&amp;"_"&amp;COUNTIF(M$2:M1023,M1023),M1023&amp;"_"&amp;COUNTIF(M$2:M1023,M1023)))</f>
        <v>17987.21_1</v>
      </c>
      <c r="O1023" s="17" t="str">
        <f t="shared" si="15"/>
        <v/>
      </c>
      <c r="P1023" s="13" t="s">
        <v>4364</v>
      </c>
      <c r="Q1023" s="13" t="s">
        <v>4350</v>
      </c>
      <c r="R1023" s="13" t="s">
        <v>0</v>
      </c>
      <c r="S1023" s="13" t="s">
        <v>0</v>
      </c>
      <c r="T1023" s="13" t="s">
        <v>9</v>
      </c>
      <c r="U1023" s="13" t="s">
        <v>0</v>
      </c>
      <c r="V1023" s="13" t="s">
        <v>0</v>
      </c>
      <c r="W1023" s="13" t="s">
        <v>0</v>
      </c>
      <c r="X1023" s="13" t="s">
        <v>0</v>
      </c>
      <c r="Y1023" s="13" t="s">
        <v>10</v>
      </c>
      <c r="Z1023" s="13" t="s">
        <v>0</v>
      </c>
      <c r="AA1023" s="14"/>
      <c r="AB1023" s="13" t="s">
        <v>0</v>
      </c>
      <c r="AC1023" s="13" t="s">
        <v>0</v>
      </c>
      <c r="AD1023" s="13" t="s">
        <v>0</v>
      </c>
      <c r="AE1023" s="15">
        <v>0</v>
      </c>
    </row>
    <row r="1024" spans="1:31" ht="14.15" customHeight="1" x14ac:dyDescent="0.25">
      <c r="A1024" s="12" t="s">
        <v>0</v>
      </c>
      <c r="B1024" s="13" t="s">
        <v>1</v>
      </c>
      <c r="C1024" s="13" t="s">
        <v>1899</v>
      </c>
      <c r="D1024" s="14">
        <v>44189</v>
      </c>
      <c r="E1024" s="14">
        <v>44189</v>
      </c>
      <c r="F1024" s="14">
        <v>44198</v>
      </c>
      <c r="G1024" s="13" t="s">
        <v>3</v>
      </c>
      <c r="H1024" s="13" t="s">
        <v>4</v>
      </c>
      <c r="I1024" s="15">
        <v>-17889.919999999998</v>
      </c>
      <c r="J1024" s="13" t="s">
        <v>5</v>
      </c>
      <c r="K1024" s="13" t="s">
        <v>6</v>
      </c>
      <c r="L1024" s="15">
        <v>-1501858.78</v>
      </c>
      <c r="M1024" s="15">
        <v>-17889.919999999998</v>
      </c>
      <c r="N1024" s="16" t="str">
        <f>IF(M1024="","",IF(M1024&lt;0,-M1024&amp;"_"&amp;COUNTIF(M$2:M1024,M1024),M1024&amp;"_"&amp;COUNTIF(M$2:M1024,M1024)))</f>
        <v>17889.92_1</v>
      </c>
      <c r="O1024" s="17" t="str">
        <f t="shared" si="15"/>
        <v/>
      </c>
      <c r="P1024" s="13" t="s">
        <v>1900</v>
      </c>
      <c r="Q1024" s="13" t="s">
        <v>1886</v>
      </c>
      <c r="R1024" s="13" t="s">
        <v>0</v>
      </c>
      <c r="S1024" s="13" t="s">
        <v>0</v>
      </c>
      <c r="T1024" s="13" t="s">
        <v>9</v>
      </c>
      <c r="U1024" s="13" t="s">
        <v>0</v>
      </c>
      <c r="V1024" s="13" t="s">
        <v>0</v>
      </c>
      <c r="W1024" s="13" t="s">
        <v>0</v>
      </c>
      <c r="X1024" s="13" t="s">
        <v>0</v>
      </c>
      <c r="Y1024" s="13" t="s">
        <v>10</v>
      </c>
      <c r="Z1024" s="13" t="s">
        <v>0</v>
      </c>
      <c r="AA1024" s="14"/>
      <c r="AB1024" s="13" t="s">
        <v>0</v>
      </c>
      <c r="AC1024" s="13" t="s">
        <v>0</v>
      </c>
      <c r="AD1024" s="13" t="s">
        <v>0</v>
      </c>
      <c r="AE1024" s="15">
        <v>0</v>
      </c>
    </row>
    <row r="1025" spans="1:31" ht="14.15" customHeight="1" x14ac:dyDescent="0.25">
      <c r="A1025" s="12" t="s">
        <v>0</v>
      </c>
      <c r="B1025" s="13" t="s">
        <v>1</v>
      </c>
      <c r="C1025" s="13" t="s">
        <v>1819</v>
      </c>
      <c r="D1025" s="14">
        <v>44183</v>
      </c>
      <c r="E1025" s="14">
        <v>44183</v>
      </c>
      <c r="F1025" s="14">
        <v>44188</v>
      </c>
      <c r="G1025" s="13" t="s">
        <v>3</v>
      </c>
      <c r="H1025" s="13" t="s">
        <v>4</v>
      </c>
      <c r="I1025" s="15">
        <v>-17862.939999999999</v>
      </c>
      <c r="J1025" s="13" t="s">
        <v>5</v>
      </c>
      <c r="K1025" s="13" t="s">
        <v>6</v>
      </c>
      <c r="L1025" s="15">
        <v>-1499593.81</v>
      </c>
      <c r="M1025" s="15">
        <v>-17862.939999999999</v>
      </c>
      <c r="N1025" s="16" t="str">
        <f>IF(M1025="","",IF(M1025&lt;0,-M1025&amp;"_"&amp;COUNTIF(M$2:M1025,M1025),M1025&amp;"_"&amp;COUNTIF(M$2:M1025,M1025)))</f>
        <v>17862.94_1</v>
      </c>
      <c r="O1025" s="17" t="str">
        <f t="shared" si="15"/>
        <v/>
      </c>
      <c r="P1025" s="13" t="s">
        <v>1820</v>
      </c>
      <c r="Q1025" s="13" t="s">
        <v>1792</v>
      </c>
      <c r="R1025" s="13" t="s">
        <v>0</v>
      </c>
      <c r="S1025" s="13" t="s">
        <v>0</v>
      </c>
      <c r="T1025" s="13" t="s">
        <v>9</v>
      </c>
      <c r="U1025" s="13" t="s">
        <v>0</v>
      </c>
      <c r="V1025" s="13" t="s">
        <v>0</v>
      </c>
      <c r="W1025" s="13" t="s">
        <v>0</v>
      </c>
      <c r="X1025" s="13" t="s">
        <v>0</v>
      </c>
      <c r="Y1025" s="13" t="s">
        <v>10</v>
      </c>
      <c r="Z1025" s="13" t="s">
        <v>0</v>
      </c>
      <c r="AA1025" s="14"/>
      <c r="AB1025" s="13" t="s">
        <v>0</v>
      </c>
      <c r="AC1025" s="13" t="s">
        <v>0</v>
      </c>
      <c r="AD1025" s="13" t="s">
        <v>0</v>
      </c>
      <c r="AE1025" s="15">
        <v>0</v>
      </c>
    </row>
    <row r="1026" spans="1:31" ht="14.15" customHeight="1" x14ac:dyDescent="0.25">
      <c r="A1026" s="12" t="s">
        <v>0</v>
      </c>
      <c r="B1026" s="13" t="s">
        <v>1</v>
      </c>
      <c r="C1026" s="13" t="s">
        <v>3579</v>
      </c>
      <c r="D1026" s="14">
        <v>44325</v>
      </c>
      <c r="E1026" s="14">
        <v>44325</v>
      </c>
      <c r="F1026" s="14">
        <v>44340</v>
      </c>
      <c r="G1026" s="13" t="s">
        <v>3</v>
      </c>
      <c r="H1026" s="13" t="s">
        <v>4</v>
      </c>
      <c r="I1026" s="15">
        <v>-17842.22</v>
      </c>
      <c r="J1026" s="13" t="s">
        <v>5</v>
      </c>
      <c r="K1026" s="13" t="s">
        <v>6</v>
      </c>
      <c r="L1026" s="15">
        <v>-1497854.37</v>
      </c>
      <c r="M1026" s="15">
        <v>-17842.22</v>
      </c>
      <c r="N1026" s="16" t="str">
        <f>IF(M1026="","",IF(M1026&lt;0,-M1026&amp;"_"&amp;COUNTIF(M$2:M1026,M1026),M1026&amp;"_"&amp;COUNTIF(M$2:M1026,M1026)))</f>
        <v>17842.22_1</v>
      </c>
      <c r="O1026" s="17" t="str">
        <f t="shared" ref="O1026:O1089" si="16">IF(COUNTIF(N:N,N1026)=2,"x","")</f>
        <v/>
      </c>
      <c r="P1026" s="13" t="s">
        <v>3556</v>
      </c>
      <c r="Q1026" s="13" t="s">
        <v>3557</v>
      </c>
      <c r="R1026" s="13" t="s">
        <v>0</v>
      </c>
      <c r="S1026" s="13" t="s">
        <v>0</v>
      </c>
      <c r="T1026" s="13" t="s">
        <v>9</v>
      </c>
      <c r="U1026" s="13" t="s">
        <v>0</v>
      </c>
      <c r="V1026" s="13" t="s">
        <v>0</v>
      </c>
      <c r="W1026" s="13" t="s">
        <v>0</v>
      </c>
      <c r="X1026" s="13" t="s">
        <v>0</v>
      </c>
      <c r="Y1026" s="13" t="s">
        <v>10</v>
      </c>
      <c r="Z1026" s="13" t="s">
        <v>0</v>
      </c>
      <c r="AA1026" s="14"/>
      <c r="AB1026" s="13" t="s">
        <v>0</v>
      </c>
      <c r="AC1026" s="13" t="s">
        <v>0</v>
      </c>
      <c r="AD1026" s="13" t="s">
        <v>0</v>
      </c>
      <c r="AE1026" s="15">
        <v>0</v>
      </c>
    </row>
    <row r="1027" spans="1:31" ht="14.15" customHeight="1" x14ac:dyDescent="0.25">
      <c r="A1027" s="12" t="s">
        <v>0</v>
      </c>
      <c r="B1027" s="13" t="s">
        <v>1</v>
      </c>
      <c r="C1027" s="13" t="s">
        <v>2929</v>
      </c>
      <c r="D1027" s="14">
        <v>44276</v>
      </c>
      <c r="E1027" s="14">
        <v>44276</v>
      </c>
      <c r="F1027" s="14">
        <v>44283</v>
      </c>
      <c r="G1027" s="13" t="s">
        <v>3</v>
      </c>
      <c r="H1027" s="13" t="s">
        <v>4</v>
      </c>
      <c r="I1027" s="15">
        <v>-17822.41</v>
      </c>
      <c r="J1027" s="13" t="s">
        <v>5</v>
      </c>
      <c r="K1027" s="13" t="s">
        <v>6</v>
      </c>
      <c r="L1027" s="15">
        <v>-1496191.32</v>
      </c>
      <c r="M1027" s="15">
        <v>-17822.41</v>
      </c>
      <c r="N1027" s="16" t="str">
        <f>IF(M1027="","",IF(M1027&lt;0,-M1027&amp;"_"&amp;COUNTIF(M$2:M1027,M1027),M1027&amp;"_"&amp;COUNTIF(M$2:M1027,M1027)))</f>
        <v>17822.41_1</v>
      </c>
      <c r="O1027" s="17" t="str">
        <f t="shared" si="16"/>
        <v/>
      </c>
      <c r="P1027" s="13" t="s">
        <v>2930</v>
      </c>
      <c r="Q1027" s="13" t="s">
        <v>2922</v>
      </c>
      <c r="R1027" s="13" t="s">
        <v>0</v>
      </c>
      <c r="S1027" s="13" t="s">
        <v>0</v>
      </c>
      <c r="T1027" s="13" t="s">
        <v>9</v>
      </c>
      <c r="U1027" s="13" t="s">
        <v>0</v>
      </c>
      <c r="V1027" s="13" t="s">
        <v>0</v>
      </c>
      <c r="W1027" s="13" t="s">
        <v>0</v>
      </c>
      <c r="X1027" s="13" t="s">
        <v>0</v>
      </c>
      <c r="Y1027" s="13" t="s">
        <v>10</v>
      </c>
      <c r="Z1027" s="13" t="s">
        <v>0</v>
      </c>
      <c r="AA1027" s="14"/>
      <c r="AB1027" s="13" t="s">
        <v>0</v>
      </c>
      <c r="AC1027" s="13" t="s">
        <v>0</v>
      </c>
      <c r="AD1027" s="13" t="s">
        <v>0</v>
      </c>
      <c r="AE1027" s="15">
        <v>0</v>
      </c>
    </row>
    <row r="1028" spans="1:31" ht="14.15" customHeight="1" x14ac:dyDescent="0.25">
      <c r="A1028" s="12" t="s">
        <v>0</v>
      </c>
      <c r="B1028" s="13" t="s">
        <v>1</v>
      </c>
      <c r="C1028" s="13" t="s">
        <v>2788</v>
      </c>
      <c r="D1028" s="14">
        <v>44263</v>
      </c>
      <c r="E1028" s="14">
        <v>44263</v>
      </c>
      <c r="F1028" s="14">
        <v>44268</v>
      </c>
      <c r="G1028" s="13" t="s">
        <v>3</v>
      </c>
      <c r="H1028" s="13" t="s">
        <v>4</v>
      </c>
      <c r="I1028" s="15">
        <v>-17822.38</v>
      </c>
      <c r="J1028" s="13" t="s">
        <v>5</v>
      </c>
      <c r="K1028" s="13" t="s">
        <v>6</v>
      </c>
      <c r="L1028" s="15">
        <v>-1496188.8</v>
      </c>
      <c r="M1028" s="15">
        <v>-17822.38</v>
      </c>
      <c r="N1028" s="16" t="str">
        <f>IF(M1028="","",IF(M1028&lt;0,-M1028&amp;"_"&amp;COUNTIF(M$2:M1028,M1028),M1028&amp;"_"&amp;COUNTIF(M$2:M1028,M1028)))</f>
        <v>17822.38_1</v>
      </c>
      <c r="O1028" s="17" t="str">
        <f t="shared" si="16"/>
        <v/>
      </c>
      <c r="P1028" s="13" t="s">
        <v>2789</v>
      </c>
      <c r="Q1028" s="13" t="s">
        <v>2779</v>
      </c>
      <c r="R1028" s="13" t="s">
        <v>0</v>
      </c>
      <c r="S1028" s="13" t="s">
        <v>0</v>
      </c>
      <c r="T1028" s="13" t="s">
        <v>9</v>
      </c>
      <c r="U1028" s="13" t="s">
        <v>0</v>
      </c>
      <c r="V1028" s="13" t="s">
        <v>0</v>
      </c>
      <c r="W1028" s="13" t="s">
        <v>0</v>
      </c>
      <c r="X1028" s="13" t="s">
        <v>0</v>
      </c>
      <c r="Y1028" s="13" t="s">
        <v>10</v>
      </c>
      <c r="Z1028" s="13" t="s">
        <v>0</v>
      </c>
      <c r="AA1028" s="14"/>
      <c r="AB1028" s="13" t="s">
        <v>0</v>
      </c>
      <c r="AC1028" s="13" t="s">
        <v>0</v>
      </c>
      <c r="AD1028" s="13" t="s">
        <v>0</v>
      </c>
      <c r="AE1028" s="15">
        <v>0</v>
      </c>
    </row>
    <row r="1029" spans="1:31" ht="14.15" customHeight="1" x14ac:dyDescent="0.25">
      <c r="A1029" s="12" t="s">
        <v>0</v>
      </c>
      <c r="B1029" s="13" t="s">
        <v>1</v>
      </c>
      <c r="C1029" s="13" t="s">
        <v>1786</v>
      </c>
      <c r="D1029" s="14">
        <v>44182</v>
      </c>
      <c r="E1029" s="14">
        <v>44182</v>
      </c>
      <c r="F1029" s="14">
        <v>44199</v>
      </c>
      <c r="G1029" s="13" t="s">
        <v>3</v>
      </c>
      <c r="H1029" s="13" t="s">
        <v>4</v>
      </c>
      <c r="I1029" s="15">
        <v>-17803.63</v>
      </c>
      <c r="J1029" s="13" t="s">
        <v>5</v>
      </c>
      <c r="K1029" s="13" t="s">
        <v>6</v>
      </c>
      <c r="L1029" s="15">
        <v>-1494614.74</v>
      </c>
      <c r="M1029" s="15">
        <v>-17803.63</v>
      </c>
      <c r="N1029" s="16" t="str">
        <f>IF(M1029="","",IF(M1029&lt;0,-M1029&amp;"_"&amp;COUNTIF(M$2:M1029,M1029),M1029&amp;"_"&amp;COUNTIF(M$2:M1029,M1029)))</f>
        <v>17803.63_1</v>
      </c>
      <c r="O1029" s="17" t="str">
        <f t="shared" si="16"/>
        <v/>
      </c>
      <c r="P1029" s="13" t="s">
        <v>1787</v>
      </c>
      <c r="Q1029" s="13" t="s">
        <v>1777</v>
      </c>
      <c r="R1029" s="13" t="s">
        <v>0</v>
      </c>
      <c r="S1029" s="13" t="s">
        <v>0</v>
      </c>
      <c r="T1029" s="13" t="s">
        <v>9</v>
      </c>
      <c r="U1029" s="13" t="s">
        <v>0</v>
      </c>
      <c r="V1029" s="13" t="s">
        <v>0</v>
      </c>
      <c r="W1029" s="13" t="s">
        <v>0</v>
      </c>
      <c r="X1029" s="13" t="s">
        <v>0</v>
      </c>
      <c r="Y1029" s="13" t="s">
        <v>10</v>
      </c>
      <c r="Z1029" s="13" t="s">
        <v>0</v>
      </c>
      <c r="AA1029" s="14"/>
      <c r="AB1029" s="13" t="s">
        <v>0</v>
      </c>
      <c r="AC1029" s="13" t="s">
        <v>0</v>
      </c>
      <c r="AD1029" s="13" t="s">
        <v>0</v>
      </c>
      <c r="AE1029" s="15">
        <v>0</v>
      </c>
    </row>
    <row r="1030" spans="1:31" ht="14.15" customHeight="1" x14ac:dyDescent="0.25">
      <c r="A1030" s="12" t="s">
        <v>0</v>
      </c>
      <c r="B1030" s="13" t="s">
        <v>1</v>
      </c>
      <c r="C1030" s="13" t="s">
        <v>1033</v>
      </c>
      <c r="D1030" s="14">
        <v>44130</v>
      </c>
      <c r="E1030" s="14">
        <v>44130</v>
      </c>
      <c r="F1030" s="14">
        <v>44138</v>
      </c>
      <c r="G1030" s="13" t="s">
        <v>3</v>
      </c>
      <c r="H1030" s="13" t="s">
        <v>4</v>
      </c>
      <c r="I1030" s="15">
        <v>-17795.21</v>
      </c>
      <c r="J1030" s="13" t="s">
        <v>5</v>
      </c>
      <c r="K1030" s="13" t="s">
        <v>6</v>
      </c>
      <c r="L1030" s="15">
        <v>-1493907.88</v>
      </c>
      <c r="M1030" s="15">
        <v>-17795.21</v>
      </c>
      <c r="N1030" s="16" t="str">
        <f>IF(M1030="","",IF(M1030&lt;0,-M1030&amp;"_"&amp;COUNTIF(M$2:M1030,M1030),M1030&amp;"_"&amp;COUNTIF(M$2:M1030,M1030)))</f>
        <v>17795.21_1</v>
      </c>
      <c r="O1030" s="17" t="str">
        <f t="shared" si="16"/>
        <v/>
      </c>
      <c r="P1030" s="13" t="s">
        <v>1034</v>
      </c>
      <c r="Q1030" s="13" t="s">
        <v>1024</v>
      </c>
      <c r="R1030" s="13" t="s">
        <v>0</v>
      </c>
      <c r="S1030" s="13" t="s">
        <v>0</v>
      </c>
      <c r="T1030" s="13" t="s">
        <v>9</v>
      </c>
      <c r="U1030" s="13" t="s">
        <v>0</v>
      </c>
      <c r="V1030" s="13" t="s">
        <v>0</v>
      </c>
      <c r="W1030" s="13" t="s">
        <v>0</v>
      </c>
      <c r="X1030" s="13" t="s">
        <v>0</v>
      </c>
      <c r="Y1030" s="13" t="s">
        <v>10</v>
      </c>
      <c r="Z1030" s="13" t="s">
        <v>0</v>
      </c>
      <c r="AA1030" s="14"/>
      <c r="AB1030" s="13" t="s">
        <v>0</v>
      </c>
      <c r="AC1030" s="13" t="s">
        <v>0</v>
      </c>
      <c r="AD1030" s="13" t="s">
        <v>0</v>
      </c>
      <c r="AE1030" s="15">
        <v>0</v>
      </c>
    </row>
    <row r="1031" spans="1:31" ht="14.15" customHeight="1" x14ac:dyDescent="0.25">
      <c r="A1031" s="12" t="s">
        <v>0</v>
      </c>
      <c r="B1031" s="13" t="s">
        <v>1</v>
      </c>
      <c r="C1031" s="13" t="s">
        <v>1872</v>
      </c>
      <c r="D1031" s="14">
        <v>44188</v>
      </c>
      <c r="E1031" s="14">
        <v>44188</v>
      </c>
      <c r="F1031" s="14">
        <v>44198</v>
      </c>
      <c r="G1031" s="13" t="s">
        <v>3</v>
      </c>
      <c r="H1031" s="13" t="s">
        <v>4</v>
      </c>
      <c r="I1031" s="15">
        <v>-17775.05</v>
      </c>
      <c r="J1031" s="13" t="s">
        <v>5</v>
      </c>
      <c r="K1031" s="13" t="s">
        <v>6</v>
      </c>
      <c r="L1031" s="15">
        <v>-1492215.45</v>
      </c>
      <c r="M1031" s="15">
        <v>-17775.05</v>
      </c>
      <c r="N1031" s="16" t="str">
        <f>IF(M1031="","",IF(M1031&lt;0,-M1031&amp;"_"&amp;COUNTIF(M$2:M1031,M1031),M1031&amp;"_"&amp;COUNTIF(M$2:M1031,M1031)))</f>
        <v>17775.05_1</v>
      </c>
      <c r="O1031" s="17" t="str">
        <f t="shared" si="16"/>
        <v/>
      </c>
      <c r="P1031" s="13" t="s">
        <v>1873</v>
      </c>
      <c r="Q1031" s="13" t="s">
        <v>1869</v>
      </c>
      <c r="R1031" s="13" t="s">
        <v>0</v>
      </c>
      <c r="S1031" s="13" t="s">
        <v>0</v>
      </c>
      <c r="T1031" s="13" t="s">
        <v>9</v>
      </c>
      <c r="U1031" s="13" t="s">
        <v>0</v>
      </c>
      <c r="V1031" s="13" t="s">
        <v>0</v>
      </c>
      <c r="W1031" s="13" t="s">
        <v>0</v>
      </c>
      <c r="X1031" s="13" t="s">
        <v>0</v>
      </c>
      <c r="Y1031" s="13" t="s">
        <v>10</v>
      </c>
      <c r="Z1031" s="13" t="s">
        <v>0</v>
      </c>
      <c r="AA1031" s="14"/>
      <c r="AB1031" s="13" t="s">
        <v>0</v>
      </c>
      <c r="AC1031" s="13" t="s">
        <v>0</v>
      </c>
      <c r="AD1031" s="13" t="s">
        <v>0</v>
      </c>
      <c r="AE1031" s="15">
        <v>0</v>
      </c>
    </row>
    <row r="1032" spans="1:31" ht="14.15" customHeight="1" x14ac:dyDescent="0.25">
      <c r="A1032" s="12" t="s">
        <v>0</v>
      </c>
      <c r="B1032" s="13" t="s">
        <v>1</v>
      </c>
      <c r="C1032" s="13" t="s">
        <v>3130</v>
      </c>
      <c r="D1032" s="14">
        <v>44292</v>
      </c>
      <c r="E1032" s="14">
        <v>44292</v>
      </c>
      <c r="F1032" s="14">
        <v>44306</v>
      </c>
      <c r="G1032" s="13" t="s">
        <v>3</v>
      </c>
      <c r="H1032" s="13" t="s">
        <v>4</v>
      </c>
      <c r="I1032" s="15">
        <v>-17766.419999999998</v>
      </c>
      <c r="J1032" s="13" t="s">
        <v>5</v>
      </c>
      <c r="K1032" s="13" t="s">
        <v>6</v>
      </c>
      <c r="L1032" s="15">
        <v>-1491490.96</v>
      </c>
      <c r="M1032" s="15">
        <v>-17766.419999999998</v>
      </c>
      <c r="N1032" s="16" t="str">
        <f>IF(M1032="","",IF(M1032&lt;0,-M1032&amp;"_"&amp;COUNTIF(M$2:M1032,M1032),M1032&amp;"_"&amp;COUNTIF(M$2:M1032,M1032)))</f>
        <v>17766.42_1</v>
      </c>
      <c r="O1032" s="17" t="str">
        <f t="shared" si="16"/>
        <v/>
      </c>
      <c r="P1032" s="13" t="s">
        <v>3131</v>
      </c>
      <c r="Q1032" s="13" t="s">
        <v>3132</v>
      </c>
      <c r="R1032" s="13" t="s">
        <v>0</v>
      </c>
      <c r="S1032" s="13" t="s">
        <v>0</v>
      </c>
      <c r="T1032" s="13" t="s">
        <v>9</v>
      </c>
      <c r="U1032" s="13" t="s">
        <v>0</v>
      </c>
      <c r="V1032" s="13" t="s">
        <v>0</v>
      </c>
      <c r="W1032" s="13" t="s">
        <v>0</v>
      </c>
      <c r="X1032" s="13" t="s">
        <v>0</v>
      </c>
      <c r="Y1032" s="13" t="s">
        <v>10</v>
      </c>
      <c r="Z1032" s="13" t="s">
        <v>0</v>
      </c>
      <c r="AA1032" s="14"/>
      <c r="AB1032" s="13" t="s">
        <v>0</v>
      </c>
      <c r="AC1032" s="13" t="s">
        <v>0</v>
      </c>
      <c r="AD1032" s="13" t="s">
        <v>0</v>
      </c>
      <c r="AE1032" s="15">
        <v>0</v>
      </c>
    </row>
    <row r="1033" spans="1:31" ht="14.15" customHeight="1" x14ac:dyDescent="0.25">
      <c r="A1033" s="12" t="s">
        <v>0</v>
      </c>
      <c r="B1033" s="13" t="s">
        <v>1</v>
      </c>
      <c r="C1033" s="13" t="s">
        <v>1303</v>
      </c>
      <c r="D1033" s="14">
        <v>44146</v>
      </c>
      <c r="E1033" s="14">
        <v>44146</v>
      </c>
      <c r="F1033" s="14">
        <v>44154</v>
      </c>
      <c r="G1033" s="13" t="s">
        <v>3</v>
      </c>
      <c r="H1033" s="13" t="s">
        <v>4</v>
      </c>
      <c r="I1033" s="15">
        <v>-17751.93</v>
      </c>
      <c r="J1033" s="13" t="s">
        <v>5</v>
      </c>
      <c r="K1033" s="13" t="s">
        <v>6</v>
      </c>
      <c r="L1033" s="15">
        <v>-1490274.52</v>
      </c>
      <c r="M1033" s="15">
        <v>-17751.93</v>
      </c>
      <c r="N1033" s="16" t="str">
        <f>IF(M1033="","",IF(M1033&lt;0,-M1033&amp;"_"&amp;COUNTIF(M$2:M1033,M1033),M1033&amp;"_"&amp;COUNTIF(M$2:M1033,M1033)))</f>
        <v>17751.93_1</v>
      </c>
      <c r="O1033" s="17" t="str">
        <f t="shared" si="16"/>
        <v/>
      </c>
      <c r="P1033" s="13" t="s">
        <v>1304</v>
      </c>
      <c r="Q1033" s="13" t="s">
        <v>1282</v>
      </c>
      <c r="R1033" s="13" t="s">
        <v>0</v>
      </c>
      <c r="S1033" s="13" t="s">
        <v>0</v>
      </c>
      <c r="T1033" s="13" t="s">
        <v>9</v>
      </c>
      <c r="U1033" s="13" t="s">
        <v>0</v>
      </c>
      <c r="V1033" s="13" t="s">
        <v>0</v>
      </c>
      <c r="W1033" s="13" t="s">
        <v>0</v>
      </c>
      <c r="X1033" s="13" t="s">
        <v>0</v>
      </c>
      <c r="Y1033" s="13" t="s">
        <v>10</v>
      </c>
      <c r="Z1033" s="13" t="s">
        <v>0</v>
      </c>
      <c r="AA1033" s="14"/>
      <c r="AB1033" s="13" t="s">
        <v>0</v>
      </c>
      <c r="AC1033" s="13" t="s">
        <v>0</v>
      </c>
      <c r="AD1033" s="13" t="s">
        <v>0</v>
      </c>
      <c r="AE1033" s="15">
        <v>0</v>
      </c>
    </row>
    <row r="1034" spans="1:31" ht="14.15" customHeight="1" x14ac:dyDescent="0.25">
      <c r="A1034" s="12" t="s">
        <v>0</v>
      </c>
      <c r="B1034" s="13" t="s">
        <v>1</v>
      </c>
      <c r="C1034" s="13" t="s">
        <v>2272</v>
      </c>
      <c r="D1034" s="14">
        <v>44218</v>
      </c>
      <c r="E1034" s="14">
        <v>44218</v>
      </c>
      <c r="F1034" s="14">
        <v>44222</v>
      </c>
      <c r="G1034" s="13" t="s">
        <v>3</v>
      </c>
      <c r="H1034" s="13" t="s">
        <v>4</v>
      </c>
      <c r="I1034" s="15">
        <v>-17728.32</v>
      </c>
      <c r="J1034" s="13" t="s">
        <v>5</v>
      </c>
      <c r="K1034" s="13" t="s">
        <v>6</v>
      </c>
      <c r="L1034" s="15">
        <v>-1488292.46</v>
      </c>
      <c r="M1034" s="15">
        <v>-17728.32</v>
      </c>
      <c r="N1034" s="16" t="str">
        <f>IF(M1034="","",IF(M1034&lt;0,-M1034&amp;"_"&amp;COUNTIF(M$2:M1034,M1034),M1034&amp;"_"&amp;COUNTIF(M$2:M1034,M1034)))</f>
        <v>17728.32_1</v>
      </c>
      <c r="O1034" s="17" t="str">
        <f t="shared" si="16"/>
        <v/>
      </c>
      <c r="P1034" s="13" t="s">
        <v>2273</v>
      </c>
      <c r="Q1034" s="13" t="s">
        <v>2274</v>
      </c>
      <c r="R1034" s="13" t="s">
        <v>0</v>
      </c>
      <c r="S1034" s="13" t="s">
        <v>0</v>
      </c>
      <c r="T1034" s="13" t="s">
        <v>9</v>
      </c>
      <c r="U1034" s="13" t="s">
        <v>0</v>
      </c>
      <c r="V1034" s="13" t="s">
        <v>0</v>
      </c>
      <c r="W1034" s="13" t="s">
        <v>0</v>
      </c>
      <c r="X1034" s="13" t="s">
        <v>0</v>
      </c>
      <c r="Y1034" s="13" t="s">
        <v>10</v>
      </c>
      <c r="Z1034" s="13" t="s">
        <v>0</v>
      </c>
      <c r="AA1034" s="14"/>
      <c r="AB1034" s="13" t="s">
        <v>0</v>
      </c>
      <c r="AC1034" s="13" t="s">
        <v>0</v>
      </c>
      <c r="AD1034" s="13" t="s">
        <v>0</v>
      </c>
      <c r="AE1034" s="15">
        <v>0</v>
      </c>
    </row>
    <row r="1035" spans="1:31" ht="14.15" customHeight="1" x14ac:dyDescent="0.25">
      <c r="A1035" s="12" t="s">
        <v>0</v>
      </c>
      <c r="B1035" s="13" t="s">
        <v>1</v>
      </c>
      <c r="C1035" s="13" t="s">
        <v>4201</v>
      </c>
      <c r="D1035" s="14">
        <v>44364</v>
      </c>
      <c r="E1035" s="14">
        <v>44364</v>
      </c>
      <c r="F1035" s="14">
        <v>44371</v>
      </c>
      <c r="G1035" s="13" t="s">
        <v>3</v>
      </c>
      <c r="H1035" s="13" t="s">
        <v>4</v>
      </c>
      <c r="I1035" s="15">
        <v>-17716.75</v>
      </c>
      <c r="J1035" s="13" t="s">
        <v>5</v>
      </c>
      <c r="K1035" s="13" t="s">
        <v>6</v>
      </c>
      <c r="L1035" s="15">
        <v>-1487321.16</v>
      </c>
      <c r="M1035" s="15">
        <v>-17716.75</v>
      </c>
      <c r="N1035" s="16" t="str">
        <f>IF(M1035="","",IF(M1035&lt;0,-M1035&amp;"_"&amp;COUNTIF(M$2:M1035,M1035),M1035&amp;"_"&amp;COUNTIF(M$2:M1035,M1035)))</f>
        <v>17716.75_1</v>
      </c>
      <c r="O1035" s="17" t="str">
        <f t="shared" si="16"/>
        <v/>
      </c>
      <c r="P1035" s="13" t="s">
        <v>4202</v>
      </c>
      <c r="Q1035" s="13" t="s">
        <v>4180</v>
      </c>
      <c r="R1035" s="13" t="s">
        <v>0</v>
      </c>
      <c r="S1035" s="13" t="s">
        <v>0</v>
      </c>
      <c r="T1035" s="13" t="s">
        <v>9</v>
      </c>
      <c r="U1035" s="13" t="s">
        <v>0</v>
      </c>
      <c r="V1035" s="13" t="s">
        <v>0</v>
      </c>
      <c r="W1035" s="13" t="s">
        <v>0</v>
      </c>
      <c r="X1035" s="13" t="s">
        <v>0</v>
      </c>
      <c r="Y1035" s="13" t="s">
        <v>10</v>
      </c>
      <c r="Z1035" s="13" t="s">
        <v>0</v>
      </c>
      <c r="AA1035" s="14"/>
      <c r="AB1035" s="13" t="s">
        <v>0</v>
      </c>
      <c r="AC1035" s="13" t="s">
        <v>0</v>
      </c>
      <c r="AD1035" s="13" t="s">
        <v>0</v>
      </c>
      <c r="AE1035" s="15">
        <v>0</v>
      </c>
    </row>
    <row r="1036" spans="1:31" ht="14.15" customHeight="1" x14ac:dyDescent="0.25">
      <c r="A1036" s="12" t="s">
        <v>0</v>
      </c>
      <c r="B1036" s="13" t="s">
        <v>1</v>
      </c>
      <c r="C1036" s="13" t="s">
        <v>2251</v>
      </c>
      <c r="D1036" s="14">
        <v>44215</v>
      </c>
      <c r="E1036" s="14">
        <v>44215</v>
      </c>
      <c r="F1036" s="14">
        <v>44222</v>
      </c>
      <c r="G1036" s="13" t="s">
        <v>3</v>
      </c>
      <c r="H1036" s="13" t="s">
        <v>4</v>
      </c>
      <c r="I1036" s="15">
        <v>-17663.12</v>
      </c>
      <c r="J1036" s="13" t="s">
        <v>5</v>
      </c>
      <c r="K1036" s="13" t="s">
        <v>6</v>
      </c>
      <c r="L1036" s="15">
        <v>-1482818.92</v>
      </c>
      <c r="M1036" s="15">
        <v>-17663.12</v>
      </c>
      <c r="N1036" s="16" t="str">
        <f>IF(M1036="","",IF(M1036&lt;0,-M1036&amp;"_"&amp;COUNTIF(M$2:M1036,M1036),M1036&amp;"_"&amp;COUNTIF(M$2:M1036,M1036)))</f>
        <v>17663.12_1</v>
      </c>
      <c r="O1036" s="17" t="str">
        <f t="shared" si="16"/>
        <v/>
      </c>
      <c r="P1036" s="13" t="s">
        <v>2252</v>
      </c>
      <c r="Q1036" s="13" t="s">
        <v>2250</v>
      </c>
      <c r="R1036" s="13" t="s">
        <v>0</v>
      </c>
      <c r="S1036" s="13" t="s">
        <v>0</v>
      </c>
      <c r="T1036" s="13" t="s">
        <v>9</v>
      </c>
      <c r="U1036" s="13" t="s">
        <v>0</v>
      </c>
      <c r="V1036" s="13" t="s">
        <v>0</v>
      </c>
      <c r="W1036" s="13" t="s">
        <v>0</v>
      </c>
      <c r="X1036" s="13" t="s">
        <v>0</v>
      </c>
      <c r="Y1036" s="13" t="s">
        <v>10</v>
      </c>
      <c r="Z1036" s="13" t="s">
        <v>0</v>
      </c>
      <c r="AA1036" s="14"/>
      <c r="AB1036" s="13" t="s">
        <v>0</v>
      </c>
      <c r="AC1036" s="13" t="s">
        <v>0</v>
      </c>
      <c r="AD1036" s="13" t="s">
        <v>0</v>
      </c>
      <c r="AE1036" s="15">
        <v>0</v>
      </c>
    </row>
    <row r="1037" spans="1:31" ht="14.15" customHeight="1" x14ac:dyDescent="0.25">
      <c r="A1037" s="12" t="s">
        <v>0</v>
      </c>
      <c r="B1037" s="13" t="s">
        <v>1</v>
      </c>
      <c r="C1037" s="13" t="s">
        <v>3254</v>
      </c>
      <c r="D1037" s="14">
        <v>44308</v>
      </c>
      <c r="E1037" s="14">
        <v>44308</v>
      </c>
      <c r="F1037" s="14">
        <v>44313</v>
      </c>
      <c r="G1037" s="13" t="s">
        <v>3</v>
      </c>
      <c r="H1037" s="13" t="s">
        <v>4</v>
      </c>
      <c r="I1037" s="15">
        <v>-17657.62</v>
      </c>
      <c r="J1037" s="13" t="s">
        <v>5</v>
      </c>
      <c r="K1037" s="13" t="s">
        <v>6</v>
      </c>
      <c r="L1037" s="15">
        <v>-1482357.2</v>
      </c>
      <c r="M1037" s="15">
        <v>-17657.62</v>
      </c>
      <c r="N1037" s="16" t="str">
        <f>IF(M1037="","",IF(M1037&lt;0,-M1037&amp;"_"&amp;COUNTIF(M$2:M1037,M1037),M1037&amp;"_"&amp;COUNTIF(M$2:M1037,M1037)))</f>
        <v>17657.62_1</v>
      </c>
      <c r="O1037" s="17" t="str">
        <f t="shared" si="16"/>
        <v/>
      </c>
      <c r="P1037" s="13" t="s">
        <v>3255</v>
      </c>
      <c r="Q1037" s="13" t="s">
        <v>3251</v>
      </c>
      <c r="R1037" s="13" t="s">
        <v>0</v>
      </c>
      <c r="S1037" s="13" t="s">
        <v>0</v>
      </c>
      <c r="T1037" s="13" t="s">
        <v>9</v>
      </c>
      <c r="U1037" s="13" t="s">
        <v>0</v>
      </c>
      <c r="V1037" s="13" t="s">
        <v>0</v>
      </c>
      <c r="W1037" s="13" t="s">
        <v>0</v>
      </c>
      <c r="X1037" s="13" t="s">
        <v>0</v>
      </c>
      <c r="Y1037" s="13" t="s">
        <v>10</v>
      </c>
      <c r="Z1037" s="13" t="s">
        <v>0</v>
      </c>
      <c r="AA1037" s="14"/>
      <c r="AB1037" s="13" t="s">
        <v>0</v>
      </c>
      <c r="AC1037" s="13" t="s">
        <v>0</v>
      </c>
      <c r="AD1037" s="13" t="s">
        <v>0</v>
      </c>
      <c r="AE1037" s="15">
        <v>0</v>
      </c>
    </row>
    <row r="1038" spans="1:31" ht="14.15" customHeight="1" x14ac:dyDescent="0.25">
      <c r="A1038" s="12" t="s">
        <v>0</v>
      </c>
      <c r="B1038" s="13" t="s">
        <v>1</v>
      </c>
      <c r="C1038" s="13" t="s">
        <v>3454</v>
      </c>
      <c r="D1038" s="14">
        <v>44320</v>
      </c>
      <c r="E1038" s="14">
        <v>44320</v>
      </c>
      <c r="F1038" s="14">
        <v>44325</v>
      </c>
      <c r="G1038" s="13" t="s">
        <v>3</v>
      </c>
      <c r="H1038" s="13" t="s">
        <v>4</v>
      </c>
      <c r="I1038" s="15">
        <v>-17650.689999999999</v>
      </c>
      <c r="J1038" s="13" t="s">
        <v>5</v>
      </c>
      <c r="K1038" s="13" t="s">
        <v>6</v>
      </c>
      <c r="L1038" s="15">
        <v>-1481775.43</v>
      </c>
      <c r="M1038" s="15">
        <v>-17650.689999999999</v>
      </c>
      <c r="N1038" s="16" t="str">
        <f>IF(M1038="","",IF(M1038&lt;0,-M1038&amp;"_"&amp;COUNTIF(M$2:M1038,M1038),M1038&amp;"_"&amp;COUNTIF(M$2:M1038,M1038)))</f>
        <v>17650.69_1</v>
      </c>
      <c r="O1038" s="17" t="str">
        <f t="shared" si="16"/>
        <v/>
      </c>
      <c r="P1038" s="13" t="s">
        <v>3455</v>
      </c>
      <c r="Q1038" s="13" t="s">
        <v>3453</v>
      </c>
      <c r="R1038" s="13" t="s">
        <v>0</v>
      </c>
      <c r="S1038" s="13" t="s">
        <v>0</v>
      </c>
      <c r="T1038" s="13" t="s">
        <v>9</v>
      </c>
      <c r="U1038" s="13" t="s">
        <v>0</v>
      </c>
      <c r="V1038" s="13" t="s">
        <v>0</v>
      </c>
      <c r="W1038" s="13" t="s">
        <v>0</v>
      </c>
      <c r="X1038" s="13" t="s">
        <v>0</v>
      </c>
      <c r="Y1038" s="13" t="s">
        <v>10</v>
      </c>
      <c r="Z1038" s="13" t="s">
        <v>0</v>
      </c>
      <c r="AA1038" s="14"/>
      <c r="AB1038" s="13" t="s">
        <v>0</v>
      </c>
      <c r="AC1038" s="13" t="s">
        <v>0</v>
      </c>
      <c r="AD1038" s="13" t="s">
        <v>0</v>
      </c>
      <c r="AE1038" s="15">
        <v>0</v>
      </c>
    </row>
    <row r="1039" spans="1:31" ht="14.15" customHeight="1" x14ac:dyDescent="0.25">
      <c r="A1039" s="12" t="s">
        <v>0</v>
      </c>
      <c r="B1039" s="13" t="s">
        <v>1</v>
      </c>
      <c r="C1039" s="13" t="s">
        <v>1880</v>
      </c>
      <c r="D1039" s="14">
        <v>44188</v>
      </c>
      <c r="E1039" s="14">
        <v>44188</v>
      </c>
      <c r="F1039" s="14">
        <v>44199</v>
      </c>
      <c r="G1039" s="13" t="s">
        <v>3</v>
      </c>
      <c r="H1039" s="13" t="s">
        <v>4</v>
      </c>
      <c r="I1039" s="15">
        <v>-17648</v>
      </c>
      <c r="J1039" s="13" t="s">
        <v>5</v>
      </c>
      <c r="K1039" s="13" t="s">
        <v>6</v>
      </c>
      <c r="L1039" s="15">
        <v>-1481549.6</v>
      </c>
      <c r="M1039" s="15">
        <v>-17648</v>
      </c>
      <c r="N1039" s="16" t="str">
        <f>IF(M1039="","",IF(M1039&lt;0,-M1039&amp;"_"&amp;COUNTIF(M$2:M1039,M1039),M1039&amp;"_"&amp;COUNTIF(M$2:M1039,M1039)))</f>
        <v>17648_1</v>
      </c>
      <c r="O1039" s="17" t="str">
        <f t="shared" si="16"/>
        <v/>
      </c>
      <c r="P1039" s="13" t="s">
        <v>1881</v>
      </c>
      <c r="Q1039" s="13" t="s">
        <v>1869</v>
      </c>
      <c r="R1039" s="13" t="s">
        <v>0</v>
      </c>
      <c r="S1039" s="13" t="s">
        <v>0</v>
      </c>
      <c r="T1039" s="13" t="s">
        <v>9</v>
      </c>
      <c r="U1039" s="13" t="s">
        <v>0</v>
      </c>
      <c r="V1039" s="13" t="s">
        <v>0</v>
      </c>
      <c r="W1039" s="13" t="s">
        <v>0</v>
      </c>
      <c r="X1039" s="13" t="s">
        <v>0</v>
      </c>
      <c r="Y1039" s="13" t="s">
        <v>10</v>
      </c>
      <c r="Z1039" s="13" t="s">
        <v>0</v>
      </c>
      <c r="AA1039" s="14"/>
      <c r="AB1039" s="13" t="s">
        <v>0</v>
      </c>
      <c r="AC1039" s="13" t="s">
        <v>0</v>
      </c>
      <c r="AD1039" s="13" t="s">
        <v>0</v>
      </c>
      <c r="AE1039" s="15">
        <v>0</v>
      </c>
    </row>
    <row r="1040" spans="1:31" ht="14.15" customHeight="1" x14ac:dyDescent="0.25">
      <c r="A1040" s="12" t="s">
        <v>0</v>
      </c>
      <c r="B1040" s="13" t="s">
        <v>1</v>
      </c>
      <c r="C1040" s="13" t="s">
        <v>3561</v>
      </c>
      <c r="D1040" s="14">
        <v>44325</v>
      </c>
      <c r="E1040" s="14">
        <v>44325</v>
      </c>
      <c r="F1040" s="14">
        <v>44333</v>
      </c>
      <c r="G1040" s="13" t="s">
        <v>3</v>
      </c>
      <c r="H1040" s="13" t="s">
        <v>4</v>
      </c>
      <c r="I1040" s="15">
        <v>-17647.7</v>
      </c>
      <c r="J1040" s="13" t="s">
        <v>5</v>
      </c>
      <c r="K1040" s="13" t="s">
        <v>6</v>
      </c>
      <c r="L1040" s="15">
        <v>-1481524.42</v>
      </c>
      <c r="M1040" s="15">
        <v>-17647.7</v>
      </c>
      <c r="N1040" s="16" t="str">
        <f>IF(M1040="","",IF(M1040&lt;0,-M1040&amp;"_"&amp;COUNTIF(M$2:M1040,M1040),M1040&amp;"_"&amp;COUNTIF(M$2:M1040,M1040)))</f>
        <v>17647.7_1</v>
      </c>
      <c r="O1040" s="17" t="str">
        <f t="shared" si="16"/>
        <v/>
      </c>
      <c r="P1040" s="13" t="s">
        <v>3562</v>
      </c>
      <c r="Q1040" s="13" t="s">
        <v>3557</v>
      </c>
      <c r="R1040" s="13" t="s">
        <v>0</v>
      </c>
      <c r="S1040" s="13" t="s">
        <v>0</v>
      </c>
      <c r="T1040" s="13" t="s">
        <v>9</v>
      </c>
      <c r="U1040" s="13" t="s">
        <v>0</v>
      </c>
      <c r="V1040" s="13" t="s">
        <v>0</v>
      </c>
      <c r="W1040" s="13" t="s">
        <v>0</v>
      </c>
      <c r="X1040" s="13" t="s">
        <v>0</v>
      </c>
      <c r="Y1040" s="13" t="s">
        <v>10</v>
      </c>
      <c r="Z1040" s="13" t="s">
        <v>0</v>
      </c>
      <c r="AA1040" s="14"/>
      <c r="AB1040" s="13" t="s">
        <v>0</v>
      </c>
      <c r="AC1040" s="13" t="s">
        <v>0</v>
      </c>
      <c r="AD1040" s="13" t="s">
        <v>0</v>
      </c>
      <c r="AE1040" s="15">
        <v>0</v>
      </c>
    </row>
    <row r="1041" spans="1:31" ht="14.15" customHeight="1" x14ac:dyDescent="0.25">
      <c r="A1041" s="12" t="s">
        <v>0</v>
      </c>
      <c r="B1041" s="13" t="s">
        <v>1</v>
      </c>
      <c r="C1041" s="13" t="s">
        <v>2181</v>
      </c>
      <c r="D1041" s="14">
        <v>44210</v>
      </c>
      <c r="E1041" s="14">
        <v>44210</v>
      </c>
      <c r="F1041" s="14">
        <v>44216</v>
      </c>
      <c r="G1041" s="13" t="s">
        <v>3</v>
      </c>
      <c r="H1041" s="13" t="s">
        <v>4</v>
      </c>
      <c r="I1041" s="15">
        <v>-17584.509999999998</v>
      </c>
      <c r="J1041" s="13" t="s">
        <v>5</v>
      </c>
      <c r="K1041" s="13" t="s">
        <v>6</v>
      </c>
      <c r="L1041" s="15">
        <v>-1476219.61</v>
      </c>
      <c r="M1041" s="15">
        <v>-17584.509999999998</v>
      </c>
      <c r="N1041" s="16" t="str">
        <f>IF(M1041="","",IF(M1041&lt;0,-M1041&amp;"_"&amp;COUNTIF(M$2:M1041,M1041),M1041&amp;"_"&amp;COUNTIF(M$2:M1041,M1041)))</f>
        <v>17584.51_1</v>
      </c>
      <c r="O1041" s="17" t="str">
        <f t="shared" si="16"/>
        <v/>
      </c>
      <c r="P1041" s="13" t="s">
        <v>2182</v>
      </c>
      <c r="Q1041" s="13" t="s">
        <v>2176</v>
      </c>
      <c r="R1041" s="13" t="s">
        <v>0</v>
      </c>
      <c r="S1041" s="13" t="s">
        <v>0</v>
      </c>
      <c r="T1041" s="13" t="s">
        <v>9</v>
      </c>
      <c r="U1041" s="13" t="s">
        <v>0</v>
      </c>
      <c r="V1041" s="13" t="s">
        <v>0</v>
      </c>
      <c r="W1041" s="13" t="s">
        <v>0</v>
      </c>
      <c r="X1041" s="13" t="s">
        <v>0</v>
      </c>
      <c r="Y1041" s="13" t="s">
        <v>10</v>
      </c>
      <c r="Z1041" s="13" t="s">
        <v>0</v>
      </c>
      <c r="AA1041" s="14"/>
      <c r="AB1041" s="13" t="s">
        <v>0</v>
      </c>
      <c r="AC1041" s="13" t="s">
        <v>0</v>
      </c>
      <c r="AD1041" s="13" t="s">
        <v>0</v>
      </c>
      <c r="AE1041" s="15">
        <v>0</v>
      </c>
    </row>
    <row r="1042" spans="1:31" ht="14.15" customHeight="1" x14ac:dyDescent="0.25">
      <c r="A1042" s="12" t="s">
        <v>0</v>
      </c>
      <c r="B1042" s="13" t="s">
        <v>1</v>
      </c>
      <c r="C1042" s="13" t="s">
        <v>3616</v>
      </c>
      <c r="D1042" s="14">
        <v>44329</v>
      </c>
      <c r="E1042" s="14">
        <v>44329</v>
      </c>
      <c r="F1042" s="14">
        <v>44336</v>
      </c>
      <c r="G1042" s="13" t="s">
        <v>3</v>
      </c>
      <c r="H1042" s="13" t="s">
        <v>4</v>
      </c>
      <c r="I1042" s="15">
        <v>-17577.599999999999</v>
      </c>
      <c r="J1042" s="13" t="s">
        <v>5</v>
      </c>
      <c r="K1042" s="13" t="s">
        <v>6</v>
      </c>
      <c r="L1042" s="15">
        <v>-1475639.52</v>
      </c>
      <c r="M1042" s="15">
        <v>-17577.599999999999</v>
      </c>
      <c r="N1042" s="16" t="str">
        <f>IF(M1042="","",IF(M1042&lt;0,-M1042&amp;"_"&amp;COUNTIF(M$2:M1042,M1042),M1042&amp;"_"&amp;COUNTIF(M$2:M1042,M1042)))</f>
        <v>17577.6_1</v>
      </c>
      <c r="O1042" s="17" t="str">
        <f t="shared" si="16"/>
        <v/>
      </c>
      <c r="P1042" s="13" t="s">
        <v>3617</v>
      </c>
      <c r="Q1042" s="13" t="s">
        <v>3603</v>
      </c>
      <c r="R1042" s="13" t="s">
        <v>0</v>
      </c>
      <c r="S1042" s="13" t="s">
        <v>0</v>
      </c>
      <c r="T1042" s="13" t="s">
        <v>9</v>
      </c>
      <c r="U1042" s="13" t="s">
        <v>0</v>
      </c>
      <c r="V1042" s="13" t="s">
        <v>0</v>
      </c>
      <c r="W1042" s="13" t="s">
        <v>0</v>
      </c>
      <c r="X1042" s="13" t="s">
        <v>0</v>
      </c>
      <c r="Y1042" s="13" t="s">
        <v>10</v>
      </c>
      <c r="Z1042" s="13" t="s">
        <v>0</v>
      </c>
      <c r="AA1042" s="14"/>
      <c r="AB1042" s="13" t="s">
        <v>0</v>
      </c>
      <c r="AC1042" s="13" t="s">
        <v>0</v>
      </c>
      <c r="AD1042" s="13" t="s">
        <v>0</v>
      </c>
      <c r="AE1042" s="15">
        <v>0</v>
      </c>
    </row>
    <row r="1043" spans="1:31" ht="14.15" customHeight="1" x14ac:dyDescent="0.25">
      <c r="A1043" s="12" t="s">
        <v>0</v>
      </c>
      <c r="B1043" s="13" t="s">
        <v>1</v>
      </c>
      <c r="C1043" s="13" t="s">
        <v>1738</v>
      </c>
      <c r="D1043" s="14">
        <v>44178</v>
      </c>
      <c r="E1043" s="14">
        <v>44178</v>
      </c>
      <c r="F1043" s="14">
        <v>44180</v>
      </c>
      <c r="G1043" s="13" t="s">
        <v>3</v>
      </c>
      <c r="H1043" s="13" t="s">
        <v>4</v>
      </c>
      <c r="I1043" s="15">
        <v>-17570.900000000001</v>
      </c>
      <c r="J1043" s="13" t="s">
        <v>5</v>
      </c>
      <c r="K1043" s="13" t="s">
        <v>6</v>
      </c>
      <c r="L1043" s="15">
        <v>-1475077.05</v>
      </c>
      <c r="M1043" s="15">
        <v>-17570.900000000001</v>
      </c>
      <c r="N1043" s="16" t="str">
        <f>IF(M1043="","",IF(M1043&lt;0,-M1043&amp;"_"&amp;COUNTIF(M$2:M1043,M1043),M1043&amp;"_"&amp;COUNTIF(M$2:M1043,M1043)))</f>
        <v>17570.9_1</v>
      </c>
      <c r="O1043" s="17" t="str">
        <f t="shared" si="16"/>
        <v/>
      </c>
      <c r="P1043" s="13" t="s">
        <v>1714</v>
      </c>
      <c r="Q1043" s="13" t="s">
        <v>1739</v>
      </c>
      <c r="R1043" s="13" t="s">
        <v>0</v>
      </c>
      <c r="S1043" s="13" t="s">
        <v>0</v>
      </c>
      <c r="T1043" s="13" t="s">
        <v>9</v>
      </c>
      <c r="U1043" s="13" t="s">
        <v>0</v>
      </c>
      <c r="V1043" s="13" t="s">
        <v>0</v>
      </c>
      <c r="W1043" s="13" t="s">
        <v>0</v>
      </c>
      <c r="X1043" s="13" t="s">
        <v>0</v>
      </c>
      <c r="Y1043" s="13" t="s">
        <v>10</v>
      </c>
      <c r="Z1043" s="13" t="s">
        <v>0</v>
      </c>
      <c r="AA1043" s="14"/>
      <c r="AB1043" s="13" t="s">
        <v>0</v>
      </c>
      <c r="AC1043" s="13" t="s">
        <v>0</v>
      </c>
      <c r="AD1043" s="13" t="s">
        <v>0</v>
      </c>
      <c r="AE1043" s="15">
        <v>0</v>
      </c>
    </row>
    <row r="1044" spans="1:31" ht="14.15" customHeight="1" x14ac:dyDescent="0.25">
      <c r="A1044" s="12" t="s">
        <v>0</v>
      </c>
      <c r="B1044" s="13" t="s">
        <v>1</v>
      </c>
      <c r="C1044" s="13" t="s">
        <v>75</v>
      </c>
      <c r="D1044" s="14">
        <v>44020</v>
      </c>
      <c r="E1044" s="14">
        <v>44020</v>
      </c>
      <c r="F1044" s="14">
        <v>44027</v>
      </c>
      <c r="G1044" s="13" t="s">
        <v>3</v>
      </c>
      <c r="H1044" s="13" t="s">
        <v>4</v>
      </c>
      <c r="I1044" s="15">
        <v>-17530.080000000002</v>
      </c>
      <c r="J1044" s="13" t="s">
        <v>5</v>
      </c>
      <c r="K1044" s="13" t="s">
        <v>6</v>
      </c>
      <c r="L1044" s="15">
        <v>-1471650.22</v>
      </c>
      <c r="M1044" s="15">
        <v>-17530.080000000002</v>
      </c>
      <c r="N1044" s="16" t="str">
        <f>IF(M1044="","",IF(M1044&lt;0,-M1044&amp;"_"&amp;COUNTIF(M$2:M1044,M1044),M1044&amp;"_"&amp;COUNTIF(M$2:M1044,M1044)))</f>
        <v>17530.08_1</v>
      </c>
      <c r="O1044" s="17" t="str">
        <f t="shared" si="16"/>
        <v/>
      </c>
      <c r="P1044" s="13" t="s">
        <v>76</v>
      </c>
      <c r="Q1044" s="13" t="s">
        <v>70</v>
      </c>
      <c r="R1044" s="13" t="s">
        <v>0</v>
      </c>
      <c r="S1044" s="13" t="s">
        <v>0</v>
      </c>
      <c r="T1044" s="13" t="s">
        <v>9</v>
      </c>
      <c r="U1044" s="13" t="s">
        <v>0</v>
      </c>
      <c r="V1044" s="13" t="s">
        <v>0</v>
      </c>
      <c r="W1044" s="13" t="s">
        <v>0</v>
      </c>
      <c r="X1044" s="13" t="s">
        <v>0</v>
      </c>
      <c r="Y1044" s="13" t="s">
        <v>10</v>
      </c>
      <c r="Z1044" s="13" t="s">
        <v>0</v>
      </c>
      <c r="AA1044" s="14"/>
      <c r="AB1044" s="13" t="s">
        <v>0</v>
      </c>
      <c r="AC1044" s="13" t="s">
        <v>0</v>
      </c>
      <c r="AD1044" s="13" t="s">
        <v>0</v>
      </c>
      <c r="AE1044" s="15">
        <v>0</v>
      </c>
    </row>
    <row r="1045" spans="1:31" ht="14.15" customHeight="1" x14ac:dyDescent="0.25">
      <c r="A1045" s="12" t="s">
        <v>0</v>
      </c>
      <c r="B1045" s="13" t="s">
        <v>1</v>
      </c>
      <c r="C1045" s="13" t="s">
        <v>3952</v>
      </c>
      <c r="D1045" s="14">
        <v>44356</v>
      </c>
      <c r="E1045" s="14">
        <v>44356</v>
      </c>
      <c r="F1045" s="14">
        <v>44361</v>
      </c>
      <c r="G1045" s="13" t="s">
        <v>3</v>
      </c>
      <c r="H1045" s="13" t="s">
        <v>4</v>
      </c>
      <c r="I1045" s="15">
        <v>-17479.61</v>
      </c>
      <c r="J1045" s="13" t="s">
        <v>5</v>
      </c>
      <c r="K1045" s="13" t="s">
        <v>6</v>
      </c>
      <c r="L1045" s="15">
        <v>-1467413.26</v>
      </c>
      <c r="M1045" s="15">
        <v>-17479.61</v>
      </c>
      <c r="N1045" s="16" t="str">
        <f>IF(M1045="","",IF(M1045&lt;0,-M1045&amp;"_"&amp;COUNTIF(M$2:M1045,M1045),M1045&amp;"_"&amp;COUNTIF(M$2:M1045,M1045)))</f>
        <v>17479.61_1</v>
      </c>
      <c r="O1045" s="17" t="str">
        <f t="shared" si="16"/>
        <v/>
      </c>
      <c r="P1045" s="13" t="s">
        <v>3953</v>
      </c>
      <c r="Q1045" s="13" t="s">
        <v>3954</v>
      </c>
      <c r="R1045" s="13" t="s">
        <v>0</v>
      </c>
      <c r="S1045" s="13" t="s">
        <v>0</v>
      </c>
      <c r="T1045" s="13" t="s">
        <v>9</v>
      </c>
      <c r="U1045" s="13" t="s">
        <v>0</v>
      </c>
      <c r="V1045" s="13" t="s">
        <v>0</v>
      </c>
      <c r="W1045" s="13" t="s">
        <v>0</v>
      </c>
      <c r="X1045" s="13" t="s">
        <v>0</v>
      </c>
      <c r="Y1045" s="13" t="s">
        <v>10</v>
      </c>
      <c r="Z1045" s="13" t="s">
        <v>0</v>
      </c>
      <c r="AA1045" s="14"/>
      <c r="AB1045" s="13" t="s">
        <v>0</v>
      </c>
      <c r="AC1045" s="13" t="s">
        <v>0</v>
      </c>
      <c r="AD1045" s="13" t="s">
        <v>0</v>
      </c>
      <c r="AE1045" s="15">
        <v>0</v>
      </c>
    </row>
    <row r="1046" spans="1:31" ht="14.15" customHeight="1" x14ac:dyDescent="0.25">
      <c r="A1046" s="12" t="s">
        <v>0</v>
      </c>
      <c r="B1046" s="13" t="s">
        <v>1</v>
      </c>
      <c r="C1046" s="13" t="s">
        <v>1118</v>
      </c>
      <c r="D1046" s="14">
        <v>44137</v>
      </c>
      <c r="E1046" s="14">
        <v>44137</v>
      </c>
      <c r="F1046" s="14">
        <v>44139</v>
      </c>
      <c r="G1046" s="13" t="s">
        <v>3</v>
      </c>
      <c r="H1046" s="13" t="s">
        <v>4</v>
      </c>
      <c r="I1046" s="15">
        <v>-17434.73</v>
      </c>
      <c r="J1046" s="13" t="s">
        <v>5</v>
      </c>
      <c r="K1046" s="13" t="s">
        <v>6</v>
      </c>
      <c r="L1046" s="15">
        <v>-1463645.58</v>
      </c>
      <c r="M1046" s="15">
        <v>-17434.73</v>
      </c>
      <c r="N1046" s="16" t="str">
        <f>IF(M1046="","",IF(M1046&lt;0,-M1046&amp;"_"&amp;COUNTIF(M$2:M1046,M1046),M1046&amp;"_"&amp;COUNTIF(M$2:M1046,M1046)))</f>
        <v>17434.73_1</v>
      </c>
      <c r="O1046" s="17" t="str">
        <f t="shared" si="16"/>
        <v/>
      </c>
      <c r="P1046" s="13" t="s">
        <v>1119</v>
      </c>
      <c r="Q1046" s="13" t="s">
        <v>1120</v>
      </c>
      <c r="R1046" s="13" t="s">
        <v>0</v>
      </c>
      <c r="S1046" s="13" t="s">
        <v>0</v>
      </c>
      <c r="T1046" s="13" t="s">
        <v>9</v>
      </c>
      <c r="U1046" s="13" t="s">
        <v>0</v>
      </c>
      <c r="V1046" s="13" t="s">
        <v>0</v>
      </c>
      <c r="W1046" s="13" t="s">
        <v>0</v>
      </c>
      <c r="X1046" s="13" t="s">
        <v>0</v>
      </c>
      <c r="Y1046" s="13" t="s">
        <v>10</v>
      </c>
      <c r="Z1046" s="13" t="s">
        <v>0</v>
      </c>
      <c r="AA1046" s="14"/>
      <c r="AB1046" s="13" t="s">
        <v>0</v>
      </c>
      <c r="AC1046" s="13" t="s">
        <v>0</v>
      </c>
      <c r="AD1046" s="13" t="s">
        <v>0</v>
      </c>
      <c r="AE1046" s="15">
        <v>0</v>
      </c>
    </row>
    <row r="1047" spans="1:31" ht="14.15" customHeight="1" x14ac:dyDescent="0.25">
      <c r="A1047" s="12" t="s">
        <v>0</v>
      </c>
      <c r="B1047" s="13" t="s">
        <v>1</v>
      </c>
      <c r="C1047" s="13" t="s">
        <v>1512</v>
      </c>
      <c r="D1047" s="14">
        <v>44163</v>
      </c>
      <c r="E1047" s="14">
        <v>44163</v>
      </c>
      <c r="F1047" s="14">
        <v>44168</v>
      </c>
      <c r="G1047" s="13" t="s">
        <v>3</v>
      </c>
      <c r="H1047" s="13" t="s">
        <v>4</v>
      </c>
      <c r="I1047" s="15">
        <v>-17416.349999999999</v>
      </c>
      <c r="J1047" s="13" t="s">
        <v>5</v>
      </c>
      <c r="K1047" s="13" t="s">
        <v>6</v>
      </c>
      <c r="L1047" s="15">
        <v>-1462102.58</v>
      </c>
      <c r="M1047" s="15">
        <v>-17416.349999999999</v>
      </c>
      <c r="N1047" s="16" t="str">
        <f>IF(M1047="","",IF(M1047&lt;0,-M1047&amp;"_"&amp;COUNTIF(M$2:M1047,M1047),M1047&amp;"_"&amp;COUNTIF(M$2:M1047,M1047)))</f>
        <v>17416.35_1</v>
      </c>
      <c r="O1047" s="17" t="str">
        <f t="shared" si="16"/>
        <v/>
      </c>
      <c r="P1047" s="13" t="s">
        <v>1513</v>
      </c>
      <c r="Q1047" s="13" t="s">
        <v>1509</v>
      </c>
      <c r="R1047" s="13" t="s">
        <v>0</v>
      </c>
      <c r="S1047" s="13" t="s">
        <v>0</v>
      </c>
      <c r="T1047" s="13" t="s">
        <v>9</v>
      </c>
      <c r="U1047" s="13" t="s">
        <v>0</v>
      </c>
      <c r="V1047" s="13" t="s">
        <v>0</v>
      </c>
      <c r="W1047" s="13" t="s">
        <v>0</v>
      </c>
      <c r="X1047" s="13" t="s">
        <v>0</v>
      </c>
      <c r="Y1047" s="13" t="s">
        <v>10</v>
      </c>
      <c r="Z1047" s="13" t="s">
        <v>0</v>
      </c>
      <c r="AA1047" s="14"/>
      <c r="AB1047" s="13" t="s">
        <v>0</v>
      </c>
      <c r="AC1047" s="13" t="s">
        <v>0</v>
      </c>
      <c r="AD1047" s="13" t="s">
        <v>0</v>
      </c>
      <c r="AE1047" s="15">
        <v>0</v>
      </c>
    </row>
    <row r="1048" spans="1:31" ht="14.15" customHeight="1" x14ac:dyDescent="0.25">
      <c r="A1048" s="12" t="s">
        <v>0</v>
      </c>
      <c r="B1048" s="13" t="s">
        <v>1</v>
      </c>
      <c r="C1048" s="13" t="s">
        <v>57</v>
      </c>
      <c r="D1048" s="14">
        <v>44017</v>
      </c>
      <c r="E1048" s="14">
        <v>44017</v>
      </c>
      <c r="F1048" s="14">
        <v>44019</v>
      </c>
      <c r="G1048" s="13" t="s">
        <v>3</v>
      </c>
      <c r="H1048" s="13" t="s">
        <v>4</v>
      </c>
      <c r="I1048" s="15">
        <v>-17350.810000000001</v>
      </c>
      <c r="J1048" s="13" t="s">
        <v>5</v>
      </c>
      <c r="K1048" s="13" t="s">
        <v>6</v>
      </c>
      <c r="L1048" s="15">
        <v>-1456600.5</v>
      </c>
      <c r="M1048" s="15">
        <v>-17350.810000000001</v>
      </c>
      <c r="N1048" s="16" t="str">
        <f>IF(M1048="","",IF(M1048&lt;0,-M1048&amp;"_"&amp;COUNTIF(M$2:M1048,M1048),M1048&amp;"_"&amp;COUNTIF(M$2:M1048,M1048)))</f>
        <v>17350.81_1</v>
      </c>
      <c r="O1048" s="17" t="str">
        <f t="shared" si="16"/>
        <v/>
      </c>
      <c r="P1048" s="13" t="s">
        <v>58</v>
      </c>
      <c r="Q1048" s="13" t="s">
        <v>59</v>
      </c>
      <c r="R1048" s="13" t="s">
        <v>0</v>
      </c>
      <c r="S1048" s="13" t="s">
        <v>0</v>
      </c>
      <c r="T1048" s="13" t="s">
        <v>9</v>
      </c>
      <c r="U1048" s="13" t="s">
        <v>0</v>
      </c>
      <c r="V1048" s="13" t="s">
        <v>0</v>
      </c>
      <c r="W1048" s="13" t="s">
        <v>0</v>
      </c>
      <c r="X1048" s="13" t="s">
        <v>0</v>
      </c>
      <c r="Y1048" s="13" t="s">
        <v>10</v>
      </c>
      <c r="Z1048" s="13" t="s">
        <v>0</v>
      </c>
      <c r="AA1048" s="14"/>
      <c r="AB1048" s="13" t="s">
        <v>0</v>
      </c>
      <c r="AC1048" s="13" t="s">
        <v>0</v>
      </c>
      <c r="AD1048" s="13" t="s">
        <v>0</v>
      </c>
      <c r="AE1048" s="15">
        <v>0</v>
      </c>
    </row>
    <row r="1049" spans="1:31" ht="14.15" customHeight="1" x14ac:dyDescent="0.25">
      <c r="A1049" s="12" t="s">
        <v>0</v>
      </c>
      <c r="B1049" s="13" t="s">
        <v>1</v>
      </c>
      <c r="C1049" s="13" t="s">
        <v>2925</v>
      </c>
      <c r="D1049" s="14">
        <v>44276</v>
      </c>
      <c r="E1049" s="14">
        <v>44276</v>
      </c>
      <c r="F1049" s="14">
        <v>44280</v>
      </c>
      <c r="G1049" s="13" t="s">
        <v>3</v>
      </c>
      <c r="H1049" s="13" t="s">
        <v>4</v>
      </c>
      <c r="I1049" s="15">
        <v>-17345.86</v>
      </c>
      <c r="J1049" s="13" t="s">
        <v>5</v>
      </c>
      <c r="K1049" s="13" t="s">
        <v>6</v>
      </c>
      <c r="L1049" s="15">
        <v>-1456184.95</v>
      </c>
      <c r="M1049" s="15">
        <v>-17345.86</v>
      </c>
      <c r="N1049" s="16" t="str">
        <f>IF(M1049="","",IF(M1049&lt;0,-M1049&amp;"_"&amp;COUNTIF(M$2:M1049,M1049),M1049&amp;"_"&amp;COUNTIF(M$2:M1049,M1049)))</f>
        <v>17345.86_1</v>
      </c>
      <c r="O1049" s="17" t="str">
        <f t="shared" si="16"/>
        <v/>
      </c>
      <c r="P1049" s="13" t="s">
        <v>2926</v>
      </c>
      <c r="Q1049" s="13" t="s">
        <v>2922</v>
      </c>
      <c r="R1049" s="13" t="s">
        <v>0</v>
      </c>
      <c r="S1049" s="13" t="s">
        <v>0</v>
      </c>
      <c r="T1049" s="13" t="s">
        <v>9</v>
      </c>
      <c r="U1049" s="13" t="s">
        <v>0</v>
      </c>
      <c r="V1049" s="13" t="s">
        <v>0</v>
      </c>
      <c r="W1049" s="13" t="s">
        <v>0</v>
      </c>
      <c r="X1049" s="13" t="s">
        <v>0</v>
      </c>
      <c r="Y1049" s="13" t="s">
        <v>10</v>
      </c>
      <c r="Z1049" s="13" t="s">
        <v>0</v>
      </c>
      <c r="AA1049" s="14"/>
      <c r="AB1049" s="13" t="s">
        <v>0</v>
      </c>
      <c r="AC1049" s="13" t="s">
        <v>0</v>
      </c>
      <c r="AD1049" s="13" t="s">
        <v>0</v>
      </c>
      <c r="AE1049" s="15">
        <v>0</v>
      </c>
    </row>
    <row r="1050" spans="1:31" ht="14.15" customHeight="1" x14ac:dyDescent="0.25">
      <c r="A1050" s="12" t="s">
        <v>0</v>
      </c>
      <c r="B1050" s="13" t="s">
        <v>1</v>
      </c>
      <c r="C1050" s="13" t="s">
        <v>2136</v>
      </c>
      <c r="D1050" s="14">
        <v>44205</v>
      </c>
      <c r="E1050" s="14">
        <v>44205</v>
      </c>
      <c r="F1050" s="14">
        <v>44214</v>
      </c>
      <c r="G1050" s="13" t="s">
        <v>3</v>
      </c>
      <c r="H1050" s="13" t="s">
        <v>4</v>
      </c>
      <c r="I1050" s="15">
        <v>-17341.8</v>
      </c>
      <c r="J1050" s="13" t="s">
        <v>5</v>
      </c>
      <c r="K1050" s="13" t="s">
        <v>6</v>
      </c>
      <c r="L1050" s="15">
        <v>-1455844.11</v>
      </c>
      <c r="M1050" s="15">
        <v>-17341.8</v>
      </c>
      <c r="N1050" s="16" t="str">
        <f>IF(M1050="","",IF(M1050&lt;0,-M1050&amp;"_"&amp;COUNTIF(M$2:M1050,M1050),M1050&amp;"_"&amp;COUNTIF(M$2:M1050,M1050)))</f>
        <v>17341.8_1</v>
      </c>
      <c r="O1050" s="17" t="str">
        <f t="shared" si="16"/>
        <v/>
      </c>
      <c r="P1050" s="13" t="s">
        <v>2137</v>
      </c>
      <c r="Q1050" s="13" t="s">
        <v>2135</v>
      </c>
      <c r="R1050" s="13" t="s">
        <v>0</v>
      </c>
      <c r="S1050" s="13" t="s">
        <v>0</v>
      </c>
      <c r="T1050" s="13" t="s">
        <v>9</v>
      </c>
      <c r="U1050" s="13" t="s">
        <v>0</v>
      </c>
      <c r="V1050" s="13" t="s">
        <v>0</v>
      </c>
      <c r="W1050" s="13" t="s">
        <v>0</v>
      </c>
      <c r="X1050" s="13" t="s">
        <v>0</v>
      </c>
      <c r="Y1050" s="13" t="s">
        <v>10</v>
      </c>
      <c r="Z1050" s="13" t="s">
        <v>0</v>
      </c>
      <c r="AA1050" s="14"/>
      <c r="AB1050" s="13" t="s">
        <v>0</v>
      </c>
      <c r="AC1050" s="13" t="s">
        <v>0</v>
      </c>
      <c r="AD1050" s="13" t="s">
        <v>0</v>
      </c>
      <c r="AE1050" s="15">
        <v>0</v>
      </c>
    </row>
    <row r="1051" spans="1:31" ht="14.15" customHeight="1" x14ac:dyDescent="0.25">
      <c r="A1051" s="12" t="s">
        <v>0</v>
      </c>
      <c r="B1051" s="13" t="s">
        <v>1</v>
      </c>
      <c r="C1051" s="13" t="s">
        <v>3644</v>
      </c>
      <c r="D1051" s="14">
        <v>44331</v>
      </c>
      <c r="E1051" s="14">
        <v>44331</v>
      </c>
      <c r="F1051" s="14">
        <v>44336</v>
      </c>
      <c r="G1051" s="13" t="s">
        <v>3</v>
      </c>
      <c r="H1051" s="13" t="s">
        <v>4</v>
      </c>
      <c r="I1051" s="15">
        <v>-17340.060000000001</v>
      </c>
      <c r="J1051" s="13" t="s">
        <v>5</v>
      </c>
      <c r="K1051" s="13" t="s">
        <v>6</v>
      </c>
      <c r="L1051" s="15">
        <v>-1455698.04</v>
      </c>
      <c r="M1051" s="15">
        <v>-17340.060000000001</v>
      </c>
      <c r="N1051" s="16" t="str">
        <f>IF(M1051="","",IF(M1051&lt;0,-M1051&amp;"_"&amp;COUNTIF(M$2:M1051,M1051),M1051&amp;"_"&amp;COUNTIF(M$2:M1051,M1051)))</f>
        <v>17340.06_1</v>
      </c>
      <c r="O1051" s="17" t="str">
        <f t="shared" si="16"/>
        <v/>
      </c>
      <c r="P1051" s="13" t="s">
        <v>3645</v>
      </c>
      <c r="Q1051" s="13" t="s">
        <v>3637</v>
      </c>
      <c r="R1051" s="13" t="s">
        <v>0</v>
      </c>
      <c r="S1051" s="13" t="s">
        <v>0</v>
      </c>
      <c r="T1051" s="13" t="s">
        <v>9</v>
      </c>
      <c r="U1051" s="13" t="s">
        <v>0</v>
      </c>
      <c r="V1051" s="13" t="s">
        <v>0</v>
      </c>
      <c r="W1051" s="13" t="s">
        <v>0</v>
      </c>
      <c r="X1051" s="13" t="s">
        <v>0</v>
      </c>
      <c r="Y1051" s="13" t="s">
        <v>10</v>
      </c>
      <c r="Z1051" s="13" t="s">
        <v>0</v>
      </c>
      <c r="AA1051" s="14"/>
      <c r="AB1051" s="13" t="s">
        <v>0</v>
      </c>
      <c r="AC1051" s="13" t="s">
        <v>0</v>
      </c>
      <c r="AD1051" s="13" t="s">
        <v>0</v>
      </c>
      <c r="AE1051" s="15">
        <v>0</v>
      </c>
    </row>
    <row r="1052" spans="1:31" ht="14.15" customHeight="1" x14ac:dyDescent="0.25">
      <c r="A1052" s="12" t="s">
        <v>0</v>
      </c>
      <c r="B1052" s="13" t="s">
        <v>1</v>
      </c>
      <c r="C1052" s="13" t="s">
        <v>578</v>
      </c>
      <c r="D1052" s="14">
        <v>44077</v>
      </c>
      <c r="E1052" s="14">
        <v>44077</v>
      </c>
      <c r="F1052" s="14">
        <v>44104</v>
      </c>
      <c r="G1052" s="13" t="s">
        <v>3</v>
      </c>
      <c r="H1052" s="13" t="s">
        <v>4</v>
      </c>
      <c r="I1052" s="15">
        <v>-17329.25</v>
      </c>
      <c r="J1052" s="13" t="s">
        <v>5</v>
      </c>
      <c r="K1052" s="13" t="s">
        <v>6</v>
      </c>
      <c r="L1052" s="15">
        <v>-1454790.54</v>
      </c>
      <c r="M1052" s="15">
        <v>-17329.25</v>
      </c>
      <c r="N1052" s="16" t="str">
        <f>IF(M1052="","",IF(M1052&lt;0,-M1052&amp;"_"&amp;COUNTIF(M$2:M1052,M1052),M1052&amp;"_"&amp;COUNTIF(M$2:M1052,M1052)))</f>
        <v>17329.25_1</v>
      </c>
      <c r="O1052" s="17" t="str">
        <f t="shared" si="16"/>
        <v/>
      </c>
      <c r="P1052" s="13" t="s">
        <v>579</v>
      </c>
      <c r="Q1052" s="13" t="s">
        <v>571</v>
      </c>
      <c r="R1052" s="13" t="s">
        <v>0</v>
      </c>
      <c r="S1052" s="13" t="s">
        <v>0</v>
      </c>
      <c r="T1052" s="13" t="s">
        <v>9</v>
      </c>
      <c r="U1052" s="13" t="s">
        <v>0</v>
      </c>
      <c r="V1052" s="13" t="s">
        <v>0</v>
      </c>
      <c r="W1052" s="13" t="s">
        <v>0</v>
      </c>
      <c r="X1052" s="13" t="s">
        <v>0</v>
      </c>
      <c r="Y1052" s="13" t="s">
        <v>10</v>
      </c>
      <c r="Z1052" s="13" t="s">
        <v>0</v>
      </c>
      <c r="AA1052" s="14"/>
      <c r="AB1052" s="13" t="s">
        <v>0</v>
      </c>
      <c r="AC1052" s="13" t="s">
        <v>0</v>
      </c>
      <c r="AD1052" s="13" t="s">
        <v>0</v>
      </c>
      <c r="AE1052" s="15">
        <v>0</v>
      </c>
    </row>
    <row r="1053" spans="1:31" ht="14.15" customHeight="1" x14ac:dyDescent="0.25">
      <c r="A1053" s="12" t="s">
        <v>0</v>
      </c>
      <c r="B1053" s="13" t="s">
        <v>1</v>
      </c>
      <c r="C1053" s="13" t="s">
        <v>1206</v>
      </c>
      <c r="D1053" s="14">
        <v>44140</v>
      </c>
      <c r="E1053" s="14">
        <v>44140</v>
      </c>
      <c r="F1053" s="14">
        <v>44149</v>
      </c>
      <c r="G1053" s="13" t="s">
        <v>3</v>
      </c>
      <c r="H1053" s="13" t="s">
        <v>4</v>
      </c>
      <c r="I1053" s="15">
        <v>-17293.939999999999</v>
      </c>
      <c r="J1053" s="13" t="s">
        <v>5</v>
      </c>
      <c r="K1053" s="13" t="s">
        <v>6</v>
      </c>
      <c r="L1053" s="15">
        <v>-1451826.27</v>
      </c>
      <c r="M1053" s="15">
        <v>-17293.939999999999</v>
      </c>
      <c r="N1053" s="16" t="str">
        <f>IF(M1053="","",IF(M1053&lt;0,-M1053&amp;"_"&amp;COUNTIF(M$2:M1053,M1053),M1053&amp;"_"&amp;COUNTIF(M$2:M1053,M1053)))</f>
        <v>17293.94_1</v>
      </c>
      <c r="O1053" s="17" t="str">
        <f t="shared" si="16"/>
        <v/>
      </c>
      <c r="P1053" s="13" t="s">
        <v>1207</v>
      </c>
      <c r="Q1053" s="13" t="s">
        <v>1165</v>
      </c>
      <c r="R1053" s="13" t="s">
        <v>0</v>
      </c>
      <c r="S1053" s="13" t="s">
        <v>0</v>
      </c>
      <c r="T1053" s="13" t="s">
        <v>9</v>
      </c>
      <c r="U1053" s="13" t="s">
        <v>0</v>
      </c>
      <c r="V1053" s="13" t="s">
        <v>0</v>
      </c>
      <c r="W1053" s="13" t="s">
        <v>0</v>
      </c>
      <c r="X1053" s="13" t="s">
        <v>0</v>
      </c>
      <c r="Y1053" s="13" t="s">
        <v>10</v>
      </c>
      <c r="Z1053" s="13" t="s">
        <v>0</v>
      </c>
      <c r="AA1053" s="14"/>
      <c r="AB1053" s="13" t="s">
        <v>0</v>
      </c>
      <c r="AC1053" s="13" t="s">
        <v>0</v>
      </c>
      <c r="AD1053" s="13" t="s">
        <v>0</v>
      </c>
      <c r="AE1053" s="15">
        <v>0</v>
      </c>
    </row>
    <row r="1054" spans="1:31" ht="14.15" customHeight="1" x14ac:dyDescent="0.25">
      <c r="A1054" s="12" t="s">
        <v>0</v>
      </c>
      <c r="B1054" s="13" t="s">
        <v>1</v>
      </c>
      <c r="C1054" s="13" t="s">
        <v>4373</v>
      </c>
      <c r="D1054" s="14">
        <v>44376</v>
      </c>
      <c r="E1054" s="14">
        <v>44376</v>
      </c>
      <c r="F1054" s="14">
        <v>44384</v>
      </c>
      <c r="G1054" s="13" t="s">
        <v>3</v>
      </c>
      <c r="H1054" s="13" t="s">
        <v>4</v>
      </c>
      <c r="I1054" s="15">
        <v>-17247.189999999999</v>
      </c>
      <c r="J1054" s="13" t="s">
        <v>5</v>
      </c>
      <c r="K1054" s="13" t="s">
        <v>6</v>
      </c>
      <c r="L1054" s="15">
        <v>-1447901.6</v>
      </c>
      <c r="M1054" s="15">
        <v>-17247.189999999999</v>
      </c>
      <c r="N1054" s="16" t="str">
        <f>IF(M1054="","",IF(M1054&lt;0,-M1054&amp;"_"&amp;COUNTIF(M$2:M1054,M1054),M1054&amp;"_"&amp;COUNTIF(M$2:M1054,M1054)))</f>
        <v>17247.19_1</v>
      </c>
      <c r="O1054" s="17" t="str">
        <f t="shared" si="16"/>
        <v/>
      </c>
      <c r="P1054" s="13" t="s">
        <v>4374</v>
      </c>
      <c r="Q1054" s="13" t="s">
        <v>4350</v>
      </c>
      <c r="R1054" s="13" t="s">
        <v>0</v>
      </c>
      <c r="S1054" s="13" t="s">
        <v>0</v>
      </c>
      <c r="T1054" s="13" t="s">
        <v>9</v>
      </c>
      <c r="U1054" s="13" t="s">
        <v>0</v>
      </c>
      <c r="V1054" s="13" t="s">
        <v>0</v>
      </c>
      <c r="W1054" s="13" t="s">
        <v>0</v>
      </c>
      <c r="X1054" s="13" t="s">
        <v>0</v>
      </c>
      <c r="Y1054" s="13" t="s">
        <v>10</v>
      </c>
      <c r="Z1054" s="13" t="s">
        <v>0</v>
      </c>
      <c r="AA1054" s="14"/>
      <c r="AB1054" s="13" t="s">
        <v>0</v>
      </c>
      <c r="AC1054" s="13" t="s">
        <v>0</v>
      </c>
      <c r="AD1054" s="13" t="s">
        <v>0</v>
      </c>
      <c r="AE1054" s="15">
        <v>0</v>
      </c>
    </row>
    <row r="1055" spans="1:31" ht="14.15" customHeight="1" x14ac:dyDescent="0.25">
      <c r="A1055" s="12" t="s">
        <v>0</v>
      </c>
      <c r="B1055" s="13" t="s">
        <v>1</v>
      </c>
      <c r="C1055" s="13" t="s">
        <v>4086</v>
      </c>
      <c r="D1055" s="14">
        <v>44361</v>
      </c>
      <c r="E1055" s="14">
        <v>44361</v>
      </c>
      <c r="F1055" s="14">
        <v>44364</v>
      </c>
      <c r="G1055" s="13" t="s">
        <v>3</v>
      </c>
      <c r="H1055" s="13" t="s">
        <v>4</v>
      </c>
      <c r="I1055" s="15">
        <v>-17218.52</v>
      </c>
      <c r="J1055" s="13" t="s">
        <v>5</v>
      </c>
      <c r="K1055" s="13" t="s">
        <v>6</v>
      </c>
      <c r="L1055" s="15">
        <v>-1445494.75</v>
      </c>
      <c r="M1055" s="15">
        <v>-17218.52</v>
      </c>
      <c r="N1055" s="16" t="str">
        <f>IF(M1055="","",IF(M1055&lt;0,-M1055&amp;"_"&amp;COUNTIF(M$2:M1055,M1055),M1055&amp;"_"&amp;COUNTIF(M$2:M1055,M1055)))</f>
        <v>17218.52_1</v>
      </c>
      <c r="O1055" s="17" t="str">
        <f t="shared" si="16"/>
        <v/>
      </c>
      <c r="P1055" s="13" t="s">
        <v>4087</v>
      </c>
      <c r="Q1055" s="13" t="s">
        <v>4075</v>
      </c>
      <c r="R1055" s="13" t="s">
        <v>0</v>
      </c>
      <c r="S1055" s="13" t="s">
        <v>0</v>
      </c>
      <c r="T1055" s="13" t="s">
        <v>9</v>
      </c>
      <c r="U1055" s="13" t="s">
        <v>0</v>
      </c>
      <c r="V1055" s="13" t="s">
        <v>0</v>
      </c>
      <c r="W1055" s="13" t="s">
        <v>0</v>
      </c>
      <c r="X1055" s="13" t="s">
        <v>0</v>
      </c>
      <c r="Y1055" s="13" t="s">
        <v>10</v>
      </c>
      <c r="Z1055" s="13" t="s">
        <v>0</v>
      </c>
      <c r="AA1055" s="14"/>
      <c r="AB1055" s="13" t="s">
        <v>0</v>
      </c>
      <c r="AC1055" s="13" t="s">
        <v>0</v>
      </c>
      <c r="AD1055" s="13" t="s">
        <v>0</v>
      </c>
      <c r="AE1055" s="15">
        <v>0</v>
      </c>
    </row>
    <row r="1056" spans="1:31" ht="14.15" customHeight="1" x14ac:dyDescent="0.25">
      <c r="A1056" s="12" t="s">
        <v>0</v>
      </c>
      <c r="B1056" s="13" t="s">
        <v>1</v>
      </c>
      <c r="C1056" s="13" t="s">
        <v>2166</v>
      </c>
      <c r="D1056" s="14">
        <v>44209</v>
      </c>
      <c r="E1056" s="14">
        <v>44209</v>
      </c>
      <c r="F1056" s="14">
        <v>44219</v>
      </c>
      <c r="G1056" s="13" t="s">
        <v>3</v>
      </c>
      <c r="H1056" s="13" t="s">
        <v>4</v>
      </c>
      <c r="I1056" s="15">
        <v>-17209.28</v>
      </c>
      <c r="J1056" s="13" t="s">
        <v>5</v>
      </c>
      <c r="K1056" s="13" t="s">
        <v>6</v>
      </c>
      <c r="L1056" s="15">
        <v>-1444719.06</v>
      </c>
      <c r="M1056" s="15">
        <v>-17209.28</v>
      </c>
      <c r="N1056" s="16" t="str">
        <f>IF(M1056="","",IF(M1056&lt;0,-M1056&amp;"_"&amp;COUNTIF(M$2:M1056,M1056),M1056&amp;"_"&amp;COUNTIF(M$2:M1056,M1056)))</f>
        <v>17209.28_1</v>
      </c>
      <c r="O1056" s="17" t="str">
        <f t="shared" si="16"/>
        <v/>
      </c>
      <c r="P1056" s="13" t="s">
        <v>2167</v>
      </c>
      <c r="Q1056" s="13" t="s">
        <v>2159</v>
      </c>
      <c r="R1056" s="13" t="s">
        <v>0</v>
      </c>
      <c r="S1056" s="13" t="s">
        <v>0</v>
      </c>
      <c r="T1056" s="13" t="s">
        <v>9</v>
      </c>
      <c r="U1056" s="13" t="s">
        <v>0</v>
      </c>
      <c r="V1056" s="13" t="s">
        <v>0</v>
      </c>
      <c r="W1056" s="13" t="s">
        <v>0</v>
      </c>
      <c r="X1056" s="13" t="s">
        <v>0</v>
      </c>
      <c r="Y1056" s="13" t="s">
        <v>10</v>
      </c>
      <c r="Z1056" s="13" t="s">
        <v>0</v>
      </c>
      <c r="AA1056" s="14"/>
      <c r="AB1056" s="13" t="s">
        <v>0</v>
      </c>
      <c r="AC1056" s="13" t="s">
        <v>0</v>
      </c>
      <c r="AD1056" s="13" t="s">
        <v>0</v>
      </c>
      <c r="AE1056" s="15">
        <v>0</v>
      </c>
    </row>
    <row r="1057" spans="1:31" ht="14.15" customHeight="1" x14ac:dyDescent="0.25">
      <c r="A1057" s="12" t="s">
        <v>0</v>
      </c>
      <c r="B1057" s="13" t="s">
        <v>1</v>
      </c>
      <c r="C1057" s="13" t="s">
        <v>2603</v>
      </c>
      <c r="D1057" s="14">
        <v>44243</v>
      </c>
      <c r="E1057" s="14">
        <v>44243</v>
      </c>
      <c r="F1057" s="14">
        <v>44252</v>
      </c>
      <c r="G1057" s="13" t="s">
        <v>3</v>
      </c>
      <c r="H1057" s="13" t="s">
        <v>4</v>
      </c>
      <c r="I1057" s="15">
        <v>-17202.310000000001</v>
      </c>
      <c r="J1057" s="13" t="s">
        <v>5</v>
      </c>
      <c r="K1057" s="13" t="s">
        <v>6</v>
      </c>
      <c r="L1057" s="15">
        <v>-1444133.92</v>
      </c>
      <c r="M1057" s="15">
        <v>-17202.310000000001</v>
      </c>
      <c r="N1057" s="16" t="str">
        <f>IF(M1057="","",IF(M1057&lt;0,-M1057&amp;"_"&amp;COUNTIF(M$2:M1057,M1057),M1057&amp;"_"&amp;COUNTIF(M$2:M1057,M1057)))</f>
        <v>17202.31_1</v>
      </c>
      <c r="O1057" s="17" t="str">
        <f t="shared" si="16"/>
        <v/>
      </c>
      <c r="P1057" s="13" t="s">
        <v>2604</v>
      </c>
      <c r="Q1057" s="13" t="s">
        <v>2574</v>
      </c>
      <c r="R1057" s="13" t="s">
        <v>0</v>
      </c>
      <c r="S1057" s="13" t="s">
        <v>0</v>
      </c>
      <c r="T1057" s="13" t="s">
        <v>9</v>
      </c>
      <c r="U1057" s="13" t="s">
        <v>0</v>
      </c>
      <c r="V1057" s="13" t="s">
        <v>0</v>
      </c>
      <c r="W1057" s="13" t="s">
        <v>0</v>
      </c>
      <c r="X1057" s="13" t="s">
        <v>0</v>
      </c>
      <c r="Y1057" s="13" t="s">
        <v>10</v>
      </c>
      <c r="Z1057" s="13" t="s">
        <v>0</v>
      </c>
      <c r="AA1057" s="14"/>
      <c r="AB1057" s="13" t="s">
        <v>0</v>
      </c>
      <c r="AC1057" s="13" t="s">
        <v>0</v>
      </c>
      <c r="AD1057" s="13" t="s">
        <v>0</v>
      </c>
      <c r="AE1057" s="15">
        <v>0</v>
      </c>
    </row>
    <row r="1058" spans="1:31" ht="14.15" customHeight="1" x14ac:dyDescent="0.25">
      <c r="A1058" s="12" t="s">
        <v>0</v>
      </c>
      <c r="B1058" s="13" t="s">
        <v>1</v>
      </c>
      <c r="C1058" s="13" t="s">
        <v>2629</v>
      </c>
      <c r="D1058" s="14">
        <v>44247</v>
      </c>
      <c r="E1058" s="14">
        <v>44247</v>
      </c>
      <c r="F1058" s="14">
        <v>44257</v>
      </c>
      <c r="G1058" s="13" t="s">
        <v>3</v>
      </c>
      <c r="H1058" s="13" t="s">
        <v>4</v>
      </c>
      <c r="I1058" s="15">
        <v>-17199.009999999998</v>
      </c>
      <c r="J1058" s="13" t="s">
        <v>5</v>
      </c>
      <c r="K1058" s="13" t="s">
        <v>6</v>
      </c>
      <c r="L1058" s="15">
        <v>-1443856.89</v>
      </c>
      <c r="M1058" s="15">
        <v>-17199.009999999998</v>
      </c>
      <c r="N1058" s="16" t="str">
        <f>IF(M1058="","",IF(M1058&lt;0,-M1058&amp;"_"&amp;COUNTIF(M$2:M1058,M1058),M1058&amp;"_"&amp;COUNTIF(M$2:M1058,M1058)))</f>
        <v>17199.01_1</v>
      </c>
      <c r="O1058" s="17" t="str">
        <f t="shared" si="16"/>
        <v/>
      </c>
      <c r="P1058" s="13" t="s">
        <v>2630</v>
      </c>
      <c r="Q1058" s="13" t="s">
        <v>2626</v>
      </c>
      <c r="R1058" s="13" t="s">
        <v>0</v>
      </c>
      <c r="S1058" s="13" t="s">
        <v>0</v>
      </c>
      <c r="T1058" s="13" t="s">
        <v>9</v>
      </c>
      <c r="U1058" s="13" t="s">
        <v>0</v>
      </c>
      <c r="V1058" s="13" t="s">
        <v>0</v>
      </c>
      <c r="W1058" s="13" t="s">
        <v>0</v>
      </c>
      <c r="X1058" s="13" t="s">
        <v>0</v>
      </c>
      <c r="Y1058" s="13" t="s">
        <v>10</v>
      </c>
      <c r="Z1058" s="13" t="s">
        <v>0</v>
      </c>
      <c r="AA1058" s="14"/>
      <c r="AB1058" s="13" t="s">
        <v>0</v>
      </c>
      <c r="AC1058" s="13" t="s">
        <v>0</v>
      </c>
      <c r="AD1058" s="13" t="s">
        <v>0</v>
      </c>
      <c r="AE1058" s="15">
        <v>0</v>
      </c>
    </row>
    <row r="1059" spans="1:31" ht="14.15" customHeight="1" x14ac:dyDescent="0.25">
      <c r="A1059" s="12" t="s">
        <v>0</v>
      </c>
      <c r="B1059" s="13" t="s">
        <v>1</v>
      </c>
      <c r="C1059" s="13" t="s">
        <v>1413</v>
      </c>
      <c r="D1059" s="14">
        <v>44154</v>
      </c>
      <c r="E1059" s="14">
        <v>44154</v>
      </c>
      <c r="F1059" s="14">
        <v>44159</v>
      </c>
      <c r="G1059" s="13" t="s">
        <v>3</v>
      </c>
      <c r="H1059" s="13" t="s">
        <v>4</v>
      </c>
      <c r="I1059" s="15">
        <v>-17198.400000000001</v>
      </c>
      <c r="J1059" s="13" t="s">
        <v>5</v>
      </c>
      <c r="K1059" s="13" t="s">
        <v>6</v>
      </c>
      <c r="L1059" s="15">
        <v>-1443805.68</v>
      </c>
      <c r="M1059" s="15">
        <v>-17198.400000000001</v>
      </c>
      <c r="N1059" s="16" t="str">
        <f>IF(M1059="","",IF(M1059&lt;0,-M1059&amp;"_"&amp;COUNTIF(M$2:M1059,M1059),M1059&amp;"_"&amp;COUNTIF(M$2:M1059,M1059)))</f>
        <v>17198.4_1</v>
      </c>
      <c r="O1059" s="17" t="str">
        <f t="shared" si="16"/>
        <v/>
      </c>
      <c r="P1059" s="13" t="s">
        <v>1414</v>
      </c>
      <c r="Q1059" s="13" t="s">
        <v>1408</v>
      </c>
      <c r="R1059" s="13" t="s">
        <v>0</v>
      </c>
      <c r="S1059" s="13" t="s">
        <v>0</v>
      </c>
      <c r="T1059" s="13" t="s">
        <v>9</v>
      </c>
      <c r="U1059" s="13" t="s">
        <v>0</v>
      </c>
      <c r="V1059" s="13" t="s">
        <v>0</v>
      </c>
      <c r="W1059" s="13" t="s">
        <v>0</v>
      </c>
      <c r="X1059" s="13" t="s">
        <v>0</v>
      </c>
      <c r="Y1059" s="13" t="s">
        <v>10</v>
      </c>
      <c r="Z1059" s="13" t="s">
        <v>0</v>
      </c>
      <c r="AA1059" s="14"/>
      <c r="AB1059" s="13" t="s">
        <v>0</v>
      </c>
      <c r="AC1059" s="13" t="s">
        <v>0</v>
      </c>
      <c r="AD1059" s="13" t="s">
        <v>0</v>
      </c>
      <c r="AE1059" s="15">
        <v>0</v>
      </c>
    </row>
    <row r="1060" spans="1:31" ht="14.15" customHeight="1" x14ac:dyDescent="0.25">
      <c r="A1060" s="12" t="s">
        <v>0</v>
      </c>
      <c r="B1060" s="13" t="s">
        <v>1</v>
      </c>
      <c r="C1060" s="13" t="s">
        <v>1983</v>
      </c>
      <c r="D1060" s="14">
        <v>44196</v>
      </c>
      <c r="E1060" s="14">
        <v>44196</v>
      </c>
      <c r="F1060" s="14">
        <v>44201</v>
      </c>
      <c r="G1060" s="13" t="s">
        <v>3</v>
      </c>
      <c r="H1060" s="13" t="s">
        <v>4</v>
      </c>
      <c r="I1060" s="15">
        <v>-17122.82</v>
      </c>
      <c r="J1060" s="13" t="s">
        <v>5</v>
      </c>
      <c r="K1060" s="13" t="s">
        <v>6</v>
      </c>
      <c r="L1060" s="15">
        <v>-1437460.74</v>
      </c>
      <c r="M1060" s="15">
        <v>-17122.82</v>
      </c>
      <c r="N1060" s="16" t="str">
        <f>IF(M1060="","",IF(M1060&lt;0,-M1060&amp;"_"&amp;COUNTIF(M$2:M1060,M1060),M1060&amp;"_"&amp;COUNTIF(M$2:M1060,M1060)))</f>
        <v>17122.82_1</v>
      </c>
      <c r="O1060" s="17" t="str">
        <f t="shared" si="16"/>
        <v/>
      </c>
      <c r="P1060" s="13" t="s">
        <v>1984</v>
      </c>
      <c r="Q1060" s="13" t="s">
        <v>1976</v>
      </c>
      <c r="R1060" s="13" t="s">
        <v>0</v>
      </c>
      <c r="S1060" s="13" t="s">
        <v>0</v>
      </c>
      <c r="T1060" s="13" t="s">
        <v>9</v>
      </c>
      <c r="U1060" s="13" t="s">
        <v>0</v>
      </c>
      <c r="V1060" s="13" t="s">
        <v>0</v>
      </c>
      <c r="W1060" s="13" t="s">
        <v>0</v>
      </c>
      <c r="X1060" s="13" t="s">
        <v>0</v>
      </c>
      <c r="Y1060" s="13" t="s">
        <v>10</v>
      </c>
      <c r="Z1060" s="13" t="s">
        <v>0</v>
      </c>
      <c r="AA1060" s="14"/>
      <c r="AB1060" s="13" t="s">
        <v>0</v>
      </c>
      <c r="AC1060" s="13" t="s">
        <v>0</v>
      </c>
      <c r="AD1060" s="13" t="s">
        <v>0</v>
      </c>
      <c r="AE1060" s="15">
        <v>0</v>
      </c>
    </row>
    <row r="1061" spans="1:31" ht="14.15" customHeight="1" x14ac:dyDescent="0.25">
      <c r="A1061" s="12" t="s">
        <v>0</v>
      </c>
      <c r="B1061" s="13" t="s">
        <v>1</v>
      </c>
      <c r="C1061" s="13" t="s">
        <v>2043</v>
      </c>
      <c r="D1061" s="14">
        <v>44197</v>
      </c>
      <c r="E1061" s="14">
        <v>44197</v>
      </c>
      <c r="F1061" s="14">
        <v>44202</v>
      </c>
      <c r="G1061" s="13" t="s">
        <v>3</v>
      </c>
      <c r="H1061" s="13" t="s">
        <v>4</v>
      </c>
      <c r="I1061" s="15">
        <v>-17102.52</v>
      </c>
      <c r="J1061" s="13" t="s">
        <v>5</v>
      </c>
      <c r="K1061" s="13" t="s">
        <v>6</v>
      </c>
      <c r="L1061" s="15">
        <v>-1435756.55</v>
      </c>
      <c r="M1061" s="15">
        <v>-17102.52</v>
      </c>
      <c r="N1061" s="16" t="str">
        <f>IF(M1061="","",IF(M1061&lt;0,-M1061&amp;"_"&amp;COUNTIF(M$2:M1061,M1061),M1061&amp;"_"&amp;COUNTIF(M$2:M1061,M1061)))</f>
        <v>17102.52_1</v>
      </c>
      <c r="O1061" s="17" t="str">
        <f t="shared" si="16"/>
        <v/>
      </c>
      <c r="P1061" s="13" t="s">
        <v>2044</v>
      </c>
      <c r="Q1061" s="13" t="s">
        <v>2034</v>
      </c>
      <c r="R1061" s="13" t="s">
        <v>0</v>
      </c>
      <c r="S1061" s="13" t="s">
        <v>0</v>
      </c>
      <c r="T1061" s="13" t="s">
        <v>9</v>
      </c>
      <c r="U1061" s="13" t="s">
        <v>0</v>
      </c>
      <c r="V1061" s="13" t="s">
        <v>0</v>
      </c>
      <c r="W1061" s="13" t="s">
        <v>0</v>
      </c>
      <c r="X1061" s="13" t="s">
        <v>0</v>
      </c>
      <c r="Y1061" s="13" t="s">
        <v>10</v>
      </c>
      <c r="Z1061" s="13" t="s">
        <v>0</v>
      </c>
      <c r="AA1061" s="14"/>
      <c r="AB1061" s="13" t="s">
        <v>0</v>
      </c>
      <c r="AC1061" s="13" t="s">
        <v>0</v>
      </c>
      <c r="AD1061" s="13" t="s">
        <v>0</v>
      </c>
      <c r="AE1061" s="15">
        <v>0</v>
      </c>
    </row>
    <row r="1062" spans="1:31" ht="14.15" customHeight="1" x14ac:dyDescent="0.25">
      <c r="A1062" s="12" t="s">
        <v>0</v>
      </c>
      <c r="B1062" s="13" t="s">
        <v>1</v>
      </c>
      <c r="C1062" s="13" t="s">
        <v>1230</v>
      </c>
      <c r="D1062" s="14">
        <v>44142</v>
      </c>
      <c r="E1062" s="14">
        <v>44142</v>
      </c>
      <c r="F1062" s="14">
        <v>44149</v>
      </c>
      <c r="G1062" s="13" t="s">
        <v>3</v>
      </c>
      <c r="H1062" s="13" t="s">
        <v>4</v>
      </c>
      <c r="I1062" s="15">
        <v>-17099.73</v>
      </c>
      <c r="J1062" s="13" t="s">
        <v>5</v>
      </c>
      <c r="K1062" s="13" t="s">
        <v>6</v>
      </c>
      <c r="L1062" s="15">
        <v>-1435522.33</v>
      </c>
      <c r="M1062" s="15">
        <v>-17099.73</v>
      </c>
      <c r="N1062" s="16" t="str">
        <f>IF(M1062="","",IF(M1062&lt;0,-M1062&amp;"_"&amp;COUNTIF(M$2:M1062,M1062),M1062&amp;"_"&amp;COUNTIF(M$2:M1062,M1062)))</f>
        <v>17099.73_1</v>
      </c>
      <c r="O1062" s="17" t="str">
        <f t="shared" si="16"/>
        <v/>
      </c>
      <c r="P1062" s="13" t="s">
        <v>1231</v>
      </c>
      <c r="Q1062" s="13" t="s">
        <v>1229</v>
      </c>
      <c r="R1062" s="13" t="s">
        <v>0</v>
      </c>
      <c r="S1062" s="13" t="s">
        <v>0</v>
      </c>
      <c r="T1062" s="13" t="s">
        <v>9</v>
      </c>
      <c r="U1062" s="13" t="s">
        <v>0</v>
      </c>
      <c r="V1062" s="13" t="s">
        <v>0</v>
      </c>
      <c r="W1062" s="13" t="s">
        <v>0</v>
      </c>
      <c r="X1062" s="13" t="s">
        <v>0</v>
      </c>
      <c r="Y1062" s="13" t="s">
        <v>10</v>
      </c>
      <c r="Z1062" s="13" t="s">
        <v>0</v>
      </c>
      <c r="AA1062" s="14"/>
      <c r="AB1062" s="13" t="s">
        <v>0</v>
      </c>
      <c r="AC1062" s="13" t="s">
        <v>0</v>
      </c>
      <c r="AD1062" s="13" t="s">
        <v>0</v>
      </c>
      <c r="AE1062" s="15">
        <v>0</v>
      </c>
    </row>
    <row r="1063" spans="1:31" ht="14.15" customHeight="1" x14ac:dyDescent="0.25">
      <c r="A1063" s="12" t="s">
        <v>0</v>
      </c>
      <c r="B1063" s="13" t="s">
        <v>1</v>
      </c>
      <c r="C1063" s="13" t="s">
        <v>2747</v>
      </c>
      <c r="D1063" s="14">
        <v>44260</v>
      </c>
      <c r="E1063" s="14">
        <v>44260</v>
      </c>
      <c r="F1063" s="14">
        <v>44265</v>
      </c>
      <c r="G1063" s="13" t="s">
        <v>3</v>
      </c>
      <c r="H1063" s="13" t="s">
        <v>4</v>
      </c>
      <c r="I1063" s="15">
        <v>-17094.490000000002</v>
      </c>
      <c r="J1063" s="13" t="s">
        <v>5</v>
      </c>
      <c r="K1063" s="13" t="s">
        <v>6</v>
      </c>
      <c r="L1063" s="15">
        <v>-1435082.44</v>
      </c>
      <c r="M1063" s="15">
        <v>-17094.490000000002</v>
      </c>
      <c r="N1063" s="16" t="str">
        <f>IF(M1063="","",IF(M1063&lt;0,-M1063&amp;"_"&amp;COUNTIF(M$2:M1063,M1063),M1063&amp;"_"&amp;COUNTIF(M$2:M1063,M1063)))</f>
        <v>17094.49_1</v>
      </c>
      <c r="O1063" s="17" t="str">
        <f t="shared" si="16"/>
        <v/>
      </c>
      <c r="P1063" s="13" t="s">
        <v>2748</v>
      </c>
      <c r="Q1063" s="13" t="s">
        <v>2746</v>
      </c>
      <c r="R1063" s="13" t="s">
        <v>0</v>
      </c>
      <c r="S1063" s="13" t="s">
        <v>0</v>
      </c>
      <c r="T1063" s="13" t="s">
        <v>9</v>
      </c>
      <c r="U1063" s="13" t="s">
        <v>0</v>
      </c>
      <c r="V1063" s="13" t="s">
        <v>0</v>
      </c>
      <c r="W1063" s="13" t="s">
        <v>0</v>
      </c>
      <c r="X1063" s="13" t="s">
        <v>0</v>
      </c>
      <c r="Y1063" s="13" t="s">
        <v>10</v>
      </c>
      <c r="Z1063" s="13" t="s">
        <v>0</v>
      </c>
      <c r="AA1063" s="14"/>
      <c r="AB1063" s="13" t="s">
        <v>0</v>
      </c>
      <c r="AC1063" s="13" t="s">
        <v>0</v>
      </c>
      <c r="AD1063" s="13" t="s">
        <v>0</v>
      </c>
      <c r="AE1063" s="15">
        <v>0</v>
      </c>
    </row>
    <row r="1064" spans="1:31" ht="14.15" customHeight="1" x14ac:dyDescent="0.25">
      <c r="A1064" s="12" t="s">
        <v>0</v>
      </c>
      <c r="B1064" s="13" t="s">
        <v>1</v>
      </c>
      <c r="C1064" s="13" t="s">
        <v>1512</v>
      </c>
      <c r="D1064" s="14">
        <v>44163</v>
      </c>
      <c r="E1064" s="14">
        <v>44163</v>
      </c>
      <c r="F1064" s="14">
        <v>44168</v>
      </c>
      <c r="G1064" s="13" t="s">
        <v>3</v>
      </c>
      <c r="H1064" s="13" t="s">
        <v>4</v>
      </c>
      <c r="I1064" s="15">
        <v>-17088.68</v>
      </c>
      <c r="J1064" s="13" t="s">
        <v>5</v>
      </c>
      <c r="K1064" s="13" t="s">
        <v>6</v>
      </c>
      <c r="L1064" s="15">
        <v>-1434594.69</v>
      </c>
      <c r="M1064" s="15">
        <v>-17088.68</v>
      </c>
      <c r="N1064" s="16" t="str">
        <f>IF(M1064="","",IF(M1064&lt;0,-M1064&amp;"_"&amp;COUNTIF(M$2:M1064,M1064),M1064&amp;"_"&amp;COUNTIF(M$2:M1064,M1064)))</f>
        <v>17088.68_1</v>
      </c>
      <c r="O1064" s="17" t="str">
        <f t="shared" si="16"/>
        <v/>
      </c>
      <c r="P1064" s="13" t="s">
        <v>1513</v>
      </c>
      <c r="Q1064" s="13" t="s">
        <v>1509</v>
      </c>
      <c r="R1064" s="13" t="s">
        <v>0</v>
      </c>
      <c r="S1064" s="13" t="s">
        <v>0</v>
      </c>
      <c r="T1064" s="13" t="s">
        <v>9</v>
      </c>
      <c r="U1064" s="13" t="s">
        <v>0</v>
      </c>
      <c r="V1064" s="13" t="s">
        <v>0</v>
      </c>
      <c r="W1064" s="13" t="s">
        <v>0</v>
      </c>
      <c r="X1064" s="13" t="s">
        <v>0</v>
      </c>
      <c r="Y1064" s="13" t="s">
        <v>10</v>
      </c>
      <c r="Z1064" s="13" t="s">
        <v>0</v>
      </c>
      <c r="AA1064" s="14"/>
      <c r="AB1064" s="13" t="s">
        <v>0</v>
      </c>
      <c r="AC1064" s="13" t="s">
        <v>0</v>
      </c>
      <c r="AD1064" s="13" t="s">
        <v>0</v>
      </c>
      <c r="AE1064" s="15">
        <v>0</v>
      </c>
    </row>
    <row r="1065" spans="1:31" ht="14.15" customHeight="1" x14ac:dyDescent="0.25">
      <c r="A1065" s="12" t="s">
        <v>0</v>
      </c>
      <c r="B1065" s="13" t="s">
        <v>1</v>
      </c>
      <c r="C1065" s="13" t="s">
        <v>2166</v>
      </c>
      <c r="D1065" s="14">
        <v>44209</v>
      </c>
      <c r="E1065" s="14">
        <v>44209</v>
      </c>
      <c r="F1065" s="14">
        <v>44219</v>
      </c>
      <c r="G1065" s="13" t="s">
        <v>3</v>
      </c>
      <c r="H1065" s="13" t="s">
        <v>4</v>
      </c>
      <c r="I1065" s="15">
        <v>-17084.080000000002</v>
      </c>
      <c r="J1065" s="13" t="s">
        <v>5</v>
      </c>
      <c r="K1065" s="13" t="s">
        <v>6</v>
      </c>
      <c r="L1065" s="15">
        <v>-1434208.52</v>
      </c>
      <c r="M1065" s="15">
        <v>-17084.080000000002</v>
      </c>
      <c r="N1065" s="16" t="str">
        <f>IF(M1065="","",IF(M1065&lt;0,-M1065&amp;"_"&amp;COUNTIF(M$2:M1065,M1065),M1065&amp;"_"&amp;COUNTIF(M$2:M1065,M1065)))</f>
        <v>17084.08_1</v>
      </c>
      <c r="O1065" s="17" t="str">
        <f t="shared" si="16"/>
        <v/>
      </c>
      <c r="P1065" s="13" t="s">
        <v>2167</v>
      </c>
      <c r="Q1065" s="13" t="s">
        <v>2159</v>
      </c>
      <c r="R1065" s="13" t="s">
        <v>0</v>
      </c>
      <c r="S1065" s="13" t="s">
        <v>0</v>
      </c>
      <c r="T1065" s="13" t="s">
        <v>9</v>
      </c>
      <c r="U1065" s="13" t="s">
        <v>0</v>
      </c>
      <c r="V1065" s="13" t="s">
        <v>0</v>
      </c>
      <c r="W1065" s="13" t="s">
        <v>0</v>
      </c>
      <c r="X1065" s="13" t="s">
        <v>0</v>
      </c>
      <c r="Y1065" s="13" t="s">
        <v>10</v>
      </c>
      <c r="Z1065" s="13" t="s">
        <v>0</v>
      </c>
      <c r="AA1065" s="14"/>
      <c r="AB1065" s="13" t="s">
        <v>0</v>
      </c>
      <c r="AC1065" s="13" t="s">
        <v>0</v>
      </c>
      <c r="AD1065" s="13" t="s">
        <v>0</v>
      </c>
      <c r="AE1065" s="15">
        <v>0</v>
      </c>
    </row>
    <row r="1066" spans="1:31" ht="14.15" customHeight="1" x14ac:dyDescent="0.25">
      <c r="A1066" s="12" t="s">
        <v>0</v>
      </c>
      <c r="B1066" s="13" t="s">
        <v>1</v>
      </c>
      <c r="C1066" s="13" t="s">
        <v>1967</v>
      </c>
      <c r="D1066" s="14">
        <v>44195</v>
      </c>
      <c r="E1066" s="14">
        <v>44195</v>
      </c>
      <c r="F1066" s="14">
        <v>44202</v>
      </c>
      <c r="G1066" s="13" t="s">
        <v>3</v>
      </c>
      <c r="H1066" s="13" t="s">
        <v>4</v>
      </c>
      <c r="I1066" s="15">
        <v>-17066.39</v>
      </c>
      <c r="J1066" s="13" t="s">
        <v>5</v>
      </c>
      <c r="K1066" s="13" t="s">
        <v>6</v>
      </c>
      <c r="L1066" s="15">
        <v>-1432723.44</v>
      </c>
      <c r="M1066" s="15">
        <v>-17066.39</v>
      </c>
      <c r="N1066" s="16" t="str">
        <f>IF(M1066="","",IF(M1066&lt;0,-M1066&amp;"_"&amp;COUNTIF(M$2:M1066,M1066),M1066&amp;"_"&amp;COUNTIF(M$2:M1066,M1066)))</f>
        <v>17066.39_1</v>
      </c>
      <c r="O1066" s="17" t="str">
        <f t="shared" si="16"/>
        <v/>
      </c>
      <c r="P1066" s="13" t="s">
        <v>1968</v>
      </c>
      <c r="Q1066" s="13" t="s">
        <v>1956</v>
      </c>
      <c r="R1066" s="13" t="s">
        <v>0</v>
      </c>
      <c r="S1066" s="13" t="s">
        <v>0</v>
      </c>
      <c r="T1066" s="13" t="s">
        <v>9</v>
      </c>
      <c r="U1066" s="13" t="s">
        <v>0</v>
      </c>
      <c r="V1066" s="13" t="s">
        <v>0</v>
      </c>
      <c r="W1066" s="13" t="s">
        <v>0</v>
      </c>
      <c r="X1066" s="13" t="s">
        <v>0</v>
      </c>
      <c r="Y1066" s="13" t="s">
        <v>10</v>
      </c>
      <c r="Z1066" s="13" t="s">
        <v>0</v>
      </c>
      <c r="AA1066" s="14"/>
      <c r="AB1066" s="13" t="s">
        <v>0</v>
      </c>
      <c r="AC1066" s="13" t="s">
        <v>0</v>
      </c>
      <c r="AD1066" s="13" t="s">
        <v>0</v>
      </c>
      <c r="AE1066" s="15">
        <v>0</v>
      </c>
    </row>
    <row r="1067" spans="1:31" ht="14.15" customHeight="1" x14ac:dyDescent="0.25">
      <c r="A1067" s="12" t="s">
        <v>0</v>
      </c>
      <c r="B1067" s="13" t="s">
        <v>1</v>
      </c>
      <c r="C1067" s="13" t="s">
        <v>2603</v>
      </c>
      <c r="D1067" s="14">
        <v>44243</v>
      </c>
      <c r="E1067" s="14">
        <v>44243</v>
      </c>
      <c r="F1067" s="14">
        <v>44252</v>
      </c>
      <c r="G1067" s="13" t="s">
        <v>3</v>
      </c>
      <c r="H1067" s="13" t="s">
        <v>4</v>
      </c>
      <c r="I1067" s="15">
        <v>-17027.169999999998</v>
      </c>
      <c r="J1067" s="13" t="s">
        <v>5</v>
      </c>
      <c r="K1067" s="13" t="s">
        <v>6</v>
      </c>
      <c r="L1067" s="15">
        <v>-1429430.92</v>
      </c>
      <c r="M1067" s="15">
        <v>-17027.169999999998</v>
      </c>
      <c r="N1067" s="16" t="str">
        <f>IF(M1067="","",IF(M1067&lt;0,-M1067&amp;"_"&amp;COUNTIF(M$2:M1067,M1067),M1067&amp;"_"&amp;COUNTIF(M$2:M1067,M1067)))</f>
        <v>17027.17_1</v>
      </c>
      <c r="O1067" s="17" t="str">
        <f t="shared" si="16"/>
        <v/>
      </c>
      <c r="P1067" s="13" t="s">
        <v>2604</v>
      </c>
      <c r="Q1067" s="13" t="s">
        <v>2574</v>
      </c>
      <c r="R1067" s="13" t="s">
        <v>0</v>
      </c>
      <c r="S1067" s="13" t="s">
        <v>0</v>
      </c>
      <c r="T1067" s="13" t="s">
        <v>9</v>
      </c>
      <c r="U1067" s="13" t="s">
        <v>0</v>
      </c>
      <c r="V1067" s="13" t="s">
        <v>0</v>
      </c>
      <c r="W1067" s="13" t="s">
        <v>0</v>
      </c>
      <c r="X1067" s="13" t="s">
        <v>0</v>
      </c>
      <c r="Y1067" s="13" t="s">
        <v>10</v>
      </c>
      <c r="Z1067" s="13" t="s">
        <v>0</v>
      </c>
      <c r="AA1067" s="14"/>
      <c r="AB1067" s="13" t="s">
        <v>0</v>
      </c>
      <c r="AC1067" s="13" t="s">
        <v>0</v>
      </c>
      <c r="AD1067" s="13" t="s">
        <v>0</v>
      </c>
      <c r="AE1067" s="15">
        <v>0</v>
      </c>
    </row>
    <row r="1068" spans="1:31" ht="14.15" customHeight="1" x14ac:dyDescent="0.25">
      <c r="A1068" s="12" t="s">
        <v>0</v>
      </c>
      <c r="B1068" s="13" t="s">
        <v>1</v>
      </c>
      <c r="C1068" s="13" t="s">
        <v>2272</v>
      </c>
      <c r="D1068" s="14">
        <v>44218</v>
      </c>
      <c r="E1068" s="14">
        <v>44218</v>
      </c>
      <c r="F1068" s="14">
        <v>44222</v>
      </c>
      <c r="G1068" s="13" t="s">
        <v>3</v>
      </c>
      <c r="H1068" s="13" t="s">
        <v>4</v>
      </c>
      <c r="I1068" s="15">
        <v>-17023.990000000002</v>
      </c>
      <c r="J1068" s="13" t="s">
        <v>5</v>
      </c>
      <c r="K1068" s="13" t="s">
        <v>6</v>
      </c>
      <c r="L1068" s="15">
        <v>-1429163.96</v>
      </c>
      <c r="M1068" s="15">
        <v>-17023.990000000002</v>
      </c>
      <c r="N1068" s="16" t="str">
        <f>IF(M1068="","",IF(M1068&lt;0,-M1068&amp;"_"&amp;COUNTIF(M$2:M1068,M1068),M1068&amp;"_"&amp;COUNTIF(M$2:M1068,M1068)))</f>
        <v>17023.99_1</v>
      </c>
      <c r="O1068" s="17" t="str">
        <f t="shared" si="16"/>
        <v/>
      </c>
      <c r="P1068" s="13" t="s">
        <v>2273</v>
      </c>
      <c r="Q1068" s="13" t="s">
        <v>2274</v>
      </c>
      <c r="R1068" s="13" t="s">
        <v>0</v>
      </c>
      <c r="S1068" s="13" t="s">
        <v>0</v>
      </c>
      <c r="T1068" s="13" t="s">
        <v>9</v>
      </c>
      <c r="U1068" s="13" t="s">
        <v>0</v>
      </c>
      <c r="V1068" s="13" t="s">
        <v>0</v>
      </c>
      <c r="W1068" s="13" t="s">
        <v>0</v>
      </c>
      <c r="X1068" s="13" t="s">
        <v>0</v>
      </c>
      <c r="Y1068" s="13" t="s">
        <v>10</v>
      </c>
      <c r="Z1068" s="13" t="s">
        <v>0</v>
      </c>
      <c r="AA1068" s="14"/>
      <c r="AB1068" s="13" t="s">
        <v>0</v>
      </c>
      <c r="AC1068" s="13" t="s">
        <v>0</v>
      </c>
      <c r="AD1068" s="13" t="s">
        <v>0</v>
      </c>
      <c r="AE1068" s="15">
        <v>0</v>
      </c>
    </row>
    <row r="1069" spans="1:31" ht="14.15" customHeight="1" x14ac:dyDescent="0.25">
      <c r="A1069" s="12" t="s">
        <v>0</v>
      </c>
      <c r="B1069" s="13" t="s">
        <v>1</v>
      </c>
      <c r="C1069" s="13" t="s">
        <v>334</v>
      </c>
      <c r="D1069" s="14">
        <v>44043</v>
      </c>
      <c r="E1069" s="14">
        <v>44043</v>
      </c>
      <c r="F1069" s="14">
        <v>44057</v>
      </c>
      <c r="G1069" s="13" t="s">
        <v>3</v>
      </c>
      <c r="H1069" s="13" t="s">
        <v>4</v>
      </c>
      <c r="I1069" s="15">
        <v>-16992.38</v>
      </c>
      <c r="J1069" s="13" t="s">
        <v>5</v>
      </c>
      <c r="K1069" s="13" t="s">
        <v>6</v>
      </c>
      <c r="L1069" s="15">
        <v>-1426510.3</v>
      </c>
      <c r="M1069" s="15">
        <v>-16992.38</v>
      </c>
      <c r="N1069" s="16" t="str">
        <f>IF(M1069="","",IF(M1069&lt;0,-M1069&amp;"_"&amp;COUNTIF(M$2:M1069,M1069),M1069&amp;"_"&amp;COUNTIF(M$2:M1069,M1069)))</f>
        <v>16992.38_1</v>
      </c>
      <c r="O1069" s="17" t="str">
        <f t="shared" si="16"/>
        <v/>
      </c>
      <c r="P1069" s="13" t="s">
        <v>335</v>
      </c>
      <c r="Q1069" s="13" t="s">
        <v>316</v>
      </c>
      <c r="R1069" s="13" t="s">
        <v>0</v>
      </c>
      <c r="S1069" s="13" t="s">
        <v>0</v>
      </c>
      <c r="T1069" s="13" t="s">
        <v>9</v>
      </c>
      <c r="U1069" s="13" t="s">
        <v>0</v>
      </c>
      <c r="V1069" s="13" t="s">
        <v>0</v>
      </c>
      <c r="W1069" s="13" t="s">
        <v>0</v>
      </c>
      <c r="X1069" s="13" t="s">
        <v>0</v>
      </c>
      <c r="Y1069" s="13" t="s">
        <v>10</v>
      </c>
      <c r="Z1069" s="13" t="s">
        <v>0</v>
      </c>
      <c r="AA1069" s="14"/>
      <c r="AB1069" s="13" t="s">
        <v>0</v>
      </c>
      <c r="AC1069" s="13" t="s">
        <v>0</v>
      </c>
      <c r="AD1069" s="13" t="s">
        <v>0</v>
      </c>
      <c r="AE1069" s="15">
        <v>0</v>
      </c>
    </row>
    <row r="1070" spans="1:31" ht="14.15" customHeight="1" x14ac:dyDescent="0.25">
      <c r="A1070" s="12" t="s">
        <v>0</v>
      </c>
      <c r="B1070" s="13" t="s">
        <v>1</v>
      </c>
      <c r="C1070" s="13" t="s">
        <v>1353</v>
      </c>
      <c r="D1070" s="14">
        <v>44150</v>
      </c>
      <c r="E1070" s="14">
        <v>44150</v>
      </c>
      <c r="F1070" s="14">
        <v>44159</v>
      </c>
      <c r="G1070" s="13" t="s">
        <v>3</v>
      </c>
      <c r="H1070" s="13" t="s">
        <v>4</v>
      </c>
      <c r="I1070" s="15">
        <v>-16971.29</v>
      </c>
      <c r="J1070" s="13" t="s">
        <v>5</v>
      </c>
      <c r="K1070" s="13" t="s">
        <v>6</v>
      </c>
      <c r="L1070" s="15">
        <v>-1424739.8</v>
      </c>
      <c r="M1070" s="15">
        <v>-16971.29</v>
      </c>
      <c r="N1070" s="16" t="str">
        <f>IF(M1070="","",IF(M1070&lt;0,-M1070&amp;"_"&amp;COUNTIF(M$2:M1070,M1070),M1070&amp;"_"&amp;COUNTIF(M$2:M1070,M1070)))</f>
        <v>16971.29_1</v>
      </c>
      <c r="O1070" s="17" t="str">
        <f t="shared" si="16"/>
        <v/>
      </c>
      <c r="P1070" s="13" t="s">
        <v>1354</v>
      </c>
      <c r="Q1070" s="13" t="s">
        <v>1338</v>
      </c>
      <c r="R1070" s="13" t="s">
        <v>0</v>
      </c>
      <c r="S1070" s="13" t="s">
        <v>0</v>
      </c>
      <c r="T1070" s="13" t="s">
        <v>9</v>
      </c>
      <c r="U1070" s="13" t="s">
        <v>0</v>
      </c>
      <c r="V1070" s="13" t="s">
        <v>0</v>
      </c>
      <c r="W1070" s="13" t="s">
        <v>0</v>
      </c>
      <c r="X1070" s="13" t="s">
        <v>0</v>
      </c>
      <c r="Y1070" s="13" t="s">
        <v>10</v>
      </c>
      <c r="Z1070" s="13" t="s">
        <v>0</v>
      </c>
      <c r="AA1070" s="14"/>
      <c r="AB1070" s="13" t="s">
        <v>0</v>
      </c>
      <c r="AC1070" s="13" t="s">
        <v>0</v>
      </c>
      <c r="AD1070" s="13" t="s">
        <v>0</v>
      </c>
      <c r="AE1070" s="15">
        <v>0</v>
      </c>
    </row>
    <row r="1071" spans="1:31" ht="14.15" customHeight="1" x14ac:dyDescent="0.25">
      <c r="A1071" s="12" t="s">
        <v>0</v>
      </c>
      <c r="B1071" s="13" t="s">
        <v>1</v>
      </c>
      <c r="C1071" s="13" t="s">
        <v>769</v>
      </c>
      <c r="D1071" s="14">
        <v>44099</v>
      </c>
      <c r="E1071" s="14">
        <v>44099</v>
      </c>
      <c r="F1071" s="14">
        <v>44117</v>
      </c>
      <c r="G1071" s="13" t="s">
        <v>3</v>
      </c>
      <c r="H1071" s="13" t="s">
        <v>4</v>
      </c>
      <c r="I1071" s="15">
        <v>-16956.310000000001</v>
      </c>
      <c r="J1071" s="13" t="s">
        <v>5</v>
      </c>
      <c r="K1071" s="13" t="s">
        <v>6</v>
      </c>
      <c r="L1071" s="15">
        <v>-1423482.22</v>
      </c>
      <c r="M1071" s="15">
        <v>-16956.310000000001</v>
      </c>
      <c r="N1071" s="16" t="str">
        <f>IF(M1071="","",IF(M1071&lt;0,-M1071&amp;"_"&amp;COUNTIF(M$2:M1071,M1071),M1071&amp;"_"&amp;COUNTIF(M$2:M1071,M1071)))</f>
        <v>16956.31_1</v>
      </c>
      <c r="O1071" s="17" t="str">
        <f t="shared" si="16"/>
        <v/>
      </c>
      <c r="P1071" s="13" t="s">
        <v>770</v>
      </c>
      <c r="Q1071" s="13" t="s">
        <v>768</v>
      </c>
      <c r="R1071" s="13" t="s">
        <v>0</v>
      </c>
      <c r="S1071" s="13" t="s">
        <v>0</v>
      </c>
      <c r="T1071" s="13" t="s">
        <v>9</v>
      </c>
      <c r="U1071" s="13" t="s">
        <v>0</v>
      </c>
      <c r="V1071" s="13" t="s">
        <v>0</v>
      </c>
      <c r="W1071" s="13" t="s">
        <v>0</v>
      </c>
      <c r="X1071" s="13" t="s">
        <v>0</v>
      </c>
      <c r="Y1071" s="13" t="s">
        <v>10</v>
      </c>
      <c r="Z1071" s="13" t="s">
        <v>0</v>
      </c>
      <c r="AA1071" s="14"/>
      <c r="AB1071" s="13" t="s">
        <v>0</v>
      </c>
      <c r="AC1071" s="13" t="s">
        <v>0</v>
      </c>
      <c r="AD1071" s="13" t="s">
        <v>0</v>
      </c>
      <c r="AE1071" s="15">
        <v>0</v>
      </c>
    </row>
    <row r="1072" spans="1:31" ht="14.15" customHeight="1" x14ac:dyDescent="0.25">
      <c r="A1072" s="12" t="s">
        <v>0</v>
      </c>
      <c r="B1072" s="13" t="s">
        <v>1</v>
      </c>
      <c r="C1072" s="13" t="s">
        <v>3867</v>
      </c>
      <c r="D1072" s="14">
        <v>44351</v>
      </c>
      <c r="E1072" s="14">
        <v>44351</v>
      </c>
      <c r="F1072" s="14">
        <v>44364</v>
      </c>
      <c r="G1072" s="13" t="s">
        <v>3</v>
      </c>
      <c r="H1072" s="13" t="s">
        <v>4</v>
      </c>
      <c r="I1072" s="15">
        <v>-16947.689999999999</v>
      </c>
      <c r="J1072" s="13" t="s">
        <v>5</v>
      </c>
      <c r="K1072" s="13" t="s">
        <v>6</v>
      </c>
      <c r="L1072" s="15">
        <v>-1422758.58</v>
      </c>
      <c r="M1072" s="15">
        <v>-16947.689999999999</v>
      </c>
      <c r="N1072" s="16" t="str">
        <f>IF(M1072="","",IF(M1072&lt;0,-M1072&amp;"_"&amp;COUNTIF(M$2:M1072,M1072),M1072&amp;"_"&amp;COUNTIF(M$2:M1072,M1072)))</f>
        <v>16947.69_1</v>
      </c>
      <c r="O1072" s="17" t="str">
        <f t="shared" si="16"/>
        <v/>
      </c>
      <c r="P1072" s="13" t="s">
        <v>3868</v>
      </c>
      <c r="Q1072" s="13" t="s">
        <v>3857</v>
      </c>
      <c r="R1072" s="13" t="s">
        <v>0</v>
      </c>
      <c r="S1072" s="13" t="s">
        <v>0</v>
      </c>
      <c r="T1072" s="13" t="s">
        <v>9</v>
      </c>
      <c r="U1072" s="13" t="s">
        <v>0</v>
      </c>
      <c r="V1072" s="13" t="s">
        <v>0</v>
      </c>
      <c r="W1072" s="13" t="s">
        <v>0</v>
      </c>
      <c r="X1072" s="13" t="s">
        <v>0</v>
      </c>
      <c r="Y1072" s="13" t="s">
        <v>10</v>
      </c>
      <c r="Z1072" s="13" t="s">
        <v>0</v>
      </c>
      <c r="AA1072" s="14"/>
      <c r="AB1072" s="13" t="s">
        <v>0</v>
      </c>
      <c r="AC1072" s="13" t="s">
        <v>0</v>
      </c>
      <c r="AD1072" s="13" t="s">
        <v>0</v>
      </c>
      <c r="AE1072" s="15">
        <v>0</v>
      </c>
    </row>
    <row r="1073" spans="1:31" ht="14.15" customHeight="1" x14ac:dyDescent="0.25">
      <c r="A1073" s="12" t="s">
        <v>0</v>
      </c>
      <c r="B1073" s="13" t="s">
        <v>1</v>
      </c>
      <c r="C1073" s="13" t="s">
        <v>620</v>
      </c>
      <c r="D1073" s="14">
        <v>44082</v>
      </c>
      <c r="E1073" s="14">
        <v>44082</v>
      </c>
      <c r="F1073" s="14">
        <v>44104</v>
      </c>
      <c r="G1073" s="13" t="s">
        <v>3</v>
      </c>
      <c r="H1073" s="13" t="s">
        <v>4</v>
      </c>
      <c r="I1073" s="15">
        <v>-16928.759999999998</v>
      </c>
      <c r="J1073" s="13" t="s">
        <v>5</v>
      </c>
      <c r="K1073" s="13" t="s">
        <v>6</v>
      </c>
      <c r="L1073" s="15">
        <v>-1421169.4</v>
      </c>
      <c r="M1073" s="15">
        <v>-16928.759999999998</v>
      </c>
      <c r="N1073" s="16" t="str">
        <f>IF(M1073="","",IF(M1073&lt;0,-M1073&amp;"_"&amp;COUNTIF(M$2:M1073,M1073),M1073&amp;"_"&amp;COUNTIF(M$2:M1073,M1073)))</f>
        <v>16928.76_1</v>
      </c>
      <c r="O1073" s="17" t="str">
        <f t="shared" si="16"/>
        <v/>
      </c>
      <c r="P1073" s="13" t="s">
        <v>621</v>
      </c>
      <c r="Q1073" s="13" t="s">
        <v>603</v>
      </c>
      <c r="R1073" s="13" t="s">
        <v>0</v>
      </c>
      <c r="S1073" s="13" t="s">
        <v>0</v>
      </c>
      <c r="T1073" s="13" t="s">
        <v>9</v>
      </c>
      <c r="U1073" s="13" t="s">
        <v>0</v>
      </c>
      <c r="V1073" s="13" t="s">
        <v>0</v>
      </c>
      <c r="W1073" s="13" t="s">
        <v>0</v>
      </c>
      <c r="X1073" s="13" t="s">
        <v>0</v>
      </c>
      <c r="Y1073" s="13" t="s">
        <v>10</v>
      </c>
      <c r="Z1073" s="13" t="s">
        <v>0</v>
      </c>
      <c r="AA1073" s="14"/>
      <c r="AB1073" s="13" t="s">
        <v>0</v>
      </c>
      <c r="AC1073" s="13" t="s">
        <v>0</v>
      </c>
      <c r="AD1073" s="13" t="s">
        <v>0</v>
      </c>
      <c r="AE1073" s="15">
        <v>0</v>
      </c>
    </row>
    <row r="1074" spans="1:31" ht="14.15" customHeight="1" x14ac:dyDescent="0.25">
      <c r="A1074" s="12" t="s">
        <v>0</v>
      </c>
      <c r="B1074" s="13" t="s">
        <v>1</v>
      </c>
      <c r="C1074" s="13" t="s">
        <v>257</v>
      </c>
      <c r="D1074" s="14">
        <v>44041</v>
      </c>
      <c r="E1074" s="14">
        <v>44041</v>
      </c>
      <c r="F1074" s="14">
        <v>44053</v>
      </c>
      <c r="G1074" s="13" t="s">
        <v>3</v>
      </c>
      <c r="H1074" s="13" t="s">
        <v>4</v>
      </c>
      <c r="I1074" s="15">
        <v>-16921.87</v>
      </c>
      <c r="J1074" s="13" t="s">
        <v>5</v>
      </c>
      <c r="K1074" s="13" t="s">
        <v>6</v>
      </c>
      <c r="L1074" s="15">
        <v>-1420590.98</v>
      </c>
      <c r="M1074" s="15">
        <v>-16921.87</v>
      </c>
      <c r="N1074" s="16" t="str">
        <f>IF(M1074="","",IF(M1074&lt;0,-M1074&amp;"_"&amp;COUNTIF(M$2:M1074,M1074),M1074&amp;"_"&amp;COUNTIF(M$2:M1074,M1074)))</f>
        <v>16921.87_1</v>
      </c>
      <c r="O1074" s="17" t="str">
        <f t="shared" si="16"/>
        <v/>
      </c>
      <c r="P1074" s="13" t="s">
        <v>258</v>
      </c>
      <c r="Q1074" s="13" t="s">
        <v>250</v>
      </c>
      <c r="R1074" s="13" t="s">
        <v>0</v>
      </c>
      <c r="S1074" s="13" t="s">
        <v>0</v>
      </c>
      <c r="T1074" s="13" t="s">
        <v>9</v>
      </c>
      <c r="U1074" s="13" t="s">
        <v>0</v>
      </c>
      <c r="V1074" s="13" t="s">
        <v>0</v>
      </c>
      <c r="W1074" s="13" t="s">
        <v>0</v>
      </c>
      <c r="X1074" s="13" t="s">
        <v>0</v>
      </c>
      <c r="Y1074" s="13" t="s">
        <v>10</v>
      </c>
      <c r="Z1074" s="13" t="s">
        <v>0</v>
      </c>
      <c r="AA1074" s="14"/>
      <c r="AB1074" s="13" t="s">
        <v>0</v>
      </c>
      <c r="AC1074" s="13" t="s">
        <v>0</v>
      </c>
      <c r="AD1074" s="13" t="s">
        <v>0</v>
      </c>
      <c r="AE1074" s="15">
        <v>0</v>
      </c>
    </row>
    <row r="1075" spans="1:31" ht="14.15" customHeight="1" x14ac:dyDescent="0.25">
      <c r="A1075" s="12" t="s">
        <v>0</v>
      </c>
      <c r="B1075" s="13" t="s">
        <v>1</v>
      </c>
      <c r="C1075" s="13" t="s">
        <v>2595</v>
      </c>
      <c r="D1075" s="14">
        <v>44243</v>
      </c>
      <c r="E1075" s="14">
        <v>44243</v>
      </c>
      <c r="F1075" s="14">
        <v>44252</v>
      </c>
      <c r="G1075" s="13" t="s">
        <v>3</v>
      </c>
      <c r="H1075" s="13" t="s">
        <v>4</v>
      </c>
      <c r="I1075" s="15">
        <v>-16904.509999999998</v>
      </c>
      <c r="J1075" s="13" t="s">
        <v>5</v>
      </c>
      <c r="K1075" s="13" t="s">
        <v>6</v>
      </c>
      <c r="L1075" s="15">
        <v>-1419133.61</v>
      </c>
      <c r="M1075" s="15">
        <v>-16904.509999999998</v>
      </c>
      <c r="N1075" s="16" t="str">
        <f>IF(M1075="","",IF(M1075&lt;0,-M1075&amp;"_"&amp;COUNTIF(M$2:M1075,M1075),M1075&amp;"_"&amp;COUNTIF(M$2:M1075,M1075)))</f>
        <v>16904.51_1</v>
      </c>
      <c r="O1075" s="17" t="str">
        <f t="shared" si="16"/>
        <v/>
      </c>
      <c r="P1075" s="13" t="s">
        <v>2596</v>
      </c>
      <c r="Q1075" s="13" t="s">
        <v>2574</v>
      </c>
      <c r="R1075" s="13" t="s">
        <v>0</v>
      </c>
      <c r="S1075" s="13" t="s">
        <v>0</v>
      </c>
      <c r="T1075" s="13" t="s">
        <v>9</v>
      </c>
      <c r="U1075" s="13" t="s">
        <v>0</v>
      </c>
      <c r="V1075" s="13" t="s">
        <v>0</v>
      </c>
      <c r="W1075" s="13" t="s">
        <v>0</v>
      </c>
      <c r="X1075" s="13" t="s">
        <v>0</v>
      </c>
      <c r="Y1075" s="13" t="s">
        <v>10</v>
      </c>
      <c r="Z1075" s="13" t="s">
        <v>0</v>
      </c>
      <c r="AA1075" s="14"/>
      <c r="AB1075" s="13" t="s">
        <v>0</v>
      </c>
      <c r="AC1075" s="13" t="s">
        <v>0</v>
      </c>
      <c r="AD1075" s="13" t="s">
        <v>0</v>
      </c>
      <c r="AE1075" s="15">
        <v>0</v>
      </c>
    </row>
    <row r="1076" spans="1:31" ht="14.15" customHeight="1" x14ac:dyDescent="0.25">
      <c r="A1076" s="12" t="s">
        <v>0</v>
      </c>
      <c r="B1076" s="13" t="s">
        <v>1</v>
      </c>
      <c r="C1076" s="13" t="s">
        <v>2166</v>
      </c>
      <c r="D1076" s="14">
        <v>44209</v>
      </c>
      <c r="E1076" s="14">
        <v>44209</v>
      </c>
      <c r="F1076" s="14">
        <v>44219</v>
      </c>
      <c r="G1076" s="13" t="s">
        <v>3</v>
      </c>
      <c r="H1076" s="13" t="s">
        <v>4</v>
      </c>
      <c r="I1076" s="15">
        <v>-16901.97</v>
      </c>
      <c r="J1076" s="13" t="s">
        <v>5</v>
      </c>
      <c r="K1076" s="13" t="s">
        <v>6</v>
      </c>
      <c r="L1076" s="15">
        <v>-1418920.38</v>
      </c>
      <c r="M1076" s="15">
        <v>-16901.97</v>
      </c>
      <c r="N1076" s="16" t="str">
        <f>IF(M1076="","",IF(M1076&lt;0,-M1076&amp;"_"&amp;COUNTIF(M$2:M1076,M1076),M1076&amp;"_"&amp;COUNTIF(M$2:M1076,M1076)))</f>
        <v>16901.97_1</v>
      </c>
      <c r="O1076" s="17" t="str">
        <f t="shared" si="16"/>
        <v/>
      </c>
      <c r="P1076" s="13" t="s">
        <v>2167</v>
      </c>
      <c r="Q1076" s="13" t="s">
        <v>2159</v>
      </c>
      <c r="R1076" s="13" t="s">
        <v>0</v>
      </c>
      <c r="S1076" s="13" t="s">
        <v>0</v>
      </c>
      <c r="T1076" s="13" t="s">
        <v>9</v>
      </c>
      <c r="U1076" s="13" t="s">
        <v>0</v>
      </c>
      <c r="V1076" s="13" t="s">
        <v>0</v>
      </c>
      <c r="W1076" s="13" t="s">
        <v>0</v>
      </c>
      <c r="X1076" s="13" t="s">
        <v>0</v>
      </c>
      <c r="Y1076" s="13" t="s">
        <v>10</v>
      </c>
      <c r="Z1076" s="13" t="s">
        <v>0</v>
      </c>
      <c r="AA1076" s="14"/>
      <c r="AB1076" s="13" t="s">
        <v>0</v>
      </c>
      <c r="AC1076" s="13" t="s">
        <v>0</v>
      </c>
      <c r="AD1076" s="13" t="s">
        <v>0</v>
      </c>
      <c r="AE1076" s="15">
        <v>0</v>
      </c>
    </row>
    <row r="1077" spans="1:31" ht="14.15" customHeight="1" x14ac:dyDescent="0.25">
      <c r="A1077" s="12" t="s">
        <v>0</v>
      </c>
      <c r="B1077" s="13" t="s">
        <v>1</v>
      </c>
      <c r="C1077" s="13" t="s">
        <v>694</v>
      </c>
      <c r="D1077" s="14">
        <v>44090</v>
      </c>
      <c r="E1077" s="14">
        <v>44090</v>
      </c>
      <c r="F1077" s="14">
        <v>44096</v>
      </c>
      <c r="G1077" s="13" t="s">
        <v>3</v>
      </c>
      <c r="H1077" s="13" t="s">
        <v>4</v>
      </c>
      <c r="I1077" s="15">
        <v>-16896.34</v>
      </c>
      <c r="J1077" s="13" t="s">
        <v>5</v>
      </c>
      <c r="K1077" s="13" t="s">
        <v>6</v>
      </c>
      <c r="L1077" s="15">
        <v>-1418447.74</v>
      </c>
      <c r="M1077" s="15">
        <v>-16896.34</v>
      </c>
      <c r="N1077" s="16" t="str">
        <f>IF(M1077="","",IF(M1077&lt;0,-M1077&amp;"_"&amp;COUNTIF(M$2:M1077,M1077),M1077&amp;"_"&amp;COUNTIF(M$2:M1077,M1077)))</f>
        <v>16896.34_1</v>
      </c>
      <c r="O1077" s="17" t="str">
        <f t="shared" si="16"/>
        <v/>
      </c>
      <c r="P1077" s="13" t="s">
        <v>695</v>
      </c>
      <c r="Q1077" s="13" t="s">
        <v>687</v>
      </c>
      <c r="R1077" s="13" t="s">
        <v>0</v>
      </c>
      <c r="S1077" s="13" t="s">
        <v>0</v>
      </c>
      <c r="T1077" s="13" t="s">
        <v>9</v>
      </c>
      <c r="U1077" s="13" t="s">
        <v>0</v>
      </c>
      <c r="V1077" s="13" t="s">
        <v>0</v>
      </c>
      <c r="W1077" s="13" t="s">
        <v>0</v>
      </c>
      <c r="X1077" s="13" t="s">
        <v>0</v>
      </c>
      <c r="Y1077" s="13" t="s">
        <v>10</v>
      </c>
      <c r="Z1077" s="13" t="s">
        <v>0</v>
      </c>
      <c r="AA1077" s="14"/>
      <c r="AB1077" s="13" t="s">
        <v>0</v>
      </c>
      <c r="AC1077" s="13" t="s">
        <v>0</v>
      </c>
      <c r="AD1077" s="13" t="s">
        <v>0</v>
      </c>
      <c r="AE1077" s="15">
        <v>0</v>
      </c>
    </row>
    <row r="1078" spans="1:31" ht="14.15" customHeight="1" x14ac:dyDescent="0.25">
      <c r="A1078" s="12" t="s">
        <v>0</v>
      </c>
      <c r="B1078" s="13" t="s">
        <v>1</v>
      </c>
      <c r="C1078" s="13" t="s">
        <v>3758</v>
      </c>
      <c r="D1078" s="14">
        <v>44340</v>
      </c>
      <c r="E1078" s="14">
        <v>44340</v>
      </c>
      <c r="F1078" s="14">
        <v>44345</v>
      </c>
      <c r="G1078" s="13" t="s">
        <v>3</v>
      </c>
      <c r="H1078" s="13" t="s">
        <v>4</v>
      </c>
      <c r="I1078" s="15">
        <v>-16866.37</v>
      </c>
      <c r="J1078" s="13" t="s">
        <v>5</v>
      </c>
      <c r="K1078" s="13" t="s">
        <v>6</v>
      </c>
      <c r="L1078" s="15">
        <v>-1415931.76</v>
      </c>
      <c r="M1078" s="15">
        <v>-16866.37</v>
      </c>
      <c r="N1078" s="16" t="str">
        <f>IF(M1078="","",IF(M1078&lt;0,-M1078&amp;"_"&amp;COUNTIF(M$2:M1078,M1078),M1078&amp;"_"&amp;COUNTIF(M$2:M1078,M1078)))</f>
        <v>16866.37_1</v>
      </c>
      <c r="O1078" s="17" t="str">
        <f t="shared" si="16"/>
        <v/>
      </c>
      <c r="P1078" s="13" t="s">
        <v>3759</v>
      </c>
      <c r="Q1078" s="13" t="s">
        <v>3753</v>
      </c>
      <c r="R1078" s="13" t="s">
        <v>0</v>
      </c>
      <c r="S1078" s="13" t="s">
        <v>0</v>
      </c>
      <c r="T1078" s="13" t="s">
        <v>9</v>
      </c>
      <c r="U1078" s="13" t="s">
        <v>0</v>
      </c>
      <c r="V1078" s="13" t="s">
        <v>0</v>
      </c>
      <c r="W1078" s="13" t="s">
        <v>0</v>
      </c>
      <c r="X1078" s="13" t="s">
        <v>0</v>
      </c>
      <c r="Y1078" s="13" t="s">
        <v>10</v>
      </c>
      <c r="Z1078" s="13" t="s">
        <v>0</v>
      </c>
      <c r="AA1078" s="14"/>
      <c r="AB1078" s="13" t="s">
        <v>0</v>
      </c>
      <c r="AC1078" s="13" t="s">
        <v>0</v>
      </c>
      <c r="AD1078" s="13" t="s">
        <v>0</v>
      </c>
      <c r="AE1078" s="15">
        <v>0</v>
      </c>
    </row>
    <row r="1079" spans="1:31" ht="14.15" customHeight="1" x14ac:dyDescent="0.25">
      <c r="A1079" s="12" t="s">
        <v>0</v>
      </c>
      <c r="B1079" s="13" t="s">
        <v>1</v>
      </c>
      <c r="C1079" s="13" t="s">
        <v>2958</v>
      </c>
      <c r="D1079" s="14">
        <v>44277</v>
      </c>
      <c r="E1079" s="14">
        <v>44277</v>
      </c>
      <c r="F1079" s="14">
        <v>44280</v>
      </c>
      <c r="G1079" s="13" t="s">
        <v>3</v>
      </c>
      <c r="H1079" s="13" t="s">
        <v>4</v>
      </c>
      <c r="I1079" s="15">
        <v>-16830.53</v>
      </c>
      <c r="J1079" s="13" t="s">
        <v>5</v>
      </c>
      <c r="K1079" s="13" t="s">
        <v>6</v>
      </c>
      <c r="L1079" s="15">
        <v>-1412922.99</v>
      </c>
      <c r="M1079" s="15">
        <v>-16830.53</v>
      </c>
      <c r="N1079" s="16" t="str">
        <f>IF(M1079="","",IF(M1079&lt;0,-M1079&amp;"_"&amp;COUNTIF(M$2:M1079,M1079),M1079&amp;"_"&amp;COUNTIF(M$2:M1079,M1079)))</f>
        <v>16830.53_1</v>
      </c>
      <c r="O1079" s="17" t="str">
        <f t="shared" si="16"/>
        <v/>
      </c>
      <c r="P1079" s="13" t="s">
        <v>2959</v>
      </c>
      <c r="Q1079" s="13" t="s">
        <v>2955</v>
      </c>
      <c r="R1079" s="13" t="s">
        <v>0</v>
      </c>
      <c r="S1079" s="13" t="s">
        <v>0</v>
      </c>
      <c r="T1079" s="13" t="s">
        <v>9</v>
      </c>
      <c r="U1079" s="13" t="s">
        <v>0</v>
      </c>
      <c r="V1079" s="13" t="s">
        <v>0</v>
      </c>
      <c r="W1079" s="13" t="s">
        <v>0</v>
      </c>
      <c r="X1079" s="13" t="s">
        <v>0</v>
      </c>
      <c r="Y1079" s="13" t="s">
        <v>10</v>
      </c>
      <c r="Z1079" s="13" t="s">
        <v>0</v>
      </c>
      <c r="AA1079" s="14"/>
      <c r="AB1079" s="13" t="s">
        <v>0</v>
      </c>
      <c r="AC1079" s="13" t="s">
        <v>0</v>
      </c>
      <c r="AD1079" s="13" t="s">
        <v>0</v>
      </c>
      <c r="AE1079" s="15">
        <v>0</v>
      </c>
    </row>
    <row r="1080" spans="1:31" ht="14.15" customHeight="1" x14ac:dyDescent="0.25">
      <c r="A1080" s="12" t="s">
        <v>0</v>
      </c>
      <c r="B1080" s="13" t="s">
        <v>1</v>
      </c>
      <c r="C1080" s="13" t="s">
        <v>3164</v>
      </c>
      <c r="D1080" s="14">
        <v>44298</v>
      </c>
      <c r="E1080" s="14">
        <v>44298</v>
      </c>
      <c r="F1080" s="14">
        <v>44308</v>
      </c>
      <c r="G1080" s="13" t="s">
        <v>3</v>
      </c>
      <c r="H1080" s="13" t="s">
        <v>4</v>
      </c>
      <c r="I1080" s="15">
        <v>-16825.32</v>
      </c>
      <c r="J1080" s="13" t="s">
        <v>5</v>
      </c>
      <c r="K1080" s="13" t="s">
        <v>6</v>
      </c>
      <c r="L1080" s="15">
        <v>-1412485.61</v>
      </c>
      <c r="M1080" s="15">
        <v>-16825.32</v>
      </c>
      <c r="N1080" s="16" t="str">
        <f>IF(M1080="","",IF(M1080&lt;0,-M1080&amp;"_"&amp;COUNTIF(M$2:M1080,M1080),M1080&amp;"_"&amp;COUNTIF(M$2:M1080,M1080)))</f>
        <v>16825.32_1</v>
      </c>
      <c r="O1080" s="17" t="str">
        <f t="shared" si="16"/>
        <v/>
      </c>
      <c r="P1080" s="13" t="s">
        <v>3165</v>
      </c>
      <c r="Q1080" s="13" t="s">
        <v>3163</v>
      </c>
      <c r="R1080" s="13" t="s">
        <v>0</v>
      </c>
      <c r="S1080" s="13" t="s">
        <v>0</v>
      </c>
      <c r="T1080" s="13" t="s">
        <v>9</v>
      </c>
      <c r="U1080" s="13" t="s">
        <v>0</v>
      </c>
      <c r="V1080" s="13" t="s">
        <v>0</v>
      </c>
      <c r="W1080" s="13" t="s">
        <v>0</v>
      </c>
      <c r="X1080" s="13" t="s">
        <v>0</v>
      </c>
      <c r="Y1080" s="13" t="s">
        <v>10</v>
      </c>
      <c r="Z1080" s="13" t="s">
        <v>0</v>
      </c>
      <c r="AA1080" s="14"/>
      <c r="AB1080" s="13" t="s">
        <v>0</v>
      </c>
      <c r="AC1080" s="13" t="s">
        <v>0</v>
      </c>
      <c r="AD1080" s="13" t="s">
        <v>0</v>
      </c>
      <c r="AE1080" s="15">
        <v>0</v>
      </c>
    </row>
    <row r="1081" spans="1:31" ht="14.15" customHeight="1" x14ac:dyDescent="0.25">
      <c r="A1081" s="12" t="s">
        <v>0</v>
      </c>
      <c r="B1081" s="13" t="s">
        <v>1</v>
      </c>
      <c r="C1081" s="13" t="s">
        <v>3173</v>
      </c>
      <c r="D1081" s="14">
        <v>44299</v>
      </c>
      <c r="E1081" s="14">
        <v>44299</v>
      </c>
      <c r="F1081" s="14">
        <v>44308</v>
      </c>
      <c r="G1081" s="13" t="s">
        <v>3</v>
      </c>
      <c r="H1081" s="13" t="s">
        <v>4</v>
      </c>
      <c r="I1081" s="15">
        <v>-16825.32</v>
      </c>
      <c r="J1081" s="13" t="s">
        <v>5</v>
      </c>
      <c r="K1081" s="13" t="s">
        <v>6</v>
      </c>
      <c r="L1081" s="15">
        <v>-1412485.61</v>
      </c>
      <c r="M1081" s="15">
        <v>-16825.32</v>
      </c>
      <c r="N1081" s="16" t="str">
        <f>IF(M1081="","",IF(M1081&lt;0,-M1081&amp;"_"&amp;COUNTIF(M$2:M1081,M1081),M1081&amp;"_"&amp;COUNTIF(M$2:M1081,M1081)))</f>
        <v>16825.32_2</v>
      </c>
      <c r="O1081" s="17" t="str">
        <f t="shared" si="16"/>
        <v/>
      </c>
      <c r="P1081" s="13" t="s">
        <v>3174</v>
      </c>
      <c r="Q1081" s="13" t="s">
        <v>3170</v>
      </c>
      <c r="R1081" s="13" t="s">
        <v>0</v>
      </c>
      <c r="S1081" s="13" t="s">
        <v>0</v>
      </c>
      <c r="T1081" s="13" t="s">
        <v>9</v>
      </c>
      <c r="U1081" s="13" t="s">
        <v>0</v>
      </c>
      <c r="V1081" s="13" t="s">
        <v>0</v>
      </c>
      <c r="W1081" s="13" t="s">
        <v>0</v>
      </c>
      <c r="X1081" s="13" t="s">
        <v>0</v>
      </c>
      <c r="Y1081" s="13" t="s">
        <v>10</v>
      </c>
      <c r="Z1081" s="13" t="s">
        <v>0</v>
      </c>
      <c r="AA1081" s="14"/>
      <c r="AB1081" s="13" t="s">
        <v>0</v>
      </c>
      <c r="AC1081" s="13" t="s">
        <v>0</v>
      </c>
      <c r="AD1081" s="13" t="s">
        <v>0</v>
      </c>
      <c r="AE1081" s="15">
        <v>0</v>
      </c>
    </row>
    <row r="1082" spans="1:31" ht="14.15" customHeight="1" x14ac:dyDescent="0.25">
      <c r="A1082" s="12" t="s">
        <v>0</v>
      </c>
      <c r="B1082" s="13" t="s">
        <v>1</v>
      </c>
      <c r="C1082" s="13" t="s">
        <v>3267</v>
      </c>
      <c r="D1082" s="14">
        <v>44311</v>
      </c>
      <c r="E1082" s="14">
        <v>44311</v>
      </c>
      <c r="F1082" s="14">
        <v>44315</v>
      </c>
      <c r="G1082" s="13" t="s">
        <v>3</v>
      </c>
      <c r="H1082" s="13" t="s">
        <v>4</v>
      </c>
      <c r="I1082" s="15">
        <v>-16792.38</v>
      </c>
      <c r="J1082" s="13" t="s">
        <v>5</v>
      </c>
      <c r="K1082" s="13" t="s">
        <v>6</v>
      </c>
      <c r="L1082" s="15">
        <v>-1409720.3</v>
      </c>
      <c r="M1082" s="15">
        <v>-16792.38</v>
      </c>
      <c r="N1082" s="16" t="str">
        <f>IF(M1082="","",IF(M1082&lt;0,-M1082&amp;"_"&amp;COUNTIF(M$2:M1082,M1082),M1082&amp;"_"&amp;COUNTIF(M$2:M1082,M1082)))</f>
        <v>16792.38_1</v>
      </c>
      <c r="O1082" s="17" t="str">
        <f t="shared" si="16"/>
        <v/>
      </c>
      <c r="P1082" s="13" t="s">
        <v>3268</v>
      </c>
      <c r="Q1082" s="13" t="s">
        <v>3269</v>
      </c>
      <c r="R1082" s="13" t="s">
        <v>0</v>
      </c>
      <c r="S1082" s="13" t="s">
        <v>0</v>
      </c>
      <c r="T1082" s="13" t="s">
        <v>9</v>
      </c>
      <c r="U1082" s="13" t="s">
        <v>0</v>
      </c>
      <c r="V1082" s="13" t="s">
        <v>0</v>
      </c>
      <c r="W1082" s="13" t="s">
        <v>0</v>
      </c>
      <c r="X1082" s="13" t="s">
        <v>0</v>
      </c>
      <c r="Y1082" s="13" t="s">
        <v>10</v>
      </c>
      <c r="Z1082" s="13" t="s">
        <v>0</v>
      </c>
      <c r="AA1082" s="14"/>
      <c r="AB1082" s="13" t="s">
        <v>0</v>
      </c>
      <c r="AC1082" s="13" t="s">
        <v>0</v>
      </c>
      <c r="AD1082" s="13" t="s">
        <v>0</v>
      </c>
      <c r="AE1082" s="15">
        <v>0</v>
      </c>
    </row>
    <row r="1083" spans="1:31" ht="14.15" customHeight="1" x14ac:dyDescent="0.25">
      <c r="A1083" s="12" t="s">
        <v>0</v>
      </c>
      <c r="B1083" s="13" t="s">
        <v>454</v>
      </c>
      <c r="C1083" s="13" t="s">
        <v>455</v>
      </c>
      <c r="D1083" s="14">
        <v>44066</v>
      </c>
      <c r="E1083" s="14">
        <v>44066</v>
      </c>
      <c r="F1083" s="14">
        <v>44069</v>
      </c>
      <c r="G1083" s="13" t="s">
        <v>3</v>
      </c>
      <c r="H1083" s="13" t="s">
        <v>4</v>
      </c>
      <c r="I1083" s="15">
        <v>-16769.04</v>
      </c>
      <c r="J1083" s="13" t="s">
        <v>5</v>
      </c>
      <c r="K1083" s="13" t="s">
        <v>6</v>
      </c>
      <c r="L1083" s="15">
        <v>-1407760.91</v>
      </c>
      <c r="M1083" s="15">
        <v>-16769.04</v>
      </c>
      <c r="N1083" s="16" t="str">
        <f>IF(M1083="","",IF(M1083&lt;0,-M1083&amp;"_"&amp;COUNTIF(M$2:M1083,M1083),M1083&amp;"_"&amp;COUNTIF(M$2:M1083,M1083)))</f>
        <v>16769.04_1</v>
      </c>
      <c r="O1083" s="17" t="str">
        <f t="shared" si="16"/>
        <v/>
      </c>
      <c r="P1083" s="13" t="s">
        <v>456</v>
      </c>
      <c r="Q1083" s="13" t="s">
        <v>445</v>
      </c>
      <c r="R1083" s="13" t="s">
        <v>0</v>
      </c>
      <c r="S1083" s="13" t="s">
        <v>0</v>
      </c>
      <c r="T1083" s="13" t="s">
        <v>9</v>
      </c>
      <c r="U1083" s="13" t="s">
        <v>0</v>
      </c>
      <c r="V1083" s="13" t="s">
        <v>0</v>
      </c>
      <c r="W1083" s="13" t="s">
        <v>0</v>
      </c>
      <c r="X1083" s="13" t="s">
        <v>0</v>
      </c>
      <c r="Y1083" s="13" t="s">
        <v>10</v>
      </c>
      <c r="Z1083" s="13" t="s">
        <v>0</v>
      </c>
      <c r="AA1083" s="14"/>
      <c r="AB1083" s="13" t="s">
        <v>0</v>
      </c>
      <c r="AC1083" s="13" t="s">
        <v>0</v>
      </c>
      <c r="AD1083" s="13" t="s">
        <v>0</v>
      </c>
      <c r="AE1083" s="15">
        <v>0</v>
      </c>
    </row>
    <row r="1084" spans="1:31" ht="14.15" customHeight="1" x14ac:dyDescent="0.25">
      <c r="A1084" s="12" t="s">
        <v>0</v>
      </c>
      <c r="B1084" s="13" t="s">
        <v>1</v>
      </c>
      <c r="C1084" s="13" t="s">
        <v>2481</v>
      </c>
      <c r="D1084" s="14">
        <v>44234</v>
      </c>
      <c r="E1084" s="14">
        <v>44234</v>
      </c>
      <c r="F1084" s="14">
        <v>44241</v>
      </c>
      <c r="G1084" s="13" t="s">
        <v>3</v>
      </c>
      <c r="H1084" s="13" t="s">
        <v>4</v>
      </c>
      <c r="I1084" s="15">
        <v>-16763</v>
      </c>
      <c r="J1084" s="13" t="s">
        <v>5</v>
      </c>
      <c r="K1084" s="13" t="s">
        <v>6</v>
      </c>
      <c r="L1084" s="15">
        <v>-1407253.85</v>
      </c>
      <c r="M1084" s="15">
        <v>-16763</v>
      </c>
      <c r="N1084" s="16" t="str">
        <f>IF(M1084="","",IF(M1084&lt;0,-M1084&amp;"_"&amp;COUNTIF(M$2:M1084,M1084),M1084&amp;"_"&amp;COUNTIF(M$2:M1084,M1084)))</f>
        <v>16763_1</v>
      </c>
      <c r="O1084" s="17" t="str">
        <f t="shared" si="16"/>
        <v/>
      </c>
      <c r="P1084" s="13" t="s">
        <v>2482</v>
      </c>
      <c r="Q1084" s="13" t="s">
        <v>2462</v>
      </c>
      <c r="R1084" s="13" t="s">
        <v>0</v>
      </c>
      <c r="S1084" s="13" t="s">
        <v>0</v>
      </c>
      <c r="T1084" s="13" t="s">
        <v>9</v>
      </c>
      <c r="U1084" s="13" t="s">
        <v>0</v>
      </c>
      <c r="V1084" s="13" t="s">
        <v>0</v>
      </c>
      <c r="W1084" s="13" t="s">
        <v>0</v>
      </c>
      <c r="X1084" s="13" t="s">
        <v>0</v>
      </c>
      <c r="Y1084" s="13" t="s">
        <v>10</v>
      </c>
      <c r="Z1084" s="13" t="s">
        <v>0</v>
      </c>
      <c r="AA1084" s="14"/>
      <c r="AB1084" s="13" t="s">
        <v>0</v>
      </c>
      <c r="AC1084" s="13" t="s">
        <v>0</v>
      </c>
      <c r="AD1084" s="13" t="s">
        <v>0</v>
      </c>
      <c r="AE1084" s="15">
        <v>0</v>
      </c>
    </row>
    <row r="1085" spans="1:31" ht="14.15" customHeight="1" x14ac:dyDescent="0.25">
      <c r="A1085" s="12" t="s">
        <v>0</v>
      </c>
      <c r="B1085" s="13" t="s">
        <v>1</v>
      </c>
      <c r="C1085" s="13" t="s">
        <v>3588</v>
      </c>
      <c r="D1085" s="14">
        <v>44328</v>
      </c>
      <c r="E1085" s="14">
        <v>44328</v>
      </c>
      <c r="F1085" s="14">
        <v>44336</v>
      </c>
      <c r="G1085" s="13" t="s">
        <v>3</v>
      </c>
      <c r="H1085" s="13" t="s">
        <v>4</v>
      </c>
      <c r="I1085" s="15">
        <v>-16759.900000000001</v>
      </c>
      <c r="J1085" s="13" t="s">
        <v>5</v>
      </c>
      <c r="K1085" s="13" t="s">
        <v>6</v>
      </c>
      <c r="L1085" s="15">
        <v>-1406993.61</v>
      </c>
      <c r="M1085" s="15">
        <v>-16759.900000000001</v>
      </c>
      <c r="N1085" s="16" t="str">
        <f>IF(M1085="","",IF(M1085&lt;0,-M1085&amp;"_"&amp;COUNTIF(M$2:M1085,M1085),M1085&amp;"_"&amp;COUNTIF(M$2:M1085,M1085)))</f>
        <v>16759.9_1</v>
      </c>
      <c r="O1085" s="17" t="str">
        <f t="shared" si="16"/>
        <v/>
      </c>
      <c r="P1085" s="13" t="s">
        <v>3589</v>
      </c>
      <c r="Q1085" s="13" t="s">
        <v>3590</v>
      </c>
      <c r="R1085" s="13" t="s">
        <v>0</v>
      </c>
      <c r="S1085" s="13" t="s">
        <v>0</v>
      </c>
      <c r="T1085" s="13" t="s">
        <v>9</v>
      </c>
      <c r="U1085" s="13" t="s">
        <v>0</v>
      </c>
      <c r="V1085" s="13" t="s">
        <v>0</v>
      </c>
      <c r="W1085" s="13" t="s">
        <v>0</v>
      </c>
      <c r="X1085" s="13" t="s">
        <v>0</v>
      </c>
      <c r="Y1085" s="13" t="s">
        <v>10</v>
      </c>
      <c r="Z1085" s="13" t="s">
        <v>0</v>
      </c>
      <c r="AA1085" s="14"/>
      <c r="AB1085" s="13" t="s">
        <v>0</v>
      </c>
      <c r="AC1085" s="13" t="s">
        <v>0</v>
      </c>
      <c r="AD1085" s="13" t="s">
        <v>0</v>
      </c>
      <c r="AE1085" s="15">
        <v>0</v>
      </c>
    </row>
    <row r="1086" spans="1:31" ht="14.15" customHeight="1" x14ac:dyDescent="0.25">
      <c r="A1086" s="12" t="s">
        <v>0</v>
      </c>
      <c r="B1086" s="13" t="s">
        <v>1</v>
      </c>
      <c r="C1086" s="13" t="s">
        <v>4207</v>
      </c>
      <c r="D1086" s="14">
        <v>44365</v>
      </c>
      <c r="E1086" s="14">
        <v>44365</v>
      </c>
      <c r="F1086" s="14">
        <v>44368</v>
      </c>
      <c r="G1086" s="13" t="s">
        <v>3</v>
      </c>
      <c r="H1086" s="13" t="s">
        <v>4</v>
      </c>
      <c r="I1086" s="15">
        <v>-16703.759999999998</v>
      </c>
      <c r="J1086" s="13" t="s">
        <v>5</v>
      </c>
      <c r="K1086" s="13" t="s">
        <v>6</v>
      </c>
      <c r="L1086" s="15">
        <v>-1402280.65</v>
      </c>
      <c r="M1086" s="15">
        <v>-16703.759999999998</v>
      </c>
      <c r="N1086" s="16" t="str">
        <f>IF(M1086="","",IF(M1086&lt;0,-M1086&amp;"_"&amp;COUNTIF(M$2:M1086,M1086),M1086&amp;"_"&amp;COUNTIF(M$2:M1086,M1086)))</f>
        <v>16703.76_1</v>
      </c>
      <c r="O1086" s="17" t="str">
        <f t="shared" si="16"/>
        <v/>
      </c>
      <c r="P1086" s="13" t="s">
        <v>4208</v>
      </c>
      <c r="Q1086" s="13" t="s">
        <v>4209</v>
      </c>
      <c r="R1086" s="13" t="s">
        <v>0</v>
      </c>
      <c r="S1086" s="13" t="s">
        <v>0</v>
      </c>
      <c r="T1086" s="13" t="s">
        <v>9</v>
      </c>
      <c r="U1086" s="13" t="s">
        <v>0</v>
      </c>
      <c r="V1086" s="13" t="s">
        <v>0</v>
      </c>
      <c r="W1086" s="13" t="s">
        <v>0</v>
      </c>
      <c r="X1086" s="13" t="s">
        <v>0</v>
      </c>
      <c r="Y1086" s="13" t="s">
        <v>10</v>
      </c>
      <c r="Z1086" s="13" t="s">
        <v>0</v>
      </c>
      <c r="AA1086" s="14"/>
      <c r="AB1086" s="13" t="s">
        <v>0</v>
      </c>
      <c r="AC1086" s="13" t="s">
        <v>0</v>
      </c>
      <c r="AD1086" s="13" t="s">
        <v>0</v>
      </c>
      <c r="AE1086" s="15">
        <v>0</v>
      </c>
    </row>
    <row r="1087" spans="1:31" ht="14.15" customHeight="1" x14ac:dyDescent="0.25">
      <c r="A1087" s="12" t="s">
        <v>0</v>
      </c>
      <c r="B1087" s="13" t="s">
        <v>1</v>
      </c>
      <c r="C1087" s="13" t="s">
        <v>3287</v>
      </c>
      <c r="D1087" s="14">
        <v>44314</v>
      </c>
      <c r="E1087" s="14">
        <v>44314</v>
      </c>
      <c r="F1087" s="14">
        <v>44319</v>
      </c>
      <c r="G1087" s="13" t="s">
        <v>3</v>
      </c>
      <c r="H1087" s="13" t="s">
        <v>4</v>
      </c>
      <c r="I1087" s="15">
        <v>-16649.759999999998</v>
      </c>
      <c r="J1087" s="13" t="s">
        <v>5</v>
      </c>
      <c r="K1087" s="13" t="s">
        <v>6</v>
      </c>
      <c r="L1087" s="15">
        <v>-1397747.35</v>
      </c>
      <c r="M1087" s="15">
        <v>-16649.759999999998</v>
      </c>
      <c r="N1087" s="16" t="str">
        <f>IF(M1087="","",IF(M1087&lt;0,-M1087&amp;"_"&amp;COUNTIF(M$2:M1087,M1087),M1087&amp;"_"&amp;COUNTIF(M$2:M1087,M1087)))</f>
        <v>16649.76_1</v>
      </c>
      <c r="O1087" s="17" t="str">
        <f t="shared" si="16"/>
        <v/>
      </c>
      <c r="P1087" s="13" t="s">
        <v>3288</v>
      </c>
      <c r="Q1087" s="13" t="s">
        <v>3284</v>
      </c>
      <c r="R1087" s="13" t="s">
        <v>0</v>
      </c>
      <c r="S1087" s="13" t="s">
        <v>0</v>
      </c>
      <c r="T1087" s="13" t="s">
        <v>9</v>
      </c>
      <c r="U1087" s="13" t="s">
        <v>0</v>
      </c>
      <c r="V1087" s="13" t="s">
        <v>0</v>
      </c>
      <c r="W1087" s="13" t="s">
        <v>0</v>
      </c>
      <c r="X1087" s="13" t="s">
        <v>0</v>
      </c>
      <c r="Y1087" s="13" t="s">
        <v>10</v>
      </c>
      <c r="Z1087" s="13" t="s">
        <v>0</v>
      </c>
      <c r="AA1087" s="14"/>
      <c r="AB1087" s="13" t="s">
        <v>0</v>
      </c>
      <c r="AC1087" s="13" t="s">
        <v>0</v>
      </c>
      <c r="AD1087" s="13" t="s">
        <v>0</v>
      </c>
      <c r="AE1087" s="15">
        <v>0</v>
      </c>
    </row>
    <row r="1088" spans="1:31" ht="14.15" customHeight="1" x14ac:dyDescent="0.25">
      <c r="A1088" s="12" t="s">
        <v>0</v>
      </c>
      <c r="B1088" s="13" t="s">
        <v>1</v>
      </c>
      <c r="C1088" s="13" t="s">
        <v>1947</v>
      </c>
      <c r="D1088" s="14">
        <v>44194</v>
      </c>
      <c r="E1088" s="14">
        <v>44194</v>
      </c>
      <c r="F1088" s="14">
        <v>44199</v>
      </c>
      <c r="G1088" s="13" t="s">
        <v>3</v>
      </c>
      <c r="H1088" s="13" t="s">
        <v>4</v>
      </c>
      <c r="I1088" s="15">
        <v>-16622.32</v>
      </c>
      <c r="J1088" s="13" t="s">
        <v>5</v>
      </c>
      <c r="K1088" s="13" t="s">
        <v>6</v>
      </c>
      <c r="L1088" s="15">
        <v>-1395443.77</v>
      </c>
      <c r="M1088" s="15">
        <v>-16622.32</v>
      </c>
      <c r="N1088" s="16" t="str">
        <f>IF(M1088="","",IF(M1088&lt;0,-M1088&amp;"_"&amp;COUNTIF(M$2:M1088,M1088),M1088&amp;"_"&amp;COUNTIF(M$2:M1088,M1088)))</f>
        <v>16622.32_1</v>
      </c>
      <c r="O1088" s="17" t="str">
        <f t="shared" si="16"/>
        <v/>
      </c>
      <c r="P1088" s="13" t="s">
        <v>1948</v>
      </c>
      <c r="Q1088" s="13" t="s">
        <v>1949</v>
      </c>
      <c r="R1088" s="13" t="s">
        <v>0</v>
      </c>
      <c r="S1088" s="13" t="s">
        <v>0</v>
      </c>
      <c r="T1088" s="13" t="s">
        <v>9</v>
      </c>
      <c r="U1088" s="13" t="s">
        <v>0</v>
      </c>
      <c r="V1088" s="13" t="s">
        <v>0</v>
      </c>
      <c r="W1088" s="13" t="s">
        <v>0</v>
      </c>
      <c r="X1088" s="13" t="s">
        <v>0</v>
      </c>
      <c r="Y1088" s="13" t="s">
        <v>10</v>
      </c>
      <c r="Z1088" s="13" t="s">
        <v>0</v>
      </c>
      <c r="AA1088" s="14"/>
      <c r="AB1088" s="13" t="s">
        <v>0</v>
      </c>
      <c r="AC1088" s="13" t="s">
        <v>0</v>
      </c>
      <c r="AD1088" s="13" t="s">
        <v>0</v>
      </c>
      <c r="AE1088" s="15">
        <v>0</v>
      </c>
    </row>
    <row r="1089" spans="1:31" ht="14.15" customHeight="1" x14ac:dyDescent="0.25">
      <c r="A1089" s="12" t="s">
        <v>0</v>
      </c>
      <c r="B1089" s="13" t="s">
        <v>1</v>
      </c>
      <c r="C1089" s="13" t="s">
        <v>2832</v>
      </c>
      <c r="D1089" s="14">
        <v>44269</v>
      </c>
      <c r="E1089" s="14">
        <v>44269</v>
      </c>
      <c r="F1089" s="14">
        <v>44275</v>
      </c>
      <c r="G1089" s="13" t="s">
        <v>3</v>
      </c>
      <c r="H1089" s="13" t="s">
        <v>4</v>
      </c>
      <c r="I1089" s="15">
        <v>-16617.599999999999</v>
      </c>
      <c r="J1089" s="13" t="s">
        <v>5</v>
      </c>
      <c r="K1089" s="13" t="s">
        <v>6</v>
      </c>
      <c r="L1089" s="15">
        <v>-1395047.52</v>
      </c>
      <c r="M1089" s="15">
        <v>-16617.599999999999</v>
      </c>
      <c r="N1089" s="16" t="str">
        <f>IF(M1089="","",IF(M1089&lt;0,-M1089&amp;"_"&amp;COUNTIF(M$2:M1089,M1089),M1089&amp;"_"&amp;COUNTIF(M$2:M1089,M1089)))</f>
        <v>16617.6_1</v>
      </c>
      <c r="O1089" s="17" t="str">
        <f t="shared" si="16"/>
        <v/>
      </c>
      <c r="P1089" s="13" t="s">
        <v>2833</v>
      </c>
      <c r="Q1089" s="13" t="s">
        <v>2831</v>
      </c>
      <c r="R1089" s="13" t="s">
        <v>0</v>
      </c>
      <c r="S1089" s="13" t="s">
        <v>0</v>
      </c>
      <c r="T1089" s="13" t="s">
        <v>9</v>
      </c>
      <c r="U1089" s="13" t="s">
        <v>0</v>
      </c>
      <c r="V1089" s="13" t="s">
        <v>0</v>
      </c>
      <c r="W1089" s="13" t="s">
        <v>0</v>
      </c>
      <c r="X1089" s="13" t="s">
        <v>0</v>
      </c>
      <c r="Y1089" s="13" t="s">
        <v>10</v>
      </c>
      <c r="Z1089" s="13" t="s">
        <v>0</v>
      </c>
      <c r="AA1089" s="14"/>
      <c r="AB1089" s="13" t="s">
        <v>0</v>
      </c>
      <c r="AC1089" s="13" t="s">
        <v>0</v>
      </c>
      <c r="AD1089" s="13" t="s">
        <v>0</v>
      </c>
      <c r="AE1089" s="15">
        <v>0</v>
      </c>
    </row>
    <row r="1090" spans="1:31" ht="14.15" customHeight="1" x14ac:dyDescent="0.25">
      <c r="A1090" s="12" t="s">
        <v>0</v>
      </c>
      <c r="B1090" s="13" t="s">
        <v>1</v>
      </c>
      <c r="C1090" s="13" t="s">
        <v>3017</v>
      </c>
      <c r="D1090" s="14">
        <v>44281</v>
      </c>
      <c r="E1090" s="14">
        <v>44281</v>
      </c>
      <c r="F1090" s="14">
        <v>44287</v>
      </c>
      <c r="G1090" s="13" t="s">
        <v>3</v>
      </c>
      <c r="H1090" s="13" t="s">
        <v>4</v>
      </c>
      <c r="I1090" s="15">
        <v>-16617.599999999999</v>
      </c>
      <c r="J1090" s="13" t="s">
        <v>5</v>
      </c>
      <c r="K1090" s="13" t="s">
        <v>6</v>
      </c>
      <c r="L1090" s="15">
        <v>-1395047.52</v>
      </c>
      <c r="M1090" s="15">
        <v>-16617.599999999999</v>
      </c>
      <c r="N1090" s="16" t="str">
        <f>IF(M1090="","",IF(M1090&lt;0,-M1090&amp;"_"&amp;COUNTIF(M$2:M1090,M1090),M1090&amp;"_"&amp;COUNTIF(M$2:M1090,M1090)))</f>
        <v>16617.6_2</v>
      </c>
      <c r="O1090" s="17" t="str">
        <f t="shared" ref="O1090:O1153" si="17">IF(COUNTIF(N:N,N1090)=2,"x","")</f>
        <v/>
      </c>
      <c r="P1090" s="13" t="s">
        <v>3018</v>
      </c>
      <c r="Q1090" s="13" t="s">
        <v>3014</v>
      </c>
      <c r="R1090" s="13" t="s">
        <v>0</v>
      </c>
      <c r="S1090" s="13" t="s">
        <v>0</v>
      </c>
      <c r="T1090" s="13" t="s">
        <v>9</v>
      </c>
      <c r="U1090" s="13" t="s">
        <v>0</v>
      </c>
      <c r="V1090" s="13" t="s">
        <v>0</v>
      </c>
      <c r="W1090" s="13" t="s">
        <v>0</v>
      </c>
      <c r="X1090" s="13" t="s">
        <v>0</v>
      </c>
      <c r="Y1090" s="13" t="s">
        <v>10</v>
      </c>
      <c r="Z1090" s="13" t="s">
        <v>0</v>
      </c>
      <c r="AA1090" s="14"/>
      <c r="AB1090" s="13" t="s">
        <v>0</v>
      </c>
      <c r="AC1090" s="13" t="s">
        <v>0</v>
      </c>
      <c r="AD1090" s="13" t="s">
        <v>0</v>
      </c>
      <c r="AE1090" s="15">
        <v>0</v>
      </c>
    </row>
    <row r="1091" spans="1:31" ht="14.15" customHeight="1" x14ac:dyDescent="0.25">
      <c r="A1091" s="12" t="s">
        <v>0</v>
      </c>
      <c r="B1091" s="13" t="s">
        <v>1</v>
      </c>
      <c r="C1091" s="13" t="s">
        <v>323</v>
      </c>
      <c r="D1091" s="14">
        <v>44043</v>
      </c>
      <c r="E1091" s="14">
        <v>44043</v>
      </c>
      <c r="F1091" s="14">
        <v>44057</v>
      </c>
      <c r="G1091" s="13" t="s">
        <v>3</v>
      </c>
      <c r="H1091" s="13" t="s">
        <v>4</v>
      </c>
      <c r="I1091" s="15">
        <v>-16591.009999999998</v>
      </c>
      <c r="J1091" s="13" t="s">
        <v>5</v>
      </c>
      <c r="K1091" s="13" t="s">
        <v>6</v>
      </c>
      <c r="L1091" s="15">
        <v>-1392815.28</v>
      </c>
      <c r="M1091" s="15">
        <v>-16591.009999999998</v>
      </c>
      <c r="N1091" s="16" t="str">
        <f>IF(M1091="","",IF(M1091&lt;0,-M1091&amp;"_"&amp;COUNTIF(M$2:M1091,M1091),M1091&amp;"_"&amp;COUNTIF(M$2:M1091,M1091)))</f>
        <v>16591.01_1</v>
      </c>
      <c r="O1091" s="17" t="str">
        <f t="shared" si="17"/>
        <v/>
      </c>
      <c r="P1091" s="13" t="s">
        <v>324</v>
      </c>
      <c r="Q1091" s="13" t="s">
        <v>316</v>
      </c>
      <c r="R1091" s="13" t="s">
        <v>0</v>
      </c>
      <c r="S1091" s="13" t="s">
        <v>0</v>
      </c>
      <c r="T1091" s="13" t="s">
        <v>9</v>
      </c>
      <c r="U1091" s="13" t="s">
        <v>0</v>
      </c>
      <c r="V1091" s="13" t="s">
        <v>0</v>
      </c>
      <c r="W1091" s="13" t="s">
        <v>0</v>
      </c>
      <c r="X1091" s="13" t="s">
        <v>0</v>
      </c>
      <c r="Y1091" s="13" t="s">
        <v>10</v>
      </c>
      <c r="Z1091" s="13" t="s">
        <v>0</v>
      </c>
      <c r="AA1091" s="14"/>
      <c r="AB1091" s="13" t="s">
        <v>0</v>
      </c>
      <c r="AC1091" s="13" t="s">
        <v>0</v>
      </c>
      <c r="AD1091" s="13" t="s">
        <v>0</v>
      </c>
      <c r="AE1091" s="15">
        <v>0</v>
      </c>
    </row>
    <row r="1092" spans="1:31" ht="14.15" customHeight="1" x14ac:dyDescent="0.25">
      <c r="A1092" s="12" t="s">
        <v>0</v>
      </c>
      <c r="B1092" s="13" t="s">
        <v>1</v>
      </c>
      <c r="C1092" s="13" t="s">
        <v>1020</v>
      </c>
      <c r="D1092" s="14">
        <v>44129</v>
      </c>
      <c r="E1092" s="14">
        <v>44129</v>
      </c>
      <c r="F1092" s="14">
        <v>44142</v>
      </c>
      <c r="G1092" s="13" t="s">
        <v>3</v>
      </c>
      <c r="H1092" s="13" t="s">
        <v>4</v>
      </c>
      <c r="I1092" s="15">
        <v>-16586.169999999998</v>
      </c>
      <c r="J1092" s="13" t="s">
        <v>5</v>
      </c>
      <c r="K1092" s="13" t="s">
        <v>6</v>
      </c>
      <c r="L1092" s="15">
        <v>-1392408.97</v>
      </c>
      <c r="M1092" s="15">
        <v>-16586.169999999998</v>
      </c>
      <c r="N1092" s="16" t="str">
        <f>IF(M1092="","",IF(M1092&lt;0,-M1092&amp;"_"&amp;COUNTIF(M$2:M1092,M1092),M1092&amp;"_"&amp;COUNTIF(M$2:M1092,M1092)))</f>
        <v>16586.17_1</v>
      </c>
      <c r="O1092" s="17" t="str">
        <f t="shared" si="17"/>
        <v/>
      </c>
      <c r="P1092" s="13" t="s">
        <v>1021</v>
      </c>
      <c r="Q1092" s="13" t="s">
        <v>1019</v>
      </c>
      <c r="R1092" s="13" t="s">
        <v>0</v>
      </c>
      <c r="S1092" s="13" t="s">
        <v>0</v>
      </c>
      <c r="T1092" s="13" t="s">
        <v>9</v>
      </c>
      <c r="U1092" s="13" t="s">
        <v>0</v>
      </c>
      <c r="V1092" s="13" t="s">
        <v>0</v>
      </c>
      <c r="W1092" s="13" t="s">
        <v>0</v>
      </c>
      <c r="X1092" s="13" t="s">
        <v>0</v>
      </c>
      <c r="Y1092" s="13" t="s">
        <v>10</v>
      </c>
      <c r="Z1092" s="13" t="s">
        <v>0</v>
      </c>
      <c r="AA1092" s="14"/>
      <c r="AB1092" s="13" t="s">
        <v>0</v>
      </c>
      <c r="AC1092" s="13" t="s">
        <v>0</v>
      </c>
      <c r="AD1092" s="13" t="s">
        <v>0</v>
      </c>
      <c r="AE1092" s="15">
        <v>0</v>
      </c>
    </row>
    <row r="1093" spans="1:31" ht="14.15" customHeight="1" x14ac:dyDescent="0.25">
      <c r="A1093" s="12" t="s">
        <v>0</v>
      </c>
      <c r="B1093" s="13" t="s">
        <v>1</v>
      </c>
      <c r="C1093" s="13" t="s">
        <v>1954</v>
      </c>
      <c r="D1093" s="14">
        <v>44195</v>
      </c>
      <c r="E1093" s="14">
        <v>44195</v>
      </c>
      <c r="F1093" s="14">
        <v>44199</v>
      </c>
      <c r="G1093" s="13" t="s">
        <v>3</v>
      </c>
      <c r="H1093" s="13" t="s">
        <v>4</v>
      </c>
      <c r="I1093" s="15">
        <v>-16578.560000000001</v>
      </c>
      <c r="J1093" s="13" t="s">
        <v>5</v>
      </c>
      <c r="K1093" s="13" t="s">
        <v>6</v>
      </c>
      <c r="L1093" s="15">
        <v>-1391770.11</v>
      </c>
      <c r="M1093" s="15">
        <v>-16578.560000000001</v>
      </c>
      <c r="N1093" s="16" t="str">
        <f>IF(M1093="","",IF(M1093&lt;0,-M1093&amp;"_"&amp;COUNTIF(M$2:M1093,M1093),M1093&amp;"_"&amp;COUNTIF(M$2:M1093,M1093)))</f>
        <v>16578.56_1</v>
      </c>
      <c r="O1093" s="17" t="str">
        <f t="shared" si="17"/>
        <v/>
      </c>
      <c r="P1093" s="13" t="s">
        <v>1955</v>
      </c>
      <c r="Q1093" s="13" t="s">
        <v>1956</v>
      </c>
      <c r="R1093" s="13" t="s">
        <v>0</v>
      </c>
      <c r="S1093" s="13" t="s">
        <v>0</v>
      </c>
      <c r="T1093" s="13" t="s">
        <v>9</v>
      </c>
      <c r="U1093" s="13" t="s">
        <v>0</v>
      </c>
      <c r="V1093" s="13" t="s">
        <v>0</v>
      </c>
      <c r="W1093" s="13" t="s">
        <v>0</v>
      </c>
      <c r="X1093" s="13" t="s">
        <v>0</v>
      </c>
      <c r="Y1093" s="13" t="s">
        <v>10</v>
      </c>
      <c r="Z1093" s="13" t="s">
        <v>0</v>
      </c>
      <c r="AA1093" s="14"/>
      <c r="AB1093" s="13" t="s">
        <v>0</v>
      </c>
      <c r="AC1093" s="13" t="s">
        <v>0</v>
      </c>
      <c r="AD1093" s="13" t="s">
        <v>0</v>
      </c>
      <c r="AE1093" s="15">
        <v>0</v>
      </c>
    </row>
    <row r="1094" spans="1:31" ht="14.15" customHeight="1" x14ac:dyDescent="0.25">
      <c r="A1094" s="12" t="s">
        <v>0</v>
      </c>
      <c r="B1094" s="13" t="s">
        <v>1</v>
      </c>
      <c r="C1094" s="13" t="s">
        <v>1266</v>
      </c>
      <c r="D1094" s="14">
        <v>44143</v>
      </c>
      <c r="E1094" s="14">
        <v>44143</v>
      </c>
      <c r="F1094" s="14">
        <v>44149</v>
      </c>
      <c r="G1094" s="13" t="s">
        <v>3</v>
      </c>
      <c r="H1094" s="13" t="s">
        <v>4</v>
      </c>
      <c r="I1094" s="15">
        <v>-16556.14</v>
      </c>
      <c r="J1094" s="13" t="s">
        <v>5</v>
      </c>
      <c r="K1094" s="13" t="s">
        <v>6</v>
      </c>
      <c r="L1094" s="15">
        <v>-1389887.95</v>
      </c>
      <c r="M1094" s="15">
        <v>-16556.14</v>
      </c>
      <c r="N1094" s="16" t="str">
        <f>IF(M1094="","",IF(M1094&lt;0,-M1094&amp;"_"&amp;COUNTIF(M$2:M1094,M1094),M1094&amp;"_"&amp;COUNTIF(M$2:M1094,M1094)))</f>
        <v>16556.14_1</v>
      </c>
      <c r="O1094" s="17" t="str">
        <f t="shared" si="17"/>
        <v/>
      </c>
      <c r="P1094" s="13" t="s">
        <v>1267</v>
      </c>
      <c r="Q1094" s="13" t="s">
        <v>1245</v>
      </c>
      <c r="R1094" s="13" t="s">
        <v>0</v>
      </c>
      <c r="S1094" s="13" t="s">
        <v>0</v>
      </c>
      <c r="T1094" s="13" t="s">
        <v>9</v>
      </c>
      <c r="U1094" s="13" t="s">
        <v>0</v>
      </c>
      <c r="V1094" s="13" t="s">
        <v>0</v>
      </c>
      <c r="W1094" s="13" t="s">
        <v>0</v>
      </c>
      <c r="X1094" s="13" t="s">
        <v>0</v>
      </c>
      <c r="Y1094" s="13" t="s">
        <v>10</v>
      </c>
      <c r="Z1094" s="13" t="s">
        <v>0</v>
      </c>
      <c r="AA1094" s="14"/>
      <c r="AB1094" s="13" t="s">
        <v>0</v>
      </c>
      <c r="AC1094" s="13" t="s">
        <v>0</v>
      </c>
      <c r="AD1094" s="13" t="s">
        <v>0</v>
      </c>
      <c r="AE1094" s="15">
        <v>0</v>
      </c>
    </row>
    <row r="1095" spans="1:31" ht="14.15" customHeight="1" x14ac:dyDescent="0.25">
      <c r="A1095" s="12" t="s">
        <v>0</v>
      </c>
      <c r="B1095" s="13" t="s">
        <v>1</v>
      </c>
      <c r="C1095" s="13" t="s">
        <v>3287</v>
      </c>
      <c r="D1095" s="14">
        <v>44314</v>
      </c>
      <c r="E1095" s="14">
        <v>44314</v>
      </c>
      <c r="F1095" s="14">
        <v>44319</v>
      </c>
      <c r="G1095" s="13" t="s">
        <v>3</v>
      </c>
      <c r="H1095" s="13" t="s">
        <v>4</v>
      </c>
      <c r="I1095" s="15">
        <v>-16515.87</v>
      </c>
      <c r="J1095" s="13" t="s">
        <v>5</v>
      </c>
      <c r="K1095" s="13" t="s">
        <v>6</v>
      </c>
      <c r="L1095" s="15">
        <v>-1386507.28</v>
      </c>
      <c r="M1095" s="15">
        <v>-16515.87</v>
      </c>
      <c r="N1095" s="16" t="str">
        <f>IF(M1095="","",IF(M1095&lt;0,-M1095&amp;"_"&amp;COUNTIF(M$2:M1095,M1095),M1095&amp;"_"&amp;COUNTIF(M$2:M1095,M1095)))</f>
        <v>16515.87_1</v>
      </c>
      <c r="O1095" s="17" t="str">
        <f t="shared" si="17"/>
        <v/>
      </c>
      <c r="P1095" s="13" t="s">
        <v>3288</v>
      </c>
      <c r="Q1095" s="13" t="s">
        <v>3284</v>
      </c>
      <c r="R1095" s="13" t="s">
        <v>0</v>
      </c>
      <c r="S1095" s="13" t="s">
        <v>0</v>
      </c>
      <c r="T1095" s="13" t="s">
        <v>9</v>
      </c>
      <c r="U1095" s="13" t="s">
        <v>0</v>
      </c>
      <c r="V1095" s="13" t="s">
        <v>0</v>
      </c>
      <c r="W1095" s="13" t="s">
        <v>0</v>
      </c>
      <c r="X1095" s="13" t="s">
        <v>0</v>
      </c>
      <c r="Y1095" s="13" t="s">
        <v>10</v>
      </c>
      <c r="Z1095" s="13" t="s">
        <v>0</v>
      </c>
      <c r="AA1095" s="14"/>
      <c r="AB1095" s="13" t="s">
        <v>0</v>
      </c>
      <c r="AC1095" s="13" t="s">
        <v>0</v>
      </c>
      <c r="AD1095" s="13" t="s">
        <v>0</v>
      </c>
      <c r="AE1095" s="15">
        <v>0</v>
      </c>
    </row>
    <row r="1096" spans="1:31" ht="14.15" customHeight="1" x14ac:dyDescent="0.25">
      <c r="A1096" s="12" t="s">
        <v>0</v>
      </c>
      <c r="B1096" s="13" t="s">
        <v>1</v>
      </c>
      <c r="C1096" s="13" t="s">
        <v>771</v>
      </c>
      <c r="D1096" s="14">
        <v>44099</v>
      </c>
      <c r="E1096" s="14">
        <v>44099</v>
      </c>
      <c r="F1096" s="14">
        <v>44119</v>
      </c>
      <c r="G1096" s="13" t="s">
        <v>3</v>
      </c>
      <c r="H1096" s="13" t="s">
        <v>4</v>
      </c>
      <c r="I1096" s="15">
        <v>-16480.099999999999</v>
      </c>
      <c r="J1096" s="13" t="s">
        <v>5</v>
      </c>
      <c r="K1096" s="13" t="s">
        <v>6</v>
      </c>
      <c r="L1096" s="15">
        <v>-1383504.4</v>
      </c>
      <c r="M1096" s="15">
        <v>-16480.099999999999</v>
      </c>
      <c r="N1096" s="16" t="str">
        <f>IF(M1096="","",IF(M1096&lt;0,-M1096&amp;"_"&amp;COUNTIF(M$2:M1096,M1096),M1096&amp;"_"&amp;COUNTIF(M$2:M1096,M1096)))</f>
        <v>16480.1_1</v>
      </c>
      <c r="O1096" s="17" t="str">
        <f t="shared" si="17"/>
        <v/>
      </c>
      <c r="P1096" s="13" t="s">
        <v>772</v>
      </c>
      <c r="Q1096" s="13" t="s">
        <v>768</v>
      </c>
      <c r="R1096" s="13" t="s">
        <v>0</v>
      </c>
      <c r="S1096" s="13" t="s">
        <v>0</v>
      </c>
      <c r="T1096" s="13" t="s">
        <v>9</v>
      </c>
      <c r="U1096" s="13" t="s">
        <v>0</v>
      </c>
      <c r="V1096" s="13" t="s">
        <v>0</v>
      </c>
      <c r="W1096" s="13" t="s">
        <v>0</v>
      </c>
      <c r="X1096" s="13" t="s">
        <v>0</v>
      </c>
      <c r="Y1096" s="13" t="s">
        <v>10</v>
      </c>
      <c r="Z1096" s="13" t="s">
        <v>0</v>
      </c>
      <c r="AA1096" s="14"/>
      <c r="AB1096" s="13" t="s">
        <v>0</v>
      </c>
      <c r="AC1096" s="13" t="s">
        <v>0</v>
      </c>
      <c r="AD1096" s="13" t="s">
        <v>0</v>
      </c>
      <c r="AE1096" s="15">
        <v>0</v>
      </c>
    </row>
    <row r="1097" spans="1:31" ht="14.15" customHeight="1" x14ac:dyDescent="0.25">
      <c r="A1097" s="12" t="s">
        <v>0</v>
      </c>
      <c r="B1097" s="13" t="s">
        <v>1</v>
      </c>
      <c r="C1097" s="13" t="s">
        <v>1427</v>
      </c>
      <c r="D1097" s="14">
        <v>44156</v>
      </c>
      <c r="E1097" s="14">
        <v>44156</v>
      </c>
      <c r="F1097" s="14">
        <v>44163</v>
      </c>
      <c r="G1097" s="13" t="s">
        <v>3</v>
      </c>
      <c r="H1097" s="13" t="s">
        <v>4</v>
      </c>
      <c r="I1097" s="15">
        <v>-16471.07</v>
      </c>
      <c r="J1097" s="13" t="s">
        <v>5</v>
      </c>
      <c r="K1097" s="13" t="s">
        <v>6</v>
      </c>
      <c r="L1097" s="15">
        <v>-1382746.32</v>
      </c>
      <c r="M1097" s="15">
        <v>-16471.07</v>
      </c>
      <c r="N1097" s="16" t="str">
        <f>IF(M1097="","",IF(M1097&lt;0,-M1097&amp;"_"&amp;COUNTIF(M$2:M1097,M1097),M1097&amp;"_"&amp;COUNTIF(M$2:M1097,M1097)))</f>
        <v>16471.07_1</v>
      </c>
      <c r="O1097" s="17" t="str">
        <f t="shared" si="17"/>
        <v/>
      </c>
      <c r="P1097" s="13" t="s">
        <v>1428</v>
      </c>
      <c r="Q1097" s="13" t="s">
        <v>1426</v>
      </c>
      <c r="R1097" s="13" t="s">
        <v>0</v>
      </c>
      <c r="S1097" s="13" t="s">
        <v>0</v>
      </c>
      <c r="T1097" s="13" t="s">
        <v>9</v>
      </c>
      <c r="U1097" s="13" t="s">
        <v>0</v>
      </c>
      <c r="V1097" s="13" t="s">
        <v>0</v>
      </c>
      <c r="W1097" s="13" t="s">
        <v>0</v>
      </c>
      <c r="X1097" s="13" t="s">
        <v>0</v>
      </c>
      <c r="Y1097" s="13" t="s">
        <v>10</v>
      </c>
      <c r="Z1097" s="13" t="s">
        <v>0</v>
      </c>
      <c r="AA1097" s="14"/>
      <c r="AB1097" s="13" t="s">
        <v>0</v>
      </c>
      <c r="AC1097" s="13" t="s">
        <v>0</v>
      </c>
      <c r="AD1097" s="13" t="s">
        <v>0</v>
      </c>
      <c r="AE1097" s="15">
        <v>0</v>
      </c>
    </row>
    <row r="1098" spans="1:31" ht="14.15" customHeight="1" x14ac:dyDescent="0.25">
      <c r="A1098" s="12" t="s">
        <v>0</v>
      </c>
      <c r="B1098" s="13" t="s">
        <v>1</v>
      </c>
      <c r="C1098" s="13" t="s">
        <v>3015</v>
      </c>
      <c r="D1098" s="14">
        <v>44281</v>
      </c>
      <c r="E1098" s="14">
        <v>44281</v>
      </c>
      <c r="F1098" s="14">
        <v>44287</v>
      </c>
      <c r="G1098" s="13" t="s">
        <v>3</v>
      </c>
      <c r="H1098" s="13" t="s">
        <v>4</v>
      </c>
      <c r="I1098" s="15">
        <v>-16451.419999999998</v>
      </c>
      <c r="J1098" s="13" t="s">
        <v>5</v>
      </c>
      <c r="K1098" s="13" t="s">
        <v>6</v>
      </c>
      <c r="L1098" s="15">
        <v>-1381096.71</v>
      </c>
      <c r="M1098" s="15">
        <v>-16451.419999999998</v>
      </c>
      <c r="N1098" s="16" t="str">
        <f>IF(M1098="","",IF(M1098&lt;0,-M1098&amp;"_"&amp;COUNTIF(M$2:M1098,M1098),M1098&amp;"_"&amp;COUNTIF(M$2:M1098,M1098)))</f>
        <v>16451.42_1</v>
      </c>
      <c r="O1098" s="17" t="str">
        <f t="shared" si="17"/>
        <v/>
      </c>
      <c r="P1098" s="13" t="s">
        <v>3016</v>
      </c>
      <c r="Q1098" s="13" t="s">
        <v>3014</v>
      </c>
      <c r="R1098" s="13" t="s">
        <v>0</v>
      </c>
      <c r="S1098" s="13" t="s">
        <v>0</v>
      </c>
      <c r="T1098" s="13" t="s">
        <v>9</v>
      </c>
      <c r="U1098" s="13" t="s">
        <v>0</v>
      </c>
      <c r="V1098" s="13" t="s">
        <v>0</v>
      </c>
      <c r="W1098" s="13" t="s">
        <v>0</v>
      </c>
      <c r="X1098" s="13" t="s">
        <v>0</v>
      </c>
      <c r="Y1098" s="13" t="s">
        <v>10</v>
      </c>
      <c r="Z1098" s="13" t="s">
        <v>0</v>
      </c>
      <c r="AA1098" s="14"/>
      <c r="AB1098" s="13" t="s">
        <v>0</v>
      </c>
      <c r="AC1098" s="13" t="s">
        <v>0</v>
      </c>
      <c r="AD1098" s="13" t="s">
        <v>0</v>
      </c>
      <c r="AE1098" s="15">
        <v>0</v>
      </c>
    </row>
    <row r="1099" spans="1:31" ht="14.15" customHeight="1" x14ac:dyDescent="0.25">
      <c r="A1099" s="12" t="s">
        <v>0</v>
      </c>
      <c r="B1099" s="13" t="s">
        <v>1</v>
      </c>
      <c r="C1099" s="13" t="s">
        <v>3952</v>
      </c>
      <c r="D1099" s="14">
        <v>44356</v>
      </c>
      <c r="E1099" s="14">
        <v>44356</v>
      </c>
      <c r="F1099" s="14">
        <v>44361</v>
      </c>
      <c r="G1099" s="13" t="s">
        <v>3</v>
      </c>
      <c r="H1099" s="13" t="s">
        <v>4</v>
      </c>
      <c r="I1099" s="15">
        <v>-16443.939999999999</v>
      </c>
      <c r="J1099" s="13" t="s">
        <v>5</v>
      </c>
      <c r="K1099" s="13" t="s">
        <v>6</v>
      </c>
      <c r="L1099" s="15">
        <v>-1380468.76</v>
      </c>
      <c r="M1099" s="15">
        <v>-16443.939999999999</v>
      </c>
      <c r="N1099" s="16" t="str">
        <f>IF(M1099="","",IF(M1099&lt;0,-M1099&amp;"_"&amp;COUNTIF(M$2:M1099,M1099),M1099&amp;"_"&amp;COUNTIF(M$2:M1099,M1099)))</f>
        <v>16443.94_1</v>
      </c>
      <c r="O1099" s="17" t="str">
        <f t="shared" si="17"/>
        <v/>
      </c>
      <c r="P1099" s="13" t="s">
        <v>3953</v>
      </c>
      <c r="Q1099" s="13" t="s">
        <v>3954</v>
      </c>
      <c r="R1099" s="13" t="s">
        <v>0</v>
      </c>
      <c r="S1099" s="13" t="s">
        <v>0</v>
      </c>
      <c r="T1099" s="13" t="s">
        <v>9</v>
      </c>
      <c r="U1099" s="13" t="s">
        <v>0</v>
      </c>
      <c r="V1099" s="13" t="s">
        <v>0</v>
      </c>
      <c r="W1099" s="13" t="s">
        <v>0</v>
      </c>
      <c r="X1099" s="13" t="s">
        <v>0</v>
      </c>
      <c r="Y1099" s="13" t="s">
        <v>10</v>
      </c>
      <c r="Z1099" s="13" t="s">
        <v>0</v>
      </c>
      <c r="AA1099" s="14"/>
      <c r="AB1099" s="13" t="s">
        <v>0</v>
      </c>
      <c r="AC1099" s="13" t="s">
        <v>0</v>
      </c>
      <c r="AD1099" s="13" t="s">
        <v>0</v>
      </c>
      <c r="AE1099" s="15">
        <v>0</v>
      </c>
    </row>
    <row r="1100" spans="1:31" ht="14.15" customHeight="1" x14ac:dyDescent="0.25">
      <c r="A1100" s="12" t="s">
        <v>0</v>
      </c>
      <c r="B1100" s="13" t="s">
        <v>1</v>
      </c>
      <c r="C1100" s="13" t="s">
        <v>2420</v>
      </c>
      <c r="D1100" s="14">
        <v>44229</v>
      </c>
      <c r="E1100" s="14">
        <v>44229</v>
      </c>
      <c r="F1100" s="14">
        <v>44241</v>
      </c>
      <c r="G1100" s="13" t="s">
        <v>3</v>
      </c>
      <c r="H1100" s="13" t="s">
        <v>4</v>
      </c>
      <c r="I1100" s="15">
        <v>-16421.45</v>
      </c>
      <c r="J1100" s="13" t="s">
        <v>5</v>
      </c>
      <c r="K1100" s="13" t="s">
        <v>6</v>
      </c>
      <c r="L1100" s="15">
        <v>-1378580.73</v>
      </c>
      <c r="M1100" s="15">
        <v>-16421.45</v>
      </c>
      <c r="N1100" s="16" t="str">
        <f>IF(M1100="","",IF(M1100&lt;0,-M1100&amp;"_"&amp;COUNTIF(M$2:M1100,M1100),M1100&amp;"_"&amp;COUNTIF(M$2:M1100,M1100)))</f>
        <v>16421.45_1</v>
      </c>
      <c r="O1100" s="17" t="str">
        <f t="shared" si="17"/>
        <v/>
      </c>
      <c r="P1100" s="13" t="s">
        <v>2421</v>
      </c>
      <c r="Q1100" s="13" t="s">
        <v>2415</v>
      </c>
      <c r="R1100" s="13" t="s">
        <v>0</v>
      </c>
      <c r="S1100" s="13" t="s">
        <v>0</v>
      </c>
      <c r="T1100" s="13" t="s">
        <v>9</v>
      </c>
      <c r="U1100" s="13" t="s">
        <v>0</v>
      </c>
      <c r="V1100" s="13" t="s">
        <v>0</v>
      </c>
      <c r="W1100" s="13" t="s">
        <v>0</v>
      </c>
      <c r="X1100" s="13" t="s">
        <v>0</v>
      </c>
      <c r="Y1100" s="13" t="s">
        <v>10</v>
      </c>
      <c r="Z1100" s="13" t="s">
        <v>0</v>
      </c>
      <c r="AA1100" s="14"/>
      <c r="AB1100" s="13" t="s">
        <v>0</v>
      </c>
      <c r="AC1100" s="13" t="s">
        <v>0</v>
      </c>
      <c r="AD1100" s="13" t="s">
        <v>0</v>
      </c>
      <c r="AE1100" s="15">
        <v>0</v>
      </c>
    </row>
    <row r="1101" spans="1:31" ht="14.15" customHeight="1" x14ac:dyDescent="0.25">
      <c r="A1101" s="12" t="s">
        <v>0</v>
      </c>
      <c r="B1101" s="13" t="s">
        <v>1</v>
      </c>
      <c r="C1101" s="13" t="s">
        <v>1003</v>
      </c>
      <c r="D1101" s="14">
        <v>44126</v>
      </c>
      <c r="E1101" s="14">
        <v>44126</v>
      </c>
      <c r="F1101" s="14">
        <v>44136</v>
      </c>
      <c r="G1101" s="13" t="s">
        <v>3</v>
      </c>
      <c r="H1101" s="13" t="s">
        <v>4</v>
      </c>
      <c r="I1101" s="15">
        <v>-16405.2</v>
      </c>
      <c r="J1101" s="13" t="s">
        <v>5</v>
      </c>
      <c r="K1101" s="13" t="s">
        <v>6</v>
      </c>
      <c r="L1101" s="15">
        <v>-1377216.54</v>
      </c>
      <c r="M1101" s="15">
        <v>-16405.2</v>
      </c>
      <c r="N1101" s="16" t="str">
        <f>IF(M1101="","",IF(M1101&lt;0,-M1101&amp;"_"&amp;COUNTIF(M$2:M1101,M1101),M1101&amp;"_"&amp;COUNTIF(M$2:M1101,M1101)))</f>
        <v>16405.2_1</v>
      </c>
      <c r="O1101" s="17" t="str">
        <f t="shared" si="17"/>
        <v/>
      </c>
      <c r="P1101" s="13" t="s">
        <v>1004</v>
      </c>
      <c r="Q1101" s="13" t="s">
        <v>992</v>
      </c>
      <c r="R1101" s="13" t="s">
        <v>0</v>
      </c>
      <c r="S1101" s="13" t="s">
        <v>0</v>
      </c>
      <c r="T1101" s="13" t="s">
        <v>9</v>
      </c>
      <c r="U1101" s="13" t="s">
        <v>0</v>
      </c>
      <c r="V1101" s="13" t="s">
        <v>0</v>
      </c>
      <c r="W1101" s="13" t="s">
        <v>0</v>
      </c>
      <c r="X1101" s="13" t="s">
        <v>0</v>
      </c>
      <c r="Y1101" s="13" t="s">
        <v>10</v>
      </c>
      <c r="Z1101" s="13" t="s">
        <v>0</v>
      </c>
      <c r="AA1101" s="14"/>
      <c r="AB1101" s="13" t="s">
        <v>0</v>
      </c>
      <c r="AC1101" s="13" t="s">
        <v>0</v>
      </c>
      <c r="AD1101" s="13" t="s">
        <v>0</v>
      </c>
      <c r="AE1101" s="15">
        <v>0</v>
      </c>
    </row>
    <row r="1102" spans="1:31" ht="14.15" customHeight="1" x14ac:dyDescent="0.25">
      <c r="A1102" s="12" t="s">
        <v>0</v>
      </c>
      <c r="B1102" s="13" t="s">
        <v>1</v>
      </c>
      <c r="C1102" s="13" t="s">
        <v>3145</v>
      </c>
      <c r="D1102" s="14">
        <v>44294</v>
      </c>
      <c r="E1102" s="14">
        <v>44294</v>
      </c>
      <c r="F1102" s="14">
        <v>44298</v>
      </c>
      <c r="G1102" s="13" t="s">
        <v>3</v>
      </c>
      <c r="H1102" s="13" t="s">
        <v>4</v>
      </c>
      <c r="I1102" s="15">
        <v>-16372.68</v>
      </c>
      <c r="J1102" s="13" t="s">
        <v>5</v>
      </c>
      <c r="K1102" s="13" t="s">
        <v>6</v>
      </c>
      <c r="L1102" s="15">
        <v>-1374486.49</v>
      </c>
      <c r="M1102" s="15">
        <v>-16372.68</v>
      </c>
      <c r="N1102" s="16" t="str">
        <f>IF(M1102="","",IF(M1102&lt;0,-M1102&amp;"_"&amp;COUNTIF(M$2:M1102,M1102),M1102&amp;"_"&amp;COUNTIF(M$2:M1102,M1102)))</f>
        <v>16372.68_1</v>
      </c>
      <c r="O1102" s="17" t="str">
        <f t="shared" si="17"/>
        <v/>
      </c>
      <c r="P1102" s="13" t="s">
        <v>3146</v>
      </c>
      <c r="Q1102" s="13" t="s">
        <v>3138</v>
      </c>
      <c r="R1102" s="13" t="s">
        <v>0</v>
      </c>
      <c r="S1102" s="13" t="s">
        <v>0</v>
      </c>
      <c r="T1102" s="13" t="s">
        <v>9</v>
      </c>
      <c r="U1102" s="13" t="s">
        <v>0</v>
      </c>
      <c r="V1102" s="13" t="s">
        <v>0</v>
      </c>
      <c r="W1102" s="13" t="s">
        <v>0</v>
      </c>
      <c r="X1102" s="13" t="s">
        <v>0</v>
      </c>
      <c r="Y1102" s="13" t="s">
        <v>10</v>
      </c>
      <c r="Z1102" s="13" t="s">
        <v>0</v>
      </c>
      <c r="AA1102" s="14"/>
      <c r="AB1102" s="13" t="s">
        <v>0</v>
      </c>
      <c r="AC1102" s="13" t="s">
        <v>0</v>
      </c>
      <c r="AD1102" s="13" t="s">
        <v>0</v>
      </c>
      <c r="AE1102" s="15">
        <v>0</v>
      </c>
    </row>
    <row r="1103" spans="1:31" ht="14.15" customHeight="1" x14ac:dyDescent="0.25">
      <c r="A1103" s="12" t="s">
        <v>0</v>
      </c>
      <c r="B1103" s="13" t="s">
        <v>1</v>
      </c>
      <c r="C1103" s="13" t="s">
        <v>3482</v>
      </c>
      <c r="D1103" s="14">
        <v>44320</v>
      </c>
      <c r="E1103" s="14">
        <v>44320</v>
      </c>
      <c r="F1103" s="14">
        <v>44329</v>
      </c>
      <c r="G1103" s="13" t="s">
        <v>3</v>
      </c>
      <c r="H1103" s="13" t="s">
        <v>4</v>
      </c>
      <c r="I1103" s="15">
        <v>-16364.88</v>
      </c>
      <c r="J1103" s="13" t="s">
        <v>5</v>
      </c>
      <c r="K1103" s="13" t="s">
        <v>6</v>
      </c>
      <c r="L1103" s="15">
        <v>-1373831.68</v>
      </c>
      <c r="M1103" s="15">
        <v>-16364.88</v>
      </c>
      <c r="N1103" s="16" t="str">
        <f>IF(M1103="","",IF(M1103&lt;0,-M1103&amp;"_"&amp;COUNTIF(M$2:M1103,M1103),M1103&amp;"_"&amp;COUNTIF(M$2:M1103,M1103)))</f>
        <v>16364.88_1</v>
      </c>
      <c r="O1103" s="17" t="str">
        <f t="shared" si="17"/>
        <v/>
      </c>
      <c r="P1103" s="13" t="s">
        <v>3483</v>
      </c>
      <c r="Q1103" s="13" t="s">
        <v>3453</v>
      </c>
      <c r="R1103" s="13" t="s">
        <v>0</v>
      </c>
      <c r="S1103" s="13" t="s">
        <v>0</v>
      </c>
      <c r="T1103" s="13" t="s">
        <v>9</v>
      </c>
      <c r="U1103" s="13" t="s">
        <v>0</v>
      </c>
      <c r="V1103" s="13" t="s">
        <v>0</v>
      </c>
      <c r="W1103" s="13" t="s">
        <v>0</v>
      </c>
      <c r="X1103" s="13" t="s">
        <v>0</v>
      </c>
      <c r="Y1103" s="13" t="s">
        <v>10</v>
      </c>
      <c r="Z1103" s="13" t="s">
        <v>0</v>
      </c>
      <c r="AA1103" s="14"/>
      <c r="AB1103" s="13" t="s">
        <v>0</v>
      </c>
      <c r="AC1103" s="13" t="s">
        <v>0</v>
      </c>
      <c r="AD1103" s="13" t="s">
        <v>0</v>
      </c>
      <c r="AE1103" s="15">
        <v>0</v>
      </c>
    </row>
    <row r="1104" spans="1:31" ht="14.15" customHeight="1" x14ac:dyDescent="0.25">
      <c r="A1104" s="12" t="s">
        <v>0</v>
      </c>
      <c r="B1104" s="13" t="s">
        <v>1</v>
      </c>
      <c r="C1104" s="13" t="s">
        <v>2133</v>
      </c>
      <c r="D1104" s="14">
        <v>44205</v>
      </c>
      <c r="E1104" s="14">
        <v>44205</v>
      </c>
      <c r="F1104" s="14">
        <v>44214</v>
      </c>
      <c r="G1104" s="13" t="s">
        <v>3</v>
      </c>
      <c r="H1104" s="13" t="s">
        <v>4</v>
      </c>
      <c r="I1104" s="15">
        <v>-16325.64</v>
      </c>
      <c r="J1104" s="13" t="s">
        <v>5</v>
      </c>
      <c r="K1104" s="13" t="s">
        <v>6</v>
      </c>
      <c r="L1104" s="15">
        <v>-1370537.48</v>
      </c>
      <c r="M1104" s="15">
        <v>-16325.64</v>
      </c>
      <c r="N1104" s="16" t="str">
        <f>IF(M1104="","",IF(M1104&lt;0,-M1104&amp;"_"&amp;COUNTIF(M$2:M1104,M1104),M1104&amp;"_"&amp;COUNTIF(M$2:M1104,M1104)))</f>
        <v>16325.64_1</v>
      </c>
      <c r="O1104" s="17" t="str">
        <f t="shared" si="17"/>
        <v/>
      </c>
      <c r="P1104" s="13" t="s">
        <v>2134</v>
      </c>
      <c r="Q1104" s="13" t="s">
        <v>2135</v>
      </c>
      <c r="R1104" s="13" t="s">
        <v>0</v>
      </c>
      <c r="S1104" s="13" t="s">
        <v>0</v>
      </c>
      <c r="T1104" s="13" t="s">
        <v>9</v>
      </c>
      <c r="U1104" s="13" t="s">
        <v>0</v>
      </c>
      <c r="V1104" s="13" t="s">
        <v>0</v>
      </c>
      <c r="W1104" s="13" t="s">
        <v>0</v>
      </c>
      <c r="X1104" s="13" t="s">
        <v>0</v>
      </c>
      <c r="Y1104" s="13" t="s">
        <v>10</v>
      </c>
      <c r="Z1104" s="13" t="s">
        <v>0</v>
      </c>
      <c r="AA1104" s="14"/>
      <c r="AB1104" s="13" t="s">
        <v>0</v>
      </c>
      <c r="AC1104" s="13" t="s">
        <v>0</v>
      </c>
      <c r="AD1104" s="13" t="s">
        <v>0</v>
      </c>
      <c r="AE1104" s="15">
        <v>0</v>
      </c>
    </row>
    <row r="1105" spans="1:31" ht="14.15" customHeight="1" x14ac:dyDescent="0.25">
      <c r="A1105" s="12" t="s">
        <v>0</v>
      </c>
      <c r="B1105" s="13" t="s">
        <v>1</v>
      </c>
      <c r="C1105" s="13" t="s">
        <v>3737</v>
      </c>
      <c r="D1105" s="14">
        <v>44338</v>
      </c>
      <c r="E1105" s="14">
        <v>44338</v>
      </c>
      <c r="F1105" s="14">
        <v>44341</v>
      </c>
      <c r="G1105" s="13" t="s">
        <v>3</v>
      </c>
      <c r="H1105" s="13" t="s">
        <v>4</v>
      </c>
      <c r="I1105" s="15">
        <v>-16324.89</v>
      </c>
      <c r="J1105" s="13" t="s">
        <v>5</v>
      </c>
      <c r="K1105" s="13" t="s">
        <v>6</v>
      </c>
      <c r="L1105" s="15">
        <v>-1370474.52</v>
      </c>
      <c r="M1105" s="15">
        <v>-16324.89</v>
      </c>
      <c r="N1105" s="16" t="str">
        <f>IF(M1105="","",IF(M1105&lt;0,-M1105&amp;"_"&amp;COUNTIF(M$2:M1105,M1105),M1105&amp;"_"&amp;COUNTIF(M$2:M1105,M1105)))</f>
        <v>16324.89_1</v>
      </c>
      <c r="O1105" s="17" t="str">
        <f t="shared" si="17"/>
        <v/>
      </c>
      <c r="P1105" s="13" t="s">
        <v>3738</v>
      </c>
      <c r="Q1105" s="13" t="s">
        <v>3739</v>
      </c>
      <c r="R1105" s="13" t="s">
        <v>0</v>
      </c>
      <c r="S1105" s="13" t="s">
        <v>0</v>
      </c>
      <c r="T1105" s="13" t="s">
        <v>9</v>
      </c>
      <c r="U1105" s="13" t="s">
        <v>0</v>
      </c>
      <c r="V1105" s="13" t="s">
        <v>0</v>
      </c>
      <c r="W1105" s="13" t="s">
        <v>0</v>
      </c>
      <c r="X1105" s="13" t="s">
        <v>0</v>
      </c>
      <c r="Y1105" s="13" t="s">
        <v>10</v>
      </c>
      <c r="Z1105" s="13" t="s">
        <v>0</v>
      </c>
      <c r="AA1105" s="14"/>
      <c r="AB1105" s="13" t="s">
        <v>0</v>
      </c>
      <c r="AC1105" s="13" t="s">
        <v>0</v>
      </c>
      <c r="AD1105" s="13" t="s">
        <v>0</v>
      </c>
      <c r="AE1105" s="15">
        <v>0</v>
      </c>
    </row>
    <row r="1106" spans="1:31" ht="14.15" customHeight="1" x14ac:dyDescent="0.25">
      <c r="A1106" s="12" t="s">
        <v>0</v>
      </c>
      <c r="B1106" s="13" t="s">
        <v>1</v>
      </c>
      <c r="C1106" s="13" t="s">
        <v>4280</v>
      </c>
      <c r="D1106" s="14">
        <v>44370</v>
      </c>
      <c r="E1106" s="14">
        <v>44370</v>
      </c>
      <c r="F1106" s="14">
        <v>44377</v>
      </c>
      <c r="G1106" s="13" t="s">
        <v>3</v>
      </c>
      <c r="H1106" s="13" t="s">
        <v>4</v>
      </c>
      <c r="I1106" s="15">
        <v>-16298.23</v>
      </c>
      <c r="J1106" s="13" t="s">
        <v>5</v>
      </c>
      <c r="K1106" s="13" t="s">
        <v>6</v>
      </c>
      <c r="L1106" s="15">
        <v>-1368236.41</v>
      </c>
      <c r="M1106" s="15">
        <v>-16298.23</v>
      </c>
      <c r="N1106" s="16" t="str">
        <f>IF(M1106="","",IF(M1106&lt;0,-M1106&amp;"_"&amp;COUNTIF(M$2:M1106,M1106),M1106&amp;"_"&amp;COUNTIF(M$2:M1106,M1106)))</f>
        <v>16298.23_1</v>
      </c>
      <c r="O1106" s="17" t="str">
        <f t="shared" si="17"/>
        <v/>
      </c>
      <c r="P1106" s="13" t="s">
        <v>4281</v>
      </c>
      <c r="Q1106" s="13" t="s">
        <v>4269</v>
      </c>
      <c r="R1106" s="13" t="s">
        <v>0</v>
      </c>
      <c r="S1106" s="13" t="s">
        <v>0</v>
      </c>
      <c r="T1106" s="13" t="s">
        <v>9</v>
      </c>
      <c r="U1106" s="13" t="s">
        <v>0</v>
      </c>
      <c r="V1106" s="13" t="s">
        <v>0</v>
      </c>
      <c r="W1106" s="13" t="s">
        <v>0</v>
      </c>
      <c r="X1106" s="13" t="s">
        <v>0</v>
      </c>
      <c r="Y1106" s="13" t="s">
        <v>10</v>
      </c>
      <c r="Z1106" s="13" t="s">
        <v>0</v>
      </c>
      <c r="AA1106" s="14"/>
      <c r="AB1106" s="13" t="s">
        <v>0</v>
      </c>
      <c r="AC1106" s="13" t="s">
        <v>0</v>
      </c>
      <c r="AD1106" s="13" t="s">
        <v>0</v>
      </c>
      <c r="AE1106" s="15">
        <v>0</v>
      </c>
    </row>
    <row r="1107" spans="1:31" ht="14.15" customHeight="1" x14ac:dyDescent="0.25">
      <c r="A1107" s="12" t="s">
        <v>0</v>
      </c>
      <c r="B1107" s="13" t="s">
        <v>1</v>
      </c>
      <c r="C1107" s="13" t="s">
        <v>1698</v>
      </c>
      <c r="D1107" s="14">
        <v>44173</v>
      </c>
      <c r="E1107" s="14">
        <v>44173</v>
      </c>
      <c r="F1107" s="14">
        <v>44185</v>
      </c>
      <c r="G1107" s="13" t="s">
        <v>3</v>
      </c>
      <c r="H1107" s="13" t="s">
        <v>4</v>
      </c>
      <c r="I1107" s="15">
        <v>-16286.34</v>
      </c>
      <c r="J1107" s="13" t="s">
        <v>5</v>
      </c>
      <c r="K1107" s="13" t="s">
        <v>6</v>
      </c>
      <c r="L1107" s="15">
        <v>-1367238.24</v>
      </c>
      <c r="M1107" s="15">
        <v>-16286.34</v>
      </c>
      <c r="N1107" s="16" t="str">
        <f>IF(M1107="","",IF(M1107&lt;0,-M1107&amp;"_"&amp;COUNTIF(M$2:M1107,M1107),M1107&amp;"_"&amp;COUNTIF(M$2:M1107,M1107)))</f>
        <v>16286.34_1</v>
      </c>
      <c r="O1107" s="17" t="str">
        <f t="shared" si="17"/>
        <v/>
      </c>
      <c r="P1107" s="13" t="s">
        <v>1699</v>
      </c>
      <c r="Q1107" s="13" t="s">
        <v>1687</v>
      </c>
      <c r="R1107" s="13" t="s">
        <v>0</v>
      </c>
      <c r="S1107" s="13" t="s">
        <v>0</v>
      </c>
      <c r="T1107" s="13" t="s">
        <v>9</v>
      </c>
      <c r="U1107" s="13" t="s">
        <v>0</v>
      </c>
      <c r="V1107" s="13" t="s">
        <v>0</v>
      </c>
      <c r="W1107" s="13" t="s">
        <v>0</v>
      </c>
      <c r="X1107" s="13" t="s">
        <v>0</v>
      </c>
      <c r="Y1107" s="13" t="s">
        <v>10</v>
      </c>
      <c r="Z1107" s="13" t="s">
        <v>0</v>
      </c>
      <c r="AA1107" s="14"/>
      <c r="AB1107" s="13" t="s">
        <v>0</v>
      </c>
      <c r="AC1107" s="13" t="s">
        <v>0</v>
      </c>
      <c r="AD1107" s="13" t="s">
        <v>0</v>
      </c>
      <c r="AE1107" s="15">
        <v>0</v>
      </c>
    </row>
    <row r="1108" spans="1:31" ht="14.15" customHeight="1" x14ac:dyDescent="0.25">
      <c r="A1108" s="12" t="s">
        <v>0</v>
      </c>
      <c r="B1108" s="13" t="s">
        <v>1</v>
      </c>
      <c r="C1108" s="13" t="s">
        <v>4225</v>
      </c>
      <c r="D1108" s="14">
        <v>44367</v>
      </c>
      <c r="E1108" s="14">
        <v>44367</v>
      </c>
      <c r="F1108" s="14">
        <v>44371</v>
      </c>
      <c r="G1108" s="13" t="s">
        <v>3</v>
      </c>
      <c r="H1108" s="13" t="s">
        <v>4</v>
      </c>
      <c r="I1108" s="15">
        <v>-16247.99</v>
      </c>
      <c r="J1108" s="13" t="s">
        <v>5</v>
      </c>
      <c r="K1108" s="13" t="s">
        <v>6</v>
      </c>
      <c r="L1108" s="15">
        <v>-1364018.76</v>
      </c>
      <c r="M1108" s="15">
        <v>-16247.99</v>
      </c>
      <c r="N1108" s="16" t="str">
        <f>IF(M1108="","",IF(M1108&lt;0,-M1108&amp;"_"&amp;COUNTIF(M$2:M1108,M1108),M1108&amp;"_"&amp;COUNTIF(M$2:M1108,M1108)))</f>
        <v>16247.99_1</v>
      </c>
      <c r="O1108" s="17" t="str">
        <f t="shared" si="17"/>
        <v/>
      </c>
      <c r="P1108" s="13" t="s">
        <v>4226</v>
      </c>
      <c r="Q1108" s="13" t="s">
        <v>4227</v>
      </c>
      <c r="R1108" s="13" t="s">
        <v>0</v>
      </c>
      <c r="S1108" s="13" t="s">
        <v>0</v>
      </c>
      <c r="T1108" s="13" t="s">
        <v>9</v>
      </c>
      <c r="U1108" s="13" t="s">
        <v>0</v>
      </c>
      <c r="V1108" s="13" t="s">
        <v>0</v>
      </c>
      <c r="W1108" s="13" t="s">
        <v>0</v>
      </c>
      <c r="X1108" s="13" t="s">
        <v>0</v>
      </c>
      <c r="Y1108" s="13" t="s">
        <v>10</v>
      </c>
      <c r="Z1108" s="13" t="s">
        <v>0</v>
      </c>
      <c r="AA1108" s="14"/>
      <c r="AB1108" s="13" t="s">
        <v>0</v>
      </c>
      <c r="AC1108" s="13" t="s">
        <v>0</v>
      </c>
      <c r="AD1108" s="13" t="s">
        <v>0</v>
      </c>
      <c r="AE1108" s="15">
        <v>0</v>
      </c>
    </row>
    <row r="1109" spans="1:31" ht="14.15" customHeight="1" x14ac:dyDescent="0.25">
      <c r="A1109" s="12" t="s">
        <v>0</v>
      </c>
      <c r="B1109" s="13" t="s">
        <v>1</v>
      </c>
      <c r="C1109" s="13" t="s">
        <v>1507</v>
      </c>
      <c r="D1109" s="14">
        <v>44163</v>
      </c>
      <c r="E1109" s="14">
        <v>44163</v>
      </c>
      <c r="F1109" s="14">
        <v>44165</v>
      </c>
      <c r="G1109" s="13" t="s">
        <v>3</v>
      </c>
      <c r="H1109" s="13" t="s">
        <v>4</v>
      </c>
      <c r="I1109" s="15">
        <v>-16240.88</v>
      </c>
      <c r="J1109" s="13" t="s">
        <v>5</v>
      </c>
      <c r="K1109" s="13" t="s">
        <v>6</v>
      </c>
      <c r="L1109" s="15">
        <v>-1363421.88</v>
      </c>
      <c r="M1109" s="15">
        <v>-16240.88</v>
      </c>
      <c r="N1109" s="16" t="str">
        <f>IF(M1109="","",IF(M1109&lt;0,-M1109&amp;"_"&amp;COUNTIF(M$2:M1109,M1109),M1109&amp;"_"&amp;COUNTIF(M$2:M1109,M1109)))</f>
        <v>16240.88_1</v>
      </c>
      <c r="O1109" s="17" t="str">
        <f t="shared" si="17"/>
        <v/>
      </c>
      <c r="P1109" s="13" t="s">
        <v>1508</v>
      </c>
      <c r="Q1109" s="13" t="s">
        <v>1509</v>
      </c>
      <c r="R1109" s="13" t="s">
        <v>0</v>
      </c>
      <c r="S1109" s="13" t="s">
        <v>0</v>
      </c>
      <c r="T1109" s="13" t="s">
        <v>9</v>
      </c>
      <c r="U1109" s="13" t="s">
        <v>0</v>
      </c>
      <c r="V1109" s="13" t="s">
        <v>0</v>
      </c>
      <c r="W1109" s="13" t="s">
        <v>0</v>
      </c>
      <c r="X1109" s="13" t="s">
        <v>0</v>
      </c>
      <c r="Y1109" s="13" t="s">
        <v>10</v>
      </c>
      <c r="Z1109" s="13" t="s">
        <v>0</v>
      </c>
      <c r="AA1109" s="14"/>
      <c r="AB1109" s="13" t="s">
        <v>0</v>
      </c>
      <c r="AC1109" s="13" t="s">
        <v>0</v>
      </c>
      <c r="AD1109" s="13" t="s">
        <v>0</v>
      </c>
      <c r="AE1109" s="15">
        <v>0</v>
      </c>
    </row>
    <row r="1110" spans="1:31" ht="14.15" customHeight="1" x14ac:dyDescent="0.25">
      <c r="A1110" s="12" t="s">
        <v>0</v>
      </c>
      <c r="B1110" s="13" t="s">
        <v>1</v>
      </c>
      <c r="C1110" s="13" t="s">
        <v>4063</v>
      </c>
      <c r="D1110" s="14">
        <v>44360</v>
      </c>
      <c r="E1110" s="14">
        <v>44360</v>
      </c>
      <c r="F1110" s="14">
        <v>44364</v>
      </c>
      <c r="G1110" s="13" t="s">
        <v>3</v>
      </c>
      <c r="H1110" s="13" t="s">
        <v>4</v>
      </c>
      <c r="I1110" s="15">
        <v>-16224</v>
      </c>
      <c r="J1110" s="13" t="s">
        <v>5</v>
      </c>
      <c r="K1110" s="13" t="s">
        <v>6</v>
      </c>
      <c r="L1110" s="15">
        <v>-1362004.8</v>
      </c>
      <c r="M1110" s="15">
        <v>-16224</v>
      </c>
      <c r="N1110" s="16" t="str">
        <f>IF(M1110="","",IF(M1110&lt;0,-M1110&amp;"_"&amp;COUNTIF(M$2:M1110,M1110),M1110&amp;"_"&amp;COUNTIF(M$2:M1110,M1110)))</f>
        <v>16224_1</v>
      </c>
      <c r="O1110" s="17" t="str">
        <f t="shared" si="17"/>
        <v/>
      </c>
      <c r="P1110" s="13" t="s">
        <v>4064</v>
      </c>
      <c r="Q1110" s="13" t="s">
        <v>4062</v>
      </c>
      <c r="R1110" s="13" t="s">
        <v>0</v>
      </c>
      <c r="S1110" s="13" t="s">
        <v>0</v>
      </c>
      <c r="T1110" s="13" t="s">
        <v>9</v>
      </c>
      <c r="U1110" s="13" t="s">
        <v>0</v>
      </c>
      <c r="V1110" s="13" t="s">
        <v>0</v>
      </c>
      <c r="W1110" s="13" t="s">
        <v>0</v>
      </c>
      <c r="X1110" s="13" t="s">
        <v>0</v>
      </c>
      <c r="Y1110" s="13" t="s">
        <v>10</v>
      </c>
      <c r="Z1110" s="13" t="s">
        <v>0</v>
      </c>
      <c r="AA1110" s="14"/>
      <c r="AB1110" s="13" t="s">
        <v>0</v>
      </c>
      <c r="AC1110" s="13" t="s">
        <v>0</v>
      </c>
      <c r="AD1110" s="13" t="s">
        <v>0</v>
      </c>
      <c r="AE1110" s="15">
        <v>0</v>
      </c>
    </row>
    <row r="1111" spans="1:31" ht="14.15" customHeight="1" x14ac:dyDescent="0.25">
      <c r="A1111" s="12" t="s">
        <v>0</v>
      </c>
      <c r="B1111" s="13" t="s">
        <v>1</v>
      </c>
      <c r="C1111" s="13" t="s">
        <v>2651</v>
      </c>
      <c r="D1111" s="14">
        <v>44249</v>
      </c>
      <c r="E1111" s="14">
        <v>44249</v>
      </c>
      <c r="F1111" s="14">
        <v>44255</v>
      </c>
      <c r="G1111" s="13" t="s">
        <v>3</v>
      </c>
      <c r="H1111" s="13" t="s">
        <v>4</v>
      </c>
      <c r="I1111" s="15">
        <v>-16181.39</v>
      </c>
      <c r="J1111" s="13" t="s">
        <v>5</v>
      </c>
      <c r="K1111" s="13" t="s">
        <v>6</v>
      </c>
      <c r="L1111" s="15">
        <v>-1358427.69</v>
      </c>
      <c r="M1111" s="15">
        <v>-16181.39</v>
      </c>
      <c r="N1111" s="16" t="str">
        <f>IF(M1111="","",IF(M1111&lt;0,-M1111&amp;"_"&amp;COUNTIF(M$2:M1111,M1111),M1111&amp;"_"&amp;COUNTIF(M$2:M1111,M1111)))</f>
        <v>16181.39_1</v>
      </c>
      <c r="O1111" s="17" t="str">
        <f t="shared" si="17"/>
        <v/>
      </c>
      <c r="P1111" s="13" t="s">
        <v>2652</v>
      </c>
      <c r="Q1111" s="13" t="s">
        <v>2646</v>
      </c>
      <c r="R1111" s="13" t="s">
        <v>0</v>
      </c>
      <c r="S1111" s="13" t="s">
        <v>0</v>
      </c>
      <c r="T1111" s="13" t="s">
        <v>9</v>
      </c>
      <c r="U1111" s="13" t="s">
        <v>0</v>
      </c>
      <c r="V1111" s="13" t="s">
        <v>0</v>
      </c>
      <c r="W1111" s="13" t="s">
        <v>0</v>
      </c>
      <c r="X1111" s="13" t="s">
        <v>0</v>
      </c>
      <c r="Y1111" s="13" t="s">
        <v>10</v>
      </c>
      <c r="Z1111" s="13" t="s">
        <v>0</v>
      </c>
      <c r="AA1111" s="14"/>
      <c r="AB1111" s="13" t="s">
        <v>0</v>
      </c>
      <c r="AC1111" s="13" t="s">
        <v>0</v>
      </c>
      <c r="AD1111" s="13" t="s">
        <v>0</v>
      </c>
      <c r="AE1111" s="15">
        <v>0</v>
      </c>
    </row>
    <row r="1112" spans="1:31" ht="14.15" customHeight="1" x14ac:dyDescent="0.25">
      <c r="A1112" s="12" t="s">
        <v>0</v>
      </c>
      <c r="B1112" s="13" t="s">
        <v>1</v>
      </c>
      <c r="C1112" s="13" t="s">
        <v>1753</v>
      </c>
      <c r="D1112" s="14">
        <v>44179</v>
      </c>
      <c r="E1112" s="14">
        <v>44179</v>
      </c>
      <c r="F1112" s="14">
        <v>44185</v>
      </c>
      <c r="G1112" s="13" t="s">
        <v>3</v>
      </c>
      <c r="H1112" s="13" t="s">
        <v>4</v>
      </c>
      <c r="I1112" s="15">
        <v>-16177.68</v>
      </c>
      <c r="J1112" s="13" t="s">
        <v>5</v>
      </c>
      <c r="K1112" s="13" t="s">
        <v>6</v>
      </c>
      <c r="L1112" s="15">
        <v>-1358116.24</v>
      </c>
      <c r="M1112" s="15">
        <v>-16177.68</v>
      </c>
      <c r="N1112" s="16" t="str">
        <f>IF(M1112="","",IF(M1112&lt;0,-M1112&amp;"_"&amp;COUNTIF(M$2:M1112,M1112),M1112&amp;"_"&amp;COUNTIF(M$2:M1112,M1112)))</f>
        <v>16177.68_1</v>
      </c>
      <c r="O1112" s="17" t="str">
        <f t="shared" si="17"/>
        <v/>
      </c>
      <c r="P1112" s="13" t="s">
        <v>1754</v>
      </c>
      <c r="Q1112" s="13" t="s">
        <v>1752</v>
      </c>
      <c r="R1112" s="13" t="s">
        <v>0</v>
      </c>
      <c r="S1112" s="13" t="s">
        <v>0</v>
      </c>
      <c r="T1112" s="13" t="s">
        <v>9</v>
      </c>
      <c r="U1112" s="13" t="s">
        <v>0</v>
      </c>
      <c r="V1112" s="13" t="s">
        <v>0</v>
      </c>
      <c r="W1112" s="13" t="s">
        <v>0</v>
      </c>
      <c r="X1112" s="13" t="s">
        <v>0</v>
      </c>
      <c r="Y1112" s="13" t="s">
        <v>10</v>
      </c>
      <c r="Z1112" s="13" t="s">
        <v>0</v>
      </c>
      <c r="AA1112" s="14"/>
      <c r="AB1112" s="13" t="s">
        <v>0</v>
      </c>
      <c r="AC1112" s="13" t="s">
        <v>0</v>
      </c>
      <c r="AD1112" s="13" t="s">
        <v>0</v>
      </c>
      <c r="AE1112" s="15">
        <v>0</v>
      </c>
    </row>
    <row r="1113" spans="1:31" ht="14.15" customHeight="1" x14ac:dyDescent="0.25">
      <c r="A1113" s="12" t="s">
        <v>0</v>
      </c>
      <c r="B1113" s="13" t="s">
        <v>1</v>
      </c>
      <c r="C1113" s="13" t="s">
        <v>4069</v>
      </c>
      <c r="D1113" s="14">
        <v>44360</v>
      </c>
      <c r="E1113" s="14">
        <v>44360</v>
      </c>
      <c r="F1113" s="14">
        <v>44384</v>
      </c>
      <c r="G1113" s="13" t="s">
        <v>3</v>
      </c>
      <c r="H1113" s="13" t="s">
        <v>4</v>
      </c>
      <c r="I1113" s="15">
        <v>-16174.04</v>
      </c>
      <c r="J1113" s="13" t="s">
        <v>5</v>
      </c>
      <c r="K1113" s="13" t="s">
        <v>6</v>
      </c>
      <c r="L1113" s="15">
        <v>-1357810.65</v>
      </c>
      <c r="M1113" s="15">
        <v>-16174.04</v>
      </c>
      <c r="N1113" s="16" t="str">
        <f>IF(M1113="","",IF(M1113&lt;0,-M1113&amp;"_"&amp;COUNTIF(M$2:M1113,M1113),M1113&amp;"_"&amp;COUNTIF(M$2:M1113,M1113)))</f>
        <v>16174.04_1</v>
      </c>
      <c r="O1113" s="17" t="str">
        <f t="shared" si="17"/>
        <v/>
      </c>
      <c r="P1113" s="13" t="s">
        <v>4070</v>
      </c>
      <c r="Q1113" s="13" t="s">
        <v>4062</v>
      </c>
      <c r="R1113" s="13" t="s">
        <v>0</v>
      </c>
      <c r="S1113" s="13" t="s">
        <v>0</v>
      </c>
      <c r="T1113" s="13" t="s">
        <v>9</v>
      </c>
      <c r="U1113" s="13" t="s">
        <v>0</v>
      </c>
      <c r="V1113" s="13" t="s">
        <v>0</v>
      </c>
      <c r="W1113" s="13" t="s">
        <v>0</v>
      </c>
      <c r="X1113" s="13" t="s">
        <v>0</v>
      </c>
      <c r="Y1113" s="13" t="s">
        <v>10</v>
      </c>
      <c r="Z1113" s="13" t="s">
        <v>0</v>
      </c>
      <c r="AA1113" s="14"/>
      <c r="AB1113" s="13" t="s">
        <v>0</v>
      </c>
      <c r="AC1113" s="13" t="s">
        <v>0</v>
      </c>
      <c r="AD1113" s="13" t="s">
        <v>0</v>
      </c>
      <c r="AE1113" s="15">
        <v>0</v>
      </c>
    </row>
    <row r="1114" spans="1:31" ht="14.15" customHeight="1" x14ac:dyDescent="0.25">
      <c r="A1114" s="12" t="s">
        <v>0</v>
      </c>
      <c r="B1114" s="13" t="s">
        <v>1</v>
      </c>
      <c r="C1114" s="13" t="s">
        <v>1865</v>
      </c>
      <c r="D1114" s="14">
        <v>44187</v>
      </c>
      <c r="E1114" s="14">
        <v>44187</v>
      </c>
      <c r="F1114" s="14">
        <v>44198</v>
      </c>
      <c r="G1114" s="13" t="s">
        <v>3</v>
      </c>
      <c r="H1114" s="13" t="s">
        <v>4</v>
      </c>
      <c r="I1114" s="15">
        <v>-16171.53</v>
      </c>
      <c r="J1114" s="13" t="s">
        <v>5</v>
      </c>
      <c r="K1114" s="13" t="s">
        <v>6</v>
      </c>
      <c r="L1114" s="15">
        <v>-1357599.94</v>
      </c>
      <c r="M1114" s="15">
        <v>-16171.53</v>
      </c>
      <c r="N1114" s="16" t="str">
        <f>IF(M1114="","",IF(M1114&lt;0,-M1114&amp;"_"&amp;COUNTIF(M$2:M1114,M1114),M1114&amp;"_"&amp;COUNTIF(M$2:M1114,M1114)))</f>
        <v>16171.53_1</v>
      </c>
      <c r="O1114" s="17" t="str">
        <f t="shared" si="17"/>
        <v/>
      </c>
      <c r="P1114" s="13" t="s">
        <v>1866</v>
      </c>
      <c r="Q1114" s="13" t="s">
        <v>1862</v>
      </c>
      <c r="R1114" s="13" t="s">
        <v>0</v>
      </c>
      <c r="S1114" s="13" t="s">
        <v>0</v>
      </c>
      <c r="T1114" s="13" t="s">
        <v>9</v>
      </c>
      <c r="U1114" s="13" t="s">
        <v>0</v>
      </c>
      <c r="V1114" s="13" t="s">
        <v>0</v>
      </c>
      <c r="W1114" s="13" t="s">
        <v>0</v>
      </c>
      <c r="X1114" s="13" t="s">
        <v>0</v>
      </c>
      <c r="Y1114" s="13" t="s">
        <v>10</v>
      </c>
      <c r="Z1114" s="13" t="s">
        <v>0</v>
      </c>
      <c r="AA1114" s="14"/>
      <c r="AB1114" s="13" t="s">
        <v>0</v>
      </c>
      <c r="AC1114" s="13" t="s">
        <v>0</v>
      </c>
      <c r="AD1114" s="13" t="s">
        <v>0</v>
      </c>
      <c r="AE1114" s="15">
        <v>0</v>
      </c>
    </row>
    <row r="1115" spans="1:31" ht="14.15" customHeight="1" x14ac:dyDescent="0.25">
      <c r="A1115" s="12" t="s">
        <v>0</v>
      </c>
      <c r="B1115" s="13" t="s">
        <v>1</v>
      </c>
      <c r="C1115" s="13" t="s">
        <v>4013</v>
      </c>
      <c r="D1115" s="14">
        <v>44358</v>
      </c>
      <c r="E1115" s="14">
        <v>44358</v>
      </c>
      <c r="F1115" s="14">
        <v>44363</v>
      </c>
      <c r="G1115" s="13" t="s">
        <v>3</v>
      </c>
      <c r="H1115" s="13" t="s">
        <v>4</v>
      </c>
      <c r="I1115" s="15">
        <v>-16142.36</v>
      </c>
      <c r="J1115" s="13" t="s">
        <v>5</v>
      </c>
      <c r="K1115" s="13" t="s">
        <v>6</v>
      </c>
      <c r="L1115" s="15">
        <v>-1355151.12</v>
      </c>
      <c r="M1115" s="15">
        <v>-16142.36</v>
      </c>
      <c r="N1115" s="16" t="str">
        <f>IF(M1115="","",IF(M1115&lt;0,-M1115&amp;"_"&amp;COUNTIF(M$2:M1115,M1115),M1115&amp;"_"&amp;COUNTIF(M$2:M1115,M1115)))</f>
        <v>16142.36_1</v>
      </c>
      <c r="O1115" s="17" t="str">
        <f t="shared" si="17"/>
        <v/>
      </c>
      <c r="P1115" s="13" t="s">
        <v>4014</v>
      </c>
      <c r="Q1115" s="13" t="s">
        <v>4006</v>
      </c>
      <c r="R1115" s="13" t="s">
        <v>0</v>
      </c>
      <c r="S1115" s="13" t="s">
        <v>0</v>
      </c>
      <c r="T1115" s="13" t="s">
        <v>9</v>
      </c>
      <c r="U1115" s="13" t="s">
        <v>0</v>
      </c>
      <c r="V1115" s="13" t="s">
        <v>0</v>
      </c>
      <c r="W1115" s="13" t="s">
        <v>0</v>
      </c>
      <c r="X1115" s="13" t="s">
        <v>0</v>
      </c>
      <c r="Y1115" s="13" t="s">
        <v>10</v>
      </c>
      <c r="Z1115" s="13" t="s">
        <v>0</v>
      </c>
      <c r="AA1115" s="14"/>
      <c r="AB1115" s="13" t="s">
        <v>0</v>
      </c>
      <c r="AC1115" s="13" t="s">
        <v>0</v>
      </c>
      <c r="AD1115" s="13" t="s">
        <v>0</v>
      </c>
      <c r="AE1115" s="15">
        <v>0</v>
      </c>
    </row>
    <row r="1116" spans="1:31" ht="14.15" customHeight="1" x14ac:dyDescent="0.25">
      <c r="A1116" s="12" t="s">
        <v>0</v>
      </c>
      <c r="B1116" s="13" t="s">
        <v>1</v>
      </c>
      <c r="C1116" s="13" t="s">
        <v>1719</v>
      </c>
      <c r="D1116" s="14">
        <v>44176</v>
      </c>
      <c r="E1116" s="14">
        <v>44176</v>
      </c>
      <c r="F1116" s="14">
        <v>44185</v>
      </c>
      <c r="G1116" s="13" t="s">
        <v>3</v>
      </c>
      <c r="H1116" s="13" t="s">
        <v>4</v>
      </c>
      <c r="I1116" s="15">
        <v>-16123.04</v>
      </c>
      <c r="J1116" s="13" t="s">
        <v>5</v>
      </c>
      <c r="K1116" s="13" t="s">
        <v>6</v>
      </c>
      <c r="L1116" s="15">
        <v>-1353529.21</v>
      </c>
      <c r="M1116" s="15">
        <v>-16123.04</v>
      </c>
      <c r="N1116" s="16" t="str">
        <f>IF(M1116="","",IF(M1116&lt;0,-M1116&amp;"_"&amp;COUNTIF(M$2:M1116,M1116),M1116&amp;"_"&amp;COUNTIF(M$2:M1116,M1116)))</f>
        <v>16123.04_1</v>
      </c>
      <c r="O1116" s="17" t="str">
        <f t="shared" si="17"/>
        <v/>
      </c>
      <c r="P1116" s="13" t="s">
        <v>1720</v>
      </c>
      <c r="Q1116" s="13" t="s">
        <v>1718</v>
      </c>
      <c r="R1116" s="13" t="s">
        <v>0</v>
      </c>
      <c r="S1116" s="13" t="s">
        <v>0</v>
      </c>
      <c r="T1116" s="13" t="s">
        <v>9</v>
      </c>
      <c r="U1116" s="13" t="s">
        <v>0</v>
      </c>
      <c r="V1116" s="13" t="s">
        <v>0</v>
      </c>
      <c r="W1116" s="13" t="s">
        <v>0</v>
      </c>
      <c r="X1116" s="13" t="s">
        <v>0</v>
      </c>
      <c r="Y1116" s="13" t="s">
        <v>10</v>
      </c>
      <c r="Z1116" s="13" t="s">
        <v>0</v>
      </c>
      <c r="AA1116" s="14"/>
      <c r="AB1116" s="13" t="s">
        <v>0</v>
      </c>
      <c r="AC1116" s="13" t="s">
        <v>0</v>
      </c>
      <c r="AD1116" s="13" t="s">
        <v>0</v>
      </c>
      <c r="AE1116" s="15">
        <v>0</v>
      </c>
    </row>
    <row r="1117" spans="1:31" ht="14.15" customHeight="1" x14ac:dyDescent="0.25">
      <c r="A1117" s="12" t="s">
        <v>0</v>
      </c>
      <c r="B1117" s="13" t="s">
        <v>1</v>
      </c>
      <c r="C1117" s="13" t="s">
        <v>3287</v>
      </c>
      <c r="D1117" s="14">
        <v>44314</v>
      </c>
      <c r="E1117" s="14">
        <v>44314</v>
      </c>
      <c r="F1117" s="14">
        <v>44319</v>
      </c>
      <c r="G1117" s="13" t="s">
        <v>3</v>
      </c>
      <c r="H1117" s="13" t="s">
        <v>4</v>
      </c>
      <c r="I1117" s="15">
        <v>-16114.22</v>
      </c>
      <c r="J1117" s="13" t="s">
        <v>5</v>
      </c>
      <c r="K1117" s="13" t="s">
        <v>6</v>
      </c>
      <c r="L1117" s="15">
        <v>-1352788.77</v>
      </c>
      <c r="M1117" s="15">
        <v>-16114.22</v>
      </c>
      <c r="N1117" s="16" t="str">
        <f>IF(M1117="","",IF(M1117&lt;0,-M1117&amp;"_"&amp;COUNTIF(M$2:M1117,M1117),M1117&amp;"_"&amp;COUNTIF(M$2:M1117,M1117)))</f>
        <v>16114.22_1</v>
      </c>
      <c r="O1117" s="17" t="str">
        <f t="shared" si="17"/>
        <v/>
      </c>
      <c r="P1117" s="13" t="s">
        <v>3288</v>
      </c>
      <c r="Q1117" s="13" t="s">
        <v>3284</v>
      </c>
      <c r="R1117" s="13" t="s">
        <v>0</v>
      </c>
      <c r="S1117" s="13" t="s">
        <v>0</v>
      </c>
      <c r="T1117" s="13" t="s">
        <v>9</v>
      </c>
      <c r="U1117" s="13" t="s">
        <v>0</v>
      </c>
      <c r="V1117" s="13" t="s">
        <v>0</v>
      </c>
      <c r="W1117" s="13" t="s">
        <v>0</v>
      </c>
      <c r="X1117" s="13" t="s">
        <v>0</v>
      </c>
      <c r="Y1117" s="13" t="s">
        <v>10</v>
      </c>
      <c r="Z1117" s="13" t="s">
        <v>0</v>
      </c>
      <c r="AA1117" s="14"/>
      <c r="AB1117" s="13" t="s">
        <v>0</v>
      </c>
      <c r="AC1117" s="13" t="s">
        <v>0</v>
      </c>
      <c r="AD1117" s="13" t="s">
        <v>0</v>
      </c>
      <c r="AE1117" s="15">
        <v>0</v>
      </c>
    </row>
    <row r="1118" spans="1:31" ht="14.15" customHeight="1" x14ac:dyDescent="0.25">
      <c r="A1118" s="12" t="s">
        <v>0</v>
      </c>
      <c r="B1118" s="13" t="s">
        <v>1</v>
      </c>
      <c r="C1118" s="13" t="s">
        <v>1872</v>
      </c>
      <c r="D1118" s="14">
        <v>44188</v>
      </c>
      <c r="E1118" s="14">
        <v>44188</v>
      </c>
      <c r="F1118" s="14">
        <v>44198</v>
      </c>
      <c r="G1118" s="13" t="s">
        <v>3</v>
      </c>
      <c r="H1118" s="13" t="s">
        <v>4</v>
      </c>
      <c r="I1118" s="15">
        <v>-16111.98</v>
      </c>
      <c r="J1118" s="13" t="s">
        <v>5</v>
      </c>
      <c r="K1118" s="13" t="s">
        <v>6</v>
      </c>
      <c r="L1118" s="15">
        <v>-1352600.72</v>
      </c>
      <c r="M1118" s="15">
        <v>-16111.98</v>
      </c>
      <c r="N1118" s="16" t="str">
        <f>IF(M1118="","",IF(M1118&lt;0,-M1118&amp;"_"&amp;COUNTIF(M$2:M1118,M1118),M1118&amp;"_"&amp;COUNTIF(M$2:M1118,M1118)))</f>
        <v>16111.98_1</v>
      </c>
      <c r="O1118" s="17" t="str">
        <f t="shared" si="17"/>
        <v/>
      </c>
      <c r="P1118" s="13" t="s">
        <v>1873</v>
      </c>
      <c r="Q1118" s="13" t="s">
        <v>1869</v>
      </c>
      <c r="R1118" s="13" t="s">
        <v>0</v>
      </c>
      <c r="S1118" s="13" t="s">
        <v>0</v>
      </c>
      <c r="T1118" s="13" t="s">
        <v>9</v>
      </c>
      <c r="U1118" s="13" t="s">
        <v>0</v>
      </c>
      <c r="V1118" s="13" t="s">
        <v>0</v>
      </c>
      <c r="W1118" s="13" t="s">
        <v>0</v>
      </c>
      <c r="X1118" s="13" t="s">
        <v>0</v>
      </c>
      <c r="Y1118" s="13" t="s">
        <v>10</v>
      </c>
      <c r="Z1118" s="13" t="s">
        <v>0</v>
      </c>
      <c r="AA1118" s="14"/>
      <c r="AB1118" s="13" t="s">
        <v>0</v>
      </c>
      <c r="AC1118" s="13" t="s">
        <v>0</v>
      </c>
      <c r="AD1118" s="13" t="s">
        <v>0</v>
      </c>
      <c r="AE1118" s="15">
        <v>0</v>
      </c>
    </row>
    <row r="1119" spans="1:31" ht="14.15" customHeight="1" x14ac:dyDescent="0.25">
      <c r="A1119" s="12" t="s">
        <v>0</v>
      </c>
      <c r="B1119" s="13" t="s">
        <v>1</v>
      </c>
      <c r="C1119" s="13" t="s">
        <v>2609</v>
      </c>
      <c r="D1119" s="14">
        <v>44243</v>
      </c>
      <c r="E1119" s="14">
        <v>44243</v>
      </c>
      <c r="F1119" s="14">
        <v>44252</v>
      </c>
      <c r="G1119" s="13" t="s">
        <v>3</v>
      </c>
      <c r="H1119" s="13" t="s">
        <v>4</v>
      </c>
      <c r="I1119" s="15">
        <v>-16087.85</v>
      </c>
      <c r="J1119" s="13" t="s">
        <v>5</v>
      </c>
      <c r="K1119" s="13" t="s">
        <v>6</v>
      </c>
      <c r="L1119" s="15">
        <v>-1350575.01</v>
      </c>
      <c r="M1119" s="15">
        <v>-16087.85</v>
      </c>
      <c r="N1119" s="16" t="str">
        <f>IF(M1119="","",IF(M1119&lt;0,-M1119&amp;"_"&amp;COUNTIF(M$2:M1119,M1119),M1119&amp;"_"&amp;COUNTIF(M$2:M1119,M1119)))</f>
        <v>16087.85_1</v>
      </c>
      <c r="O1119" s="17" t="str">
        <f t="shared" si="17"/>
        <v/>
      </c>
      <c r="P1119" s="13" t="s">
        <v>2610</v>
      </c>
      <c r="Q1119" s="13" t="s">
        <v>2574</v>
      </c>
      <c r="R1119" s="13" t="s">
        <v>0</v>
      </c>
      <c r="S1119" s="13" t="s">
        <v>0</v>
      </c>
      <c r="T1119" s="13" t="s">
        <v>9</v>
      </c>
      <c r="U1119" s="13" t="s">
        <v>0</v>
      </c>
      <c r="V1119" s="13" t="s">
        <v>0</v>
      </c>
      <c r="W1119" s="13" t="s">
        <v>0</v>
      </c>
      <c r="X1119" s="13" t="s">
        <v>0</v>
      </c>
      <c r="Y1119" s="13" t="s">
        <v>10</v>
      </c>
      <c r="Z1119" s="13" t="s">
        <v>0</v>
      </c>
      <c r="AA1119" s="14"/>
      <c r="AB1119" s="13" t="s">
        <v>0</v>
      </c>
      <c r="AC1119" s="13" t="s">
        <v>0</v>
      </c>
      <c r="AD1119" s="13" t="s">
        <v>0</v>
      </c>
      <c r="AE1119" s="15">
        <v>0</v>
      </c>
    </row>
    <row r="1120" spans="1:31" ht="14.15" customHeight="1" x14ac:dyDescent="0.25">
      <c r="A1120" s="12" t="s">
        <v>0</v>
      </c>
      <c r="B1120" s="13" t="s">
        <v>1</v>
      </c>
      <c r="C1120" s="13" t="s">
        <v>2681</v>
      </c>
      <c r="D1120" s="14">
        <v>44253</v>
      </c>
      <c r="E1120" s="14">
        <v>44253</v>
      </c>
      <c r="F1120" s="14">
        <v>44258</v>
      </c>
      <c r="G1120" s="13" t="s">
        <v>3</v>
      </c>
      <c r="H1120" s="13" t="s">
        <v>4</v>
      </c>
      <c r="I1120" s="15">
        <v>-16038.03</v>
      </c>
      <c r="J1120" s="13" t="s">
        <v>5</v>
      </c>
      <c r="K1120" s="13" t="s">
        <v>6</v>
      </c>
      <c r="L1120" s="15">
        <v>-1346392.62</v>
      </c>
      <c r="M1120" s="15">
        <v>-16038.03</v>
      </c>
      <c r="N1120" s="16" t="str">
        <f>IF(M1120="","",IF(M1120&lt;0,-M1120&amp;"_"&amp;COUNTIF(M$2:M1120,M1120),M1120&amp;"_"&amp;COUNTIF(M$2:M1120,M1120)))</f>
        <v>16038.03_1</v>
      </c>
      <c r="O1120" s="17" t="str">
        <f t="shared" si="17"/>
        <v/>
      </c>
      <c r="P1120" s="13" t="s">
        <v>2682</v>
      </c>
      <c r="Q1120" s="13" t="s">
        <v>2660</v>
      </c>
      <c r="R1120" s="13" t="s">
        <v>0</v>
      </c>
      <c r="S1120" s="13" t="s">
        <v>0</v>
      </c>
      <c r="T1120" s="13" t="s">
        <v>9</v>
      </c>
      <c r="U1120" s="13" t="s">
        <v>0</v>
      </c>
      <c r="V1120" s="13" t="s">
        <v>0</v>
      </c>
      <c r="W1120" s="13" t="s">
        <v>0</v>
      </c>
      <c r="X1120" s="13" t="s">
        <v>0</v>
      </c>
      <c r="Y1120" s="13" t="s">
        <v>10</v>
      </c>
      <c r="Z1120" s="13" t="s">
        <v>0</v>
      </c>
      <c r="AA1120" s="14"/>
      <c r="AB1120" s="13" t="s">
        <v>0</v>
      </c>
      <c r="AC1120" s="13" t="s">
        <v>0</v>
      </c>
      <c r="AD1120" s="13" t="s">
        <v>0</v>
      </c>
      <c r="AE1120" s="15">
        <v>0</v>
      </c>
    </row>
    <row r="1121" spans="1:31" ht="14.15" customHeight="1" x14ac:dyDescent="0.25">
      <c r="A1121" s="12" t="s">
        <v>0</v>
      </c>
      <c r="B1121" s="13" t="s">
        <v>1</v>
      </c>
      <c r="C1121" s="13" t="s">
        <v>1398</v>
      </c>
      <c r="D1121" s="14">
        <v>44153</v>
      </c>
      <c r="E1121" s="14">
        <v>44153</v>
      </c>
      <c r="F1121" s="14">
        <v>44161</v>
      </c>
      <c r="G1121" s="13" t="s">
        <v>3</v>
      </c>
      <c r="H1121" s="13" t="s">
        <v>4</v>
      </c>
      <c r="I1121" s="15">
        <v>-16010.04</v>
      </c>
      <c r="J1121" s="13" t="s">
        <v>5</v>
      </c>
      <c r="K1121" s="13" t="s">
        <v>6</v>
      </c>
      <c r="L1121" s="15">
        <v>-1344042.86</v>
      </c>
      <c r="M1121" s="15">
        <v>-16010.04</v>
      </c>
      <c r="N1121" s="16" t="str">
        <f>IF(M1121="","",IF(M1121&lt;0,-M1121&amp;"_"&amp;COUNTIF(M$2:M1121,M1121),M1121&amp;"_"&amp;COUNTIF(M$2:M1121,M1121)))</f>
        <v>16010.04_1</v>
      </c>
      <c r="O1121" s="17" t="str">
        <f t="shared" si="17"/>
        <v/>
      </c>
      <c r="P1121" s="13" t="s">
        <v>1399</v>
      </c>
      <c r="Q1121" s="13" t="s">
        <v>1381</v>
      </c>
      <c r="R1121" s="13" t="s">
        <v>0</v>
      </c>
      <c r="S1121" s="13" t="s">
        <v>0</v>
      </c>
      <c r="T1121" s="13" t="s">
        <v>9</v>
      </c>
      <c r="U1121" s="13" t="s">
        <v>0</v>
      </c>
      <c r="V1121" s="13" t="s">
        <v>0</v>
      </c>
      <c r="W1121" s="13" t="s">
        <v>0</v>
      </c>
      <c r="X1121" s="13" t="s">
        <v>0</v>
      </c>
      <c r="Y1121" s="13" t="s">
        <v>10</v>
      </c>
      <c r="Z1121" s="13" t="s">
        <v>0</v>
      </c>
      <c r="AA1121" s="14"/>
      <c r="AB1121" s="13" t="s">
        <v>0</v>
      </c>
      <c r="AC1121" s="13" t="s">
        <v>0</v>
      </c>
      <c r="AD1121" s="13" t="s">
        <v>0</v>
      </c>
      <c r="AE1121" s="15">
        <v>0</v>
      </c>
    </row>
    <row r="1122" spans="1:31" ht="14.15" customHeight="1" x14ac:dyDescent="0.25">
      <c r="A1122" s="12" t="s">
        <v>0</v>
      </c>
      <c r="B1122" s="13" t="s">
        <v>1</v>
      </c>
      <c r="C1122" s="13" t="s">
        <v>2172</v>
      </c>
      <c r="D1122" s="14">
        <v>44209</v>
      </c>
      <c r="E1122" s="14">
        <v>44209</v>
      </c>
      <c r="F1122" s="14">
        <v>44228</v>
      </c>
      <c r="G1122" s="13" t="s">
        <v>3</v>
      </c>
      <c r="H1122" s="13" t="s">
        <v>4</v>
      </c>
      <c r="I1122" s="15">
        <v>-16009.44</v>
      </c>
      <c r="J1122" s="13" t="s">
        <v>5</v>
      </c>
      <c r="K1122" s="13" t="s">
        <v>6</v>
      </c>
      <c r="L1122" s="15">
        <v>-1343992.49</v>
      </c>
      <c r="M1122" s="15">
        <v>-16009.44</v>
      </c>
      <c r="N1122" s="16" t="str">
        <f>IF(M1122="","",IF(M1122&lt;0,-M1122&amp;"_"&amp;COUNTIF(M$2:M1122,M1122),M1122&amp;"_"&amp;COUNTIF(M$2:M1122,M1122)))</f>
        <v>16009.44_1</v>
      </c>
      <c r="O1122" s="17" t="str">
        <f t="shared" si="17"/>
        <v/>
      </c>
      <c r="P1122" s="13" t="s">
        <v>2173</v>
      </c>
      <c r="Q1122" s="13" t="s">
        <v>2159</v>
      </c>
      <c r="R1122" s="13" t="s">
        <v>0</v>
      </c>
      <c r="S1122" s="13" t="s">
        <v>0</v>
      </c>
      <c r="T1122" s="13" t="s">
        <v>9</v>
      </c>
      <c r="U1122" s="13" t="s">
        <v>0</v>
      </c>
      <c r="V1122" s="13" t="s">
        <v>0</v>
      </c>
      <c r="W1122" s="13" t="s">
        <v>0</v>
      </c>
      <c r="X1122" s="13" t="s">
        <v>0</v>
      </c>
      <c r="Y1122" s="13" t="s">
        <v>10</v>
      </c>
      <c r="Z1122" s="13" t="s">
        <v>0</v>
      </c>
      <c r="AA1122" s="14"/>
      <c r="AB1122" s="13" t="s">
        <v>0</v>
      </c>
      <c r="AC1122" s="13" t="s">
        <v>0</v>
      </c>
      <c r="AD1122" s="13" t="s">
        <v>0</v>
      </c>
      <c r="AE1122" s="15">
        <v>0</v>
      </c>
    </row>
    <row r="1123" spans="1:31" ht="14.15" customHeight="1" x14ac:dyDescent="0.25">
      <c r="A1123" s="12" t="s">
        <v>0</v>
      </c>
      <c r="B1123" s="13" t="s">
        <v>1</v>
      </c>
      <c r="C1123" s="13" t="s">
        <v>1880</v>
      </c>
      <c r="D1123" s="14">
        <v>44188</v>
      </c>
      <c r="E1123" s="14">
        <v>44188</v>
      </c>
      <c r="F1123" s="14">
        <v>44199</v>
      </c>
      <c r="G1123" s="13" t="s">
        <v>3</v>
      </c>
      <c r="H1123" s="13" t="s">
        <v>4</v>
      </c>
      <c r="I1123" s="15">
        <v>-15931.19</v>
      </c>
      <c r="J1123" s="13" t="s">
        <v>5</v>
      </c>
      <c r="K1123" s="13" t="s">
        <v>6</v>
      </c>
      <c r="L1123" s="15">
        <v>-1337423.3999999999</v>
      </c>
      <c r="M1123" s="15">
        <v>-15931.19</v>
      </c>
      <c r="N1123" s="16" t="str">
        <f>IF(M1123="","",IF(M1123&lt;0,-M1123&amp;"_"&amp;COUNTIF(M$2:M1123,M1123),M1123&amp;"_"&amp;COUNTIF(M$2:M1123,M1123)))</f>
        <v>15931.19_1</v>
      </c>
      <c r="O1123" s="17" t="str">
        <f t="shared" si="17"/>
        <v/>
      </c>
      <c r="P1123" s="13" t="s">
        <v>1881</v>
      </c>
      <c r="Q1123" s="13" t="s">
        <v>1869</v>
      </c>
      <c r="R1123" s="13" t="s">
        <v>0</v>
      </c>
      <c r="S1123" s="13" t="s">
        <v>0</v>
      </c>
      <c r="T1123" s="13" t="s">
        <v>9</v>
      </c>
      <c r="U1123" s="13" t="s">
        <v>0</v>
      </c>
      <c r="V1123" s="13" t="s">
        <v>0</v>
      </c>
      <c r="W1123" s="13" t="s">
        <v>0</v>
      </c>
      <c r="X1123" s="13" t="s">
        <v>0</v>
      </c>
      <c r="Y1123" s="13" t="s">
        <v>10</v>
      </c>
      <c r="Z1123" s="13" t="s">
        <v>0</v>
      </c>
      <c r="AA1123" s="14"/>
      <c r="AB1123" s="13" t="s">
        <v>0</v>
      </c>
      <c r="AC1123" s="13" t="s">
        <v>0</v>
      </c>
      <c r="AD1123" s="13" t="s">
        <v>0</v>
      </c>
      <c r="AE1123" s="15">
        <v>0</v>
      </c>
    </row>
    <row r="1124" spans="1:31" ht="14.15" customHeight="1" x14ac:dyDescent="0.25">
      <c r="A1124" s="12" t="s">
        <v>0</v>
      </c>
      <c r="B1124" s="13" t="s">
        <v>1</v>
      </c>
      <c r="C1124" s="13" t="s">
        <v>2467</v>
      </c>
      <c r="D1124" s="14">
        <v>44234</v>
      </c>
      <c r="E1124" s="14">
        <v>44234</v>
      </c>
      <c r="F1124" s="14">
        <v>44241</v>
      </c>
      <c r="G1124" s="13" t="s">
        <v>3</v>
      </c>
      <c r="H1124" s="13" t="s">
        <v>4</v>
      </c>
      <c r="I1124" s="15">
        <v>-15916.86</v>
      </c>
      <c r="J1124" s="13" t="s">
        <v>5</v>
      </c>
      <c r="K1124" s="13" t="s">
        <v>6</v>
      </c>
      <c r="L1124" s="15">
        <v>-1336220.3999999999</v>
      </c>
      <c r="M1124" s="15">
        <v>-15916.86</v>
      </c>
      <c r="N1124" s="16" t="str">
        <f>IF(M1124="","",IF(M1124&lt;0,-M1124&amp;"_"&amp;COUNTIF(M$2:M1124,M1124),M1124&amp;"_"&amp;COUNTIF(M$2:M1124,M1124)))</f>
        <v>15916.86_1</v>
      </c>
      <c r="O1124" s="17" t="str">
        <f t="shared" si="17"/>
        <v/>
      </c>
      <c r="P1124" s="13" t="s">
        <v>2468</v>
      </c>
      <c r="Q1124" s="13" t="s">
        <v>2462</v>
      </c>
      <c r="R1124" s="13" t="s">
        <v>0</v>
      </c>
      <c r="S1124" s="13" t="s">
        <v>0</v>
      </c>
      <c r="T1124" s="13" t="s">
        <v>9</v>
      </c>
      <c r="U1124" s="13" t="s">
        <v>0</v>
      </c>
      <c r="V1124" s="13" t="s">
        <v>0</v>
      </c>
      <c r="W1124" s="13" t="s">
        <v>0</v>
      </c>
      <c r="X1124" s="13" t="s">
        <v>0</v>
      </c>
      <c r="Y1124" s="13" t="s">
        <v>10</v>
      </c>
      <c r="Z1124" s="13" t="s">
        <v>0</v>
      </c>
      <c r="AA1124" s="14"/>
      <c r="AB1124" s="13" t="s">
        <v>0</v>
      </c>
      <c r="AC1124" s="13" t="s">
        <v>0</v>
      </c>
      <c r="AD1124" s="13" t="s">
        <v>0</v>
      </c>
      <c r="AE1124" s="15">
        <v>0</v>
      </c>
    </row>
    <row r="1125" spans="1:31" ht="14.15" customHeight="1" x14ac:dyDescent="0.25">
      <c r="A1125" s="12" t="s">
        <v>0</v>
      </c>
      <c r="B1125" s="13" t="s">
        <v>1</v>
      </c>
      <c r="C1125" s="13" t="s">
        <v>1740</v>
      </c>
      <c r="D1125" s="14">
        <v>44178</v>
      </c>
      <c r="E1125" s="14">
        <v>44178</v>
      </c>
      <c r="F1125" s="14">
        <v>44185</v>
      </c>
      <c r="G1125" s="13" t="s">
        <v>3</v>
      </c>
      <c r="H1125" s="13" t="s">
        <v>4</v>
      </c>
      <c r="I1125" s="15">
        <v>-15902.51</v>
      </c>
      <c r="J1125" s="13" t="s">
        <v>5</v>
      </c>
      <c r="K1125" s="13" t="s">
        <v>6</v>
      </c>
      <c r="L1125" s="15">
        <v>-1335015.71</v>
      </c>
      <c r="M1125" s="15">
        <v>-15902.51</v>
      </c>
      <c r="N1125" s="16" t="str">
        <f>IF(M1125="","",IF(M1125&lt;0,-M1125&amp;"_"&amp;COUNTIF(M$2:M1125,M1125),M1125&amp;"_"&amp;COUNTIF(M$2:M1125,M1125)))</f>
        <v>15902.51_1</v>
      </c>
      <c r="O1125" s="17" t="str">
        <f t="shared" si="17"/>
        <v/>
      </c>
      <c r="P1125" s="13" t="s">
        <v>1741</v>
      </c>
      <c r="Q1125" s="13" t="s">
        <v>1739</v>
      </c>
      <c r="R1125" s="13" t="s">
        <v>0</v>
      </c>
      <c r="S1125" s="13" t="s">
        <v>0</v>
      </c>
      <c r="T1125" s="13" t="s">
        <v>9</v>
      </c>
      <c r="U1125" s="13" t="s">
        <v>0</v>
      </c>
      <c r="V1125" s="13" t="s">
        <v>0</v>
      </c>
      <c r="W1125" s="13" t="s">
        <v>0</v>
      </c>
      <c r="X1125" s="13" t="s">
        <v>0</v>
      </c>
      <c r="Y1125" s="13" t="s">
        <v>10</v>
      </c>
      <c r="Z1125" s="13" t="s">
        <v>0</v>
      </c>
      <c r="AA1125" s="14"/>
      <c r="AB1125" s="13" t="s">
        <v>0</v>
      </c>
      <c r="AC1125" s="13" t="s">
        <v>0</v>
      </c>
      <c r="AD1125" s="13" t="s">
        <v>0</v>
      </c>
      <c r="AE1125" s="15">
        <v>0</v>
      </c>
    </row>
    <row r="1126" spans="1:31" ht="14.15" customHeight="1" x14ac:dyDescent="0.25">
      <c r="A1126" s="12" t="s">
        <v>0</v>
      </c>
      <c r="B1126" s="13" t="s">
        <v>1</v>
      </c>
      <c r="C1126" s="13" t="s">
        <v>3663</v>
      </c>
      <c r="D1126" s="14">
        <v>44335</v>
      </c>
      <c r="E1126" s="14">
        <v>44335</v>
      </c>
      <c r="F1126" s="14">
        <v>44340</v>
      </c>
      <c r="G1126" s="13" t="s">
        <v>3</v>
      </c>
      <c r="H1126" s="13" t="s">
        <v>4</v>
      </c>
      <c r="I1126" s="15">
        <v>-15897.31</v>
      </c>
      <c r="J1126" s="13" t="s">
        <v>5</v>
      </c>
      <c r="K1126" s="13" t="s">
        <v>6</v>
      </c>
      <c r="L1126" s="15">
        <v>-1334579.17</v>
      </c>
      <c r="M1126" s="15">
        <v>-15897.31</v>
      </c>
      <c r="N1126" s="16" t="str">
        <f>IF(M1126="","",IF(M1126&lt;0,-M1126&amp;"_"&amp;COUNTIF(M$2:M1126,M1126),M1126&amp;"_"&amp;COUNTIF(M$2:M1126,M1126)))</f>
        <v>15897.31_1</v>
      </c>
      <c r="O1126" s="17" t="str">
        <f t="shared" si="17"/>
        <v/>
      </c>
      <c r="P1126" s="13" t="s">
        <v>3664</v>
      </c>
      <c r="Q1126" s="13" t="s">
        <v>3665</v>
      </c>
      <c r="R1126" s="13" t="s">
        <v>0</v>
      </c>
      <c r="S1126" s="13" t="s">
        <v>0</v>
      </c>
      <c r="T1126" s="13" t="s">
        <v>9</v>
      </c>
      <c r="U1126" s="13" t="s">
        <v>0</v>
      </c>
      <c r="V1126" s="13" t="s">
        <v>0</v>
      </c>
      <c r="W1126" s="13" t="s">
        <v>0</v>
      </c>
      <c r="X1126" s="13" t="s">
        <v>0</v>
      </c>
      <c r="Y1126" s="13" t="s">
        <v>10</v>
      </c>
      <c r="Z1126" s="13" t="s">
        <v>0</v>
      </c>
      <c r="AA1126" s="14"/>
      <c r="AB1126" s="13" t="s">
        <v>0</v>
      </c>
      <c r="AC1126" s="13" t="s">
        <v>0</v>
      </c>
      <c r="AD1126" s="13" t="s">
        <v>0</v>
      </c>
      <c r="AE1126" s="15">
        <v>0</v>
      </c>
    </row>
    <row r="1127" spans="1:31" ht="14.15" customHeight="1" x14ac:dyDescent="0.25">
      <c r="A1127" s="12" t="s">
        <v>0</v>
      </c>
      <c r="B1127" s="13" t="s">
        <v>1</v>
      </c>
      <c r="C1127" s="13" t="s">
        <v>1347</v>
      </c>
      <c r="D1127" s="14">
        <v>44150</v>
      </c>
      <c r="E1127" s="14">
        <v>44150</v>
      </c>
      <c r="F1127" s="14">
        <v>44154</v>
      </c>
      <c r="G1127" s="13" t="s">
        <v>3</v>
      </c>
      <c r="H1127" s="13" t="s">
        <v>4</v>
      </c>
      <c r="I1127" s="15">
        <v>-15892.97</v>
      </c>
      <c r="J1127" s="13" t="s">
        <v>5</v>
      </c>
      <c r="K1127" s="13" t="s">
        <v>6</v>
      </c>
      <c r="L1127" s="15">
        <v>-1334214.83</v>
      </c>
      <c r="M1127" s="15">
        <v>-15892.97</v>
      </c>
      <c r="N1127" s="16" t="str">
        <f>IF(M1127="","",IF(M1127&lt;0,-M1127&amp;"_"&amp;COUNTIF(M$2:M1127,M1127),M1127&amp;"_"&amp;COUNTIF(M$2:M1127,M1127)))</f>
        <v>15892.97_1</v>
      </c>
      <c r="O1127" s="17" t="str">
        <f t="shared" si="17"/>
        <v/>
      </c>
      <c r="P1127" s="13" t="s">
        <v>1348</v>
      </c>
      <c r="Q1127" s="13" t="s">
        <v>1338</v>
      </c>
      <c r="R1127" s="13" t="s">
        <v>0</v>
      </c>
      <c r="S1127" s="13" t="s">
        <v>0</v>
      </c>
      <c r="T1127" s="13" t="s">
        <v>9</v>
      </c>
      <c r="U1127" s="13" t="s">
        <v>0</v>
      </c>
      <c r="V1127" s="13" t="s">
        <v>0</v>
      </c>
      <c r="W1127" s="13" t="s">
        <v>0</v>
      </c>
      <c r="X1127" s="13" t="s">
        <v>0</v>
      </c>
      <c r="Y1127" s="13" t="s">
        <v>10</v>
      </c>
      <c r="Z1127" s="13" t="s">
        <v>0</v>
      </c>
      <c r="AA1127" s="14"/>
      <c r="AB1127" s="13" t="s">
        <v>0</v>
      </c>
      <c r="AC1127" s="13" t="s">
        <v>0</v>
      </c>
      <c r="AD1127" s="13" t="s">
        <v>0</v>
      </c>
      <c r="AE1127" s="15">
        <v>0</v>
      </c>
    </row>
    <row r="1128" spans="1:31" ht="14.15" customHeight="1" x14ac:dyDescent="0.25">
      <c r="A1128" s="12" t="s">
        <v>0</v>
      </c>
      <c r="B1128" s="13" t="s">
        <v>1</v>
      </c>
      <c r="C1128" s="13" t="s">
        <v>113</v>
      </c>
      <c r="D1128" s="14">
        <v>44025</v>
      </c>
      <c r="E1128" s="14">
        <v>44025</v>
      </c>
      <c r="F1128" s="14">
        <v>44030</v>
      </c>
      <c r="G1128" s="13" t="s">
        <v>3</v>
      </c>
      <c r="H1128" s="13" t="s">
        <v>4</v>
      </c>
      <c r="I1128" s="15">
        <v>-15892.64</v>
      </c>
      <c r="J1128" s="13" t="s">
        <v>5</v>
      </c>
      <c r="K1128" s="13" t="s">
        <v>6</v>
      </c>
      <c r="L1128" s="15">
        <v>-1334187.1299999999</v>
      </c>
      <c r="M1128" s="15">
        <v>-15892.64</v>
      </c>
      <c r="N1128" s="16" t="str">
        <f>IF(M1128="","",IF(M1128&lt;0,-M1128&amp;"_"&amp;COUNTIF(M$2:M1128,M1128),M1128&amp;"_"&amp;COUNTIF(M$2:M1128,M1128)))</f>
        <v>15892.64_1</v>
      </c>
      <c r="O1128" s="17" t="str">
        <f t="shared" si="17"/>
        <v/>
      </c>
      <c r="P1128" s="13" t="s">
        <v>114</v>
      </c>
      <c r="Q1128" s="13" t="s">
        <v>104</v>
      </c>
      <c r="R1128" s="13" t="s">
        <v>0</v>
      </c>
      <c r="S1128" s="13" t="s">
        <v>0</v>
      </c>
      <c r="T1128" s="13" t="s">
        <v>9</v>
      </c>
      <c r="U1128" s="13" t="s">
        <v>0</v>
      </c>
      <c r="V1128" s="13" t="s">
        <v>0</v>
      </c>
      <c r="W1128" s="13" t="s">
        <v>0</v>
      </c>
      <c r="X1128" s="13" t="s">
        <v>0</v>
      </c>
      <c r="Y1128" s="13" t="s">
        <v>10</v>
      </c>
      <c r="Z1128" s="13" t="s">
        <v>0</v>
      </c>
      <c r="AA1128" s="14"/>
      <c r="AB1128" s="13" t="s">
        <v>0</v>
      </c>
      <c r="AC1128" s="13" t="s">
        <v>0</v>
      </c>
      <c r="AD1128" s="13" t="s">
        <v>0</v>
      </c>
      <c r="AE1128" s="15">
        <v>0</v>
      </c>
    </row>
    <row r="1129" spans="1:31" ht="14.15" customHeight="1" x14ac:dyDescent="0.25">
      <c r="A1129" s="12" t="s">
        <v>0</v>
      </c>
      <c r="B1129" s="13" t="s">
        <v>1</v>
      </c>
      <c r="C1129" s="13" t="s">
        <v>1778</v>
      </c>
      <c r="D1129" s="14">
        <v>44182</v>
      </c>
      <c r="E1129" s="14">
        <v>44182</v>
      </c>
      <c r="F1129" s="14">
        <v>44188</v>
      </c>
      <c r="G1129" s="13" t="s">
        <v>3</v>
      </c>
      <c r="H1129" s="13" t="s">
        <v>4</v>
      </c>
      <c r="I1129" s="15">
        <v>-15856.39</v>
      </c>
      <c r="J1129" s="13" t="s">
        <v>5</v>
      </c>
      <c r="K1129" s="13" t="s">
        <v>6</v>
      </c>
      <c r="L1129" s="15">
        <v>-1331143.94</v>
      </c>
      <c r="M1129" s="15">
        <v>-15856.39</v>
      </c>
      <c r="N1129" s="16" t="str">
        <f>IF(M1129="","",IF(M1129&lt;0,-M1129&amp;"_"&amp;COUNTIF(M$2:M1129,M1129),M1129&amp;"_"&amp;COUNTIF(M$2:M1129,M1129)))</f>
        <v>15856.39_1</v>
      </c>
      <c r="O1129" s="17" t="str">
        <f t="shared" si="17"/>
        <v/>
      </c>
      <c r="P1129" s="13" t="s">
        <v>1779</v>
      </c>
      <c r="Q1129" s="13" t="s">
        <v>1777</v>
      </c>
      <c r="R1129" s="13" t="s">
        <v>0</v>
      </c>
      <c r="S1129" s="13" t="s">
        <v>0</v>
      </c>
      <c r="T1129" s="13" t="s">
        <v>9</v>
      </c>
      <c r="U1129" s="13" t="s">
        <v>0</v>
      </c>
      <c r="V1129" s="13" t="s">
        <v>0</v>
      </c>
      <c r="W1129" s="13" t="s">
        <v>0</v>
      </c>
      <c r="X1129" s="13" t="s">
        <v>0</v>
      </c>
      <c r="Y1129" s="13" t="s">
        <v>10</v>
      </c>
      <c r="Z1129" s="13" t="s">
        <v>0</v>
      </c>
      <c r="AA1129" s="14"/>
      <c r="AB1129" s="13" t="s">
        <v>0</v>
      </c>
      <c r="AC1129" s="13" t="s">
        <v>0</v>
      </c>
      <c r="AD1129" s="13" t="s">
        <v>0</v>
      </c>
      <c r="AE1129" s="15">
        <v>0</v>
      </c>
    </row>
    <row r="1130" spans="1:31" ht="14.15" customHeight="1" x14ac:dyDescent="0.25">
      <c r="A1130" s="12" t="s">
        <v>0</v>
      </c>
      <c r="B1130" s="13" t="s">
        <v>1</v>
      </c>
      <c r="C1130" s="13" t="s">
        <v>2675</v>
      </c>
      <c r="D1130" s="14">
        <v>44253</v>
      </c>
      <c r="E1130" s="14">
        <v>44253</v>
      </c>
      <c r="F1130" s="14">
        <v>44258</v>
      </c>
      <c r="G1130" s="13" t="s">
        <v>3</v>
      </c>
      <c r="H1130" s="13" t="s">
        <v>4</v>
      </c>
      <c r="I1130" s="15">
        <v>-15816.81</v>
      </c>
      <c r="J1130" s="13" t="s">
        <v>5</v>
      </c>
      <c r="K1130" s="13" t="s">
        <v>6</v>
      </c>
      <c r="L1130" s="15">
        <v>-1327821.19</v>
      </c>
      <c r="M1130" s="15">
        <v>-15816.81</v>
      </c>
      <c r="N1130" s="16" t="str">
        <f>IF(M1130="","",IF(M1130&lt;0,-M1130&amp;"_"&amp;COUNTIF(M$2:M1130,M1130),M1130&amp;"_"&amp;COUNTIF(M$2:M1130,M1130)))</f>
        <v>15816.81_1</v>
      </c>
      <c r="O1130" s="17" t="str">
        <f t="shared" si="17"/>
        <v/>
      </c>
      <c r="P1130" s="13" t="s">
        <v>2676</v>
      </c>
      <c r="Q1130" s="13" t="s">
        <v>2660</v>
      </c>
      <c r="R1130" s="13" t="s">
        <v>0</v>
      </c>
      <c r="S1130" s="13" t="s">
        <v>0</v>
      </c>
      <c r="T1130" s="13" t="s">
        <v>9</v>
      </c>
      <c r="U1130" s="13" t="s">
        <v>0</v>
      </c>
      <c r="V1130" s="13" t="s">
        <v>0</v>
      </c>
      <c r="W1130" s="13" t="s">
        <v>0</v>
      </c>
      <c r="X1130" s="13" t="s">
        <v>0</v>
      </c>
      <c r="Y1130" s="13" t="s">
        <v>10</v>
      </c>
      <c r="Z1130" s="13" t="s">
        <v>0</v>
      </c>
      <c r="AA1130" s="14"/>
      <c r="AB1130" s="13" t="s">
        <v>0</v>
      </c>
      <c r="AC1130" s="13" t="s">
        <v>0</v>
      </c>
      <c r="AD1130" s="13" t="s">
        <v>0</v>
      </c>
      <c r="AE1130" s="15">
        <v>0</v>
      </c>
    </row>
    <row r="1131" spans="1:31" ht="14.15" customHeight="1" x14ac:dyDescent="0.25">
      <c r="A1131" s="12" t="s">
        <v>0</v>
      </c>
      <c r="B1131" s="13" t="s">
        <v>1</v>
      </c>
      <c r="C1131" s="13" t="s">
        <v>3147</v>
      </c>
      <c r="D1131" s="14">
        <v>44296</v>
      </c>
      <c r="E1131" s="14">
        <v>44296</v>
      </c>
      <c r="F1131" s="14">
        <v>44299</v>
      </c>
      <c r="G1131" s="13" t="s">
        <v>3</v>
      </c>
      <c r="H1131" s="13" t="s">
        <v>4</v>
      </c>
      <c r="I1131" s="15">
        <v>-15802.16</v>
      </c>
      <c r="J1131" s="13" t="s">
        <v>5</v>
      </c>
      <c r="K1131" s="13" t="s">
        <v>6</v>
      </c>
      <c r="L1131" s="15">
        <v>-1326591.33</v>
      </c>
      <c r="M1131" s="15">
        <v>-15802.16</v>
      </c>
      <c r="N1131" s="16" t="str">
        <f>IF(M1131="","",IF(M1131&lt;0,-M1131&amp;"_"&amp;COUNTIF(M$2:M1131,M1131),M1131&amp;"_"&amp;COUNTIF(M$2:M1131,M1131)))</f>
        <v>15802.16_1</v>
      </c>
      <c r="O1131" s="17" t="str">
        <f t="shared" si="17"/>
        <v/>
      </c>
      <c r="P1131" s="13" t="s">
        <v>3148</v>
      </c>
      <c r="Q1131" s="13" t="s">
        <v>3149</v>
      </c>
      <c r="R1131" s="13" t="s">
        <v>0</v>
      </c>
      <c r="S1131" s="13" t="s">
        <v>0</v>
      </c>
      <c r="T1131" s="13" t="s">
        <v>9</v>
      </c>
      <c r="U1131" s="13" t="s">
        <v>0</v>
      </c>
      <c r="V1131" s="13" t="s">
        <v>0</v>
      </c>
      <c r="W1131" s="13" t="s">
        <v>0</v>
      </c>
      <c r="X1131" s="13" t="s">
        <v>0</v>
      </c>
      <c r="Y1131" s="13" t="s">
        <v>10</v>
      </c>
      <c r="Z1131" s="13" t="s">
        <v>0</v>
      </c>
      <c r="AA1131" s="14"/>
      <c r="AB1131" s="13" t="s">
        <v>0</v>
      </c>
      <c r="AC1131" s="13" t="s">
        <v>0</v>
      </c>
      <c r="AD1131" s="13" t="s">
        <v>0</v>
      </c>
      <c r="AE1131" s="15">
        <v>0</v>
      </c>
    </row>
    <row r="1132" spans="1:31" ht="14.15" customHeight="1" x14ac:dyDescent="0.25">
      <c r="A1132" s="12" t="s">
        <v>0</v>
      </c>
      <c r="B1132" s="13" t="s">
        <v>1</v>
      </c>
      <c r="C1132" s="13" t="s">
        <v>1202</v>
      </c>
      <c r="D1132" s="14">
        <v>44140</v>
      </c>
      <c r="E1132" s="14">
        <v>44140</v>
      </c>
      <c r="F1132" s="14">
        <v>44146</v>
      </c>
      <c r="G1132" s="13" t="s">
        <v>3</v>
      </c>
      <c r="H1132" s="13" t="s">
        <v>4</v>
      </c>
      <c r="I1132" s="15">
        <v>-15719.63</v>
      </c>
      <c r="J1132" s="13" t="s">
        <v>5</v>
      </c>
      <c r="K1132" s="13" t="s">
        <v>6</v>
      </c>
      <c r="L1132" s="15">
        <v>-1319662.94</v>
      </c>
      <c r="M1132" s="15">
        <v>-15719.63</v>
      </c>
      <c r="N1132" s="16" t="str">
        <f>IF(M1132="","",IF(M1132&lt;0,-M1132&amp;"_"&amp;COUNTIF(M$2:M1132,M1132),M1132&amp;"_"&amp;COUNTIF(M$2:M1132,M1132)))</f>
        <v>15719.63_1</v>
      </c>
      <c r="O1132" s="17" t="str">
        <f t="shared" si="17"/>
        <v/>
      </c>
      <c r="P1132" s="13" t="s">
        <v>1203</v>
      </c>
      <c r="Q1132" s="13" t="s">
        <v>1165</v>
      </c>
      <c r="R1132" s="13" t="s">
        <v>0</v>
      </c>
      <c r="S1132" s="13" t="s">
        <v>0</v>
      </c>
      <c r="T1132" s="13" t="s">
        <v>9</v>
      </c>
      <c r="U1132" s="13" t="s">
        <v>0</v>
      </c>
      <c r="V1132" s="13" t="s">
        <v>0</v>
      </c>
      <c r="W1132" s="13" t="s">
        <v>0</v>
      </c>
      <c r="X1132" s="13" t="s">
        <v>0</v>
      </c>
      <c r="Y1132" s="13" t="s">
        <v>10</v>
      </c>
      <c r="Z1132" s="13" t="s">
        <v>0</v>
      </c>
      <c r="AA1132" s="14"/>
      <c r="AB1132" s="13" t="s">
        <v>0</v>
      </c>
      <c r="AC1132" s="13" t="s">
        <v>0</v>
      </c>
      <c r="AD1132" s="13" t="s">
        <v>0</v>
      </c>
      <c r="AE1132" s="15">
        <v>0</v>
      </c>
    </row>
    <row r="1133" spans="1:31" ht="14.15" customHeight="1" x14ac:dyDescent="0.25">
      <c r="A1133" s="12" t="s">
        <v>0</v>
      </c>
      <c r="B1133" s="13" t="s">
        <v>1</v>
      </c>
      <c r="C1133" s="13" t="s">
        <v>3571</v>
      </c>
      <c r="D1133" s="14">
        <v>44325</v>
      </c>
      <c r="E1133" s="14">
        <v>44325</v>
      </c>
      <c r="F1133" s="14">
        <v>44333</v>
      </c>
      <c r="G1133" s="13" t="s">
        <v>3</v>
      </c>
      <c r="H1133" s="13" t="s">
        <v>4</v>
      </c>
      <c r="I1133" s="15">
        <v>-15716.54</v>
      </c>
      <c r="J1133" s="13" t="s">
        <v>5</v>
      </c>
      <c r="K1133" s="13" t="s">
        <v>6</v>
      </c>
      <c r="L1133" s="15">
        <v>-1319403.53</v>
      </c>
      <c r="M1133" s="15">
        <v>-15716.54</v>
      </c>
      <c r="N1133" s="16" t="str">
        <f>IF(M1133="","",IF(M1133&lt;0,-M1133&amp;"_"&amp;COUNTIF(M$2:M1133,M1133),M1133&amp;"_"&amp;COUNTIF(M$2:M1133,M1133)))</f>
        <v>15716.54_1</v>
      </c>
      <c r="O1133" s="17" t="str">
        <f t="shared" si="17"/>
        <v/>
      </c>
      <c r="P1133" s="13" t="s">
        <v>3572</v>
      </c>
      <c r="Q1133" s="13" t="s">
        <v>3557</v>
      </c>
      <c r="R1133" s="13" t="s">
        <v>0</v>
      </c>
      <c r="S1133" s="13" t="s">
        <v>0</v>
      </c>
      <c r="T1133" s="13" t="s">
        <v>9</v>
      </c>
      <c r="U1133" s="13" t="s">
        <v>0</v>
      </c>
      <c r="V1133" s="13" t="s">
        <v>0</v>
      </c>
      <c r="W1133" s="13" t="s">
        <v>0</v>
      </c>
      <c r="X1133" s="13" t="s">
        <v>0</v>
      </c>
      <c r="Y1133" s="13" t="s">
        <v>10</v>
      </c>
      <c r="Z1133" s="13" t="s">
        <v>0</v>
      </c>
      <c r="AA1133" s="14"/>
      <c r="AB1133" s="13" t="s">
        <v>0</v>
      </c>
      <c r="AC1133" s="13" t="s">
        <v>0</v>
      </c>
      <c r="AD1133" s="13" t="s">
        <v>0</v>
      </c>
      <c r="AE1133" s="15">
        <v>0</v>
      </c>
    </row>
    <row r="1134" spans="1:31" ht="14.15" customHeight="1" x14ac:dyDescent="0.25">
      <c r="A1134" s="12" t="s">
        <v>0</v>
      </c>
      <c r="B1134" s="13" t="s">
        <v>1</v>
      </c>
      <c r="C1134" s="13" t="s">
        <v>1431</v>
      </c>
      <c r="D1134" s="14">
        <v>44156</v>
      </c>
      <c r="E1134" s="14">
        <v>44156</v>
      </c>
      <c r="F1134" s="14">
        <v>44165</v>
      </c>
      <c r="G1134" s="13" t="s">
        <v>3</v>
      </c>
      <c r="H1134" s="13" t="s">
        <v>4</v>
      </c>
      <c r="I1134" s="15">
        <v>-15712.44</v>
      </c>
      <c r="J1134" s="13" t="s">
        <v>5</v>
      </c>
      <c r="K1134" s="13" t="s">
        <v>6</v>
      </c>
      <c r="L1134" s="15">
        <v>-1319059.3400000001</v>
      </c>
      <c r="M1134" s="15">
        <v>-15712.44</v>
      </c>
      <c r="N1134" s="16" t="str">
        <f>IF(M1134="","",IF(M1134&lt;0,-M1134&amp;"_"&amp;COUNTIF(M$2:M1134,M1134),M1134&amp;"_"&amp;COUNTIF(M$2:M1134,M1134)))</f>
        <v>15712.44_1</v>
      </c>
      <c r="O1134" s="17" t="str">
        <f t="shared" si="17"/>
        <v/>
      </c>
      <c r="P1134" s="13" t="s">
        <v>1432</v>
      </c>
      <c r="Q1134" s="13" t="s">
        <v>1426</v>
      </c>
      <c r="R1134" s="13" t="s">
        <v>0</v>
      </c>
      <c r="S1134" s="13" t="s">
        <v>0</v>
      </c>
      <c r="T1134" s="13" t="s">
        <v>9</v>
      </c>
      <c r="U1134" s="13" t="s">
        <v>0</v>
      </c>
      <c r="V1134" s="13" t="s">
        <v>0</v>
      </c>
      <c r="W1134" s="13" t="s">
        <v>0</v>
      </c>
      <c r="X1134" s="13" t="s">
        <v>0</v>
      </c>
      <c r="Y1134" s="13" t="s">
        <v>10</v>
      </c>
      <c r="Z1134" s="13" t="s">
        <v>0</v>
      </c>
      <c r="AA1134" s="14"/>
      <c r="AB1134" s="13" t="s">
        <v>0</v>
      </c>
      <c r="AC1134" s="13" t="s">
        <v>0</v>
      </c>
      <c r="AD1134" s="13" t="s">
        <v>0</v>
      </c>
      <c r="AE1134" s="15">
        <v>0</v>
      </c>
    </row>
    <row r="1135" spans="1:31" ht="14.15" customHeight="1" x14ac:dyDescent="0.25">
      <c r="A1135" s="12" t="s">
        <v>0</v>
      </c>
      <c r="B1135" s="13" t="s">
        <v>1</v>
      </c>
      <c r="C1135" s="13" t="s">
        <v>1981</v>
      </c>
      <c r="D1135" s="14">
        <v>44196</v>
      </c>
      <c r="E1135" s="14">
        <v>44196</v>
      </c>
      <c r="F1135" s="14">
        <v>44201</v>
      </c>
      <c r="G1135" s="13" t="s">
        <v>3</v>
      </c>
      <c r="H1135" s="13" t="s">
        <v>4</v>
      </c>
      <c r="I1135" s="15">
        <v>-15705.76</v>
      </c>
      <c r="J1135" s="13" t="s">
        <v>5</v>
      </c>
      <c r="K1135" s="13" t="s">
        <v>6</v>
      </c>
      <c r="L1135" s="15">
        <v>-1318498.55</v>
      </c>
      <c r="M1135" s="15">
        <v>-15705.76</v>
      </c>
      <c r="N1135" s="16" t="str">
        <f>IF(M1135="","",IF(M1135&lt;0,-M1135&amp;"_"&amp;COUNTIF(M$2:M1135,M1135),M1135&amp;"_"&amp;COUNTIF(M$2:M1135,M1135)))</f>
        <v>15705.76_1</v>
      </c>
      <c r="O1135" s="17" t="str">
        <f t="shared" si="17"/>
        <v/>
      </c>
      <c r="P1135" s="13" t="s">
        <v>1982</v>
      </c>
      <c r="Q1135" s="13" t="s">
        <v>1976</v>
      </c>
      <c r="R1135" s="13" t="s">
        <v>0</v>
      </c>
      <c r="S1135" s="13" t="s">
        <v>0</v>
      </c>
      <c r="T1135" s="13" t="s">
        <v>9</v>
      </c>
      <c r="U1135" s="13" t="s">
        <v>0</v>
      </c>
      <c r="V1135" s="13" t="s">
        <v>0</v>
      </c>
      <c r="W1135" s="13" t="s">
        <v>0</v>
      </c>
      <c r="X1135" s="13" t="s">
        <v>0</v>
      </c>
      <c r="Y1135" s="13" t="s">
        <v>10</v>
      </c>
      <c r="Z1135" s="13" t="s">
        <v>0</v>
      </c>
      <c r="AA1135" s="14"/>
      <c r="AB1135" s="13" t="s">
        <v>0</v>
      </c>
      <c r="AC1135" s="13" t="s">
        <v>0</v>
      </c>
      <c r="AD1135" s="13" t="s">
        <v>0</v>
      </c>
      <c r="AE1135" s="15">
        <v>0</v>
      </c>
    </row>
    <row r="1136" spans="1:31" ht="14.15" customHeight="1" x14ac:dyDescent="0.25">
      <c r="A1136" s="12" t="s">
        <v>0</v>
      </c>
      <c r="B1136" s="13" t="s">
        <v>1</v>
      </c>
      <c r="C1136" s="13" t="s">
        <v>4367</v>
      </c>
      <c r="D1136" s="14">
        <v>44376</v>
      </c>
      <c r="E1136" s="14">
        <v>44376</v>
      </c>
      <c r="F1136" s="14">
        <v>44384</v>
      </c>
      <c r="G1136" s="13" t="s">
        <v>3</v>
      </c>
      <c r="H1136" s="13" t="s">
        <v>4</v>
      </c>
      <c r="I1136" s="15">
        <v>-15699.85</v>
      </c>
      <c r="J1136" s="13" t="s">
        <v>5</v>
      </c>
      <c r="K1136" s="13" t="s">
        <v>6</v>
      </c>
      <c r="L1136" s="15">
        <v>-1318002.4099999999</v>
      </c>
      <c r="M1136" s="15">
        <v>-15699.85</v>
      </c>
      <c r="N1136" s="16" t="str">
        <f>IF(M1136="","",IF(M1136&lt;0,-M1136&amp;"_"&amp;COUNTIF(M$2:M1136,M1136),M1136&amp;"_"&amp;COUNTIF(M$2:M1136,M1136)))</f>
        <v>15699.85_1</v>
      </c>
      <c r="O1136" s="17" t="str">
        <f t="shared" si="17"/>
        <v/>
      </c>
      <c r="P1136" s="13" t="s">
        <v>4368</v>
      </c>
      <c r="Q1136" s="13" t="s">
        <v>4350</v>
      </c>
      <c r="R1136" s="13" t="s">
        <v>0</v>
      </c>
      <c r="S1136" s="13" t="s">
        <v>0</v>
      </c>
      <c r="T1136" s="13" t="s">
        <v>9</v>
      </c>
      <c r="U1136" s="13" t="s">
        <v>0</v>
      </c>
      <c r="V1136" s="13" t="s">
        <v>0</v>
      </c>
      <c r="W1136" s="13" t="s">
        <v>0</v>
      </c>
      <c r="X1136" s="13" t="s">
        <v>0</v>
      </c>
      <c r="Y1136" s="13" t="s">
        <v>10</v>
      </c>
      <c r="Z1136" s="13" t="s">
        <v>0</v>
      </c>
      <c r="AA1136" s="14"/>
      <c r="AB1136" s="13" t="s">
        <v>0</v>
      </c>
      <c r="AC1136" s="13" t="s">
        <v>0</v>
      </c>
      <c r="AD1136" s="13" t="s">
        <v>0</v>
      </c>
      <c r="AE1136" s="15">
        <v>0</v>
      </c>
    </row>
    <row r="1137" spans="1:31" ht="14.15" customHeight="1" x14ac:dyDescent="0.25">
      <c r="A1137" s="12" t="s">
        <v>0</v>
      </c>
      <c r="B1137" s="13" t="s">
        <v>1</v>
      </c>
      <c r="C1137" s="13" t="s">
        <v>3462</v>
      </c>
      <c r="D1137" s="14">
        <v>44320</v>
      </c>
      <c r="E1137" s="14">
        <v>44320</v>
      </c>
      <c r="F1137" s="14">
        <v>44328</v>
      </c>
      <c r="G1137" s="13" t="s">
        <v>3</v>
      </c>
      <c r="H1137" s="13" t="s">
        <v>4</v>
      </c>
      <c r="I1137" s="15">
        <v>-15693.11</v>
      </c>
      <c r="J1137" s="13" t="s">
        <v>5</v>
      </c>
      <c r="K1137" s="13" t="s">
        <v>6</v>
      </c>
      <c r="L1137" s="15">
        <v>-1317436.58</v>
      </c>
      <c r="M1137" s="15">
        <v>-15693.11</v>
      </c>
      <c r="N1137" s="16" t="str">
        <f>IF(M1137="","",IF(M1137&lt;0,-M1137&amp;"_"&amp;COUNTIF(M$2:M1137,M1137),M1137&amp;"_"&amp;COUNTIF(M$2:M1137,M1137)))</f>
        <v>15693.11_1</v>
      </c>
      <c r="O1137" s="17" t="str">
        <f t="shared" si="17"/>
        <v/>
      </c>
      <c r="P1137" s="13" t="s">
        <v>3463</v>
      </c>
      <c r="Q1137" s="13" t="s">
        <v>3453</v>
      </c>
      <c r="R1137" s="13" t="s">
        <v>0</v>
      </c>
      <c r="S1137" s="13" t="s">
        <v>0</v>
      </c>
      <c r="T1137" s="13" t="s">
        <v>9</v>
      </c>
      <c r="U1137" s="13" t="s">
        <v>0</v>
      </c>
      <c r="V1137" s="13" t="s">
        <v>0</v>
      </c>
      <c r="W1137" s="13" t="s">
        <v>0</v>
      </c>
      <c r="X1137" s="13" t="s">
        <v>0</v>
      </c>
      <c r="Y1137" s="13" t="s">
        <v>10</v>
      </c>
      <c r="Z1137" s="13" t="s">
        <v>0</v>
      </c>
      <c r="AA1137" s="14"/>
      <c r="AB1137" s="13" t="s">
        <v>0</v>
      </c>
      <c r="AC1137" s="13" t="s">
        <v>0</v>
      </c>
      <c r="AD1137" s="13" t="s">
        <v>0</v>
      </c>
      <c r="AE1137" s="15">
        <v>0</v>
      </c>
    </row>
    <row r="1138" spans="1:31" ht="14.15" customHeight="1" x14ac:dyDescent="0.25">
      <c r="A1138" s="12" t="s">
        <v>0</v>
      </c>
      <c r="B1138" s="13" t="s">
        <v>1</v>
      </c>
      <c r="C1138" s="13" t="s">
        <v>246</v>
      </c>
      <c r="D1138" s="14">
        <v>44040</v>
      </c>
      <c r="E1138" s="14">
        <v>44040</v>
      </c>
      <c r="F1138" s="14">
        <v>44057</v>
      </c>
      <c r="G1138" s="13" t="s">
        <v>3</v>
      </c>
      <c r="H1138" s="13" t="s">
        <v>4</v>
      </c>
      <c r="I1138" s="15">
        <v>-15647.02</v>
      </c>
      <c r="J1138" s="13" t="s">
        <v>5</v>
      </c>
      <c r="K1138" s="13" t="s">
        <v>6</v>
      </c>
      <c r="L1138" s="15">
        <v>-1313567.33</v>
      </c>
      <c r="M1138" s="15">
        <v>-15647.02</v>
      </c>
      <c r="N1138" s="16" t="str">
        <f>IF(M1138="","",IF(M1138&lt;0,-M1138&amp;"_"&amp;COUNTIF(M$2:M1138,M1138),M1138&amp;"_"&amp;COUNTIF(M$2:M1138,M1138)))</f>
        <v>15647.02_1</v>
      </c>
      <c r="O1138" s="17" t="str">
        <f t="shared" si="17"/>
        <v/>
      </c>
      <c r="P1138" s="13" t="s">
        <v>247</v>
      </c>
      <c r="Q1138" s="13" t="s">
        <v>241</v>
      </c>
      <c r="R1138" s="13" t="s">
        <v>0</v>
      </c>
      <c r="S1138" s="13" t="s">
        <v>0</v>
      </c>
      <c r="T1138" s="13" t="s">
        <v>9</v>
      </c>
      <c r="U1138" s="13" t="s">
        <v>0</v>
      </c>
      <c r="V1138" s="13" t="s">
        <v>0</v>
      </c>
      <c r="W1138" s="13" t="s">
        <v>0</v>
      </c>
      <c r="X1138" s="13" t="s">
        <v>0</v>
      </c>
      <c r="Y1138" s="13" t="s">
        <v>10</v>
      </c>
      <c r="Z1138" s="13" t="s">
        <v>0</v>
      </c>
      <c r="AA1138" s="14"/>
      <c r="AB1138" s="13" t="s">
        <v>0</v>
      </c>
      <c r="AC1138" s="13" t="s">
        <v>0</v>
      </c>
      <c r="AD1138" s="13" t="s">
        <v>0</v>
      </c>
      <c r="AE1138" s="15">
        <v>0</v>
      </c>
    </row>
    <row r="1139" spans="1:31" ht="14.15" customHeight="1" x14ac:dyDescent="0.25">
      <c r="A1139" s="12" t="s">
        <v>0</v>
      </c>
      <c r="B1139" s="13" t="s">
        <v>1</v>
      </c>
      <c r="C1139" s="13" t="s">
        <v>3064</v>
      </c>
      <c r="D1139" s="14">
        <v>44284</v>
      </c>
      <c r="E1139" s="14">
        <v>44284</v>
      </c>
      <c r="F1139" s="14">
        <v>44290</v>
      </c>
      <c r="G1139" s="13" t="s">
        <v>3</v>
      </c>
      <c r="H1139" s="13" t="s">
        <v>4</v>
      </c>
      <c r="I1139" s="15">
        <v>-15630.32</v>
      </c>
      <c r="J1139" s="13" t="s">
        <v>5</v>
      </c>
      <c r="K1139" s="13" t="s">
        <v>6</v>
      </c>
      <c r="L1139" s="15">
        <v>-1312165.3700000001</v>
      </c>
      <c r="M1139" s="15">
        <v>-15630.32</v>
      </c>
      <c r="N1139" s="16" t="str">
        <f>IF(M1139="","",IF(M1139&lt;0,-M1139&amp;"_"&amp;COUNTIF(M$2:M1139,M1139),M1139&amp;"_"&amp;COUNTIF(M$2:M1139,M1139)))</f>
        <v>15630.32_1</v>
      </c>
      <c r="O1139" s="17" t="str">
        <f t="shared" si="17"/>
        <v/>
      </c>
      <c r="P1139" s="13" t="s">
        <v>3065</v>
      </c>
      <c r="Q1139" s="13" t="s">
        <v>3061</v>
      </c>
      <c r="R1139" s="13" t="s">
        <v>0</v>
      </c>
      <c r="S1139" s="13" t="s">
        <v>0</v>
      </c>
      <c r="T1139" s="13" t="s">
        <v>9</v>
      </c>
      <c r="U1139" s="13" t="s">
        <v>0</v>
      </c>
      <c r="V1139" s="13" t="s">
        <v>0</v>
      </c>
      <c r="W1139" s="13" t="s">
        <v>0</v>
      </c>
      <c r="X1139" s="13" t="s">
        <v>0</v>
      </c>
      <c r="Y1139" s="13" t="s">
        <v>10</v>
      </c>
      <c r="Z1139" s="13" t="s">
        <v>0</v>
      </c>
      <c r="AA1139" s="14"/>
      <c r="AB1139" s="13" t="s">
        <v>0</v>
      </c>
      <c r="AC1139" s="13" t="s">
        <v>0</v>
      </c>
      <c r="AD1139" s="13" t="s">
        <v>0</v>
      </c>
      <c r="AE1139" s="15">
        <v>0</v>
      </c>
    </row>
    <row r="1140" spans="1:31" ht="14.15" customHeight="1" x14ac:dyDescent="0.25">
      <c r="A1140" s="12" t="s">
        <v>0</v>
      </c>
      <c r="B1140" s="13" t="s">
        <v>1</v>
      </c>
      <c r="C1140" s="13" t="s">
        <v>2174</v>
      </c>
      <c r="D1140" s="14">
        <v>44210</v>
      </c>
      <c r="E1140" s="14">
        <v>44210</v>
      </c>
      <c r="F1140" s="14">
        <v>44216</v>
      </c>
      <c r="G1140" s="13" t="s">
        <v>3</v>
      </c>
      <c r="H1140" s="13" t="s">
        <v>4</v>
      </c>
      <c r="I1140" s="15">
        <v>-15617.1</v>
      </c>
      <c r="J1140" s="13" t="s">
        <v>5</v>
      </c>
      <c r="K1140" s="13" t="s">
        <v>6</v>
      </c>
      <c r="L1140" s="15">
        <v>-1311055.55</v>
      </c>
      <c r="M1140" s="15">
        <v>-15617.1</v>
      </c>
      <c r="N1140" s="16" t="str">
        <f>IF(M1140="","",IF(M1140&lt;0,-M1140&amp;"_"&amp;COUNTIF(M$2:M1140,M1140),M1140&amp;"_"&amp;COUNTIF(M$2:M1140,M1140)))</f>
        <v>15617.1_1</v>
      </c>
      <c r="O1140" s="17" t="str">
        <f t="shared" si="17"/>
        <v/>
      </c>
      <c r="P1140" s="13" t="s">
        <v>2175</v>
      </c>
      <c r="Q1140" s="13" t="s">
        <v>2176</v>
      </c>
      <c r="R1140" s="13" t="s">
        <v>0</v>
      </c>
      <c r="S1140" s="13" t="s">
        <v>0</v>
      </c>
      <c r="T1140" s="13" t="s">
        <v>9</v>
      </c>
      <c r="U1140" s="13" t="s">
        <v>0</v>
      </c>
      <c r="V1140" s="13" t="s">
        <v>0</v>
      </c>
      <c r="W1140" s="13" t="s">
        <v>0</v>
      </c>
      <c r="X1140" s="13" t="s">
        <v>0</v>
      </c>
      <c r="Y1140" s="13" t="s">
        <v>10</v>
      </c>
      <c r="Z1140" s="13" t="s">
        <v>0</v>
      </c>
      <c r="AA1140" s="14"/>
      <c r="AB1140" s="13" t="s">
        <v>0</v>
      </c>
      <c r="AC1140" s="13" t="s">
        <v>0</v>
      </c>
      <c r="AD1140" s="13" t="s">
        <v>0</v>
      </c>
      <c r="AE1140" s="15">
        <v>0</v>
      </c>
    </row>
    <row r="1141" spans="1:31" ht="14.15" customHeight="1" x14ac:dyDescent="0.25">
      <c r="A1141" s="12" t="s">
        <v>0</v>
      </c>
      <c r="B1141" s="13" t="s">
        <v>1</v>
      </c>
      <c r="C1141" s="13" t="s">
        <v>166</v>
      </c>
      <c r="D1141" s="14">
        <v>44032</v>
      </c>
      <c r="E1141" s="14">
        <v>44032</v>
      </c>
      <c r="F1141" s="14">
        <v>44041</v>
      </c>
      <c r="G1141" s="13" t="s">
        <v>3</v>
      </c>
      <c r="H1141" s="13" t="s">
        <v>4</v>
      </c>
      <c r="I1141" s="15">
        <v>-15605.7</v>
      </c>
      <c r="J1141" s="13" t="s">
        <v>5</v>
      </c>
      <c r="K1141" s="13" t="s">
        <v>6</v>
      </c>
      <c r="L1141" s="15">
        <v>-1310098.52</v>
      </c>
      <c r="M1141" s="15">
        <v>-15605.7</v>
      </c>
      <c r="N1141" s="16" t="str">
        <f>IF(M1141="","",IF(M1141&lt;0,-M1141&amp;"_"&amp;COUNTIF(M$2:M1141,M1141),M1141&amp;"_"&amp;COUNTIF(M$2:M1141,M1141)))</f>
        <v>15605.7_1</v>
      </c>
      <c r="O1141" s="17" t="str">
        <f t="shared" si="17"/>
        <v/>
      </c>
      <c r="P1141" s="13" t="s">
        <v>167</v>
      </c>
      <c r="Q1141" s="13" t="s">
        <v>163</v>
      </c>
      <c r="R1141" s="13" t="s">
        <v>0</v>
      </c>
      <c r="S1141" s="13" t="s">
        <v>0</v>
      </c>
      <c r="T1141" s="13" t="s">
        <v>9</v>
      </c>
      <c r="U1141" s="13" t="s">
        <v>0</v>
      </c>
      <c r="V1141" s="13" t="s">
        <v>0</v>
      </c>
      <c r="W1141" s="13" t="s">
        <v>0</v>
      </c>
      <c r="X1141" s="13" t="s">
        <v>0</v>
      </c>
      <c r="Y1141" s="13" t="s">
        <v>10</v>
      </c>
      <c r="Z1141" s="13" t="s">
        <v>0</v>
      </c>
      <c r="AA1141" s="14"/>
      <c r="AB1141" s="13" t="s">
        <v>0</v>
      </c>
      <c r="AC1141" s="13" t="s">
        <v>0</v>
      </c>
      <c r="AD1141" s="13" t="s">
        <v>0</v>
      </c>
      <c r="AE1141" s="15">
        <v>0</v>
      </c>
    </row>
    <row r="1142" spans="1:31" ht="14.15" customHeight="1" x14ac:dyDescent="0.25">
      <c r="A1142" s="12" t="s">
        <v>0</v>
      </c>
      <c r="B1142" s="13" t="s">
        <v>1</v>
      </c>
      <c r="C1142" s="13" t="s">
        <v>1227</v>
      </c>
      <c r="D1142" s="14">
        <v>44142</v>
      </c>
      <c r="E1142" s="14">
        <v>44142</v>
      </c>
      <c r="F1142" s="14">
        <v>44149</v>
      </c>
      <c r="G1142" s="13" t="s">
        <v>3</v>
      </c>
      <c r="H1142" s="13" t="s">
        <v>4</v>
      </c>
      <c r="I1142" s="15">
        <v>-15599.75</v>
      </c>
      <c r="J1142" s="13" t="s">
        <v>5</v>
      </c>
      <c r="K1142" s="13" t="s">
        <v>6</v>
      </c>
      <c r="L1142" s="15">
        <v>-1309599.01</v>
      </c>
      <c r="M1142" s="15">
        <v>-15599.75</v>
      </c>
      <c r="N1142" s="16" t="str">
        <f>IF(M1142="","",IF(M1142&lt;0,-M1142&amp;"_"&amp;COUNTIF(M$2:M1142,M1142),M1142&amp;"_"&amp;COUNTIF(M$2:M1142,M1142)))</f>
        <v>15599.75_1</v>
      </c>
      <c r="O1142" s="17" t="str">
        <f t="shared" si="17"/>
        <v/>
      </c>
      <c r="P1142" s="13" t="s">
        <v>1228</v>
      </c>
      <c r="Q1142" s="13" t="s">
        <v>1229</v>
      </c>
      <c r="R1142" s="13" t="s">
        <v>0</v>
      </c>
      <c r="S1142" s="13" t="s">
        <v>0</v>
      </c>
      <c r="T1142" s="13" t="s">
        <v>9</v>
      </c>
      <c r="U1142" s="13" t="s">
        <v>0</v>
      </c>
      <c r="V1142" s="13" t="s">
        <v>0</v>
      </c>
      <c r="W1142" s="13" t="s">
        <v>0</v>
      </c>
      <c r="X1142" s="13" t="s">
        <v>0</v>
      </c>
      <c r="Y1142" s="13" t="s">
        <v>10</v>
      </c>
      <c r="Z1142" s="13" t="s">
        <v>0</v>
      </c>
      <c r="AA1142" s="14"/>
      <c r="AB1142" s="13" t="s">
        <v>0</v>
      </c>
      <c r="AC1142" s="13" t="s">
        <v>0</v>
      </c>
      <c r="AD1142" s="13" t="s">
        <v>0</v>
      </c>
      <c r="AE1142" s="15">
        <v>0</v>
      </c>
    </row>
    <row r="1143" spans="1:31" ht="14.15" customHeight="1" x14ac:dyDescent="0.25">
      <c r="A1143" s="12" t="s">
        <v>0</v>
      </c>
      <c r="B1143" s="13" t="s">
        <v>1</v>
      </c>
      <c r="C1143" s="13" t="s">
        <v>4041</v>
      </c>
      <c r="D1143" s="14">
        <v>44358</v>
      </c>
      <c r="E1143" s="14">
        <v>44358</v>
      </c>
      <c r="F1143" s="14">
        <v>44364</v>
      </c>
      <c r="G1143" s="13" t="s">
        <v>3</v>
      </c>
      <c r="H1143" s="13" t="s">
        <v>4</v>
      </c>
      <c r="I1143" s="15">
        <v>-15589.73</v>
      </c>
      <c r="J1143" s="13" t="s">
        <v>5</v>
      </c>
      <c r="K1143" s="13" t="s">
        <v>6</v>
      </c>
      <c r="L1143" s="15">
        <v>-1308757.83</v>
      </c>
      <c r="M1143" s="15">
        <v>-15589.73</v>
      </c>
      <c r="N1143" s="16" t="str">
        <f>IF(M1143="","",IF(M1143&lt;0,-M1143&amp;"_"&amp;COUNTIF(M$2:M1143,M1143),M1143&amp;"_"&amp;COUNTIF(M$2:M1143,M1143)))</f>
        <v>15589.73_1</v>
      </c>
      <c r="O1143" s="17" t="str">
        <f t="shared" si="17"/>
        <v/>
      </c>
      <c r="P1143" s="13" t="s">
        <v>4042</v>
      </c>
      <c r="Q1143" s="13" t="s">
        <v>4006</v>
      </c>
      <c r="R1143" s="13" t="s">
        <v>0</v>
      </c>
      <c r="S1143" s="13" t="s">
        <v>0</v>
      </c>
      <c r="T1143" s="13" t="s">
        <v>9</v>
      </c>
      <c r="U1143" s="13" t="s">
        <v>0</v>
      </c>
      <c r="V1143" s="13" t="s">
        <v>0</v>
      </c>
      <c r="W1143" s="13" t="s">
        <v>0</v>
      </c>
      <c r="X1143" s="13" t="s">
        <v>0</v>
      </c>
      <c r="Y1143" s="13" t="s">
        <v>10</v>
      </c>
      <c r="Z1143" s="13" t="s">
        <v>0</v>
      </c>
      <c r="AA1143" s="14"/>
      <c r="AB1143" s="13" t="s">
        <v>0</v>
      </c>
      <c r="AC1143" s="13" t="s">
        <v>0</v>
      </c>
      <c r="AD1143" s="13" t="s">
        <v>0</v>
      </c>
      <c r="AE1143" s="15">
        <v>0</v>
      </c>
    </row>
    <row r="1144" spans="1:31" ht="14.15" customHeight="1" x14ac:dyDescent="0.25">
      <c r="A1144" s="12" t="s">
        <v>0</v>
      </c>
      <c r="B1144" s="13" t="s">
        <v>1</v>
      </c>
      <c r="C1144" s="13" t="s">
        <v>2216</v>
      </c>
      <c r="D1144" s="14">
        <v>44213</v>
      </c>
      <c r="E1144" s="14">
        <v>44213</v>
      </c>
      <c r="F1144" s="14">
        <v>44219</v>
      </c>
      <c r="G1144" s="13" t="s">
        <v>3</v>
      </c>
      <c r="H1144" s="13" t="s">
        <v>4</v>
      </c>
      <c r="I1144" s="15">
        <v>-15580.99</v>
      </c>
      <c r="J1144" s="13" t="s">
        <v>5</v>
      </c>
      <c r="K1144" s="13" t="s">
        <v>6</v>
      </c>
      <c r="L1144" s="15">
        <v>-1308024.1100000001</v>
      </c>
      <c r="M1144" s="15">
        <v>-15580.99</v>
      </c>
      <c r="N1144" s="16" t="str">
        <f>IF(M1144="","",IF(M1144&lt;0,-M1144&amp;"_"&amp;COUNTIF(M$2:M1144,M1144),M1144&amp;"_"&amp;COUNTIF(M$2:M1144,M1144)))</f>
        <v>15580.99_1</v>
      </c>
      <c r="O1144" s="17" t="str">
        <f t="shared" si="17"/>
        <v/>
      </c>
      <c r="P1144" s="13" t="s">
        <v>2217</v>
      </c>
      <c r="Q1144" s="13" t="s">
        <v>2211</v>
      </c>
      <c r="R1144" s="13" t="s">
        <v>0</v>
      </c>
      <c r="S1144" s="13" t="s">
        <v>0</v>
      </c>
      <c r="T1144" s="13" t="s">
        <v>9</v>
      </c>
      <c r="U1144" s="13" t="s">
        <v>0</v>
      </c>
      <c r="V1144" s="13" t="s">
        <v>0</v>
      </c>
      <c r="W1144" s="13" t="s">
        <v>0</v>
      </c>
      <c r="X1144" s="13" t="s">
        <v>0</v>
      </c>
      <c r="Y1144" s="13" t="s">
        <v>10</v>
      </c>
      <c r="Z1144" s="13" t="s">
        <v>0</v>
      </c>
      <c r="AA1144" s="14"/>
      <c r="AB1144" s="13" t="s">
        <v>0</v>
      </c>
      <c r="AC1144" s="13" t="s">
        <v>0</v>
      </c>
      <c r="AD1144" s="13" t="s">
        <v>0</v>
      </c>
      <c r="AE1144" s="15">
        <v>0</v>
      </c>
    </row>
    <row r="1145" spans="1:31" ht="14.15" customHeight="1" x14ac:dyDescent="0.25">
      <c r="A1145" s="12" t="s">
        <v>0</v>
      </c>
      <c r="B1145" s="13" t="s">
        <v>1</v>
      </c>
      <c r="C1145" s="13" t="s">
        <v>1840</v>
      </c>
      <c r="D1145" s="14">
        <v>44184</v>
      </c>
      <c r="E1145" s="14">
        <v>44184</v>
      </c>
      <c r="F1145" s="14">
        <v>44202</v>
      </c>
      <c r="G1145" s="13" t="s">
        <v>3</v>
      </c>
      <c r="H1145" s="13" t="s">
        <v>4</v>
      </c>
      <c r="I1145" s="15">
        <v>-15578.04</v>
      </c>
      <c r="J1145" s="13" t="s">
        <v>5</v>
      </c>
      <c r="K1145" s="13" t="s">
        <v>6</v>
      </c>
      <c r="L1145" s="15">
        <v>-1307776.46</v>
      </c>
      <c r="M1145" s="15">
        <v>-15578.04</v>
      </c>
      <c r="N1145" s="16" t="str">
        <f>IF(M1145="","",IF(M1145&lt;0,-M1145&amp;"_"&amp;COUNTIF(M$2:M1145,M1145),M1145&amp;"_"&amp;COUNTIF(M$2:M1145,M1145)))</f>
        <v>15578.04_1</v>
      </c>
      <c r="O1145" s="17" t="str">
        <f t="shared" si="17"/>
        <v/>
      </c>
      <c r="P1145" s="13" t="s">
        <v>1841</v>
      </c>
      <c r="Q1145" s="13" t="s">
        <v>1831</v>
      </c>
      <c r="R1145" s="13" t="s">
        <v>0</v>
      </c>
      <c r="S1145" s="13" t="s">
        <v>0</v>
      </c>
      <c r="T1145" s="13" t="s">
        <v>9</v>
      </c>
      <c r="U1145" s="13" t="s">
        <v>0</v>
      </c>
      <c r="V1145" s="13" t="s">
        <v>0</v>
      </c>
      <c r="W1145" s="13" t="s">
        <v>0</v>
      </c>
      <c r="X1145" s="13" t="s">
        <v>0</v>
      </c>
      <c r="Y1145" s="13" t="s">
        <v>10</v>
      </c>
      <c r="Z1145" s="13" t="s">
        <v>0</v>
      </c>
      <c r="AA1145" s="14"/>
      <c r="AB1145" s="13" t="s">
        <v>0</v>
      </c>
      <c r="AC1145" s="13" t="s">
        <v>0</v>
      </c>
      <c r="AD1145" s="13" t="s">
        <v>0</v>
      </c>
      <c r="AE1145" s="15">
        <v>0</v>
      </c>
    </row>
    <row r="1146" spans="1:31" ht="14.15" customHeight="1" x14ac:dyDescent="0.25">
      <c r="A1146" s="12" t="s">
        <v>0</v>
      </c>
      <c r="B1146" s="13" t="s">
        <v>1</v>
      </c>
      <c r="C1146" s="13" t="s">
        <v>813</v>
      </c>
      <c r="D1146" s="14">
        <v>44104</v>
      </c>
      <c r="E1146" s="14">
        <v>44104</v>
      </c>
      <c r="F1146" s="14">
        <v>44108</v>
      </c>
      <c r="G1146" s="13" t="s">
        <v>3</v>
      </c>
      <c r="H1146" s="13" t="s">
        <v>4</v>
      </c>
      <c r="I1146" s="15">
        <v>-15577.53</v>
      </c>
      <c r="J1146" s="13" t="s">
        <v>5</v>
      </c>
      <c r="K1146" s="13" t="s">
        <v>6</v>
      </c>
      <c r="L1146" s="15">
        <v>-1307733.6399999999</v>
      </c>
      <c r="M1146" s="15">
        <v>-15577.53</v>
      </c>
      <c r="N1146" s="16" t="str">
        <f>IF(M1146="","",IF(M1146&lt;0,-M1146&amp;"_"&amp;COUNTIF(M$2:M1146,M1146),M1146&amp;"_"&amp;COUNTIF(M$2:M1146,M1146)))</f>
        <v>15577.53_1</v>
      </c>
      <c r="O1146" s="17" t="str">
        <f t="shared" si="17"/>
        <v/>
      </c>
      <c r="P1146" s="13" t="s">
        <v>814</v>
      </c>
      <c r="Q1146" s="13" t="s">
        <v>812</v>
      </c>
      <c r="R1146" s="13" t="s">
        <v>0</v>
      </c>
      <c r="S1146" s="13" t="s">
        <v>0</v>
      </c>
      <c r="T1146" s="13" t="s">
        <v>9</v>
      </c>
      <c r="U1146" s="13" t="s">
        <v>0</v>
      </c>
      <c r="V1146" s="13" t="s">
        <v>0</v>
      </c>
      <c r="W1146" s="13" t="s">
        <v>0</v>
      </c>
      <c r="X1146" s="13" t="s">
        <v>0</v>
      </c>
      <c r="Y1146" s="13" t="s">
        <v>10</v>
      </c>
      <c r="Z1146" s="13" t="s">
        <v>0</v>
      </c>
      <c r="AA1146" s="14"/>
      <c r="AB1146" s="13" t="s">
        <v>0</v>
      </c>
      <c r="AC1146" s="13" t="s">
        <v>0</v>
      </c>
      <c r="AD1146" s="13" t="s">
        <v>0</v>
      </c>
      <c r="AE1146" s="15">
        <v>0</v>
      </c>
    </row>
    <row r="1147" spans="1:31" ht="14.15" customHeight="1" x14ac:dyDescent="0.25">
      <c r="A1147" s="12" t="s">
        <v>0</v>
      </c>
      <c r="B1147" s="13" t="s">
        <v>1</v>
      </c>
      <c r="C1147" s="13" t="s">
        <v>2931</v>
      </c>
      <c r="D1147" s="14">
        <v>44276</v>
      </c>
      <c r="E1147" s="14">
        <v>44276</v>
      </c>
      <c r="F1147" s="14">
        <v>44283</v>
      </c>
      <c r="G1147" s="13" t="s">
        <v>3</v>
      </c>
      <c r="H1147" s="13" t="s">
        <v>4</v>
      </c>
      <c r="I1147" s="15">
        <v>-15562.97</v>
      </c>
      <c r="J1147" s="13" t="s">
        <v>5</v>
      </c>
      <c r="K1147" s="13" t="s">
        <v>6</v>
      </c>
      <c r="L1147" s="15">
        <v>-1306511.33</v>
      </c>
      <c r="M1147" s="15">
        <v>-15562.97</v>
      </c>
      <c r="N1147" s="16" t="str">
        <f>IF(M1147="","",IF(M1147&lt;0,-M1147&amp;"_"&amp;COUNTIF(M$2:M1147,M1147),M1147&amp;"_"&amp;COUNTIF(M$2:M1147,M1147)))</f>
        <v>15562.97_1</v>
      </c>
      <c r="O1147" s="17" t="str">
        <f t="shared" si="17"/>
        <v/>
      </c>
      <c r="P1147" s="13" t="s">
        <v>2932</v>
      </c>
      <c r="Q1147" s="13" t="s">
        <v>2922</v>
      </c>
      <c r="R1147" s="13" t="s">
        <v>0</v>
      </c>
      <c r="S1147" s="13" t="s">
        <v>0</v>
      </c>
      <c r="T1147" s="13" t="s">
        <v>9</v>
      </c>
      <c r="U1147" s="13" t="s">
        <v>0</v>
      </c>
      <c r="V1147" s="13" t="s">
        <v>0</v>
      </c>
      <c r="W1147" s="13" t="s">
        <v>0</v>
      </c>
      <c r="X1147" s="13" t="s">
        <v>0</v>
      </c>
      <c r="Y1147" s="13" t="s">
        <v>10</v>
      </c>
      <c r="Z1147" s="13" t="s">
        <v>0</v>
      </c>
      <c r="AA1147" s="14"/>
      <c r="AB1147" s="13" t="s">
        <v>0</v>
      </c>
      <c r="AC1147" s="13" t="s">
        <v>0</v>
      </c>
      <c r="AD1147" s="13" t="s">
        <v>0</v>
      </c>
      <c r="AE1147" s="15">
        <v>0</v>
      </c>
    </row>
    <row r="1148" spans="1:31" ht="14.15" customHeight="1" x14ac:dyDescent="0.25">
      <c r="A1148" s="12" t="s">
        <v>0</v>
      </c>
      <c r="B1148" s="13" t="s">
        <v>1</v>
      </c>
      <c r="C1148" s="13" t="s">
        <v>2150</v>
      </c>
      <c r="D1148" s="14">
        <v>44208</v>
      </c>
      <c r="E1148" s="14">
        <v>44208</v>
      </c>
      <c r="F1148" s="14">
        <v>44214</v>
      </c>
      <c r="G1148" s="13" t="s">
        <v>3</v>
      </c>
      <c r="H1148" s="13" t="s">
        <v>4</v>
      </c>
      <c r="I1148" s="15">
        <v>-15532.43</v>
      </c>
      <c r="J1148" s="13" t="s">
        <v>5</v>
      </c>
      <c r="K1148" s="13" t="s">
        <v>6</v>
      </c>
      <c r="L1148" s="15">
        <v>-1303947.5</v>
      </c>
      <c r="M1148" s="15">
        <v>-15532.43</v>
      </c>
      <c r="N1148" s="16" t="str">
        <f>IF(M1148="","",IF(M1148&lt;0,-M1148&amp;"_"&amp;COUNTIF(M$2:M1148,M1148),M1148&amp;"_"&amp;COUNTIF(M$2:M1148,M1148)))</f>
        <v>15532.43_1</v>
      </c>
      <c r="O1148" s="17" t="str">
        <f t="shared" si="17"/>
        <v/>
      </c>
      <c r="P1148" s="13" t="s">
        <v>2151</v>
      </c>
      <c r="Q1148" s="13" t="s">
        <v>2152</v>
      </c>
      <c r="R1148" s="13" t="s">
        <v>0</v>
      </c>
      <c r="S1148" s="13" t="s">
        <v>0</v>
      </c>
      <c r="T1148" s="13" t="s">
        <v>9</v>
      </c>
      <c r="U1148" s="13" t="s">
        <v>0</v>
      </c>
      <c r="V1148" s="13" t="s">
        <v>0</v>
      </c>
      <c r="W1148" s="13" t="s">
        <v>0</v>
      </c>
      <c r="X1148" s="13" t="s">
        <v>0</v>
      </c>
      <c r="Y1148" s="13" t="s">
        <v>10</v>
      </c>
      <c r="Z1148" s="13" t="s">
        <v>0</v>
      </c>
      <c r="AA1148" s="14"/>
      <c r="AB1148" s="13" t="s">
        <v>0</v>
      </c>
      <c r="AC1148" s="13" t="s">
        <v>0</v>
      </c>
      <c r="AD1148" s="13" t="s">
        <v>0</v>
      </c>
      <c r="AE1148" s="15">
        <v>0</v>
      </c>
    </row>
    <row r="1149" spans="1:31" ht="14.15" customHeight="1" x14ac:dyDescent="0.25">
      <c r="A1149" s="12" t="s">
        <v>0</v>
      </c>
      <c r="B1149" s="13" t="s">
        <v>1</v>
      </c>
      <c r="C1149" s="13" t="s">
        <v>2172</v>
      </c>
      <c r="D1149" s="14">
        <v>44209</v>
      </c>
      <c r="E1149" s="14">
        <v>44209</v>
      </c>
      <c r="F1149" s="14">
        <v>44228</v>
      </c>
      <c r="G1149" s="13" t="s">
        <v>3</v>
      </c>
      <c r="H1149" s="13" t="s">
        <v>4</v>
      </c>
      <c r="I1149" s="15">
        <v>-15532</v>
      </c>
      <c r="J1149" s="13" t="s">
        <v>5</v>
      </c>
      <c r="K1149" s="13" t="s">
        <v>6</v>
      </c>
      <c r="L1149" s="15">
        <v>-1303911.3999999999</v>
      </c>
      <c r="M1149" s="15">
        <v>-15532</v>
      </c>
      <c r="N1149" s="16" t="str">
        <f>IF(M1149="","",IF(M1149&lt;0,-M1149&amp;"_"&amp;COUNTIF(M$2:M1149,M1149),M1149&amp;"_"&amp;COUNTIF(M$2:M1149,M1149)))</f>
        <v>15532_1</v>
      </c>
      <c r="O1149" s="17" t="str">
        <f t="shared" si="17"/>
        <v/>
      </c>
      <c r="P1149" s="13" t="s">
        <v>2173</v>
      </c>
      <c r="Q1149" s="13" t="s">
        <v>2159</v>
      </c>
      <c r="R1149" s="13" t="s">
        <v>0</v>
      </c>
      <c r="S1149" s="13" t="s">
        <v>0</v>
      </c>
      <c r="T1149" s="13" t="s">
        <v>9</v>
      </c>
      <c r="U1149" s="13" t="s">
        <v>0</v>
      </c>
      <c r="V1149" s="13" t="s">
        <v>0</v>
      </c>
      <c r="W1149" s="13" t="s">
        <v>0</v>
      </c>
      <c r="X1149" s="13" t="s">
        <v>0</v>
      </c>
      <c r="Y1149" s="13" t="s">
        <v>10</v>
      </c>
      <c r="Z1149" s="13" t="s">
        <v>0</v>
      </c>
      <c r="AA1149" s="14"/>
      <c r="AB1149" s="13" t="s">
        <v>0</v>
      </c>
      <c r="AC1149" s="13" t="s">
        <v>0</v>
      </c>
      <c r="AD1149" s="13" t="s">
        <v>0</v>
      </c>
      <c r="AE1149" s="15">
        <v>0</v>
      </c>
    </row>
    <row r="1150" spans="1:31" ht="14.15" customHeight="1" x14ac:dyDescent="0.25">
      <c r="A1150" s="12" t="s">
        <v>0</v>
      </c>
      <c r="B1150" s="13" t="s">
        <v>1</v>
      </c>
      <c r="C1150" s="13" t="s">
        <v>2599</v>
      </c>
      <c r="D1150" s="14">
        <v>44243</v>
      </c>
      <c r="E1150" s="14">
        <v>44243</v>
      </c>
      <c r="F1150" s="14">
        <v>44252</v>
      </c>
      <c r="G1150" s="13" t="s">
        <v>3</v>
      </c>
      <c r="H1150" s="13" t="s">
        <v>4</v>
      </c>
      <c r="I1150" s="15">
        <v>-15524.39</v>
      </c>
      <c r="J1150" s="13" t="s">
        <v>5</v>
      </c>
      <c r="K1150" s="13" t="s">
        <v>6</v>
      </c>
      <c r="L1150" s="15">
        <v>-1303272.54</v>
      </c>
      <c r="M1150" s="15">
        <v>-15524.39</v>
      </c>
      <c r="N1150" s="16" t="str">
        <f>IF(M1150="","",IF(M1150&lt;0,-M1150&amp;"_"&amp;COUNTIF(M$2:M1150,M1150),M1150&amp;"_"&amp;COUNTIF(M$2:M1150,M1150)))</f>
        <v>15524.39_1</v>
      </c>
      <c r="O1150" s="17" t="str">
        <f t="shared" si="17"/>
        <v/>
      </c>
      <c r="P1150" s="13" t="s">
        <v>2600</v>
      </c>
      <c r="Q1150" s="13" t="s">
        <v>2574</v>
      </c>
      <c r="R1150" s="13" t="s">
        <v>0</v>
      </c>
      <c r="S1150" s="13" t="s">
        <v>0</v>
      </c>
      <c r="T1150" s="13" t="s">
        <v>9</v>
      </c>
      <c r="U1150" s="13" t="s">
        <v>0</v>
      </c>
      <c r="V1150" s="13" t="s">
        <v>0</v>
      </c>
      <c r="W1150" s="13" t="s">
        <v>0</v>
      </c>
      <c r="X1150" s="13" t="s">
        <v>0</v>
      </c>
      <c r="Y1150" s="13" t="s">
        <v>10</v>
      </c>
      <c r="Z1150" s="13" t="s">
        <v>0</v>
      </c>
      <c r="AA1150" s="14"/>
      <c r="AB1150" s="13" t="s">
        <v>0</v>
      </c>
      <c r="AC1150" s="13" t="s">
        <v>0</v>
      </c>
      <c r="AD1150" s="13" t="s">
        <v>0</v>
      </c>
      <c r="AE1150" s="15">
        <v>0</v>
      </c>
    </row>
    <row r="1151" spans="1:31" ht="14.15" customHeight="1" x14ac:dyDescent="0.25">
      <c r="A1151" s="12" t="s">
        <v>0</v>
      </c>
      <c r="B1151" s="13" t="s">
        <v>1</v>
      </c>
      <c r="C1151" s="13" t="s">
        <v>3159</v>
      </c>
      <c r="D1151" s="14">
        <v>44297</v>
      </c>
      <c r="E1151" s="14">
        <v>44297</v>
      </c>
      <c r="F1151" s="14">
        <v>44308</v>
      </c>
      <c r="G1151" s="13" t="s">
        <v>3</v>
      </c>
      <c r="H1151" s="13" t="s">
        <v>4</v>
      </c>
      <c r="I1151" s="15">
        <v>-15515.7</v>
      </c>
      <c r="J1151" s="13" t="s">
        <v>5</v>
      </c>
      <c r="K1151" s="13" t="s">
        <v>6</v>
      </c>
      <c r="L1151" s="15">
        <v>-1302543.02</v>
      </c>
      <c r="M1151" s="15">
        <v>-15515.7</v>
      </c>
      <c r="N1151" s="16" t="str">
        <f>IF(M1151="","",IF(M1151&lt;0,-M1151&amp;"_"&amp;COUNTIF(M$2:M1151,M1151),M1151&amp;"_"&amp;COUNTIF(M$2:M1151,M1151)))</f>
        <v>15515.7_1</v>
      </c>
      <c r="O1151" s="17" t="str">
        <f t="shared" si="17"/>
        <v/>
      </c>
      <c r="P1151" s="13" t="s">
        <v>3160</v>
      </c>
      <c r="Q1151" s="13" t="s">
        <v>3152</v>
      </c>
      <c r="R1151" s="13" t="s">
        <v>0</v>
      </c>
      <c r="S1151" s="13" t="s">
        <v>0</v>
      </c>
      <c r="T1151" s="13" t="s">
        <v>9</v>
      </c>
      <c r="U1151" s="13" t="s">
        <v>0</v>
      </c>
      <c r="V1151" s="13" t="s">
        <v>0</v>
      </c>
      <c r="W1151" s="13" t="s">
        <v>0</v>
      </c>
      <c r="X1151" s="13" t="s">
        <v>0</v>
      </c>
      <c r="Y1151" s="13" t="s">
        <v>10</v>
      </c>
      <c r="Z1151" s="13" t="s">
        <v>0</v>
      </c>
      <c r="AA1151" s="14"/>
      <c r="AB1151" s="13" t="s">
        <v>0</v>
      </c>
      <c r="AC1151" s="13" t="s">
        <v>0</v>
      </c>
      <c r="AD1151" s="13" t="s">
        <v>0</v>
      </c>
      <c r="AE1151" s="15">
        <v>0</v>
      </c>
    </row>
    <row r="1152" spans="1:31" ht="14.15" customHeight="1" x14ac:dyDescent="0.25">
      <c r="A1152" s="12" t="s">
        <v>0</v>
      </c>
      <c r="B1152" s="13" t="s">
        <v>1</v>
      </c>
      <c r="C1152" s="13" t="s">
        <v>3668</v>
      </c>
      <c r="D1152" s="14">
        <v>44335</v>
      </c>
      <c r="E1152" s="14">
        <v>44335</v>
      </c>
      <c r="F1152" s="14">
        <v>44340</v>
      </c>
      <c r="G1152" s="13" t="s">
        <v>3</v>
      </c>
      <c r="H1152" s="13" t="s">
        <v>4</v>
      </c>
      <c r="I1152" s="15">
        <v>-15510.63</v>
      </c>
      <c r="J1152" s="13" t="s">
        <v>5</v>
      </c>
      <c r="K1152" s="13" t="s">
        <v>6</v>
      </c>
      <c r="L1152" s="15">
        <v>-1302117.3899999999</v>
      </c>
      <c r="M1152" s="15">
        <v>-15510.63</v>
      </c>
      <c r="N1152" s="16" t="str">
        <f>IF(M1152="","",IF(M1152&lt;0,-M1152&amp;"_"&amp;COUNTIF(M$2:M1152,M1152),M1152&amp;"_"&amp;COUNTIF(M$2:M1152,M1152)))</f>
        <v>15510.63_1</v>
      </c>
      <c r="O1152" s="17" t="str">
        <f t="shared" si="17"/>
        <v/>
      </c>
      <c r="P1152" s="13" t="s">
        <v>3669</v>
      </c>
      <c r="Q1152" s="13" t="s">
        <v>3665</v>
      </c>
      <c r="R1152" s="13" t="s">
        <v>0</v>
      </c>
      <c r="S1152" s="13" t="s">
        <v>0</v>
      </c>
      <c r="T1152" s="13" t="s">
        <v>9</v>
      </c>
      <c r="U1152" s="13" t="s">
        <v>0</v>
      </c>
      <c r="V1152" s="13" t="s">
        <v>0</v>
      </c>
      <c r="W1152" s="13" t="s">
        <v>0</v>
      </c>
      <c r="X1152" s="13" t="s">
        <v>0</v>
      </c>
      <c r="Y1152" s="13" t="s">
        <v>10</v>
      </c>
      <c r="Z1152" s="13" t="s">
        <v>0</v>
      </c>
      <c r="AA1152" s="14"/>
      <c r="AB1152" s="13" t="s">
        <v>0</v>
      </c>
      <c r="AC1152" s="13" t="s">
        <v>0</v>
      </c>
      <c r="AD1152" s="13" t="s">
        <v>0</v>
      </c>
      <c r="AE1152" s="15">
        <v>0</v>
      </c>
    </row>
    <row r="1153" spans="1:31" ht="14.15" customHeight="1" x14ac:dyDescent="0.25">
      <c r="A1153" s="12" t="s">
        <v>0</v>
      </c>
      <c r="B1153" s="13" t="s">
        <v>1</v>
      </c>
      <c r="C1153" s="13" t="s">
        <v>3895</v>
      </c>
      <c r="D1153" s="14">
        <v>44353</v>
      </c>
      <c r="E1153" s="14">
        <v>44353</v>
      </c>
      <c r="F1153" s="14">
        <v>44357</v>
      </c>
      <c r="G1153" s="13" t="s">
        <v>3</v>
      </c>
      <c r="H1153" s="13" t="s">
        <v>4</v>
      </c>
      <c r="I1153" s="15">
        <v>-15510.63</v>
      </c>
      <c r="J1153" s="13" t="s">
        <v>5</v>
      </c>
      <c r="K1153" s="13" t="s">
        <v>6</v>
      </c>
      <c r="L1153" s="15">
        <v>-1302117.3899999999</v>
      </c>
      <c r="M1153" s="15">
        <v>-15510.63</v>
      </c>
      <c r="N1153" s="16" t="str">
        <f>IF(M1153="","",IF(M1153&lt;0,-M1153&amp;"_"&amp;COUNTIF(M$2:M1153,M1153),M1153&amp;"_"&amp;COUNTIF(M$2:M1153,M1153)))</f>
        <v>15510.63_2</v>
      </c>
      <c r="O1153" s="17" t="str">
        <f t="shared" si="17"/>
        <v/>
      </c>
      <c r="P1153" s="13" t="s">
        <v>3896</v>
      </c>
      <c r="Q1153" s="13" t="s">
        <v>3886</v>
      </c>
      <c r="R1153" s="13" t="s">
        <v>0</v>
      </c>
      <c r="S1153" s="13" t="s">
        <v>0</v>
      </c>
      <c r="T1153" s="13" t="s">
        <v>9</v>
      </c>
      <c r="U1153" s="13" t="s">
        <v>0</v>
      </c>
      <c r="V1153" s="13" t="s">
        <v>0</v>
      </c>
      <c r="W1153" s="13" t="s">
        <v>0</v>
      </c>
      <c r="X1153" s="13" t="s">
        <v>0</v>
      </c>
      <c r="Y1153" s="13" t="s">
        <v>10</v>
      </c>
      <c r="Z1153" s="13" t="s">
        <v>0</v>
      </c>
      <c r="AA1153" s="14"/>
      <c r="AB1153" s="13" t="s">
        <v>0</v>
      </c>
      <c r="AC1153" s="13" t="s">
        <v>0</v>
      </c>
      <c r="AD1153" s="13" t="s">
        <v>0</v>
      </c>
      <c r="AE1153" s="15">
        <v>0</v>
      </c>
    </row>
    <row r="1154" spans="1:31" ht="14.15" customHeight="1" x14ac:dyDescent="0.25">
      <c r="A1154" s="12" t="s">
        <v>0</v>
      </c>
      <c r="B1154" s="13" t="s">
        <v>1</v>
      </c>
      <c r="C1154" s="13" t="s">
        <v>1586</v>
      </c>
      <c r="D1154" s="14">
        <v>44166</v>
      </c>
      <c r="E1154" s="14">
        <v>44166</v>
      </c>
      <c r="F1154" s="14">
        <v>44186</v>
      </c>
      <c r="G1154" s="13" t="s">
        <v>3</v>
      </c>
      <c r="H1154" s="13" t="s">
        <v>4</v>
      </c>
      <c r="I1154" s="15">
        <v>-15485.31</v>
      </c>
      <c r="J1154" s="13" t="s">
        <v>5</v>
      </c>
      <c r="K1154" s="13" t="s">
        <v>6</v>
      </c>
      <c r="L1154" s="15">
        <v>-1299991.77</v>
      </c>
      <c r="M1154" s="15">
        <v>-15485.31</v>
      </c>
      <c r="N1154" s="16" t="str">
        <f>IF(M1154="","",IF(M1154&lt;0,-M1154&amp;"_"&amp;COUNTIF(M$2:M1154,M1154),M1154&amp;"_"&amp;COUNTIF(M$2:M1154,M1154)))</f>
        <v>15485.31_1</v>
      </c>
      <c r="O1154" s="17" t="str">
        <f t="shared" ref="O1154:O1217" si="18">IF(COUNTIF(N:N,N1154)=2,"x","")</f>
        <v/>
      </c>
      <c r="P1154" s="13" t="s">
        <v>1587</v>
      </c>
      <c r="Q1154" s="13" t="s">
        <v>1579</v>
      </c>
      <c r="R1154" s="13" t="s">
        <v>0</v>
      </c>
      <c r="S1154" s="13" t="s">
        <v>0</v>
      </c>
      <c r="T1154" s="13" t="s">
        <v>9</v>
      </c>
      <c r="U1154" s="13" t="s">
        <v>0</v>
      </c>
      <c r="V1154" s="13" t="s">
        <v>0</v>
      </c>
      <c r="W1154" s="13" t="s">
        <v>0</v>
      </c>
      <c r="X1154" s="13" t="s">
        <v>0</v>
      </c>
      <c r="Y1154" s="13" t="s">
        <v>10</v>
      </c>
      <c r="Z1154" s="13" t="s">
        <v>0</v>
      </c>
      <c r="AA1154" s="14"/>
      <c r="AB1154" s="13" t="s">
        <v>0</v>
      </c>
      <c r="AC1154" s="13" t="s">
        <v>0</v>
      </c>
      <c r="AD1154" s="13" t="s">
        <v>0</v>
      </c>
      <c r="AE1154" s="15">
        <v>0</v>
      </c>
    </row>
    <row r="1155" spans="1:31" ht="14.15" customHeight="1" x14ac:dyDescent="0.25">
      <c r="A1155" s="12" t="s">
        <v>0</v>
      </c>
      <c r="B1155" s="13" t="s">
        <v>1</v>
      </c>
      <c r="C1155" s="13" t="s">
        <v>1778</v>
      </c>
      <c r="D1155" s="14">
        <v>44182</v>
      </c>
      <c r="E1155" s="14">
        <v>44182</v>
      </c>
      <c r="F1155" s="14">
        <v>44188</v>
      </c>
      <c r="G1155" s="13" t="s">
        <v>3</v>
      </c>
      <c r="H1155" s="13" t="s">
        <v>4</v>
      </c>
      <c r="I1155" s="15">
        <v>-15463.53</v>
      </c>
      <c r="J1155" s="13" t="s">
        <v>5</v>
      </c>
      <c r="K1155" s="13" t="s">
        <v>6</v>
      </c>
      <c r="L1155" s="15">
        <v>-1298163.3400000001</v>
      </c>
      <c r="M1155" s="15">
        <v>-15463.53</v>
      </c>
      <c r="N1155" s="16" t="str">
        <f>IF(M1155="","",IF(M1155&lt;0,-M1155&amp;"_"&amp;COUNTIF(M$2:M1155,M1155),M1155&amp;"_"&amp;COUNTIF(M$2:M1155,M1155)))</f>
        <v>15463.53_1</v>
      </c>
      <c r="O1155" s="17" t="str">
        <f t="shared" si="18"/>
        <v/>
      </c>
      <c r="P1155" s="13" t="s">
        <v>1779</v>
      </c>
      <c r="Q1155" s="13" t="s">
        <v>1777</v>
      </c>
      <c r="R1155" s="13" t="s">
        <v>0</v>
      </c>
      <c r="S1155" s="13" t="s">
        <v>0</v>
      </c>
      <c r="T1155" s="13" t="s">
        <v>9</v>
      </c>
      <c r="U1155" s="13" t="s">
        <v>0</v>
      </c>
      <c r="V1155" s="13" t="s">
        <v>0</v>
      </c>
      <c r="W1155" s="13" t="s">
        <v>0</v>
      </c>
      <c r="X1155" s="13" t="s">
        <v>0</v>
      </c>
      <c r="Y1155" s="13" t="s">
        <v>10</v>
      </c>
      <c r="Z1155" s="13" t="s">
        <v>0</v>
      </c>
      <c r="AA1155" s="14"/>
      <c r="AB1155" s="13" t="s">
        <v>0</v>
      </c>
      <c r="AC1155" s="13" t="s">
        <v>0</v>
      </c>
      <c r="AD1155" s="13" t="s">
        <v>0</v>
      </c>
      <c r="AE1155" s="15">
        <v>0</v>
      </c>
    </row>
    <row r="1156" spans="1:31" ht="14.15" customHeight="1" x14ac:dyDescent="0.25">
      <c r="A1156" s="12" t="s">
        <v>0</v>
      </c>
      <c r="B1156" s="13" t="s">
        <v>1</v>
      </c>
      <c r="C1156" s="13" t="s">
        <v>4060</v>
      </c>
      <c r="D1156" s="14">
        <v>44360</v>
      </c>
      <c r="E1156" s="14">
        <v>44360</v>
      </c>
      <c r="F1156" s="14">
        <v>44364</v>
      </c>
      <c r="G1156" s="13" t="s">
        <v>3</v>
      </c>
      <c r="H1156" s="13" t="s">
        <v>4</v>
      </c>
      <c r="I1156" s="15">
        <v>-15458.03</v>
      </c>
      <c r="J1156" s="13" t="s">
        <v>5</v>
      </c>
      <c r="K1156" s="13" t="s">
        <v>6</v>
      </c>
      <c r="L1156" s="15">
        <v>-1297701.6200000001</v>
      </c>
      <c r="M1156" s="15">
        <v>-15458.03</v>
      </c>
      <c r="N1156" s="16" t="str">
        <f>IF(M1156="","",IF(M1156&lt;0,-M1156&amp;"_"&amp;COUNTIF(M$2:M1156,M1156),M1156&amp;"_"&amp;COUNTIF(M$2:M1156,M1156)))</f>
        <v>15458.03_1</v>
      </c>
      <c r="O1156" s="17" t="str">
        <f t="shared" si="18"/>
        <v/>
      </c>
      <c r="P1156" s="13" t="s">
        <v>4061</v>
      </c>
      <c r="Q1156" s="13" t="s">
        <v>4062</v>
      </c>
      <c r="R1156" s="13" t="s">
        <v>0</v>
      </c>
      <c r="S1156" s="13" t="s">
        <v>0</v>
      </c>
      <c r="T1156" s="13" t="s">
        <v>9</v>
      </c>
      <c r="U1156" s="13" t="s">
        <v>0</v>
      </c>
      <c r="V1156" s="13" t="s">
        <v>0</v>
      </c>
      <c r="W1156" s="13" t="s">
        <v>0</v>
      </c>
      <c r="X1156" s="13" t="s">
        <v>0</v>
      </c>
      <c r="Y1156" s="13" t="s">
        <v>10</v>
      </c>
      <c r="Z1156" s="13" t="s">
        <v>0</v>
      </c>
      <c r="AA1156" s="14"/>
      <c r="AB1156" s="13" t="s">
        <v>0</v>
      </c>
      <c r="AC1156" s="13" t="s">
        <v>0</v>
      </c>
      <c r="AD1156" s="13" t="s">
        <v>0</v>
      </c>
      <c r="AE1156" s="15">
        <v>0</v>
      </c>
    </row>
    <row r="1157" spans="1:31" ht="14.15" customHeight="1" x14ac:dyDescent="0.25">
      <c r="A1157" s="12" t="s">
        <v>0</v>
      </c>
      <c r="B1157" s="13" t="s">
        <v>1</v>
      </c>
      <c r="C1157" s="13" t="s">
        <v>4225</v>
      </c>
      <c r="D1157" s="14">
        <v>44367</v>
      </c>
      <c r="E1157" s="14">
        <v>44367</v>
      </c>
      <c r="F1157" s="14">
        <v>44371</v>
      </c>
      <c r="G1157" s="13" t="s">
        <v>3</v>
      </c>
      <c r="H1157" s="13" t="s">
        <v>4</v>
      </c>
      <c r="I1157" s="15">
        <v>-15429.74</v>
      </c>
      <c r="J1157" s="13" t="s">
        <v>5</v>
      </c>
      <c r="K1157" s="13" t="s">
        <v>6</v>
      </c>
      <c r="L1157" s="15">
        <v>-1295326.67</v>
      </c>
      <c r="M1157" s="15">
        <v>-15429.74</v>
      </c>
      <c r="N1157" s="16" t="str">
        <f>IF(M1157="","",IF(M1157&lt;0,-M1157&amp;"_"&amp;COUNTIF(M$2:M1157,M1157),M1157&amp;"_"&amp;COUNTIF(M$2:M1157,M1157)))</f>
        <v>15429.74_1</v>
      </c>
      <c r="O1157" s="17" t="str">
        <f t="shared" si="18"/>
        <v/>
      </c>
      <c r="P1157" s="13" t="s">
        <v>4226</v>
      </c>
      <c r="Q1157" s="13" t="s">
        <v>4227</v>
      </c>
      <c r="R1157" s="13" t="s">
        <v>0</v>
      </c>
      <c r="S1157" s="13" t="s">
        <v>0</v>
      </c>
      <c r="T1157" s="13" t="s">
        <v>9</v>
      </c>
      <c r="U1157" s="13" t="s">
        <v>0</v>
      </c>
      <c r="V1157" s="13" t="s">
        <v>0</v>
      </c>
      <c r="W1157" s="13" t="s">
        <v>0</v>
      </c>
      <c r="X1157" s="13" t="s">
        <v>0</v>
      </c>
      <c r="Y1157" s="13" t="s">
        <v>10</v>
      </c>
      <c r="Z1157" s="13" t="s">
        <v>0</v>
      </c>
      <c r="AA1157" s="14"/>
      <c r="AB1157" s="13" t="s">
        <v>0</v>
      </c>
      <c r="AC1157" s="13" t="s">
        <v>0</v>
      </c>
      <c r="AD1157" s="13" t="s">
        <v>0</v>
      </c>
      <c r="AE1157" s="15">
        <v>0</v>
      </c>
    </row>
    <row r="1158" spans="1:31" ht="14.15" customHeight="1" x14ac:dyDescent="0.25">
      <c r="A1158" s="12" t="s">
        <v>0</v>
      </c>
      <c r="B1158" s="13" t="s">
        <v>1</v>
      </c>
      <c r="C1158" s="13" t="s">
        <v>3017</v>
      </c>
      <c r="D1158" s="14">
        <v>44281</v>
      </c>
      <c r="E1158" s="14">
        <v>44281</v>
      </c>
      <c r="F1158" s="14">
        <v>44287</v>
      </c>
      <c r="G1158" s="13" t="s">
        <v>3</v>
      </c>
      <c r="H1158" s="13" t="s">
        <v>4</v>
      </c>
      <c r="I1158" s="15">
        <v>-15412.82</v>
      </c>
      <c r="J1158" s="13" t="s">
        <v>5</v>
      </c>
      <c r="K1158" s="13" t="s">
        <v>6</v>
      </c>
      <c r="L1158" s="15">
        <v>-1293906.24</v>
      </c>
      <c r="M1158" s="15">
        <v>-15412.82</v>
      </c>
      <c r="N1158" s="16" t="str">
        <f>IF(M1158="","",IF(M1158&lt;0,-M1158&amp;"_"&amp;COUNTIF(M$2:M1158,M1158),M1158&amp;"_"&amp;COUNTIF(M$2:M1158,M1158)))</f>
        <v>15412.82_1</v>
      </c>
      <c r="O1158" s="17" t="str">
        <f t="shared" si="18"/>
        <v/>
      </c>
      <c r="P1158" s="13" t="s">
        <v>3018</v>
      </c>
      <c r="Q1158" s="13" t="s">
        <v>3014</v>
      </c>
      <c r="R1158" s="13" t="s">
        <v>0</v>
      </c>
      <c r="S1158" s="13" t="s">
        <v>0</v>
      </c>
      <c r="T1158" s="13" t="s">
        <v>9</v>
      </c>
      <c r="U1158" s="13" t="s">
        <v>0</v>
      </c>
      <c r="V1158" s="13" t="s">
        <v>0</v>
      </c>
      <c r="W1158" s="13" t="s">
        <v>0</v>
      </c>
      <c r="X1158" s="13" t="s">
        <v>0</v>
      </c>
      <c r="Y1158" s="13" t="s">
        <v>10</v>
      </c>
      <c r="Z1158" s="13" t="s">
        <v>0</v>
      </c>
      <c r="AA1158" s="14"/>
      <c r="AB1158" s="13" t="s">
        <v>0</v>
      </c>
      <c r="AC1158" s="13" t="s">
        <v>0</v>
      </c>
      <c r="AD1158" s="13" t="s">
        <v>0</v>
      </c>
      <c r="AE1158" s="15">
        <v>0</v>
      </c>
    </row>
    <row r="1159" spans="1:31" ht="14.15" customHeight="1" x14ac:dyDescent="0.25">
      <c r="A1159" s="12" t="s">
        <v>0</v>
      </c>
      <c r="B1159" s="13" t="s">
        <v>1</v>
      </c>
      <c r="C1159" s="13" t="s">
        <v>2285</v>
      </c>
      <c r="D1159" s="14">
        <v>44219</v>
      </c>
      <c r="E1159" s="14">
        <v>44219</v>
      </c>
      <c r="F1159" s="14">
        <v>44226</v>
      </c>
      <c r="G1159" s="13" t="s">
        <v>3</v>
      </c>
      <c r="H1159" s="13" t="s">
        <v>4</v>
      </c>
      <c r="I1159" s="15">
        <v>-15396.73</v>
      </c>
      <c r="J1159" s="13" t="s">
        <v>5</v>
      </c>
      <c r="K1159" s="13" t="s">
        <v>6</v>
      </c>
      <c r="L1159" s="15">
        <v>-1292555.48</v>
      </c>
      <c r="M1159" s="15">
        <v>-15396.73</v>
      </c>
      <c r="N1159" s="16" t="str">
        <f>IF(M1159="","",IF(M1159&lt;0,-M1159&amp;"_"&amp;COUNTIF(M$2:M1159,M1159),M1159&amp;"_"&amp;COUNTIF(M$2:M1159,M1159)))</f>
        <v>15396.73_1</v>
      </c>
      <c r="O1159" s="17" t="str">
        <f t="shared" si="18"/>
        <v/>
      </c>
      <c r="P1159" s="13" t="s">
        <v>2286</v>
      </c>
      <c r="Q1159" s="13" t="s">
        <v>2282</v>
      </c>
      <c r="R1159" s="13" t="s">
        <v>0</v>
      </c>
      <c r="S1159" s="13" t="s">
        <v>0</v>
      </c>
      <c r="T1159" s="13" t="s">
        <v>9</v>
      </c>
      <c r="U1159" s="13" t="s">
        <v>0</v>
      </c>
      <c r="V1159" s="13" t="s">
        <v>0</v>
      </c>
      <c r="W1159" s="13" t="s">
        <v>0</v>
      </c>
      <c r="X1159" s="13" t="s">
        <v>0</v>
      </c>
      <c r="Y1159" s="13" t="s">
        <v>10</v>
      </c>
      <c r="Z1159" s="13" t="s">
        <v>0</v>
      </c>
      <c r="AA1159" s="14"/>
      <c r="AB1159" s="13" t="s">
        <v>0</v>
      </c>
      <c r="AC1159" s="13" t="s">
        <v>0</v>
      </c>
      <c r="AD1159" s="13" t="s">
        <v>0</v>
      </c>
      <c r="AE1159" s="15">
        <v>0</v>
      </c>
    </row>
    <row r="1160" spans="1:31" ht="14.15" customHeight="1" x14ac:dyDescent="0.25">
      <c r="A1160" s="12" t="s">
        <v>0</v>
      </c>
      <c r="B1160" s="13" t="s">
        <v>1</v>
      </c>
      <c r="C1160" s="13" t="s">
        <v>1396</v>
      </c>
      <c r="D1160" s="14">
        <v>44153</v>
      </c>
      <c r="E1160" s="14">
        <v>44153</v>
      </c>
      <c r="F1160" s="14">
        <v>44161</v>
      </c>
      <c r="G1160" s="13" t="s">
        <v>3</v>
      </c>
      <c r="H1160" s="13" t="s">
        <v>4</v>
      </c>
      <c r="I1160" s="15">
        <v>-15392.58</v>
      </c>
      <c r="J1160" s="13" t="s">
        <v>5</v>
      </c>
      <c r="K1160" s="13" t="s">
        <v>6</v>
      </c>
      <c r="L1160" s="15">
        <v>-1292207.0900000001</v>
      </c>
      <c r="M1160" s="15">
        <v>-15392.58</v>
      </c>
      <c r="N1160" s="16" t="str">
        <f>IF(M1160="","",IF(M1160&lt;0,-M1160&amp;"_"&amp;COUNTIF(M$2:M1160,M1160),M1160&amp;"_"&amp;COUNTIF(M$2:M1160,M1160)))</f>
        <v>15392.58_1</v>
      </c>
      <c r="O1160" s="17" t="str">
        <f t="shared" si="18"/>
        <v/>
      </c>
      <c r="P1160" s="13" t="s">
        <v>1397</v>
      </c>
      <c r="Q1160" s="13" t="s">
        <v>1381</v>
      </c>
      <c r="R1160" s="13" t="s">
        <v>0</v>
      </c>
      <c r="S1160" s="13" t="s">
        <v>0</v>
      </c>
      <c r="T1160" s="13" t="s">
        <v>9</v>
      </c>
      <c r="U1160" s="13" t="s">
        <v>0</v>
      </c>
      <c r="V1160" s="13" t="s">
        <v>0</v>
      </c>
      <c r="W1160" s="13" t="s">
        <v>0</v>
      </c>
      <c r="X1160" s="13" t="s">
        <v>0</v>
      </c>
      <c r="Y1160" s="13" t="s">
        <v>10</v>
      </c>
      <c r="Z1160" s="13" t="s">
        <v>0</v>
      </c>
      <c r="AA1160" s="14"/>
      <c r="AB1160" s="13" t="s">
        <v>0</v>
      </c>
      <c r="AC1160" s="13" t="s">
        <v>0</v>
      </c>
      <c r="AD1160" s="13" t="s">
        <v>0</v>
      </c>
      <c r="AE1160" s="15">
        <v>0</v>
      </c>
    </row>
    <row r="1161" spans="1:31" ht="14.15" customHeight="1" x14ac:dyDescent="0.25">
      <c r="A1161" s="12" t="s">
        <v>0</v>
      </c>
      <c r="B1161" s="13" t="s">
        <v>1</v>
      </c>
      <c r="C1161" s="13" t="s">
        <v>1542</v>
      </c>
      <c r="D1161" s="14">
        <v>44165</v>
      </c>
      <c r="E1161" s="14">
        <v>44165</v>
      </c>
      <c r="F1161" s="14">
        <v>44170</v>
      </c>
      <c r="G1161" s="13" t="s">
        <v>3</v>
      </c>
      <c r="H1161" s="13" t="s">
        <v>4</v>
      </c>
      <c r="I1161" s="15">
        <v>-15392.58</v>
      </c>
      <c r="J1161" s="13" t="s">
        <v>5</v>
      </c>
      <c r="K1161" s="13" t="s">
        <v>6</v>
      </c>
      <c r="L1161" s="15">
        <v>-1292207.1000000001</v>
      </c>
      <c r="M1161" s="15">
        <v>-15392.58</v>
      </c>
      <c r="N1161" s="16" t="str">
        <f>IF(M1161="","",IF(M1161&lt;0,-M1161&amp;"_"&amp;COUNTIF(M$2:M1161,M1161),M1161&amp;"_"&amp;COUNTIF(M$2:M1161,M1161)))</f>
        <v>15392.58_2</v>
      </c>
      <c r="O1161" s="17" t="str">
        <f t="shared" si="18"/>
        <v/>
      </c>
      <c r="P1161" s="13" t="s">
        <v>1543</v>
      </c>
      <c r="Q1161" s="13" t="s">
        <v>1541</v>
      </c>
      <c r="R1161" s="13" t="s">
        <v>0</v>
      </c>
      <c r="S1161" s="13" t="s">
        <v>0</v>
      </c>
      <c r="T1161" s="13" t="s">
        <v>9</v>
      </c>
      <c r="U1161" s="13" t="s">
        <v>0</v>
      </c>
      <c r="V1161" s="13" t="s">
        <v>0</v>
      </c>
      <c r="W1161" s="13" t="s">
        <v>0</v>
      </c>
      <c r="X1161" s="13" t="s">
        <v>0</v>
      </c>
      <c r="Y1161" s="13" t="s">
        <v>10</v>
      </c>
      <c r="Z1161" s="13" t="s">
        <v>0</v>
      </c>
      <c r="AA1161" s="14"/>
      <c r="AB1161" s="13" t="s">
        <v>0</v>
      </c>
      <c r="AC1161" s="13" t="s">
        <v>0</v>
      </c>
      <c r="AD1161" s="13" t="s">
        <v>0</v>
      </c>
      <c r="AE1161" s="15">
        <v>0</v>
      </c>
    </row>
    <row r="1162" spans="1:31" ht="14.15" customHeight="1" x14ac:dyDescent="0.25">
      <c r="A1162" s="12" t="s">
        <v>0</v>
      </c>
      <c r="B1162" s="13" t="s">
        <v>1</v>
      </c>
      <c r="C1162" s="13" t="s">
        <v>2428</v>
      </c>
      <c r="D1162" s="14">
        <v>44231</v>
      </c>
      <c r="E1162" s="14">
        <v>44231</v>
      </c>
      <c r="F1162" s="14">
        <v>44237</v>
      </c>
      <c r="G1162" s="13" t="s">
        <v>3</v>
      </c>
      <c r="H1162" s="13" t="s">
        <v>4</v>
      </c>
      <c r="I1162" s="15">
        <v>-15386.62</v>
      </c>
      <c r="J1162" s="13" t="s">
        <v>5</v>
      </c>
      <c r="K1162" s="13" t="s">
        <v>6</v>
      </c>
      <c r="L1162" s="15">
        <v>-1291706.75</v>
      </c>
      <c r="M1162" s="15">
        <v>-15386.62</v>
      </c>
      <c r="N1162" s="16" t="str">
        <f>IF(M1162="","",IF(M1162&lt;0,-M1162&amp;"_"&amp;COUNTIF(M$2:M1162,M1162),M1162&amp;"_"&amp;COUNTIF(M$2:M1162,M1162)))</f>
        <v>15386.62_1</v>
      </c>
      <c r="O1162" s="17" t="str">
        <f t="shared" si="18"/>
        <v/>
      </c>
      <c r="P1162" s="13" t="s">
        <v>2429</v>
      </c>
      <c r="Q1162" s="13" t="s">
        <v>2427</v>
      </c>
      <c r="R1162" s="13" t="s">
        <v>0</v>
      </c>
      <c r="S1162" s="13" t="s">
        <v>0</v>
      </c>
      <c r="T1162" s="13" t="s">
        <v>9</v>
      </c>
      <c r="U1162" s="13" t="s">
        <v>0</v>
      </c>
      <c r="V1162" s="13" t="s">
        <v>0</v>
      </c>
      <c r="W1162" s="13" t="s">
        <v>0</v>
      </c>
      <c r="X1162" s="13" t="s">
        <v>0</v>
      </c>
      <c r="Y1162" s="13" t="s">
        <v>10</v>
      </c>
      <c r="Z1162" s="13" t="s">
        <v>0</v>
      </c>
      <c r="AA1162" s="14"/>
      <c r="AB1162" s="13" t="s">
        <v>0</v>
      </c>
      <c r="AC1162" s="13" t="s">
        <v>0</v>
      </c>
      <c r="AD1162" s="13" t="s">
        <v>0</v>
      </c>
      <c r="AE1162" s="15">
        <v>0</v>
      </c>
    </row>
    <row r="1163" spans="1:31" ht="14.15" customHeight="1" x14ac:dyDescent="0.25">
      <c r="A1163" s="12" t="s">
        <v>0</v>
      </c>
      <c r="B1163" s="13" t="s">
        <v>1</v>
      </c>
      <c r="C1163" s="13" t="s">
        <v>2430</v>
      </c>
      <c r="D1163" s="14">
        <v>44231</v>
      </c>
      <c r="E1163" s="14">
        <v>44231</v>
      </c>
      <c r="F1163" s="14">
        <v>44237</v>
      </c>
      <c r="G1163" s="13" t="s">
        <v>3</v>
      </c>
      <c r="H1163" s="13" t="s">
        <v>4</v>
      </c>
      <c r="I1163" s="15">
        <v>-15386.62</v>
      </c>
      <c r="J1163" s="13" t="s">
        <v>5</v>
      </c>
      <c r="K1163" s="13" t="s">
        <v>6</v>
      </c>
      <c r="L1163" s="15">
        <v>-1291706.75</v>
      </c>
      <c r="M1163" s="15">
        <v>-15386.62</v>
      </c>
      <c r="N1163" s="16" t="str">
        <f>IF(M1163="","",IF(M1163&lt;0,-M1163&amp;"_"&amp;COUNTIF(M$2:M1163,M1163),M1163&amp;"_"&amp;COUNTIF(M$2:M1163,M1163)))</f>
        <v>15386.62_2</v>
      </c>
      <c r="O1163" s="17" t="str">
        <f t="shared" si="18"/>
        <v/>
      </c>
      <c r="P1163" s="13" t="s">
        <v>2431</v>
      </c>
      <c r="Q1163" s="13" t="s">
        <v>2427</v>
      </c>
      <c r="R1163" s="13" t="s">
        <v>0</v>
      </c>
      <c r="S1163" s="13" t="s">
        <v>0</v>
      </c>
      <c r="T1163" s="13" t="s">
        <v>9</v>
      </c>
      <c r="U1163" s="13" t="s">
        <v>0</v>
      </c>
      <c r="V1163" s="13" t="s">
        <v>0</v>
      </c>
      <c r="W1163" s="13" t="s">
        <v>0</v>
      </c>
      <c r="X1163" s="13" t="s">
        <v>0</v>
      </c>
      <c r="Y1163" s="13" t="s">
        <v>10</v>
      </c>
      <c r="Z1163" s="13" t="s">
        <v>0</v>
      </c>
      <c r="AA1163" s="14"/>
      <c r="AB1163" s="13" t="s">
        <v>0</v>
      </c>
      <c r="AC1163" s="13" t="s">
        <v>0</v>
      </c>
      <c r="AD1163" s="13" t="s">
        <v>0</v>
      </c>
      <c r="AE1163" s="15">
        <v>0</v>
      </c>
    </row>
    <row r="1164" spans="1:31" ht="14.15" customHeight="1" x14ac:dyDescent="0.25">
      <c r="A1164" s="12" t="s">
        <v>0</v>
      </c>
      <c r="B1164" s="13" t="s">
        <v>1</v>
      </c>
      <c r="C1164" s="13" t="s">
        <v>1114</v>
      </c>
      <c r="D1164" s="14">
        <v>44136</v>
      </c>
      <c r="E1164" s="14">
        <v>44136</v>
      </c>
      <c r="F1164" s="14">
        <v>44140</v>
      </c>
      <c r="G1164" s="13" t="s">
        <v>3</v>
      </c>
      <c r="H1164" s="13" t="s">
        <v>4</v>
      </c>
      <c r="I1164" s="15">
        <v>-15358.36</v>
      </c>
      <c r="J1164" s="13" t="s">
        <v>5</v>
      </c>
      <c r="K1164" s="13" t="s">
        <v>6</v>
      </c>
      <c r="L1164" s="15">
        <v>-1289334.32</v>
      </c>
      <c r="M1164" s="15">
        <v>-15358.36</v>
      </c>
      <c r="N1164" s="16" t="str">
        <f>IF(M1164="","",IF(M1164&lt;0,-M1164&amp;"_"&amp;COUNTIF(M$2:M1164,M1164),M1164&amp;"_"&amp;COUNTIF(M$2:M1164,M1164)))</f>
        <v>15358.36_1</v>
      </c>
      <c r="O1164" s="17" t="str">
        <f t="shared" si="18"/>
        <v/>
      </c>
      <c r="P1164" s="13" t="s">
        <v>1115</v>
      </c>
      <c r="Q1164" s="13" t="s">
        <v>1111</v>
      </c>
      <c r="R1164" s="13" t="s">
        <v>0</v>
      </c>
      <c r="S1164" s="13" t="s">
        <v>0</v>
      </c>
      <c r="T1164" s="13" t="s">
        <v>9</v>
      </c>
      <c r="U1164" s="13" t="s">
        <v>0</v>
      </c>
      <c r="V1164" s="13" t="s">
        <v>0</v>
      </c>
      <c r="W1164" s="13" t="s">
        <v>0</v>
      </c>
      <c r="X1164" s="13" t="s">
        <v>0</v>
      </c>
      <c r="Y1164" s="13" t="s">
        <v>10</v>
      </c>
      <c r="Z1164" s="13" t="s">
        <v>0</v>
      </c>
      <c r="AA1164" s="14"/>
      <c r="AB1164" s="13" t="s">
        <v>0</v>
      </c>
      <c r="AC1164" s="13" t="s">
        <v>0</v>
      </c>
      <c r="AD1164" s="13" t="s">
        <v>0</v>
      </c>
      <c r="AE1164" s="15">
        <v>0</v>
      </c>
    </row>
    <row r="1165" spans="1:31" ht="14.15" customHeight="1" x14ac:dyDescent="0.25">
      <c r="A1165" s="12" t="s">
        <v>0</v>
      </c>
      <c r="B1165" s="13" t="s">
        <v>1</v>
      </c>
      <c r="C1165" s="13" t="s">
        <v>4071</v>
      </c>
      <c r="D1165" s="14">
        <v>44360</v>
      </c>
      <c r="E1165" s="14">
        <v>44360</v>
      </c>
      <c r="F1165" s="14">
        <v>44384</v>
      </c>
      <c r="G1165" s="13" t="s">
        <v>3</v>
      </c>
      <c r="H1165" s="13" t="s">
        <v>4</v>
      </c>
      <c r="I1165" s="15">
        <v>-15343.43</v>
      </c>
      <c r="J1165" s="13" t="s">
        <v>5</v>
      </c>
      <c r="K1165" s="13" t="s">
        <v>6</v>
      </c>
      <c r="L1165" s="15">
        <v>-1288080.95</v>
      </c>
      <c r="M1165" s="15">
        <v>-15343.43</v>
      </c>
      <c r="N1165" s="16" t="str">
        <f>IF(M1165="","",IF(M1165&lt;0,-M1165&amp;"_"&amp;COUNTIF(M$2:M1165,M1165),M1165&amp;"_"&amp;COUNTIF(M$2:M1165,M1165)))</f>
        <v>15343.43_1</v>
      </c>
      <c r="O1165" s="17" t="str">
        <f t="shared" si="18"/>
        <v/>
      </c>
      <c r="P1165" s="13" t="s">
        <v>4072</v>
      </c>
      <c r="Q1165" s="13" t="s">
        <v>4062</v>
      </c>
      <c r="R1165" s="13" t="s">
        <v>0</v>
      </c>
      <c r="S1165" s="13" t="s">
        <v>0</v>
      </c>
      <c r="T1165" s="13" t="s">
        <v>9</v>
      </c>
      <c r="U1165" s="13" t="s">
        <v>0</v>
      </c>
      <c r="V1165" s="13" t="s">
        <v>0</v>
      </c>
      <c r="W1165" s="13" t="s">
        <v>0</v>
      </c>
      <c r="X1165" s="13" t="s">
        <v>0</v>
      </c>
      <c r="Y1165" s="13" t="s">
        <v>10</v>
      </c>
      <c r="Z1165" s="13" t="s">
        <v>0</v>
      </c>
      <c r="AA1165" s="14"/>
      <c r="AB1165" s="13" t="s">
        <v>0</v>
      </c>
      <c r="AC1165" s="13" t="s">
        <v>0</v>
      </c>
      <c r="AD1165" s="13" t="s">
        <v>0</v>
      </c>
      <c r="AE1165" s="15">
        <v>0</v>
      </c>
    </row>
    <row r="1166" spans="1:31" ht="14.15" customHeight="1" x14ac:dyDescent="0.25">
      <c r="A1166" s="12" t="s">
        <v>0</v>
      </c>
      <c r="B1166" s="13" t="s">
        <v>1</v>
      </c>
      <c r="C1166" s="13" t="s">
        <v>3008</v>
      </c>
      <c r="D1166" s="14">
        <v>44280</v>
      </c>
      <c r="E1166" s="14">
        <v>44280</v>
      </c>
      <c r="F1166" s="14">
        <v>44286</v>
      </c>
      <c r="G1166" s="13" t="s">
        <v>3</v>
      </c>
      <c r="H1166" s="13" t="s">
        <v>4</v>
      </c>
      <c r="I1166" s="15">
        <v>-15329.11</v>
      </c>
      <c r="J1166" s="13" t="s">
        <v>5</v>
      </c>
      <c r="K1166" s="13" t="s">
        <v>6</v>
      </c>
      <c r="L1166" s="15">
        <v>-1286878.78</v>
      </c>
      <c r="M1166" s="15">
        <v>-15329.11</v>
      </c>
      <c r="N1166" s="16" t="str">
        <f>IF(M1166="","",IF(M1166&lt;0,-M1166&amp;"_"&amp;COUNTIF(M$2:M1166,M1166),M1166&amp;"_"&amp;COUNTIF(M$2:M1166,M1166)))</f>
        <v>15329.11_1</v>
      </c>
      <c r="O1166" s="17" t="str">
        <f t="shared" si="18"/>
        <v/>
      </c>
      <c r="P1166" s="13" t="s">
        <v>3009</v>
      </c>
      <c r="Q1166" s="13" t="s">
        <v>2989</v>
      </c>
      <c r="R1166" s="13" t="s">
        <v>0</v>
      </c>
      <c r="S1166" s="13" t="s">
        <v>0</v>
      </c>
      <c r="T1166" s="13" t="s">
        <v>9</v>
      </c>
      <c r="U1166" s="13" t="s">
        <v>0</v>
      </c>
      <c r="V1166" s="13" t="s">
        <v>0</v>
      </c>
      <c r="W1166" s="13" t="s">
        <v>0</v>
      </c>
      <c r="X1166" s="13" t="s">
        <v>0</v>
      </c>
      <c r="Y1166" s="13" t="s">
        <v>10</v>
      </c>
      <c r="Z1166" s="13" t="s">
        <v>0</v>
      </c>
      <c r="AA1166" s="14"/>
      <c r="AB1166" s="13" t="s">
        <v>0</v>
      </c>
      <c r="AC1166" s="13" t="s">
        <v>0</v>
      </c>
      <c r="AD1166" s="13" t="s">
        <v>0</v>
      </c>
      <c r="AE1166" s="15">
        <v>0</v>
      </c>
    </row>
    <row r="1167" spans="1:31" ht="14.15" customHeight="1" x14ac:dyDescent="0.25">
      <c r="A1167" s="12" t="s">
        <v>0</v>
      </c>
      <c r="B1167" s="13" t="s">
        <v>1</v>
      </c>
      <c r="C1167" s="13" t="s">
        <v>91</v>
      </c>
      <c r="D1167" s="14">
        <v>44023</v>
      </c>
      <c r="E1167" s="14">
        <v>44023</v>
      </c>
      <c r="F1167" s="14">
        <v>44033</v>
      </c>
      <c r="G1167" s="13" t="s">
        <v>3</v>
      </c>
      <c r="H1167" s="13" t="s">
        <v>4</v>
      </c>
      <c r="I1167" s="15">
        <v>-15289.76</v>
      </c>
      <c r="J1167" s="13" t="s">
        <v>5</v>
      </c>
      <c r="K1167" s="13" t="s">
        <v>6</v>
      </c>
      <c r="L1167" s="15">
        <v>-1283575.3500000001</v>
      </c>
      <c r="M1167" s="15">
        <v>-15289.76</v>
      </c>
      <c r="N1167" s="16" t="str">
        <f>IF(M1167="","",IF(M1167&lt;0,-M1167&amp;"_"&amp;COUNTIF(M$2:M1167,M1167),M1167&amp;"_"&amp;COUNTIF(M$2:M1167,M1167)))</f>
        <v>15289.76_1</v>
      </c>
      <c r="O1167" s="17" t="str">
        <f t="shared" si="18"/>
        <v/>
      </c>
      <c r="P1167" s="13" t="s">
        <v>92</v>
      </c>
      <c r="Q1167" s="13" t="s">
        <v>90</v>
      </c>
      <c r="R1167" s="13" t="s">
        <v>0</v>
      </c>
      <c r="S1167" s="13" t="s">
        <v>0</v>
      </c>
      <c r="T1167" s="13" t="s">
        <v>9</v>
      </c>
      <c r="U1167" s="13" t="s">
        <v>0</v>
      </c>
      <c r="V1167" s="13" t="s">
        <v>0</v>
      </c>
      <c r="W1167" s="13" t="s">
        <v>0</v>
      </c>
      <c r="X1167" s="13" t="s">
        <v>0</v>
      </c>
      <c r="Y1167" s="13" t="s">
        <v>10</v>
      </c>
      <c r="Z1167" s="13" t="s">
        <v>0</v>
      </c>
      <c r="AA1167" s="14"/>
      <c r="AB1167" s="13" t="s">
        <v>0</v>
      </c>
      <c r="AC1167" s="13" t="s">
        <v>0</v>
      </c>
      <c r="AD1167" s="13" t="s">
        <v>0</v>
      </c>
      <c r="AE1167" s="15">
        <v>0</v>
      </c>
    </row>
    <row r="1168" spans="1:31" ht="14.15" customHeight="1" x14ac:dyDescent="0.25">
      <c r="A1168" s="12" t="s">
        <v>0</v>
      </c>
      <c r="B1168" s="13" t="s">
        <v>1</v>
      </c>
      <c r="C1168" s="13" t="s">
        <v>2485</v>
      </c>
      <c r="D1168" s="14">
        <v>44234</v>
      </c>
      <c r="E1168" s="14">
        <v>44234</v>
      </c>
      <c r="F1168" s="14">
        <v>44241</v>
      </c>
      <c r="G1168" s="13" t="s">
        <v>3</v>
      </c>
      <c r="H1168" s="13" t="s">
        <v>4</v>
      </c>
      <c r="I1168" s="15">
        <v>-15280.19</v>
      </c>
      <c r="J1168" s="13" t="s">
        <v>5</v>
      </c>
      <c r="K1168" s="13" t="s">
        <v>6</v>
      </c>
      <c r="L1168" s="15">
        <v>-1282771.95</v>
      </c>
      <c r="M1168" s="15">
        <v>-15280.19</v>
      </c>
      <c r="N1168" s="16" t="str">
        <f>IF(M1168="","",IF(M1168&lt;0,-M1168&amp;"_"&amp;COUNTIF(M$2:M1168,M1168),M1168&amp;"_"&amp;COUNTIF(M$2:M1168,M1168)))</f>
        <v>15280.19_1</v>
      </c>
      <c r="O1168" s="17" t="str">
        <f t="shared" si="18"/>
        <v/>
      </c>
      <c r="P1168" s="13" t="s">
        <v>2486</v>
      </c>
      <c r="Q1168" s="13" t="s">
        <v>2462</v>
      </c>
      <c r="R1168" s="13" t="s">
        <v>0</v>
      </c>
      <c r="S1168" s="13" t="s">
        <v>0</v>
      </c>
      <c r="T1168" s="13" t="s">
        <v>9</v>
      </c>
      <c r="U1168" s="13" t="s">
        <v>0</v>
      </c>
      <c r="V1168" s="13" t="s">
        <v>0</v>
      </c>
      <c r="W1168" s="13" t="s">
        <v>0</v>
      </c>
      <c r="X1168" s="13" t="s">
        <v>0</v>
      </c>
      <c r="Y1168" s="13" t="s">
        <v>10</v>
      </c>
      <c r="Z1168" s="13" t="s">
        <v>0</v>
      </c>
      <c r="AA1168" s="14"/>
      <c r="AB1168" s="13" t="s">
        <v>0</v>
      </c>
      <c r="AC1168" s="13" t="s">
        <v>0</v>
      </c>
      <c r="AD1168" s="13" t="s">
        <v>0</v>
      </c>
      <c r="AE1168" s="15">
        <v>0</v>
      </c>
    </row>
    <row r="1169" spans="1:31" ht="14.15" customHeight="1" x14ac:dyDescent="0.25">
      <c r="A1169" s="12" t="s">
        <v>0</v>
      </c>
      <c r="B1169" s="13" t="s">
        <v>1</v>
      </c>
      <c r="C1169" s="13" t="s">
        <v>2591</v>
      </c>
      <c r="D1169" s="14">
        <v>44243</v>
      </c>
      <c r="E1169" s="14">
        <v>44243</v>
      </c>
      <c r="F1169" s="14">
        <v>44251</v>
      </c>
      <c r="G1169" s="13" t="s">
        <v>3</v>
      </c>
      <c r="H1169" s="13" t="s">
        <v>4</v>
      </c>
      <c r="I1169" s="15">
        <v>-15271.02</v>
      </c>
      <c r="J1169" s="13" t="s">
        <v>5</v>
      </c>
      <c r="K1169" s="13" t="s">
        <v>6</v>
      </c>
      <c r="L1169" s="15">
        <v>-1282002.1299999999</v>
      </c>
      <c r="M1169" s="15">
        <v>-15271.02</v>
      </c>
      <c r="N1169" s="16" t="str">
        <f>IF(M1169="","",IF(M1169&lt;0,-M1169&amp;"_"&amp;COUNTIF(M$2:M1169,M1169),M1169&amp;"_"&amp;COUNTIF(M$2:M1169,M1169)))</f>
        <v>15271.02_1</v>
      </c>
      <c r="O1169" s="17" t="str">
        <f t="shared" si="18"/>
        <v/>
      </c>
      <c r="P1169" s="13" t="s">
        <v>2592</v>
      </c>
      <c r="Q1169" s="13" t="s">
        <v>2574</v>
      </c>
      <c r="R1169" s="13" t="s">
        <v>0</v>
      </c>
      <c r="S1169" s="13" t="s">
        <v>0</v>
      </c>
      <c r="T1169" s="13" t="s">
        <v>9</v>
      </c>
      <c r="U1169" s="13" t="s">
        <v>0</v>
      </c>
      <c r="V1169" s="13" t="s">
        <v>0</v>
      </c>
      <c r="W1169" s="13" t="s">
        <v>0</v>
      </c>
      <c r="X1169" s="13" t="s">
        <v>0</v>
      </c>
      <c r="Y1169" s="13" t="s">
        <v>10</v>
      </c>
      <c r="Z1169" s="13" t="s">
        <v>0</v>
      </c>
      <c r="AA1169" s="14"/>
      <c r="AB1169" s="13" t="s">
        <v>0</v>
      </c>
      <c r="AC1169" s="13" t="s">
        <v>0</v>
      </c>
      <c r="AD1169" s="13" t="s">
        <v>0</v>
      </c>
      <c r="AE1169" s="15">
        <v>0</v>
      </c>
    </row>
    <row r="1170" spans="1:31" ht="14.15" customHeight="1" x14ac:dyDescent="0.25">
      <c r="A1170" s="12" t="s">
        <v>0</v>
      </c>
      <c r="B1170" s="13" t="s">
        <v>1</v>
      </c>
      <c r="C1170" s="13" t="s">
        <v>513</v>
      </c>
      <c r="D1170" s="14">
        <v>44069</v>
      </c>
      <c r="E1170" s="14">
        <v>44069</v>
      </c>
      <c r="F1170" s="14">
        <v>44076</v>
      </c>
      <c r="G1170" s="13" t="s">
        <v>3</v>
      </c>
      <c r="H1170" s="13" t="s">
        <v>4</v>
      </c>
      <c r="I1170" s="15">
        <v>-15248.59</v>
      </c>
      <c r="J1170" s="13" t="s">
        <v>5</v>
      </c>
      <c r="K1170" s="13" t="s">
        <v>6</v>
      </c>
      <c r="L1170" s="15">
        <v>-1280119.1299999999</v>
      </c>
      <c r="M1170" s="15">
        <v>-15248.59</v>
      </c>
      <c r="N1170" s="16" t="str">
        <f>IF(M1170="","",IF(M1170&lt;0,-M1170&amp;"_"&amp;COUNTIF(M$2:M1170,M1170),M1170&amp;"_"&amp;COUNTIF(M$2:M1170,M1170)))</f>
        <v>15248.59_1</v>
      </c>
      <c r="O1170" s="17" t="str">
        <f t="shared" si="18"/>
        <v/>
      </c>
      <c r="P1170" s="13" t="s">
        <v>514</v>
      </c>
      <c r="Q1170" s="13" t="s">
        <v>510</v>
      </c>
      <c r="R1170" s="13" t="s">
        <v>0</v>
      </c>
      <c r="S1170" s="13" t="s">
        <v>0</v>
      </c>
      <c r="T1170" s="13" t="s">
        <v>9</v>
      </c>
      <c r="U1170" s="13" t="s">
        <v>0</v>
      </c>
      <c r="V1170" s="13" t="s">
        <v>0</v>
      </c>
      <c r="W1170" s="13" t="s">
        <v>0</v>
      </c>
      <c r="X1170" s="13" t="s">
        <v>0</v>
      </c>
      <c r="Y1170" s="13" t="s">
        <v>10</v>
      </c>
      <c r="Z1170" s="13" t="s">
        <v>0</v>
      </c>
      <c r="AA1170" s="14"/>
      <c r="AB1170" s="13" t="s">
        <v>0</v>
      </c>
      <c r="AC1170" s="13" t="s">
        <v>0</v>
      </c>
      <c r="AD1170" s="13" t="s">
        <v>0</v>
      </c>
      <c r="AE1170" s="15">
        <v>0</v>
      </c>
    </row>
    <row r="1171" spans="1:31" ht="14.15" customHeight="1" x14ac:dyDescent="0.25">
      <c r="A1171" s="12" t="s">
        <v>0</v>
      </c>
      <c r="B1171" s="13" t="s">
        <v>1</v>
      </c>
      <c r="C1171" s="13" t="s">
        <v>1178</v>
      </c>
      <c r="D1171" s="14">
        <v>44140</v>
      </c>
      <c r="E1171" s="14">
        <v>44140</v>
      </c>
      <c r="F1171" s="14">
        <v>44145</v>
      </c>
      <c r="G1171" s="13" t="s">
        <v>3</v>
      </c>
      <c r="H1171" s="13" t="s">
        <v>4</v>
      </c>
      <c r="I1171" s="15">
        <v>-15239.84</v>
      </c>
      <c r="J1171" s="13" t="s">
        <v>5</v>
      </c>
      <c r="K1171" s="13" t="s">
        <v>6</v>
      </c>
      <c r="L1171" s="15">
        <v>-1279384.57</v>
      </c>
      <c r="M1171" s="15">
        <v>-15239.84</v>
      </c>
      <c r="N1171" s="16" t="str">
        <f>IF(M1171="","",IF(M1171&lt;0,-M1171&amp;"_"&amp;COUNTIF(M$2:M1171,M1171),M1171&amp;"_"&amp;COUNTIF(M$2:M1171,M1171)))</f>
        <v>15239.84_1</v>
      </c>
      <c r="O1171" s="17" t="str">
        <f t="shared" si="18"/>
        <v/>
      </c>
      <c r="P1171" s="13" t="s">
        <v>1179</v>
      </c>
      <c r="Q1171" s="13" t="s">
        <v>1165</v>
      </c>
      <c r="R1171" s="13" t="s">
        <v>0</v>
      </c>
      <c r="S1171" s="13" t="s">
        <v>0</v>
      </c>
      <c r="T1171" s="13" t="s">
        <v>9</v>
      </c>
      <c r="U1171" s="13" t="s">
        <v>0</v>
      </c>
      <c r="V1171" s="13" t="s">
        <v>0</v>
      </c>
      <c r="W1171" s="13" t="s">
        <v>0</v>
      </c>
      <c r="X1171" s="13" t="s">
        <v>0</v>
      </c>
      <c r="Y1171" s="13" t="s">
        <v>10</v>
      </c>
      <c r="Z1171" s="13" t="s">
        <v>0</v>
      </c>
      <c r="AA1171" s="14"/>
      <c r="AB1171" s="13" t="s">
        <v>0</v>
      </c>
      <c r="AC1171" s="13" t="s">
        <v>0</v>
      </c>
      <c r="AD1171" s="13" t="s">
        <v>0</v>
      </c>
      <c r="AE1171" s="15">
        <v>0</v>
      </c>
    </row>
    <row r="1172" spans="1:31" ht="14.15" customHeight="1" x14ac:dyDescent="0.25">
      <c r="A1172" s="12" t="s">
        <v>0</v>
      </c>
      <c r="B1172" s="13" t="s">
        <v>1</v>
      </c>
      <c r="C1172" s="13" t="s">
        <v>1967</v>
      </c>
      <c r="D1172" s="14">
        <v>44195</v>
      </c>
      <c r="E1172" s="14">
        <v>44195</v>
      </c>
      <c r="F1172" s="14">
        <v>44202</v>
      </c>
      <c r="G1172" s="13" t="s">
        <v>3</v>
      </c>
      <c r="H1172" s="13" t="s">
        <v>4</v>
      </c>
      <c r="I1172" s="15">
        <v>-15237.57</v>
      </c>
      <c r="J1172" s="13" t="s">
        <v>5</v>
      </c>
      <c r="K1172" s="13" t="s">
        <v>6</v>
      </c>
      <c r="L1172" s="15">
        <v>-1279194</v>
      </c>
      <c r="M1172" s="15">
        <v>-15237.57</v>
      </c>
      <c r="N1172" s="16" t="str">
        <f>IF(M1172="","",IF(M1172&lt;0,-M1172&amp;"_"&amp;COUNTIF(M$2:M1172,M1172),M1172&amp;"_"&amp;COUNTIF(M$2:M1172,M1172)))</f>
        <v>15237.57_1</v>
      </c>
      <c r="O1172" s="17" t="str">
        <f t="shared" si="18"/>
        <v/>
      </c>
      <c r="P1172" s="13" t="s">
        <v>1968</v>
      </c>
      <c r="Q1172" s="13" t="s">
        <v>1956</v>
      </c>
      <c r="R1172" s="13" t="s">
        <v>0</v>
      </c>
      <c r="S1172" s="13" t="s">
        <v>0</v>
      </c>
      <c r="T1172" s="13" t="s">
        <v>9</v>
      </c>
      <c r="U1172" s="13" t="s">
        <v>0</v>
      </c>
      <c r="V1172" s="13" t="s">
        <v>0</v>
      </c>
      <c r="W1172" s="13" t="s">
        <v>0</v>
      </c>
      <c r="X1172" s="13" t="s">
        <v>0</v>
      </c>
      <c r="Y1172" s="13" t="s">
        <v>10</v>
      </c>
      <c r="Z1172" s="13" t="s">
        <v>0</v>
      </c>
      <c r="AA1172" s="14"/>
      <c r="AB1172" s="13" t="s">
        <v>0</v>
      </c>
      <c r="AC1172" s="13" t="s">
        <v>0</v>
      </c>
      <c r="AD1172" s="13" t="s">
        <v>0</v>
      </c>
      <c r="AE1172" s="15">
        <v>0</v>
      </c>
    </row>
    <row r="1173" spans="1:31" ht="14.15" customHeight="1" x14ac:dyDescent="0.25">
      <c r="A1173" s="12" t="s">
        <v>0</v>
      </c>
      <c r="B1173" s="13" t="s">
        <v>1</v>
      </c>
      <c r="C1173" s="13" t="s">
        <v>2929</v>
      </c>
      <c r="D1173" s="14">
        <v>44276</v>
      </c>
      <c r="E1173" s="14">
        <v>44276</v>
      </c>
      <c r="F1173" s="14">
        <v>44283</v>
      </c>
      <c r="G1173" s="13" t="s">
        <v>3</v>
      </c>
      <c r="H1173" s="13" t="s">
        <v>4</v>
      </c>
      <c r="I1173" s="15">
        <v>-15225.12</v>
      </c>
      <c r="J1173" s="13" t="s">
        <v>5</v>
      </c>
      <c r="K1173" s="13" t="s">
        <v>6</v>
      </c>
      <c r="L1173" s="15">
        <v>-1278148.82</v>
      </c>
      <c r="M1173" s="15">
        <v>-15225.12</v>
      </c>
      <c r="N1173" s="16" t="str">
        <f>IF(M1173="","",IF(M1173&lt;0,-M1173&amp;"_"&amp;COUNTIF(M$2:M1173,M1173),M1173&amp;"_"&amp;COUNTIF(M$2:M1173,M1173)))</f>
        <v>15225.12_1</v>
      </c>
      <c r="O1173" s="17" t="str">
        <f t="shared" si="18"/>
        <v/>
      </c>
      <c r="P1173" s="13" t="s">
        <v>2930</v>
      </c>
      <c r="Q1173" s="13" t="s">
        <v>2922</v>
      </c>
      <c r="R1173" s="13" t="s">
        <v>0</v>
      </c>
      <c r="S1173" s="13" t="s">
        <v>0</v>
      </c>
      <c r="T1173" s="13" t="s">
        <v>9</v>
      </c>
      <c r="U1173" s="13" t="s">
        <v>0</v>
      </c>
      <c r="V1173" s="13" t="s">
        <v>0</v>
      </c>
      <c r="W1173" s="13" t="s">
        <v>0</v>
      </c>
      <c r="X1173" s="13" t="s">
        <v>0</v>
      </c>
      <c r="Y1173" s="13" t="s">
        <v>10</v>
      </c>
      <c r="Z1173" s="13" t="s">
        <v>0</v>
      </c>
      <c r="AA1173" s="14"/>
      <c r="AB1173" s="13" t="s">
        <v>0</v>
      </c>
      <c r="AC1173" s="13" t="s">
        <v>0</v>
      </c>
      <c r="AD1173" s="13" t="s">
        <v>0</v>
      </c>
      <c r="AE1173" s="15">
        <v>0</v>
      </c>
    </row>
    <row r="1174" spans="1:31" ht="14.15" customHeight="1" x14ac:dyDescent="0.25">
      <c r="A1174" s="12" t="s">
        <v>0</v>
      </c>
      <c r="B1174" s="13" t="s">
        <v>1</v>
      </c>
      <c r="C1174" s="13" t="s">
        <v>2960</v>
      </c>
      <c r="D1174" s="14">
        <v>44277</v>
      </c>
      <c r="E1174" s="14">
        <v>44277</v>
      </c>
      <c r="F1174" s="14">
        <v>44280</v>
      </c>
      <c r="G1174" s="13" t="s">
        <v>3</v>
      </c>
      <c r="H1174" s="13" t="s">
        <v>4</v>
      </c>
      <c r="I1174" s="15">
        <v>-15204.85</v>
      </c>
      <c r="J1174" s="13" t="s">
        <v>5</v>
      </c>
      <c r="K1174" s="13" t="s">
        <v>6</v>
      </c>
      <c r="L1174" s="15">
        <v>-1276447.1599999999</v>
      </c>
      <c r="M1174" s="15">
        <v>-15204.85</v>
      </c>
      <c r="N1174" s="16" t="str">
        <f>IF(M1174="","",IF(M1174&lt;0,-M1174&amp;"_"&amp;COUNTIF(M$2:M1174,M1174),M1174&amp;"_"&amp;COUNTIF(M$2:M1174,M1174)))</f>
        <v>15204.85_1</v>
      </c>
      <c r="O1174" s="17" t="str">
        <f t="shared" si="18"/>
        <v/>
      </c>
      <c r="P1174" s="13" t="s">
        <v>2961</v>
      </c>
      <c r="Q1174" s="13" t="s">
        <v>2955</v>
      </c>
      <c r="R1174" s="13" t="s">
        <v>0</v>
      </c>
      <c r="S1174" s="13" t="s">
        <v>0</v>
      </c>
      <c r="T1174" s="13" t="s">
        <v>9</v>
      </c>
      <c r="U1174" s="13" t="s">
        <v>0</v>
      </c>
      <c r="V1174" s="13" t="s">
        <v>0</v>
      </c>
      <c r="W1174" s="13" t="s">
        <v>0</v>
      </c>
      <c r="X1174" s="13" t="s">
        <v>0</v>
      </c>
      <c r="Y1174" s="13" t="s">
        <v>10</v>
      </c>
      <c r="Z1174" s="13" t="s">
        <v>0</v>
      </c>
      <c r="AA1174" s="14"/>
      <c r="AB1174" s="13" t="s">
        <v>0</v>
      </c>
      <c r="AC1174" s="13" t="s">
        <v>0</v>
      </c>
      <c r="AD1174" s="13" t="s">
        <v>0</v>
      </c>
      <c r="AE1174" s="15">
        <v>0</v>
      </c>
    </row>
    <row r="1175" spans="1:31" ht="14.15" customHeight="1" x14ac:dyDescent="0.25">
      <c r="A1175" s="12" t="s">
        <v>0</v>
      </c>
      <c r="B1175" s="13" t="s">
        <v>1</v>
      </c>
      <c r="C1175" s="13" t="s">
        <v>1778</v>
      </c>
      <c r="D1175" s="14">
        <v>44182</v>
      </c>
      <c r="E1175" s="14">
        <v>44182</v>
      </c>
      <c r="F1175" s="14">
        <v>44188</v>
      </c>
      <c r="G1175" s="13" t="s">
        <v>3</v>
      </c>
      <c r="H1175" s="13" t="s">
        <v>4</v>
      </c>
      <c r="I1175" s="15">
        <v>-15173.47</v>
      </c>
      <c r="J1175" s="13" t="s">
        <v>5</v>
      </c>
      <c r="K1175" s="13" t="s">
        <v>6</v>
      </c>
      <c r="L1175" s="15">
        <v>-1273812.81</v>
      </c>
      <c r="M1175" s="15">
        <v>-15173.47</v>
      </c>
      <c r="N1175" s="16" t="str">
        <f>IF(M1175="","",IF(M1175&lt;0,-M1175&amp;"_"&amp;COUNTIF(M$2:M1175,M1175),M1175&amp;"_"&amp;COUNTIF(M$2:M1175,M1175)))</f>
        <v>15173.47_1</v>
      </c>
      <c r="O1175" s="17" t="str">
        <f t="shared" si="18"/>
        <v/>
      </c>
      <c r="P1175" s="13" t="s">
        <v>1779</v>
      </c>
      <c r="Q1175" s="13" t="s">
        <v>1777</v>
      </c>
      <c r="R1175" s="13" t="s">
        <v>0</v>
      </c>
      <c r="S1175" s="13" t="s">
        <v>0</v>
      </c>
      <c r="T1175" s="13" t="s">
        <v>9</v>
      </c>
      <c r="U1175" s="13" t="s">
        <v>0</v>
      </c>
      <c r="V1175" s="13" t="s">
        <v>0</v>
      </c>
      <c r="W1175" s="13" t="s">
        <v>0</v>
      </c>
      <c r="X1175" s="13" t="s">
        <v>0</v>
      </c>
      <c r="Y1175" s="13" t="s">
        <v>10</v>
      </c>
      <c r="Z1175" s="13" t="s">
        <v>0</v>
      </c>
      <c r="AA1175" s="14"/>
      <c r="AB1175" s="13" t="s">
        <v>0</v>
      </c>
      <c r="AC1175" s="13" t="s">
        <v>0</v>
      </c>
      <c r="AD1175" s="13" t="s">
        <v>0</v>
      </c>
      <c r="AE1175" s="15">
        <v>0</v>
      </c>
    </row>
    <row r="1176" spans="1:31" ht="14.15" customHeight="1" x14ac:dyDescent="0.25">
      <c r="A1176" s="12" t="s">
        <v>0</v>
      </c>
      <c r="B1176" s="13" t="s">
        <v>1</v>
      </c>
      <c r="C1176" s="13" t="s">
        <v>1438</v>
      </c>
      <c r="D1176" s="14">
        <v>44157</v>
      </c>
      <c r="E1176" s="14">
        <v>44157</v>
      </c>
      <c r="F1176" s="14">
        <v>44168</v>
      </c>
      <c r="G1176" s="13" t="s">
        <v>3</v>
      </c>
      <c r="H1176" s="13" t="s">
        <v>4</v>
      </c>
      <c r="I1176" s="15">
        <v>-15168.2</v>
      </c>
      <c r="J1176" s="13" t="s">
        <v>5</v>
      </c>
      <c r="K1176" s="13" t="s">
        <v>6</v>
      </c>
      <c r="L1176" s="15">
        <v>-1273370.3899999999</v>
      </c>
      <c r="M1176" s="15">
        <v>-15168.2</v>
      </c>
      <c r="N1176" s="16" t="str">
        <f>IF(M1176="","",IF(M1176&lt;0,-M1176&amp;"_"&amp;COUNTIF(M$2:M1176,M1176),M1176&amp;"_"&amp;COUNTIF(M$2:M1176,M1176)))</f>
        <v>15168.2_1</v>
      </c>
      <c r="O1176" s="17" t="str">
        <f t="shared" si="18"/>
        <v/>
      </c>
      <c r="P1176" s="13" t="s">
        <v>1439</v>
      </c>
      <c r="Q1176" s="13" t="s">
        <v>1435</v>
      </c>
      <c r="R1176" s="13" t="s">
        <v>0</v>
      </c>
      <c r="S1176" s="13" t="s">
        <v>0</v>
      </c>
      <c r="T1176" s="13" t="s">
        <v>9</v>
      </c>
      <c r="U1176" s="13" t="s">
        <v>0</v>
      </c>
      <c r="V1176" s="13" t="s">
        <v>0</v>
      </c>
      <c r="W1176" s="13" t="s">
        <v>0</v>
      </c>
      <c r="X1176" s="13" t="s">
        <v>0</v>
      </c>
      <c r="Y1176" s="13" t="s">
        <v>10</v>
      </c>
      <c r="Z1176" s="13" t="s">
        <v>0</v>
      </c>
      <c r="AA1176" s="14"/>
      <c r="AB1176" s="13" t="s">
        <v>0</v>
      </c>
      <c r="AC1176" s="13" t="s">
        <v>0</v>
      </c>
      <c r="AD1176" s="13" t="s">
        <v>0</v>
      </c>
      <c r="AE1176" s="15">
        <v>0</v>
      </c>
    </row>
    <row r="1177" spans="1:31" ht="14.15" customHeight="1" x14ac:dyDescent="0.25">
      <c r="A1177" s="12" t="s">
        <v>0</v>
      </c>
      <c r="B1177" s="13" t="s">
        <v>1</v>
      </c>
      <c r="C1177" s="13" t="s">
        <v>2291</v>
      </c>
      <c r="D1177" s="14">
        <v>44219</v>
      </c>
      <c r="E1177" s="14">
        <v>44219</v>
      </c>
      <c r="F1177" s="14">
        <v>44226</v>
      </c>
      <c r="G1177" s="13" t="s">
        <v>3</v>
      </c>
      <c r="H1177" s="13" t="s">
        <v>4</v>
      </c>
      <c r="I1177" s="15">
        <v>-15159.86</v>
      </c>
      <c r="J1177" s="13" t="s">
        <v>5</v>
      </c>
      <c r="K1177" s="13" t="s">
        <v>6</v>
      </c>
      <c r="L1177" s="15">
        <v>-1272670.25</v>
      </c>
      <c r="M1177" s="15">
        <v>-15159.86</v>
      </c>
      <c r="N1177" s="16" t="str">
        <f>IF(M1177="","",IF(M1177&lt;0,-M1177&amp;"_"&amp;COUNTIF(M$2:M1177,M1177),M1177&amp;"_"&amp;COUNTIF(M$2:M1177,M1177)))</f>
        <v>15159.86_1</v>
      </c>
      <c r="O1177" s="17" t="str">
        <f t="shared" si="18"/>
        <v/>
      </c>
      <c r="P1177" s="13" t="s">
        <v>2292</v>
      </c>
      <c r="Q1177" s="13" t="s">
        <v>2282</v>
      </c>
      <c r="R1177" s="13" t="s">
        <v>0</v>
      </c>
      <c r="S1177" s="13" t="s">
        <v>0</v>
      </c>
      <c r="T1177" s="13" t="s">
        <v>9</v>
      </c>
      <c r="U1177" s="13" t="s">
        <v>0</v>
      </c>
      <c r="V1177" s="13" t="s">
        <v>0</v>
      </c>
      <c r="W1177" s="13" t="s">
        <v>0</v>
      </c>
      <c r="X1177" s="13" t="s">
        <v>0</v>
      </c>
      <c r="Y1177" s="13" t="s">
        <v>10</v>
      </c>
      <c r="Z1177" s="13" t="s">
        <v>0</v>
      </c>
      <c r="AA1177" s="14"/>
      <c r="AB1177" s="13" t="s">
        <v>0</v>
      </c>
      <c r="AC1177" s="13" t="s">
        <v>0</v>
      </c>
      <c r="AD1177" s="13" t="s">
        <v>0</v>
      </c>
      <c r="AE1177" s="15">
        <v>0</v>
      </c>
    </row>
    <row r="1178" spans="1:31" ht="14.15" customHeight="1" x14ac:dyDescent="0.25">
      <c r="A1178" s="12" t="s">
        <v>0</v>
      </c>
      <c r="B1178" s="13" t="s">
        <v>1</v>
      </c>
      <c r="C1178" s="13" t="s">
        <v>2935</v>
      </c>
      <c r="D1178" s="14">
        <v>44276</v>
      </c>
      <c r="E1178" s="14">
        <v>44276</v>
      </c>
      <c r="F1178" s="14">
        <v>44283</v>
      </c>
      <c r="G1178" s="13" t="s">
        <v>3</v>
      </c>
      <c r="H1178" s="13" t="s">
        <v>4</v>
      </c>
      <c r="I1178" s="15">
        <v>-15158.3</v>
      </c>
      <c r="J1178" s="13" t="s">
        <v>5</v>
      </c>
      <c r="K1178" s="13" t="s">
        <v>6</v>
      </c>
      <c r="L1178" s="15">
        <v>-1272539.29</v>
      </c>
      <c r="M1178" s="15">
        <v>-15158.3</v>
      </c>
      <c r="N1178" s="16" t="str">
        <f>IF(M1178="","",IF(M1178&lt;0,-M1178&amp;"_"&amp;COUNTIF(M$2:M1178,M1178),M1178&amp;"_"&amp;COUNTIF(M$2:M1178,M1178)))</f>
        <v>15158.3_1</v>
      </c>
      <c r="O1178" s="17" t="str">
        <f t="shared" si="18"/>
        <v/>
      </c>
      <c r="P1178" s="13" t="s">
        <v>2936</v>
      </c>
      <c r="Q1178" s="13" t="s">
        <v>2922</v>
      </c>
      <c r="R1178" s="13" t="s">
        <v>0</v>
      </c>
      <c r="S1178" s="13" t="s">
        <v>0</v>
      </c>
      <c r="T1178" s="13" t="s">
        <v>9</v>
      </c>
      <c r="U1178" s="13" t="s">
        <v>0</v>
      </c>
      <c r="V1178" s="13" t="s">
        <v>0</v>
      </c>
      <c r="W1178" s="13" t="s">
        <v>0</v>
      </c>
      <c r="X1178" s="13" t="s">
        <v>0</v>
      </c>
      <c r="Y1178" s="13" t="s">
        <v>10</v>
      </c>
      <c r="Z1178" s="13" t="s">
        <v>0</v>
      </c>
      <c r="AA1178" s="14"/>
      <c r="AB1178" s="13" t="s">
        <v>0</v>
      </c>
      <c r="AC1178" s="13" t="s">
        <v>0</v>
      </c>
      <c r="AD1178" s="13" t="s">
        <v>0</v>
      </c>
      <c r="AE1178" s="15">
        <v>0</v>
      </c>
    </row>
    <row r="1179" spans="1:31" ht="14.15" customHeight="1" x14ac:dyDescent="0.25">
      <c r="A1179" s="12" t="s">
        <v>0</v>
      </c>
      <c r="B1179" s="13" t="s">
        <v>1</v>
      </c>
      <c r="C1179" s="13" t="s">
        <v>625</v>
      </c>
      <c r="D1179" s="14">
        <v>44083</v>
      </c>
      <c r="E1179" s="14">
        <v>44083</v>
      </c>
      <c r="F1179" s="14">
        <v>44086</v>
      </c>
      <c r="G1179" s="13" t="s">
        <v>3</v>
      </c>
      <c r="H1179" s="13" t="s">
        <v>4</v>
      </c>
      <c r="I1179" s="15">
        <v>-15153.82</v>
      </c>
      <c r="J1179" s="13" t="s">
        <v>5</v>
      </c>
      <c r="K1179" s="13" t="s">
        <v>6</v>
      </c>
      <c r="L1179" s="15">
        <v>-1272163.19</v>
      </c>
      <c r="M1179" s="15">
        <v>-15153.82</v>
      </c>
      <c r="N1179" s="16" t="str">
        <f>IF(M1179="","",IF(M1179&lt;0,-M1179&amp;"_"&amp;COUNTIF(M$2:M1179,M1179),M1179&amp;"_"&amp;COUNTIF(M$2:M1179,M1179)))</f>
        <v>15153.82_1</v>
      </c>
      <c r="O1179" s="17" t="str">
        <f t="shared" si="18"/>
        <v/>
      </c>
      <c r="P1179" s="13" t="s">
        <v>626</v>
      </c>
      <c r="Q1179" s="13" t="s">
        <v>624</v>
      </c>
      <c r="R1179" s="13" t="s">
        <v>0</v>
      </c>
      <c r="S1179" s="13" t="s">
        <v>0</v>
      </c>
      <c r="T1179" s="13" t="s">
        <v>9</v>
      </c>
      <c r="U1179" s="13" t="s">
        <v>0</v>
      </c>
      <c r="V1179" s="13" t="s">
        <v>0</v>
      </c>
      <c r="W1179" s="13" t="s">
        <v>0</v>
      </c>
      <c r="X1179" s="13" t="s">
        <v>0</v>
      </c>
      <c r="Y1179" s="13" t="s">
        <v>10</v>
      </c>
      <c r="Z1179" s="13" t="s">
        <v>0</v>
      </c>
      <c r="AA1179" s="14"/>
      <c r="AB1179" s="13" t="s">
        <v>0</v>
      </c>
      <c r="AC1179" s="13" t="s">
        <v>0</v>
      </c>
      <c r="AD1179" s="13" t="s">
        <v>0</v>
      </c>
      <c r="AE1179" s="15">
        <v>0</v>
      </c>
    </row>
    <row r="1180" spans="1:31" ht="14.15" customHeight="1" x14ac:dyDescent="0.25">
      <c r="A1180" s="12" t="s">
        <v>0</v>
      </c>
      <c r="B1180" s="13" t="s">
        <v>1</v>
      </c>
      <c r="C1180" s="13" t="s">
        <v>3006</v>
      </c>
      <c r="D1180" s="14">
        <v>44280</v>
      </c>
      <c r="E1180" s="14">
        <v>44280</v>
      </c>
      <c r="F1180" s="14">
        <v>44286</v>
      </c>
      <c r="G1180" s="13" t="s">
        <v>3</v>
      </c>
      <c r="H1180" s="13" t="s">
        <v>4</v>
      </c>
      <c r="I1180" s="15">
        <v>-15117.25</v>
      </c>
      <c r="J1180" s="13" t="s">
        <v>5</v>
      </c>
      <c r="K1180" s="13" t="s">
        <v>6</v>
      </c>
      <c r="L1180" s="15">
        <v>-1269093.1399999999</v>
      </c>
      <c r="M1180" s="15">
        <v>-15117.25</v>
      </c>
      <c r="N1180" s="16" t="str">
        <f>IF(M1180="","",IF(M1180&lt;0,-M1180&amp;"_"&amp;COUNTIF(M$2:M1180,M1180),M1180&amp;"_"&amp;COUNTIF(M$2:M1180,M1180)))</f>
        <v>15117.25_1</v>
      </c>
      <c r="O1180" s="17" t="str">
        <f t="shared" si="18"/>
        <v/>
      </c>
      <c r="P1180" s="13" t="s">
        <v>3007</v>
      </c>
      <c r="Q1180" s="13" t="s">
        <v>2989</v>
      </c>
      <c r="R1180" s="13" t="s">
        <v>0</v>
      </c>
      <c r="S1180" s="13" t="s">
        <v>0</v>
      </c>
      <c r="T1180" s="13" t="s">
        <v>9</v>
      </c>
      <c r="U1180" s="13" t="s">
        <v>0</v>
      </c>
      <c r="V1180" s="13" t="s">
        <v>0</v>
      </c>
      <c r="W1180" s="13" t="s">
        <v>0</v>
      </c>
      <c r="X1180" s="13" t="s">
        <v>0</v>
      </c>
      <c r="Y1180" s="13" t="s">
        <v>10</v>
      </c>
      <c r="Z1180" s="13" t="s">
        <v>0</v>
      </c>
      <c r="AA1180" s="14"/>
      <c r="AB1180" s="13" t="s">
        <v>0</v>
      </c>
      <c r="AC1180" s="13" t="s">
        <v>0</v>
      </c>
      <c r="AD1180" s="13" t="s">
        <v>0</v>
      </c>
      <c r="AE1180" s="15">
        <v>0</v>
      </c>
    </row>
    <row r="1181" spans="1:31" ht="14.15" customHeight="1" x14ac:dyDescent="0.25">
      <c r="A1181" s="12" t="s">
        <v>0</v>
      </c>
      <c r="B1181" s="13" t="s">
        <v>1</v>
      </c>
      <c r="C1181" s="13" t="s">
        <v>1046</v>
      </c>
      <c r="D1181" s="14">
        <v>44131</v>
      </c>
      <c r="E1181" s="14">
        <v>44131</v>
      </c>
      <c r="F1181" s="14">
        <v>44136</v>
      </c>
      <c r="G1181" s="13" t="s">
        <v>3</v>
      </c>
      <c r="H1181" s="13" t="s">
        <v>4</v>
      </c>
      <c r="I1181" s="15">
        <v>-15115.97</v>
      </c>
      <c r="J1181" s="13" t="s">
        <v>5</v>
      </c>
      <c r="K1181" s="13" t="s">
        <v>6</v>
      </c>
      <c r="L1181" s="15">
        <v>-1268985.68</v>
      </c>
      <c r="M1181" s="15">
        <v>-15115.97</v>
      </c>
      <c r="N1181" s="16" t="str">
        <f>IF(M1181="","",IF(M1181&lt;0,-M1181&amp;"_"&amp;COUNTIF(M$2:M1181,M1181),M1181&amp;"_"&amp;COUNTIF(M$2:M1181,M1181)))</f>
        <v>15115.97_1</v>
      </c>
      <c r="O1181" s="17" t="str">
        <f t="shared" si="18"/>
        <v/>
      </c>
      <c r="P1181" s="13" t="s">
        <v>1047</v>
      </c>
      <c r="Q1181" s="13" t="s">
        <v>1041</v>
      </c>
      <c r="R1181" s="13" t="s">
        <v>0</v>
      </c>
      <c r="S1181" s="13" t="s">
        <v>0</v>
      </c>
      <c r="T1181" s="13" t="s">
        <v>9</v>
      </c>
      <c r="U1181" s="13" t="s">
        <v>0</v>
      </c>
      <c r="V1181" s="13" t="s">
        <v>0</v>
      </c>
      <c r="W1181" s="13" t="s">
        <v>0</v>
      </c>
      <c r="X1181" s="13" t="s">
        <v>0</v>
      </c>
      <c r="Y1181" s="13" t="s">
        <v>10</v>
      </c>
      <c r="Z1181" s="13" t="s">
        <v>0</v>
      </c>
      <c r="AA1181" s="14"/>
      <c r="AB1181" s="13" t="s">
        <v>0</v>
      </c>
      <c r="AC1181" s="13" t="s">
        <v>0</v>
      </c>
      <c r="AD1181" s="13" t="s">
        <v>0</v>
      </c>
      <c r="AE1181" s="15">
        <v>0</v>
      </c>
    </row>
    <row r="1182" spans="1:31" ht="14.15" customHeight="1" x14ac:dyDescent="0.25">
      <c r="A1182" s="12" t="s">
        <v>0</v>
      </c>
      <c r="B1182" s="13" t="s">
        <v>1</v>
      </c>
      <c r="C1182" s="13" t="s">
        <v>1577</v>
      </c>
      <c r="D1182" s="14">
        <v>44166</v>
      </c>
      <c r="E1182" s="14">
        <v>44166</v>
      </c>
      <c r="F1182" s="14">
        <v>44170</v>
      </c>
      <c r="G1182" s="13" t="s">
        <v>3</v>
      </c>
      <c r="H1182" s="13" t="s">
        <v>4</v>
      </c>
      <c r="I1182" s="15">
        <v>-15114.4</v>
      </c>
      <c r="J1182" s="13" t="s">
        <v>5</v>
      </c>
      <c r="K1182" s="13" t="s">
        <v>6</v>
      </c>
      <c r="L1182" s="15">
        <v>-1268853.8799999999</v>
      </c>
      <c r="M1182" s="15">
        <v>-15114.4</v>
      </c>
      <c r="N1182" s="16" t="str">
        <f>IF(M1182="","",IF(M1182&lt;0,-M1182&amp;"_"&amp;COUNTIF(M$2:M1182,M1182),M1182&amp;"_"&amp;COUNTIF(M$2:M1182,M1182)))</f>
        <v>15114.4_1</v>
      </c>
      <c r="O1182" s="17" t="str">
        <f t="shared" si="18"/>
        <v/>
      </c>
      <c r="P1182" s="13" t="s">
        <v>1578</v>
      </c>
      <c r="Q1182" s="13" t="s">
        <v>1579</v>
      </c>
      <c r="R1182" s="13" t="s">
        <v>0</v>
      </c>
      <c r="S1182" s="13" t="s">
        <v>0</v>
      </c>
      <c r="T1182" s="13" t="s">
        <v>9</v>
      </c>
      <c r="U1182" s="13" t="s">
        <v>0</v>
      </c>
      <c r="V1182" s="13" t="s">
        <v>0</v>
      </c>
      <c r="W1182" s="13" t="s">
        <v>0</v>
      </c>
      <c r="X1182" s="13" t="s">
        <v>0</v>
      </c>
      <c r="Y1182" s="13" t="s">
        <v>10</v>
      </c>
      <c r="Z1182" s="13" t="s">
        <v>0</v>
      </c>
      <c r="AA1182" s="14"/>
      <c r="AB1182" s="13" t="s">
        <v>0</v>
      </c>
      <c r="AC1182" s="13" t="s">
        <v>0</v>
      </c>
      <c r="AD1182" s="13" t="s">
        <v>0</v>
      </c>
      <c r="AE1182" s="15">
        <v>0</v>
      </c>
    </row>
    <row r="1183" spans="1:31" ht="14.15" customHeight="1" x14ac:dyDescent="0.25">
      <c r="A1183" s="12" t="s">
        <v>0</v>
      </c>
      <c r="B1183" s="13" t="s">
        <v>1</v>
      </c>
      <c r="C1183" s="13" t="s">
        <v>3504</v>
      </c>
      <c r="D1183" s="14">
        <v>44323</v>
      </c>
      <c r="E1183" s="14">
        <v>44323</v>
      </c>
      <c r="F1183" s="14">
        <v>44326</v>
      </c>
      <c r="G1183" s="13" t="s">
        <v>3</v>
      </c>
      <c r="H1183" s="13" t="s">
        <v>4</v>
      </c>
      <c r="I1183" s="15">
        <v>-15110.22</v>
      </c>
      <c r="J1183" s="13" t="s">
        <v>5</v>
      </c>
      <c r="K1183" s="13" t="s">
        <v>6</v>
      </c>
      <c r="L1183" s="15">
        <v>-1268502.97</v>
      </c>
      <c r="M1183" s="15">
        <v>-15110.22</v>
      </c>
      <c r="N1183" s="16" t="str">
        <f>IF(M1183="","",IF(M1183&lt;0,-M1183&amp;"_"&amp;COUNTIF(M$2:M1183,M1183),M1183&amp;"_"&amp;COUNTIF(M$2:M1183,M1183)))</f>
        <v>15110.22_1</v>
      </c>
      <c r="O1183" s="17" t="str">
        <f t="shared" si="18"/>
        <v/>
      </c>
      <c r="P1183" s="13" t="s">
        <v>3505</v>
      </c>
      <c r="Q1183" s="13" t="s">
        <v>3503</v>
      </c>
      <c r="R1183" s="13" t="s">
        <v>0</v>
      </c>
      <c r="S1183" s="13" t="s">
        <v>0</v>
      </c>
      <c r="T1183" s="13" t="s">
        <v>9</v>
      </c>
      <c r="U1183" s="13" t="s">
        <v>0</v>
      </c>
      <c r="V1183" s="13" t="s">
        <v>0</v>
      </c>
      <c r="W1183" s="13" t="s">
        <v>0</v>
      </c>
      <c r="X1183" s="13" t="s">
        <v>0</v>
      </c>
      <c r="Y1183" s="13" t="s">
        <v>10</v>
      </c>
      <c r="Z1183" s="13" t="s">
        <v>0</v>
      </c>
      <c r="AA1183" s="14"/>
      <c r="AB1183" s="13" t="s">
        <v>0</v>
      </c>
      <c r="AC1183" s="13" t="s">
        <v>0</v>
      </c>
      <c r="AD1183" s="13" t="s">
        <v>0</v>
      </c>
      <c r="AE1183" s="15">
        <v>0</v>
      </c>
    </row>
    <row r="1184" spans="1:31" ht="14.15" customHeight="1" x14ac:dyDescent="0.25">
      <c r="A1184" s="12" t="s">
        <v>0</v>
      </c>
      <c r="B1184" s="13" t="s">
        <v>1</v>
      </c>
      <c r="C1184" s="13" t="s">
        <v>1438</v>
      </c>
      <c r="D1184" s="14">
        <v>44157</v>
      </c>
      <c r="E1184" s="14">
        <v>44157</v>
      </c>
      <c r="F1184" s="14">
        <v>44168</v>
      </c>
      <c r="G1184" s="13" t="s">
        <v>3</v>
      </c>
      <c r="H1184" s="13" t="s">
        <v>4</v>
      </c>
      <c r="I1184" s="15">
        <v>-15086.31</v>
      </c>
      <c r="J1184" s="13" t="s">
        <v>5</v>
      </c>
      <c r="K1184" s="13" t="s">
        <v>6</v>
      </c>
      <c r="L1184" s="15">
        <v>-1266495.72</v>
      </c>
      <c r="M1184" s="15">
        <v>-15086.31</v>
      </c>
      <c r="N1184" s="16" t="str">
        <f>IF(M1184="","",IF(M1184&lt;0,-M1184&amp;"_"&amp;COUNTIF(M$2:M1184,M1184),M1184&amp;"_"&amp;COUNTIF(M$2:M1184,M1184)))</f>
        <v>15086.31_1</v>
      </c>
      <c r="O1184" s="17" t="str">
        <f t="shared" si="18"/>
        <v/>
      </c>
      <c r="P1184" s="13" t="s">
        <v>1439</v>
      </c>
      <c r="Q1184" s="13" t="s">
        <v>1435</v>
      </c>
      <c r="R1184" s="13" t="s">
        <v>0</v>
      </c>
      <c r="S1184" s="13" t="s">
        <v>0</v>
      </c>
      <c r="T1184" s="13" t="s">
        <v>9</v>
      </c>
      <c r="U1184" s="13" t="s">
        <v>0</v>
      </c>
      <c r="V1184" s="13" t="s">
        <v>0</v>
      </c>
      <c r="W1184" s="13" t="s">
        <v>0</v>
      </c>
      <c r="X1184" s="13" t="s">
        <v>0</v>
      </c>
      <c r="Y1184" s="13" t="s">
        <v>10</v>
      </c>
      <c r="Z1184" s="13" t="s">
        <v>0</v>
      </c>
      <c r="AA1184" s="14"/>
      <c r="AB1184" s="13" t="s">
        <v>0</v>
      </c>
      <c r="AC1184" s="13" t="s">
        <v>0</v>
      </c>
      <c r="AD1184" s="13" t="s">
        <v>0</v>
      </c>
      <c r="AE1184" s="15">
        <v>0</v>
      </c>
    </row>
    <row r="1185" spans="1:31" ht="14.15" customHeight="1" x14ac:dyDescent="0.25">
      <c r="A1185" s="12" t="s">
        <v>0</v>
      </c>
      <c r="B1185" s="13" t="s">
        <v>1</v>
      </c>
      <c r="C1185" s="13" t="s">
        <v>1773</v>
      </c>
      <c r="D1185" s="14">
        <v>44181</v>
      </c>
      <c r="E1185" s="14">
        <v>44181</v>
      </c>
      <c r="F1185" s="14">
        <v>44187</v>
      </c>
      <c r="G1185" s="13" t="s">
        <v>3</v>
      </c>
      <c r="H1185" s="13" t="s">
        <v>4</v>
      </c>
      <c r="I1185" s="15">
        <v>-15081.52</v>
      </c>
      <c r="J1185" s="13" t="s">
        <v>5</v>
      </c>
      <c r="K1185" s="13" t="s">
        <v>6</v>
      </c>
      <c r="L1185" s="15">
        <v>-1266093.6000000001</v>
      </c>
      <c r="M1185" s="15">
        <v>-15081.52</v>
      </c>
      <c r="N1185" s="16" t="str">
        <f>IF(M1185="","",IF(M1185&lt;0,-M1185&amp;"_"&amp;COUNTIF(M$2:M1185,M1185),M1185&amp;"_"&amp;COUNTIF(M$2:M1185,M1185)))</f>
        <v>15081.52_1</v>
      </c>
      <c r="O1185" s="17" t="str">
        <f t="shared" si="18"/>
        <v/>
      </c>
      <c r="P1185" s="13" t="s">
        <v>1774</v>
      </c>
      <c r="Q1185" s="13" t="s">
        <v>1766</v>
      </c>
      <c r="R1185" s="13" t="s">
        <v>0</v>
      </c>
      <c r="S1185" s="13" t="s">
        <v>0</v>
      </c>
      <c r="T1185" s="13" t="s">
        <v>9</v>
      </c>
      <c r="U1185" s="13" t="s">
        <v>0</v>
      </c>
      <c r="V1185" s="13" t="s">
        <v>0</v>
      </c>
      <c r="W1185" s="13" t="s">
        <v>0</v>
      </c>
      <c r="X1185" s="13" t="s">
        <v>0</v>
      </c>
      <c r="Y1185" s="13" t="s">
        <v>10</v>
      </c>
      <c r="Z1185" s="13" t="s">
        <v>0</v>
      </c>
      <c r="AA1185" s="14"/>
      <c r="AB1185" s="13" t="s">
        <v>0</v>
      </c>
      <c r="AC1185" s="13" t="s">
        <v>0</v>
      </c>
      <c r="AD1185" s="13" t="s">
        <v>0</v>
      </c>
      <c r="AE1185" s="15">
        <v>0</v>
      </c>
    </row>
    <row r="1186" spans="1:31" ht="14.15" customHeight="1" x14ac:dyDescent="0.25">
      <c r="A1186" s="12" t="s">
        <v>0</v>
      </c>
      <c r="B1186" s="13" t="s">
        <v>1</v>
      </c>
      <c r="C1186" s="13" t="s">
        <v>178</v>
      </c>
      <c r="D1186" s="14">
        <v>44034</v>
      </c>
      <c r="E1186" s="14">
        <v>44034</v>
      </c>
      <c r="F1186" s="14">
        <v>44040</v>
      </c>
      <c r="G1186" s="13" t="s">
        <v>3</v>
      </c>
      <c r="H1186" s="13" t="s">
        <v>4</v>
      </c>
      <c r="I1186" s="15">
        <v>-15029.51</v>
      </c>
      <c r="J1186" s="13" t="s">
        <v>5</v>
      </c>
      <c r="K1186" s="13" t="s">
        <v>6</v>
      </c>
      <c r="L1186" s="15">
        <v>-1261727.3600000001</v>
      </c>
      <c r="M1186" s="15">
        <v>-15029.51</v>
      </c>
      <c r="N1186" s="16" t="str">
        <f>IF(M1186="","",IF(M1186&lt;0,-M1186&amp;"_"&amp;COUNTIF(M$2:M1186,M1186),M1186&amp;"_"&amp;COUNTIF(M$2:M1186,M1186)))</f>
        <v>15029.51_1</v>
      </c>
      <c r="O1186" s="17" t="str">
        <f t="shared" si="18"/>
        <v/>
      </c>
      <c r="P1186" s="13" t="s">
        <v>179</v>
      </c>
      <c r="Q1186" s="13" t="s">
        <v>175</v>
      </c>
      <c r="R1186" s="13" t="s">
        <v>0</v>
      </c>
      <c r="S1186" s="13" t="s">
        <v>0</v>
      </c>
      <c r="T1186" s="13" t="s">
        <v>9</v>
      </c>
      <c r="U1186" s="13" t="s">
        <v>0</v>
      </c>
      <c r="V1186" s="13" t="s">
        <v>0</v>
      </c>
      <c r="W1186" s="13" t="s">
        <v>0</v>
      </c>
      <c r="X1186" s="13" t="s">
        <v>0</v>
      </c>
      <c r="Y1186" s="13" t="s">
        <v>10</v>
      </c>
      <c r="Z1186" s="13" t="s">
        <v>0</v>
      </c>
      <c r="AA1186" s="14"/>
      <c r="AB1186" s="13" t="s">
        <v>0</v>
      </c>
      <c r="AC1186" s="13" t="s">
        <v>0</v>
      </c>
      <c r="AD1186" s="13" t="s">
        <v>0</v>
      </c>
      <c r="AE1186" s="15">
        <v>0</v>
      </c>
    </row>
    <row r="1187" spans="1:31" ht="14.15" customHeight="1" x14ac:dyDescent="0.25">
      <c r="A1187" s="12" t="s">
        <v>0</v>
      </c>
      <c r="B1187" s="13" t="s">
        <v>1</v>
      </c>
      <c r="C1187" s="13" t="s">
        <v>869</v>
      </c>
      <c r="D1187" s="14">
        <v>44111</v>
      </c>
      <c r="E1187" s="14">
        <v>44111</v>
      </c>
      <c r="F1187" s="14">
        <v>44117</v>
      </c>
      <c r="G1187" s="13" t="s">
        <v>3</v>
      </c>
      <c r="H1187" s="13" t="s">
        <v>4</v>
      </c>
      <c r="I1187" s="15">
        <v>-15018.57</v>
      </c>
      <c r="J1187" s="13" t="s">
        <v>5</v>
      </c>
      <c r="K1187" s="13" t="s">
        <v>6</v>
      </c>
      <c r="L1187" s="15">
        <v>-1260808.95</v>
      </c>
      <c r="M1187" s="15">
        <v>-15018.57</v>
      </c>
      <c r="N1187" s="16" t="str">
        <f>IF(M1187="","",IF(M1187&lt;0,-M1187&amp;"_"&amp;COUNTIF(M$2:M1187,M1187),M1187&amp;"_"&amp;COUNTIF(M$2:M1187,M1187)))</f>
        <v>15018.57_1</v>
      </c>
      <c r="O1187" s="17" t="str">
        <f t="shared" si="18"/>
        <v/>
      </c>
      <c r="P1187" s="13" t="s">
        <v>870</v>
      </c>
      <c r="Q1187" s="13" t="s">
        <v>866</v>
      </c>
      <c r="R1187" s="13" t="s">
        <v>0</v>
      </c>
      <c r="S1187" s="13" t="s">
        <v>0</v>
      </c>
      <c r="T1187" s="13" t="s">
        <v>9</v>
      </c>
      <c r="U1187" s="13" t="s">
        <v>0</v>
      </c>
      <c r="V1187" s="13" t="s">
        <v>0</v>
      </c>
      <c r="W1187" s="13" t="s">
        <v>0</v>
      </c>
      <c r="X1187" s="13" t="s">
        <v>0</v>
      </c>
      <c r="Y1187" s="13" t="s">
        <v>10</v>
      </c>
      <c r="Z1187" s="13" t="s">
        <v>0</v>
      </c>
      <c r="AA1187" s="14"/>
      <c r="AB1187" s="13" t="s">
        <v>0</v>
      </c>
      <c r="AC1187" s="13" t="s">
        <v>0</v>
      </c>
      <c r="AD1187" s="13" t="s">
        <v>0</v>
      </c>
      <c r="AE1187" s="15">
        <v>0</v>
      </c>
    </row>
    <row r="1188" spans="1:31" ht="14.15" customHeight="1" x14ac:dyDescent="0.25">
      <c r="A1188" s="12" t="s">
        <v>0</v>
      </c>
      <c r="B1188" s="13" t="s">
        <v>1</v>
      </c>
      <c r="C1188" s="13" t="s">
        <v>1775</v>
      </c>
      <c r="D1188" s="14">
        <v>44182</v>
      </c>
      <c r="E1188" s="14">
        <v>44182</v>
      </c>
      <c r="F1188" s="14">
        <v>44188</v>
      </c>
      <c r="G1188" s="13" t="s">
        <v>3</v>
      </c>
      <c r="H1188" s="13" t="s">
        <v>4</v>
      </c>
      <c r="I1188" s="15">
        <v>-14999.36</v>
      </c>
      <c r="J1188" s="13" t="s">
        <v>5</v>
      </c>
      <c r="K1188" s="13" t="s">
        <v>6</v>
      </c>
      <c r="L1188" s="15">
        <v>-1259196.27</v>
      </c>
      <c r="M1188" s="15">
        <v>-14999.36</v>
      </c>
      <c r="N1188" s="16" t="str">
        <f>IF(M1188="","",IF(M1188&lt;0,-M1188&amp;"_"&amp;COUNTIF(M$2:M1188,M1188),M1188&amp;"_"&amp;COUNTIF(M$2:M1188,M1188)))</f>
        <v>14999.36_1</v>
      </c>
      <c r="O1188" s="17" t="str">
        <f t="shared" si="18"/>
        <v/>
      </c>
      <c r="P1188" s="13" t="s">
        <v>1776</v>
      </c>
      <c r="Q1188" s="13" t="s">
        <v>1777</v>
      </c>
      <c r="R1188" s="13" t="s">
        <v>0</v>
      </c>
      <c r="S1188" s="13" t="s">
        <v>0</v>
      </c>
      <c r="T1188" s="13" t="s">
        <v>9</v>
      </c>
      <c r="U1188" s="13" t="s">
        <v>0</v>
      </c>
      <c r="V1188" s="13" t="s">
        <v>0</v>
      </c>
      <c r="W1188" s="13" t="s">
        <v>0</v>
      </c>
      <c r="X1188" s="13" t="s">
        <v>0</v>
      </c>
      <c r="Y1188" s="13" t="s">
        <v>10</v>
      </c>
      <c r="Z1188" s="13" t="s">
        <v>0</v>
      </c>
      <c r="AA1188" s="14"/>
      <c r="AB1188" s="13" t="s">
        <v>0</v>
      </c>
      <c r="AC1188" s="13" t="s">
        <v>0</v>
      </c>
      <c r="AD1188" s="13" t="s">
        <v>0</v>
      </c>
      <c r="AE1188" s="15">
        <v>0</v>
      </c>
    </row>
    <row r="1189" spans="1:31" ht="14.15" customHeight="1" x14ac:dyDescent="0.25">
      <c r="A1189" s="12" t="s">
        <v>0</v>
      </c>
      <c r="B1189" s="13" t="s">
        <v>1</v>
      </c>
      <c r="C1189" s="13" t="s">
        <v>2422</v>
      </c>
      <c r="D1189" s="14">
        <v>44230</v>
      </c>
      <c r="E1189" s="14">
        <v>44230</v>
      </c>
      <c r="F1189" s="14">
        <v>44236</v>
      </c>
      <c r="G1189" s="13" t="s">
        <v>3</v>
      </c>
      <c r="H1189" s="13" t="s">
        <v>4</v>
      </c>
      <c r="I1189" s="15">
        <v>-14994.47</v>
      </c>
      <c r="J1189" s="13" t="s">
        <v>5</v>
      </c>
      <c r="K1189" s="13" t="s">
        <v>6</v>
      </c>
      <c r="L1189" s="15">
        <v>-1258785.76</v>
      </c>
      <c r="M1189" s="15">
        <v>-14994.47</v>
      </c>
      <c r="N1189" s="16" t="str">
        <f>IF(M1189="","",IF(M1189&lt;0,-M1189&amp;"_"&amp;COUNTIF(M$2:M1189,M1189),M1189&amp;"_"&amp;COUNTIF(M$2:M1189,M1189)))</f>
        <v>14994.47_1</v>
      </c>
      <c r="O1189" s="17" t="str">
        <f t="shared" si="18"/>
        <v/>
      </c>
      <c r="P1189" s="13" t="s">
        <v>2423</v>
      </c>
      <c r="Q1189" s="13" t="s">
        <v>2424</v>
      </c>
      <c r="R1189" s="13" t="s">
        <v>0</v>
      </c>
      <c r="S1189" s="13" t="s">
        <v>0</v>
      </c>
      <c r="T1189" s="13" t="s">
        <v>9</v>
      </c>
      <c r="U1189" s="13" t="s">
        <v>0</v>
      </c>
      <c r="V1189" s="13" t="s">
        <v>0</v>
      </c>
      <c r="W1189" s="13" t="s">
        <v>0</v>
      </c>
      <c r="X1189" s="13" t="s">
        <v>0</v>
      </c>
      <c r="Y1189" s="13" t="s">
        <v>10</v>
      </c>
      <c r="Z1189" s="13" t="s">
        <v>0</v>
      </c>
      <c r="AA1189" s="14"/>
      <c r="AB1189" s="13" t="s">
        <v>0</v>
      </c>
      <c r="AC1189" s="13" t="s">
        <v>0</v>
      </c>
      <c r="AD1189" s="13" t="s">
        <v>0</v>
      </c>
      <c r="AE1189" s="15">
        <v>0</v>
      </c>
    </row>
    <row r="1190" spans="1:31" ht="14.15" customHeight="1" x14ac:dyDescent="0.25">
      <c r="A1190" s="12" t="s">
        <v>0</v>
      </c>
      <c r="B1190" s="13" t="s">
        <v>1</v>
      </c>
      <c r="C1190" s="13" t="s">
        <v>971</v>
      </c>
      <c r="D1190" s="14">
        <v>44123</v>
      </c>
      <c r="E1190" s="14">
        <v>44123</v>
      </c>
      <c r="F1190" s="14">
        <v>44137</v>
      </c>
      <c r="G1190" s="13" t="s">
        <v>3</v>
      </c>
      <c r="H1190" s="13" t="s">
        <v>4</v>
      </c>
      <c r="I1190" s="15">
        <v>-14991.61</v>
      </c>
      <c r="J1190" s="13" t="s">
        <v>5</v>
      </c>
      <c r="K1190" s="13" t="s">
        <v>6</v>
      </c>
      <c r="L1190" s="15">
        <v>-1258545.6599999999</v>
      </c>
      <c r="M1190" s="15">
        <v>-14991.61</v>
      </c>
      <c r="N1190" s="16" t="str">
        <f>IF(M1190="","",IF(M1190&lt;0,-M1190&amp;"_"&amp;COUNTIF(M$2:M1190,M1190),M1190&amp;"_"&amp;COUNTIF(M$2:M1190,M1190)))</f>
        <v>14991.61_1</v>
      </c>
      <c r="O1190" s="17" t="str">
        <f t="shared" si="18"/>
        <v/>
      </c>
      <c r="P1190" s="13" t="s">
        <v>972</v>
      </c>
      <c r="Q1190" s="13" t="s">
        <v>958</v>
      </c>
      <c r="R1190" s="13" t="s">
        <v>0</v>
      </c>
      <c r="S1190" s="13" t="s">
        <v>0</v>
      </c>
      <c r="T1190" s="13" t="s">
        <v>9</v>
      </c>
      <c r="U1190" s="13" t="s">
        <v>0</v>
      </c>
      <c r="V1190" s="13" t="s">
        <v>0</v>
      </c>
      <c r="W1190" s="13" t="s">
        <v>0</v>
      </c>
      <c r="X1190" s="13" t="s">
        <v>0</v>
      </c>
      <c r="Y1190" s="13" t="s">
        <v>10</v>
      </c>
      <c r="Z1190" s="13" t="s">
        <v>0</v>
      </c>
      <c r="AA1190" s="14"/>
      <c r="AB1190" s="13" t="s">
        <v>0</v>
      </c>
      <c r="AC1190" s="13" t="s">
        <v>0</v>
      </c>
      <c r="AD1190" s="13" t="s">
        <v>0</v>
      </c>
      <c r="AE1190" s="15">
        <v>0</v>
      </c>
    </row>
    <row r="1191" spans="1:31" ht="14.15" customHeight="1" x14ac:dyDescent="0.25">
      <c r="A1191" s="12" t="s">
        <v>0</v>
      </c>
      <c r="B1191" s="13" t="s">
        <v>1</v>
      </c>
      <c r="C1191" s="13" t="s">
        <v>2556</v>
      </c>
      <c r="D1191" s="14">
        <v>44239</v>
      </c>
      <c r="E1191" s="14">
        <v>44239</v>
      </c>
      <c r="F1191" s="14">
        <v>44243</v>
      </c>
      <c r="G1191" s="13" t="s">
        <v>3</v>
      </c>
      <c r="H1191" s="13" t="s">
        <v>4</v>
      </c>
      <c r="I1191" s="15">
        <v>-14977.34</v>
      </c>
      <c r="J1191" s="13" t="s">
        <v>5</v>
      </c>
      <c r="K1191" s="13" t="s">
        <v>6</v>
      </c>
      <c r="L1191" s="15">
        <v>-1257347.69</v>
      </c>
      <c r="M1191" s="15">
        <v>-14977.34</v>
      </c>
      <c r="N1191" s="16" t="str">
        <f>IF(M1191="","",IF(M1191&lt;0,-M1191&amp;"_"&amp;COUNTIF(M$2:M1191,M1191),M1191&amp;"_"&amp;COUNTIF(M$2:M1191,M1191)))</f>
        <v>14977.34_1</v>
      </c>
      <c r="O1191" s="17" t="str">
        <f t="shared" si="18"/>
        <v/>
      </c>
      <c r="P1191" s="13" t="s">
        <v>2557</v>
      </c>
      <c r="Q1191" s="13" t="s">
        <v>2549</v>
      </c>
      <c r="R1191" s="13" t="s">
        <v>0</v>
      </c>
      <c r="S1191" s="13" t="s">
        <v>0</v>
      </c>
      <c r="T1191" s="13" t="s">
        <v>9</v>
      </c>
      <c r="U1191" s="13" t="s">
        <v>0</v>
      </c>
      <c r="V1191" s="13" t="s">
        <v>0</v>
      </c>
      <c r="W1191" s="13" t="s">
        <v>0</v>
      </c>
      <c r="X1191" s="13" t="s">
        <v>0</v>
      </c>
      <c r="Y1191" s="13" t="s">
        <v>10</v>
      </c>
      <c r="Z1191" s="13" t="s">
        <v>0</v>
      </c>
      <c r="AA1191" s="14"/>
      <c r="AB1191" s="13" t="s">
        <v>0</v>
      </c>
      <c r="AC1191" s="13" t="s">
        <v>0</v>
      </c>
      <c r="AD1191" s="13" t="s">
        <v>0</v>
      </c>
      <c r="AE1191" s="15">
        <v>0</v>
      </c>
    </row>
    <row r="1192" spans="1:31" ht="14.15" customHeight="1" x14ac:dyDescent="0.25">
      <c r="A1192" s="12" t="s">
        <v>0</v>
      </c>
      <c r="B1192" s="13" t="s">
        <v>1</v>
      </c>
      <c r="C1192" s="13" t="s">
        <v>1870</v>
      </c>
      <c r="D1192" s="14">
        <v>44188</v>
      </c>
      <c r="E1192" s="14">
        <v>44188</v>
      </c>
      <c r="F1192" s="14">
        <v>44198</v>
      </c>
      <c r="G1192" s="13" t="s">
        <v>3</v>
      </c>
      <c r="H1192" s="13" t="s">
        <v>4</v>
      </c>
      <c r="I1192" s="15">
        <v>-14965.21</v>
      </c>
      <c r="J1192" s="13" t="s">
        <v>5</v>
      </c>
      <c r="K1192" s="13" t="s">
        <v>6</v>
      </c>
      <c r="L1192" s="15">
        <v>-1256329.3799999999</v>
      </c>
      <c r="M1192" s="15">
        <v>-14965.21</v>
      </c>
      <c r="N1192" s="16" t="str">
        <f>IF(M1192="","",IF(M1192&lt;0,-M1192&amp;"_"&amp;COUNTIF(M$2:M1192,M1192),M1192&amp;"_"&amp;COUNTIF(M$2:M1192,M1192)))</f>
        <v>14965.21_1</v>
      </c>
      <c r="O1192" s="17" t="str">
        <f t="shared" si="18"/>
        <v/>
      </c>
      <c r="P1192" s="13" t="s">
        <v>1871</v>
      </c>
      <c r="Q1192" s="13" t="s">
        <v>1869</v>
      </c>
      <c r="R1192" s="13" t="s">
        <v>0</v>
      </c>
      <c r="S1192" s="13" t="s">
        <v>0</v>
      </c>
      <c r="T1192" s="13" t="s">
        <v>9</v>
      </c>
      <c r="U1192" s="13" t="s">
        <v>0</v>
      </c>
      <c r="V1192" s="13" t="s">
        <v>0</v>
      </c>
      <c r="W1192" s="13" t="s">
        <v>0</v>
      </c>
      <c r="X1192" s="13" t="s">
        <v>0</v>
      </c>
      <c r="Y1192" s="13" t="s">
        <v>10</v>
      </c>
      <c r="Z1192" s="13" t="s">
        <v>0</v>
      </c>
      <c r="AA1192" s="14"/>
      <c r="AB1192" s="13" t="s">
        <v>0</v>
      </c>
      <c r="AC1192" s="13" t="s">
        <v>0</v>
      </c>
      <c r="AD1192" s="13" t="s">
        <v>0</v>
      </c>
      <c r="AE1192" s="15">
        <v>0</v>
      </c>
    </row>
    <row r="1193" spans="1:31" ht="14.15" customHeight="1" x14ac:dyDescent="0.25">
      <c r="A1193" s="12" t="s">
        <v>0</v>
      </c>
      <c r="B1193" s="13" t="s">
        <v>1</v>
      </c>
      <c r="C1193" s="13" t="s">
        <v>3911</v>
      </c>
      <c r="D1193" s="14">
        <v>44353</v>
      </c>
      <c r="E1193" s="14">
        <v>44353</v>
      </c>
      <c r="F1193" s="14">
        <v>44364</v>
      </c>
      <c r="G1193" s="13" t="s">
        <v>3</v>
      </c>
      <c r="H1193" s="13" t="s">
        <v>4</v>
      </c>
      <c r="I1193" s="15">
        <v>-14962.18</v>
      </c>
      <c r="J1193" s="13" t="s">
        <v>5</v>
      </c>
      <c r="K1193" s="13" t="s">
        <v>6</v>
      </c>
      <c r="L1193" s="15">
        <v>-1256075.01</v>
      </c>
      <c r="M1193" s="15">
        <v>-14962.18</v>
      </c>
      <c r="N1193" s="16" t="str">
        <f>IF(M1193="","",IF(M1193&lt;0,-M1193&amp;"_"&amp;COUNTIF(M$2:M1193,M1193),M1193&amp;"_"&amp;COUNTIF(M$2:M1193,M1193)))</f>
        <v>14962.18_1</v>
      </c>
      <c r="O1193" s="17" t="str">
        <f t="shared" si="18"/>
        <v/>
      </c>
      <c r="P1193" s="13" t="s">
        <v>3912</v>
      </c>
      <c r="Q1193" s="13" t="s">
        <v>3886</v>
      </c>
      <c r="R1193" s="13" t="s">
        <v>0</v>
      </c>
      <c r="S1193" s="13" t="s">
        <v>0</v>
      </c>
      <c r="T1193" s="13" t="s">
        <v>9</v>
      </c>
      <c r="U1193" s="13" t="s">
        <v>0</v>
      </c>
      <c r="V1193" s="13" t="s">
        <v>0</v>
      </c>
      <c r="W1193" s="13" t="s">
        <v>0</v>
      </c>
      <c r="X1193" s="13" t="s">
        <v>0</v>
      </c>
      <c r="Y1193" s="13" t="s">
        <v>10</v>
      </c>
      <c r="Z1193" s="13" t="s">
        <v>0</v>
      </c>
      <c r="AA1193" s="14"/>
      <c r="AB1193" s="13" t="s">
        <v>0</v>
      </c>
      <c r="AC1193" s="13" t="s">
        <v>0</v>
      </c>
      <c r="AD1193" s="13" t="s">
        <v>0</v>
      </c>
      <c r="AE1193" s="15">
        <v>0</v>
      </c>
    </row>
    <row r="1194" spans="1:31" ht="14.15" customHeight="1" x14ac:dyDescent="0.25">
      <c r="A1194" s="12" t="s">
        <v>0</v>
      </c>
      <c r="B1194" s="13" t="s">
        <v>1</v>
      </c>
      <c r="C1194" s="13" t="s">
        <v>1456</v>
      </c>
      <c r="D1194" s="14">
        <v>44159</v>
      </c>
      <c r="E1194" s="14">
        <v>44159</v>
      </c>
      <c r="F1194" s="14">
        <v>44163</v>
      </c>
      <c r="G1194" s="13" t="s">
        <v>3</v>
      </c>
      <c r="H1194" s="13" t="s">
        <v>4</v>
      </c>
      <c r="I1194" s="15">
        <v>-14955.2</v>
      </c>
      <c r="J1194" s="13" t="s">
        <v>5</v>
      </c>
      <c r="K1194" s="13" t="s">
        <v>6</v>
      </c>
      <c r="L1194" s="15">
        <v>-1255489.04</v>
      </c>
      <c r="M1194" s="15">
        <v>-14955.2</v>
      </c>
      <c r="N1194" s="16" t="str">
        <f>IF(M1194="","",IF(M1194&lt;0,-M1194&amp;"_"&amp;COUNTIF(M$2:M1194,M1194),M1194&amp;"_"&amp;COUNTIF(M$2:M1194,M1194)))</f>
        <v>14955.2_1</v>
      </c>
      <c r="O1194" s="17" t="str">
        <f t="shared" si="18"/>
        <v/>
      </c>
      <c r="P1194" s="13" t="s">
        <v>1457</v>
      </c>
      <c r="Q1194" s="13" t="s">
        <v>1455</v>
      </c>
      <c r="R1194" s="13" t="s">
        <v>0</v>
      </c>
      <c r="S1194" s="13" t="s">
        <v>0</v>
      </c>
      <c r="T1194" s="13" t="s">
        <v>9</v>
      </c>
      <c r="U1194" s="13" t="s">
        <v>0</v>
      </c>
      <c r="V1194" s="13" t="s">
        <v>0</v>
      </c>
      <c r="W1194" s="13" t="s">
        <v>0</v>
      </c>
      <c r="X1194" s="13" t="s">
        <v>0</v>
      </c>
      <c r="Y1194" s="13" t="s">
        <v>10</v>
      </c>
      <c r="Z1194" s="13" t="s">
        <v>0</v>
      </c>
      <c r="AA1194" s="14"/>
      <c r="AB1194" s="13" t="s">
        <v>0</v>
      </c>
      <c r="AC1194" s="13" t="s">
        <v>0</v>
      </c>
      <c r="AD1194" s="13" t="s">
        <v>0</v>
      </c>
      <c r="AE1194" s="15">
        <v>0</v>
      </c>
    </row>
    <row r="1195" spans="1:31" ht="14.15" customHeight="1" x14ac:dyDescent="0.25">
      <c r="A1195" s="12" t="s">
        <v>0</v>
      </c>
      <c r="B1195" s="13" t="s">
        <v>1</v>
      </c>
      <c r="C1195" s="13" t="s">
        <v>4199</v>
      </c>
      <c r="D1195" s="14">
        <v>44364</v>
      </c>
      <c r="E1195" s="14">
        <v>44364</v>
      </c>
      <c r="F1195" s="14">
        <v>44371</v>
      </c>
      <c r="G1195" s="13" t="s">
        <v>3</v>
      </c>
      <c r="H1195" s="13" t="s">
        <v>4</v>
      </c>
      <c r="I1195" s="15">
        <v>-14947.02</v>
      </c>
      <c r="J1195" s="13" t="s">
        <v>5</v>
      </c>
      <c r="K1195" s="13" t="s">
        <v>6</v>
      </c>
      <c r="L1195" s="15">
        <v>-1254802.33</v>
      </c>
      <c r="M1195" s="15">
        <v>-14947.02</v>
      </c>
      <c r="N1195" s="16" t="str">
        <f>IF(M1195="","",IF(M1195&lt;0,-M1195&amp;"_"&amp;COUNTIF(M$2:M1195,M1195),M1195&amp;"_"&amp;COUNTIF(M$2:M1195,M1195)))</f>
        <v>14947.02_1</v>
      </c>
      <c r="O1195" s="17" t="str">
        <f t="shared" si="18"/>
        <v/>
      </c>
      <c r="P1195" s="13" t="s">
        <v>4200</v>
      </c>
      <c r="Q1195" s="13" t="s">
        <v>4180</v>
      </c>
      <c r="R1195" s="13" t="s">
        <v>0</v>
      </c>
      <c r="S1195" s="13" t="s">
        <v>0</v>
      </c>
      <c r="T1195" s="13" t="s">
        <v>9</v>
      </c>
      <c r="U1195" s="13" t="s">
        <v>0</v>
      </c>
      <c r="V1195" s="13" t="s">
        <v>0</v>
      </c>
      <c r="W1195" s="13" t="s">
        <v>0</v>
      </c>
      <c r="X1195" s="13" t="s">
        <v>0</v>
      </c>
      <c r="Y1195" s="13" t="s">
        <v>10</v>
      </c>
      <c r="Z1195" s="13" t="s">
        <v>0</v>
      </c>
      <c r="AA1195" s="14"/>
      <c r="AB1195" s="13" t="s">
        <v>0</v>
      </c>
      <c r="AC1195" s="13" t="s">
        <v>0</v>
      </c>
      <c r="AD1195" s="13" t="s">
        <v>0</v>
      </c>
      <c r="AE1195" s="15">
        <v>0</v>
      </c>
    </row>
    <row r="1196" spans="1:31" ht="14.15" customHeight="1" x14ac:dyDescent="0.25">
      <c r="A1196" s="12" t="s">
        <v>0</v>
      </c>
      <c r="B1196" s="13" t="s">
        <v>1</v>
      </c>
      <c r="C1196" s="13" t="s">
        <v>1580</v>
      </c>
      <c r="D1196" s="14">
        <v>44166</v>
      </c>
      <c r="E1196" s="14">
        <v>44166</v>
      </c>
      <c r="F1196" s="14">
        <v>44174</v>
      </c>
      <c r="G1196" s="13" t="s">
        <v>3</v>
      </c>
      <c r="H1196" s="13" t="s">
        <v>4</v>
      </c>
      <c r="I1196" s="15">
        <v>-14942.84</v>
      </c>
      <c r="J1196" s="13" t="s">
        <v>5</v>
      </c>
      <c r="K1196" s="13" t="s">
        <v>6</v>
      </c>
      <c r="L1196" s="15">
        <v>-1254451.43</v>
      </c>
      <c r="M1196" s="15">
        <v>-14942.84</v>
      </c>
      <c r="N1196" s="16" t="str">
        <f>IF(M1196="","",IF(M1196&lt;0,-M1196&amp;"_"&amp;COUNTIF(M$2:M1196,M1196),M1196&amp;"_"&amp;COUNTIF(M$2:M1196,M1196)))</f>
        <v>14942.84_1</v>
      </c>
      <c r="O1196" s="17" t="str">
        <f t="shared" si="18"/>
        <v/>
      </c>
      <c r="P1196" s="13" t="s">
        <v>1581</v>
      </c>
      <c r="Q1196" s="13" t="s">
        <v>1579</v>
      </c>
      <c r="R1196" s="13" t="s">
        <v>0</v>
      </c>
      <c r="S1196" s="13" t="s">
        <v>0</v>
      </c>
      <c r="T1196" s="13" t="s">
        <v>9</v>
      </c>
      <c r="U1196" s="13" t="s">
        <v>0</v>
      </c>
      <c r="V1196" s="13" t="s">
        <v>0</v>
      </c>
      <c r="W1196" s="13" t="s">
        <v>0</v>
      </c>
      <c r="X1196" s="13" t="s">
        <v>0</v>
      </c>
      <c r="Y1196" s="13" t="s">
        <v>10</v>
      </c>
      <c r="Z1196" s="13" t="s">
        <v>0</v>
      </c>
      <c r="AA1196" s="14"/>
      <c r="AB1196" s="13" t="s">
        <v>0</v>
      </c>
      <c r="AC1196" s="13" t="s">
        <v>0</v>
      </c>
      <c r="AD1196" s="13" t="s">
        <v>0</v>
      </c>
      <c r="AE1196" s="15">
        <v>0</v>
      </c>
    </row>
    <row r="1197" spans="1:31" ht="14.15" customHeight="1" x14ac:dyDescent="0.25">
      <c r="A1197" s="12" t="s">
        <v>0</v>
      </c>
      <c r="B1197" s="13" t="s">
        <v>1</v>
      </c>
      <c r="C1197" s="13" t="s">
        <v>3915</v>
      </c>
      <c r="D1197" s="14">
        <v>44354</v>
      </c>
      <c r="E1197" s="14">
        <v>44354</v>
      </c>
      <c r="F1197" s="14">
        <v>44357</v>
      </c>
      <c r="G1197" s="13" t="s">
        <v>3</v>
      </c>
      <c r="H1197" s="13" t="s">
        <v>4</v>
      </c>
      <c r="I1197" s="15">
        <v>-14932.13</v>
      </c>
      <c r="J1197" s="13" t="s">
        <v>5</v>
      </c>
      <c r="K1197" s="13" t="s">
        <v>6</v>
      </c>
      <c r="L1197" s="15">
        <v>-1253552.31</v>
      </c>
      <c r="M1197" s="15">
        <v>-14932.13</v>
      </c>
      <c r="N1197" s="16" t="str">
        <f>IF(M1197="","",IF(M1197&lt;0,-M1197&amp;"_"&amp;COUNTIF(M$2:M1197,M1197),M1197&amp;"_"&amp;COUNTIF(M$2:M1197,M1197)))</f>
        <v>14932.13_1</v>
      </c>
      <c r="O1197" s="17" t="str">
        <f t="shared" si="18"/>
        <v/>
      </c>
      <c r="P1197" s="13" t="s">
        <v>3916</v>
      </c>
      <c r="Q1197" s="13" t="s">
        <v>3914</v>
      </c>
      <c r="R1197" s="13" t="s">
        <v>0</v>
      </c>
      <c r="S1197" s="13" t="s">
        <v>0</v>
      </c>
      <c r="T1197" s="13" t="s">
        <v>9</v>
      </c>
      <c r="U1197" s="13" t="s">
        <v>0</v>
      </c>
      <c r="V1197" s="13" t="s">
        <v>0</v>
      </c>
      <c r="W1197" s="13" t="s">
        <v>0</v>
      </c>
      <c r="X1197" s="13" t="s">
        <v>0</v>
      </c>
      <c r="Y1197" s="13" t="s">
        <v>10</v>
      </c>
      <c r="Z1197" s="13" t="s">
        <v>0</v>
      </c>
      <c r="AA1197" s="14"/>
      <c r="AB1197" s="13" t="s">
        <v>0</v>
      </c>
      <c r="AC1197" s="13" t="s">
        <v>0</v>
      </c>
      <c r="AD1197" s="13" t="s">
        <v>0</v>
      </c>
      <c r="AE1197" s="15">
        <v>0</v>
      </c>
    </row>
    <row r="1198" spans="1:31" ht="14.15" customHeight="1" x14ac:dyDescent="0.25">
      <c r="A1198" s="12" t="s">
        <v>0</v>
      </c>
      <c r="B1198" s="13" t="s">
        <v>1</v>
      </c>
      <c r="C1198" s="13" t="s">
        <v>1732</v>
      </c>
      <c r="D1198" s="14">
        <v>44177</v>
      </c>
      <c r="E1198" s="14">
        <v>44177</v>
      </c>
      <c r="F1198" s="14">
        <v>44185</v>
      </c>
      <c r="G1198" s="13" t="s">
        <v>3</v>
      </c>
      <c r="H1198" s="13" t="s">
        <v>4</v>
      </c>
      <c r="I1198" s="15">
        <v>-14928.95</v>
      </c>
      <c r="J1198" s="13" t="s">
        <v>5</v>
      </c>
      <c r="K1198" s="13" t="s">
        <v>6</v>
      </c>
      <c r="L1198" s="15">
        <v>-1253285.3500000001</v>
      </c>
      <c r="M1198" s="15">
        <v>-14928.95</v>
      </c>
      <c r="N1198" s="16" t="str">
        <f>IF(M1198="","",IF(M1198&lt;0,-M1198&amp;"_"&amp;COUNTIF(M$2:M1198,M1198),M1198&amp;"_"&amp;COUNTIF(M$2:M1198,M1198)))</f>
        <v>14928.95_1</v>
      </c>
      <c r="O1198" s="17" t="str">
        <f t="shared" si="18"/>
        <v/>
      </c>
      <c r="P1198" s="13" t="s">
        <v>1733</v>
      </c>
      <c r="Q1198" s="13" t="s">
        <v>1729</v>
      </c>
      <c r="R1198" s="13" t="s">
        <v>0</v>
      </c>
      <c r="S1198" s="13" t="s">
        <v>0</v>
      </c>
      <c r="T1198" s="13" t="s">
        <v>9</v>
      </c>
      <c r="U1198" s="13" t="s">
        <v>0</v>
      </c>
      <c r="V1198" s="13" t="s">
        <v>0</v>
      </c>
      <c r="W1198" s="13" t="s">
        <v>0</v>
      </c>
      <c r="X1198" s="13" t="s">
        <v>0</v>
      </c>
      <c r="Y1198" s="13" t="s">
        <v>10</v>
      </c>
      <c r="Z1198" s="13" t="s">
        <v>0</v>
      </c>
      <c r="AA1198" s="14"/>
      <c r="AB1198" s="13" t="s">
        <v>0</v>
      </c>
      <c r="AC1198" s="13" t="s">
        <v>0</v>
      </c>
      <c r="AD1198" s="13" t="s">
        <v>0</v>
      </c>
      <c r="AE1198" s="15">
        <v>0</v>
      </c>
    </row>
    <row r="1199" spans="1:31" ht="14.15" customHeight="1" x14ac:dyDescent="0.25">
      <c r="A1199" s="12" t="s">
        <v>0</v>
      </c>
      <c r="B1199" s="13" t="s">
        <v>1</v>
      </c>
      <c r="C1199" s="13" t="s">
        <v>511</v>
      </c>
      <c r="D1199" s="14">
        <v>44069</v>
      </c>
      <c r="E1199" s="14">
        <v>44069</v>
      </c>
      <c r="F1199" s="14">
        <v>44072</v>
      </c>
      <c r="G1199" s="13" t="s">
        <v>3</v>
      </c>
      <c r="H1199" s="13" t="s">
        <v>4</v>
      </c>
      <c r="I1199" s="15">
        <v>-14882.63</v>
      </c>
      <c r="J1199" s="13" t="s">
        <v>5</v>
      </c>
      <c r="K1199" s="13" t="s">
        <v>6</v>
      </c>
      <c r="L1199" s="15">
        <v>-1249396.79</v>
      </c>
      <c r="M1199" s="15">
        <v>-14882.63</v>
      </c>
      <c r="N1199" s="16" t="str">
        <f>IF(M1199="","",IF(M1199&lt;0,-M1199&amp;"_"&amp;COUNTIF(M$2:M1199,M1199),M1199&amp;"_"&amp;COUNTIF(M$2:M1199,M1199)))</f>
        <v>14882.63_1</v>
      </c>
      <c r="O1199" s="17" t="str">
        <f t="shared" si="18"/>
        <v/>
      </c>
      <c r="P1199" s="13" t="s">
        <v>512</v>
      </c>
      <c r="Q1199" s="13" t="s">
        <v>510</v>
      </c>
      <c r="R1199" s="13" t="s">
        <v>0</v>
      </c>
      <c r="S1199" s="13" t="s">
        <v>0</v>
      </c>
      <c r="T1199" s="13" t="s">
        <v>9</v>
      </c>
      <c r="U1199" s="13" t="s">
        <v>0</v>
      </c>
      <c r="V1199" s="13" t="s">
        <v>0</v>
      </c>
      <c r="W1199" s="13" t="s">
        <v>0</v>
      </c>
      <c r="X1199" s="13" t="s">
        <v>0</v>
      </c>
      <c r="Y1199" s="13" t="s">
        <v>10</v>
      </c>
      <c r="Z1199" s="13" t="s">
        <v>0</v>
      </c>
      <c r="AA1199" s="14"/>
      <c r="AB1199" s="13" t="s">
        <v>0</v>
      </c>
      <c r="AC1199" s="13" t="s">
        <v>0</v>
      </c>
      <c r="AD1199" s="13" t="s">
        <v>0</v>
      </c>
      <c r="AE1199" s="15">
        <v>0</v>
      </c>
    </row>
    <row r="1200" spans="1:31" ht="14.15" customHeight="1" x14ac:dyDescent="0.25">
      <c r="A1200" s="12" t="s">
        <v>0</v>
      </c>
      <c r="B1200" s="13" t="s">
        <v>1</v>
      </c>
      <c r="C1200" s="13" t="s">
        <v>4265</v>
      </c>
      <c r="D1200" s="14">
        <v>44369</v>
      </c>
      <c r="E1200" s="14">
        <v>44369</v>
      </c>
      <c r="F1200" s="14">
        <v>44375</v>
      </c>
      <c r="G1200" s="13" t="s">
        <v>3</v>
      </c>
      <c r="H1200" s="13" t="s">
        <v>4</v>
      </c>
      <c r="I1200" s="15">
        <v>-14836.93</v>
      </c>
      <c r="J1200" s="13" t="s">
        <v>5</v>
      </c>
      <c r="K1200" s="13" t="s">
        <v>6</v>
      </c>
      <c r="L1200" s="15">
        <v>-1245560.27</v>
      </c>
      <c r="M1200" s="15">
        <v>-14836.93</v>
      </c>
      <c r="N1200" s="16" t="str">
        <f>IF(M1200="","",IF(M1200&lt;0,-M1200&amp;"_"&amp;COUNTIF(M$2:M1200,M1200),M1200&amp;"_"&amp;COUNTIF(M$2:M1200,M1200)))</f>
        <v>14836.93_1</v>
      </c>
      <c r="O1200" s="17" t="str">
        <f t="shared" si="18"/>
        <v/>
      </c>
      <c r="P1200" s="13" t="s">
        <v>4266</v>
      </c>
      <c r="Q1200" s="13" t="s">
        <v>4248</v>
      </c>
      <c r="R1200" s="13" t="s">
        <v>0</v>
      </c>
      <c r="S1200" s="13" t="s">
        <v>0</v>
      </c>
      <c r="T1200" s="13" t="s">
        <v>9</v>
      </c>
      <c r="U1200" s="13" t="s">
        <v>0</v>
      </c>
      <c r="V1200" s="13" t="s">
        <v>0</v>
      </c>
      <c r="W1200" s="13" t="s">
        <v>0</v>
      </c>
      <c r="X1200" s="13" t="s">
        <v>0</v>
      </c>
      <c r="Y1200" s="13" t="s">
        <v>10</v>
      </c>
      <c r="Z1200" s="13" t="s">
        <v>0</v>
      </c>
      <c r="AA1200" s="14"/>
      <c r="AB1200" s="13" t="s">
        <v>0</v>
      </c>
      <c r="AC1200" s="13" t="s">
        <v>0</v>
      </c>
      <c r="AD1200" s="13" t="s">
        <v>0</v>
      </c>
      <c r="AE1200" s="15">
        <v>0</v>
      </c>
    </row>
    <row r="1201" spans="1:31" ht="14.15" customHeight="1" x14ac:dyDescent="0.25">
      <c r="A1201" s="12" t="s">
        <v>0</v>
      </c>
      <c r="B1201" s="13" t="s">
        <v>1</v>
      </c>
      <c r="C1201" s="13" t="s">
        <v>1451</v>
      </c>
      <c r="D1201" s="14">
        <v>44158</v>
      </c>
      <c r="E1201" s="14">
        <v>44158</v>
      </c>
      <c r="F1201" s="14">
        <v>44167</v>
      </c>
      <c r="G1201" s="13" t="s">
        <v>3</v>
      </c>
      <c r="H1201" s="13" t="s">
        <v>4</v>
      </c>
      <c r="I1201" s="15">
        <v>-14819.21</v>
      </c>
      <c r="J1201" s="13" t="s">
        <v>5</v>
      </c>
      <c r="K1201" s="13" t="s">
        <v>6</v>
      </c>
      <c r="L1201" s="15">
        <v>-1244072.68</v>
      </c>
      <c r="M1201" s="15">
        <v>-14819.21</v>
      </c>
      <c r="N1201" s="16" t="str">
        <f>IF(M1201="","",IF(M1201&lt;0,-M1201&amp;"_"&amp;COUNTIF(M$2:M1201,M1201),M1201&amp;"_"&amp;COUNTIF(M$2:M1201,M1201)))</f>
        <v>14819.21_1</v>
      </c>
      <c r="O1201" s="17" t="str">
        <f t="shared" si="18"/>
        <v/>
      </c>
      <c r="P1201" s="13" t="s">
        <v>1452</v>
      </c>
      <c r="Q1201" s="13" t="s">
        <v>1444</v>
      </c>
      <c r="R1201" s="13" t="s">
        <v>0</v>
      </c>
      <c r="S1201" s="13" t="s">
        <v>0</v>
      </c>
      <c r="T1201" s="13" t="s">
        <v>9</v>
      </c>
      <c r="U1201" s="13" t="s">
        <v>0</v>
      </c>
      <c r="V1201" s="13" t="s">
        <v>0</v>
      </c>
      <c r="W1201" s="13" t="s">
        <v>0</v>
      </c>
      <c r="X1201" s="13" t="s">
        <v>0</v>
      </c>
      <c r="Y1201" s="13" t="s">
        <v>10</v>
      </c>
      <c r="Z1201" s="13" t="s">
        <v>0</v>
      </c>
      <c r="AA1201" s="14"/>
      <c r="AB1201" s="13" t="s">
        <v>0</v>
      </c>
      <c r="AC1201" s="13" t="s">
        <v>0</v>
      </c>
      <c r="AD1201" s="13" t="s">
        <v>0</v>
      </c>
      <c r="AE1201" s="15">
        <v>0</v>
      </c>
    </row>
    <row r="1202" spans="1:31" ht="14.15" customHeight="1" x14ac:dyDescent="0.25">
      <c r="A1202" s="12" t="s">
        <v>0</v>
      </c>
      <c r="B1202" s="13" t="s">
        <v>1</v>
      </c>
      <c r="C1202" s="13" t="s">
        <v>2506</v>
      </c>
      <c r="D1202" s="14">
        <v>44235</v>
      </c>
      <c r="E1202" s="14">
        <v>44235</v>
      </c>
      <c r="F1202" s="14">
        <v>44244</v>
      </c>
      <c r="G1202" s="13" t="s">
        <v>3</v>
      </c>
      <c r="H1202" s="13" t="s">
        <v>4</v>
      </c>
      <c r="I1202" s="15">
        <v>-14817.6</v>
      </c>
      <c r="J1202" s="13" t="s">
        <v>5</v>
      </c>
      <c r="K1202" s="13" t="s">
        <v>6</v>
      </c>
      <c r="L1202" s="15">
        <v>-1243937.52</v>
      </c>
      <c r="M1202" s="15">
        <v>-14817.6</v>
      </c>
      <c r="N1202" s="16" t="str">
        <f>IF(M1202="","",IF(M1202&lt;0,-M1202&amp;"_"&amp;COUNTIF(M$2:M1202,M1202),M1202&amp;"_"&amp;COUNTIF(M$2:M1202,M1202)))</f>
        <v>14817.6_1</v>
      </c>
      <c r="O1202" s="17" t="str">
        <f t="shared" si="18"/>
        <v/>
      </c>
      <c r="P1202" s="13" t="s">
        <v>2507</v>
      </c>
      <c r="Q1202" s="13" t="s">
        <v>2495</v>
      </c>
      <c r="R1202" s="13" t="s">
        <v>0</v>
      </c>
      <c r="S1202" s="13" t="s">
        <v>0</v>
      </c>
      <c r="T1202" s="13" t="s">
        <v>9</v>
      </c>
      <c r="U1202" s="13" t="s">
        <v>0</v>
      </c>
      <c r="V1202" s="13" t="s">
        <v>0</v>
      </c>
      <c r="W1202" s="13" t="s">
        <v>0</v>
      </c>
      <c r="X1202" s="13" t="s">
        <v>0</v>
      </c>
      <c r="Y1202" s="13" t="s">
        <v>10</v>
      </c>
      <c r="Z1202" s="13" t="s">
        <v>0</v>
      </c>
      <c r="AA1202" s="14"/>
      <c r="AB1202" s="13" t="s">
        <v>0</v>
      </c>
      <c r="AC1202" s="13" t="s">
        <v>0</v>
      </c>
      <c r="AD1202" s="13" t="s">
        <v>0</v>
      </c>
      <c r="AE1202" s="15">
        <v>0</v>
      </c>
    </row>
    <row r="1203" spans="1:31" ht="14.15" customHeight="1" x14ac:dyDescent="0.25">
      <c r="A1203" s="12" t="s">
        <v>0</v>
      </c>
      <c r="B1203" s="13" t="s">
        <v>1</v>
      </c>
      <c r="C1203" s="13" t="s">
        <v>1880</v>
      </c>
      <c r="D1203" s="14">
        <v>44188</v>
      </c>
      <c r="E1203" s="14">
        <v>44188</v>
      </c>
      <c r="F1203" s="14">
        <v>44199</v>
      </c>
      <c r="G1203" s="13" t="s">
        <v>3</v>
      </c>
      <c r="H1203" s="13" t="s">
        <v>4</v>
      </c>
      <c r="I1203" s="15">
        <v>-14814.94</v>
      </c>
      <c r="J1203" s="13" t="s">
        <v>5</v>
      </c>
      <c r="K1203" s="13" t="s">
        <v>6</v>
      </c>
      <c r="L1203" s="15">
        <v>-1243714.22</v>
      </c>
      <c r="M1203" s="15">
        <v>-14814.94</v>
      </c>
      <c r="N1203" s="16" t="str">
        <f>IF(M1203="","",IF(M1203&lt;0,-M1203&amp;"_"&amp;COUNTIF(M$2:M1203,M1203),M1203&amp;"_"&amp;COUNTIF(M$2:M1203,M1203)))</f>
        <v>14814.94_1</v>
      </c>
      <c r="O1203" s="17" t="str">
        <f t="shared" si="18"/>
        <v/>
      </c>
      <c r="P1203" s="13" t="s">
        <v>1881</v>
      </c>
      <c r="Q1203" s="13" t="s">
        <v>1869</v>
      </c>
      <c r="R1203" s="13" t="s">
        <v>0</v>
      </c>
      <c r="S1203" s="13" t="s">
        <v>0</v>
      </c>
      <c r="T1203" s="13" t="s">
        <v>9</v>
      </c>
      <c r="U1203" s="13" t="s">
        <v>0</v>
      </c>
      <c r="V1203" s="13" t="s">
        <v>0</v>
      </c>
      <c r="W1203" s="13" t="s">
        <v>0</v>
      </c>
      <c r="X1203" s="13" t="s">
        <v>0</v>
      </c>
      <c r="Y1203" s="13" t="s">
        <v>10</v>
      </c>
      <c r="Z1203" s="13" t="s">
        <v>0</v>
      </c>
      <c r="AA1203" s="14"/>
      <c r="AB1203" s="13" t="s">
        <v>0</v>
      </c>
      <c r="AC1203" s="13" t="s">
        <v>0</v>
      </c>
      <c r="AD1203" s="13" t="s">
        <v>0</v>
      </c>
      <c r="AE1203" s="15">
        <v>0</v>
      </c>
    </row>
    <row r="1204" spans="1:31" ht="14.15" customHeight="1" x14ac:dyDescent="0.25">
      <c r="A1204" s="12" t="s">
        <v>0</v>
      </c>
      <c r="B1204" s="13" t="s">
        <v>1</v>
      </c>
      <c r="C1204" s="13" t="s">
        <v>1453</v>
      </c>
      <c r="D1204" s="14">
        <v>44159</v>
      </c>
      <c r="E1204" s="14">
        <v>44159</v>
      </c>
      <c r="F1204" s="14">
        <v>44163</v>
      </c>
      <c r="G1204" s="13" t="s">
        <v>3</v>
      </c>
      <c r="H1204" s="13" t="s">
        <v>4</v>
      </c>
      <c r="I1204" s="15">
        <v>-14814.58</v>
      </c>
      <c r="J1204" s="13" t="s">
        <v>5</v>
      </c>
      <c r="K1204" s="13" t="s">
        <v>6</v>
      </c>
      <c r="L1204" s="15">
        <v>-1243683.99</v>
      </c>
      <c r="M1204" s="15">
        <v>-14814.58</v>
      </c>
      <c r="N1204" s="16" t="str">
        <f>IF(M1204="","",IF(M1204&lt;0,-M1204&amp;"_"&amp;COUNTIF(M$2:M1204,M1204),M1204&amp;"_"&amp;COUNTIF(M$2:M1204,M1204)))</f>
        <v>14814.58_1</v>
      </c>
      <c r="O1204" s="17" t="str">
        <f t="shared" si="18"/>
        <v/>
      </c>
      <c r="P1204" s="13" t="s">
        <v>1454</v>
      </c>
      <c r="Q1204" s="13" t="s">
        <v>1455</v>
      </c>
      <c r="R1204" s="13" t="s">
        <v>0</v>
      </c>
      <c r="S1204" s="13" t="s">
        <v>0</v>
      </c>
      <c r="T1204" s="13" t="s">
        <v>9</v>
      </c>
      <c r="U1204" s="13" t="s">
        <v>0</v>
      </c>
      <c r="V1204" s="13" t="s">
        <v>0</v>
      </c>
      <c r="W1204" s="13" t="s">
        <v>0</v>
      </c>
      <c r="X1204" s="13" t="s">
        <v>0</v>
      </c>
      <c r="Y1204" s="13" t="s">
        <v>10</v>
      </c>
      <c r="Z1204" s="13" t="s">
        <v>0</v>
      </c>
      <c r="AA1204" s="14"/>
      <c r="AB1204" s="13" t="s">
        <v>0</v>
      </c>
      <c r="AC1204" s="13" t="s">
        <v>0</v>
      </c>
      <c r="AD1204" s="13" t="s">
        <v>0</v>
      </c>
      <c r="AE1204" s="15">
        <v>0</v>
      </c>
    </row>
    <row r="1205" spans="1:31" ht="14.15" customHeight="1" x14ac:dyDescent="0.25">
      <c r="A1205" s="12" t="s">
        <v>0</v>
      </c>
      <c r="B1205" s="13" t="s">
        <v>289</v>
      </c>
      <c r="C1205" s="13" t="s">
        <v>548</v>
      </c>
      <c r="D1205" s="14">
        <v>44074</v>
      </c>
      <c r="E1205" s="14">
        <v>44074</v>
      </c>
      <c r="F1205" s="14">
        <v>44082</v>
      </c>
      <c r="G1205" s="13" t="s">
        <v>48</v>
      </c>
      <c r="H1205" s="13" t="s">
        <v>4</v>
      </c>
      <c r="I1205" s="15">
        <v>-14806.07</v>
      </c>
      <c r="J1205" s="13" t="s">
        <v>5</v>
      </c>
      <c r="K1205" s="13" t="s">
        <v>6</v>
      </c>
      <c r="L1205" s="15">
        <v>-1242969.58</v>
      </c>
      <c r="M1205" s="15">
        <v>-14806.07</v>
      </c>
      <c r="N1205" s="16" t="str">
        <f>IF(M1205="","",IF(M1205&lt;0,-M1205&amp;"_"&amp;COUNTIF(M$2:M1205,M1205),M1205&amp;"_"&amp;COUNTIF(M$2:M1205,M1205)))</f>
        <v>14806.07_1</v>
      </c>
      <c r="O1205" s="17" t="str">
        <f t="shared" si="18"/>
        <v/>
      </c>
      <c r="P1205" s="13" t="s">
        <v>549</v>
      </c>
      <c r="Q1205" s="13" t="s">
        <v>549</v>
      </c>
      <c r="R1205" s="13" t="s">
        <v>294</v>
      </c>
      <c r="S1205" s="13" t="s">
        <v>0</v>
      </c>
      <c r="T1205" s="13" t="s">
        <v>9</v>
      </c>
      <c r="U1205" s="13" t="s">
        <v>295</v>
      </c>
      <c r="V1205" s="13" t="s">
        <v>0</v>
      </c>
      <c r="W1205" s="13" t="s">
        <v>0</v>
      </c>
      <c r="X1205" s="13" t="s">
        <v>0</v>
      </c>
      <c r="Y1205" s="13" t="s">
        <v>291</v>
      </c>
      <c r="Z1205" s="13" t="s">
        <v>0</v>
      </c>
      <c r="AA1205" s="14"/>
      <c r="AB1205" s="13" t="s">
        <v>0</v>
      </c>
      <c r="AC1205" s="13" t="s">
        <v>0</v>
      </c>
      <c r="AD1205" s="13" t="s">
        <v>0</v>
      </c>
      <c r="AE1205" s="15">
        <v>0</v>
      </c>
    </row>
    <row r="1206" spans="1:31" ht="14.15" customHeight="1" x14ac:dyDescent="0.25">
      <c r="A1206" s="12" t="s">
        <v>0</v>
      </c>
      <c r="B1206" s="13" t="s">
        <v>1</v>
      </c>
      <c r="C1206" s="13" t="s">
        <v>3029</v>
      </c>
      <c r="D1206" s="14">
        <v>44281</v>
      </c>
      <c r="E1206" s="14">
        <v>44281</v>
      </c>
      <c r="F1206" s="14">
        <v>44290</v>
      </c>
      <c r="G1206" s="13" t="s">
        <v>3</v>
      </c>
      <c r="H1206" s="13" t="s">
        <v>4</v>
      </c>
      <c r="I1206" s="15">
        <v>-14785.71</v>
      </c>
      <c r="J1206" s="13" t="s">
        <v>5</v>
      </c>
      <c r="K1206" s="13" t="s">
        <v>6</v>
      </c>
      <c r="L1206" s="15">
        <v>-1241260.3500000001</v>
      </c>
      <c r="M1206" s="15">
        <v>-14785.71</v>
      </c>
      <c r="N1206" s="16" t="str">
        <f>IF(M1206="","",IF(M1206&lt;0,-M1206&amp;"_"&amp;COUNTIF(M$2:M1206,M1206),M1206&amp;"_"&amp;COUNTIF(M$2:M1206,M1206)))</f>
        <v>14785.71_1</v>
      </c>
      <c r="O1206" s="17" t="str">
        <f t="shared" si="18"/>
        <v/>
      </c>
      <c r="P1206" s="13" t="s">
        <v>3030</v>
      </c>
      <c r="Q1206" s="13" t="s">
        <v>3014</v>
      </c>
      <c r="R1206" s="13" t="s">
        <v>0</v>
      </c>
      <c r="S1206" s="13" t="s">
        <v>0</v>
      </c>
      <c r="T1206" s="13" t="s">
        <v>9</v>
      </c>
      <c r="U1206" s="13" t="s">
        <v>0</v>
      </c>
      <c r="V1206" s="13" t="s">
        <v>0</v>
      </c>
      <c r="W1206" s="13" t="s">
        <v>0</v>
      </c>
      <c r="X1206" s="13" t="s">
        <v>0</v>
      </c>
      <c r="Y1206" s="13" t="s">
        <v>10</v>
      </c>
      <c r="Z1206" s="13" t="s">
        <v>0</v>
      </c>
      <c r="AA1206" s="14"/>
      <c r="AB1206" s="13" t="s">
        <v>0</v>
      </c>
      <c r="AC1206" s="13" t="s">
        <v>0</v>
      </c>
      <c r="AD1206" s="13" t="s">
        <v>0</v>
      </c>
      <c r="AE1206" s="15">
        <v>0</v>
      </c>
    </row>
    <row r="1207" spans="1:31" ht="14.15" customHeight="1" x14ac:dyDescent="0.25">
      <c r="A1207" s="12" t="s">
        <v>0</v>
      </c>
      <c r="B1207" s="13" t="s">
        <v>1</v>
      </c>
      <c r="C1207" s="13" t="s">
        <v>4060</v>
      </c>
      <c r="D1207" s="14">
        <v>44360</v>
      </c>
      <c r="E1207" s="14">
        <v>44360</v>
      </c>
      <c r="F1207" s="14">
        <v>44364</v>
      </c>
      <c r="G1207" s="13" t="s">
        <v>3</v>
      </c>
      <c r="H1207" s="13" t="s">
        <v>4</v>
      </c>
      <c r="I1207" s="15">
        <v>-14781.43</v>
      </c>
      <c r="J1207" s="13" t="s">
        <v>5</v>
      </c>
      <c r="K1207" s="13" t="s">
        <v>6</v>
      </c>
      <c r="L1207" s="15">
        <v>-1240901.05</v>
      </c>
      <c r="M1207" s="15">
        <v>-14781.43</v>
      </c>
      <c r="N1207" s="16" t="str">
        <f>IF(M1207="","",IF(M1207&lt;0,-M1207&amp;"_"&amp;COUNTIF(M$2:M1207,M1207),M1207&amp;"_"&amp;COUNTIF(M$2:M1207,M1207)))</f>
        <v>14781.43_1</v>
      </c>
      <c r="O1207" s="17" t="str">
        <f t="shared" si="18"/>
        <v/>
      </c>
      <c r="P1207" s="13" t="s">
        <v>4061</v>
      </c>
      <c r="Q1207" s="13" t="s">
        <v>4062</v>
      </c>
      <c r="R1207" s="13" t="s">
        <v>0</v>
      </c>
      <c r="S1207" s="13" t="s">
        <v>0</v>
      </c>
      <c r="T1207" s="13" t="s">
        <v>9</v>
      </c>
      <c r="U1207" s="13" t="s">
        <v>0</v>
      </c>
      <c r="V1207" s="13" t="s">
        <v>0</v>
      </c>
      <c r="W1207" s="13" t="s">
        <v>0</v>
      </c>
      <c r="X1207" s="13" t="s">
        <v>0</v>
      </c>
      <c r="Y1207" s="13" t="s">
        <v>10</v>
      </c>
      <c r="Z1207" s="13" t="s">
        <v>0</v>
      </c>
      <c r="AA1207" s="14"/>
      <c r="AB1207" s="13" t="s">
        <v>0</v>
      </c>
      <c r="AC1207" s="13" t="s">
        <v>0</v>
      </c>
      <c r="AD1207" s="13" t="s">
        <v>0</v>
      </c>
      <c r="AE1207" s="15">
        <v>0</v>
      </c>
    </row>
    <row r="1208" spans="1:31" ht="14.15" customHeight="1" x14ac:dyDescent="0.25">
      <c r="A1208" s="12" t="s">
        <v>0</v>
      </c>
      <c r="B1208" s="13" t="s">
        <v>1</v>
      </c>
      <c r="C1208" s="13" t="s">
        <v>2125</v>
      </c>
      <c r="D1208" s="14">
        <v>44202</v>
      </c>
      <c r="E1208" s="14">
        <v>44202</v>
      </c>
      <c r="F1208" s="14">
        <v>44208</v>
      </c>
      <c r="G1208" s="13" t="s">
        <v>3</v>
      </c>
      <c r="H1208" s="13" t="s">
        <v>4</v>
      </c>
      <c r="I1208" s="15">
        <v>-14773.04</v>
      </c>
      <c r="J1208" s="13" t="s">
        <v>5</v>
      </c>
      <c r="K1208" s="13" t="s">
        <v>6</v>
      </c>
      <c r="L1208" s="15">
        <v>-1240196.71</v>
      </c>
      <c r="M1208" s="15">
        <v>-14773.04</v>
      </c>
      <c r="N1208" s="16" t="str">
        <f>IF(M1208="","",IF(M1208&lt;0,-M1208&amp;"_"&amp;COUNTIF(M$2:M1208,M1208),M1208&amp;"_"&amp;COUNTIF(M$2:M1208,M1208)))</f>
        <v>14773.04_1</v>
      </c>
      <c r="O1208" s="17" t="str">
        <f t="shared" si="18"/>
        <v/>
      </c>
      <c r="P1208" s="13" t="s">
        <v>2126</v>
      </c>
      <c r="Q1208" s="13" t="s">
        <v>2127</v>
      </c>
      <c r="R1208" s="13" t="s">
        <v>0</v>
      </c>
      <c r="S1208" s="13" t="s">
        <v>0</v>
      </c>
      <c r="T1208" s="13" t="s">
        <v>9</v>
      </c>
      <c r="U1208" s="13" t="s">
        <v>0</v>
      </c>
      <c r="V1208" s="13" t="s">
        <v>0</v>
      </c>
      <c r="W1208" s="13" t="s">
        <v>0</v>
      </c>
      <c r="X1208" s="13" t="s">
        <v>0</v>
      </c>
      <c r="Y1208" s="13" t="s">
        <v>10</v>
      </c>
      <c r="Z1208" s="13" t="s">
        <v>0</v>
      </c>
      <c r="AA1208" s="14"/>
      <c r="AB1208" s="13" t="s">
        <v>0</v>
      </c>
      <c r="AC1208" s="13" t="s">
        <v>0</v>
      </c>
      <c r="AD1208" s="13" t="s">
        <v>0</v>
      </c>
      <c r="AE1208" s="15">
        <v>0</v>
      </c>
    </row>
    <row r="1209" spans="1:31" ht="14.15" customHeight="1" x14ac:dyDescent="0.25">
      <c r="A1209" s="12" t="s">
        <v>0</v>
      </c>
      <c r="B1209" s="13" t="s">
        <v>1</v>
      </c>
      <c r="C1209" s="13" t="s">
        <v>1406</v>
      </c>
      <c r="D1209" s="14">
        <v>44154</v>
      </c>
      <c r="E1209" s="14">
        <v>44154</v>
      </c>
      <c r="F1209" s="14">
        <v>44159</v>
      </c>
      <c r="G1209" s="13" t="s">
        <v>3</v>
      </c>
      <c r="H1209" s="13" t="s">
        <v>4</v>
      </c>
      <c r="I1209" s="15">
        <v>-14744.74</v>
      </c>
      <c r="J1209" s="13" t="s">
        <v>5</v>
      </c>
      <c r="K1209" s="13" t="s">
        <v>6</v>
      </c>
      <c r="L1209" s="15">
        <v>-1237820.92</v>
      </c>
      <c r="M1209" s="15">
        <v>-14744.74</v>
      </c>
      <c r="N1209" s="16" t="str">
        <f>IF(M1209="","",IF(M1209&lt;0,-M1209&amp;"_"&amp;COUNTIF(M$2:M1209,M1209),M1209&amp;"_"&amp;COUNTIF(M$2:M1209,M1209)))</f>
        <v>14744.74_1</v>
      </c>
      <c r="O1209" s="17" t="str">
        <f t="shared" si="18"/>
        <v/>
      </c>
      <c r="P1209" s="13" t="s">
        <v>1407</v>
      </c>
      <c r="Q1209" s="13" t="s">
        <v>1408</v>
      </c>
      <c r="R1209" s="13" t="s">
        <v>0</v>
      </c>
      <c r="S1209" s="13" t="s">
        <v>0</v>
      </c>
      <c r="T1209" s="13" t="s">
        <v>9</v>
      </c>
      <c r="U1209" s="13" t="s">
        <v>0</v>
      </c>
      <c r="V1209" s="13" t="s">
        <v>0</v>
      </c>
      <c r="W1209" s="13" t="s">
        <v>0</v>
      </c>
      <c r="X1209" s="13" t="s">
        <v>0</v>
      </c>
      <c r="Y1209" s="13" t="s">
        <v>10</v>
      </c>
      <c r="Z1209" s="13" t="s">
        <v>0</v>
      </c>
      <c r="AA1209" s="14"/>
      <c r="AB1209" s="13" t="s">
        <v>0</v>
      </c>
      <c r="AC1209" s="13" t="s">
        <v>0</v>
      </c>
      <c r="AD1209" s="13" t="s">
        <v>0</v>
      </c>
      <c r="AE1209" s="15">
        <v>0</v>
      </c>
    </row>
    <row r="1210" spans="1:31" ht="14.15" customHeight="1" x14ac:dyDescent="0.25">
      <c r="A1210" s="12" t="s">
        <v>0</v>
      </c>
      <c r="B1210" s="13" t="s">
        <v>1</v>
      </c>
      <c r="C1210" s="13" t="s">
        <v>3593</v>
      </c>
      <c r="D1210" s="14">
        <v>44328</v>
      </c>
      <c r="E1210" s="14">
        <v>44328</v>
      </c>
      <c r="F1210" s="14">
        <v>44336</v>
      </c>
      <c r="G1210" s="13" t="s">
        <v>3</v>
      </c>
      <c r="H1210" s="13" t="s">
        <v>4</v>
      </c>
      <c r="I1210" s="15">
        <v>-14728.39</v>
      </c>
      <c r="J1210" s="13" t="s">
        <v>5</v>
      </c>
      <c r="K1210" s="13" t="s">
        <v>6</v>
      </c>
      <c r="L1210" s="15">
        <v>-1236448.3400000001</v>
      </c>
      <c r="M1210" s="15">
        <v>-14728.39</v>
      </c>
      <c r="N1210" s="16" t="str">
        <f>IF(M1210="","",IF(M1210&lt;0,-M1210&amp;"_"&amp;COUNTIF(M$2:M1210,M1210),M1210&amp;"_"&amp;COUNTIF(M$2:M1210,M1210)))</f>
        <v>14728.39_1</v>
      </c>
      <c r="O1210" s="17" t="str">
        <f t="shared" si="18"/>
        <v/>
      </c>
      <c r="P1210" s="13" t="s">
        <v>3594</v>
      </c>
      <c r="Q1210" s="13" t="s">
        <v>3590</v>
      </c>
      <c r="R1210" s="13" t="s">
        <v>0</v>
      </c>
      <c r="S1210" s="13" t="s">
        <v>0</v>
      </c>
      <c r="T1210" s="13" t="s">
        <v>9</v>
      </c>
      <c r="U1210" s="13" t="s">
        <v>0</v>
      </c>
      <c r="V1210" s="13" t="s">
        <v>0</v>
      </c>
      <c r="W1210" s="13" t="s">
        <v>0</v>
      </c>
      <c r="X1210" s="13" t="s">
        <v>0</v>
      </c>
      <c r="Y1210" s="13" t="s">
        <v>10</v>
      </c>
      <c r="Z1210" s="13" t="s">
        <v>0</v>
      </c>
      <c r="AA1210" s="14"/>
      <c r="AB1210" s="13" t="s">
        <v>0</v>
      </c>
      <c r="AC1210" s="13" t="s">
        <v>0</v>
      </c>
      <c r="AD1210" s="13" t="s">
        <v>0</v>
      </c>
      <c r="AE1210" s="15">
        <v>0</v>
      </c>
    </row>
    <row r="1211" spans="1:31" ht="14.15" customHeight="1" x14ac:dyDescent="0.25">
      <c r="A1211" s="12" t="s">
        <v>0</v>
      </c>
      <c r="B1211" s="13" t="s">
        <v>1</v>
      </c>
      <c r="C1211" s="13" t="s">
        <v>2416</v>
      </c>
      <c r="D1211" s="14">
        <v>44229</v>
      </c>
      <c r="E1211" s="14">
        <v>44229</v>
      </c>
      <c r="F1211" s="14">
        <v>44236</v>
      </c>
      <c r="G1211" s="13" t="s">
        <v>3</v>
      </c>
      <c r="H1211" s="13" t="s">
        <v>4</v>
      </c>
      <c r="I1211" s="15">
        <v>-14728.38</v>
      </c>
      <c r="J1211" s="13" t="s">
        <v>5</v>
      </c>
      <c r="K1211" s="13" t="s">
        <v>6</v>
      </c>
      <c r="L1211" s="15">
        <v>-1236447.5</v>
      </c>
      <c r="M1211" s="15">
        <v>-14728.38</v>
      </c>
      <c r="N1211" s="16" t="str">
        <f>IF(M1211="","",IF(M1211&lt;0,-M1211&amp;"_"&amp;COUNTIF(M$2:M1211,M1211),M1211&amp;"_"&amp;COUNTIF(M$2:M1211,M1211)))</f>
        <v>14728.38_1</v>
      </c>
      <c r="O1211" s="17" t="str">
        <f t="shared" si="18"/>
        <v/>
      </c>
      <c r="P1211" s="13" t="s">
        <v>2417</v>
      </c>
      <c r="Q1211" s="13" t="s">
        <v>2415</v>
      </c>
      <c r="R1211" s="13" t="s">
        <v>0</v>
      </c>
      <c r="S1211" s="13" t="s">
        <v>0</v>
      </c>
      <c r="T1211" s="13" t="s">
        <v>9</v>
      </c>
      <c r="U1211" s="13" t="s">
        <v>0</v>
      </c>
      <c r="V1211" s="13" t="s">
        <v>0</v>
      </c>
      <c r="W1211" s="13" t="s">
        <v>0</v>
      </c>
      <c r="X1211" s="13" t="s">
        <v>0</v>
      </c>
      <c r="Y1211" s="13" t="s">
        <v>10</v>
      </c>
      <c r="Z1211" s="13" t="s">
        <v>0</v>
      </c>
      <c r="AA1211" s="14"/>
      <c r="AB1211" s="13" t="s">
        <v>0</v>
      </c>
      <c r="AC1211" s="13" t="s">
        <v>0</v>
      </c>
      <c r="AD1211" s="13" t="s">
        <v>0</v>
      </c>
      <c r="AE1211" s="15">
        <v>0</v>
      </c>
    </row>
    <row r="1212" spans="1:31" ht="14.15" customHeight="1" x14ac:dyDescent="0.25">
      <c r="A1212" s="12" t="s">
        <v>0</v>
      </c>
      <c r="B1212" s="13" t="s">
        <v>1</v>
      </c>
      <c r="C1212" s="13" t="s">
        <v>2446</v>
      </c>
      <c r="D1212" s="14">
        <v>44231</v>
      </c>
      <c r="E1212" s="14">
        <v>44231</v>
      </c>
      <c r="F1212" s="14">
        <v>44237</v>
      </c>
      <c r="G1212" s="13" t="s">
        <v>3</v>
      </c>
      <c r="H1212" s="13" t="s">
        <v>4</v>
      </c>
      <c r="I1212" s="15">
        <v>-14718.41</v>
      </c>
      <c r="J1212" s="13" t="s">
        <v>5</v>
      </c>
      <c r="K1212" s="13" t="s">
        <v>6</v>
      </c>
      <c r="L1212" s="15">
        <v>-1235610.52</v>
      </c>
      <c r="M1212" s="15">
        <v>-14718.41</v>
      </c>
      <c r="N1212" s="16" t="str">
        <f>IF(M1212="","",IF(M1212&lt;0,-M1212&amp;"_"&amp;COUNTIF(M$2:M1212,M1212),M1212&amp;"_"&amp;COUNTIF(M$2:M1212,M1212)))</f>
        <v>14718.41_1</v>
      </c>
      <c r="O1212" s="17" t="str">
        <f t="shared" si="18"/>
        <v/>
      </c>
      <c r="P1212" s="13" t="s">
        <v>2447</v>
      </c>
      <c r="Q1212" s="13" t="s">
        <v>2427</v>
      </c>
      <c r="R1212" s="13" t="s">
        <v>0</v>
      </c>
      <c r="S1212" s="13" t="s">
        <v>0</v>
      </c>
      <c r="T1212" s="13" t="s">
        <v>9</v>
      </c>
      <c r="U1212" s="13" t="s">
        <v>0</v>
      </c>
      <c r="V1212" s="13" t="s">
        <v>0</v>
      </c>
      <c r="W1212" s="13" t="s">
        <v>0</v>
      </c>
      <c r="X1212" s="13" t="s">
        <v>0</v>
      </c>
      <c r="Y1212" s="13" t="s">
        <v>10</v>
      </c>
      <c r="Z1212" s="13" t="s">
        <v>0</v>
      </c>
      <c r="AA1212" s="14"/>
      <c r="AB1212" s="13" t="s">
        <v>0</v>
      </c>
      <c r="AC1212" s="13" t="s">
        <v>0</v>
      </c>
      <c r="AD1212" s="13" t="s">
        <v>0</v>
      </c>
      <c r="AE1212" s="15">
        <v>0</v>
      </c>
    </row>
    <row r="1213" spans="1:31" ht="14.15" customHeight="1" x14ac:dyDescent="0.25">
      <c r="A1213" s="12" t="s">
        <v>0</v>
      </c>
      <c r="B1213" s="13" t="s">
        <v>1</v>
      </c>
      <c r="C1213" s="13" t="s">
        <v>3919</v>
      </c>
      <c r="D1213" s="14">
        <v>44354</v>
      </c>
      <c r="E1213" s="14">
        <v>44354</v>
      </c>
      <c r="F1213" s="14">
        <v>44357</v>
      </c>
      <c r="G1213" s="13" t="s">
        <v>3</v>
      </c>
      <c r="H1213" s="13" t="s">
        <v>4</v>
      </c>
      <c r="I1213" s="15">
        <v>-14716.8</v>
      </c>
      <c r="J1213" s="13" t="s">
        <v>5</v>
      </c>
      <c r="K1213" s="13" t="s">
        <v>6</v>
      </c>
      <c r="L1213" s="15">
        <v>-1235475.3600000001</v>
      </c>
      <c r="M1213" s="15">
        <v>-14716.8</v>
      </c>
      <c r="N1213" s="16" t="str">
        <f>IF(M1213="","",IF(M1213&lt;0,-M1213&amp;"_"&amp;COUNTIF(M$2:M1213,M1213),M1213&amp;"_"&amp;COUNTIF(M$2:M1213,M1213)))</f>
        <v>14716.8_1</v>
      </c>
      <c r="O1213" s="17" t="str">
        <f t="shared" si="18"/>
        <v/>
      </c>
      <c r="P1213" s="13" t="s">
        <v>3920</v>
      </c>
      <c r="Q1213" s="13" t="s">
        <v>3914</v>
      </c>
      <c r="R1213" s="13" t="s">
        <v>0</v>
      </c>
      <c r="S1213" s="13" t="s">
        <v>0</v>
      </c>
      <c r="T1213" s="13" t="s">
        <v>9</v>
      </c>
      <c r="U1213" s="13" t="s">
        <v>0</v>
      </c>
      <c r="V1213" s="13" t="s">
        <v>0</v>
      </c>
      <c r="W1213" s="13" t="s">
        <v>0</v>
      </c>
      <c r="X1213" s="13" t="s">
        <v>0</v>
      </c>
      <c r="Y1213" s="13" t="s">
        <v>10</v>
      </c>
      <c r="Z1213" s="13" t="s">
        <v>0</v>
      </c>
      <c r="AA1213" s="14"/>
      <c r="AB1213" s="13" t="s">
        <v>0</v>
      </c>
      <c r="AC1213" s="13" t="s">
        <v>0</v>
      </c>
      <c r="AD1213" s="13" t="s">
        <v>0</v>
      </c>
      <c r="AE1213" s="15">
        <v>0</v>
      </c>
    </row>
    <row r="1214" spans="1:31" ht="14.15" customHeight="1" x14ac:dyDescent="0.25">
      <c r="A1214" s="12" t="s">
        <v>0</v>
      </c>
      <c r="B1214" s="13" t="s">
        <v>1</v>
      </c>
      <c r="C1214" s="13" t="s">
        <v>4221</v>
      </c>
      <c r="D1214" s="14">
        <v>44366</v>
      </c>
      <c r="E1214" s="14">
        <v>44366</v>
      </c>
      <c r="F1214" s="14">
        <v>44384</v>
      </c>
      <c r="G1214" s="13" t="s">
        <v>3</v>
      </c>
      <c r="H1214" s="13" t="s">
        <v>4</v>
      </c>
      <c r="I1214" s="15">
        <v>-14710.36</v>
      </c>
      <c r="J1214" s="13" t="s">
        <v>5</v>
      </c>
      <c r="K1214" s="13" t="s">
        <v>6</v>
      </c>
      <c r="L1214" s="15">
        <v>-1234934.72</v>
      </c>
      <c r="M1214" s="15">
        <v>-14710.36</v>
      </c>
      <c r="N1214" s="16" t="str">
        <f>IF(M1214="","",IF(M1214&lt;0,-M1214&amp;"_"&amp;COUNTIF(M$2:M1214,M1214),M1214&amp;"_"&amp;COUNTIF(M$2:M1214,M1214)))</f>
        <v>14710.36_1</v>
      </c>
      <c r="O1214" s="17" t="str">
        <f t="shared" si="18"/>
        <v/>
      </c>
      <c r="P1214" s="13" t="s">
        <v>4222</v>
      </c>
      <c r="Q1214" s="13" t="s">
        <v>4216</v>
      </c>
      <c r="R1214" s="13" t="s">
        <v>0</v>
      </c>
      <c r="S1214" s="13" t="s">
        <v>0</v>
      </c>
      <c r="T1214" s="13" t="s">
        <v>9</v>
      </c>
      <c r="U1214" s="13" t="s">
        <v>0</v>
      </c>
      <c r="V1214" s="13" t="s">
        <v>0</v>
      </c>
      <c r="W1214" s="13" t="s">
        <v>0</v>
      </c>
      <c r="X1214" s="13" t="s">
        <v>0</v>
      </c>
      <c r="Y1214" s="13" t="s">
        <v>10</v>
      </c>
      <c r="Z1214" s="13" t="s">
        <v>0</v>
      </c>
      <c r="AA1214" s="14"/>
      <c r="AB1214" s="13" t="s">
        <v>0</v>
      </c>
      <c r="AC1214" s="13" t="s">
        <v>0</v>
      </c>
      <c r="AD1214" s="13" t="s">
        <v>0</v>
      </c>
      <c r="AE1214" s="15">
        <v>0</v>
      </c>
    </row>
    <row r="1215" spans="1:31" ht="14.15" customHeight="1" x14ac:dyDescent="0.25">
      <c r="A1215" s="12" t="s">
        <v>0</v>
      </c>
      <c r="B1215" s="13" t="s">
        <v>1</v>
      </c>
      <c r="C1215" s="13" t="s">
        <v>3460</v>
      </c>
      <c r="D1215" s="14">
        <v>44320</v>
      </c>
      <c r="E1215" s="14">
        <v>44320</v>
      </c>
      <c r="F1215" s="14">
        <v>44328</v>
      </c>
      <c r="G1215" s="13" t="s">
        <v>3</v>
      </c>
      <c r="H1215" s="13" t="s">
        <v>4</v>
      </c>
      <c r="I1215" s="15">
        <v>-14671.23</v>
      </c>
      <c r="J1215" s="13" t="s">
        <v>5</v>
      </c>
      <c r="K1215" s="13" t="s">
        <v>6</v>
      </c>
      <c r="L1215" s="15">
        <v>-1231649.76</v>
      </c>
      <c r="M1215" s="15">
        <v>-14671.23</v>
      </c>
      <c r="N1215" s="16" t="str">
        <f>IF(M1215="","",IF(M1215&lt;0,-M1215&amp;"_"&amp;COUNTIF(M$2:M1215,M1215),M1215&amp;"_"&amp;COUNTIF(M$2:M1215,M1215)))</f>
        <v>14671.23_1</v>
      </c>
      <c r="O1215" s="17" t="str">
        <f t="shared" si="18"/>
        <v/>
      </c>
      <c r="P1215" s="13" t="s">
        <v>3461</v>
      </c>
      <c r="Q1215" s="13" t="s">
        <v>3453</v>
      </c>
      <c r="R1215" s="13" t="s">
        <v>0</v>
      </c>
      <c r="S1215" s="13" t="s">
        <v>0</v>
      </c>
      <c r="T1215" s="13" t="s">
        <v>9</v>
      </c>
      <c r="U1215" s="13" t="s">
        <v>0</v>
      </c>
      <c r="V1215" s="13" t="s">
        <v>0</v>
      </c>
      <c r="W1215" s="13" t="s">
        <v>0</v>
      </c>
      <c r="X1215" s="13" t="s">
        <v>0</v>
      </c>
      <c r="Y1215" s="13" t="s">
        <v>10</v>
      </c>
      <c r="Z1215" s="13" t="s">
        <v>0</v>
      </c>
      <c r="AA1215" s="14"/>
      <c r="AB1215" s="13" t="s">
        <v>0</v>
      </c>
      <c r="AC1215" s="13" t="s">
        <v>0</v>
      </c>
      <c r="AD1215" s="13" t="s">
        <v>0</v>
      </c>
      <c r="AE1215" s="15">
        <v>0</v>
      </c>
    </row>
    <row r="1216" spans="1:31" ht="14.15" customHeight="1" x14ac:dyDescent="0.25">
      <c r="A1216" s="12" t="s">
        <v>0</v>
      </c>
      <c r="B1216" s="13" t="s">
        <v>1</v>
      </c>
      <c r="C1216" s="13" t="s">
        <v>599</v>
      </c>
      <c r="D1216" s="14">
        <v>44080</v>
      </c>
      <c r="E1216" s="14">
        <v>44080</v>
      </c>
      <c r="F1216" s="14">
        <v>44104</v>
      </c>
      <c r="G1216" s="13" t="s">
        <v>3</v>
      </c>
      <c r="H1216" s="13" t="s">
        <v>4</v>
      </c>
      <c r="I1216" s="15">
        <v>-14661.51</v>
      </c>
      <c r="J1216" s="13" t="s">
        <v>5</v>
      </c>
      <c r="K1216" s="13" t="s">
        <v>6</v>
      </c>
      <c r="L1216" s="15">
        <v>-1230833.78</v>
      </c>
      <c r="M1216" s="15">
        <v>-14661.51</v>
      </c>
      <c r="N1216" s="16" t="str">
        <f>IF(M1216="","",IF(M1216&lt;0,-M1216&amp;"_"&amp;COUNTIF(M$2:M1216,M1216),M1216&amp;"_"&amp;COUNTIF(M$2:M1216,M1216)))</f>
        <v>14661.51_1</v>
      </c>
      <c r="O1216" s="17" t="str">
        <f t="shared" si="18"/>
        <v/>
      </c>
      <c r="P1216" s="13" t="s">
        <v>600</v>
      </c>
      <c r="Q1216" s="13" t="s">
        <v>594</v>
      </c>
      <c r="R1216" s="13" t="s">
        <v>0</v>
      </c>
      <c r="S1216" s="13" t="s">
        <v>0</v>
      </c>
      <c r="T1216" s="13" t="s">
        <v>9</v>
      </c>
      <c r="U1216" s="13" t="s">
        <v>0</v>
      </c>
      <c r="V1216" s="13" t="s">
        <v>0</v>
      </c>
      <c r="W1216" s="13" t="s">
        <v>0</v>
      </c>
      <c r="X1216" s="13" t="s">
        <v>0</v>
      </c>
      <c r="Y1216" s="13" t="s">
        <v>10</v>
      </c>
      <c r="Z1216" s="13" t="s">
        <v>0</v>
      </c>
      <c r="AA1216" s="14"/>
      <c r="AB1216" s="13" t="s">
        <v>0</v>
      </c>
      <c r="AC1216" s="13" t="s">
        <v>0</v>
      </c>
      <c r="AD1216" s="13" t="s">
        <v>0</v>
      </c>
      <c r="AE1216" s="15">
        <v>0</v>
      </c>
    </row>
    <row r="1217" spans="1:31" ht="14.15" customHeight="1" x14ac:dyDescent="0.25">
      <c r="A1217" s="12" t="s">
        <v>0</v>
      </c>
      <c r="B1217" s="13" t="s">
        <v>1</v>
      </c>
      <c r="C1217" s="13" t="s">
        <v>1773</v>
      </c>
      <c r="D1217" s="14">
        <v>44181</v>
      </c>
      <c r="E1217" s="14">
        <v>44181</v>
      </c>
      <c r="F1217" s="14">
        <v>44187</v>
      </c>
      <c r="G1217" s="13" t="s">
        <v>3</v>
      </c>
      <c r="H1217" s="13" t="s">
        <v>4</v>
      </c>
      <c r="I1217" s="15">
        <v>-14623</v>
      </c>
      <c r="J1217" s="13" t="s">
        <v>5</v>
      </c>
      <c r="K1217" s="13" t="s">
        <v>6</v>
      </c>
      <c r="L1217" s="15">
        <v>-1227600.8500000001</v>
      </c>
      <c r="M1217" s="15">
        <v>-14623</v>
      </c>
      <c r="N1217" s="16" t="str">
        <f>IF(M1217="","",IF(M1217&lt;0,-M1217&amp;"_"&amp;COUNTIF(M$2:M1217,M1217),M1217&amp;"_"&amp;COUNTIF(M$2:M1217,M1217)))</f>
        <v>14623_1</v>
      </c>
      <c r="O1217" s="17" t="str">
        <f t="shared" si="18"/>
        <v/>
      </c>
      <c r="P1217" s="13" t="s">
        <v>1774</v>
      </c>
      <c r="Q1217" s="13" t="s">
        <v>1766</v>
      </c>
      <c r="R1217" s="13" t="s">
        <v>0</v>
      </c>
      <c r="S1217" s="13" t="s">
        <v>0</v>
      </c>
      <c r="T1217" s="13" t="s">
        <v>9</v>
      </c>
      <c r="U1217" s="13" t="s">
        <v>0</v>
      </c>
      <c r="V1217" s="13" t="s">
        <v>0</v>
      </c>
      <c r="W1217" s="13" t="s">
        <v>0</v>
      </c>
      <c r="X1217" s="13" t="s">
        <v>0</v>
      </c>
      <c r="Y1217" s="13" t="s">
        <v>10</v>
      </c>
      <c r="Z1217" s="13" t="s">
        <v>0</v>
      </c>
      <c r="AA1217" s="14"/>
      <c r="AB1217" s="13" t="s">
        <v>0</v>
      </c>
      <c r="AC1217" s="13" t="s">
        <v>0</v>
      </c>
      <c r="AD1217" s="13" t="s">
        <v>0</v>
      </c>
      <c r="AE1217" s="15">
        <v>0</v>
      </c>
    </row>
    <row r="1218" spans="1:31" ht="14.15" customHeight="1" x14ac:dyDescent="0.25">
      <c r="A1218" s="12" t="s">
        <v>0</v>
      </c>
      <c r="B1218" s="13" t="s">
        <v>1</v>
      </c>
      <c r="C1218" s="13" t="s">
        <v>1819</v>
      </c>
      <c r="D1218" s="14">
        <v>44183</v>
      </c>
      <c r="E1218" s="14">
        <v>44183</v>
      </c>
      <c r="F1218" s="14">
        <v>44188</v>
      </c>
      <c r="G1218" s="13" t="s">
        <v>3</v>
      </c>
      <c r="H1218" s="13" t="s">
        <v>4</v>
      </c>
      <c r="I1218" s="15">
        <v>-14622.84</v>
      </c>
      <c r="J1218" s="13" t="s">
        <v>5</v>
      </c>
      <c r="K1218" s="13" t="s">
        <v>6</v>
      </c>
      <c r="L1218" s="15">
        <v>-1227587.42</v>
      </c>
      <c r="M1218" s="15">
        <v>-14622.84</v>
      </c>
      <c r="N1218" s="16" t="str">
        <f>IF(M1218="","",IF(M1218&lt;0,-M1218&amp;"_"&amp;COUNTIF(M$2:M1218,M1218),M1218&amp;"_"&amp;COUNTIF(M$2:M1218,M1218)))</f>
        <v>14622.84_1</v>
      </c>
      <c r="O1218" s="17" t="str">
        <f t="shared" ref="O1218:O1281" si="19">IF(COUNTIF(N:N,N1218)=2,"x","")</f>
        <v/>
      </c>
      <c r="P1218" s="13" t="s">
        <v>1820</v>
      </c>
      <c r="Q1218" s="13" t="s">
        <v>1792</v>
      </c>
      <c r="R1218" s="13" t="s">
        <v>0</v>
      </c>
      <c r="S1218" s="13" t="s">
        <v>0</v>
      </c>
      <c r="T1218" s="13" t="s">
        <v>9</v>
      </c>
      <c r="U1218" s="13" t="s">
        <v>0</v>
      </c>
      <c r="V1218" s="13" t="s">
        <v>0</v>
      </c>
      <c r="W1218" s="13" t="s">
        <v>0</v>
      </c>
      <c r="X1218" s="13" t="s">
        <v>0</v>
      </c>
      <c r="Y1218" s="13" t="s">
        <v>10</v>
      </c>
      <c r="Z1218" s="13" t="s">
        <v>0</v>
      </c>
      <c r="AA1218" s="14"/>
      <c r="AB1218" s="13" t="s">
        <v>0</v>
      </c>
      <c r="AC1218" s="13" t="s">
        <v>0</v>
      </c>
      <c r="AD1218" s="13" t="s">
        <v>0</v>
      </c>
      <c r="AE1218" s="15">
        <v>0</v>
      </c>
    </row>
    <row r="1219" spans="1:31" ht="14.15" customHeight="1" x14ac:dyDescent="0.25">
      <c r="A1219" s="12" t="s">
        <v>0</v>
      </c>
      <c r="B1219" s="13" t="s">
        <v>1</v>
      </c>
      <c r="C1219" s="13" t="s">
        <v>2935</v>
      </c>
      <c r="D1219" s="14">
        <v>44276</v>
      </c>
      <c r="E1219" s="14">
        <v>44276</v>
      </c>
      <c r="F1219" s="14">
        <v>44283</v>
      </c>
      <c r="G1219" s="13" t="s">
        <v>3</v>
      </c>
      <c r="H1219" s="13" t="s">
        <v>4</v>
      </c>
      <c r="I1219" s="15">
        <v>-14621.7</v>
      </c>
      <c r="J1219" s="13" t="s">
        <v>5</v>
      </c>
      <c r="K1219" s="13" t="s">
        <v>6</v>
      </c>
      <c r="L1219" s="15">
        <v>-1227491.72</v>
      </c>
      <c r="M1219" s="15">
        <v>-14621.7</v>
      </c>
      <c r="N1219" s="16" t="str">
        <f>IF(M1219="","",IF(M1219&lt;0,-M1219&amp;"_"&amp;COUNTIF(M$2:M1219,M1219),M1219&amp;"_"&amp;COUNTIF(M$2:M1219,M1219)))</f>
        <v>14621.7_1</v>
      </c>
      <c r="O1219" s="17" t="str">
        <f t="shared" si="19"/>
        <v/>
      </c>
      <c r="P1219" s="13" t="s">
        <v>2936</v>
      </c>
      <c r="Q1219" s="13" t="s">
        <v>2922</v>
      </c>
      <c r="R1219" s="13" t="s">
        <v>0</v>
      </c>
      <c r="S1219" s="13" t="s">
        <v>0</v>
      </c>
      <c r="T1219" s="13" t="s">
        <v>9</v>
      </c>
      <c r="U1219" s="13" t="s">
        <v>0</v>
      </c>
      <c r="V1219" s="13" t="s">
        <v>0</v>
      </c>
      <c r="W1219" s="13" t="s">
        <v>0</v>
      </c>
      <c r="X1219" s="13" t="s">
        <v>0</v>
      </c>
      <c r="Y1219" s="13" t="s">
        <v>10</v>
      </c>
      <c r="Z1219" s="13" t="s">
        <v>0</v>
      </c>
      <c r="AA1219" s="14"/>
      <c r="AB1219" s="13" t="s">
        <v>0</v>
      </c>
      <c r="AC1219" s="13" t="s">
        <v>0</v>
      </c>
      <c r="AD1219" s="13" t="s">
        <v>0</v>
      </c>
      <c r="AE1219" s="15">
        <v>0</v>
      </c>
    </row>
    <row r="1220" spans="1:31" ht="14.15" customHeight="1" x14ac:dyDescent="0.25">
      <c r="A1220" s="12" t="s">
        <v>0</v>
      </c>
      <c r="B1220" s="13" t="s">
        <v>1</v>
      </c>
      <c r="C1220" s="13" t="s">
        <v>3510</v>
      </c>
      <c r="D1220" s="14">
        <v>44324</v>
      </c>
      <c r="E1220" s="14">
        <v>44324</v>
      </c>
      <c r="F1220" s="14">
        <v>44329</v>
      </c>
      <c r="G1220" s="13" t="s">
        <v>3</v>
      </c>
      <c r="H1220" s="13" t="s">
        <v>4</v>
      </c>
      <c r="I1220" s="15">
        <v>-14616.49</v>
      </c>
      <c r="J1220" s="13" t="s">
        <v>5</v>
      </c>
      <c r="K1220" s="13" t="s">
        <v>6</v>
      </c>
      <c r="L1220" s="15">
        <v>-1227054.3400000001</v>
      </c>
      <c r="M1220" s="15">
        <v>-14616.49</v>
      </c>
      <c r="N1220" s="16" t="str">
        <f>IF(M1220="","",IF(M1220&lt;0,-M1220&amp;"_"&amp;COUNTIF(M$2:M1220,M1220),M1220&amp;"_"&amp;COUNTIF(M$2:M1220,M1220)))</f>
        <v>14616.49_1</v>
      </c>
      <c r="O1220" s="17" t="str">
        <f t="shared" si="19"/>
        <v/>
      </c>
      <c r="P1220" s="13" t="s">
        <v>3511</v>
      </c>
      <c r="Q1220" s="13" t="s">
        <v>3512</v>
      </c>
      <c r="R1220" s="13" t="s">
        <v>0</v>
      </c>
      <c r="S1220" s="13" t="s">
        <v>0</v>
      </c>
      <c r="T1220" s="13" t="s">
        <v>9</v>
      </c>
      <c r="U1220" s="13" t="s">
        <v>0</v>
      </c>
      <c r="V1220" s="13" t="s">
        <v>0</v>
      </c>
      <c r="W1220" s="13" t="s">
        <v>0</v>
      </c>
      <c r="X1220" s="13" t="s">
        <v>0</v>
      </c>
      <c r="Y1220" s="13" t="s">
        <v>10</v>
      </c>
      <c r="Z1220" s="13" t="s">
        <v>0</v>
      </c>
      <c r="AA1220" s="14"/>
      <c r="AB1220" s="13" t="s">
        <v>0</v>
      </c>
      <c r="AC1220" s="13" t="s">
        <v>0</v>
      </c>
      <c r="AD1220" s="13" t="s">
        <v>0</v>
      </c>
      <c r="AE1220" s="15">
        <v>0</v>
      </c>
    </row>
    <row r="1221" spans="1:31" ht="14.15" customHeight="1" x14ac:dyDescent="0.25">
      <c r="A1221" s="12" t="s">
        <v>0</v>
      </c>
      <c r="B1221" s="13" t="s">
        <v>1</v>
      </c>
      <c r="C1221" s="13" t="s">
        <v>2193</v>
      </c>
      <c r="D1221" s="14">
        <v>44210</v>
      </c>
      <c r="E1221" s="14">
        <v>44210</v>
      </c>
      <c r="F1221" s="14">
        <v>44217</v>
      </c>
      <c r="G1221" s="13" t="s">
        <v>3</v>
      </c>
      <c r="H1221" s="13" t="s">
        <v>4</v>
      </c>
      <c r="I1221" s="15">
        <v>-14604.99</v>
      </c>
      <c r="J1221" s="13" t="s">
        <v>5</v>
      </c>
      <c r="K1221" s="13" t="s">
        <v>6</v>
      </c>
      <c r="L1221" s="15">
        <v>-1226088.9099999999</v>
      </c>
      <c r="M1221" s="15">
        <v>-14604.99</v>
      </c>
      <c r="N1221" s="16" t="str">
        <f>IF(M1221="","",IF(M1221&lt;0,-M1221&amp;"_"&amp;COUNTIF(M$2:M1221,M1221),M1221&amp;"_"&amp;COUNTIF(M$2:M1221,M1221)))</f>
        <v>14604.99_1</v>
      </c>
      <c r="O1221" s="17" t="str">
        <f t="shared" si="19"/>
        <v/>
      </c>
      <c r="P1221" s="13" t="s">
        <v>2194</v>
      </c>
      <c r="Q1221" s="13" t="s">
        <v>2176</v>
      </c>
      <c r="R1221" s="13" t="s">
        <v>0</v>
      </c>
      <c r="S1221" s="13" t="s">
        <v>0</v>
      </c>
      <c r="T1221" s="13" t="s">
        <v>9</v>
      </c>
      <c r="U1221" s="13" t="s">
        <v>0</v>
      </c>
      <c r="V1221" s="13" t="s">
        <v>0</v>
      </c>
      <c r="W1221" s="13" t="s">
        <v>0</v>
      </c>
      <c r="X1221" s="13" t="s">
        <v>0</v>
      </c>
      <c r="Y1221" s="13" t="s">
        <v>10</v>
      </c>
      <c r="Z1221" s="13" t="s">
        <v>0</v>
      </c>
      <c r="AA1221" s="14"/>
      <c r="AB1221" s="13" t="s">
        <v>0</v>
      </c>
      <c r="AC1221" s="13" t="s">
        <v>0</v>
      </c>
      <c r="AD1221" s="13" t="s">
        <v>0</v>
      </c>
      <c r="AE1221" s="15">
        <v>0</v>
      </c>
    </row>
    <row r="1222" spans="1:31" ht="14.15" customHeight="1" x14ac:dyDescent="0.25">
      <c r="A1222" s="12" t="s">
        <v>0</v>
      </c>
      <c r="B1222" s="13" t="s">
        <v>1</v>
      </c>
      <c r="C1222" s="13" t="s">
        <v>4265</v>
      </c>
      <c r="D1222" s="14">
        <v>44369</v>
      </c>
      <c r="E1222" s="14">
        <v>44369</v>
      </c>
      <c r="F1222" s="14">
        <v>44375</v>
      </c>
      <c r="G1222" s="13" t="s">
        <v>3</v>
      </c>
      <c r="H1222" s="13" t="s">
        <v>4</v>
      </c>
      <c r="I1222" s="15">
        <v>-14599.19</v>
      </c>
      <c r="J1222" s="13" t="s">
        <v>5</v>
      </c>
      <c r="K1222" s="13" t="s">
        <v>6</v>
      </c>
      <c r="L1222" s="15">
        <v>-1225602</v>
      </c>
      <c r="M1222" s="15">
        <v>-14599.19</v>
      </c>
      <c r="N1222" s="16" t="str">
        <f>IF(M1222="","",IF(M1222&lt;0,-M1222&amp;"_"&amp;COUNTIF(M$2:M1222,M1222),M1222&amp;"_"&amp;COUNTIF(M$2:M1222,M1222)))</f>
        <v>14599.19_1</v>
      </c>
      <c r="O1222" s="17" t="str">
        <f t="shared" si="19"/>
        <v/>
      </c>
      <c r="P1222" s="13" t="s">
        <v>4266</v>
      </c>
      <c r="Q1222" s="13" t="s">
        <v>4248</v>
      </c>
      <c r="R1222" s="13" t="s">
        <v>0</v>
      </c>
      <c r="S1222" s="13" t="s">
        <v>0</v>
      </c>
      <c r="T1222" s="13" t="s">
        <v>9</v>
      </c>
      <c r="U1222" s="13" t="s">
        <v>0</v>
      </c>
      <c r="V1222" s="13" t="s">
        <v>0</v>
      </c>
      <c r="W1222" s="13" t="s">
        <v>0</v>
      </c>
      <c r="X1222" s="13" t="s">
        <v>0</v>
      </c>
      <c r="Y1222" s="13" t="s">
        <v>10</v>
      </c>
      <c r="Z1222" s="13" t="s">
        <v>0</v>
      </c>
      <c r="AA1222" s="14"/>
      <c r="AB1222" s="13" t="s">
        <v>0</v>
      </c>
      <c r="AC1222" s="13" t="s">
        <v>0</v>
      </c>
      <c r="AD1222" s="13" t="s">
        <v>0</v>
      </c>
      <c r="AE1222" s="15">
        <v>0</v>
      </c>
    </row>
    <row r="1223" spans="1:31" ht="14.15" customHeight="1" x14ac:dyDescent="0.25">
      <c r="A1223" s="12" t="s">
        <v>0</v>
      </c>
      <c r="B1223" s="13" t="s">
        <v>1</v>
      </c>
      <c r="C1223" s="13" t="s">
        <v>3247</v>
      </c>
      <c r="D1223" s="14">
        <v>44307</v>
      </c>
      <c r="E1223" s="14">
        <v>44307</v>
      </c>
      <c r="F1223" s="14">
        <v>44313</v>
      </c>
      <c r="G1223" s="13" t="s">
        <v>3</v>
      </c>
      <c r="H1223" s="13" t="s">
        <v>4</v>
      </c>
      <c r="I1223" s="15">
        <v>-14597.5</v>
      </c>
      <c r="J1223" s="13" t="s">
        <v>5</v>
      </c>
      <c r="K1223" s="13" t="s">
        <v>6</v>
      </c>
      <c r="L1223" s="15">
        <v>-1225460.1299999999</v>
      </c>
      <c r="M1223" s="15">
        <v>-14597.5</v>
      </c>
      <c r="N1223" s="16" t="str">
        <f>IF(M1223="","",IF(M1223&lt;0,-M1223&amp;"_"&amp;COUNTIF(M$2:M1223,M1223),M1223&amp;"_"&amp;COUNTIF(M$2:M1223,M1223)))</f>
        <v>14597.5_1</v>
      </c>
      <c r="O1223" s="17" t="str">
        <f t="shared" si="19"/>
        <v/>
      </c>
      <c r="P1223" s="13" t="s">
        <v>3248</v>
      </c>
      <c r="Q1223" s="13" t="s">
        <v>3244</v>
      </c>
      <c r="R1223" s="13" t="s">
        <v>0</v>
      </c>
      <c r="S1223" s="13" t="s">
        <v>0</v>
      </c>
      <c r="T1223" s="13" t="s">
        <v>9</v>
      </c>
      <c r="U1223" s="13" t="s">
        <v>0</v>
      </c>
      <c r="V1223" s="13" t="s">
        <v>0</v>
      </c>
      <c r="W1223" s="13" t="s">
        <v>0</v>
      </c>
      <c r="X1223" s="13" t="s">
        <v>0</v>
      </c>
      <c r="Y1223" s="13" t="s">
        <v>10</v>
      </c>
      <c r="Z1223" s="13" t="s">
        <v>0</v>
      </c>
      <c r="AA1223" s="14"/>
      <c r="AB1223" s="13" t="s">
        <v>0</v>
      </c>
      <c r="AC1223" s="13" t="s">
        <v>0</v>
      </c>
      <c r="AD1223" s="13" t="s">
        <v>0</v>
      </c>
      <c r="AE1223" s="15">
        <v>0</v>
      </c>
    </row>
    <row r="1224" spans="1:31" ht="14.15" customHeight="1" x14ac:dyDescent="0.25">
      <c r="A1224" s="12" t="s">
        <v>0</v>
      </c>
      <c r="B1224" s="13" t="s">
        <v>1</v>
      </c>
      <c r="C1224" s="13" t="s">
        <v>2870</v>
      </c>
      <c r="D1224" s="14">
        <v>44273</v>
      </c>
      <c r="E1224" s="14">
        <v>44273</v>
      </c>
      <c r="F1224" s="14">
        <v>44280</v>
      </c>
      <c r="G1224" s="13" t="s">
        <v>3</v>
      </c>
      <c r="H1224" s="13" t="s">
        <v>4</v>
      </c>
      <c r="I1224" s="15">
        <v>-14587</v>
      </c>
      <c r="J1224" s="13" t="s">
        <v>5</v>
      </c>
      <c r="K1224" s="13" t="s">
        <v>6</v>
      </c>
      <c r="L1224" s="15">
        <v>-1224578.6499999999</v>
      </c>
      <c r="M1224" s="15">
        <v>-14587</v>
      </c>
      <c r="N1224" s="16" t="str">
        <f>IF(M1224="","",IF(M1224&lt;0,-M1224&amp;"_"&amp;COUNTIF(M$2:M1224,M1224),M1224&amp;"_"&amp;COUNTIF(M$2:M1224,M1224)))</f>
        <v>14587_1</v>
      </c>
      <c r="O1224" s="17" t="str">
        <f t="shared" si="19"/>
        <v/>
      </c>
      <c r="P1224" s="13" t="s">
        <v>2871</v>
      </c>
      <c r="Q1224" s="13" t="s">
        <v>2857</v>
      </c>
      <c r="R1224" s="13" t="s">
        <v>0</v>
      </c>
      <c r="S1224" s="13" t="s">
        <v>0</v>
      </c>
      <c r="T1224" s="13" t="s">
        <v>9</v>
      </c>
      <c r="U1224" s="13" t="s">
        <v>0</v>
      </c>
      <c r="V1224" s="13" t="s">
        <v>0</v>
      </c>
      <c r="W1224" s="13" t="s">
        <v>0</v>
      </c>
      <c r="X1224" s="13" t="s">
        <v>0</v>
      </c>
      <c r="Y1224" s="13" t="s">
        <v>10</v>
      </c>
      <c r="Z1224" s="13" t="s">
        <v>0</v>
      </c>
      <c r="AA1224" s="14"/>
      <c r="AB1224" s="13" t="s">
        <v>0</v>
      </c>
      <c r="AC1224" s="13" t="s">
        <v>0</v>
      </c>
      <c r="AD1224" s="13" t="s">
        <v>0</v>
      </c>
      <c r="AE1224" s="15">
        <v>0</v>
      </c>
    </row>
    <row r="1225" spans="1:31" ht="14.15" customHeight="1" x14ac:dyDescent="0.25">
      <c r="A1225" s="12" t="s">
        <v>0</v>
      </c>
      <c r="B1225" s="13" t="s">
        <v>1</v>
      </c>
      <c r="C1225" s="13" t="s">
        <v>737</v>
      </c>
      <c r="D1225" s="14">
        <v>44095</v>
      </c>
      <c r="E1225" s="14">
        <v>44095</v>
      </c>
      <c r="F1225" s="14">
        <v>44100</v>
      </c>
      <c r="G1225" s="13" t="s">
        <v>3</v>
      </c>
      <c r="H1225" s="13" t="s">
        <v>4</v>
      </c>
      <c r="I1225" s="15">
        <v>-14577.24</v>
      </c>
      <c r="J1225" s="13" t="s">
        <v>5</v>
      </c>
      <c r="K1225" s="13" t="s">
        <v>6</v>
      </c>
      <c r="L1225" s="15">
        <v>-1223759.3</v>
      </c>
      <c r="M1225" s="15">
        <v>-14577.24</v>
      </c>
      <c r="N1225" s="16" t="str">
        <f>IF(M1225="","",IF(M1225&lt;0,-M1225&amp;"_"&amp;COUNTIF(M$2:M1225,M1225),M1225&amp;"_"&amp;COUNTIF(M$2:M1225,M1225)))</f>
        <v>14577.24_1</v>
      </c>
      <c r="O1225" s="17" t="str">
        <f t="shared" si="19"/>
        <v/>
      </c>
      <c r="P1225" s="13" t="s">
        <v>738</v>
      </c>
      <c r="Q1225" s="13" t="s">
        <v>726</v>
      </c>
      <c r="R1225" s="13" t="s">
        <v>0</v>
      </c>
      <c r="S1225" s="13" t="s">
        <v>0</v>
      </c>
      <c r="T1225" s="13" t="s">
        <v>9</v>
      </c>
      <c r="U1225" s="13" t="s">
        <v>0</v>
      </c>
      <c r="V1225" s="13" t="s">
        <v>0</v>
      </c>
      <c r="W1225" s="13" t="s">
        <v>0</v>
      </c>
      <c r="X1225" s="13" t="s">
        <v>0</v>
      </c>
      <c r="Y1225" s="13" t="s">
        <v>10</v>
      </c>
      <c r="Z1225" s="13" t="s">
        <v>0</v>
      </c>
      <c r="AA1225" s="14"/>
      <c r="AB1225" s="13" t="s">
        <v>0</v>
      </c>
      <c r="AC1225" s="13" t="s">
        <v>0</v>
      </c>
      <c r="AD1225" s="13" t="s">
        <v>0</v>
      </c>
      <c r="AE1225" s="15">
        <v>0</v>
      </c>
    </row>
    <row r="1226" spans="1:31" ht="14.15" customHeight="1" x14ac:dyDescent="0.25">
      <c r="A1226" s="12" t="s">
        <v>0</v>
      </c>
      <c r="B1226" s="13" t="s">
        <v>1</v>
      </c>
      <c r="C1226" s="13" t="s">
        <v>4369</v>
      </c>
      <c r="D1226" s="14">
        <v>44376</v>
      </c>
      <c r="E1226" s="14">
        <v>44376</v>
      </c>
      <c r="F1226" s="14">
        <v>44384</v>
      </c>
      <c r="G1226" s="13" t="s">
        <v>3</v>
      </c>
      <c r="H1226" s="13" t="s">
        <v>4</v>
      </c>
      <c r="I1226" s="15">
        <v>-14556.24</v>
      </c>
      <c r="J1226" s="13" t="s">
        <v>5</v>
      </c>
      <c r="K1226" s="13" t="s">
        <v>6</v>
      </c>
      <c r="L1226" s="15">
        <v>-1221996.3500000001</v>
      </c>
      <c r="M1226" s="15">
        <v>-14556.24</v>
      </c>
      <c r="N1226" s="16" t="str">
        <f>IF(M1226="","",IF(M1226&lt;0,-M1226&amp;"_"&amp;COUNTIF(M$2:M1226,M1226),M1226&amp;"_"&amp;COUNTIF(M$2:M1226,M1226)))</f>
        <v>14556.24_1</v>
      </c>
      <c r="O1226" s="17" t="str">
        <f t="shared" si="19"/>
        <v/>
      </c>
      <c r="P1226" s="13" t="s">
        <v>4370</v>
      </c>
      <c r="Q1226" s="13" t="s">
        <v>4350</v>
      </c>
      <c r="R1226" s="13" t="s">
        <v>0</v>
      </c>
      <c r="S1226" s="13" t="s">
        <v>0</v>
      </c>
      <c r="T1226" s="13" t="s">
        <v>9</v>
      </c>
      <c r="U1226" s="13" t="s">
        <v>0</v>
      </c>
      <c r="V1226" s="13" t="s">
        <v>0</v>
      </c>
      <c r="W1226" s="13" t="s">
        <v>0</v>
      </c>
      <c r="X1226" s="13" t="s">
        <v>0</v>
      </c>
      <c r="Y1226" s="13" t="s">
        <v>10</v>
      </c>
      <c r="Z1226" s="13" t="s">
        <v>0</v>
      </c>
      <c r="AA1226" s="14"/>
      <c r="AB1226" s="13" t="s">
        <v>0</v>
      </c>
      <c r="AC1226" s="13" t="s">
        <v>0</v>
      </c>
      <c r="AD1226" s="13" t="s">
        <v>0</v>
      </c>
      <c r="AE1226" s="15">
        <v>0</v>
      </c>
    </row>
    <row r="1227" spans="1:31" ht="14.15" customHeight="1" x14ac:dyDescent="0.25">
      <c r="A1227" s="12" t="s">
        <v>0</v>
      </c>
      <c r="B1227" s="13" t="s">
        <v>1</v>
      </c>
      <c r="C1227" s="13" t="s">
        <v>4069</v>
      </c>
      <c r="D1227" s="14">
        <v>44360</v>
      </c>
      <c r="E1227" s="14">
        <v>44360</v>
      </c>
      <c r="F1227" s="14">
        <v>44384</v>
      </c>
      <c r="G1227" s="13" t="s">
        <v>3</v>
      </c>
      <c r="H1227" s="13" t="s">
        <v>4</v>
      </c>
      <c r="I1227" s="15">
        <v>-14542.59</v>
      </c>
      <c r="J1227" s="13" t="s">
        <v>5</v>
      </c>
      <c r="K1227" s="13" t="s">
        <v>6</v>
      </c>
      <c r="L1227" s="15">
        <v>-1220850.43</v>
      </c>
      <c r="M1227" s="15">
        <v>-14542.59</v>
      </c>
      <c r="N1227" s="16" t="str">
        <f>IF(M1227="","",IF(M1227&lt;0,-M1227&amp;"_"&amp;COUNTIF(M$2:M1227,M1227),M1227&amp;"_"&amp;COUNTIF(M$2:M1227,M1227)))</f>
        <v>14542.59_1</v>
      </c>
      <c r="O1227" s="17" t="str">
        <f t="shared" si="19"/>
        <v/>
      </c>
      <c r="P1227" s="13" t="s">
        <v>4070</v>
      </c>
      <c r="Q1227" s="13" t="s">
        <v>4062</v>
      </c>
      <c r="R1227" s="13" t="s">
        <v>0</v>
      </c>
      <c r="S1227" s="13" t="s">
        <v>0</v>
      </c>
      <c r="T1227" s="13" t="s">
        <v>9</v>
      </c>
      <c r="U1227" s="13" t="s">
        <v>0</v>
      </c>
      <c r="V1227" s="13" t="s">
        <v>0</v>
      </c>
      <c r="W1227" s="13" t="s">
        <v>0</v>
      </c>
      <c r="X1227" s="13" t="s">
        <v>0</v>
      </c>
      <c r="Y1227" s="13" t="s">
        <v>10</v>
      </c>
      <c r="Z1227" s="13" t="s">
        <v>0</v>
      </c>
      <c r="AA1227" s="14"/>
      <c r="AB1227" s="13" t="s">
        <v>0</v>
      </c>
      <c r="AC1227" s="13" t="s">
        <v>0</v>
      </c>
      <c r="AD1227" s="13" t="s">
        <v>0</v>
      </c>
      <c r="AE1227" s="15">
        <v>0</v>
      </c>
    </row>
    <row r="1228" spans="1:31" ht="14.15" customHeight="1" x14ac:dyDescent="0.25">
      <c r="A1228" s="12" t="s">
        <v>0</v>
      </c>
      <c r="B1228" s="13" t="s">
        <v>1</v>
      </c>
      <c r="C1228" s="13" t="s">
        <v>2976</v>
      </c>
      <c r="D1228" s="14">
        <v>44279</v>
      </c>
      <c r="E1228" s="14">
        <v>44279</v>
      </c>
      <c r="F1228" s="14">
        <v>44286</v>
      </c>
      <c r="G1228" s="13" t="s">
        <v>3</v>
      </c>
      <c r="H1228" s="13" t="s">
        <v>4</v>
      </c>
      <c r="I1228" s="15">
        <v>-14536.88</v>
      </c>
      <c r="J1228" s="13" t="s">
        <v>5</v>
      </c>
      <c r="K1228" s="13" t="s">
        <v>6</v>
      </c>
      <c r="L1228" s="15">
        <v>-1220371.08</v>
      </c>
      <c r="M1228" s="15">
        <v>-14536.88</v>
      </c>
      <c r="N1228" s="16" t="str">
        <f>IF(M1228="","",IF(M1228&lt;0,-M1228&amp;"_"&amp;COUNTIF(M$2:M1228,M1228),M1228&amp;"_"&amp;COUNTIF(M$2:M1228,M1228)))</f>
        <v>14536.88_1</v>
      </c>
      <c r="O1228" s="17" t="str">
        <f t="shared" si="19"/>
        <v/>
      </c>
      <c r="P1228" s="13" t="s">
        <v>2977</v>
      </c>
      <c r="Q1228" s="13" t="s">
        <v>2978</v>
      </c>
      <c r="R1228" s="13" t="s">
        <v>0</v>
      </c>
      <c r="S1228" s="13" t="s">
        <v>0</v>
      </c>
      <c r="T1228" s="13" t="s">
        <v>9</v>
      </c>
      <c r="U1228" s="13" t="s">
        <v>0</v>
      </c>
      <c r="V1228" s="13" t="s">
        <v>0</v>
      </c>
      <c r="W1228" s="13" t="s">
        <v>0</v>
      </c>
      <c r="X1228" s="13" t="s">
        <v>0</v>
      </c>
      <c r="Y1228" s="13" t="s">
        <v>10</v>
      </c>
      <c r="Z1228" s="13" t="s">
        <v>0</v>
      </c>
      <c r="AA1228" s="14"/>
      <c r="AB1228" s="13" t="s">
        <v>0</v>
      </c>
      <c r="AC1228" s="13" t="s">
        <v>0</v>
      </c>
      <c r="AD1228" s="13" t="s">
        <v>0</v>
      </c>
      <c r="AE1228" s="15">
        <v>0</v>
      </c>
    </row>
    <row r="1229" spans="1:31" ht="14.15" customHeight="1" x14ac:dyDescent="0.25">
      <c r="A1229" s="12" t="s">
        <v>0</v>
      </c>
      <c r="B1229" s="13" t="s">
        <v>1</v>
      </c>
      <c r="C1229" s="13" t="s">
        <v>2539</v>
      </c>
      <c r="D1229" s="14">
        <v>44238</v>
      </c>
      <c r="E1229" s="14">
        <v>44238</v>
      </c>
      <c r="F1229" s="14">
        <v>44243</v>
      </c>
      <c r="G1229" s="13" t="s">
        <v>3</v>
      </c>
      <c r="H1229" s="13" t="s">
        <v>4</v>
      </c>
      <c r="I1229" s="15">
        <v>-14530.41</v>
      </c>
      <c r="J1229" s="13" t="s">
        <v>5</v>
      </c>
      <c r="K1229" s="13" t="s">
        <v>6</v>
      </c>
      <c r="L1229" s="15">
        <v>-1219827.92</v>
      </c>
      <c r="M1229" s="15">
        <v>-14530.41</v>
      </c>
      <c r="N1229" s="16" t="str">
        <f>IF(M1229="","",IF(M1229&lt;0,-M1229&amp;"_"&amp;COUNTIF(M$2:M1229,M1229),M1229&amp;"_"&amp;COUNTIF(M$2:M1229,M1229)))</f>
        <v>14530.41_1</v>
      </c>
      <c r="O1229" s="17" t="str">
        <f t="shared" si="19"/>
        <v/>
      </c>
      <c r="P1229" s="13" t="s">
        <v>2540</v>
      </c>
      <c r="Q1229" s="13" t="s">
        <v>2528</v>
      </c>
      <c r="R1229" s="13" t="s">
        <v>0</v>
      </c>
      <c r="S1229" s="13" t="s">
        <v>0</v>
      </c>
      <c r="T1229" s="13" t="s">
        <v>9</v>
      </c>
      <c r="U1229" s="13" t="s">
        <v>0</v>
      </c>
      <c r="V1229" s="13" t="s">
        <v>0</v>
      </c>
      <c r="W1229" s="13" t="s">
        <v>0</v>
      </c>
      <c r="X1229" s="13" t="s">
        <v>0</v>
      </c>
      <c r="Y1229" s="13" t="s">
        <v>10</v>
      </c>
      <c r="Z1229" s="13" t="s">
        <v>0</v>
      </c>
      <c r="AA1229" s="14"/>
      <c r="AB1229" s="13" t="s">
        <v>0</v>
      </c>
      <c r="AC1229" s="13" t="s">
        <v>0</v>
      </c>
      <c r="AD1229" s="13" t="s">
        <v>0</v>
      </c>
      <c r="AE1229" s="15">
        <v>0</v>
      </c>
    </row>
    <row r="1230" spans="1:31" ht="14.15" customHeight="1" x14ac:dyDescent="0.25">
      <c r="A1230" s="12" t="s">
        <v>0</v>
      </c>
      <c r="B1230" s="13" t="s">
        <v>1</v>
      </c>
      <c r="C1230" s="13" t="s">
        <v>3301</v>
      </c>
      <c r="D1230" s="14">
        <v>44314</v>
      </c>
      <c r="E1230" s="14">
        <v>44314</v>
      </c>
      <c r="F1230" s="14">
        <v>44322</v>
      </c>
      <c r="G1230" s="13" t="s">
        <v>3</v>
      </c>
      <c r="H1230" s="13" t="s">
        <v>4</v>
      </c>
      <c r="I1230" s="15">
        <v>-14525.25</v>
      </c>
      <c r="J1230" s="13" t="s">
        <v>5</v>
      </c>
      <c r="K1230" s="13" t="s">
        <v>6</v>
      </c>
      <c r="L1230" s="15">
        <v>-1219394.74</v>
      </c>
      <c r="M1230" s="15">
        <v>-14525.25</v>
      </c>
      <c r="N1230" s="16" t="str">
        <f>IF(M1230="","",IF(M1230&lt;0,-M1230&amp;"_"&amp;COUNTIF(M$2:M1230,M1230),M1230&amp;"_"&amp;COUNTIF(M$2:M1230,M1230)))</f>
        <v>14525.25_1</v>
      </c>
      <c r="O1230" s="17" t="str">
        <f t="shared" si="19"/>
        <v/>
      </c>
      <c r="P1230" s="13" t="s">
        <v>3302</v>
      </c>
      <c r="Q1230" s="13" t="s">
        <v>3284</v>
      </c>
      <c r="R1230" s="13" t="s">
        <v>0</v>
      </c>
      <c r="S1230" s="13" t="s">
        <v>0</v>
      </c>
      <c r="T1230" s="13" t="s">
        <v>9</v>
      </c>
      <c r="U1230" s="13" t="s">
        <v>0</v>
      </c>
      <c r="V1230" s="13" t="s">
        <v>0</v>
      </c>
      <c r="W1230" s="13" t="s">
        <v>0</v>
      </c>
      <c r="X1230" s="13" t="s">
        <v>0</v>
      </c>
      <c r="Y1230" s="13" t="s">
        <v>10</v>
      </c>
      <c r="Z1230" s="13" t="s">
        <v>0</v>
      </c>
      <c r="AA1230" s="14"/>
      <c r="AB1230" s="13" t="s">
        <v>0</v>
      </c>
      <c r="AC1230" s="13" t="s">
        <v>0</v>
      </c>
      <c r="AD1230" s="13" t="s">
        <v>0</v>
      </c>
      <c r="AE1230" s="15">
        <v>0</v>
      </c>
    </row>
    <row r="1231" spans="1:31" ht="14.15" customHeight="1" x14ac:dyDescent="0.25">
      <c r="A1231" s="12" t="s">
        <v>0</v>
      </c>
      <c r="B1231" s="13" t="s">
        <v>1</v>
      </c>
      <c r="C1231" s="13" t="s">
        <v>124</v>
      </c>
      <c r="D1231" s="14">
        <v>44027</v>
      </c>
      <c r="E1231" s="14">
        <v>44027</v>
      </c>
      <c r="F1231" s="14">
        <v>44033</v>
      </c>
      <c r="G1231" s="13" t="s">
        <v>3</v>
      </c>
      <c r="H1231" s="13" t="s">
        <v>4</v>
      </c>
      <c r="I1231" s="15">
        <v>-14514.24</v>
      </c>
      <c r="J1231" s="13" t="s">
        <v>5</v>
      </c>
      <c r="K1231" s="13" t="s">
        <v>6</v>
      </c>
      <c r="L1231" s="15">
        <v>-1218470.45</v>
      </c>
      <c r="M1231" s="15">
        <v>-14514.24</v>
      </c>
      <c r="N1231" s="16" t="str">
        <f>IF(M1231="","",IF(M1231&lt;0,-M1231&amp;"_"&amp;COUNTIF(M$2:M1231,M1231),M1231&amp;"_"&amp;COUNTIF(M$2:M1231,M1231)))</f>
        <v>14514.24_1</v>
      </c>
      <c r="O1231" s="17" t="str">
        <f t="shared" si="19"/>
        <v/>
      </c>
      <c r="P1231" s="13" t="s">
        <v>125</v>
      </c>
      <c r="Q1231" s="13" t="s">
        <v>126</v>
      </c>
      <c r="R1231" s="13" t="s">
        <v>0</v>
      </c>
      <c r="S1231" s="13" t="s">
        <v>0</v>
      </c>
      <c r="T1231" s="13" t="s">
        <v>9</v>
      </c>
      <c r="U1231" s="13" t="s">
        <v>0</v>
      </c>
      <c r="V1231" s="13" t="s">
        <v>0</v>
      </c>
      <c r="W1231" s="13" t="s">
        <v>0</v>
      </c>
      <c r="X1231" s="13" t="s">
        <v>0</v>
      </c>
      <c r="Y1231" s="13" t="s">
        <v>10</v>
      </c>
      <c r="Z1231" s="13" t="s">
        <v>0</v>
      </c>
      <c r="AA1231" s="14"/>
      <c r="AB1231" s="13" t="s">
        <v>0</v>
      </c>
      <c r="AC1231" s="13" t="s">
        <v>0</v>
      </c>
      <c r="AD1231" s="13" t="s">
        <v>0</v>
      </c>
      <c r="AE1231" s="15">
        <v>0</v>
      </c>
    </row>
    <row r="1232" spans="1:31" ht="14.15" customHeight="1" x14ac:dyDescent="0.25">
      <c r="A1232" s="12" t="s">
        <v>0</v>
      </c>
      <c r="B1232" s="13" t="s">
        <v>1</v>
      </c>
      <c r="C1232" s="13" t="s">
        <v>184</v>
      </c>
      <c r="D1232" s="14">
        <v>44034</v>
      </c>
      <c r="E1232" s="14">
        <v>44034</v>
      </c>
      <c r="F1232" s="14">
        <v>44040</v>
      </c>
      <c r="G1232" s="13" t="s">
        <v>3</v>
      </c>
      <c r="H1232" s="13" t="s">
        <v>4</v>
      </c>
      <c r="I1232" s="15">
        <v>-14461.42</v>
      </c>
      <c r="J1232" s="13" t="s">
        <v>5</v>
      </c>
      <c r="K1232" s="13" t="s">
        <v>6</v>
      </c>
      <c r="L1232" s="15">
        <v>-1214036.21</v>
      </c>
      <c r="M1232" s="15">
        <v>-14461.42</v>
      </c>
      <c r="N1232" s="16" t="str">
        <f>IF(M1232="","",IF(M1232&lt;0,-M1232&amp;"_"&amp;COUNTIF(M$2:M1232,M1232),M1232&amp;"_"&amp;COUNTIF(M$2:M1232,M1232)))</f>
        <v>14461.42_1</v>
      </c>
      <c r="O1232" s="17" t="str">
        <f t="shared" si="19"/>
        <v/>
      </c>
      <c r="P1232" s="13" t="s">
        <v>185</v>
      </c>
      <c r="Q1232" s="13" t="s">
        <v>175</v>
      </c>
      <c r="R1232" s="13" t="s">
        <v>0</v>
      </c>
      <c r="S1232" s="13" t="s">
        <v>0</v>
      </c>
      <c r="T1232" s="13" t="s">
        <v>9</v>
      </c>
      <c r="U1232" s="13" t="s">
        <v>0</v>
      </c>
      <c r="V1232" s="13" t="s">
        <v>0</v>
      </c>
      <c r="W1232" s="13" t="s">
        <v>0</v>
      </c>
      <c r="X1232" s="13" t="s">
        <v>0</v>
      </c>
      <c r="Y1232" s="13" t="s">
        <v>10</v>
      </c>
      <c r="Z1232" s="13" t="s">
        <v>0</v>
      </c>
      <c r="AA1232" s="14"/>
      <c r="AB1232" s="13" t="s">
        <v>0</v>
      </c>
      <c r="AC1232" s="13" t="s">
        <v>0</v>
      </c>
      <c r="AD1232" s="13" t="s">
        <v>0</v>
      </c>
      <c r="AE1232" s="15">
        <v>0</v>
      </c>
    </row>
    <row r="1233" spans="1:31" ht="14.15" customHeight="1" x14ac:dyDescent="0.25">
      <c r="A1233" s="12" t="s">
        <v>0</v>
      </c>
      <c r="B1233" s="13" t="s">
        <v>1</v>
      </c>
      <c r="C1233" s="13" t="s">
        <v>3027</v>
      </c>
      <c r="D1233" s="14">
        <v>44281</v>
      </c>
      <c r="E1233" s="14">
        <v>44281</v>
      </c>
      <c r="F1233" s="14">
        <v>44290</v>
      </c>
      <c r="G1233" s="13" t="s">
        <v>3</v>
      </c>
      <c r="H1233" s="13" t="s">
        <v>4</v>
      </c>
      <c r="I1233" s="15">
        <v>-14424.48</v>
      </c>
      <c r="J1233" s="13" t="s">
        <v>5</v>
      </c>
      <c r="K1233" s="13" t="s">
        <v>6</v>
      </c>
      <c r="L1233" s="15">
        <v>-1210935.1000000001</v>
      </c>
      <c r="M1233" s="15">
        <v>-14424.48</v>
      </c>
      <c r="N1233" s="16" t="str">
        <f>IF(M1233="","",IF(M1233&lt;0,-M1233&amp;"_"&amp;COUNTIF(M$2:M1233,M1233),M1233&amp;"_"&amp;COUNTIF(M$2:M1233,M1233)))</f>
        <v>14424.48_1</v>
      </c>
      <c r="O1233" s="17" t="str">
        <f t="shared" si="19"/>
        <v/>
      </c>
      <c r="P1233" s="13" t="s">
        <v>3028</v>
      </c>
      <c r="Q1233" s="13" t="s">
        <v>3014</v>
      </c>
      <c r="R1233" s="13" t="s">
        <v>0</v>
      </c>
      <c r="S1233" s="13" t="s">
        <v>0</v>
      </c>
      <c r="T1233" s="13" t="s">
        <v>9</v>
      </c>
      <c r="U1233" s="13" t="s">
        <v>0</v>
      </c>
      <c r="V1233" s="13" t="s">
        <v>0</v>
      </c>
      <c r="W1233" s="13" t="s">
        <v>0</v>
      </c>
      <c r="X1233" s="13" t="s">
        <v>0</v>
      </c>
      <c r="Y1233" s="13" t="s">
        <v>10</v>
      </c>
      <c r="Z1233" s="13" t="s">
        <v>0</v>
      </c>
      <c r="AA1233" s="14"/>
      <c r="AB1233" s="13" t="s">
        <v>0</v>
      </c>
      <c r="AC1233" s="13" t="s">
        <v>0</v>
      </c>
      <c r="AD1233" s="13" t="s">
        <v>0</v>
      </c>
      <c r="AE1233" s="15">
        <v>0</v>
      </c>
    </row>
    <row r="1234" spans="1:31" ht="14.15" customHeight="1" x14ac:dyDescent="0.25">
      <c r="A1234" s="12" t="s">
        <v>0</v>
      </c>
      <c r="B1234" s="13" t="s">
        <v>1</v>
      </c>
      <c r="C1234" s="13" t="s">
        <v>724</v>
      </c>
      <c r="D1234" s="14">
        <v>44095</v>
      </c>
      <c r="E1234" s="14">
        <v>44095</v>
      </c>
      <c r="F1234" s="14">
        <v>44098</v>
      </c>
      <c r="G1234" s="13" t="s">
        <v>3</v>
      </c>
      <c r="H1234" s="13" t="s">
        <v>4</v>
      </c>
      <c r="I1234" s="15">
        <v>-14411.33</v>
      </c>
      <c r="J1234" s="13" t="s">
        <v>5</v>
      </c>
      <c r="K1234" s="13" t="s">
        <v>6</v>
      </c>
      <c r="L1234" s="15">
        <v>-1209831.1499999999</v>
      </c>
      <c r="M1234" s="15">
        <v>-14411.33</v>
      </c>
      <c r="N1234" s="16" t="str">
        <f>IF(M1234="","",IF(M1234&lt;0,-M1234&amp;"_"&amp;COUNTIF(M$2:M1234,M1234),M1234&amp;"_"&amp;COUNTIF(M$2:M1234,M1234)))</f>
        <v>14411.33_1</v>
      </c>
      <c r="O1234" s="17" t="str">
        <f t="shared" si="19"/>
        <v/>
      </c>
      <c r="P1234" s="13" t="s">
        <v>725</v>
      </c>
      <c r="Q1234" s="13" t="s">
        <v>726</v>
      </c>
      <c r="R1234" s="13" t="s">
        <v>0</v>
      </c>
      <c r="S1234" s="13" t="s">
        <v>0</v>
      </c>
      <c r="T1234" s="13" t="s">
        <v>9</v>
      </c>
      <c r="U1234" s="13" t="s">
        <v>0</v>
      </c>
      <c r="V1234" s="13" t="s">
        <v>0</v>
      </c>
      <c r="W1234" s="13" t="s">
        <v>0</v>
      </c>
      <c r="X1234" s="13" t="s">
        <v>0</v>
      </c>
      <c r="Y1234" s="13" t="s">
        <v>10</v>
      </c>
      <c r="Z1234" s="13" t="s">
        <v>0</v>
      </c>
      <c r="AA1234" s="14"/>
      <c r="AB1234" s="13" t="s">
        <v>0</v>
      </c>
      <c r="AC1234" s="13" t="s">
        <v>0</v>
      </c>
      <c r="AD1234" s="13" t="s">
        <v>0</v>
      </c>
      <c r="AE1234" s="15">
        <v>0</v>
      </c>
    </row>
    <row r="1235" spans="1:31" ht="14.15" customHeight="1" x14ac:dyDescent="0.25">
      <c r="A1235" s="12" t="s">
        <v>0</v>
      </c>
      <c r="B1235" s="13" t="s">
        <v>1</v>
      </c>
      <c r="C1235" s="13" t="s">
        <v>1773</v>
      </c>
      <c r="D1235" s="14">
        <v>44181</v>
      </c>
      <c r="E1235" s="14">
        <v>44181</v>
      </c>
      <c r="F1235" s="14">
        <v>44187</v>
      </c>
      <c r="G1235" s="13" t="s">
        <v>3</v>
      </c>
      <c r="H1235" s="13" t="s">
        <v>4</v>
      </c>
      <c r="I1235" s="15">
        <v>-14407.75</v>
      </c>
      <c r="J1235" s="13" t="s">
        <v>5</v>
      </c>
      <c r="K1235" s="13" t="s">
        <v>6</v>
      </c>
      <c r="L1235" s="15">
        <v>-1209530.6100000001</v>
      </c>
      <c r="M1235" s="15">
        <v>-14407.75</v>
      </c>
      <c r="N1235" s="16" t="str">
        <f>IF(M1235="","",IF(M1235&lt;0,-M1235&amp;"_"&amp;COUNTIF(M$2:M1235,M1235),M1235&amp;"_"&amp;COUNTIF(M$2:M1235,M1235)))</f>
        <v>14407.75_1</v>
      </c>
      <c r="O1235" s="17" t="str">
        <f t="shared" si="19"/>
        <v/>
      </c>
      <c r="P1235" s="13" t="s">
        <v>1774</v>
      </c>
      <c r="Q1235" s="13" t="s">
        <v>1766</v>
      </c>
      <c r="R1235" s="13" t="s">
        <v>0</v>
      </c>
      <c r="S1235" s="13" t="s">
        <v>0</v>
      </c>
      <c r="T1235" s="13" t="s">
        <v>9</v>
      </c>
      <c r="U1235" s="13" t="s">
        <v>0</v>
      </c>
      <c r="V1235" s="13" t="s">
        <v>0</v>
      </c>
      <c r="W1235" s="13" t="s">
        <v>0</v>
      </c>
      <c r="X1235" s="13" t="s">
        <v>0</v>
      </c>
      <c r="Y1235" s="13" t="s">
        <v>10</v>
      </c>
      <c r="Z1235" s="13" t="s">
        <v>0</v>
      </c>
      <c r="AA1235" s="14"/>
      <c r="AB1235" s="13" t="s">
        <v>0</v>
      </c>
      <c r="AC1235" s="13" t="s">
        <v>0</v>
      </c>
      <c r="AD1235" s="13" t="s">
        <v>0</v>
      </c>
      <c r="AE1235" s="15">
        <v>0</v>
      </c>
    </row>
    <row r="1236" spans="1:31" ht="14.15" customHeight="1" x14ac:dyDescent="0.25">
      <c r="A1236" s="12" t="s">
        <v>0</v>
      </c>
      <c r="B1236" s="13" t="s">
        <v>1</v>
      </c>
      <c r="C1236" s="13" t="s">
        <v>1867</v>
      </c>
      <c r="D1236" s="14">
        <v>44188</v>
      </c>
      <c r="E1236" s="14">
        <v>44188</v>
      </c>
      <c r="F1236" s="14">
        <v>44194</v>
      </c>
      <c r="G1236" s="13" t="s">
        <v>3</v>
      </c>
      <c r="H1236" s="13" t="s">
        <v>4</v>
      </c>
      <c r="I1236" s="15">
        <v>-14393.88</v>
      </c>
      <c r="J1236" s="13" t="s">
        <v>5</v>
      </c>
      <c r="K1236" s="13" t="s">
        <v>6</v>
      </c>
      <c r="L1236" s="15">
        <v>-1208366.23</v>
      </c>
      <c r="M1236" s="15">
        <v>-14393.88</v>
      </c>
      <c r="N1236" s="16" t="str">
        <f>IF(M1236="","",IF(M1236&lt;0,-M1236&amp;"_"&amp;COUNTIF(M$2:M1236,M1236),M1236&amp;"_"&amp;COUNTIF(M$2:M1236,M1236)))</f>
        <v>14393.88_1</v>
      </c>
      <c r="O1236" s="17" t="str">
        <f t="shared" si="19"/>
        <v/>
      </c>
      <c r="P1236" s="13" t="s">
        <v>1868</v>
      </c>
      <c r="Q1236" s="13" t="s">
        <v>1869</v>
      </c>
      <c r="R1236" s="13" t="s">
        <v>0</v>
      </c>
      <c r="S1236" s="13" t="s">
        <v>0</v>
      </c>
      <c r="T1236" s="13" t="s">
        <v>9</v>
      </c>
      <c r="U1236" s="13" t="s">
        <v>0</v>
      </c>
      <c r="V1236" s="13" t="s">
        <v>0</v>
      </c>
      <c r="W1236" s="13" t="s">
        <v>0</v>
      </c>
      <c r="X1236" s="13" t="s">
        <v>0</v>
      </c>
      <c r="Y1236" s="13" t="s">
        <v>10</v>
      </c>
      <c r="Z1236" s="13" t="s">
        <v>0</v>
      </c>
      <c r="AA1236" s="14"/>
      <c r="AB1236" s="13" t="s">
        <v>0</v>
      </c>
      <c r="AC1236" s="13" t="s">
        <v>0</v>
      </c>
      <c r="AD1236" s="13" t="s">
        <v>0</v>
      </c>
      <c r="AE1236" s="15">
        <v>0</v>
      </c>
    </row>
    <row r="1237" spans="1:31" ht="14.15" customHeight="1" x14ac:dyDescent="0.25">
      <c r="A1237" s="12" t="s">
        <v>0</v>
      </c>
      <c r="B1237" s="13" t="s">
        <v>1</v>
      </c>
      <c r="C1237" s="13" t="s">
        <v>2925</v>
      </c>
      <c r="D1237" s="14">
        <v>44276</v>
      </c>
      <c r="E1237" s="14">
        <v>44276</v>
      </c>
      <c r="F1237" s="14">
        <v>44280</v>
      </c>
      <c r="G1237" s="13" t="s">
        <v>3</v>
      </c>
      <c r="H1237" s="13" t="s">
        <v>4</v>
      </c>
      <c r="I1237" s="15">
        <v>-14378.36</v>
      </c>
      <c r="J1237" s="13" t="s">
        <v>5</v>
      </c>
      <c r="K1237" s="13" t="s">
        <v>6</v>
      </c>
      <c r="L1237" s="15">
        <v>-1207063.32</v>
      </c>
      <c r="M1237" s="15">
        <v>-14378.36</v>
      </c>
      <c r="N1237" s="16" t="str">
        <f>IF(M1237="","",IF(M1237&lt;0,-M1237&amp;"_"&amp;COUNTIF(M$2:M1237,M1237),M1237&amp;"_"&amp;COUNTIF(M$2:M1237,M1237)))</f>
        <v>14378.36_1</v>
      </c>
      <c r="O1237" s="17" t="str">
        <f t="shared" si="19"/>
        <v/>
      </c>
      <c r="P1237" s="13" t="s">
        <v>2926</v>
      </c>
      <c r="Q1237" s="13" t="s">
        <v>2922</v>
      </c>
      <c r="R1237" s="13" t="s">
        <v>0</v>
      </c>
      <c r="S1237" s="13" t="s">
        <v>0</v>
      </c>
      <c r="T1237" s="13" t="s">
        <v>9</v>
      </c>
      <c r="U1237" s="13" t="s">
        <v>0</v>
      </c>
      <c r="V1237" s="13" t="s">
        <v>0</v>
      </c>
      <c r="W1237" s="13" t="s">
        <v>0</v>
      </c>
      <c r="X1237" s="13" t="s">
        <v>0</v>
      </c>
      <c r="Y1237" s="13" t="s">
        <v>10</v>
      </c>
      <c r="Z1237" s="13" t="s">
        <v>0</v>
      </c>
      <c r="AA1237" s="14"/>
      <c r="AB1237" s="13" t="s">
        <v>0</v>
      </c>
      <c r="AC1237" s="13" t="s">
        <v>0</v>
      </c>
      <c r="AD1237" s="13" t="s">
        <v>0</v>
      </c>
      <c r="AE1237" s="15">
        <v>0</v>
      </c>
    </row>
    <row r="1238" spans="1:31" ht="14.15" customHeight="1" x14ac:dyDescent="0.25">
      <c r="A1238" s="12" t="s">
        <v>0</v>
      </c>
      <c r="B1238" s="13" t="s">
        <v>1</v>
      </c>
      <c r="C1238" s="13" t="s">
        <v>2990</v>
      </c>
      <c r="D1238" s="14">
        <v>44280</v>
      </c>
      <c r="E1238" s="14">
        <v>44280</v>
      </c>
      <c r="F1238" s="14">
        <v>44286</v>
      </c>
      <c r="G1238" s="13" t="s">
        <v>3</v>
      </c>
      <c r="H1238" s="13" t="s">
        <v>4</v>
      </c>
      <c r="I1238" s="15">
        <v>-14368.53</v>
      </c>
      <c r="J1238" s="13" t="s">
        <v>5</v>
      </c>
      <c r="K1238" s="13" t="s">
        <v>6</v>
      </c>
      <c r="L1238" s="15">
        <v>-1206238.0900000001</v>
      </c>
      <c r="M1238" s="15">
        <v>-14368.53</v>
      </c>
      <c r="N1238" s="16" t="str">
        <f>IF(M1238="","",IF(M1238&lt;0,-M1238&amp;"_"&amp;COUNTIF(M$2:M1238,M1238),M1238&amp;"_"&amp;COUNTIF(M$2:M1238,M1238)))</f>
        <v>14368.53_1</v>
      </c>
      <c r="O1238" s="17" t="str">
        <f t="shared" si="19"/>
        <v/>
      </c>
      <c r="P1238" s="13" t="s">
        <v>2991</v>
      </c>
      <c r="Q1238" s="13" t="s">
        <v>2989</v>
      </c>
      <c r="R1238" s="13" t="s">
        <v>0</v>
      </c>
      <c r="S1238" s="13" t="s">
        <v>0</v>
      </c>
      <c r="T1238" s="13" t="s">
        <v>9</v>
      </c>
      <c r="U1238" s="13" t="s">
        <v>0</v>
      </c>
      <c r="V1238" s="13" t="s">
        <v>0</v>
      </c>
      <c r="W1238" s="13" t="s">
        <v>0</v>
      </c>
      <c r="X1238" s="13" t="s">
        <v>0</v>
      </c>
      <c r="Y1238" s="13" t="s">
        <v>10</v>
      </c>
      <c r="Z1238" s="13" t="s">
        <v>0</v>
      </c>
      <c r="AA1238" s="14"/>
      <c r="AB1238" s="13" t="s">
        <v>0</v>
      </c>
      <c r="AC1238" s="13" t="s">
        <v>0</v>
      </c>
      <c r="AD1238" s="13" t="s">
        <v>0</v>
      </c>
      <c r="AE1238" s="15">
        <v>0</v>
      </c>
    </row>
    <row r="1239" spans="1:31" ht="14.15" customHeight="1" x14ac:dyDescent="0.25">
      <c r="A1239" s="12" t="s">
        <v>0</v>
      </c>
      <c r="B1239" s="13" t="s">
        <v>1</v>
      </c>
      <c r="C1239" s="13" t="s">
        <v>1453</v>
      </c>
      <c r="D1239" s="14">
        <v>44159</v>
      </c>
      <c r="E1239" s="14">
        <v>44159</v>
      </c>
      <c r="F1239" s="14">
        <v>44163</v>
      </c>
      <c r="G1239" s="13" t="s">
        <v>3</v>
      </c>
      <c r="H1239" s="13" t="s">
        <v>4</v>
      </c>
      <c r="I1239" s="15">
        <v>-14351.6</v>
      </c>
      <c r="J1239" s="13" t="s">
        <v>5</v>
      </c>
      <c r="K1239" s="13" t="s">
        <v>6</v>
      </c>
      <c r="L1239" s="15">
        <v>-1204816.82</v>
      </c>
      <c r="M1239" s="15">
        <v>-14351.6</v>
      </c>
      <c r="N1239" s="16" t="str">
        <f>IF(M1239="","",IF(M1239&lt;0,-M1239&amp;"_"&amp;COUNTIF(M$2:M1239,M1239),M1239&amp;"_"&amp;COUNTIF(M$2:M1239,M1239)))</f>
        <v>14351.6_1</v>
      </c>
      <c r="O1239" s="17" t="str">
        <f t="shared" si="19"/>
        <v/>
      </c>
      <c r="P1239" s="13" t="s">
        <v>1454</v>
      </c>
      <c r="Q1239" s="13" t="s">
        <v>1455</v>
      </c>
      <c r="R1239" s="13" t="s">
        <v>0</v>
      </c>
      <c r="S1239" s="13" t="s">
        <v>0</v>
      </c>
      <c r="T1239" s="13" t="s">
        <v>9</v>
      </c>
      <c r="U1239" s="13" t="s">
        <v>0</v>
      </c>
      <c r="V1239" s="13" t="s">
        <v>0</v>
      </c>
      <c r="W1239" s="13" t="s">
        <v>0</v>
      </c>
      <c r="X1239" s="13" t="s">
        <v>0</v>
      </c>
      <c r="Y1239" s="13" t="s">
        <v>10</v>
      </c>
      <c r="Z1239" s="13" t="s">
        <v>0</v>
      </c>
      <c r="AA1239" s="14"/>
      <c r="AB1239" s="13" t="s">
        <v>0</v>
      </c>
      <c r="AC1239" s="13" t="s">
        <v>0</v>
      </c>
      <c r="AD1239" s="13" t="s">
        <v>0</v>
      </c>
      <c r="AE1239" s="15">
        <v>0</v>
      </c>
    </row>
    <row r="1240" spans="1:31" ht="14.15" customHeight="1" x14ac:dyDescent="0.25">
      <c r="A1240" s="12" t="s">
        <v>0</v>
      </c>
      <c r="B1240" s="13" t="s">
        <v>1</v>
      </c>
      <c r="C1240" s="13" t="s">
        <v>3577</v>
      </c>
      <c r="D1240" s="14">
        <v>44325</v>
      </c>
      <c r="E1240" s="14">
        <v>44325</v>
      </c>
      <c r="F1240" s="14">
        <v>44333</v>
      </c>
      <c r="G1240" s="13" t="s">
        <v>3</v>
      </c>
      <c r="H1240" s="13" t="s">
        <v>4</v>
      </c>
      <c r="I1240" s="15">
        <v>-14317.26</v>
      </c>
      <c r="J1240" s="13" t="s">
        <v>5</v>
      </c>
      <c r="K1240" s="13" t="s">
        <v>6</v>
      </c>
      <c r="L1240" s="15">
        <v>-1201933.98</v>
      </c>
      <c r="M1240" s="15">
        <v>-14317.26</v>
      </c>
      <c r="N1240" s="16" t="str">
        <f>IF(M1240="","",IF(M1240&lt;0,-M1240&amp;"_"&amp;COUNTIF(M$2:M1240,M1240),M1240&amp;"_"&amp;COUNTIF(M$2:M1240,M1240)))</f>
        <v>14317.26_1</v>
      </c>
      <c r="O1240" s="17" t="str">
        <f t="shared" si="19"/>
        <v/>
      </c>
      <c r="P1240" s="13" t="s">
        <v>3578</v>
      </c>
      <c r="Q1240" s="13" t="s">
        <v>3557</v>
      </c>
      <c r="R1240" s="13" t="s">
        <v>0</v>
      </c>
      <c r="S1240" s="13" t="s">
        <v>0</v>
      </c>
      <c r="T1240" s="13" t="s">
        <v>9</v>
      </c>
      <c r="U1240" s="13" t="s">
        <v>0</v>
      </c>
      <c r="V1240" s="13" t="s">
        <v>0</v>
      </c>
      <c r="W1240" s="13" t="s">
        <v>0</v>
      </c>
      <c r="X1240" s="13" t="s">
        <v>0</v>
      </c>
      <c r="Y1240" s="13" t="s">
        <v>10</v>
      </c>
      <c r="Z1240" s="13" t="s">
        <v>0</v>
      </c>
      <c r="AA1240" s="14"/>
      <c r="AB1240" s="13" t="s">
        <v>0</v>
      </c>
      <c r="AC1240" s="13" t="s">
        <v>0</v>
      </c>
      <c r="AD1240" s="13" t="s">
        <v>0</v>
      </c>
      <c r="AE1240" s="15">
        <v>0</v>
      </c>
    </row>
    <row r="1241" spans="1:31" ht="14.15" customHeight="1" x14ac:dyDescent="0.25">
      <c r="A1241" s="12" t="s">
        <v>0</v>
      </c>
      <c r="B1241" s="13" t="s">
        <v>1</v>
      </c>
      <c r="C1241" s="13" t="s">
        <v>2248</v>
      </c>
      <c r="D1241" s="14">
        <v>44215</v>
      </c>
      <c r="E1241" s="14">
        <v>44215</v>
      </c>
      <c r="F1241" s="14">
        <v>44222</v>
      </c>
      <c r="G1241" s="13" t="s">
        <v>3</v>
      </c>
      <c r="H1241" s="13" t="s">
        <v>4</v>
      </c>
      <c r="I1241" s="15">
        <v>-14281.29</v>
      </c>
      <c r="J1241" s="13" t="s">
        <v>5</v>
      </c>
      <c r="K1241" s="13" t="s">
        <v>6</v>
      </c>
      <c r="L1241" s="15">
        <v>-1198914.3</v>
      </c>
      <c r="M1241" s="15">
        <v>-14281.29</v>
      </c>
      <c r="N1241" s="16" t="str">
        <f>IF(M1241="","",IF(M1241&lt;0,-M1241&amp;"_"&amp;COUNTIF(M$2:M1241,M1241),M1241&amp;"_"&amp;COUNTIF(M$2:M1241,M1241)))</f>
        <v>14281.29_1</v>
      </c>
      <c r="O1241" s="17" t="str">
        <f t="shared" si="19"/>
        <v/>
      </c>
      <c r="P1241" s="13" t="s">
        <v>2249</v>
      </c>
      <c r="Q1241" s="13" t="s">
        <v>2250</v>
      </c>
      <c r="R1241" s="13" t="s">
        <v>0</v>
      </c>
      <c r="S1241" s="13" t="s">
        <v>0</v>
      </c>
      <c r="T1241" s="13" t="s">
        <v>9</v>
      </c>
      <c r="U1241" s="13" t="s">
        <v>0</v>
      </c>
      <c r="V1241" s="13" t="s">
        <v>0</v>
      </c>
      <c r="W1241" s="13" t="s">
        <v>0</v>
      </c>
      <c r="X1241" s="13" t="s">
        <v>0</v>
      </c>
      <c r="Y1241" s="13" t="s">
        <v>10</v>
      </c>
      <c r="Z1241" s="13" t="s">
        <v>0</v>
      </c>
      <c r="AA1241" s="14"/>
      <c r="AB1241" s="13" t="s">
        <v>0</v>
      </c>
      <c r="AC1241" s="13" t="s">
        <v>0</v>
      </c>
      <c r="AD1241" s="13" t="s">
        <v>0</v>
      </c>
      <c r="AE1241" s="15">
        <v>0</v>
      </c>
    </row>
    <row r="1242" spans="1:31" ht="14.15" customHeight="1" x14ac:dyDescent="0.25">
      <c r="A1242" s="12" t="s">
        <v>0</v>
      </c>
      <c r="B1242" s="13" t="s">
        <v>1</v>
      </c>
      <c r="C1242" s="13" t="s">
        <v>670</v>
      </c>
      <c r="D1242" s="14">
        <v>44088</v>
      </c>
      <c r="E1242" s="14">
        <v>44088</v>
      </c>
      <c r="F1242" s="14">
        <v>44103</v>
      </c>
      <c r="G1242" s="13" t="s">
        <v>3</v>
      </c>
      <c r="H1242" s="13" t="s">
        <v>4</v>
      </c>
      <c r="I1242" s="15">
        <v>-14277.16</v>
      </c>
      <c r="J1242" s="13" t="s">
        <v>5</v>
      </c>
      <c r="K1242" s="13" t="s">
        <v>6</v>
      </c>
      <c r="L1242" s="15">
        <v>-1198567.58</v>
      </c>
      <c r="M1242" s="15">
        <v>-14277.16</v>
      </c>
      <c r="N1242" s="16" t="str">
        <f>IF(M1242="","",IF(M1242&lt;0,-M1242&amp;"_"&amp;COUNTIF(M$2:M1242,M1242),M1242&amp;"_"&amp;COUNTIF(M$2:M1242,M1242)))</f>
        <v>14277.16_1</v>
      </c>
      <c r="O1242" s="17" t="str">
        <f t="shared" si="19"/>
        <v/>
      </c>
      <c r="P1242" s="13" t="s">
        <v>671</v>
      </c>
      <c r="Q1242" s="13" t="s">
        <v>667</v>
      </c>
      <c r="R1242" s="13" t="s">
        <v>0</v>
      </c>
      <c r="S1242" s="13" t="s">
        <v>0</v>
      </c>
      <c r="T1242" s="13" t="s">
        <v>9</v>
      </c>
      <c r="U1242" s="13" t="s">
        <v>0</v>
      </c>
      <c r="V1242" s="13" t="s">
        <v>0</v>
      </c>
      <c r="W1242" s="13" t="s">
        <v>0</v>
      </c>
      <c r="X1242" s="13" t="s">
        <v>0</v>
      </c>
      <c r="Y1242" s="13" t="s">
        <v>10</v>
      </c>
      <c r="Z1242" s="13" t="s">
        <v>0</v>
      </c>
      <c r="AA1242" s="14"/>
      <c r="AB1242" s="13" t="s">
        <v>0</v>
      </c>
      <c r="AC1242" s="13" t="s">
        <v>0</v>
      </c>
      <c r="AD1242" s="13" t="s">
        <v>0</v>
      </c>
      <c r="AE1242" s="15">
        <v>0</v>
      </c>
    </row>
    <row r="1243" spans="1:31" ht="14.15" customHeight="1" x14ac:dyDescent="0.25">
      <c r="A1243" s="12" t="s">
        <v>0</v>
      </c>
      <c r="B1243" s="13" t="s">
        <v>1</v>
      </c>
      <c r="C1243" s="13" t="s">
        <v>922</v>
      </c>
      <c r="D1243" s="14">
        <v>44117</v>
      </c>
      <c r="E1243" s="14">
        <v>44117</v>
      </c>
      <c r="F1243" s="14">
        <v>44123</v>
      </c>
      <c r="G1243" s="13" t="s">
        <v>3</v>
      </c>
      <c r="H1243" s="13" t="s">
        <v>4</v>
      </c>
      <c r="I1243" s="15">
        <v>-14273.46</v>
      </c>
      <c r="J1243" s="13" t="s">
        <v>5</v>
      </c>
      <c r="K1243" s="13" t="s">
        <v>6</v>
      </c>
      <c r="L1243" s="15">
        <v>-1198256.97</v>
      </c>
      <c r="M1243" s="15">
        <v>-14273.46</v>
      </c>
      <c r="N1243" s="16" t="str">
        <f>IF(M1243="","",IF(M1243&lt;0,-M1243&amp;"_"&amp;COUNTIF(M$2:M1243,M1243),M1243&amp;"_"&amp;COUNTIF(M$2:M1243,M1243)))</f>
        <v>14273.46_1</v>
      </c>
      <c r="O1243" s="17" t="str">
        <f t="shared" si="19"/>
        <v/>
      </c>
      <c r="P1243" s="13" t="s">
        <v>923</v>
      </c>
      <c r="Q1243" s="13" t="s">
        <v>917</v>
      </c>
      <c r="R1243" s="13" t="s">
        <v>0</v>
      </c>
      <c r="S1243" s="13" t="s">
        <v>0</v>
      </c>
      <c r="T1243" s="13" t="s">
        <v>9</v>
      </c>
      <c r="U1243" s="13" t="s">
        <v>0</v>
      </c>
      <c r="V1243" s="13" t="s">
        <v>0</v>
      </c>
      <c r="W1243" s="13" t="s">
        <v>0</v>
      </c>
      <c r="X1243" s="13" t="s">
        <v>0</v>
      </c>
      <c r="Y1243" s="13" t="s">
        <v>10</v>
      </c>
      <c r="Z1243" s="13" t="s">
        <v>0</v>
      </c>
      <c r="AA1243" s="14"/>
      <c r="AB1243" s="13" t="s">
        <v>0</v>
      </c>
      <c r="AC1243" s="13" t="s">
        <v>0</v>
      </c>
      <c r="AD1243" s="13" t="s">
        <v>0</v>
      </c>
      <c r="AE1243" s="15">
        <v>0</v>
      </c>
    </row>
    <row r="1244" spans="1:31" ht="14.15" customHeight="1" x14ac:dyDescent="0.25">
      <c r="A1244" s="12" t="s">
        <v>0</v>
      </c>
      <c r="B1244" s="13" t="s">
        <v>1</v>
      </c>
      <c r="C1244" s="13" t="s">
        <v>3935</v>
      </c>
      <c r="D1244" s="14">
        <v>44354</v>
      </c>
      <c r="E1244" s="14">
        <v>44354</v>
      </c>
      <c r="F1244" s="14">
        <v>44359</v>
      </c>
      <c r="G1244" s="13" t="s">
        <v>3</v>
      </c>
      <c r="H1244" s="13" t="s">
        <v>4</v>
      </c>
      <c r="I1244" s="15">
        <v>-14260.82</v>
      </c>
      <c r="J1244" s="13" t="s">
        <v>5</v>
      </c>
      <c r="K1244" s="13" t="s">
        <v>6</v>
      </c>
      <c r="L1244" s="15">
        <v>-1197195.8400000001</v>
      </c>
      <c r="M1244" s="15">
        <v>-14260.82</v>
      </c>
      <c r="N1244" s="16" t="str">
        <f>IF(M1244="","",IF(M1244&lt;0,-M1244&amp;"_"&amp;COUNTIF(M$2:M1244,M1244),M1244&amp;"_"&amp;COUNTIF(M$2:M1244,M1244)))</f>
        <v>14260.82_1</v>
      </c>
      <c r="O1244" s="17" t="str">
        <f t="shared" si="19"/>
        <v/>
      </c>
      <c r="P1244" s="13" t="s">
        <v>3936</v>
      </c>
      <c r="Q1244" s="13" t="s">
        <v>3914</v>
      </c>
      <c r="R1244" s="13" t="s">
        <v>0</v>
      </c>
      <c r="S1244" s="13" t="s">
        <v>0</v>
      </c>
      <c r="T1244" s="13" t="s">
        <v>9</v>
      </c>
      <c r="U1244" s="13" t="s">
        <v>0</v>
      </c>
      <c r="V1244" s="13" t="s">
        <v>0</v>
      </c>
      <c r="W1244" s="13" t="s">
        <v>0</v>
      </c>
      <c r="X1244" s="13" t="s">
        <v>0</v>
      </c>
      <c r="Y1244" s="13" t="s">
        <v>10</v>
      </c>
      <c r="Z1244" s="13" t="s">
        <v>0</v>
      </c>
      <c r="AA1244" s="14"/>
      <c r="AB1244" s="13" t="s">
        <v>0</v>
      </c>
      <c r="AC1244" s="13" t="s">
        <v>0</v>
      </c>
      <c r="AD1244" s="13" t="s">
        <v>0</v>
      </c>
      <c r="AE1244" s="15">
        <v>0</v>
      </c>
    </row>
    <row r="1245" spans="1:31" ht="14.15" customHeight="1" x14ac:dyDescent="0.25">
      <c r="A1245" s="12" t="s">
        <v>0</v>
      </c>
      <c r="B1245" s="13" t="s">
        <v>1</v>
      </c>
      <c r="C1245" s="13" t="s">
        <v>1961</v>
      </c>
      <c r="D1245" s="14">
        <v>44195</v>
      </c>
      <c r="E1245" s="14">
        <v>44195</v>
      </c>
      <c r="F1245" s="14">
        <v>44199</v>
      </c>
      <c r="G1245" s="13" t="s">
        <v>3</v>
      </c>
      <c r="H1245" s="13" t="s">
        <v>4</v>
      </c>
      <c r="I1245" s="15">
        <v>-14252.11</v>
      </c>
      <c r="J1245" s="13" t="s">
        <v>5</v>
      </c>
      <c r="K1245" s="13" t="s">
        <v>6</v>
      </c>
      <c r="L1245" s="15">
        <v>-1196464.6299999999</v>
      </c>
      <c r="M1245" s="15">
        <v>-14252.11</v>
      </c>
      <c r="N1245" s="16" t="str">
        <f>IF(M1245="","",IF(M1245&lt;0,-M1245&amp;"_"&amp;COUNTIF(M$2:M1245,M1245),M1245&amp;"_"&amp;COUNTIF(M$2:M1245,M1245)))</f>
        <v>14252.11_1</v>
      </c>
      <c r="O1245" s="17" t="str">
        <f t="shared" si="19"/>
        <v/>
      </c>
      <c r="P1245" s="13" t="s">
        <v>1962</v>
      </c>
      <c r="Q1245" s="13" t="s">
        <v>1956</v>
      </c>
      <c r="R1245" s="13" t="s">
        <v>0</v>
      </c>
      <c r="S1245" s="13" t="s">
        <v>0</v>
      </c>
      <c r="T1245" s="13" t="s">
        <v>9</v>
      </c>
      <c r="U1245" s="13" t="s">
        <v>0</v>
      </c>
      <c r="V1245" s="13" t="s">
        <v>0</v>
      </c>
      <c r="W1245" s="13" t="s">
        <v>0</v>
      </c>
      <c r="X1245" s="13" t="s">
        <v>0</v>
      </c>
      <c r="Y1245" s="13" t="s">
        <v>10</v>
      </c>
      <c r="Z1245" s="13" t="s">
        <v>0</v>
      </c>
      <c r="AA1245" s="14"/>
      <c r="AB1245" s="13" t="s">
        <v>0</v>
      </c>
      <c r="AC1245" s="13" t="s">
        <v>0</v>
      </c>
      <c r="AD1245" s="13" t="s">
        <v>0</v>
      </c>
      <c r="AE1245" s="15">
        <v>0</v>
      </c>
    </row>
    <row r="1246" spans="1:31" ht="14.15" customHeight="1" x14ac:dyDescent="0.25">
      <c r="A1246" s="12" t="s">
        <v>0</v>
      </c>
      <c r="B1246" s="13" t="s">
        <v>1</v>
      </c>
      <c r="C1246" s="13" t="s">
        <v>1118</v>
      </c>
      <c r="D1246" s="14">
        <v>44137</v>
      </c>
      <c r="E1246" s="14">
        <v>44137</v>
      </c>
      <c r="F1246" s="14">
        <v>44139</v>
      </c>
      <c r="G1246" s="13" t="s">
        <v>3</v>
      </c>
      <c r="H1246" s="13" t="s">
        <v>4</v>
      </c>
      <c r="I1246" s="15">
        <v>-14244.78</v>
      </c>
      <c r="J1246" s="13" t="s">
        <v>5</v>
      </c>
      <c r="K1246" s="13" t="s">
        <v>6</v>
      </c>
      <c r="L1246" s="15">
        <v>-1195849.27</v>
      </c>
      <c r="M1246" s="15">
        <v>-14244.78</v>
      </c>
      <c r="N1246" s="16" t="str">
        <f>IF(M1246="","",IF(M1246&lt;0,-M1246&amp;"_"&amp;COUNTIF(M$2:M1246,M1246),M1246&amp;"_"&amp;COUNTIF(M$2:M1246,M1246)))</f>
        <v>14244.78_1</v>
      </c>
      <c r="O1246" s="17" t="str">
        <f t="shared" si="19"/>
        <v/>
      </c>
      <c r="P1246" s="13" t="s">
        <v>1119</v>
      </c>
      <c r="Q1246" s="13" t="s">
        <v>1120</v>
      </c>
      <c r="R1246" s="13" t="s">
        <v>0</v>
      </c>
      <c r="S1246" s="13" t="s">
        <v>0</v>
      </c>
      <c r="T1246" s="13" t="s">
        <v>9</v>
      </c>
      <c r="U1246" s="13" t="s">
        <v>0</v>
      </c>
      <c r="V1246" s="13" t="s">
        <v>0</v>
      </c>
      <c r="W1246" s="13" t="s">
        <v>0</v>
      </c>
      <c r="X1246" s="13" t="s">
        <v>0</v>
      </c>
      <c r="Y1246" s="13" t="s">
        <v>10</v>
      </c>
      <c r="Z1246" s="13" t="s">
        <v>0</v>
      </c>
      <c r="AA1246" s="14"/>
      <c r="AB1246" s="13" t="s">
        <v>0</v>
      </c>
      <c r="AC1246" s="13" t="s">
        <v>0</v>
      </c>
      <c r="AD1246" s="13" t="s">
        <v>0</v>
      </c>
      <c r="AE1246" s="15">
        <v>0</v>
      </c>
    </row>
    <row r="1247" spans="1:31" ht="14.15" customHeight="1" x14ac:dyDescent="0.25">
      <c r="A1247" s="12" t="s">
        <v>0</v>
      </c>
      <c r="B1247" s="13" t="s">
        <v>1</v>
      </c>
      <c r="C1247" s="13" t="s">
        <v>2855</v>
      </c>
      <c r="D1247" s="14">
        <v>44273</v>
      </c>
      <c r="E1247" s="14">
        <v>44273</v>
      </c>
      <c r="F1247" s="14">
        <v>44279</v>
      </c>
      <c r="G1247" s="13" t="s">
        <v>3</v>
      </c>
      <c r="H1247" s="13" t="s">
        <v>4</v>
      </c>
      <c r="I1247" s="15">
        <v>-14242.6</v>
      </c>
      <c r="J1247" s="13" t="s">
        <v>5</v>
      </c>
      <c r="K1247" s="13" t="s">
        <v>6</v>
      </c>
      <c r="L1247" s="15">
        <v>-1195666.27</v>
      </c>
      <c r="M1247" s="15">
        <v>-14242.6</v>
      </c>
      <c r="N1247" s="16" t="str">
        <f>IF(M1247="","",IF(M1247&lt;0,-M1247&amp;"_"&amp;COUNTIF(M$2:M1247,M1247),M1247&amp;"_"&amp;COUNTIF(M$2:M1247,M1247)))</f>
        <v>14242.6_1</v>
      </c>
      <c r="O1247" s="17" t="str">
        <f t="shared" si="19"/>
        <v/>
      </c>
      <c r="P1247" s="13" t="s">
        <v>2856</v>
      </c>
      <c r="Q1247" s="13" t="s">
        <v>2857</v>
      </c>
      <c r="R1247" s="13" t="s">
        <v>0</v>
      </c>
      <c r="S1247" s="13" t="s">
        <v>0</v>
      </c>
      <c r="T1247" s="13" t="s">
        <v>9</v>
      </c>
      <c r="U1247" s="13" t="s">
        <v>0</v>
      </c>
      <c r="V1247" s="13" t="s">
        <v>0</v>
      </c>
      <c r="W1247" s="13" t="s">
        <v>0</v>
      </c>
      <c r="X1247" s="13" t="s">
        <v>0</v>
      </c>
      <c r="Y1247" s="13" t="s">
        <v>10</v>
      </c>
      <c r="Z1247" s="13" t="s">
        <v>0</v>
      </c>
      <c r="AA1247" s="14"/>
      <c r="AB1247" s="13" t="s">
        <v>0</v>
      </c>
      <c r="AC1247" s="13" t="s">
        <v>0</v>
      </c>
      <c r="AD1247" s="13" t="s">
        <v>0</v>
      </c>
      <c r="AE1247" s="15">
        <v>0</v>
      </c>
    </row>
    <row r="1248" spans="1:31" ht="14.15" customHeight="1" x14ac:dyDescent="0.25">
      <c r="A1248" s="12" t="s">
        <v>0</v>
      </c>
      <c r="B1248" s="13" t="s">
        <v>1</v>
      </c>
      <c r="C1248" s="13" t="s">
        <v>3023</v>
      </c>
      <c r="D1248" s="14">
        <v>44281</v>
      </c>
      <c r="E1248" s="14">
        <v>44281</v>
      </c>
      <c r="F1248" s="14">
        <v>44290</v>
      </c>
      <c r="G1248" s="13" t="s">
        <v>3</v>
      </c>
      <c r="H1248" s="13" t="s">
        <v>4</v>
      </c>
      <c r="I1248" s="15">
        <v>-14231.92</v>
      </c>
      <c r="J1248" s="13" t="s">
        <v>5</v>
      </c>
      <c r="K1248" s="13" t="s">
        <v>6</v>
      </c>
      <c r="L1248" s="15">
        <v>-1194769.69</v>
      </c>
      <c r="M1248" s="15">
        <v>-14231.92</v>
      </c>
      <c r="N1248" s="16" t="str">
        <f>IF(M1248="","",IF(M1248&lt;0,-M1248&amp;"_"&amp;COUNTIF(M$2:M1248,M1248),M1248&amp;"_"&amp;COUNTIF(M$2:M1248,M1248)))</f>
        <v>14231.92_1</v>
      </c>
      <c r="O1248" s="17" t="str">
        <f t="shared" si="19"/>
        <v/>
      </c>
      <c r="P1248" s="13" t="s">
        <v>3024</v>
      </c>
      <c r="Q1248" s="13" t="s">
        <v>3014</v>
      </c>
      <c r="R1248" s="13" t="s">
        <v>0</v>
      </c>
      <c r="S1248" s="13" t="s">
        <v>0</v>
      </c>
      <c r="T1248" s="13" t="s">
        <v>9</v>
      </c>
      <c r="U1248" s="13" t="s">
        <v>0</v>
      </c>
      <c r="V1248" s="13" t="s">
        <v>0</v>
      </c>
      <c r="W1248" s="13" t="s">
        <v>0</v>
      </c>
      <c r="X1248" s="13" t="s">
        <v>0</v>
      </c>
      <c r="Y1248" s="13" t="s">
        <v>10</v>
      </c>
      <c r="Z1248" s="13" t="s">
        <v>0</v>
      </c>
      <c r="AA1248" s="14"/>
      <c r="AB1248" s="13" t="s">
        <v>0</v>
      </c>
      <c r="AC1248" s="13" t="s">
        <v>0</v>
      </c>
      <c r="AD1248" s="13" t="s">
        <v>0</v>
      </c>
      <c r="AE1248" s="15">
        <v>0</v>
      </c>
    </row>
    <row r="1249" spans="1:31" ht="14.15" customHeight="1" x14ac:dyDescent="0.25">
      <c r="A1249" s="12" t="s">
        <v>0</v>
      </c>
      <c r="B1249" s="13" t="s">
        <v>1</v>
      </c>
      <c r="C1249" s="13" t="s">
        <v>657</v>
      </c>
      <c r="D1249" s="14">
        <v>44086</v>
      </c>
      <c r="E1249" s="14">
        <v>44086</v>
      </c>
      <c r="F1249" s="14">
        <v>44110</v>
      </c>
      <c r="G1249" s="13" t="s">
        <v>3</v>
      </c>
      <c r="H1249" s="13" t="s">
        <v>4</v>
      </c>
      <c r="I1249" s="15">
        <v>-14223.17</v>
      </c>
      <c r="J1249" s="13" t="s">
        <v>5</v>
      </c>
      <c r="K1249" s="13" t="s">
        <v>6</v>
      </c>
      <c r="L1249" s="15">
        <v>-1194035.1200000001</v>
      </c>
      <c r="M1249" s="15">
        <v>-14223.17</v>
      </c>
      <c r="N1249" s="16" t="str">
        <f>IF(M1249="","",IF(M1249&lt;0,-M1249&amp;"_"&amp;COUNTIF(M$2:M1249,M1249),M1249&amp;"_"&amp;COUNTIF(M$2:M1249,M1249)))</f>
        <v>14223.17_1</v>
      </c>
      <c r="O1249" s="17" t="str">
        <f t="shared" si="19"/>
        <v/>
      </c>
      <c r="P1249" s="13" t="s">
        <v>658</v>
      </c>
      <c r="Q1249" s="13" t="s">
        <v>659</v>
      </c>
      <c r="R1249" s="13" t="s">
        <v>0</v>
      </c>
      <c r="S1249" s="13" t="s">
        <v>0</v>
      </c>
      <c r="T1249" s="13" t="s">
        <v>9</v>
      </c>
      <c r="U1249" s="13" t="s">
        <v>0</v>
      </c>
      <c r="V1249" s="13" t="s">
        <v>0</v>
      </c>
      <c r="W1249" s="13" t="s">
        <v>0</v>
      </c>
      <c r="X1249" s="13" t="s">
        <v>0</v>
      </c>
      <c r="Y1249" s="13" t="s">
        <v>10</v>
      </c>
      <c r="Z1249" s="13" t="s">
        <v>0</v>
      </c>
      <c r="AA1249" s="14"/>
      <c r="AB1249" s="13" t="s">
        <v>0</v>
      </c>
      <c r="AC1249" s="13" t="s">
        <v>0</v>
      </c>
      <c r="AD1249" s="13" t="s">
        <v>0</v>
      </c>
      <c r="AE1249" s="15">
        <v>0</v>
      </c>
    </row>
    <row r="1250" spans="1:31" ht="14.15" customHeight="1" x14ac:dyDescent="0.25">
      <c r="A1250" s="12" t="s">
        <v>0</v>
      </c>
      <c r="B1250" s="13" t="s">
        <v>1</v>
      </c>
      <c r="C1250" s="13" t="s">
        <v>401</v>
      </c>
      <c r="D1250" s="14">
        <v>44062</v>
      </c>
      <c r="E1250" s="14">
        <v>44062</v>
      </c>
      <c r="F1250" s="14">
        <v>44065</v>
      </c>
      <c r="G1250" s="13" t="s">
        <v>3</v>
      </c>
      <c r="H1250" s="13" t="s">
        <v>4</v>
      </c>
      <c r="I1250" s="15">
        <v>-14214.78</v>
      </c>
      <c r="J1250" s="13" t="s">
        <v>5</v>
      </c>
      <c r="K1250" s="13" t="s">
        <v>6</v>
      </c>
      <c r="L1250" s="15">
        <v>-1193330.78</v>
      </c>
      <c r="M1250" s="15">
        <v>-14214.78</v>
      </c>
      <c r="N1250" s="16" t="str">
        <f>IF(M1250="","",IF(M1250&lt;0,-M1250&amp;"_"&amp;COUNTIF(M$2:M1250,M1250),M1250&amp;"_"&amp;COUNTIF(M$2:M1250,M1250)))</f>
        <v>14214.78_1</v>
      </c>
      <c r="O1250" s="17" t="str">
        <f t="shared" si="19"/>
        <v/>
      </c>
      <c r="P1250" s="13" t="s">
        <v>402</v>
      </c>
      <c r="Q1250" s="13" t="s">
        <v>403</v>
      </c>
      <c r="R1250" s="13" t="s">
        <v>0</v>
      </c>
      <c r="S1250" s="13" t="s">
        <v>0</v>
      </c>
      <c r="T1250" s="13" t="s">
        <v>9</v>
      </c>
      <c r="U1250" s="13" t="s">
        <v>0</v>
      </c>
      <c r="V1250" s="13" t="s">
        <v>0</v>
      </c>
      <c r="W1250" s="13" t="s">
        <v>0</v>
      </c>
      <c r="X1250" s="13" t="s">
        <v>0</v>
      </c>
      <c r="Y1250" s="13" t="s">
        <v>10</v>
      </c>
      <c r="Z1250" s="13" t="s">
        <v>0</v>
      </c>
      <c r="AA1250" s="14"/>
      <c r="AB1250" s="13" t="s">
        <v>0</v>
      </c>
      <c r="AC1250" s="13" t="s">
        <v>0</v>
      </c>
      <c r="AD1250" s="13" t="s">
        <v>0</v>
      </c>
      <c r="AE1250" s="15">
        <v>0</v>
      </c>
    </row>
    <row r="1251" spans="1:31" ht="14.15" customHeight="1" x14ac:dyDescent="0.25">
      <c r="A1251" s="12" t="s">
        <v>0</v>
      </c>
      <c r="B1251" s="13" t="s">
        <v>1</v>
      </c>
      <c r="C1251" s="13" t="s">
        <v>4037</v>
      </c>
      <c r="D1251" s="14">
        <v>44358</v>
      </c>
      <c r="E1251" s="14">
        <v>44358</v>
      </c>
      <c r="F1251" s="14">
        <v>44364</v>
      </c>
      <c r="G1251" s="13" t="s">
        <v>3</v>
      </c>
      <c r="H1251" s="13" t="s">
        <v>4</v>
      </c>
      <c r="I1251" s="15">
        <v>-14161.19</v>
      </c>
      <c r="J1251" s="13" t="s">
        <v>5</v>
      </c>
      <c r="K1251" s="13" t="s">
        <v>6</v>
      </c>
      <c r="L1251" s="15">
        <v>-1188831.8999999999</v>
      </c>
      <c r="M1251" s="15">
        <v>-14161.19</v>
      </c>
      <c r="N1251" s="16" t="str">
        <f>IF(M1251="","",IF(M1251&lt;0,-M1251&amp;"_"&amp;COUNTIF(M$2:M1251,M1251),M1251&amp;"_"&amp;COUNTIF(M$2:M1251,M1251)))</f>
        <v>14161.19_1</v>
      </c>
      <c r="O1251" s="17" t="str">
        <f t="shared" si="19"/>
        <v/>
      </c>
      <c r="P1251" s="13" t="s">
        <v>4038</v>
      </c>
      <c r="Q1251" s="13" t="s">
        <v>4006</v>
      </c>
      <c r="R1251" s="13" t="s">
        <v>0</v>
      </c>
      <c r="S1251" s="13" t="s">
        <v>0</v>
      </c>
      <c r="T1251" s="13" t="s">
        <v>9</v>
      </c>
      <c r="U1251" s="13" t="s">
        <v>0</v>
      </c>
      <c r="V1251" s="13" t="s">
        <v>0</v>
      </c>
      <c r="W1251" s="13" t="s">
        <v>0</v>
      </c>
      <c r="X1251" s="13" t="s">
        <v>0</v>
      </c>
      <c r="Y1251" s="13" t="s">
        <v>10</v>
      </c>
      <c r="Z1251" s="13" t="s">
        <v>0</v>
      </c>
      <c r="AA1251" s="14"/>
      <c r="AB1251" s="13" t="s">
        <v>0</v>
      </c>
      <c r="AC1251" s="13" t="s">
        <v>0</v>
      </c>
      <c r="AD1251" s="13" t="s">
        <v>0</v>
      </c>
      <c r="AE1251" s="15">
        <v>0</v>
      </c>
    </row>
    <row r="1252" spans="1:31" ht="14.15" customHeight="1" x14ac:dyDescent="0.25">
      <c r="A1252" s="12" t="s">
        <v>0</v>
      </c>
      <c r="B1252" s="13" t="s">
        <v>1</v>
      </c>
      <c r="C1252" s="13" t="s">
        <v>4201</v>
      </c>
      <c r="D1252" s="14">
        <v>44364</v>
      </c>
      <c r="E1252" s="14">
        <v>44364</v>
      </c>
      <c r="F1252" s="14">
        <v>44371</v>
      </c>
      <c r="G1252" s="13" t="s">
        <v>3</v>
      </c>
      <c r="H1252" s="13" t="s">
        <v>4</v>
      </c>
      <c r="I1252" s="15">
        <v>-14132.39</v>
      </c>
      <c r="J1252" s="13" t="s">
        <v>5</v>
      </c>
      <c r="K1252" s="13" t="s">
        <v>6</v>
      </c>
      <c r="L1252" s="15">
        <v>-1186414.1399999999</v>
      </c>
      <c r="M1252" s="15">
        <v>-14132.39</v>
      </c>
      <c r="N1252" s="16" t="str">
        <f>IF(M1252="","",IF(M1252&lt;0,-M1252&amp;"_"&amp;COUNTIF(M$2:M1252,M1252),M1252&amp;"_"&amp;COUNTIF(M$2:M1252,M1252)))</f>
        <v>14132.39_1</v>
      </c>
      <c r="O1252" s="17" t="str">
        <f t="shared" si="19"/>
        <v/>
      </c>
      <c r="P1252" s="13" t="s">
        <v>4202</v>
      </c>
      <c r="Q1252" s="13" t="s">
        <v>4180</v>
      </c>
      <c r="R1252" s="13" t="s">
        <v>0</v>
      </c>
      <c r="S1252" s="13" t="s">
        <v>0</v>
      </c>
      <c r="T1252" s="13" t="s">
        <v>9</v>
      </c>
      <c r="U1252" s="13" t="s">
        <v>0</v>
      </c>
      <c r="V1252" s="13" t="s">
        <v>0</v>
      </c>
      <c r="W1252" s="13" t="s">
        <v>0</v>
      </c>
      <c r="X1252" s="13" t="s">
        <v>0</v>
      </c>
      <c r="Y1252" s="13" t="s">
        <v>10</v>
      </c>
      <c r="Z1252" s="13" t="s">
        <v>0</v>
      </c>
      <c r="AA1252" s="14"/>
      <c r="AB1252" s="13" t="s">
        <v>0</v>
      </c>
      <c r="AC1252" s="13" t="s">
        <v>0</v>
      </c>
      <c r="AD1252" s="13" t="s">
        <v>0</v>
      </c>
      <c r="AE1252" s="15">
        <v>0</v>
      </c>
    </row>
    <row r="1253" spans="1:31" ht="14.15" customHeight="1" x14ac:dyDescent="0.25">
      <c r="A1253" s="12" t="s">
        <v>0</v>
      </c>
      <c r="B1253" s="13" t="s">
        <v>1</v>
      </c>
      <c r="C1253" s="13" t="s">
        <v>4037</v>
      </c>
      <c r="D1253" s="14">
        <v>44358</v>
      </c>
      <c r="E1253" s="14">
        <v>44358</v>
      </c>
      <c r="F1253" s="14">
        <v>44364</v>
      </c>
      <c r="G1253" s="13" t="s">
        <v>3</v>
      </c>
      <c r="H1253" s="13" t="s">
        <v>4</v>
      </c>
      <c r="I1253" s="15">
        <v>-14132.02</v>
      </c>
      <c r="J1253" s="13" t="s">
        <v>5</v>
      </c>
      <c r="K1253" s="13" t="s">
        <v>6</v>
      </c>
      <c r="L1253" s="15">
        <v>-1186383.08</v>
      </c>
      <c r="M1253" s="15">
        <v>-14132.02</v>
      </c>
      <c r="N1253" s="16" t="str">
        <f>IF(M1253="","",IF(M1253&lt;0,-M1253&amp;"_"&amp;COUNTIF(M$2:M1253,M1253),M1253&amp;"_"&amp;COUNTIF(M$2:M1253,M1253)))</f>
        <v>14132.02_1</v>
      </c>
      <c r="O1253" s="17" t="str">
        <f t="shared" si="19"/>
        <v/>
      </c>
      <c r="P1253" s="13" t="s">
        <v>4038</v>
      </c>
      <c r="Q1253" s="13" t="s">
        <v>4006</v>
      </c>
      <c r="R1253" s="13" t="s">
        <v>0</v>
      </c>
      <c r="S1253" s="13" t="s">
        <v>0</v>
      </c>
      <c r="T1253" s="13" t="s">
        <v>9</v>
      </c>
      <c r="U1253" s="13" t="s">
        <v>0</v>
      </c>
      <c r="V1253" s="13" t="s">
        <v>0</v>
      </c>
      <c r="W1253" s="13" t="s">
        <v>0</v>
      </c>
      <c r="X1253" s="13" t="s">
        <v>0</v>
      </c>
      <c r="Y1253" s="13" t="s">
        <v>10</v>
      </c>
      <c r="Z1253" s="13" t="s">
        <v>0</v>
      </c>
      <c r="AA1253" s="14"/>
      <c r="AB1253" s="13" t="s">
        <v>0</v>
      </c>
      <c r="AC1253" s="13" t="s">
        <v>0</v>
      </c>
      <c r="AD1253" s="13" t="s">
        <v>0</v>
      </c>
      <c r="AE1253" s="15">
        <v>0</v>
      </c>
    </row>
    <row r="1254" spans="1:31" ht="14.15" customHeight="1" x14ac:dyDescent="0.25">
      <c r="A1254" s="12" t="s">
        <v>0</v>
      </c>
      <c r="B1254" s="13" t="s">
        <v>1</v>
      </c>
      <c r="C1254" s="13" t="s">
        <v>574</v>
      </c>
      <c r="D1254" s="14">
        <v>44077</v>
      </c>
      <c r="E1254" s="14">
        <v>44077</v>
      </c>
      <c r="F1254" s="14">
        <v>44090</v>
      </c>
      <c r="G1254" s="13" t="s">
        <v>3</v>
      </c>
      <c r="H1254" s="13" t="s">
        <v>4</v>
      </c>
      <c r="I1254" s="15">
        <v>-14122.69</v>
      </c>
      <c r="J1254" s="13" t="s">
        <v>5</v>
      </c>
      <c r="K1254" s="13" t="s">
        <v>6</v>
      </c>
      <c r="L1254" s="15">
        <v>-1185599.83</v>
      </c>
      <c r="M1254" s="15">
        <v>-14122.69</v>
      </c>
      <c r="N1254" s="16" t="str">
        <f>IF(M1254="","",IF(M1254&lt;0,-M1254&amp;"_"&amp;COUNTIF(M$2:M1254,M1254),M1254&amp;"_"&amp;COUNTIF(M$2:M1254,M1254)))</f>
        <v>14122.69_1</v>
      </c>
      <c r="O1254" s="17" t="str">
        <f t="shared" si="19"/>
        <v/>
      </c>
      <c r="P1254" s="13" t="s">
        <v>575</v>
      </c>
      <c r="Q1254" s="13" t="s">
        <v>571</v>
      </c>
      <c r="R1254" s="13" t="s">
        <v>0</v>
      </c>
      <c r="S1254" s="13" t="s">
        <v>0</v>
      </c>
      <c r="T1254" s="13" t="s">
        <v>9</v>
      </c>
      <c r="U1254" s="13" t="s">
        <v>0</v>
      </c>
      <c r="V1254" s="13" t="s">
        <v>0</v>
      </c>
      <c r="W1254" s="13" t="s">
        <v>0</v>
      </c>
      <c r="X1254" s="13" t="s">
        <v>0</v>
      </c>
      <c r="Y1254" s="13" t="s">
        <v>10</v>
      </c>
      <c r="Z1254" s="13" t="s">
        <v>0</v>
      </c>
      <c r="AA1254" s="14"/>
      <c r="AB1254" s="13" t="s">
        <v>0</v>
      </c>
      <c r="AC1254" s="13" t="s">
        <v>0</v>
      </c>
      <c r="AD1254" s="13" t="s">
        <v>0</v>
      </c>
      <c r="AE1254" s="15">
        <v>0</v>
      </c>
    </row>
    <row r="1255" spans="1:31" ht="14.15" customHeight="1" x14ac:dyDescent="0.25">
      <c r="A1255" s="12" t="s">
        <v>0</v>
      </c>
      <c r="B1255" s="13" t="s">
        <v>1</v>
      </c>
      <c r="C1255" s="13" t="s">
        <v>4278</v>
      </c>
      <c r="D1255" s="14">
        <v>44370</v>
      </c>
      <c r="E1255" s="14">
        <v>44370</v>
      </c>
      <c r="F1255" s="14">
        <v>44377</v>
      </c>
      <c r="G1255" s="13" t="s">
        <v>3</v>
      </c>
      <c r="H1255" s="13" t="s">
        <v>4</v>
      </c>
      <c r="I1255" s="15">
        <v>-14107.89</v>
      </c>
      <c r="J1255" s="13" t="s">
        <v>5</v>
      </c>
      <c r="K1255" s="13" t="s">
        <v>6</v>
      </c>
      <c r="L1255" s="15">
        <v>-1184357.3700000001</v>
      </c>
      <c r="M1255" s="15">
        <v>-14107.89</v>
      </c>
      <c r="N1255" s="16" t="str">
        <f>IF(M1255="","",IF(M1255&lt;0,-M1255&amp;"_"&amp;COUNTIF(M$2:M1255,M1255),M1255&amp;"_"&amp;COUNTIF(M$2:M1255,M1255)))</f>
        <v>14107.89_1</v>
      </c>
      <c r="O1255" s="17" t="str">
        <f t="shared" si="19"/>
        <v/>
      </c>
      <c r="P1255" s="13" t="s">
        <v>4279</v>
      </c>
      <c r="Q1255" s="13" t="s">
        <v>4269</v>
      </c>
      <c r="R1255" s="13" t="s">
        <v>0</v>
      </c>
      <c r="S1255" s="13" t="s">
        <v>0</v>
      </c>
      <c r="T1255" s="13" t="s">
        <v>9</v>
      </c>
      <c r="U1255" s="13" t="s">
        <v>0</v>
      </c>
      <c r="V1255" s="13" t="s">
        <v>0</v>
      </c>
      <c r="W1255" s="13" t="s">
        <v>0</v>
      </c>
      <c r="X1255" s="13" t="s">
        <v>0</v>
      </c>
      <c r="Y1255" s="13" t="s">
        <v>10</v>
      </c>
      <c r="Z1255" s="13" t="s">
        <v>0</v>
      </c>
      <c r="AA1255" s="14"/>
      <c r="AB1255" s="13" t="s">
        <v>0</v>
      </c>
      <c r="AC1255" s="13" t="s">
        <v>0</v>
      </c>
      <c r="AD1255" s="13" t="s">
        <v>0</v>
      </c>
      <c r="AE1255" s="15">
        <v>0</v>
      </c>
    </row>
    <row r="1256" spans="1:31" ht="14.15" customHeight="1" x14ac:dyDescent="0.25">
      <c r="A1256" s="12" t="s">
        <v>0</v>
      </c>
      <c r="B1256" s="13" t="s">
        <v>1</v>
      </c>
      <c r="C1256" s="13" t="s">
        <v>2471</v>
      </c>
      <c r="D1256" s="14">
        <v>44234</v>
      </c>
      <c r="E1256" s="14">
        <v>44234</v>
      </c>
      <c r="F1256" s="14">
        <v>44241</v>
      </c>
      <c r="G1256" s="13" t="s">
        <v>3</v>
      </c>
      <c r="H1256" s="13" t="s">
        <v>4</v>
      </c>
      <c r="I1256" s="15">
        <v>-14104.19</v>
      </c>
      <c r="J1256" s="13" t="s">
        <v>5</v>
      </c>
      <c r="K1256" s="13" t="s">
        <v>6</v>
      </c>
      <c r="L1256" s="15">
        <v>-1184046.75</v>
      </c>
      <c r="M1256" s="15">
        <v>-14104.19</v>
      </c>
      <c r="N1256" s="16" t="str">
        <f>IF(M1256="","",IF(M1256&lt;0,-M1256&amp;"_"&amp;COUNTIF(M$2:M1256,M1256),M1256&amp;"_"&amp;COUNTIF(M$2:M1256,M1256)))</f>
        <v>14104.19_1</v>
      </c>
      <c r="O1256" s="17" t="str">
        <f t="shared" si="19"/>
        <v/>
      </c>
      <c r="P1256" s="13" t="s">
        <v>2472</v>
      </c>
      <c r="Q1256" s="13" t="s">
        <v>2462</v>
      </c>
      <c r="R1256" s="13" t="s">
        <v>0</v>
      </c>
      <c r="S1256" s="13" t="s">
        <v>0</v>
      </c>
      <c r="T1256" s="13" t="s">
        <v>9</v>
      </c>
      <c r="U1256" s="13" t="s">
        <v>0</v>
      </c>
      <c r="V1256" s="13" t="s">
        <v>0</v>
      </c>
      <c r="W1256" s="13" t="s">
        <v>0</v>
      </c>
      <c r="X1256" s="13" t="s">
        <v>0</v>
      </c>
      <c r="Y1256" s="13" t="s">
        <v>10</v>
      </c>
      <c r="Z1256" s="13" t="s">
        <v>0</v>
      </c>
      <c r="AA1256" s="14"/>
      <c r="AB1256" s="13" t="s">
        <v>0</v>
      </c>
      <c r="AC1256" s="13" t="s">
        <v>0</v>
      </c>
      <c r="AD1256" s="13" t="s">
        <v>0</v>
      </c>
      <c r="AE1256" s="15">
        <v>0</v>
      </c>
    </row>
    <row r="1257" spans="1:31" ht="14.15" customHeight="1" x14ac:dyDescent="0.25">
      <c r="A1257" s="12" t="s">
        <v>0</v>
      </c>
      <c r="B1257" s="13" t="s">
        <v>1</v>
      </c>
      <c r="C1257" s="13" t="s">
        <v>4267</v>
      </c>
      <c r="D1257" s="14">
        <v>44370</v>
      </c>
      <c r="E1257" s="14">
        <v>44370</v>
      </c>
      <c r="F1257" s="14">
        <v>44371</v>
      </c>
      <c r="G1257" s="13" t="s">
        <v>3</v>
      </c>
      <c r="H1257" s="13" t="s">
        <v>4</v>
      </c>
      <c r="I1257" s="15">
        <v>-14084.61</v>
      </c>
      <c r="J1257" s="13" t="s">
        <v>5</v>
      </c>
      <c r="K1257" s="13" t="s">
        <v>6</v>
      </c>
      <c r="L1257" s="15">
        <v>-1182403.01</v>
      </c>
      <c r="M1257" s="15">
        <v>-14084.61</v>
      </c>
      <c r="N1257" s="16" t="str">
        <f>IF(M1257="","",IF(M1257&lt;0,-M1257&amp;"_"&amp;COUNTIF(M$2:M1257,M1257),M1257&amp;"_"&amp;COUNTIF(M$2:M1257,M1257)))</f>
        <v>14084.61_1</v>
      </c>
      <c r="O1257" s="17" t="str">
        <f t="shared" si="19"/>
        <v/>
      </c>
      <c r="P1257" s="13" t="s">
        <v>4268</v>
      </c>
      <c r="Q1257" s="13" t="s">
        <v>4269</v>
      </c>
      <c r="R1257" s="13" t="s">
        <v>0</v>
      </c>
      <c r="S1257" s="13" t="s">
        <v>0</v>
      </c>
      <c r="T1257" s="13" t="s">
        <v>9</v>
      </c>
      <c r="U1257" s="13" t="s">
        <v>0</v>
      </c>
      <c r="V1257" s="13" t="s">
        <v>0</v>
      </c>
      <c r="W1257" s="13" t="s">
        <v>0</v>
      </c>
      <c r="X1257" s="13" t="s">
        <v>0</v>
      </c>
      <c r="Y1257" s="13" t="s">
        <v>10</v>
      </c>
      <c r="Z1257" s="13" t="s">
        <v>0</v>
      </c>
      <c r="AA1257" s="14"/>
      <c r="AB1257" s="13" t="s">
        <v>0</v>
      </c>
      <c r="AC1257" s="13" t="s">
        <v>0</v>
      </c>
      <c r="AD1257" s="13" t="s">
        <v>0</v>
      </c>
      <c r="AE1257" s="15">
        <v>0</v>
      </c>
    </row>
    <row r="1258" spans="1:31" ht="14.15" customHeight="1" x14ac:dyDescent="0.25">
      <c r="A1258" s="12" t="s">
        <v>0</v>
      </c>
      <c r="B1258" s="13" t="s">
        <v>1</v>
      </c>
      <c r="C1258" s="13" t="s">
        <v>2305</v>
      </c>
      <c r="D1258" s="14">
        <v>44219</v>
      </c>
      <c r="E1258" s="14">
        <v>44219</v>
      </c>
      <c r="F1258" s="14">
        <v>44226</v>
      </c>
      <c r="G1258" s="13" t="s">
        <v>3</v>
      </c>
      <c r="H1258" s="13" t="s">
        <v>4</v>
      </c>
      <c r="I1258" s="15">
        <v>-14080.77</v>
      </c>
      <c r="J1258" s="13" t="s">
        <v>5</v>
      </c>
      <c r="K1258" s="13" t="s">
        <v>6</v>
      </c>
      <c r="L1258" s="15">
        <v>-1182080.6399999999</v>
      </c>
      <c r="M1258" s="15">
        <v>-14080.77</v>
      </c>
      <c r="N1258" s="16" t="str">
        <f>IF(M1258="","",IF(M1258&lt;0,-M1258&amp;"_"&amp;COUNTIF(M$2:M1258,M1258),M1258&amp;"_"&amp;COUNTIF(M$2:M1258,M1258)))</f>
        <v>14080.77_1</v>
      </c>
      <c r="O1258" s="17" t="str">
        <f t="shared" si="19"/>
        <v/>
      </c>
      <c r="P1258" s="13" t="s">
        <v>2306</v>
      </c>
      <c r="Q1258" s="13" t="s">
        <v>2282</v>
      </c>
      <c r="R1258" s="13" t="s">
        <v>0</v>
      </c>
      <c r="S1258" s="13" t="s">
        <v>0</v>
      </c>
      <c r="T1258" s="13" t="s">
        <v>9</v>
      </c>
      <c r="U1258" s="13" t="s">
        <v>0</v>
      </c>
      <c r="V1258" s="13" t="s">
        <v>0</v>
      </c>
      <c r="W1258" s="13" t="s">
        <v>0</v>
      </c>
      <c r="X1258" s="13" t="s">
        <v>0</v>
      </c>
      <c r="Y1258" s="13" t="s">
        <v>10</v>
      </c>
      <c r="Z1258" s="13" t="s">
        <v>0</v>
      </c>
      <c r="AA1258" s="14"/>
      <c r="AB1258" s="13" t="s">
        <v>0</v>
      </c>
      <c r="AC1258" s="13" t="s">
        <v>0</v>
      </c>
      <c r="AD1258" s="13" t="s">
        <v>0</v>
      </c>
      <c r="AE1258" s="15">
        <v>0</v>
      </c>
    </row>
    <row r="1259" spans="1:31" ht="14.15" customHeight="1" x14ac:dyDescent="0.25">
      <c r="A1259" s="12" t="s">
        <v>0</v>
      </c>
      <c r="B1259" s="13" t="s">
        <v>1</v>
      </c>
      <c r="C1259" s="13" t="s">
        <v>3631</v>
      </c>
      <c r="D1259" s="14">
        <v>44330</v>
      </c>
      <c r="E1259" s="14">
        <v>44330</v>
      </c>
      <c r="F1259" s="14">
        <v>44336</v>
      </c>
      <c r="G1259" s="13" t="s">
        <v>3</v>
      </c>
      <c r="H1259" s="13" t="s">
        <v>4</v>
      </c>
      <c r="I1259" s="15">
        <v>-14069.48</v>
      </c>
      <c r="J1259" s="13" t="s">
        <v>5</v>
      </c>
      <c r="K1259" s="13" t="s">
        <v>6</v>
      </c>
      <c r="L1259" s="15">
        <v>-1181132.8500000001</v>
      </c>
      <c r="M1259" s="15">
        <v>-14069.48</v>
      </c>
      <c r="N1259" s="16" t="str">
        <f>IF(M1259="","",IF(M1259&lt;0,-M1259&amp;"_"&amp;COUNTIF(M$2:M1259,M1259),M1259&amp;"_"&amp;COUNTIF(M$2:M1259,M1259)))</f>
        <v>14069.48_1</v>
      </c>
      <c r="O1259" s="17" t="str">
        <f t="shared" si="19"/>
        <v/>
      </c>
      <c r="P1259" s="13" t="s">
        <v>3632</v>
      </c>
      <c r="Q1259" s="13" t="s">
        <v>3624</v>
      </c>
      <c r="R1259" s="13" t="s">
        <v>0</v>
      </c>
      <c r="S1259" s="13" t="s">
        <v>0</v>
      </c>
      <c r="T1259" s="13" t="s">
        <v>9</v>
      </c>
      <c r="U1259" s="13" t="s">
        <v>0</v>
      </c>
      <c r="V1259" s="13" t="s">
        <v>0</v>
      </c>
      <c r="W1259" s="13" t="s">
        <v>0</v>
      </c>
      <c r="X1259" s="13" t="s">
        <v>0</v>
      </c>
      <c r="Y1259" s="13" t="s">
        <v>10</v>
      </c>
      <c r="Z1259" s="13" t="s">
        <v>0</v>
      </c>
      <c r="AA1259" s="14"/>
      <c r="AB1259" s="13" t="s">
        <v>0</v>
      </c>
      <c r="AC1259" s="13" t="s">
        <v>0</v>
      </c>
      <c r="AD1259" s="13" t="s">
        <v>0</v>
      </c>
      <c r="AE1259" s="15">
        <v>0</v>
      </c>
    </row>
    <row r="1260" spans="1:31" ht="14.15" customHeight="1" x14ac:dyDescent="0.25">
      <c r="A1260" s="12" t="s">
        <v>0</v>
      </c>
      <c r="B1260" s="13" t="s">
        <v>1</v>
      </c>
      <c r="C1260" s="13" t="s">
        <v>1307</v>
      </c>
      <c r="D1260" s="14">
        <v>44146</v>
      </c>
      <c r="E1260" s="14">
        <v>44146</v>
      </c>
      <c r="F1260" s="14">
        <v>44174</v>
      </c>
      <c r="G1260" s="13" t="s">
        <v>3</v>
      </c>
      <c r="H1260" s="13" t="s">
        <v>4</v>
      </c>
      <c r="I1260" s="15">
        <v>-14066.99</v>
      </c>
      <c r="J1260" s="13" t="s">
        <v>5</v>
      </c>
      <c r="K1260" s="13" t="s">
        <v>6</v>
      </c>
      <c r="L1260" s="15">
        <v>-1180923.81</v>
      </c>
      <c r="M1260" s="15">
        <v>-14066.99</v>
      </c>
      <c r="N1260" s="16" t="str">
        <f>IF(M1260="","",IF(M1260&lt;0,-M1260&amp;"_"&amp;COUNTIF(M$2:M1260,M1260),M1260&amp;"_"&amp;COUNTIF(M$2:M1260,M1260)))</f>
        <v>14066.99_1</v>
      </c>
      <c r="O1260" s="17" t="str">
        <f t="shared" si="19"/>
        <v/>
      </c>
      <c r="P1260" s="13" t="s">
        <v>1308</v>
      </c>
      <c r="Q1260" s="13" t="s">
        <v>1282</v>
      </c>
      <c r="R1260" s="13" t="s">
        <v>0</v>
      </c>
      <c r="S1260" s="13" t="s">
        <v>0</v>
      </c>
      <c r="T1260" s="13" t="s">
        <v>9</v>
      </c>
      <c r="U1260" s="13" t="s">
        <v>0</v>
      </c>
      <c r="V1260" s="13" t="s">
        <v>0</v>
      </c>
      <c r="W1260" s="13" t="s">
        <v>0</v>
      </c>
      <c r="X1260" s="13" t="s">
        <v>0</v>
      </c>
      <c r="Y1260" s="13" t="s">
        <v>10</v>
      </c>
      <c r="Z1260" s="13" t="s">
        <v>0</v>
      </c>
      <c r="AA1260" s="14"/>
      <c r="AB1260" s="13" t="s">
        <v>0</v>
      </c>
      <c r="AC1260" s="13" t="s">
        <v>0</v>
      </c>
      <c r="AD1260" s="13" t="s">
        <v>0</v>
      </c>
      <c r="AE1260" s="15">
        <v>0</v>
      </c>
    </row>
    <row r="1261" spans="1:31" ht="14.15" customHeight="1" x14ac:dyDescent="0.25">
      <c r="A1261" s="12" t="s">
        <v>0</v>
      </c>
      <c r="B1261" s="13" t="s">
        <v>1</v>
      </c>
      <c r="C1261" s="13" t="s">
        <v>2121</v>
      </c>
      <c r="D1261" s="14">
        <v>44201</v>
      </c>
      <c r="E1261" s="14">
        <v>44201</v>
      </c>
      <c r="F1261" s="14">
        <v>44208</v>
      </c>
      <c r="G1261" s="13" t="s">
        <v>3</v>
      </c>
      <c r="H1261" s="13" t="s">
        <v>4</v>
      </c>
      <c r="I1261" s="15">
        <v>-14054.75</v>
      </c>
      <c r="J1261" s="13" t="s">
        <v>5</v>
      </c>
      <c r="K1261" s="13" t="s">
        <v>6</v>
      </c>
      <c r="L1261" s="15">
        <v>-1179896.26</v>
      </c>
      <c r="M1261" s="15">
        <v>-14054.75</v>
      </c>
      <c r="N1261" s="16" t="str">
        <f>IF(M1261="","",IF(M1261&lt;0,-M1261&amp;"_"&amp;COUNTIF(M$2:M1261,M1261),M1261&amp;"_"&amp;COUNTIF(M$2:M1261,M1261)))</f>
        <v>14054.75_1</v>
      </c>
      <c r="O1261" s="17" t="str">
        <f t="shared" si="19"/>
        <v/>
      </c>
      <c r="P1261" s="13" t="s">
        <v>2122</v>
      </c>
      <c r="Q1261" s="13" t="s">
        <v>2116</v>
      </c>
      <c r="R1261" s="13" t="s">
        <v>0</v>
      </c>
      <c r="S1261" s="13" t="s">
        <v>0</v>
      </c>
      <c r="T1261" s="13" t="s">
        <v>9</v>
      </c>
      <c r="U1261" s="13" t="s">
        <v>0</v>
      </c>
      <c r="V1261" s="13" t="s">
        <v>0</v>
      </c>
      <c r="W1261" s="13" t="s">
        <v>0</v>
      </c>
      <c r="X1261" s="13" t="s">
        <v>0</v>
      </c>
      <c r="Y1261" s="13" t="s">
        <v>10</v>
      </c>
      <c r="Z1261" s="13" t="s">
        <v>0</v>
      </c>
      <c r="AA1261" s="14"/>
      <c r="AB1261" s="13" t="s">
        <v>0</v>
      </c>
      <c r="AC1261" s="13" t="s">
        <v>0</v>
      </c>
      <c r="AD1261" s="13" t="s">
        <v>0</v>
      </c>
      <c r="AE1261" s="15">
        <v>0</v>
      </c>
    </row>
    <row r="1262" spans="1:31" ht="14.15" customHeight="1" x14ac:dyDescent="0.25">
      <c r="A1262" s="12" t="s">
        <v>0</v>
      </c>
      <c r="B1262" s="13" t="s">
        <v>1</v>
      </c>
      <c r="C1262" s="13" t="s">
        <v>517</v>
      </c>
      <c r="D1262" s="14">
        <v>44070</v>
      </c>
      <c r="E1262" s="14">
        <v>44070</v>
      </c>
      <c r="F1262" s="14">
        <v>44084</v>
      </c>
      <c r="G1262" s="13" t="s">
        <v>3</v>
      </c>
      <c r="H1262" s="13" t="s">
        <v>4</v>
      </c>
      <c r="I1262" s="15">
        <v>-14051</v>
      </c>
      <c r="J1262" s="13" t="s">
        <v>5</v>
      </c>
      <c r="K1262" s="13" t="s">
        <v>6</v>
      </c>
      <c r="L1262" s="15">
        <v>-1179581.45</v>
      </c>
      <c r="M1262" s="15">
        <v>-14051</v>
      </c>
      <c r="N1262" s="16" t="str">
        <f>IF(M1262="","",IF(M1262&lt;0,-M1262&amp;"_"&amp;COUNTIF(M$2:M1262,M1262),M1262&amp;"_"&amp;COUNTIF(M$2:M1262,M1262)))</f>
        <v>14051_1</v>
      </c>
      <c r="O1262" s="17" t="str">
        <f t="shared" si="19"/>
        <v/>
      </c>
      <c r="P1262" s="13" t="s">
        <v>518</v>
      </c>
      <c r="Q1262" s="13" t="s">
        <v>519</v>
      </c>
      <c r="R1262" s="13" t="s">
        <v>0</v>
      </c>
      <c r="S1262" s="13" t="s">
        <v>0</v>
      </c>
      <c r="T1262" s="13" t="s">
        <v>9</v>
      </c>
      <c r="U1262" s="13" t="s">
        <v>0</v>
      </c>
      <c r="V1262" s="13" t="s">
        <v>0</v>
      </c>
      <c r="W1262" s="13" t="s">
        <v>0</v>
      </c>
      <c r="X1262" s="13" t="s">
        <v>0</v>
      </c>
      <c r="Y1262" s="13" t="s">
        <v>10</v>
      </c>
      <c r="Z1262" s="13" t="s">
        <v>0</v>
      </c>
      <c r="AA1262" s="14"/>
      <c r="AB1262" s="13" t="s">
        <v>0</v>
      </c>
      <c r="AC1262" s="13" t="s">
        <v>0</v>
      </c>
      <c r="AD1262" s="13" t="s">
        <v>0</v>
      </c>
      <c r="AE1262" s="15">
        <v>0</v>
      </c>
    </row>
    <row r="1263" spans="1:31" ht="14.15" customHeight="1" x14ac:dyDescent="0.25">
      <c r="A1263" s="12" t="s">
        <v>0</v>
      </c>
      <c r="B1263" s="13" t="s">
        <v>1</v>
      </c>
      <c r="C1263" s="13" t="s">
        <v>1764</v>
      </c>
      <c r="D1263" s="14">
        <v>44181</v>
      </c>
      <c r="E1263" s="14">
        <v>44181</v>
      </c>
      <c r="F1263" s="14">
        <v>44185</v>
      </c>
      <c r="G1263" s="13" t="s">
        <v>3</v>
      </c>
      <c r="H1263" s="13" t="s">
        <v>4</v>
      </c>
      <c r="I1263" s="15">
        <v>-14031.55</v>
      </c>
      <c r="J1263" s="13" t="s">
        <v>5</v>
      </c>
      <c r="K1263" s="13" t="s">
        <v>6</v>
      </c>
      <c r="L1263" s="15">
        <v>-1177948.6200000001</v>
      </c>
      <c r="M1263" s="15">
        <v>-14031.55</v>
      </c>
      <c r="N1263" s="16" t="str">
        <f>IF(M1263="","",IF(M1263&lt;0,-M1263&amp;"_"&amp;COUNTIF(M$2:M1263,M1263),M1263&amp;"_"&amp;COUNTIF(M$2:M1263,M1263)))</f>
        <v>14031.55_1</v>
      </c>
      <c r="O1263" s="17" t="str">
        <f t="shared" si="19"/>
        <v/>
      </c>
      <c r="P1263" s="13" t="s">
        <v>1765</v>
      </c>
      <c r="Q1263" s="13" t="s">
        <v>1766</v>
      </c>
      <c r="R1263" s="13" t="s">
        <v>0</v>
      </c>
      <c r="S1263" s="13" t="s">
        <v>0</v>
      </c>
      <c r="T1263" s="13" t="s">
        <v>9</v>
      </c>
      <c r="U1263" s="13" t="s">
        <v>0</v>
      </c>
      <c r="V1263" s="13" t="s">
        <v>0</v>
      </c>
      <c r="W1263" s="13" t="s">
        <v>0</v>
      </c>
      <c r="X1263" s="13" t="s">
        <v>0</v>
      </c>
      <c r="Y1263" s="13" t="s">
        <v>10</v>
      </c>
      <c r="Z1263" s="13" t="s">
        <v>0</v>
      </c>
      <c r="AA1263" s="14"/>
      <c r="AB1263" s="13" t="s">
        <v>0</v>
      </c>
      <c r="AC1263" s="13" t="s">
        <v>0</v>
      </c>
      <c r="AD1263" s="13" t="s">
        <v>0</v>
      </c>
      <c r="AE1263" s="15">
        <v>0</v>
      </c>
    </row>
    <row r="1264" spans="1:31" ht="14.15" customHeight="1" x14ac:dyDescent="0.25">
      <c r="A1264" s="12" t="s">
        <v>0</v>
      </c>
      <c r="B1264" s="13" t="s">
        <v>1</v>
      </c>
      <c r="C1264" s="13" t="s">
        <v>3287</v>
      </c>
      <c r="D1264" s="14">
        <v>44314</v>
      </c>
      <c r="E1264" s="14">
        <v>44314</v>
      </c>
      <c r="F1264" s="14">
        <v>44319</v>
      </c>
      <c r="G1264" s="13" t="s">
        <v>3</v>
      </c>
      <c r="H1264" s="13" t="s">
        <v>4</v>
      </c>
      <c r="I1264" s="15">
        <v>-14023.5</v>
      </c>
      <c r="J1264" s="13" t="s">
        <v>5</v>
      </c>
      <c r="K1264" s="13" t="s">
        <v>6</v>
      </c>
      <c r="L1264" s="15">
        <v>-1177272.83</v>
      </c>
      <c r="M1264" s="15">
        <v>-14023.5</v>
      </c>
      <c r="N1264" s="16" t="str">
        <f>IF(M1264="","",IF(M1264&lt;0,-M1264&amp;"_"&amp;COUNTIF(M$2:M1264,M1264),M1264&amp;"_"&amp;COUNTIF(M$2:M1264,M1264)))</f>
        <v>14023.5_1</v>
      </c>
      <c r="O1264" s="17" t="str">
        <f t="shared" si="19"/>
        <v/>
      </c>
      <c r="P1264" s="13" t="s">
        <v>3288</v>
      </c>
      <c r="Q1264" s="13" t="s">
        <v>3284</v>
      </c>
      <c r="R1264" s="13" t="s">
        <v>0</v>
      </c>
      <c r="S1264" s="13" t="s">
        <v>0</v>
      </c>
      <c r="T1264" s="13" t="s">
        <v>9</v>
      </c>
      <c r="U1264" s="13" t="s">
        <v>0</v>
      </c>
      <c r="V1264" s="13" t="s">
        <v>0</v>
      </c>
      <c r="W1264" s="13" t="s">
        <v>0</v>
      </c>
      <c r="X1264" s="13" t="s">
        <v>0</v>
      </c>
      <c r="Y1264" s="13" t="s">
        <v>10</v>
      </c>
      <c r="Z1264" s="13" t="s">
        <v>0</v>
      </c>
      <c r="AA1264" s="14"/>
      <c r="AB1264" s="13" t="s">
        <v>0</v>
      </c>
      <c r="AC1264" s="13" t="s">
        <v>0</v>
      </c>
      <c r="AD1264" s="13" t="s">
        <v>0</v>
      </c>
      <c r="AE1264" s="15">
        <v>0</v>
      </c>
    </row>
    <row r="1265" spans="1:31" ht="14.15" customHeight="1" x14ac:dyDescent="0.25">
      <c r="A1265" s="12" t="s">
        <v>0</v>
      </c>
      <c r="B1265" s="13" t="s">
        <v>1</v>
      </c>
      <c r="C1265" s="13" t="s">
        <v>3027</v>
      </c>
      <c r="D1265" s="14">
        <v>44281</v>
      </c>
      <c r="E1265" s="14">
        <v>44281</v>
      </c>
      <c r="F1265" s="14">
        <v>44290</v>
      </c>
      <c r="G1265" s="13" t="s">
        <v>3</v>
      </c>
      <c r="H1265" s="13" t="s">
        <v>4</v>
      </c>
      <c r="I1265" s="15">
        <v>-14019.06</v>
      </c>
      <c r="J1265" s="13" t="s">
        <v>5</v>
      </c>
      <c r="K1265" s="13" t="s">
        <v>6</v>
      </c>
      <c r="L1265" s="15">
        <v>-1176900.0900000001</v>
      </c>
      <c r="M1265" s="15">
        <v>-14019.06</v>
      </c>
      <c r="N1265" s="16" t="str">
        <f>IF(M1265="","",IF(M1265&lt;0,-M1265&amp;"_"&amp;COUNTIF(M$2:M1265,M1265),M1265&amp;"_"&amp;COUNTIF(M$2:M1265,M1265)))</f>
        <v>14019.06_1</v>
      </c>
      <c r="O1265" s="17" t="str">
        <f t="shared" si="19"/>
        <v/>
      </c>
      <c r="P1265" s="13" t="s">
        <v>3028</v>
      </c>
      <c r="Q1265" s="13" t="s">
        <v>3014</v>
      </c>
      <c r="R1265" s="13" t="s">
        <v>0</v>
      </c>
      <c r="S1265" s="13" t="s">
        <v>0</v>
      </c>
      <c r="T1265" s="13" t="s">
        <v>9</v>
      </c>
      <c r="U1265" s="13" t="s">
        <v>0</v>
      </c>
      <c r="V1265" s="13" t="s">
        <v>0</v>
      </c>
      <c r="W1265" s="13" t="s">
        <v>0</v>
      </c>
      <c r="X1265" s="13" t="s">
        <v>0</v>
      </c>
      <c r="Y1265" s="13" t="s">
        <v>10</v>
      </c>
      <c r="Z1265" s="13" t="s">
        <v>0</v>
      </c>
      <c r="AA1265" s="14"/>
      <c r="AB1265" s="13" t="s">
        <v>0</v>
      </c>
      <c r="AC1265" s="13" t="s">
        <v>0</v>
      </c>
      <c r="AD1265" s="13" t="s">
        <v>0</v>
      </c>
      <c r="AE1265" s="15">
        <v>0</v>
      </c>
    </row>
    <row r="1266" spans="1:31" ht="14.15" customHeight="1" x14ac:dyDescent="0.25">
      <c r="A1266" s="12" t="s">
        <v>0</v>
      </c>
      <c r="B1266" s="13" t="s">
        <v>1</v>
      </c>
      <c r="C1266" s="13" t="s">
        <v>1884</v>
      </c>
      <c r="D1266" s="14">
        <v>44189</v>
      </c>
      <c r="E1266" s="14">
        <v>44189</v>
      </c>
      <c r="F1266" s="14">
        <v>44194</v>
      </c>
      <c r="G1266" s="13" t="s">
        <v>3</v>
      </c>
      <c r="H1266" s="13" t="s">
        <v>4</v>
      </c>
      <c r="I1266" s="15">
        <v>-14010.9</v>
      </c>
      <c r="J1266" s="13" t="s">
        <v>5</v>
      </c>
      <c r="K1266" s="13" t="s">
        <v>6</v>
      </c>
      <c r="L1266" s="15">
        <v>-1176215.06</v>
      </c>
      <c r="M1266" s="15">
        <v>-14010.9</v>
      </c>
      <c r="N1266" s="16" t="str">
        <f>IF(M1266="","",IF(M1266&lt;0,-M1266&amp;"_"&amp;COUNTIF(M$2:M1266,M1266),M1266&amp;"_"&amp;COUNTIF(M$2:M1266,M1266)))</f>
        <v>14010.9_1</v>
      </c>
      <c r="O1266" s="17" t="str">
        <f t="shared" si="19"/>
        <v/>
      </c>
      <c r="P1266" s="13" t="s">
        <v>1885</v>
      </c>
      <c r="Q1266" s="13" t="s">
        <v>1886</v>
      </c>
      <c r="R1266" s="13" t="s">
        <v>0</v>
      </c>
      <c r="S1266" s="13" t="s">
        <v>0</v>
      </c>
      <c r="T1266" s="13" t="s">
        <v>9</v>
      </c>
      <c r="U1266" s="13" t="s">
        <v>0</v>
      </c>
      <c r="V1266" s="13" t="s">
        <v>0</v>
      </c>
      <c r="W1266" s="13" t="s">
        <v>0</v>
      </c>
      <c r="X1266" s="13" t="s">
        <v>0</v>
      </c>
      <c r="Y1266" s="13" t="s">
        <v>10</v>
      </c>
      <c r="Z1266" s="13" t="s">
        <v>0</v>
      </c>
      <c r="AA1266" s="14"/>
      <c r="AB1266" s="13" t="s">
        <v>0</v>
      </c>
      <c r="AC1266" s="13" t="s">
        <v>0</v>
      </c>
      <c r="AD1266" s="13" t="s">
        <v>0</v>
      </c>
      <c r="AE1266" s="15">
        <v>0</v>
      </c>
    </row>
    <row r="1267" spans="1:31" ht="14.15" customHeight="1" x14ac:dyDescent="0.25">
      <c r="A1267" s="12" t="s">
        <v>0</v>
      </c>
      <c r="B1267" s="13" t="s">
        <v>1</v>
      </c>
      <c r="C1267" s="13" t="s">
        <v>2418</v>
      </c>
      <c r="D1267" s="14">
        <v>44229</v>
      </c>
      <c r="E1267" s="14">
        <v>44229</v>
      </c>
      <c r="F1267" s="14">
        <v>44241</v>
      </c>
      <c r="G1267" s="13" t="s">
        <v>3</v>
      </c>
      <c r="H1267" s="13" t="s">
        <v>4</v>
      </c>
      <c r="I1267" s="15">
        <v>-14000.92</v>
      </c>
      <c r="J1267" s="13" t="s">
        <v>5</v>
      </c>
      <c r="K1267" s="13" t="s">
        <v>6</v>
      </c>
      <c r="L1267" s="15">
        <v>-1175377.23</v>
      </c>
      <c r="M1267" s="15">
        <v>-14000.92</v>
      </c>
      <c r="N1267" s="16" t="str">
        <f>IF(M1267="","",IF(M1267&lt;0,-M1267&amp;"_"&amp;COUNTIF(M$2:M1267,M1267),M1267&amp;"_"&amp;COUNTIF(M$2:M1267,M1267)))</f>
        <v>14000.92_1</v>
      </c>
      <c r="O1267" s="17" t="str">
        <f t="shared" si="19"/>
        <v/>
      </c>
      <c r="P1267" s="13" t="s">
        <v>2419</v>
      </c>
      <c r="Q1267" s="13" t="s">
        <v>2415</v>
      </c>
      <c r="R1267" s="13" t="s">
        <v>0</v>
      </c>
      <c r="S1267" s="13" t="s">
        <v>0</v>
      </c>
      <c r="T1267" s="13" t="s">
        <v>9</v>
      </c>
      <c r="U1267" s="13" t="s">
        <v>0</v>
      </c>
      <c r="V1267" s="13" t="s">
        <v>0</v>
      </c>
      <c r="W1267" s="13" t="s">
        <v>0</v>
      </c>
      <c r="X1267" s="13" t="s">
        <v>0</v>
      </c>
      <c r="Y1267" s="13" t="s">
        <v>10</v>
      </c>
      <c r="Z1267" s="13" t="s">
        <v>0</v>
      </c>
      <c r="AA1267" s="14"/>
      <c r="AB1267" s="13" t="s">
        <v>0</v>
      </c>
      <c r="AC1267" s="13" t="s">
        <v>0</v>
      </c>
      <c r="AD1267" s="13" t="s">
        <v>0</v>
      </c>
      <c r="AE1267" s="15">
        <v>0</v>
      </c>
    </row>
    <row r="1268" spans="1:31" ht="14.15" customHeight="1" x14ac:dyDescent="0.25">
      <c r="A1268" s="12" t="s">
        <v>0</v>
      </c>
      <c r="B1268" s="13" t="s">
        <v>1</v>
      </c>
      <c r="C1268" s="13" t="s">
        <v>1314</v>
      </c>
      <c r="D1268" s="14">
        <v>44147</v>
      </c>
      <c r="E1268" s="14">
        <v>44147</v>
      </c>
      <c r="F1268" s="14">
        <v>44150</v>
      </c>
      <c r="G1268" s="13" t="s">
        <v>3</v>
      </c>
      <c r="H1268" s="13" t="s">
        <v>4</v>
      </c>
      <c r="I1268" s="15">
        <v>-13996.17</v>
      </c>
      <c r="J1268" s="13" t="s">
        <v>5</v>
      </c>
      <c r="K1268" s="13" t="s">
        <v>6</v>
      </c>
      <c r="L1268" s="15">
        <v>-1174978.47</v>
      </c>
      <c r="M1268" s="15">
        <v>-13996.17</v>
      </c>
      <c r="N1268" s="16" t="str">
        <f>IF(M1268="","",IF(M1268&lt;0,-M1268&amp;"_"&amp;COUNTIF(M$2:M1268,M1268),M1268&amp;"_"&amp;COUNTIF(M$2:M1268,M1268)))</f>
        <v>13996.17_1</v>
      </c>
      <c r="O1268" s="17" t="str">
        <f t="shared" si="19"/>
        <v/>
      </c>
      <c r="P1268" s="13" t="s">
        <v>1315</v>
      </c>
      <c r="Q1268" s="13" t="s">
        <v>1313</v>
      </c>
      <c r="R1268" s="13" t="s">
        <v>0</v>
      </c>
      <c r="S1268" s="13" t="s">
        <v>0</v>
      </c>
      <c r="T1268" s="13" t="s">
        <v>9</v>
      </c>
      <c r="U1268" s="13" t="s">
        <v>0</v>
      </c>
      <c r="V1268" s="13" t="s">
        <v>0</v>
      </c>
      <c r="W1268" s="13" t="s">
        <v>0</v>
      </c>
      <c r="X1268" s="13" t="s">
        <v>0</v>
      </c>
      <c r="Y1268" s="13" t="s">
        <v>10</v>
      </c>
      <c r="Z1268" s="13" t="s">
        <v>0</v>
      </c>
      <c r="AA1268" s="14"/>
      <c r="AB1268" s="13" t="s">
        <v>0</v>
      </c>
      <c r="AC1268" s="13" t="s">
        <v>0</v>
      </c>
      <c r="AD1268" s="13" t="s">
        <v>0</v>
      </c>
      <c r="AE1268" s="15">
        <v>0</v>
      </c>
    </row>
    <row r="1269" spans="1:31" ht="14.15" customHeight="1" x14ac:dyDescent="0.25">
      <c r="A1269" s="12" t="s">
        <v>0</v>
      </c>
      <c r="B1269" s="13" t="s">
        <v>1</v>
      </c>
      <c r="C1269" s="13" t="s">
        <v>1271</v>
      </c>
      <c r="D1269" s="14">
        <v>44144</v>
      </c>
      <c r="E1269" s="14">
        <v>44144</v>
      </c>
      <c r="F1269" s="14">
        <v>44149</v>
      </c>
      <c r="G1269" s="13" t="s">
        <v>3</v>
      </c>
      <c r="H1269" s="13" t="s">
        <v>4</v>
      </c>
      <c r="I1269" s="15">
        <v>-13992.92</v>
      </c>
      <c r="J1269" s="13" t="s">
        <v>5</v>
      </c>
      <c r="K1269" s="13" t="s">
        <v>6</v>
      </c>
      <c r="L1269" s="15">
        <v>-1174705.6399999999</v>
      </c>
      <c r="M1269" s="15">
        <v>-13992.92</v>
      </c>
      <c r="N1269" s="16" t="str">
        <f>IF(M1269="","",IF(M1269&lt;0,-M1269&amp;"_"&amp;COUNTIF(M$2:M1269,M1269),M1269&amp;"_"&amp;COUNTIF(M$2:M1269,M1269)))</f>
        <v>13992.92_1</v>
      </c>
      <c r="O1269" s="17" t="str">
        <f t="shared" si="19"/>
        <v/>
      </c>
      <c r="P1269" s="13" t="s">
        <v>1272</v>
      </c>
      <c r="Q1269" s="13" t="s">
        <v>1270</v>
      </c>
      <c r="R1269" s="13" t="s">
        <v>0</v>
      </c>
      <c r="S1269" s="13" t="s">
        <v>0</v>
      </c>
      <c r="T1269" s="13" t="s">
        <v>9</v>
      </c>
      <c r="U1269" s="13" t="s">
        <v>0</v>
      </c>
      <c r="V1269" s="13" t="s">
        <v>0</v>
      </c>
      <c r="W1269" s="13" t="s">
        <v>0</v>
      </c>
      <c r="X1269" s="13" t="s">
        <v>0</v>
      </c>
      <c r="Y1269" s="13" t="s">
        <v>10</v>
      </c>
      <c r="Z1269" s="13" t="s">
        <v>0</v>
      </c>
      <c r="AA1269" s="14"/>
      <c r="AB1269" s="13" t="s">
        <v>0</v>
      </c>
      <c r="AC1269" s="13" t="s">
        <v>0</v>
      </c>
      <c r="AD1269" s="13" t="s">
        <v>0</v>
      </c>
      <c r="AE1269" s="15">
        <v>0</v>
      </c>
    </row>
    <row r="1270" spans="1:31" ht="14.15" customHeight="1" x14ac:dyDescent="0.25">
      <c r="A1270" s="12" t="s">
        <v>0</v>
      </c>
      <c r="B1270" s="13" t="s">
        <v>303</v>
      </c>
      <c r="C1270" s="13" t="s">
        <v>1567</v>
      </c>
      <c r="D1270" s="14">
        <v>44165</v>
      </c>
      <c r="E1270" s="14">
        <v>44165</v>
      </c>
      <c r="F1270" s="14">
        <v>44171</v>
      </c>
      <c r="G1270" s="13" t="s">
        <v>48</v>
      </c>
      <c r="H1270" s="13" t="s">
        <v>4</v>
      </c>
      <c r="I1270" s="15">
        <v>-13990.82</v>
      </c>
      <c r="J1270" s="13" t="s">
        <v>5</v>
      </c>
      <c r="K1270" s="13" t="s">
        <v>6</v>
      </c>
      <c r="L1270" s="15">
        <v>-1174529.3400000001</v>
      </c>
      <c r="M1270" s="15">
        <v>-13990.82</v>
      </c>
      <c r="N1270" s="16" t="str">
        <f>IF(M1270="","",IF(M1270&lt;0,-M1270&amp;"_"&amp;COUNTIF(M$2:M1270,M1270),M1270&amp;"_"&amp;COUNTIF(M$2:M1270,M1270)))</f>
        <v>13990.82_1</v>
      </c>
      <c r="O1270" s="17" t="str">
        <f t="shared" si="19"/>
        <v/>
      </c>
      <c r="P1270" s="13" t="s">
        <v>1568</v>
      </c>
      <c r="Q1270" s="13" t="s">
        <v>1568</v>
      </c>
      <c r="R1270" s="13" t="s">
        <v>306</v>
      </c>
      <c r="S1270" s="13" t="s">
        <v>0</v>
      </c>
      <c r="T1270" s="13" t="s">
        <v>9</v>
      </c>
      <c r="U1270" s="13" t="s">
        <v>307</v>
      </c>
      <c r="V1270" s="13" t="s">
        <v>0</v>
      </c>
      <c r="W1270" s="13" t="s">
        <v>0</v>
      </c>
      <c r="X1270" s="13" t="s">
        <v>0</v>
      </c>
      <c r="Y1270" s="13" t="s">
        <v>291</v>
      </c>
      <c r="Z1270" s="13" t="s">
        <v>0</v>
      </c>
      <c r="AA1270" s="14"/>
      <c r="AB1270" s="13" t="s">
        <v>0</v>
      </c>
      <c r="AC1270" s="13" t="s">
        <v>0</v>
      </c>
      <c r="AD1270" s="13" t="s">
        <v>0</v>
      </c>
      <c r="AE1270" s="15">
        <v>0</v>
      </c>
    </row>
    <row r="1271" spans="1:31" ht="14.15" customHeight="1" x14ac:dyDescent="0.25">
      <c r="A1271" s="12" t="s">
        <v>0</v>
      </c>
      <c r="B1271" s="13" t="s">
        <v>1</v>
      </c>
      <c r="C1271" s="13" t="s">
        <v>2655</v>
      </c>
      <c r="D1271" s="14">
        <v>44250</v>
      </c>
      <c r="E1271" s="14">
        <v>44250</v>
      </c>
      <c r="F1271" s="14">
        <v>44254</v>
      </c>
      <c r="G1271" s="13" t="s">
        <v>3</v>
      </c>
      <c r="H1271" s="13" t="s">
        <v>4</v>
      </c>
      <c r="I1271" s="15">
        <v>-13980.2</v>
      </c>
      <c r="J1271" s="13" t="s">
        <v>5</v>
      </c>
      <c r="K1271" s="13" t="s">
        <v>6</v>
      </c>
      <c r="L1271" s="15">
        <v>-1173637.79</v>
      </c>
      <c r="M1271" s="15">
        <v>-13980.2</v>
      </c>
      <c r="N1271" s="16" t="str">
        <f>IF(M1271="","",IF(M1271&lt;0,-M1271&amp;"_"&amp;COUNTIF(M$2:M1271,M1271),M1271&amp;"_"&amp;COUNTIF(M$2:M1271,M1271)))</f>
        <v>13980.2_1</v>
      </c>
      <c r="O1271" s="17" t="str">
        <f t="shared" si="19"/>
        <v/>
      </c>
      <c r="P1271" s="13" t="s">
        <v>2656</v>
      </c>
      <c r="Q1271" s="13" t="s">
        <v>2657</v>
      </c>
      <c r="R1271" s="13" t="s">
        <v>0</v>
      </c>
      <c r="S1271" s="13" t="s">
        <v>0</v>
      </c>
      <c r="T1271" s="13" t="s">
        <v>9</v>
      </c>
      <c r="U1271" s="13" t="s">
        <v>0</v>
      </c>
      <c r="V1271" s="13" t="s">
        <v>0</v>
      </c>
      <c r="W1271" s="13" t="s">
        <v>0</v>
      </c>
      <c r="X1271" s="13" t="s">
        <v>0</v>
      </c>
      <c r="Y1271" s="13" t="s">
        <v>10</v>
      </c>
      <c r="Z1271" s="13" t="s">
        <v>0</v>
      </c>
      <c r="AA1271" s="14"/>
      <c r="AB1271" s="13" t="s">
        <v>0</v>
      </c>
      <c r="AC1271" s="13" t="s">
        <v>0</v>
      </c>
      <c r="AD1271" s="13" t="s">
        <v>0</v>
      </c>
      <c r="AE1271" s="15">
        <v>0</v>
      </c>
    </row>
    <row r="1272" spans="1:31" ht="14.15" customHeight="1" x14ac:dyDescent="0.25">
      <c r="A1272" s="12" t="s">
        <v>0</v>
      </c>
      <c r="B1272" s="13" t="s">
        <v>1</v>
      </c>
      <c r="C1272" s="13" t="s">
        <v>4280</v>
      </c>
      <c r="D1272" s="14">
        <v>44370</v>
      </c>
      <c r="E1272" s="14">
        <v>44370</v>
      </c>
      <c r="F1272" s="14">
        <v>44377</v>
      </c>
      <c r="G1272" s="13" t="s">
        <v>3</v>
      </c>
      <c r="H1272" s="13" t="s">
        <v>4</v>
      </c>
      <c r="I1272" s="15">
        <v>-13959.35</v>
      </c>
      <c r="J1272" s="13" t="s">
        <v>5</v>
      </c>
      <c r="K1272" s="13" t="s">
        <v>6</v>
      </c>
      <c r="L1272" s="15">
        <v>-1171887.43</v>
      </c>
      <c r="M1272" s="15">
        <v>-13959.35</v>
      </c>
      <c r="N1272" s="16" t="str">
        <f>IF(M1272="","",IF(M1272&lt;0,-M1272&amp;"_"&amp;COUNTIF(M$2:M1272,M1272),M1272&amp;"_"&amp;COUNTIF(M$2:M1272,M1272)))</f>
        <v>13959.35_1</v>
      </c>
      <c r="O1272" s="17" t="str">
        <f t="shared" si="19"/>
        <v/>
      </c>
      <c r="P1272" s="13" t="s">
        <v>4281</v>
      </c>
      <c r="Q1272" s="13" t="s">
        <v>4269</v>
      </c>
      <c r="R1272" s="13" t="s">
        <v>0</v>
      </c>
      <c r="S1272" s="13" t="s">
        <v>0</v>
      </c>
      <c r="T1272" s="13" t="s">
        <v>9</v>
      </c>
      <c r="U1272" s="13" t="s">
        <v>0</v>
      </c>
      <c r="V1272" s="13" t="s">
        <v>0</v>
      </c>
      <c r="W1272" s="13" t="s">
        <v>0</v>
      </c>
      <c r="X1272" s="13" t="s">
        <v>0</v>
      </c>
      <c r="Y1272" s="13" t="s">
        <v>10</v>
      </c>
      <c r="Z1272" s="13" t="s">
        <v>0</v>
      </c>
      <c r="AA1272" s="14"/>
      <c r="AB1272" s="13" t="s">
        <v>0</v>
      </c>
      <c r="AC1272" s="13" t="s">
        <v>0</v>
      </c>
      <c r="AD1272" s="13" t="s">
        <v>0</v>
      </c>
      <c r="AE1272" s="15">
        <v>0</v>
      </c>
    </row>
    <row r="1273" spans="1:31" ht="14.15" customHeight="1" x14ac:dyDescent="0.25">
      <c r="A1273" s="12" t="s">
        <v>0</v>
      </c>
      <c r="B1273" s="13" t="s">
        <v>1</v>
      </c>
      <c r="C1273" s="13" t="s">
        <v>2595</v>
      </c>
      <c r="D1273" s="14">
        <v>44243</v>
      </c>
      <c r="E1273" s="14">
        <v>44243</v>
      </c>
      <c r="F1273" s="14">
        <v>44252</v>
      </c>
      <c r="G1273" s="13" t="s">
        <v>3</v>
      </c>
      <c r="H1273" s="13" t="s">
        <v>4</v>
      </c>
      <c r="I1273" s="15">
        <v>-13944.28</v>
      </c>
      <c r="J1273" s="13" t="s">
        <v>5</v>
      </c>
      <c r="K1273" s="13" t="s">
        <v>6</v>
      </c>
      <c r="L1273" s="15">
        <v>-1170622.31</v>
      </c>
      <c r="M1273" s="15">
        <v>-13944.28</v>
      </c>
      <c r="N1273" s="16" t="str">
        <f>IF(M1273="","",IF(M1273&lt;0,-M1273&amp;"_"&amp;COUNTIF(M$2:M1273,M1273),M1273&amp;"_"&amp;COUNTIF(M$2:M1273,M1273)))</f>
        <v>13944.28_1</v>
      </c>
      <c r="O1273" s="17" t="str">
        <f t="shared" si="19"/>
        <v/>
      </c>
      <c r="P1273" s="13" t="s">
        <v>2596</v>
      </c>
      <c r="Q1273" s="13" t="s">
        <v>2574</v>
      </c>
      <c r="R1273" s="13" t="s">
        <v>0</v>
      </c>
      <c r="S1273" s="13" t="s">
        <v>0</v>
      </c>
      <c r="T1273" s="13" t="s">
        <v>9</v>
      </c>
      <c r="U1273" s="13" t="s">
        <v>0</v>
      </c>
      <c r="V1273" s="13" t="s">
        <v>0</v>
      </c>
      <c r="W1273" s="13" t="s">
        <v>0</v>
      </c>
      <c r="X1273" s="13" t="s">
        <v>0</v>
      </c>
      <c r="Y1273" s="13" t="s">
        <v>10</v>
      </c>
      <c r="Z1273" s="13" t="s">
        <v>0</v>
      </c>
      <c r="AA1273" s="14"/>
      <c r="AB1273" s="13" t="s">
        <v>0</v>
      </c>
      <c r="AC1273" s="13" t="s">
        <v>0</v>
      </c>
      <c r="AD1273" s="13" t="s">
        <v>0</v>
      </c>
      <c r="AE1273" s="15">
        <v>0</v>
      </c>
    </row>
    <row r="1274" spans="1:31" ht="14.15" customHeight="1" x14ac:dyDescent="0.25">
      <c r="A1274" s="12" t="s">
        <v>0</v>
      </c>
      <c r="B1274" s="13" t="s">
        <v>1</v>
      </c>
      <c r="C1274" s="13" t="s">
        <v>1227</v>
      </c>
      <c r="D1274" s="14">
        <v>44142</v>
      </c>
      <c r="E1274" s="14">
        <v>44142</v>
      </c>
      <c r="F1274" s="14">
        <v>44149</v>
      </c>
      <c r="G1274" s="13" t="s">
        <v>3</v>
      </c>
      <c r="H1274" s="13" t="s">
        <v>4</v>
      </c>
      <c r="I1274" s="15">
        <v>-13899.78</v>
      </c>
      <c r="J1274" s="13" t="s">
        <v>5</v>
      </c>
      <c r="K1274" s="13" t="s">
        <v>6</v>
      </c>
      <c r="L1274" s="15">
        <v>-1166886.53</v>
      </c>
      <c r="M1274" s="15">
        <v>-13899.78</v>
      </c>
      <c r="N1274" s="16" t="str">
        <f>IF(M1274="","",IF(M1274&lt;0,-M1274&amp;"_"&amp;COUNTIF(M$2:M1274,M1274),M1274&amp;"_"&amp;COUNTIF(M$2:M1274,M1274)))</f>
        <v>13899.78_1</v>
      </c>
      <c r="O1274" s="17" t="str">
        <f t="shared" si="19"/>
        <v/>
      </c>
      <c r="P1274" s="13" t="s">
        <v>1228</v>
      </c>
      <c r="Q1274" s="13" t="s">
        <v>1229</v>
      </c>
      <c r="R1274" s="13" t="s">
        <v>0</v>
      </c>
      <c r="S1274" s="13" t="s">
        <v>0</v>
      </c>
      <c r="T1274" s="13" t="s">
        <v>9</v>
      </c>
      <c r="U1274" s="13" t="s">
        <v>0</v>
      </c>
      <c r="V1274" s="13" t="s">
        <v>0</v>
      </c>
      <c r="W1274" s="13" t="s">
        <v>0</v>
      </c>
      <c r="X1274" s="13" t="s">
        <v>0</v>
      </c>
      <c r="Y1274" s="13" t="s">
        <v>10</v>
      </c>
      <c r="Z1274" s="13" t="s">
        <v>0</v>
      </c>
      <c r="AA1274" s="14"/>
      <c r="AB1274" s="13" t="s">
        <v>0</v>
      </c>
      <c r="AC1274" s="13" t="s">
        <v>0</v>
      </c>
      <c r="AD1274" s="13" t="s">
        <v>0</v>
      </c>
      <c r="AE1274" s="15">
        <v>0</v>
      </c>
    </row>
    <row r="1275" spans="1:31" ht="14.15" customHeight="1" x14ac:dyDescent="0.25">
      <c r="A1275" s="12" t="s">
        <v>0</v>
      </c>
      <c r="B1275" s="13" t="s">
        <v>1</v>
      </c>
      <c r="C1275" s="13" t="s">
        <v>4278</v>
      </c>
      <c r="D1275" s="14">
        <v>44370</v>
      </c>
      <c r="E1275" s="14">
        <v>44370</v>
      </c>
      <c r="F1275" s="14">
        <v>44377</v>
      </c>
      <c r="G1275" s="13" t="s">
        <v>3</v>
      </c>
      <c r="H1275" s="13" t="s">
        <v>4</v>
      </c>
      <c r="I1275" s="15">
        <v>-13870.01</v>
      </c>
      <c r="J1275" s="13" t="s">
        <v>5</v>
      </c>
      <c r="K1275" s="13" t="s">
        <v>6</v>
      </c>
      <c r="L1275" s="15">
        <v>-1164387.3400000001</v>
      </c>
      <c r="M1275" s="15">
        <v>-13870.01</v>
      </c>
      <c r="N1275" s="16" t="str">
        <f>IF(M1275="","",IF(M1275&lt;0,-M1275&amp;"_"&amp;COUNTIF(M$2:M1275,M1275),M1275&amp;"_"&amp;COUNTIF(M$2:M1275,M1275)))</f>
        <v>13870.01_1</v>
      </c>
      <c r="O1275" s="17" t="str">
        <f t="shared" si="19"/>
        <v/>
      </c>
      <c r="P1275" s="13" t="s">
        <v>4279</v>
      </c>
      <c r="Q1275" s="13" t="s">
        <v>4269</v>
      </c>
      <c r="R1275" s="13" t="s">
        <v>0</v>
      </c>
      <c r="S1275" s="13" t="s">
        <v>0</v>
      </c>
      <c r="T1275" s="13" t="s">
        <v>9</v>
      </c>
      <c r="U1275" s="13" t="s">
        <v>0</v>
      </c>
      <c r="V1275" s="13" t="s">
        <v>0</v>
      </c>
      <c r="W1275" s="13" t="s">
        <v>0</v>
      </c>
      <c r="X1275" s="13" t="s">
        <v>0</v>
      </c>
      <c r="Y1275" s="13" t="s">
        <v>10</v>
      </c>
      <c r="Z1275" s="13" t="s">
        <v>0</v>
      </c>
      <c r="AA1275" s="14"/>
      <c r="AB1275" s="13" t="s">
        <v>0</v>
      </c>
      <c r="AC1275" s="13" t="s">
        <v>0</v>
      </c>
      <c r="AD1275" s="13" t="s">
        <v>0</v>
      </c>
      <c r="AE1275" s="15">
        <v>0</v>
      </c>
    </row>
    <row r="1276" spans="1:31" ht="14.15" customHeight="1" x14ac:dyDescent="0.25">
      <c r="A1276" s="12" t="s">
        <v>0</v>
      </c>
      <c r="B1276" s="13" t="s">
        <v>1</v>
      </c>
      <c r="C1276" s="13" t="s">
        <v>3517</v>
      </c>
      <c r="D1276" s="14">
        <v>44324</v>
      </c>
      <c r="E1276" s="14">
        <v>44324</v>
      </c>
      <c r="F1276" s="14">
        <v>44329</v>
      </c>
      <c r="G1276" s="13" t="s">
        <v>3</v>
      </c>
      <c r="H1276" s="13" t="s">
        <v>4</v>
      </c>
      <c r="I1276" s="15">
        <v>-13868.33</v>
      </c>
      <c r="J1276" s="13" t="s">
        <v>5</v>
      </c>
      <c r="K1276" s="13" t="s">
        <v>6</v>
      </c>
      <c r="L1276" s="15">
        <v>-1164246.3</v>
      </c>
      <c r="M1276" s="15">
        <v>-13868.33</v>
      </c>
      <c r="N1276" s="16" t="str">
        <f>IF(M1276="","",IF(M1276&lt;0,-M1276&amp;"_"&amp;COUNTIF(M$2:M1276,M1276),M1276&amp;"_"&amp;COUNTIF(M$2:M1276,M1276)))</f>
        <v>13868.33_1</v>
      </c>
      <c r="O1276" s="17" t="str">
        <f t="shared" si="19"/>
        <v/>
      </c>
      <c r="P1276" s="13" t="s">
        <v>3518</v>
      </c>
      <c r="Q1276" s="13" t="s">
        <v>3512</v>
      </c>
      <c r="R1276" s="13" t="s">
        <v>0</v>
      </c>
      <c r="S1276" s="13" t="s">
        <v>0</v>
      </c>
      <c r="T1276" s="13" t="s">
        <v>9</v>
      </c>
      <c r="U1276" s="13" t="s">
        <v>0</v>
      </c>
      <c r="V1276" s="13" t="s">
        <v>0</v>
      </c>
      <c r="W1276" s="13" t="s">
        <v>0</v>
      </c>
      <c r="X1276" s="13" t="s">
        <v>0</v>
      </c>
      <c r="Y1276" s="13" t="s">
        <v>10</v>
      </c>
      <c r="Z1276" s="13" t="s">
        <v>0</v>
      </c>
      <c r="AA1276" s="14"/>
      <c r="AB1276" s="13" t="s">
        <v>0</v>
      </c>
      <c r="AC1276" s="13" t="s">
        <v>0</v>
      </c>
      <c r="AD1276" s="13" t="s">
        <v>0</v>
      </c>
      <c r="AE1276" s="15">
        <v>0</v>
      </c>
    </row>
    <row r="1277" spans="1:31" ht="14.15" customHeight="1" x14ac:dyDescent="0.25">
      <c r="A1277" s="12" t="s">
        <v>0</v>
      </c>
      <c r="B1277" s="13" t="s">
        <v>1</v>
      </c>
      <c r="C1277" s="13" t="s">
        <v>2172</v>
      </c>
      <c r="D1277" s="14">
        <v>44209</v>
      </c>
      <c r="E1277" s="14">
        <v>44209</v>
      </c>
      <c r="F1277" s="14">
        <v>44228</v>
      </c>
      <c r="G1277" s="13" t="s">
        <v>3</v>
      </c>
      <c r="H1277" s="13" t="s">
        <v>4</v>
      </c>
      <c r="I1277" s="15">
        <v>-13846.56</v>
      </c>
      <c r="J1277" s="13" t="s">
        <v>5</v>
      </c>
      <c r="K1277" s="13" t="s">
        <v>6</v>
      </c>
      <c r="L1277" s="15">
        <v>-1162418.71</v>
      </c>
      <c r="M1277" s="15">
        <v>-13846.56</v>
      </c>
      <c r="N1277" s="16" t="str">
        <f>IF(M1277="","",IF(M1277&lt;0,-M1277&amp;"_"&amp;COUNTIF(M$2:M1277,M1277),M1277&amp;"_"&amp;COUNTIF(M$2:M1277,M1277)))</f>
        <v>13846.56_1</v>
      </c>
      <c r="O1277" s="17" t="str">
        <f t="shared" si="19"/>
        <v/>
      </c>
      <c r="P1277" s="13" t="s">
        <v>2173</v>
      </c>
      <c r="Q1277" s="13" t="s">
        <v>2159</v>
      </c>
      <c r="R1277" s="13" t="s">
        <v>0</v>
      </c>
      <c r="S1277" s="13" t="s">
        <v>0</v>
      </c>
      <c r="T1277" s="13" t="s">
        <v>9</v>
      </c>
      <c r="U1277" s="13" t="s">
        <v>0</v>
      </c>
      <c r="V1277" s="13" t="s">
        <v>0</v>
      </c>
      <c r="W1277" s="13" t="s">
        <v>0</v>
      </c>
      <c r="X1277" s="13" t="s">
        <v>0</v>
      </c>
      <c r="Y1277" s="13" t="s">
        <v>10</v>
      </c>
      <c r="Z1277" s="13" t="s">
        <v>0</v>
      </c>
      <c r="AA1277" s="14"/>
      <c r="AB1277" s="13" t="s">
        <v>0</v>
      </c>
      <c r="AC1277" s="13" t="s">
        <v>0</v>
      </c>
      <c r="AD1277" s="13" t="s">
        <v>0</v>
      </c>
      <c r="AE1277" s="15">
        <v>0</v>
      </c>
    </row>
    <row r="1278" spans="1:31" ht="14.15" customHeight="1" x14ac:dyDescent="0.25">
      <c r="A1278" s="12" t="s">
        <v>0</v>
      </c>
      <c r="B1278" s="13" t="s">
        <v>1</v>
      </c>
      <c r="C1278" s="13" t="s">
        <v>4367</v>
      </c>
      <c r="D1278" s="14">
        <v>44376</v>
      </c>
      <c r="E1278" s="14">
        <v>44376</v>
      </c>
      <c r="F1278" s="14">
        <v>44384</v>
      </c>
      <c r="G1278" s="13" t="s">
        <v>3</v>
      </c>
      <c r="H1278" s="13" t="s">
        <v>4</v>
      </c>
      <c r="I1278" s="15">
        <v>-13832.88</v>
      </c>
      <c r="J1278" s="13" t="s">
        <v>5</v>
      </c>
      <c r="K1278" s="13" t="s">
        <v>6</v>
      </c>
      <c r="L1278" s="15">
        <v>-1161270.28</v>
      </c>
      <c r="M1278" s="15">
        <v>-13832.88</v>
      </c>
      <c r="N1278" s="16" t="str">
        <f>IF(M1278="","",IF(M1278&lt;0,-M1278&amp;"_"&amp;COUNTIF(M$2:M1278,M1278),M1278&amp;"_"&amp;COUNTIF(M$2:M1278,M1278)))</f>
        <v>13832.88_1</v>
      </c>
      <c r="O1278" s="17" t="str">
        <f t="shared" si="19"/>
        <v/>
      </c>
      <c r="P1278" s="13" t="s">
        <v>4368</v>
      </c>
      <c r="Q1278" s="13" t="s">
        <v>4350</v>
      </c>
      <c r="R1278" s="13" t="s">
        <v>0</v>
      </c>
      <c r="S1278" s="13" t="s">
        <v>0</v>
      </c>
      <c r="T1278" s="13" t="s">
        <v>9</v>
      </c>
      <c r="U1278" s="13" t="s">
        <v>0</v>
      </c>
      <c r="V1278" s="13" t="s">
        <v>0</v>
      </c>
      <c r="W1278" s="13" t="s">
        <v>0</v>
      </c>
      <c r="X1278" s="13" t="s">
        <v>0</v>
      </c>
      <c r="Y1278" s="13" t="s">
        <v>10</v>
      </c>
      <c r="Z1278" s="13" t="s">
        <v>0</v>
      </c>
      <c r="AA1278" s="14"/>
      <c r="AB1278" s="13" t="s">
        <v>0</v>
      </c>
      <c r="AC1278" s="13" t="s">
        <v>0</v>
      </c>
      <c r="AD1278" s="13" t="s">
        <v>0</v>
      </c>
      <c r="AE1278" s="15">
        <v>0</v>
      </c>
    </row>
    <row r="1279" spans="1:31" ht="14.15" customHeight="1" x14ac:dyDescent="0.25">
      <c r="A1279" s="12" t="s">
        <v>0</v>
      </c>
      <c r="B1279" s="13" t="s">
        <v>1</v>
      </c>
      <c r="C1279" s="13" t="s">
        <v>1320</v>
      </c>
      <c r="D1279" s="14">
        <v>44147</v>
      </c>
      <c r="E1279" s="14">
        <v>44147</v>
      </c>
      <c r="F1279" s="14">
        <v>44165</v>
      </c>
      <c r="G1279" s="13" t="s">
        <v>3</v>
      </c>
      <c r="H1279" s="13" t="s">
        <v>4</v>
      </c>
      <c r="I1279" s="15">
        <v>-13804.14</v>
      </c>
      <c r="J1279" s="13" t="s">
        <v>5</v>
      </c>
      <c r="K1279" s="13" t="s">
        <v>6</v>
      </c>
      <c r="L1279" s="15">
        <v>-1158857.55</v>
      </c>
      <c r="M1279" s="15">
        <v>-13804.14</v>
      </c>
      <c r="N1279" s="16" t="str">
        <f>IF(M1279="","",IF(M1279&lt;0,-M1279&amp;"_"&amp;COUNTIF(M$2:M1279,M1279),M1279&amp;"_"&amp;COUNTIF(M$2:M1279,M1279)))</f>
        <v>13804.14_1</v>
      </c>
      <c r="O1279" s="17" t="str">
        <f t="shared" si="19"/>
        <v/>
      </c>
      <c r="P1279" s="13" t="s">
        <v>1321</v>
      </c>
      <c r="Q1279" s="13" t="s">
        <v>1313</v>
      </c>
      <c r="R1279" s="13" t="s">
        <v>0</v>
      </c>
      <c r="S1279" s="13" t="s">
        <v>0</v>
      </c>
      <c r="T1279" s="13" t="s">
        <v>9</v>
      </c>
      <c r="U1279" s="13" t="s">
        <v>0</v>
      </c>
      <c r="V1279" s="13" t="s">
        <v>0</v>
      </c>
      <c r="W1279" s="13" t="s">
        <v>0</v>
      </c>
      <c r="X1279" s="13" t="s">
        <v>0</v>
      </c>
      <c r="Y1279" s="13" t="s">
        <v>10</v>
      </c>
      <c r="Z1279" s="13" t="s">
        <v>0</v>
      </c>
      <c r="AA1279" s="14"/>
      <c r="AB1279" s="13" t="s">
        <v>0</v>
      </c>
      <c r="AC1279" s="13" t="s">
        <v>0</v>
      </c>
      <c r="AD1279" s="13" t="s">
        <v>0</v>
      </c>
      <c r="AE1279" s="15">
        <v>0</v>
      </c>
    </row>
    <row r="1280" spans="1:31" ht="14.15" customHeight="1" x14ac:dyDescent="0.25">
      <c r="A1280" s="12" t="s">
        <v>0</v>
      </c>
      <c r="B1280" s="13" t="s">
        <v>1</v>
      </c>
      <c r="C1280" s="13" t="s">
        <v>3911</v>
      </c>
      <c r="D1280" s="14">
        <v>44353</v>
      </c>
      <c r="E1280" s="14">
        <v>44353</v>
      </c>
      <c r="F1280" s="14">
        <v>44364</v>
      </c>
      <c r="G1280" s="13" t="s">
        <v>3</v>
      </c>
      <c r="H1280" s="13" t="s">
        <v>4</v>
      </c>
      <c r="I1280" s="15">
        <v>-13793.26</v>
      </c>
      <c r="J1280" s="13" t="s">
        <v>5</v>
      </c>
      <c r="K1280" s="13" t="s">
        <v>6</v>
      </c>
      <c r="L1280" s="15">
        <v>-1157944.18</v>
      </c>
      <c r="M1280" s="15">
        <v>-13793.26</v>
      </c>
      <c r="N1280" s="16" t="str">
        <f>IF(M1280="","",IF(M1280&lt;0,-M1280&amp;"_"&amp;COUNTIF(M$2:M1280,M1280),M1280&amp;"_"&amp;COUNTIF(M$2:M1280,M1280)))</f>
        <v>13793.26_1</v>
      </c>
      <c r="O1280" s="17" t="str">
        <f t="shared" si="19"/>
        <v/>
      </c>
      <c r="P1280" s="13" t="s">
        <v>3912</v>
      </c>
      <c r="Q1280" s="13" t="s">
        <v>3886</v>
      </c>
      <c r="R1280" s="13" t="s">
        <v>0</v>
      </c>
      <c r="S1280" s="13" t="s">
        <v>0</v>
      </c>
      <c r="T1280" s="13" t="s">
        <v>9</v>
      </c>
      <c r="U1280" s="13" t="s">
        <v>0</v>
      </c>
      <c r="V1280" s="13" t="s">
        <v>0</v>
      </c>
      <c r="W1280" s="13" t="s">
        <v>0</v>
      </c>
      <c r="X1280" s="13" t="s">
        <v>0</v>
      </c>
      <c r="Y1280" s="13" t="s">
        <v>10</v>
      </c>
      <c r="Z1280" s="13" t="s">
        <v>0</v>
      </c>
      <c r="AA1280" s="14"/>
      <c r="AB1280" s="13" t="s">
        <v>0</v>
      </c>
      <c r="AC1280" s="13" t="s">
        <v>0</v>
      </c>
      <c r="AD1280" s="13" t="s">
        <v>0</v>
      </c>
      <c r="AE1280" s="15">
        <v>0</v>
      </c>
    </row>
    <row r="1281" spans="1:31" ht="14.15" customHeight="1" x14ac:dyDescent="0.25">
      <c r="A1281" s="12" t="s">
        <v>0</v>
      </c>
      <c r="B1281" s="13" t="s">
        <v>1</v>
      </c>
      <c r="C1281" s="13" t="s">
        <v>194</v>
      </c>
      <c r="D1281" s="14">
        <v>44034</v>
      </c>
      <c r="E1281" s="14">
        <v>44034</v>
      </c>
      <c r="F1281" s="14">
        <v>44049</v>
      </c>
      <c r="G1281" s="13" t="s">
        <v>3</v>
      </c>
      <c r="H1281" s="13" t="s">
        <v>4</v>
      </c>
      <c r="I1281" s="15">
        <v>-13765.64</v>
      </c>
      <c r="J1281" s="13" t="s">
        <v>5</v>
      </c>
      <c r="K1281" s="13" t="s">
        <v>6</v>
      </c>
      <c r="L1281" s="15">
        <v>-1155625.48</v>
      </c>
      <c r="M1281" s="15">
        <v>-13765.64</v>
      </c>
      <c r="N1281" s="16" t="str">
        <f>IF(M1281="","",IF(M1281&lt;0,-M1281&amp;"_"&amp;COUNTIF(M$2:M1281,M1281),M1281&amp;"_"&amp;COUNTIF(M$2:M1281,M1281)))</f>
        <v>13765.64_1</v>
      </c>
      <c r="O1281" s="17" t="str">
        <f t="shared" si="19"/>
        <v/>
      </c>
      <c r="P1281" s="13" t="s">
        <v>195</v>
      </c>
      <c r="Q1281" s="13" t="s">
        <v>175</v>
      </c>
      <c r="R1281" s="13" t="s">
        <v>0</v>
      </c>
      <c r="S1281" s="13" t="s">
        <v>0</v>
      </c>
      <c r="T1281" s="13" t="s">
        <v>9</v>
      </c>
      <c r="U1281" s="13" t="s">
        <v>0</v>
      </c>
      <c r="V1281" s="13" t="s">
        <v>0</v>
      </c>
      <c r="W1281" s="13" t="s">
        <v>0</v>
      </c>
      <c r="X1281" s="13" t="s">
        <v>0</v>
      </c>
      <c r="Y1281" s="13" t="s">
        <v>10</v>
      </c>
      <c r="Z1281" s="13" t="s">
        <v>0</v>
      </c>
      <c r="AA1281" s="14"/>
      <c r="AB1281" s="13" t="s">
        <v>0</v>
      </c>
      <c r="AC1281" s="13" t="s">
        <v>0</v>
      </c>
      <c r="AD1281" s="13" t="s">
        <v>0</v>
      </c>
      <c r="AE1281" s="15">
        <v>0</v>
      </c>
    </row>
    <row r="1282" spans="1:31" ht="14.15" customHeight="1" x14ac:dyDescent="0.25">
      <c r="A1282" s="12" t="s">
        <v>0</v>
      </c>
      <c r="B1282" s="13" t="s">
        <v>1</v>
      </c>
      <c r="C1282" s="13" t="s">
        <v>1856</v>
      </c>
      <c r="D1282" s="14">
        <v>44186</v>
      </c>
      <c r="E1282" s="14">
        <v>44186</v>
      </c>
      <c r="F1282" s="14">
        <v>44189</v>
      </c>
      <c r="G1282" s="13" t="s">
        <v>3</v>
      </c>
      <c r="H1282" s="13" t="s">
        <v>4</v>
      </c>
      <c r="I1282" s="15">
        <v>-13747.86</v>
      </c>
      <c r="J1282" s="13" t="s">
        <v>5</v>
      </c>
      <c r="K1282" s="13" t="s">
        <v>6</v>
      </c>
      <c r="L1282" s="15">
        <v>-1154132.8500000001</v>
      </c>
      <c r="M1282" s="15">
        <v>-13747.86</v>
      </c>
      <c r="N1282" s="16" t="str">
        <f>IF(M1282="","",IF(M1282&lt;0,-M1282&amp;"_"&amp;COUNTIF(M$2:M1282,M1282),M1282&amp;"_"&amp;COUNTIF(M$2:M1282,M1282)))</f>
        <v>13747.86_1</v>
      </c>
      <c r="O1282" s="17" t="str">
        <f t="shared" ref="O1282:O1345" si="20">IF(COUNTIF(N:N,N1282)=2,"x","")</f>
        <v/>
      </c>
      <c r="P1282" s="13" t="s">
        <v>1857</v>
      </c>
      <c r="Q1282" s="13" t="s">
        <v>1855</v>
      </c>
      <c r="R1282" s="13" t="s">
        <v>0</v>
      </c>
      <c r="S1282" s="13" t="s">
        <v>0</v>
      </c>
      <c r="T1282" s="13" t="s">
        <v>9</v>
      </c>
      <c r="U1282" s="13" t="s">
        <v>0</v>
      </c>
      <c r="V1282" s="13" t="s">
        <v>0</v>
      </c>
      <c r="W1282" s="13" t="s">
        <v>0</v>
      </c>
      <c r="X1282" s="13" t="s">
        <v>0</v>
      </c>
      <c r="Y1282" s="13" t="s">
        <v>10</v>
      </c>
      <c r="Z1282" s="13" t="s">
        <v>0</v>
      </c>
      <c r="AA1282" s="14"/>
      <c r="AB1282" s="13" t="s">
        <v>0</v>
      </c>
      <c r="AC1282" s="13" t="s">
        <v>0</v>
      </c>
      <c r="AD1282" s="13" t="s">
        <v>0</v>
      </c>
      <c r="AE1282" s="15">
        <v>0</v>
      </c>
    </row>
    <row r="1283" spans="1:31" ht="14.15" customHeight="1" x14ac:dyDescent="0.25">
      <c r="A1283" s="12" t="s">
        <v>0</v>
      </c>
      <c r="B1283" s="13" t="s">
        <v>1</v>
      </c>
      <c r="C1283" s="13" t="s">
        <v>3559</v>
      </c>
      <c r="D1283" s="14">
        <v>44325</v>
      </c>
      <c r="E1283" s="14">
        <v>44325</v>
      </c>
      <c r="F1283" s="14">
        <v>44333</v>
      </c>
      <c r="G1283" s="13" t="s">
        <v>3</v>
      </c>
      <c r="H1283" s="13" t="s">
        <v>4</v>
      </c>
      <c r="I1283" s="15">
        <v>-13727.98</v>
      </c>
      <c r="J1283" s="13" t="s">
        <v>5</v>
      </c>
      <c r="K1283" s="13" t="s">
        <v>6</v>
      </c>
      <c r="L1283" s="15">
        <v>-1152463.92</v>
      </c>
      <c r="M1283" s="15">
        <v>-13727.98</v>
      </c>
      <c r="N1283" s="16" t="str">
        <f>IF(M1283="","",IF(M1283&lt;0,-M1283&amp;"_"&amp;COUNTIF(M$2:M1283,M1283),M1283&amp;"_"&amp;COUNTIF(M$2:M1283,M1283)))</f>
        <v>13727.98_1</v>
      </c>
      <c r="O1283" s="17" t="str">
        <f t="shared" si="20"/>
        <v/>
      </c>
      <c r="P1283" s="13" t="s">
        <v>3560</v>
      </c>
      <c r="Q1283" s="13" t="s">
        <v>3557</v>
      </c>
      <c r="R1283" s="13" t="s">
        <v>0</v>
      </c>
      <c r="S1283" s="13" t="s">
        <v>0</v>
      </c>
      <c r="T1283" s="13" t="s">
        <v>9</v>
      </c>
      <c r="U1283" s="13" t="s">
        <v>0</v>
      </c>
      <c r="V1283" s="13" t="s">
        <v>0</v>
      </c>
      <c r="W1283" s="13" t="s">
        <v>0</v>
      </c>
      <c r="X1283" s="13" t="s">
        <v>0</v>
      </c>
      <c r="Y1283" s="13" t="s">
        <v>10</v>
      </c>
      <c r="Z1283" s="13" t="s">
        <v>0</v>
      </c>
      <c r="AA1283" s="14"/>
      <c r="AB1283" s="13" t="s">
        <v>0</v>
      </c>
      <c r="AC1283" s="13" t="s">
        <v>0</v>
      </c>
      <c r="AD1283" s="13" t="s">
        <v>0</v>
      </c>
      <c r="AE1283" s="15">
        <v>0</v>
      </c>
    </row>
    <row r="1284" spans="1:31" ht="14.15" customHeight="1" x14ac:dyDescent="0.25">
      <c r="A1284" s="12" t="s">
        <v>0</v>
      </c>
      <c r="B1284" s="13" t="s">
        <v>1</v>
      </c>
      <c r="C1284" s="13" t="s">
        <v>4207</v>
      </c>
      <c r="D1284" s="14">
        <v>44365</v>
      </c>
      <c r="E1284" s="14">
        <v>44365</v>
      </c>
      <c r="F1284" s="14">
        <v>44368</v>
      </c>
      <c r="G1284" s="13" t="s">
        <v>3</v>
      </c>
      <c r="H1284" s="13" t="s">
        <v>4</v>
      </c>
      <c r="I1284" s="15">
        <v>-13704.82</v>
      </c>
      <c r="J1284" s="13" t="s">
        <v>5</v>
      </c>
      <c r="K1284" s="13" t="s">
        <v>6</v>
      </c>
      <c r="L1284" s="15">
        <v>-1150519.6399999999</v>
      </c>
      <c r="M1284" s="15">
        <v>-13704.82</v>
      </c>
      <c r="N1284" s="16" t="str">
        <f>IF(M1284="","",IF(M1284&lt;0,-M1284&amp;"_"&amp;COUNTIF(M$2:M1284,M1284),M1284&amp;"_"&amp;COUNTIF(M$2:M1284,M1284)))</f>
        <v>13704.82_1</v>
      </c>
      <c r="O1284" s="17" t="str">
        <f t="shared" si="20"/>
        <v/>
      </c>
      <c r="P1284" s="13" t="s">
        <v>4208</v>
      </c>
      <c r="Q1284" s="13" t="s">
        <v>4209</v>
      </c>
      <c r="R1284" s="13" t="s">
        <v>0</v>
      </c>
      <c r="S1284" s="13" t="s">
        <v>0</v>
      </c>
      <c r="T1284" s="13" t="s">
        <v>9</v>
      </c>
      <c r="U1284" s="13" t="s">
        <v>0</v>
      </c>
      <c r="V1284" s="13" t="s">
        <v>0</v>
      </c>
      <c r="W1284" s="13" t="s">
        <v>0</v>
      </c>
      <c r="X1284" s="13" t="s">
        <v>0</v>
      </c>
      <c r="Y1284" s="13" t="s">
        <v>10</v>
      </c>
      <c r="Z1284" s="13" t="s">
        <v>0</v>
      </c>
      <c r="AA1284" s="14"/>
      <c r="AB1284" s="13" t="s">
        <v>0</v>
      </c>
      <c r="AC1284" s="13" t="s">
        <v>0</v>
      </c>
      <c r="AD1284" s="13" t="s">
        <v>0</v>
      </c>
      <c r="AE1284" s="15">
        <v>0</v>
      </c>
    </row>
    <row r="1285" spans="1:31" ht="14.15" customHeight="1" x14ac:dyDescent="0.25">
      <c r="A1285" s="12" t="s">
        <v>0</v>
      </c>
      <c r="B1285" s="13" t="s">
        <v>1</v>
      </c>
      <c r="C1285" s="13" t="s">
        <v>1512</v>
      </c>
      <c r="D1285" s="14">
        <v>44163</v>
      </c>
      <c r="E1285" s="14">
        <v>44163</v>
      </c>
      <c r="F1285" s="14">
        <v>44168</v>
      </c>
      <c r="G1285" s="13" t="s">
        <v>3</v>
      </c>
      <c r="H1285" s="13" t="s">
        <v>4</v>
      </c>
      <c r="I1285" s="15">
        <v>-13683.62</v>
      </c>
      <c r="J1285" s="13" t="s">
        <v>5</v>
      </c>
      <c r="K1285" s="13" t="s">
        <v>6</v>
      </c>
      <c r="L1285" s="15">
        <v>-1148739.8999999999</v>
      </c>
      <c r="M1285" s="15">
        <v>-13683.62</v>
      </c>
      <c r="N1285" s="16" t="str">
        <f>IF(M1285="","",IF(M1285&lt;0,-M1285&amp;"_"&amp;COUNTIF(M$2:M1285,M1285),M1285&amp;"_"&amp;COUNTIF(M$2:M1285,M1285)))</f>
        <v>13683.62_1</v>
      </c>
      <c r="O1285" s="17" t="str">
        <f t="shared" si="20"/>
        <v/>
      </c>
      <c r="P1285" s="13" t="s">
        <v>1513</v>
      </c>
      <c r="Q1285" s="13" t="s">
        <v>1509</v>
      </c>
      <c r="R1285" s="13" t="s">
        <v>0</v>
      </c>
      <c r="S1285" s="13" t="s">
        <v>0</v>
      </c>
      <c r="T1285" s="13" t="s">
        <v>9</v>
      </c>
      <c r="U1285" s="13" t="s">
        <v>0</v>
      </c>
      <c r="V1285" s="13" t="s">
        <v>0</v>
      </c>
      <c r="W1285" s="13" t="s">
        <v>0</v>
      </c>
      <c r="X1285" s="13" t="s">
        <v>0</v>
      </c>
      <c r="Y1285" s="13" t="s">
        <v>10</v>
      </c>
      <c r="Z1285" s="13" t="s">
        <v>0</v>
      </c>
      <c r="AA1285" s="14"/>
      <c r="AB1285" s="13" t="s">
        <v>0</v>
      </c>
      <c r="AC1285" s="13" t="s">
        <v>0</v>
      </c>
      <c r="AD1285" s="13" t="s">
        <v>0</v>
      </c>
      <c r="AE1285" s="15">
        <v>0</v>
      </c>
    </row>
    <row r="1286" spans="1:31" ht="14.15" customHeight="1" x14ac:dyDescent="0.25">
      <c r="A1286" s="12" t="s">
        <v>0</v>
      </c>
      <c r="B1286" s="13" t="s">
        <v>1</v>
      </c>
      <c r="C1286" s="13" t="s">
        <v>3867</v>
      </c>
      <c r="D1286" s="14">
        <v>44351</v>
      </c>
      <c r="E1286" s="14">
        <v>44351</v>
      </c>
      <c r="F1286" s="14">
        <v>44364</v>
      </c>
      <c r="G1286" s="13" t="s">
        <v>3</v>
      </c>
      <c r="H1286" s="13" t="s">
        <v>4</v>
      </c>
      <c r="I1286" s="15">
        <v>-13680.21</v>
      </c>
      <c r="J1286" s="13" t="s">
        <v>5</v>
      </c>
      <c r="K1286" s="13" t="s">
        <v>6</v>
      </c>
      <c r="L1286" s="15">
        <v>-1148453.6299999999</v>
      </c>
      <c r="M1286" s="15">
        <v>-13680.21</v>
      </c>
      <c r="N1286" s="16" t="str">
        <f>IF(M1286="","",IF(M1286&lt;0,-M1286&amp;"_"&amp;COUNTIF(M$2:M1286,M1286),M1286&amp;"_"&amp;COUNTIF(M$2:M1286,M1286)))</f>
        <v>13680.21_1</v>
      </c>
      <c r="O1286" s="17" t="str">
        <f t="shared" si="20"/>
        <v/>
      </c>
      <c r="P1286" s="13" t="s">
        <v>3868</v>
      </c>
      <c r="Q1286" s="13" t="s">
        <v>3857</v>
      </c>
      <c r="R1286" s="13" t="s">
        <v>0</v>
      </c>
      <c r="S1286" s="13" t="s">
        <v>0</v>
      </c>
      <c r="T1286" s="13" t="s">
        <v>9</v>
      </c>
      <c r="U1286" s="13" t="s">
        <v>0</v>
      </c>
      <c r="V1286" s="13" t="s">
        <v>0</v>
      </c>
      <c r="W1286" s="13" t="s">
        <v>0</v>
      </c>
      <c r="X1286" s="13" t="s">
        <v>0</v>
      </c>
      <c r="Y1286" s="13" t="s">
        <v>10</v>
      </c>
      <c r="Z1286" s="13" t="s">
        <v>0</v>
      </c>
      <c r="AA1286" s="14"/>
      <c r="AB1286" s="13" t="s">
        <v>0</v>
      </c>
      <c r="AC1286" s="13" t="s">
        <v>0</v>
      </c>
      <c r="AD1286" s="13" t="s">
        <v>0</v>
      </c>
      <c r="AE1286" s="15">
        <v>0</v>
      </c>
    </row>
    <row r="1287" spans="1:31" ht="14.15" customHeight="1" x14ac:dyDescent="0.25">
      <c r="A1287" s="12" t="s">
        <v>0</v>
      </c>
      <c r="B1287" s="13" t="s">
        <v>1</v>
      </c>
      <c r="C1287" s="13" t="s">
        <v>3501</v>
      </c>
      <c r="D1287" s="14">
        <v>44323</v>
      </c>
      <c r="E1287" s="14">
        <v>44323</v>
      </c>
      <c r="F1287" s="14">
        <v>44326</v>
      </c>
      <c r="G1287" s="13" t="s">
        <v>3</v>
      </c>
      <c r="H1287" s="13" t="s">
        <v>4</v>
      </c>
      <c r="I1287" s="15">
        <v>-13662.11</v>
      </c>
      <c r="J1287" s="13" t="s">
        <v>5</v>
      </c>
      <c r="K1287" s="13" t="s">
        <v>6</v>
      </c>
      <c r="L1287" s="15">
        <v>-1146934.1299999999</v>
      </c>
      <c r="M1287" s="15">
        <v>-13662.11</v>
      </c>
      <c r="N1287" s="16" t="str">
        <f>IF(M1287="","",IF(M1287&lt;0,-M1287&amp;"_"&amp;COUNTIF(M$2:M1287,M1287),M1287&amp;"_"&amp;COUNTIF(M$2:M1287,M1287)))</f>
        <v>13662.11_1</v>
      </c>
      <c r="O1287" s="17" t="str">
        <f t="shared" si="20"/>
        <v/>
      </c>
      <c r="P1287" s="13" t="s">
        <v>3502</v>
      </c>
      <c r="Q1287" s="13" t="s">
        <v>3503</v>
      </c>
      <c r="R1287" s="13" t="s">
        <v>0</v>
      </c>
      <c r="S1287" s="13" t="s">
        <v>0</v>
      </c>
      <c r="T1287" s="13" t="s">
        <v>9</v>
      </c>
      <c r="U1287" s="13" t="s">
        <v>0</v>
      </c>
      <c r="V1287" s="13" t="s">
        <v>0</v>
      </c>
      <c r="W1287" s="13" t="s">
        <v>0</v>
      </c>
      <c r="X1287" s="13" t="s">
        <v>0</v>
      </c>
      <c r="Y1287" s="13" t="s">
        <v>10</v>
      </c>
      <c r="Z1287" s="13" t="s">
        <v>0</v>
      </c>
      <c r="AA1287" s="14"/>
      <c r="AB1287" s="13" t="s">
        <v>0</v>
      </c>
      <c r="AC1287" s="13" t="s">
        <v>0</v>
      </c>
      <c r="AD1287" s="13" t="s">
        <v>0</v>
      </c>
      <c r="AE1287" s="15">
        <v>0</v>
      </c>
    </row>
    <row r="1288" spans="1:31" ht="14.15" customHeight="1" x14ac:dyDescent="0.25">
      <c r="A1288" s="12" t="s">
        <v>0</v>
      </c>
      <c r="B1288" s="13" t="s">
        <v>1</v>
      </c>
      <c r="C1288" s="13" t="s">
        <v>569</v>
      </c>
      <c r="D1288" s="14">
        <v>44077</v>
      </c>
      <c r="E1288" s="14">
        <v>44077</v>
      </c>
      <c r="F1288" s="14">
        <v>44082</v>
      </c>
      <c r="G1288" s="13" t="s">
        <v>3</v>
      </c>
      <c r="H1288" s="13" t="s">
        <v>4</v>
      </c>
      <c r="I1288" s="15">
        <v>-13632.68</v>
      </c>
      <c r="J1288" s="13" t="s">
        <v>5</v>
      </c>
      <c r="K1288" s="13" t="s">
        <v>6</v>
      </c>
      <c r="L1288" s="15">
        <v>-1144463.49</v>
      </c>
      <c r="M1288" s="15">
        <v>-13632.68</v>
      </c>
      <c r="N1288" s="16" t="str">
        <f>IF(M1288="","",IF(M1288&lt;0,-M1288&amp;"_"&amp;COUNTIF(M$2:M1288,M1288),M1288&amp;"_"&amp;COUNTIF(M$2:M1288,M1288)))</f>
        <v>13632.68_1</v>
      </c>
      <c r="O1288" s="17" t="str">
        <f t="shared" si="20"/>
        <v/>
      </c>
      <c r="P1288" s="13" t="s">
        <v>570</v>
      </c>
      <c r="Q1288" s="13" t="s">
        <v>571</v>
      </c>
      <c r="R1288" s="13" t="s">
        <v>0</v>
      </c>
      <c r="S1288" s="13" t="s">
        <v>0</v>
      </c>
      <c r="T1288" s="13" t="s">
        <v>9</v>
      </c>
      <c r="U1288" s="13" t="s">
        <v>0</v>
      </c>
      <c r="V1288" s="13" t="s">
        <v>0</v>
      </c>
      <c r="W1288" s="13" t="s">
        <v>0</v>
      </c>
      <c r="X1288" s="13" t="s">
        <v>0</v>
      </c>
      <c r="Y1288" s="13" t="s">
        <v>10</v>
      </c>
      <c r="Z1288" s="13" t="s">
        <v>0</v>
      </c>
      <c r="AA1288" s="14"/>
      <c r="AB1288" s="13" t="s">
        <v>0</v>
      </c>
      <c r="AC1288" s="13" t="s">
        <v>0</v>
      </c>
      <c r="AD1288" s="13" t="s">
        <v>0</v>
      </c>
      <c r="AE1288" s="15">
        <v>0</v>
      </c>
    </row>
    <row r="1289" spans="1:31" ht="14.15" customHeight="1" x14ac:dyDescent="0.25">
      <c r="A1289" s="12" t="s">
        <v>0</v>
      </c>
      <c r="B1289" s="13" t="s">
        <v>1</v>
      </c>
      <c r="C1289" s="13" t="s">
        <v>2931</v>
      </c>
      <c r="D1289" s="14">
        <v>44276</v>
      </c>
      <c r="E1289" s="14">
        <v>44276</v>
      </c>
      <c r="F1289" s="14">
        <v>44283</v>
      </c>
      <c r="G1289" s="13" t="s">
        <v>3</v>
      </c>
      <c r="H1289" s="13" t="s">
        <v>4</v>
      </c>
      <c r="I1289" s="15">
        <v>-13626.28</v>
      </c>
      <c r="J1289" s="13" t="s">
        <v>5</v>
      </c>
      <c r="K1289" s="13" t="s">
        <v>6</v>
      </c>
      <c r="L1289" s="15">
        <v>-1143926.21</v>
      </c>
      <c r="M1289" s="15">
        <v>-13626.28</v>
      </c>
      <c r="N1289" s="16" t="str">
        <f>IF(M1289="","",IF(M1289&lt;0,-M1289&amp;"_"&amp;COUNTIF(M$2:M1289,M1289),M1289&amp;"_"&amp;COUNTIF(M$2:M1289,M1289)))</f>
        <v>13626.28_1</v>
      </c>
      <c r="O1289" s="17" t="str">
        <f t="shared" si="20"/>
        <v/>
      </c>
      <c r="P1289" s="13" t="s">
        <v>2932</v>
      </c>
      <c r="Q1289" s="13" t="s">
        <v>2922</v>
      </c>
      <c r="R1289" s="13" t="s">
        <v>0</v>
      </c>
      <c r="S1289" s="13" t="s">
        <v>0</v>
      </c>
      <c r="T1289" s="13" t="s">
        <v>9</v>
      </c>
      <c r="U1289" s="13" t="s">
        <v>0</v>
      </c>
      <c r="V1289" s="13" t="s">
        <v>0</v>
      </c>
      <c r="W1289" s="13" t="s">
        <v>0</v>
      </c>
      <c r="X1289" s="13" t="s">
        <v>0</v>
      </c>
      <c r="Y1289" s="13" t="s">
        <v>10</v>
      </c>
      <c r="Z1289" s="13" t="s">
        <v>0</v>
      </c>
      <c r="AA1289" s="14"/>
      <c r="AB1289" s="13" t="s">
        <v>0</v>
      </c>
      <c r="AC1289" s="13" t="s">
        <v>0</v>
      </c>
      <c r="AD1289" s="13" t="s">
        <v>0</v>
      </c>
      <c r="AE1289" s="15">
        <v>0</v>
      </c>
    </row>
    <row r="1290" spans="1:31" ht="14.15" customHeight="1" x14ac:dyDescent="0.25">
      <c r="A1290" s="12" t="s">
        <v>0</v>
      </c>
      <c r="B1290" s="13" t="s">
        <v>1</v>
      </c>
      <c r="C1290" s="13" t="s">
        <v>1872</v>
      </c>
      <c r="D1290" s="14">
        <v>44188</v>
      </c>
      <c r="E1290" s="14">
        <v>44188</v>
      </c>
      <c r="F1290" s="14">
        <v>44198</v>
      </c>
      <c r="G1290" s="13" t="s">
        <v>3</v>
      </c>
      <c r="H1290" s="13" t="s">
        <v>4</v>
      </c>
      <c r="I1290" s="15">
        <v>-13604.85</v>
      </c>
      <c r="J1290" s="13" t="s">
        <v>5</v>
      </c>
      <c r="K1290" s="13" t="s">
        <v>6</v>
      </c>
      <c r="L1290" s="15">
        <v>-1142127.1599999999</v>
      </c>
      <c r="M1290" s="15">
        <v>-13604.85</v>
      </c>
      <c r="N1290" s="16" t="str">
        <f>IF(M1290="","",IF(M1290&lt;0,-M1290&amp;"_"&amp;COUNTIF(M$2:M1290,M1290),M1290&amp;"_"&amp;COUNTIF(M$2:M1290,M1290)))</f>
        <v>13604.85_1</v>
      </c>
      <c r="O1290" s="17" t="str">
        <f t="shared" si="20"/>
        <v/>
      </c>
      <c r="P1290" s="13" t="s">
        <v>1873</v>
      </c>
      <c r="Q1290" s="13" t="s">
        <v>1869</v>
      </c>
      <c r="R1290" s="13" t="s">
        <v>0</v>
      </c>
      <c r="S1290" s="13" t="s">
        <v>0</v>
      </c>
      <c r="T1290" s="13" t="s">
        <v>9</v>
      </c>
      <c r="U1290" s="13" t="s">
        <v>0</v>
      </c>
      <c r="V1290" s="13" t="s">
        <v>0</v>
      </c>
      <c r="W1290" s="13" t="s">
        <v>0</v>
      </c>
      <c r="X1290" s="13" t="s">
        <v>0</v>
      </c>
      <c r="Y1290" s="13" t="s">
        <v>10</v>
      </c>
      <c r="Z1290" s="13" t="s">
        <v>0</v>
      </c>
      <c r="AA1290" s="14"/>
      <c r="AB1290" s="13" t="s">
        <v>0</v>
      </c>
      <c r="AC1290" s="13" t="s">
        <v>0</v>
      </c>
      <c r="AD1290" s="13" t="s">
        <v>0</v>
      </c>
      <c r="AE1290" s="15">
        <v>0</v>
      </c>
    </row>
    <row r="1291" spans="1:31" ht="14.15" customHeight="1" x14ac:dyDescent="0.25">
      <c r="A1291" s="12" t="s">
        <v>0</v>
      </c>
      <c r="B1291" s="13" t="s">
        <v>1</v>
      </c>
      <c r="C1291" s="13" t="s">
        <v>1246</v>
      </c>
      <c r="D1291" s="14">
        <v>44143</v>
      </c>
      <c r="E1291" s="14">
        <v>44143</v>
      </c>
      <c r="F1291" s="14">
        <v>44146</v>
      </c>
      <c r="G1291" s="13" t="s">
        <v>3</v>
      </c>
      <c r="H1291" s="13" t="s">
        <v>4</v>
      </c>
      <c r="I1291" s="15">
        <v>-13599.78</v>
      </c>
      <c r="J1291" s="13" t="s">
        <v>5</v>
      </c>
      <c r="K1291" s="13" t="s">
        <v>6</v>
      </c>
      <c r="L1291" s="15">
        <v>-1141701.53</v>
      </c>
      <c r="M1291" s="15">
        <v>-13599.78</v>
      </c>
      <c r="N1291" s="16" t="str">
        <f>IF(M1291="","",IF(M1291&lt;0,-M1291&amp;"_"&amp;COUNTIF(M$2:M1291,M1291),M1291&amp;"_"&amp;COUNTIF(M$2:M1291,M1291)))</f>
        <v>13599.78_1</v>
      </c>
      <c r="O1291" s="17" t="str">
        <f t="shared" si="20"/>
        <v/>
      </c>
      <c r="P1291" s="13" t="s">
        <v>1247</v>
      </c>
      <c r="Q1291" s="13" t="s">
        <v>1245</v>
      </c>
      <c r="R1291" s="13" t="s">
        <v>0</v>
      </c>
      <c r="S1291" s="13" t="s">
        <v>0</v>
      </c>
      <c r="T1291" s="13" t="s">
        <v>9</v>
      </c>
      <c r="U1291" s="13" t="s">
        <v>0</v>
      </c>
      <c r="V1291" s="13" t="s">
        <v>0</v>
      </c>
      <c r="W1291" s="13" t="s">
        <v>0</v>
      </c>
      <c r="X1291" s="13" t="s">
        <v>0</v>
      </c>
      <c r="Y1291" s="13" t="s">
        <v>10</v>
      </c>
      <c r="Z1291" s="13" t="s">
        <v>0</v>
      </c>
      <c r="AA1291" s="14"/>
      <c r="AB1291" s="13" t="s">
        <v>0</v>
      </c>
      <c r="AC1291" s="13" t="s">
        <v>0</v>
      </c>
      <c r="AD1291" s="13" t="s">
        <v>0</v>
      </c>
      <c r="AE1291" s="15">
        <v>0</v>
      </c>
    </row>
    <row r="1292" spans="1:31" ht="14.15" customHeight="1" x14ac:dyDescent="0.25">
      <c r="A1292" s="12" t="s">
        <v>0</v>
      </c>
      <c r="B1292" s="13" t="s">
        <v>1</v>
      </c>
      <c r="C1292" s="13" t="s">
        <v>1882</v>
      </c>
      <c r="D1292" s="14">
        <v>44188</v>
      </c>
      <c r="E1292" s="14">
        <v>44188</v>
      </c>
      <c r="F1292" s="14">
        <v>44202</v>
      </c>
      <c r="G1292" s="13" t="s">
        <v>3</v>
      </c>
      <c r="H1292" s="13" t="s">
        <v>4</v>
      </c>
      <c r="I1292" s="15">
        <v>-13599.32</v>
      </c>
      <c r="J1292" s="13" t="s">
        <v>5</v>
      </c>
      <c r="K1292" s="13" t="s">
        <v>6</v>
      </c>
      <c r="L1292" s="15">
        <v>-1141662.9099999999</v>
      </c>
      <c r="M1292" s="15">
        <v>-13599.32</v>
      </c>
      <c r="N1292" s="16" t="str">
        <f>IF(M1292="","",IF(M1292&lt;0,-M1292&amp;"_"&amp;COUNTIF(M$2:M1292,M1292),M1292&amp;"_"&amp;COUNTIF(M$2:M1292,M1292)))</f>
        <v>13599.32_1</v>
      </c>
      <c r="O1292" s="17" t="str">
        <f t="shared" si="20"/>
        <v/>
      </c>
      <c r="P1292" s="13" t="s">
        <v>1883</v>
      </c>
      <c r="Q1292" s="13" t="s">
        <v>1869</v>
      </c>
      <c r="R1292" s="13" t="s">
        <v>0</v>
      </c>
      <c r="S1292" s="13" t="s">
        <v>0</v>
      </c>
      <c r="T1292" s="13" t="s">
        <v>9</v>
      </c>
      <c r="U1292" s="13" t="s">
        <v>0</v>
      </c>
      <c r="V1292" s="13" t="s">
        <v>0</v>
      </c>
      <c r="W1292" s="13" t="s">
        <v>0</v>
      </c>
      <c r="X1292" s="13" t="s">
        <v>0</v>
      </c>
      <c r="Y1292" s="13" t="s">
        <v>10</v>
      </c>
      <c r="Z1292" s="13" t="s">
        <v>0</v>
      </c>
      <c r="AA1292" s="14"/>
      <c r="AB1292" s="13" t="s">
        <v>0</v>
      </c>
      <c r="AC1292" s="13" t="s">
        <v>0</v>
      </c>
      <c r="AD1292" s="13" t="s">
        <v>0</v>
      </c>
      <c r="AE1292" s="15">
        <v>0</v>
      </c>
    </row>
    <row r="1293" spans="1:31" ht="14.15" customHeight="1" x14ac:dyDescent="0.25">
      <c r="A1293" s="12" t="s">
        <v>0</v>
      </c>
      <c r="B1293" s="13" t="s">
        <v>1</v>
      </c>
      <c r="C1293" s="13" t="s">
        <v>2251</v>
      </c>
      <c r="D1293" s="14">
        <v>44215</v>
      </c>
      <c r="E1293" s="14">
        <v>44215</v>
      </c>
      <c r="F1293" s="14">
        <v>44222</v>
      </c>
      <c r="G1293" s="13" t="s">
        <v>3</v>
      </c>
      <c r="H1293" s="13" t="s">
        <v>4</v>
      </c>
      <c r="I1293" s="15">
        <v>-13596.64</v>
      </c>
      <c r="J1293" s="13" t="s">
        <v>5</v>
      </c>
      <c r="K1293" s="13" t="s">
        <v>6</v>
      </c>
      <c r="L1293" s="15">
        <v>-1141437.93</v>
      </c>
      <c r="M1293" s="15">
        <v>-13596.64</v>
      </c>
      <c r="N1293" s="16" t="str">
        <f>IF(M1293="","",IF(M1293&lt;0,-M1293&amp;"_"&amp;COUNTIF(M$2:M1293,M1293),M1293&amp;"_"&amp;COUNTIF(M$2:M1293,M1293)))</f>
        <v>13596.64_1</v>
      </c>
      <c r="O1293" s="17" t="str">
        <f t="shared" si="20"/>
        <v/>
      </c>
      <c r="P1293" s="13" t="s">
        <v>2252</v>
      </c>
      <c r="Q1293" s="13" t="s">
        <v>2250</v>
      </c>
      <c r="R1293" s="13" t="s">
        <v>0</v>
      </c>
      <c r="S1293" s="13" t="s">
        <v>0</v>
      </c>
      <c r="T1293" s="13" t="s">
        <v>9</v>
      </c>
      <c r="U1293" s="13" t="s">
        <v>0</v>
      </c>
      <c r="V1293" s="13" t="s">
        <v>0</v>
      </c>
      <c r="W1293" s="13" t="s">
        <v>0</v>
      </c>
      <c r="X1293" s="13" t="s">
        <v>0</v>
      </c>
      <c r="Y1293" s="13" t="s">
        <v>10</v>
      </c>
      <c r="Z1293" s="13" t="s">
        <v>0</v>
      </c>
      <c r="AA1293" s="14"/>
      <c r="AB1293" s="13" t="s">
        <v>0</v>
      </c>
      <c r="AC1293" s="13" t="s">
        <v>0</v>
      </c>
      <c r="AD1293" s="13" t="s">
        <v>0</v>
      </c>
      <c r="AE1293" s="15">
        <v>0</v>
      </c>
    </row>
    <row r="1294" spans="1:31" ht="14.15" customHeight="1" x14ac:dyDescent="0.25">
      <c r="A1294" s="12" t="s">
        <v>0</v>
      </c>
      <c r="B1294" s="13" t="s">
        <v>1</v>
      </c>
      <c r="C1294" s="13" t="s">
        <v>2925</v>
      </c>
      <c r="D1294" s="14">
        <v>44276</v>
      </c>
      <c r="E1294" s="14">
        <v>44276</v>
      </c>
      <c r="F1294" s="14">
        <v>44280</v>
      </c>
      <c r="G1294" s="13" t="s">
        <v>3</v>
      </c>
      <c r="H1294" s="13" t="s">
        <v>4</v>
      </c>
      <c r="I1294" s="15">
        <v>-13595.44</v>
      </c>
      <c r="J1294" s="13" t="s">
        <v>5</v>
      </c>
      <c r="K1294" s="13" t="s">
        <v>6</v>
      </c>
      <c r="L1294" s="15">
        <v>-1141337.19</v>
      </c>
      <c r="M1294" s="15">
        <v>-13595.44</v>
      </c>
      <c r="N1294" s="16" t="str">
        <f>IF(M1294="","",IF(M1294&lt;0,-M1294&amp;"_"&amp;COUNTIF(M$2:M1294,M1294),M1294&amp;"_"&amp;COUNTIF(M$2:M1294,M1294)))</f>
        <v>13595.44_1</v>
      </c>
      <c r="O1294" s="17" t="str">
        <f t="shared" si="20"/>
        <v/>
      </c>
      <c r="P1294" s="13" t="s">
        <v>2926</v>
      </c>
      <c r="Q1294" s="13" t="s">
        <v>2922</v>
      </c>
      <c r="R1294" s="13" t="s">
        <v>0</v>
      </c>
      <c r="S1294" s="13" t="s">
        <v>0</v>
      </c>
      <c r="T1294" s="13" t="s">
        <v>9</v>
      </c>
      <c r="U1294" s="13" t="s">
        <v>0</v>
      </c>
      <c r="V1294" s="13" t="s">
        <v>0</v>
      </c>
      <c r="W1294" s="13" t="s">
        <v>0</v>
      </c>
      <c r="X1294" s="13" t="s">
        <v>0</v>
      </c>
      <c r="Y1294" s="13" t="s">
        <v>10</v>
      </c>
      <c r="Z1294" s="13" t="s">
        <v>0</v>
      </c>
      <c r="AA1294" s="14"/>
      <c r="AB1294" s="13" t="s">
        <v>0</v>
      </c>
      <c r="AC1294" s="13" t="s">
        <v>0</v>
      </c>
      <c r="AD1294" s="13" t="s">
        <v>0</v>
      </c>
      <c r="AE1294" s="15">
        <v>0</v>
      </c>
    </row>
    <row r="1295" spans="1:31" ht="14.15" customHeight="1" x14ac:dyDescent="0.25">
      <c r="A1295" s="12" t="s">
        <v>0</v>
      </c>
      <c r="B1295" s="13" t="s">
        <v>1</v>
      </c>
      <c r="C1295" s="13" t="s">
        <v>228</v>
      </c>
      <c r="D1295" s="14">
        <v>44039</v>
      </c>
      <c r="E1295" s="14">
        <v>44039</v>
      </c>
      <c r="F1295" s="14">
        <v>44042</v>
      </c>
      <c r="G1295" s="13" t="s">
        <v>3</v>
      </c>
      <c r="H1295" s="13" t="s">
        <v>4</v>
      </c>
      <c r="I1295" s="15">
        <v>-13555.05</v>
      </c>
      <c r="J1295" s="13" t="s">
        <v>5</v>
      </c>
      <c r="K1295" s="13" t="s">
        <v>6</v>
      </c>
      <c r="L1295" s="15">
        <v>-1137946.45</v>
      </c>
      <c r="M1295" s="15">
        <v>-13555.05</v>
      </c>
      <c r="N1295" s="16" t="str">
        <f>IF(M1295="","",IF(M1295&lt;0,-M1295&amp;"_"&amp;COUNTIF(M$2:M1295,M1295),M1295&amp;"_"&amp;COUNTIF(M$2:M1295,M1295)))</f>
        <v>13555.05_1</v>
      </c>
      <c r="O1295" s="17" t="str">
        <f t="shared" si="20"/>
        <v/>
      </c>
      <c r="P1295" s="13" t="s">
        <v>229</v>
      </c>
      <c r="Q1295" s="13" t="s">
        <v>230</v>
      </c>
      <c r="R1295" s="13" t="s">
        <v>0</v>
      </c>
      <c r="S1295" s="13" t="s">
        <v>0</v>
      </c>
      <c r="T1295" s="13" t="s">
        <v>9</v>
      </c>
      <c r="U1295" s="13" t="s">
        <v>0</v>
      </c>
      <c r="V1295" s="13" t="s">
        <v>0</v>
      </c>
      <c r="W1295" s="13" t="s">
        <v>0</v>
      </c>
      <c r="X1295" s="13" t="s">
        <v>0</v>
      </c>
      <c r="Y1295" s="13" t="s">
        <v>10</v>
      </c>
      <c r="Z1295" s="13" t="s">
        <v>0</v>
      </c>
      <c r="AA1295" s="14"/>
      <c r="AB1295" s="13" t="s">
        <v>0</v>
      </c>
      <c r="AC1295" s="13" t="s">
        <v>0</v>
      </c>
      <c r="AD1295" s="13" t="s">
        <v>0</v>
      </c>
      <c r="AE1295" s="15">
        <v>0</v>
      </c>
    </row>
    <row r="1296" spans="1:31" ht="14.15" customHeight="1" x14ac:dyDescent="0.25">
      <c r="A1296" s="12" t="s">
        <v>0</v>
      </c>
      <c r="B1296" s="13" t="s">
        <v>1</v>
      </c>
      <c r="C1296" s="13" t="s">
        <v>86</v>
      </c>
      <c r="D1296" s="14">
        <v>44021</v>
      </c>
      <c r="E1296" s="14">
        <v>44021</v>
      </c>
      <c r="F1296" s="14">
        <v>44032</v>
      </c>
      <c r="G1296" s="13" t="s">
        <v>3</v>
      </c>
      <c r="H1296" s="13" t="s">
        <v>4</v>
      </c>
      <c r="I1296" s="15">
        <v>-13550.59</v>
      </c>
      <c r="J1296" s="13" t="s">
        <v>5</v>
      </c>
      <c r="K1296" s="13" t="s">
        <v>6</v>
      </c>
      <c r="L1296" s="15">
        <v>-1137572.03</v>
      </c>
      <c r="M1296" s="15">
        <v>-13550.59</v>
      </c>
      <c r="N1296" s="16" t="str">
        <f>IF(M1296="","",IF(M1296&lt;0,-M1296&amp;"_"&amp;COUNTIF(M$2:M1296,M1296),M1296&amp;"_"&amp;COUNTIF(M$2:M1296,M1296)))</f>
        <v>13550.59_1</v>
      </c>
      <c r="O1296" s="17" t="str">
        <f t="shared" si="20"/>
        <v/>
      </c>
      <c r="P1296" s="13" t="s">
        <v>87</v>
      </c>
      <c r="Q1296" s="13" t="s">
        <v>85</v>
      </c>
      <c r="R1296" s="13" t="s">
        <v>0</v>
      </c>
      <c r="S1296" s="13" t="s">
        <v>0</v>
      </c>
      <c r="T1296" s="13" t="s">
        <v>9</v>
      </c>
      <c r="U1296" s="13" t="s">
        <v>0</v>
      </c>
      <c r="V1296" s="13" t="s">
        <v>0</v>
      </c>
      <c r="W1296" s="13" t="s">
        <v>0</v>
      </c>
      <c r="X1296" s="13" t="s">
        <v>0</v>
      </c>
      <c r="Y1296" s="13" t="s">
        <v>10</v>
      </c>
      <c r="Z1296" s="13" t="s">
        <v>0</v>
      </c>
      <c r="AA1296" s="14"/>
      <c r="AB1296" s="13" t="s">
        <v>0</v>
      </c>
      <c r="AC1296" s="13" t="s">
        <v>0</v>
      </c>
      <c r="AD1296" s="13" t="s">
        <v>0</v>
      </c>
      <c r="AE1296" s="15">
        <v>0</v>
      </c>
    </row>
    <row r="1297" spans="1:31" ht="14.15" customHeight="1" x14ac:dyDescent="0.25">
      <c r="A1297" s="12" t="s">
        <v>0</v>
      </c>
      <c r="B1297" s="13" t="s">
        <v>1</v>
      </c>
      <c r="C1297" s="13" t="s">
        <v>2994</v>
      </c>
      <c r="D1297" s="14">
        <v>44280</v>
      </c>
      <c r="E1297" s="14">
        <v>44280</v>
      </c>
      <c r="F1297" s="14">
        <v>44286</v>
      </c>
      <c r="G1297" s="13" t="s">
        <v>3</v>
      </c>
      <c r="H1297" s="13" t="s">
        <v>4</v>
      </c>
      <c r="I1297" s="15">
        <v>-13548.6</v>
      </c>
      <c r="J1297" s="13" t="s">
        <v>5</v>
      </c>
      <c r="K1297" s="13" t="s">
        <v>6</v>
      </c>
      <c r="L1297" s="15">
        <v>-1137404.97</v>
      </c>
      <c r="M1297" s="15">
        <v>-13548.6</v>
      </c>
      <c r="N1297" s="16" t="str">
        <f>IF(M1297="","",IF(M1297&lt;0,-M1297&amp;"_"&amp;COUNTIF(M$2:M1297,M1297),M1297&amp;"_"&amp;COUNTIF(M$2:M1297,M1297)))</f>
        <v>13548.6_1</v>
      </c>
      <c r="O1297" s="17" t="str">
        <f t="shared" si="20"/>
        <v/>
      </c>
      <c r="P1297" s="13" t="s">
        <v>2995</v>
      </c>
      <c r="Q1297" s="13" t="s">
        <v>2989</v>
      </c>
      <c r="R1297" s="13" t="s">
        <v>0</v>
      </c>
      <c r="S1297" s="13" t="s">
        <v>0</v>
      </c>
      <c r="T1297" s="13" t="s">
        <v>9</v>
      </c>
      <c r="U1297" s="13" t="s">
        <v>0</v>
      </c>
      <c r="V1297" s="13" t="s">
        <v>0</v>
      </c>
      <c r="W1297" s="13" t="s">
        <v>0</v>
      </c>
      <c r="X1297" s="13" t="s">
        <v>0</v>
      </c>
      <c r="Y1297" s="13" t="s">
        <v>10</v>
      </c>
      <c r="Z1297" s="13" t="s">
        <v>0</v>
      </c>
      <c r="AA1297" s="14"/>
      <c r="AB1297" s="13" t="s">
        <v>0</v>
      </c>
      <c r="AC1297" s="13" t="s">
        <v>0</v>
      </c>
      <c r="AD1297" s="13" t="s">
        <v>0</v>
      </c>
      <c r="AE1297" s="15">
        <v>0</v>
      </c>
    </row>
    <row r="1298" spans="1:31" ht="14.15" customHeight="1" x14ac:dyDescent="0.25">
      <c r="A1298" s="12" t="s">
        <v>0</v>
      </c>
      <c r="B1298" s="13" t="s">
        <v>1</v>
      </c>
      <c r="C1298" s="13" t="s">
        <v>1784</v>
      </c>
      <c r="D1298" s="14">
        <v>44182</v>
      </c>
      <c r="E1298" s="14">
        <v>44182</v>
      </c>
      <c r="F1298" s="14">
        <v>44199</v>
      </c>
      <c r="G1298" s="13" t="s">
        <v>3</v>
      </c>
      <c r="H1298" s="13" t="s">
        <v>4</v>
      </c>
      <c r="I1298" s="15">
        <v>-13539.5</v>
      </c>
      <c r="J1298" s="13" t="s">
        <v>5</v>
      </c>
      <c r="K1298" s="13" t="s">
        <v>6</v>
      </c>
      <c r="L1298" s="15">
        <v>-1136641.03</v>
      </c>
      <c r="M1298" s="15">
        <v>-13539.5</v>
      </c>
      <c r="N1298" s="16" t="str">
        <f>IF(M1298="","",IF(M1298&lt;0,-M1298&amp;"_"&amp;COUNTIF(M$2:M1298,M1298),M1298&amp;"_"&amp;COUNTIF(M$2:M1298,M1298)))</f>
        <v>13539.5_1</v>
      </c>
      <c r="O1298" s="17" t="str">
        <f t="shared" si="20"/>
        <v/>
      </c>
      <c r="P1298" s="13" t="s">
        <v>1785</v>
      </c>
      <c r="Q1298" s="13" t="s">
        <v>1777</v>
      </c>
      <c r="R1298" s="13" t="s">
        <v>0</v>
      </c>
      <c r="S1298" s="13" t="s">
        <v>0</v>
      </c>
      <c r="T1298" s="13" t="s">
        <v>9</v>
      </c>
      <c r="U1298" s="13" t="s">
        <v>0</v>
      </c>
      <c r="V1298" s="13" t="s">
        <v>0</v>
      </c>
      <c r="W1298" s="13" t="s">
        <v>0</v>
      </c>
      <c r="X1298" s="13" t="s">
        <v>0</v>
      </c>
      <c r="Y1298" s="13" t="s">
        <v>10</v>
      </c>
      <c r="Z1298" s="13" t="s">
        <v>0</v>
      </c>
      <c r="AA1298" s="14"/>
      <c r="AB1298" s="13" t="s">
        <v>0</v>
      </c>
      <c r="AC1298" s="13" t="s">
        <v>0</v>
      </c>
      <c r="AD1298" s="13" t="s">
        <v>0</v>
      </c>
      <c r="AE1298" s="15">
        <v>0</v>
      </c>
    </row>
    <row r="1299" spans="1:31" ht="14.15" customHeight="1" x14ac:dyDescent="0.25">
      <c r="A1299" s="12" t="s">
        <v>0</v>
      </c>
      <c r="B1299" s="13" t="s">
        <v>1</v>
      </c>
      <c r="C1299" s="13" t="s">
        <v>599</v>
      </c>
      <c r="D1299" s="14">
        <v>44080</v>
      </c>
      <c r="E1299" s="14">
        <v>44080</v>
      </c>
      <c r="F1299" s="14">
        <v>44104</v>
      </c>
      <c r="G1299" s="13" t="s">
        <v>3</v>
      </c>
      <c r="H1299" s="13" t="s">
        <v>4</v>
      </c>
      <c r="I1299" s="15">
        <v>-13527.89</v>
      </c>
      <c r="J1299" s="13" t="s">
        <v>5</v>
      </c>
      <c r="K1299" s="13" t="s">
        <v>6</v>
      </c>
      <c r="L1299" s="15">
        <v>-1135666.3600000001</v>
      </c>
      <c r="M1299" s="15">
        <v>-13527.89</v>
      </c>
      <c r="N1299" s="16" t="str">
        <f>IF(M1299="","",IF(M1299&lt;0,-M1299&amp;"_"&amp;COUNTIF(M$2:M1299,M1299),M1299&amp;"_"&amp;COUNTIF(M$2:M1299,M1299)))</f>
        <v>13527.89_1</v>
      </c>
      <c r="O1299" s="17" t="str">
        <f t="shared" si="20"/>
        <v/>
      </c>
      <c r="P1299" s="13" t="s">
        <v>600</v>
      </c>
      <c r="Q1299" s="13" t="s">
        <v>594</v>
      </c>
      <c r="R1299" s="13" t="s">
        <v>0</v>
      </c>
      <c r="S1299" s="13" t="s">
        <v>0</v>
      </c>
      <c r="T1299" s="13" t="s">
        <v>9</v>
      </c>
      <c r="U1299" s="13" t="s">
        <v>0</v>
      </c>
      <c r="V1299" s="13" t="s">
        <v>0</v>
      </c>
      <c r="W1299" s="13" t="s">
        <v>0</v>
      </c>
      <c r="X1299" s="13" t="s">
        <v>0</v>
      </c>
      <c r="Y1299" s="13" t="s">
        <v>10</v>
      </c>
      <c r="Z1299" s="13" t="s">
        <v>0</v>
      </c>
      <c r="AA1299" s="14"/>
      <c r="AB1299" s="13" t="s">
        <v>0</v>
      </c>
      <c r="AC1299" s="13" t="s">
        <v>0</v>
      </c>
      <c r="AD1299" s="13" t="s">
        <v>0</v>
      </c>
      <c r="AE1299" s="15">
        <v>0</v>
      </c>
    </row>
    <row r="1300" spans="1:31" ht="14.15" customHeight="1" x14ac:dyDescent="0.25">
      <c r="A1300" s="12" t="s">
        <v>0</v>
      </c>
      <c r="B1300" s="13" t="s">
        <v>1</v>
      </c>
      <c r="C1300" s="13" t="s">
        <v>980</v>
      </c>
      <c r="D1300" s="14">
        <v>44125</v>
      </c>
      <c r="E1300" s="14">
        <v>44125</v>
      </c>
      <c r="F1300" s="14">
        <v>44132</v>
      </c>
      <c r="G1300" s="13" t="s">
        <v>3</v>
      </c>
      <c r="H1300" s="13" t="s">
        <v>4</v>
      </c>
      <c r="I1300" s="15">
        <v>-13515.48</v>
      </c>
      <c r="J1300" s="13" t="s">
        <v>5</v>
      </c>
      <c r="K1300" s="13" t="s">
        <v>6</v>
      </c>
      <c r="L1300" s="15">
        <v>-1134624.55</v>
      </c>
      <c r="M1300" s="15">
        <v>-13515.48</v>
      </c>
      <c r="N1300" s="16" t="str">
        <f>IF(M1300="","",IF(M1300&lt;0,-M1300&amp;"_"&amp;COUNTIF(M$2:M1300,M1300),M1300&amp;"_"&amp;COUNTIF(M$2:M1300,M1300)))</f>
        <v>13515.48_1</v>
      </c>
      <c r="O1300" s="17" t="str">
        <f t="shared" si="20"/>
        <v/>
      </c>
      <c r="P1300" s="13" t="s">
        <v>981</v>
      </c>
      <c r="Q1300" s="13" t="s">
        <v>977</v>
      </c>
      <c r="R1300" s="13" t="s">
        <v>0</v>
      </c>
      <c r="S1300" s="13" t="s">
        <v>0</v>
      </c>
      <c r="T1300" s="13" t="s">
        <v>9</v>
      </c>
      <c r="U1300" s="13" t="s">
        <v>0</v>
      </c>
      <c r="V1300" s="13" t="s">
        <v>0</v>
      </c>
      <c r="W1300" s="13" t="s">
        <v>0</v>
      </c>
      <c r="X1300" s="13" t="s">
        <v>0</v>
      </c>
      <c r="Y1300" s="13" t="s">
        <v>10</v>
      </c>
      <c r="Z1300" s="13" t="s">
        <v>0</v>
      </c>
      <c r="AA1300" s="14"/>
      <c r="AB1300" s="13" t="s">
        <v>0</v>
      </c>
      <c r="AC1300" s="13" t="s">
        <v>0</v>
      </c>
      <c r="AD1300" s="13" t="s">
        <v>0</v>
      </c>
      <c r="AE1300" s="15">
        <v>0</v>
      </c>
    </row>
    <row r="1301" spans="1:31" ht="14.15" customHeight="1" x14ac:dyDescent="0.25">
      <c r="A1301" s="12" t="s">
        <v>0</v>
      </c>
      <c r="B1301" s="13" t="s">
        <v>1</v>
      </c>
      <c r="C1301" s="13" t="s">
        <v>218</v>
      </c>
      <c r="D1301" s="14">
        <v>44038</v>
      </c>
      <c r="E1301" s="14">
        <v>44038</v>
      </c>
      <c r="F1301" s="14">
        <v>44041</v>
      </c>
      <c r="G1301" s="13" t="s">
        <v>3</v>
      </c>
      <c r="H1301" s="13" t="s">
        <v>4</v>
      </c>
      <c r="I1301" s="15">
        <v>-13506.6</v>
      </c>
      <c r="J1301" s="13" t="s">
        <v>5</v>
      </c>
      <c r="K1301" s="13" t="s">
        <v>6</v>
      </c>
      <c r="L1301" s="15">
        <v>-1133879.07</v>
      </c>
      <c r="M1301" s="15">
        <v>-13506.6</v>
      </c>
      <c r="N1301" s="16" t="str">
        <f>IF(M1301="","",IF(M1301&lt;0,-M1301&amp;"_"&amp;COUNTIF(M$2:M1301,M1301),M1301&amp;"_"&amp;COUNTIF(M$2:M1301,M1301)))</f>
        <v>13506.6_1</v>
      </c>
      <c r="O1301" s="17" t="str">
        <f t="shared" si="20"/>
        <v/>
      </c>
      <c r="P1301" s="13" t="s">
        <v>219</v>
      </c>
      <c r="Q1301" s="13" t="s">
        <v>215</v>
      </c>
      <c r="R1301" s="13" t="s">
        <v>0</v>
      </c>
      <c r="S1301" s="13" t="s">
        <v>0</v>
      </c>
      <c r="T1301" s="13" t="s">
        <v>9</v>
      </c>
      <c r="U1301" s="13" t="s">
        <v>0</v>
      </c>
      <c r="V1301" s="13" t="s">
        <v>0</v>
      </c>
      <c r="W1301" s="13" t="s">
        <v>0</v>
      </c>
      <c r="X1301" s="13" t="s">
        <v>0</v>
      </c>
      <c r="Y1301" s="13" t="s">
        <v>10</v>
      </c>
      <c r="Z1301" s="13" t="s">
        <v>0</v>
      </c>
      <c r="AA1301" s="14"/>
      <c r="AB1301" s="13" t="s">
        <v>0</v>
      </c>
      <c r="AC1301" s="13" t="s">
        <v>0</v>
      </c>
      <c r="AD1301" s="13" t="s">
        <v>0</v>
      </c>
      <c r="AE1301" s="15">
        <v>0</v>
      </c>
    </row>
    <row r="1302" spans="1:31" ht="14.15" customHeight="1" x14ac:dyDescent="0.25">
      <c r="A1302" s="12" t="s">
        <v>0</v>
      </c>
      <c r="B1302" s="13" t="s">
        <v>1</v>
      </c>
      <c r="C1302" s="13" t="s">
        <v>281</v>
      </c>
      <c r="D1302" s="14">
        <v>44042</v>
      </c>
      <c r="E1302" s="14">
        <v>44042</v>
      </c>
      <c r="F1302" s="14">
        <v>44053</v>
      </c>
      <c r="G1302" s="13" t="s">
        <v>3</v>
      </c>
      <c r="H1302" s="13" t="s">
        <v>4</v>
      </c>
      <c r="I1302" s="15">
        <v>-13465.4</v>
      </c>
      <c r="J1302" s="13" t="s">
        <v>5</v>
      </c>
      <c r="K1302" s="13" t="s">
        <v>6</v>
      </c>
      <c r="L1302" s="15">
        <v>-1130420.33</v>
      </c>
      <c r="M1302" s="15">
        <v>-13465.4</v>
      </c>
      <c r="N1302" s="16" t="str">
        <f>IF(M1302="","",IF(M1302&lt;0,-M1302&amp;"_"&amp;COUNTIF(M$2:M1302,M1302),M1302&amp;"_"&amp;COUNTIF(M$2:M1302,M1302)))</f>
        <v>13465.4_1</v>
      </c>
      <c r="O1302" s="17" t="str">
        <f t="shared" si="20"/>
        <v/>
      </c>
      <c r="P1302" s="13" t="s">
        <v>282</v>
      </c>
      <c r="Q1302" s="13" t="s">
        <v>268</v>
      </c>
      <c r="R1302" s="13" t="s">
        <v>0</v>
      </c>
      <c r="S1302" s="13" t="s">
        <v>0</v>
      </c>
      <c r="T1302" s="13" t="s">
        <v>9</v>
      </c>
      <c r="U1302" s="13" t="s">
        <v>0</v>
      </c>
      <c r="V1302" s="13" t="s">
        <v>0</v>
      </c>
      <c r="W1302" s="13" t="s">
        <v>0</v>
      </c>
      <c r="X1302" s="13" t="s">
        <v>0</v>
      </c>
      <c r="Y1302" s="13" t="s">
        <v>10</v>
      </c>
      <c r="Z1302" s="13" t="s">
        <v>0</v>
      </c>
      <c r="AA1302" s="14"/>
      <c r="AB1302" s="13" t="s">
        <v>0</v>
      </c>
      <c r="AC1302" s="13" t="s">
        <v>0</v>
      </c>
      <c r="AD1302" s="13" t="s">
        <v>0</v>
      </c>
      <c r="AE1302" s="15">
        <v>0</v>
      </c>
    </row>
    <row r="1303" spans="1:31" ht="14.15" customHeight="1" x14ac:dyDescent="0.25">
      <c r="A1303" s="12" t="s">
        <v>0</v>
      </c>
      <c r="B1303" s="13" t="s">
        <v>1</v>
      </c>
      <c r="C1303" s="13" t="s">
        <v>2609</v>
      </c>
      <c r="D1303" s="14">
        <v>44243</v>
      </c>
      <c r="E1303" s="14">
        <v>44243</v>
      </c>
      <c r="F1303" s="14">
        <v>44252</v>
      </c>
      <c r="G1303" s="13" t="s">
        <v>3</v>
      </c>
      <c r="H1303" s="13" t="s">
        <v>4</v>
      </c>
      <c r="I1303" s="15">
        <v>-13458.92</v>
      </c>
      <c r="J1303" s="13" t="s">
        <v>5</v>
      </c>
      <c r="K1303" s="13" t="s">
        <v>6</v>
      </c>
      <c r="L1303" s="15">
        <v>-1129876.33</v>
      </c>
      <c r="M1303" s="15">
        <v>-13458.92</v>
      </c>
      <c r="N1303" s="16" t="str">
        <f>IF(M1303="","",IF(M1303&lt;0,-M1303&amp;"_"&amp;COUNTIF(M$2:M1303,M1303),M1303&amp;"_"&amp;COUNTIF(M$2:M1303,M1303)))</f>
        <v>13458.92_1</v>
      </c>
      <c r="O1303" s="17" t="str">
        <f t="shared" si="20"/>
        <v/>
      </c>
      <c r="P1303" s="13" t="s">
        <v>2610</v>
      </c>
      <c r="Q1303" s="13" t="s">
        <v>2574</v>
      </c>
      <c r="R1303" s="13" t="s">
        <v>0</v>
      </c>
      <c r="S1303" s="13" t="s">
        <v>0</v>
      </c>
      <c r="T1303" s="13" t="s">
        <v>9</v>
      </c>
      <c r="U1303" s="13" t="s">
        <v>0</v>
      </c>
      <c r="V1303" s="13" t="s">
        <v>0</v>
      </c>
      <c r="W1303" s="13" t="s">
        <v>0</v>
      </c>
      <c r="X1303" s="13" t="s">
        <v>0</v>
      </c>
      <c r="Y1303" s="13" t="s">
        <v>10</v>
      </c>
      <c r="Z1303" s="13" t="s">
        <v>0</v>
      </c>
      <c r="AA1303" s="14"/>
      <c r="AB1303" s="13" t="s">
        <v>0</v>
      </c>
      <c r="AC1303" s="13" t="s">
        <v>0</v>
      </c>
      <c r="AD1303" s="13" t="s">
        <v>0</v>
      </c>
      <c r="AE1303" s="15">
        <v>0</v>
      </c>
    </row>
    <row r="1304" spans="1:31" ht="14.15" customHeight="1" x14ac:dyDescent="0.25">
      <c r="A1304" s="12" t="s">
        <v>0</v>
      </c>
      <c r="B1304" s="13" t="s">
        <v>1</v>
      </c>
      <c r="C1304" s="13" t="s">
        <v>200</v>
      </c>
      <c r="D1304" s="14">
        <v>44034</v>
      </c>
      <c r="E1304" s="14">
        <v>44034</v>
      </c>
      <c r="F1304" s="14">
        <v>44049</v>
      </c>
      <c r="G1304" s="13" t="s">
        <v>3</v>
      </c>
      <c r="H1304" s="13" t="s">
        <v>4</v>
      </c>
      <c r="I1304" s="15">
        <v>-13454.24</v>
      </c>
      <c r="J1304" s="13" t="s">
        <v>5</v>
      </c>
      <c r="K1304" s="13" t="s">
        <v>6</v>
      </c>
      <c r="L1304" s="15">
        <v>-1129483.45</v>
      </c>
      <c r="M1304" s="15">
        <v>-13454.24</v>
      </c>
      <c r="N1304" s="16" t="str">
        <f>IF(M1304="","",IF(M1304&lt;0,-M1304&amp;"_"&amp;COUNTIF(M$2:M1304,M1304),M1304&amp;"_"&amp;COUNTIF(M$2:M1304,M1304)))</f>
        <v>13454.24_1</v>
      </c>
      <c r="O1304" s="17" t="str">
        <f t="shared" si="20"/>
        <v/>
      </c>
      <c r="P1304" s="13" t="s">
        <v>201</v>
      </c>
      <c r="Q1304" s="13" t="s">
        <v>175</v>
      </c>
      <c r="R1304" s="13" t="s">
        <v>0</v>
      </c>
      <c r="S1304" s="13" t="s">
        <v>0</v>
      </c>
      <c r="T1304" s="13" t="s">
        <v>9</v>
      </c>
      <c r="U1304" s="13" t="s">
        <v>0</v>
      </c>
      <c r="V1304" s="13" t="s">
        <v>0</v>
      </c>
      <c r="W1304" s="13" t="s">
        <v>0</v>
      </c>
      <c r="X1304" s="13" t="s">
        <v>0</v>
      </c>
      <c r="Y1304" s="13" t="s">
        <v>10</v>
      </c>
      <c r="Z1304" s="13" t="s">
        <v>0</v>
      </c>
      <c r="AA1304" s="14"/>
      <c r="AB1304" s="13" t="s">
        <v>0</v>
      </c>
      <c r="AC1304" s="13" t="s">
        <v>0</v>
      </c>
      <c r="AD1304" s="13" t="s">
        <v>0</v>
      </c>
      <c r="AE1304" s="15">
        <v>0</v>
      </c>
    </row>
    <row r="1305" spans="1:31" ht="14.15" customHeight="1" x14ac:dyDescent="0.25">
      <c r="A1305" s="12" t="s">
        <v>0</v>
      </c>
      <c r="B1305" s="13" t="s">
        <v>1</v>
      </c>
      <c r="C1305" s="13" t="s">
        <v>1685</v>
      </c>
      <c r="D1305" s="14">
        <v>44173</v>
      </c>
      <c r="E1305" s="14">
        <v>44173</v>
      </c>
      <c r="F1305" s="14">
        <v>44178</v>
      </c>
      <c r="G1305" s="13" t="s">
        <v>3</v>
      </c>
      <c r="H1305" s="13" t="s">
        <v>4</v>
      </c>
      <c r="I1305" s="15">
        <v>-13453.8</v>
      </c>
      <c r="J1305" s="13" t="s">
        <v>5</v>
      </c>
      <c r="K1305" s="13" t="s">
        <v>6</v>
      </c>
      <c r="L1305" s="15">
        <v>-1129446.51</v>
      </c>
      <c r="M1305" s="15">
        <v>-13453.8</v>
      </c>
      <c r="N1305" s="16" t="str">
        <f>IF(M1305="","",IF(M1305&lt;0,-M1305&amp;"_"&amp;COUNTIF(M$2:M1305,M1305),M1305&amp;"_"&amp;COUNTIF(M$2:M1305,M1305)))</f>
        <v>13453.8_1</v>
      </c>
      <c r="O1305" s="17" t="str">
        <f t="shared" si="20"/>
        <v/>
      </c>
      <c r="P1305" s="13" t="s">
        <v>1686</v>
      </c>
      <c r="Q1305" s="13" t="s">
        <v>1687</v>
      </c>
      <c r="R1305" s="13" t="s">
        <v>0</v>
      </c>
      <c r="S1305" s="13" t="s">
        <v>0</v>
      </c>
      <c r="T1305" s="13" t="s">
        <v>9</v>
      </c>
      <c r="U1305" s="13" t="s">
        <v>0</v>
      </c>
      <c r="V1305" s="13" t="s">
        <v>0</v>
      </c>
      <c r="W1305" s="13" t="s">
        <v>0</v>
      </c>
      <c r="X1305" s="13" t="s">
        <v>0</v>
      </c>
      <c r="Y1305" s="13" t="s">
        <v>10</v>
      </c>
      <c r="Z1305" s="13" t="s">
        <v>0</v>
      </c>
      <c r="AA1305" s="14"/>
      <c r="AB1305" s="13" t="s">
        <v>0</v>
      </c>
      <c r="AC1305" s="13" t="s">
        <v>0</v>
      </c>
      <c r="AD1305" s="13" t="s">
        <v>0</v>
      </c>
      <c r="AE1305" s="15">
        <v>0</v>
      </c>
    </row>
    <row r="1306" spans="1:31" ht="14.15" customHeight="1" x14ac:dyDescent="0.25">
      <c r="A1306" s="12" t="s">
        <v>0</v>
      </c>
      <c r="B1306" s="13" t="s">
        <v>1</v>
      </c>
      <c r="C1306" s="13" t="s">
        <v>922</v>
      </c>
      <c r="D1306" s="14">
        <v>44117</v>
      </c>
      <c r="E1306" s="14">
        <v>44117</v>
      </c>
      <c r="F1306" s="14">
        <v>44123</v>
      </c>
      <c r="G1306" s="13" t="s">
        <v>3</v>
      </c>
      <c r="H1306" s="13" t="s">
        <v>4</v>
      </c>
      <c r="I1306" s="15">
        <v>-13437.67</v>
      </c>
      <c r="J1306" s="13" t="s">
        <v>5</v>
      </c>
      <c r="K1306" s="13" t="s">
        <v>6</v>
      </c>
      <c r="L1306" s="15">
        <v>-1128092.3999999999</v>
      </c>
      <c r="M1306" s="15">
        <v>-13437.67</v>
      </c>
      <c r="N1306" s="16" t="str">
        <f>IF(M1306="","",IF(M1306&lt;0,-M1306&amp;"_"&amp;COUNTIF(M$2:M1306,M1306),M1306&amp;"_"&amp;COUNTIF(M$2:M1306,M1306)))</f>
        <v>13437.67_1</v>
      </c>
      <c r="O1306" s="17" t="str">
        <f t="shared" si="20"/>
        <v/>
      </c>
      <c r="P1306" s="13" t="s">
        <v>923</v>
      </c>
      <c r="Q1306" s="13" t="s">
        <v>917</v>
      </c>
      <c r="R1306" s="13" t="s">
        <v>0</v>
      </c>
      <c r="S1306" s="13" t="s">
        <v>0</v>
      </c>
      <c r="T1306" s="13" t="s">
        <v>9</v>
      </c>
      <c r="U1306" s="13" t="s">
        <v>0</v>
      </c>
      <c r="V1306" s="13" t="s">
        <v>0</v>
      </c>
      <c r="W1306" s="13" t="s">
        <v>0</v>
      </c>
      <c r="X1306" s="13" t="s">
        <v>0</v>
      </c>
      <c r="Y1306" s="13" t="s">
        <v>10</v>
      </c>
      <c r="Z1306" s="13" t="s">
        <v>0</v>
      </c>
      <c r="AA1306" s="14"/>
      <c r="AB1306" s="13" t="s">
        <v>0</v>
      </c>
      <c r="AC1306" s="13" t="s">
        <v>0</v>
      </c>
      <c r="AD1306" s="13" t="s">
        <v>0</v>
      </c>
      <c r="AE1306" s="15">
        <v>0</v>
      </c>
    </row>
    <row r="1307" spans="1:31" ht="14.15" customHeight="1" x14ac:dyDescent="0.25">
      <c r="A1307" s="12" t="s">
        <v>0</v>
      </c>
      <c r="B1307" s="13" t="s">
        <v>1</v>
      </c>
      <c r="C1307" s="13" t="s">
        <v>1252</v>
      </c>
      <c r="D1307" s="14">
        <v>44143</v>
      </c>
      <c r="E1307" s="14">
        <v>44143</v>
      </c>
      <c r="F1307" s="14">
        <v>44149</v>
      </c>
      <c r="G1307" s="13" t="s">
        <v>3</v>
      </c>
      <c r="H1307" s="13" t="s">
        <v>4</v>
      </c>
      <c r="I1307" s="15">
        <v>-13424.08</v>
      </c>
      <c r="J1307" s="13" t="s">
        <v>5</v>
      </c>
      <c r="K1307" s="13" t="s">
        <v>6</v>
      </c>
      <c r="L1307" s="15">
        <v>-1126951.52</v>
      </c>
      <c r="M1307" s="15">
        <v>-13424.08</v>
      </c>
      <c r="N1307" s="16" t="str">
        <f>IF(M1307="","",IF(M1307&lt;0,-M1307&amp;"_"&amp;COUNTIF(M$2:M1307,M1307),M1307&amp;"_"&amp;COUNTIF(M$2:M1307,M1307)))</f>
        <v>13424.08_1</v>
      </c>
      <c r="O1307" s="17" t="str">
        <f t="shared" si="20"/>
        <v/>
      </c>
      <c r="P1307" s="13" t="s">
        <v>1253</v>
      </c>
      <c r="Q1307" s="13" t="s">
        <v>1245</v>
      </c>
      <c r="R1307" s="13" t="s">
        <v>0</v>
      </c>
      <c r="S1307" s="13" t="s">
        <v>0</v>
      </c>
      <c r="T1307" s="13" t="s">
        <v>9</v>
      </c>
      <c r="U1307" s="13" t="s">
        <v>0</v>
      </c>
      <c r="V1307" s="13" t="s">
        <v>0</v>
      </c>
      <c r="W1307" s="13" t="s">
        <v>0</v>
      </c>
      <c r="X1307" s="13" t="s">
        <v>0</v>
      </c>
      <c r="Y1307" s="13" t="s">
        <v>10</v>
      </c>
      <c r="Z1307" s="13" t="s">
        <v>0</v>
      </c>
      <c r="AA1307" s="14"/>
      <c r="AB1307" s="13" t="s">
        <v>0</v>
      </c>
      <c r="AC1307" s="13" t="s">
        <v>0</v>
      </c>
      <c r="AD1307" s="13" t="s">
        <v>0</v>
      </c>
      <c r="AE1307" s="15">
        <v>0</v>
      </c>
    </row>
    <row r="1308" spans="1:31" ht="14.15" customHeight="1" x14ac:dyDescent="0.25">
      <c r="A1308" s="12" t="s">
        <v>0</v>
      </c>
      <c r="B1308" s="13" t="s">
        <v>1</v>
      </c>
      <c r="C1308" s="13" t="s">
        <v>2251</v>
      </c>
      <c r="D1308" s="14">
        <v>44215</v>
      </c>
      <c r="E1308" s="14">
        <v>44215</v>
      </c>
      <c r="F1308" s="14">
        <v>44222</v>
      </c>
      <c r="G1308" s="13" t="s">
        <v>3</v>
      </c>
      <c r="H1308" s="13" t="s">
        <v>4</v>
      </c>
      <c r="I1308" s="15">
        <v>-13419.4</v>
      </c>
      <c r="J1308" s="13" t="s">
        <v>5</v>
      </c>
      <c r="K1308" s="13" t="s">
        <v>6</v>
      </c>
      <c r="L1308" s="15">
        <v>-1126558.6299999999</v>
      </c>
      <c r="M1308" s="15">
        <v>-13419.4</v>
      </c>
      <c r="N1308" s="16" t="str">
        <f>IF(M1308="","",IF(M1308&lt;0,-M1308&amp;"_"&amp;COUNTIF(M$2:M1308,M1308),M1308&amp;"_"&amp;COUNTIF(M$2:M1308,M1308)))</f>
        <v>13419.4_1</v>
      </c>
      <c r="O1308" s="17" t="str">
        <f t="shared" si="20"/>
        <v/>
      </c>
      <c r="P1308" s="13" t="s">
        <v>2252</v>
      </c>
      <c r="Q1308" s="13" t="s">
        <v>2250</v>
      </c>
      <c r="R1308" s="13" t="s">
        <v>0</v>
      </c>
      <c r="S1308" s="13" t="s">
        <v>0</v>
      </c>
      <c r="T1308" s="13" t="s">
        <v>9</v>
      </c>
      <c r="U1308" s="13" t="s">
        <v>0</v>
      </c>
      <c r="V1308" s="13" t="s">
        <v>0</v>
      </c>
      <c r="W1308" s="13" t="s">
        <v>0</v>
      </c>
      <c r="X1308" s="13" t="s">
        <v>0</v>
      </c>
      <c r="Y1308" s="13" t="s">
        <v>10</v>
      </c>
      <c r="Z1308" s="13" t="s">
        <v>0</v>
      </c>
      <c r="AA1308" s="14"/>
      <c r="AB1308" s="13" t="s">
        <v>0</v>
      </c>
      <c r="AC1308" s="13" t="s">
        <v>0</v>
      </c>
      <c r="AD1308" s="13" t="s">
        <v>0</v>
      </c>
      <c r="AE1308" s="15">
        <v>0</v>
      </c>
    </row>
    <row r="1309" spans="1:31" ht="14.15" customHeight="1" x14ac:dyDescent="0.25">
      <c r="A1309" s="12" t="s">
        <v>0</v>
      </c>
      <c r="B1309" s="13" t="s">
        <v>1</v>
      </c>
      <c r="C1309" s="13" t="s">
        <v>2609</v>
      </c>
      <c r="D1309" s="14">
        <v>44243</v>
      </c>
      <c r="E1309" s="14">
        <v>44243</v>
      </c>
      <c r="F1309" s="14">
        <v>44252</v>
      </c>
      <c r="G1309" s="13" t="s">
        <v>3</v>
      </c>
      <c r="H1309" s="13" t="s">
        <v>4</v>
      </c>
      <c r="I1309" s="15">
        <v>-13396.49</v>
      </c>
      <c r="J1309" s="13" t="s">
        <v>5</v>
      </c>
      <c r="K1309" s="13" t="s">
        <v>6</v>
      </c>
      <c r="L1309" s="15">
        <v>-1124635.3400000001</v>
      </c>
      <c r="M1309" s="15">
        <v>-13396.49</v>
      </c>
      <c r="N1309" s="16" t="str">
        <f>IF(M1309="","",IF(M1309&lt;0,-M1309&amp;"_"&amp;COUNTIF(M$2:M1309,M1309),M1309&amp;"_"&amp;COUNTIF(M$2:M1309,M1309)))</f>
        <v>13396.49_1</v>
      </c>
      <c r="O1309" s="17" t="str">
        <f t="shared" si="20"/>
        <v/>
      </c>
      <c r="P1309" s="13" t="s">
        <v>2610</v>
      </c>
      <c r="Q1309" s="13" t="s">
        <v>2574</v>
      </c>
      <c r="R1309" s="13" t="s">
        <v>0</v>
      </c>
      <c r="S1309" s="13" t="s">
        <v>0</v>
      </c>
      <c r="T1309" s="13" t="s">
        <v>9</v>
      </c>
      <c r="U1309" s="13" t="s">
        <v>0</v>
      </c>
      <c r="V1309" s="13" t="s">
        <v>0</v>
      </c>
      <c r="W1309" s="13" t="s">
        <v>0</v>
      </c>
      <c r="X1309" s="13" t="s">
        <v>0</v>
      </c>
      <c r="Y1309" s="13" t="s">
        <v>10</v>
      </c>
      <c r="Z1309" s="13" t="s">
        <v>0</v>
      </c>
      <c r="AA1309" s="14"/>
      <c r="AB1309" s="13" t="s">
        <v>0</v>
      </c>
      <c r="AC1309" s="13" t="s">
        <v>0</v>
      </c>
      <c r="AD1309" s="13" t="s">
        <v>0</v>
      </c>
      <c r="AE1309" s="15">
        <v>0</v>
      </c>
    </row>
    <row r="1310" spans="1:31" ht="14.15" customHeight="1" x14ac:dyDescent="0.25">
      <c r="A1310" s="12" t="s">
        <v>0</v>
      </c>
      <c r="B1310" s="13" t="s">
        <v>1</v>
      </c>
      <c r="C1310" s="13" t="s">
        <v>3874</v>
      </c>
      <c r="D1310" s="14">
        <v>44352</v>
      </c>
      <c r="E1310" s="14">
        <v>44352</v>
      </c>
      <c r="F1310" s="14">
        <v>44356</v>
      </c>
      <c r="G1310" s="13" t="s">
        <v>3</v>
      </c>
      <c r="H1310" s="13" t="s">
        <v>4</v>
      </c>
      <c r="I1310" s="15">
        <v>-13393.62</v>
      </c>
      <c r="J1310" s="13" t="s">
        <v>5</v>
      </c>
      <c r="K1310" s="13" t="s">
        <v>6</v>
      </c>
      <c r="L1310" s="15">
        <v>-1124394.3999999999</v>
      </c>
      <c r="M1310" s="15">
        <v>-13393.62</v>
      </c>
      <c r="N1310" s="16" t="str">
        <f>IF(M1310="","",IF(M1310&lt;0,-M1310&amp;"_"&amp;COUNTIF(M$2:M1310,M1310),M1310&amp;"_"&amp;COUNTIF(M$2:M1310,M1310)))</f>
        <v>13393.62_1</v>
      </c>
      <c r="O1310" s="17" t="str">
        <f t="shared" si="20"/>
        <v/>
      </c>
      <c r="P1310" s="13" t="s">
        <v>3875</v>
      </c>
      <c r="Q1310" s="13" t="s">
        <v>3873</v>
      </c>
      <c r="R1310" s="13" t="s">
        <v>0</v>
      </c>
      <c r="S1310" s="13" t="s">
        <v>0</v>
      </c>
      <c r="T1310" s="13" t="s">
        <v>9</v>
      </c>
      <c r="U1310" s="13" t="s">
        <v>0</v>
      </c>
      <c r="V1310" s="13" t="s">
        <v>0</v>
      </c>
      <c r="W1310" s="13" t="s">
        <v>0</v>
      </c>
      <c r="X1310" s="13" t="s">
        <v>0</v>
      </c>
      <c r="Y1310" s="13" t="s">
        <v>10</v>
      </c>
      <c r="Z1310" s="13" t="s">
        <v>0</v>
      </c>
      <c r="AA1310" s="14"/>
      <c r="AB1310" s="13" t="s">
        <v>0</v>
      </c>
      <c r="AC1310" s="13" t="s">
        <v>0</v>
      </c>
      <c r="AD1310" s="13" t="s">
        <v>0</v>
      </c>
      <c r="AE1310" s="15">
        <v>0</v>
      </c>
    </row>
    <row r="1311" spans="1:31" ht="14.15" customHeight="1" x14ac:dyDescent="0.25">
      <c r="A1311" s="12" t="s">
        <v>0</v>
      </c>
      <c r="B1311" s="13" t="s">
        <v>1</v>
      </c>
      <c r="C1311" s="13" t="s">
        <v>3029</v>
      </c>
      <c r="D1311" s="14">
        <v>44281</v>
      </c>
      <c r="E1311" s="14">
        <v>44281</v>
      </c>
      <c r="F1311" s="14">
        <v>44290</v>
      </c>
      <c r="G1311" s="13" t="s">
        <v>3</v>
      </c>
      <c r="H1311" s="13" t="s">
        <v>4</v>
      </c>
      <c r="I1311" s="15">
        <v>-13383.67</v>
      </c>
      <c r="J1311" s="13" t="s">
        <v>5</v>
      </c>
      <c r="K1311" s="13" t="s">
        <v>6</v>
      </c>
      <c r="L1311" s="15">
        <v>-1123559.1000000001</v>
      </c>
      <c r="M1311" s="15">
        <v>-13383.67</v>
      </c>
      <c r="N1311" s="16" t="str">
        <f>IF(M1311="","",IF(M1311&lt;0,-M1311&amp;"_"&amp;COUNTIF(M$2:M1311,M1311),M1311&amp;"_"&amp;COUNTIF(M$2:M1311,M1311)))</f>
        <v>13383.67_1</v>
      </c>
      <c r="O1311" s="17" t="str">
        <f t="shared" si="20"/>
        <v/>
      </c>
      <c r="P1311" s="13" t="s">
        <v>3030</v>
      </c>
      <c r="Q1311" s="13" t="s">
        <v>3014</v>
      </c>
      <c r="R1311" s="13" t="s">
        <v>0</v>
      </c>
      <c r="S1311" s="13" t="s">
        <v>0</v>
      </c>
      <c r="T1311" s="13" t="s">
        <v>9</v>
      </c>
      <c r="U1311" s="13" t="s">
        <v>0</v>
      </c>
      <c r="V1311" s="13" t="s">
        <v>0</v>
      </c>
      <c r="W1311" s="13" t="s">
        <v>0</v>
      </c>
      <c r="X1311" s="13" t="s">
        <v>0</v>
      </c>
      <c r="Y1311" s="13" t="s">
        <v>10</v>
      </c>
      <c r="Z1311" s="13" t="s">
        <v>0</v>
      </c>
      <c r="AA1311" s="14"/>
      <c r="AB1311" s="13" t="s">
        <v>0</v>
      </c>
      <c r="AC1311" s="13" t="s">
        <v>0</v>
      </c>
      <c r="AD1311" s="13" t="s">
        <v>0</v>
      </c>
      <c r="AE1311" s="15">
        <v>0</v>
      </c>
    </row>
    <row r="1312" spans="1:31" ht="14.15" customHeight="1" x14ac:dyDescent="0.25">
      <c r="A1312" s="12" t="s">
        <v>0</v>
      </c>
      <c r="B1312" s="13" t="s">
        <v>1</v>
      </c>
      <c r="C1312" s="13" t="s">
        <v>23</v>
      </c>
      <c r="D1312" s="14">
        <v>44014</v>
      </c>
      <c r="E1312" s="14">
        <v>44014</v>
      </c>
      <c r="F1312" s="14">
        <v>44030</v>
      </c>
      <c r="G1312" s="13" t="s">
        <v>3</v>
      </c>
      <c r="H1312" s="13" t="s">
        <v>4</v>
      </c>
      <c r="I1312" s="15">
        <v>-13380.08</v>
      </c>
      <c r="J1312" s="13" t="s">
        <v>5</v>
      </c>
      <c r="K1312" s="13" t="s">
        <v>6</v>
      </c>
      <c r="L1312" s="15">
        <v>-1123257.72</v>
      </c>
      <c r="M1312" s="15">
        <v>-13380.08</v>
      </c>
      <c r="N1312" s="16" t="str">
        <f>IF(M1312="","",IF(M1312&lt;0,-M1312&amp;"_"&amp;COUNTIF(M$2:M1312,M1312),M1312&amp;"_"&amp;COUNTIF(M$2:M1312,M1312)))</f>
        <v>13380.08_1</v>
      </c>
      <c r="O1312" s="17" t="str">
        <f t="shared" si="20"/>
        <v/>
      </c>
      <c r="P1312" s="13" t="s">
        <v>24</v>
      </c>
      <c r="Q1312" s="13" t="s">
        <v>8</v>
      </c>
      <c r="R1312" s="13" t="s">
        <v>0</v>
      </c>
      <c r="S1312" s="13" t="s">
        <v>0</v>
      </c>
      <c r="T1312" s="13" t="s">
        <v>9</v>
      </c>
      <c r="U1312" s="13" t="s">
        <v>0</v>
      </c>
      <c r="V1312" s="13" t="s">
        <v>0</v>
      </c>
      <c r="W1312" s="13" t="s">
        <v>0</v>
      </c>
      <c r="X1312" s="13" t="s">
        <v>0</v>
      </c>
      <c r="Y1312" s="13" t="s">
        <v>10</v>
      </c>
      <c r="Z1312" s="13" t="s">
        <v>0</v>
      </c>
      <c r="AA1312" s="14"/>
      <c r="AB1312" s="13" t="s">
        <v>0</v>
      </c>
      <c r="AC1312" s="13" t="s">
        <v>0</v>
      </c>
      <c r="AD1312" s="13" t="s">
        <v>0</v>
      </c>
      <c r="AE1312" s="15">
        <v>0</v>
      </c>
    </row>
    <row r="1313" spans="1:31" ht="14.15" customHeight="1" x14ac:dyDescent="0.25">
      <c r="A1313" s="12" t="s">
        <v>0</v>
      </c>
      <c r="B1313" s="13" t="s">
        <v>1</v>
      </c>
      <c r="C1313" s="13" t="s">
        <v>204</v>
      </c>
      <c r="D1313" s="14">
        <v>44036</v>
      </c>
      <c r="E1313" s="14">
        <v>44036</v>
      </c>
      <c r="F1313" s="14">
        <v>44040</v>
      </c>
      <c r="G1313" s="13" t="s">
        <v>3</v>
      </c>
      <c r="H1313" s="13" t="s">
        <v>4</v>
      </c>
      <c r="I1313" s="15">
        <v>-13349.81</v>
      </c>
      <c r="J1313" s="13" t="s">
        <v>5</v>
      </c>
      <c r="K1313" s="13" t="s">
        <v>6</v>
      </c>
      <c r="L1313" s="15">
        <v>-1120716.55</v>
      </c>
      <c r="M1313" s="15">
        <v>-13349.81</v>
      </c>
      <c r="N1313" s="16" t="str">
        <f>IF(M1313="","",IF(M1313&lt;0,-M1313&amp;"_"&amp;COUNTIF(M$2:M1313,M1313),M1313&amp;"_"&amp;COUNTIF(M$2:M1313,M1313)))</f>
        <v>13349.81_1</v>
      </c>
      <c r="O1313" s="17" t="str">
        <f t="shared" si="20"/>
        <v/>
      </c>
      <c r="P1313" s="13" t="s">
        <v>205</v>
      </c>
      <c r="Q1313" s="13" t="s">
        <v>206</v>
      </c>
      <c r="R1313" s="13" t="s">
        <v>0</v>
      </c>
      <c r="S1313" s="13" t="s">
        <v>0</v>
      </c>
      <c r="T1313" s="13" t="s">
        <v>9</v>
      </c>
      <c r="U1313" s="13" t="s">
        <v>0</v>
      </c>
      <c r="V1313" s="13" t="s">
        <v>0</v>
      </c>
      <c r="W1313" s="13" t="s">
        <v>0</v>
      </c>
      <c r="X1313" s="13" t="s">
        <v>0</v>
      </c>
      <c r="Y1313" s="13" t="s">
        <v>10</v>
      </c>
      <c r="Z1313" s="13" t="s">
        <v>0</v>
      </c>
      <c r="AA1313" s="14"/>
      <c r="AB1313" s="13" t="s">
        <v>0</v>
      </c>
      <c r="AC1313" s="13" t="s">
        <v>0</v>
      </c>
      <c r="AD1313" s="13" t="s">
        <v>0</v>
      </c>
      <c r="AE1313" s="15">
        <v>0</v>
      </c>
    </row>
    <row r="1314" spans="1:31" ht="14.15" customHeight="1" x14ac:dyDescent="0.25">
      <c r="A1314" s="12" t="s">
        <v>0</v>
      </c>
      <c r="B1314" s="13" t="s">
        <v>1</v>
      </c>
      <c r="C1314" s="13" t="s">
        <v>2172</v>
      </c>
      <c r="D1314" s="14">
        <v>44209</v>
      </c>
      <c r="E1314" s="14">
        <v>44209</v>
      </c>
      <c r="F1314" s="14">
        <v>44228</v>
      </c>
      <c r="G1314" s="13" t="s">
        <v>3</v>
      </c>
      <c r="H1314" s="13" t="s">
        <v>4</v>
      </c>
      <c r="I1314" s="15">
        <v>-13347.65</v>
      </c>
      <c r="J1314" s="13" t="s">
        <v>5</v>
      </c>
      <c r="K1314" s="13" t="s">
        <v>6</v>
      </c>
      <c r="L1314" s="15">
        <v>-1120535.22</v>
      </c>
      <c r="M1314" s="15">
        <v>-13347.65</v>
      </c>
      <c r="N1314" s="16" t="str">
        <f>IF(M1314="","",IF(M1314&lt;0,-M1314&amp;"_"&amp;COUNTIF(M$2:M1314,M1314),M1314&amp;"_"&amp;COUNTIF(M$2:M1314,M1314)))</f>
        <v>13347.65_1</v>
      </c>
      <c r="O1314" s="17" t="str">
        <f t="shared" si="20"/>
        <v/>
      </c>
      <c r="P1314" s="13" t="s">
        <v>2173</v>
      </c>
      <c r="Q1314" s="13" t="s">
        <v>2159</v>
      </c>
      <c r="R1314" s="13" t="s">
        <v>0</v>
      </c>
      <c r="S1314" s="13" t="s">
        <v>0</v>
      </c>
      <c r="T1314" s="13" t="s">
        <v>9</v>
      </c>
      <c r="U1314" s="13" t="s">
        <v>0</v>
      </c>
      <c r="V1314" s="13" t="s">
        <v>0</v>
      </c>
      <c r="W1314" s="13" t="s">
        <v>0</v>
      </c>
      <c r="X1314" s="13" t="s">
        <v>0</v>
      </c>
      <c r="Y1314" s="13" t="s">
        <v>10</v>
      </c>
      <c r="Z1314" s="13" t="s">
        <v>0</v>
      </c>
      <c r="AA1314" s="14"/>
      <c r="AB1314" s="13" t="s">
        <v>0</v>
      </c>
      <c r="AC1314" s="13" t="s">
        <v>0</v>
      </c>
      <c r="AD1314" s="13" t="s">
        <v>0</v>
      </c>
      <c r="AE1314" s="15">
        <v>0</v>
      </c>
    </row>
    <row r="1315" spans="1:31" ht="14.15" customHeight="1" x14ac:dyDescent="0.25">
      <c r="A1315" s="12" t="s">
        <v>0</v>
      </c>
      <c r="B1315" s="13" t="s">
        <v>1</v>
      </c>
      <c r="C1315" s="13" t="s">
        <v>2609</v>
      </c>
      <c r="D1315" s="14">
        <v>44243</v>
      </c>
      <c r="E1315" s="14">
        <v>44243</v>
      </c>
      <c r="F1315" s="14">
        <v>44252</v>
      </c>
      <c r="G1315" s="13" t="s">
        <v>3</v>
      </c>
      <c r="H1315" s="13" t="s">
        <v>4</v>
      </c>
      <c r="I1315" s="15">
        <v>-13325.14</v>
      </c>
      <c r="J1315" s="13" t="s">
        <v>5</v>
      </c>
      <c r="K1315" s="13" t="s">
        <v>6</v>
      </c>
      <c r="L1315" s="15">
        <v>-1118645.5</v>
      </c>
      <c r="M1315" s="15">
        <v>-13325.14</v>
      </c>
      <c r="N1315" s="16" t="str">
        <f>IF(M1315="","",IF(M1315&lt;0,-M1315&amp;"_"&amp;COUNTIF(M$2:M1315,M1315),M1315&amp;"_"&amp;COUNTIF(M$2:M1315,M1315)))</f>
        <v>13325.14_1</v>
      </c>
      <c r="O1315" s="17" t="str">
        <f t="shared" si="20"/>
        <v/>
      </c>
      <c r="P1315" s="13" t="s">
        <v>2610</v>
      </c>
      <c r="Q1315" s="13" t="s">
        <v>2574</v>
      </c>
      <c r="R1315" s="13" t="s">
        <v>0</v>
      </c>
      <c r="S1315" s="13" t="s">
        <v>0</v>
      </c>
      <c r="T1315" s="13" t="s">
        <v>9</v>
      </c>
      <c r="U1315" s="13" t="s">
        <v>0</v>
      </c>
      <c r="V1315" s="13" t="s">
        <v>0</v>
      </c>
      <c r="W1315" s="13" t="s">
        <v>0</v>
      </c>
      <c r="X1315" s="13" t="s">
        <v>0</v>
      </c>
      <c r="Y1315" s="13" t="s">
        <v>10</v>
      </c>
      <c r="Z1315" s="13" t="s">
        <v>0</v>
      </c>
      <c r="AA1315" s="14"/>
      <c r="AB1315" s="13" t="s">
        <v>0</v>
      </c>
      <c r="AC1315" s="13" t="s">
        <v>0</v>
      </c>
      <c r="AD1315" s="13" t="s">
        <v>0</v>
      </c>
      <c r="AE1315" s="15">
        <v>0</v>
      </c>
    </row>
    <row r="1316" spans="1:31" ht="14.15" customHeight="1" x14ac:dyDescent="0.25">
      <c r="A1316" s="12" t="s">
        <v>0</v>
      </c>
      <c r="B1316" s="13" t="s">
        <v>1</v>
      </c>
      <c r="C1316" s="13" t="s">
        <v>2179</v>
      </c>
      <c r="D1316" s="14">
        <v>44210</v>
      </c>
      <c r="E1316" s="14">
        <v>44210</v>
      </c>
      <c r="F1316" s="14">
        <v>44216</v>
      </c>
      <c r="G1316" s="13" t="s">
        <v>3</v>
      </c>
      <c r="H1316" s="13" t="s">
        <v>4</v>
      </c>
      <c r="I1316" s="15">
        <v>-13320.47</v>
      </c>
      <c r="J1316" s="13" t="s">
        <v>5</v>
      </c>
      <c r="K1316" s="13" t="s">
        <v>6</v>
      </c>
      <c r="L1316" s="15">
        <v>-1118253.46</v>
      </c>
      <c r="M1316" s="15">
        <v>-13320.47</v>
      </c>
      <c r="N1316" s="16" t="str">
        <f>IF(M1316="","",IF(M1316&lt;0,-M1316&amp;"_"&amp;COUNTIF(M$2:M1316,M1316),M1316&amp;"_"&amp;COUNTIF(M$2:M1316,M1316)))</f>
        <v>13320.47_1</v>
      </c>
      <c r="O1316" s="17" t="str">
        <f t="shared" si="20"/>
        <v/>
      </c>
      <c r="P1316" s="13" t="s">
        <v>2180</v>
      </c>
      <c r="Q1316" s="13" t="s">
        <v>2176</v>
      </c>
      <c r="R1316" s="13" t="s">
        <v>0</v>
      </c>
      <c r="S1316" s="13" t="s">
        <v>0</v>
      </c>
      <c r="T1316" s="13" t="s">
        <v>9</v>
      </c>
      <c r="U1316" s="13" t="s">
        <v>0</v>
      </c>
      <c r="V1316" s="13" t="s">
        <v>0</v>
      </c>
      <c r="W1316" s="13" t="s">
        <v>0</v>
      </c>
      <c r="X1316" s="13" t="s">
        <v>0</v>
      </c>
      <c r="Y1316" s="13" t="s">
        <v>10</v>
      </c>
      <c r="Z1316" s="13" t="s">
        <v>0</v>
      </c>
      <c r="AA1316" s="14"/>
      <c r="AB1316" s="13" t="s">
        <v>0</v>
      </c>
      <c r="AC1316" s="13" t="s">
        <v>0</v>
      </c>
      <c r="AD1316" s="13" t="s">
        <v>0</v>
      </c>
      <c r="AE1316" s="15">
        <v>0</v>
      </c>
    </row>
    <row r="1317" spans="1:31" ht="14.15" customHeight="1" x14ac:dyDescent="0.25">
      <c r="A1317" s="12" t="s">
        <v>0</v>
      </c>
      <c r="B1317" s="13" t="s">
        <v>1</v>
      </c>
      <c r="C1317" s="13" t="s">
        <v>3027</v>
      </c>
      <c r="D1317" s="14">
        <v>44281</v>
      </c>
      <c r="E1317" s="14">
        <v>44281</v>
      </c>
      <c r="F1317" s="14">
        <v>44290</v>
      </c>
      <c r="G1317" s="13" t="s">
        <v>3</v>
      </c>
      <c r="H1317" s="13" t="s">
        <v>4</v>
      </c>
      <c r="I1317" s="15">
        <v>-13313.38</v>
      </c>
      <c r="J1317" s="13" t="s">
        <v>5</v>
      </c>
      <c r="K1317" s="13" t="s">
        <v>6</v>
      </c>
      <c r="L1317" s="15">
        <v>-1117658.24</v>
      </c>
      <c r="M1317" s="15">
        <v>-13313.38</v>
      </c>
      <c r="N1317" s="16" t="str">
        <f>IF(M1317="","",IF(M1317&lt;0,-M1317&amp;"_"&amp;COUNTIF(M$2:M1317,M1317),M1317&amp;"_"&amp;COUNTIF(M$2:M1317,M1317)))</f>
        <v>13313.38_1</v>
      </c>
      <c r="O1317" s="17" t="str">
        <f t="shared" si="20"/>
        <v/>
      </c>
      <c r="P1317" s="13" t="s">
        <v>3028</v>
      </c>
      <c r="Q1317" s="13" t="s">
        <v>3014</v>
      </c>
      <c r="R1317" s="13" t="s">
        <v>0</v>
      </c>
      <c r="S1317" s="13" t="s">
        <v>0</v>
      </c>
      <c r="T1317" s="13" t="s">
        <v>9</v>
      </c>
      <c r="U1317" s="13" t="s">
        <v>0</v>
      </c>
      <c r="V1317" s="13" t="s">
        <v>0</v>
      </c>
      <c r="W1317" s="13" t="s">
        <v>0</v>
      </c>
      <c r="X1317" s="13" t="s">
        <v>0</v>
      </c>
      <c r="Y1317" s="13" t="s">
        <v>10</v>
      </c>
      <c r="Z1317" s="13" t="s">
        <v>0</v>
      </c>
      <c r="AA1317" s="14"/>
      <c r="AB1317" s="13" t="s">
        <v>0</v>
      </c>
      <c r="AC1317" s="13" t="s">
        <v>0</v>
      </c>
      <c r="AD1317" s="13" t="s">
        <v>0</v>
      </c>
      <c r="AE1317" s="15">
        <v>0</v>
      </c>
    </row>
    <row r="1318" spans="1:31" ht="14.15" customHeight="1" x14ac:dyDescent="0.25">
      <c r="A1318" s="12" t="s">
        <v>0</v>
      </c>
      <c r="B1318" s="13" t="s">
        <v>1</v>
      </c>
      <c r="C1318" s="13" t="s">
        <v>2866</v>
      </c>
      <c r="D1318" s="14">
        <v>44273</v>
      </c>
      <c r="E1318" s="14">
        <v>44273</v>
      </c>
      <c r="F1318" s="14">
        <v>44279</v>
      </c>
      <c r="G1318" s="13" t="s">
        <v>3</v>
      </c>
      <c r="H1318" s="13" t="s">
        <v>4</v>
      </c>
      <c r="I1318" s="15">
        <v>-13308.66</v>
      </c>
      <c r="J1318" s="13" t="s">
        <v>5</v>
      </c>
      <c r="K1318" s="13" t="s">
        <v>6</v>
      </c>
      <c r="L1318" s="15">
        <v>-1117262.01</v>
      </c>
      <c r="M1318" s="15">
        <v>-13308.66</v>
      </c>
      <c r="N1318" s="16" t="str">
        <f>IF(M1318="","",IF(M1318&lt;0,-M1318&amp;"_"&amp;COUNTIF(M$2:M1318,M1318),M1318&amp;"_"&amp;COUNTIF(M$2:M1318,M1318)))</f>
        <v>13308.66_1</v>
      </c>
      <c r="O1318" s="17" t="str">
        <f t="shared" si="20"/>
        <v/>
      </c>
      <c r="P1318" s="13" t="s">
        <v>2867</v>
      </c>
      <c r="Q1318" s="13" t="s">
        <v>2857</v>
      </c>
      <c r="R1318" s="13" t="s">
        <v>0</v>
      </c>
      <c r="S1318" s="13" t="s">
        <v>0</v>
      </c>
      <c r="T1318" s="13" t="s">
        <v>9</v>
      </c>
      <c r="U1318" s="13" t="s">
        <v>0</v>
      </c>
      <c r="V1318" s="13" t="s">
        <v>0</v>
      </c>
      <c r="W1318" s="13" t="s">
        <v>0</v>
      </c>
      <c r="X1318" s="13" t="s">
        <v>0</v>
      </c>
      <c r="Y1318" s="13" t="s">
        <v>10</v>
      </c>
      <c r="Z1318" s="13" t="s">
        <v>0</v>
      </c>
      <c r="AA1318" s="14"/>
      <c r="AB1318" s="13" t="s">
        <v>0</v>
      </c>
      <c r="AC1318" s="13" t="s">
        <v>0</v>
      </c>
      <c r="AD1318" s="13" t="s">
        <v>0</v>
      </c>
      <c r="AE1318" s="15">
        <v>0</v>
      </c>
    </row>
    <row r="1319" spans="1:31" ht="14.15" customHeight="1" x14ac:dyDescent="0.25">
      <c r="A1319" s="12" t="s">
        <v>0</v>
      </c>
      <c r="B1319" s="13" t="s">
        <v>1</v>
      </c>
      <c r="C1319" s="13" t="s">
        <v>3272</v>
      </c>
      <c r="D1319" s="14">
        <v>44311</v>
      </c>
      <c r="E1319" s="14">
        <v>44311</v>
      </c>
      <c r="F1319" s="14">
        <v>44315</v>
      </c>
      <c r="G1319" s="13" t="s">
        <v>3</v>
      </c>
      <c r="H1319" s="13" t="s">
        <v>4</v>
      </c>
      <c r="I1319" s="15">
        <v>-13308.14</v>
      </c>
      <c r="J1319" s="13" t="s">
        <v>5</v>
      </c>
      <c r="K1319" s="13" t="s">
        <v>6</v>
      </c>
      <c r="L1319" s="15">
        <v>-1117218.3500000001</v>
      </c>
      <c r="M1319" s="15">
        <v>-13308.14</v>
      </c>
      <c r="N1319" s="16" t="str">
        <f>IF(M1319="","",IF(M1319&lt;0,-M1319&amp;"_"&amp;COUNTIF(M$2:M1319,M1319),M1319&amp;"_"&amp;COUNTIF(M$2:M1319,M1319)))</f>
        <v>13308.14_1</v>
      </c>
      <c r="O1319" s="17" t="str">
        <f t="shared" si="20"/>
        <v/>
      </c>
      <c r="P1319" s="13" t="s">
        <v>3273</v>
      </c>
      <c r="Q1319" s="13" t="s">
        <v>3269</v>
      </c>
      <c r="R1319" s="13" t="s">
        <v>0</v>
      </c>
      <c r="S1319" s="13" t="s">
        <v>0</v>
      </c>
      <c r="T1319" s="13" t="s">
        <v>9</v>
      </c>
      <c r="U1319" s="13" t="s">
        <v>0</v>
      </c>
      <c r="V1319" s="13" t="s">
        <v>0</v>
      </c>
      <c r="W1319" s="13" t="s">
        <v>0</v>
      </c>
      <c r="X1319" s="13" t="s">
        <v>0</v>
      </c>
      <c r="Y1319" s="13" t="s">
        <v>10</v>
      </c>
      <c r="Z1319" s="13" t="s">
        <v>0</v>
      </c>
      <c r="AA1319" s="14"/>
      <c r="AB1319" s="13" t="s">
        <v>0</v>
      </c>
      <c r="AC1319" s="13" t="s">
        <v>0</v>
      </c>
      <c r="AD1319" s="13" t="s">
        <v>0</v>
      </c>
      <c r="AE1319" s="15">
        <v>0</v>
      </c>
    </row>
    <row r="1320" spans="1:31" ht="14.15" customHeight="1" x14ac:dyDescent="0.25">
      <c r="A1320" s="12" t="s">
        <v>0</v>
      </c>
      <c r="B1320" s="13" t="s">
        <v>1</v>
      </c>
      <c r="C1320" s="13" t="s">
        <v>612</v>
      </c>
      <c r="D1320" s="14">
        <v>44082</v>
      </c>
      <c r="E1320" s="14">
        <v>44082</v>
      </c>
      <c r="F1320" s="14">
        <v>44086</v>
      </c>
      <c r="G1320" s="13" t="s">
        <v>3</v>
      </c>
      <c r="H1320" s="13" t="s">
        <v>4</v>
      </c>
      <c r="I1320" s="15">
        <v>-13298.25</v>
      </c>
      <c r="J1320" s="13" t="s">
        <v>5</v>
      </c>
      <c r="K1320" s="13" t="s">
        <v>6</v>
      </c>
      <c r="L1320" s="15">
        <v>-1116388.0900000001</v>
      </c>
      <c r="M1320" s="15">
        <v>-13298.25</v>
      </c>
      <c r="N1320" s="16" t="str">
        <f>IF(M1320="","",IF(M1320&lt;0,-M1320&amp;"_"&amp;COUNTIF(M$2:M1320,M1320),M1320&amp;"_"&amp;COUNTIF(M$2:M1320,M1320)))</f>
        <v>13298.25_1</v>
      </c>
      <c r="O1320" s="17" t="str">
        <f t="shared" si="20"/>
        <v/>
      </c>
      <c r="P1320" s="13" t="s">
        <v>613</v>
      </c>
      <c r="Q1320" s="13" t="s">
        <v>603</v>
      </c>
      <c r="R1320" s="13" t="s">
        <v>0</v>
      </c>
      <c r="S1320" s="13" t="s">
        <v>0</v>
      </c>
      <c r="T1320" s="13" t="s">
        <v>9</v>
      </c>
      <c r="U1320" s="13" t="s">
        <v>0</v>
      </c>
      <c r="V1320" s="13" t="s">
        <v>0</v>
      </c>
      <c r="W1320" s="13" t="s">
        <v>0</v>
      </c>
      <c r="X1320" s="13" t="s">
        <v>0</v>
      </c>
      <c r="Y1320" s="13" t="s">
        <v>10</v>
      </c>
      <c r="Z1320" s="13" t="s">
        <v>0</v>
      </c>
      <c r="AA1320" s="14"/>
      <c r="AB1320" s="13" t="s">
        <v>0</v>
      </c>
      <c r="AC1320" s="13" t="s">
        <v>0</v>
      </c>
      <c r="AD1320" s="13" t="s">
        <v>0</v>
      </c>
      <c r="AE1320" s="15">
        <v>0</v>
      </c>
    </row>
    <row r="1321" spans="1:31" ht="14.15" customHeight="1" x14ac:dyDescent="0.25">
      <c r="A1321" s="12" t="s">
        <v>0</v>
      </c>
      <c r="B1321" s="13" t="s">
        <v>303</v>
      </c>
      <c r="C1321" s="13" t="s">
        <v>1101</v>
      </c>
      <c r="D1321" s="14">
        <v>44135</v>
      </c>
      <c r="E1321" s="14">
        <v>44135</v>
      </c>
      <c r="F1321" s="14">
        <v>44143</v>
      </c>
      <c r="G1321" s="13" t="s">
        <v>48</v>
      </c>
      <c r="H1321" s="13" t="s">
        <v>4</v>
      </c>
      <c r="I1321" s="15">
        <v>-13289.72</v>
      </c>
      <c r="J1321" s="13" t="s">
        <v>5</v>
      </c>
      <c r="K1321" s="13" t="s">
        <v>6</v>
      </c>
      <c r="L1321" s="15">
        <v>-1115671.99</v>
      </c>
      <c r="M1321" s="15">
        <v>-13289.72</v>
      </c>
      <c r="N1321" s="16" t="str">
        <f>IF(M1321="","",IF(M1321&lt;0,-M1321&amp;"_"&amp;COUNTIF(M$2:M1321,M1321),M1321&amp;"_"&amp;COUNTIF(M$2:M1321,M1321)))</f>
        <v>13289.72_1</v>
      </c>
      <c r="O1321" s="17" t="str">
        <f t="shared" si="20"/>
        <v/>
      </c>
      <c r="P1321" s="13" t="s">
        <v>1102</v>
      </c>
      <c r="Q1321" s="13" t="s">
        <v>1102</v>
      </c>
      <c r="R1321" s="13" t="s">
        <v>306</v>
      </c>
      <c r="S1321" s="13" t="s">
        <v>0</v>
      </c>
      <c r="T1321" s="13" t="s">
        <v>9</v>
      </c>
      <c r="U1321" s="13" t="s">
        <v>307</v>
      </c>
      <c r="V1321" s="13" t="s">
        <v>0</v>
      </c>
      <c r="W1321" s="13" t="s">
        <v>0</v>
      </c>
      <c r="X1321" s="13" t="s">
        <v>0</v>
      </c>
      <c r="Y1321" s="13" t="s">
        <v>291</v>
      </c>
      <c r="Z1321" s="13" t="s">
        <v>0</v>
      </c>
      <c r="AA1321" s="14"/>
      <c r="AB1321" s="13" t="s">
        <v>0</v>
      </c>
      <c r="AC1321" s="13" t="s">
        <v>0</v>
      </c>
      <c r="AD1321" s="13" t="s">
        <v>0</v>
      </c>
      <c r="AE1321" s="15">
        <v>0</v>
      </c>
    </row>
    <row r="1322" spans="1:31" ht="14.15" customHeight="1" x14ac:dyDescent="0.25">
      <c r="A1322" s="12" t="s">
        <v>0</v>
      </c>
      <c r="B1322" s="13" t="s">
        <v>1</v>
      </c>
      <c r="C1322" s="13" t="s">
        <v>122</v>
      </c>
      <c r="D1322" s="14">
        <v>44026</v>
      </c>
      <c r="E1322" s="14">
        <v>44026</v>
      </c>
      <c r="F1322" s="14">
        <v>44032</v>
      </c>
      <c r="G1322" s="13" t="s">
        <v>3</v>
      </c>
      <c r="H1322" s="13" t="s">
        <v>4</v>
      </c>
      <c r="I1322" s="15">
        <v>-13282.35</v>
      </c>
      <c r="J1322" s="13" t="s">
        <v>5</v>
      </c>
      <c r="K1322" s="13" t="s">
        <v>6</v>
      </c>
      <c r="L1322" s="15">
        <v>-1115053.28</v>
      </c>
      <c r="M1322" s="15">
        <v>-13282.35</v>
      </c>
      <c r="N1322" s="16" t="str">
        <f>IF(M1322="","",IF(M1322&lt;0,-M1322&amp;"_"&amp;COUNTIF(M$2:M1322,M1322),M1322&amp;"_"&amp;COUNTIF(M$2:M1322,M1322)))</f>
        <v>13282.35_1</v>
      </c>
      <c r="O1322" s="17" t="str">
        <f t="shared" si="20"/>
        <v/>
      </c>
      <c r="P1322" s="13" t="s">
        <v>123</v>
      </c>
      <c r="Q1322" s="13" t="s">
        <v>121</v>
      </c>
      <c r="R1322" s="13" t="s">
        <v>0</v>
      </c>
      <c r="S1322" s="13" t="s">
        <v>0</v>
      </c>
      <c r="T1322" s="13" t="s">
        <v>9</v>
      </c>
      <c r="U1322" s="13" t="s">
        <v>0</v>
      </c>
      <c r="V1322" s="13" t="s">
        <v>0</v>
      </c>
      <c r="W1322" s="13" t="s">
        <v>0</v>
      </c>
      <c r="X1322" s="13" t="s">
        <v>0</v>
      </c>
      <c r="Y1322" s="13" t="s">
        <v>10</v>
      </c>
      <c r="Z1322" s="13" t="s">
        <v>0</v>
      </c>
      <c r="AA1322" s="14"/>
      <c r="AB1322" s="13" t="s">
        <v>0</v>
      </c>
      <c r="AC1322" s="13" t="s">
        <v>0</v>
      </c>
      <c r="AD1322" s="13" t="s">
        <v>0</v>
      </c>
      <c r="AE1322" s="15">
        <v>0</v>
      </c>
    </row>
    <row r="1323" spans="1:31" ht="14.15" customHeight="1" x14ac:dyDescent="0.25">
      <c r="A1323" s="12" t="s">
        <v>0</v>
      </c>
      <c r="B1323" s="13" t="s">
        <v>1</v>
      </c>
      <c r="C1323" s="13" t="s">
        <v>2609</v>
      </c>
      <c r="D1323" s="14">
        <v>44243</v>
      </c>
      <c r="E1323" s="14">
        <v>44243</v>
      </c>
      <c r="F1323" s="14">
        <v>44252</v>
      </c>
      <c r="G1323" s="13" t="s">
        <v>3</v>
      </c>
      <c r="H1323" s="13" t="s">
        <v>4</v>
      </c>
      <c r="I1323" s="15">
        <v>-13262.7</v>
      </c>
      <c r="J1323" s="13" t="s">
        <v>5</v>
      </c>
      <c r="K1323" s="13" t="s">
        <v>6</v>
      </c>
      <c r="L1323" s="15">
        <v>-1113403.67</v>
      </c>
      <c r="M1323" s="15">
        <v>-13262.7</v>
      </c>
      <c r="N1323" s="16" t="str">
        <f>IF(M1323="","",IF(M1323&lt;0,-M1323&amp;"_"&amp;COUNTIF(M$2:M1323,M1323),M1323&amp;"_"&amp;COUNTIF(M$2:M1323,M1323)))</f>
        <v>13262.7_1</v>
      </c>
      <c r="O1323" s="17" t="str">
        <f t="shared" si="20"/>
        <v/>
      </c>
      <c r="P1323" s="13" t="s">
        <v>2610</v>
      </c>
      <c r="Q1323" s="13" t="s">
        <v>2574</v>
      </c>
      <c r="R1323" s="13" t="s">
        <v>0</v>
      </c>
      <c r="S1323" s="13" t="s">
        <v>0</v>
      </c>
      <c r="T1323" s="13" t="s">
        <v>9</v>
      </c>
      <c r="U1323" s="13" t="s">
        <v>0</v>
      </c>
      <c r="V1323" s="13" t="s">
        <v>0</v>
      </c>
      <c r="W1323" s="13" t="s">
        <v>0</v>
      </c>
      <c r="X1323" s="13" t="s">
        <v>0</v>
      </c>
      <c r="Y1323" s="13" t="s">
        <v>10</v>
      </c>
      <c r="Z1323" s="13" t="s">
        <v>0</v>
      </c>
      <c r="AA1323" s="14"/>
      <c r="AB1323" s="13" t="s">
        <v>0</v>
      </c>
      <c r="AC1323" s="13" t="s">
        <v>0</v>
      </c>
      <c r="AD1323" s="13" t="s">
        <v>0</v>
      </c>
      <c r="AE1323" s="15">
        <v>0</v>
      </c>
    </row>
    <row r="1324" spans="1:31" ht="14.15" customHeight="1" x14ac:dyDescent="0.25">
      <c r="A1324" s="12" t="s">
        <v>0</v>
      </c>
      <c r="B1324" s="13" t="s">
        <v>1</v>
      </c>
      <c r="C1324" s="13" t="s">
        <v>3015</v>
      </c>
      <c r="D1324" s="14">
        <v>44281</v>
      </c>
      <c r="E1324" s="14">
        <v>44281</v>
      </c>
      <c r="F1324" s="14">
        <v>44287</v>
      </c>
      <c r="G1324" s="13" t="s">
        <v>3</v>
      </c>
      <c r="H1324" s="13" t="s">
        <v>4</v>
      </c>
      <c r="I1324" s="15">
        <v>-13252.54</v>
      </c>
      <c r="J1324" s="13" t="s">
        <v>5</v>
      </c>
      <c r="K1324" s="13" t="s">
        <v>6</v>
      </c>
      <c r="L1324" s="15">
        <v>-1112550.73</v>
      </c>
      <c r="M1324" s="15">
        <v>-13252.54</v>
      </c>
      <c r="N1324" s="16" t="str">
        <f>IF(M1324="","",IF(M1324&lt;0,-M1324&amp;"_"&amp;COUNTIF(M$2:M1324,M1324),M1324&amp;"_"&amp;COUNTIF(M$2:M1324,M1324)))</f>
        <v>13252.54_1</v>
      </c>
      <c r="O1324" s="17" t="str">
        <f t="shared" si="20"/>
        <v/>
      </c>
      <c r="P1324" s="13" t="s">
        <v>3016</v>
      </c>
      <c r="Q1324" s="13" t="s">
        <v>3014</v>
      </c>
      <c r="R1324" s="13" t="s">
        <v>0</v>
      </c>
      <c r="S1324" s="13" t="s">
        <v>0</v>
      </c>
      <c r="T1324" s="13" t="s">
        <v>9</v>
      </c>
      <c r="U1324" s="13" t="s">
        <v>0</v>
      </c>
      <c r="V1324" s="13" t="s">
        <v>0</v>
      </c>
      <c r="W1324" s="13" t="s">
        <v>0</v>
      </c>
      <c r="X1324" s="13" t="s">
        <v>0</v>
      </c>
      <c r="Y1324" s="13" t="s">
        <v>10</v>
      </c>
      <c r="Z1324" s="13" t="s">
        <v>0</v>
      </c>
      <c r="AA1324" s="14"/>
      <c r="AB1324" s="13" t="s">
        <v>0</v>
      </c>
      <c r="AC1324" s="13" t="s">
        <v>0</v>
      </c>
      <c r="AD1324" s="13" t="s">
        <v>0</v>
      </c>
      <c r="AE1324" s="15">
        <v>0</v>
      </c>
    </row>
    <row r="1325" spans="1:31" ht="14.15" customHeight="1" x14ac:dyDescent="0.25">
      <c r="A1325" s="12" t="s">
        <v>0</v>
      </c>
      <c r="B1325" s="13" t="s">
        <v>1</v>
      </c>
      <c r="C1325" s="13" t="s">
        <v>3682</v>
      </c>
      <c r="D1325" s="14">
        <v>44335</v>
      </c>
      <c r="E1325" s="14">
        <v>44335</v>
      </c>
      <c r="F1325" s="14">
        <v>44341</v>
      </c>
      <c r="G1325" s="13" t="s">
        <v>3</v>
      </c>
      <c r="H1325" s="13" t="s">
        <v>4</v>
      </c>
      <c r="I1325" s="15">
        <v>-13248.61</v>
      </c>
      <c r="J1325" s="13" t="s">
        <v>5</v>
      </c>
      <c r="K1325" s="13" t="s">
        <v>6</v>
      </c>
      <c r="L1325" s="15">
        <v>-1112220.81</v>
      </c>
      <c r="M1325" s="15">
        <v>-13248.61</v>
      </c>
      <c r="N1325" s="16" t="str">
        <f>IF(M1325="","",IF(M1325&lt;0,-M1325&amp;"_"&amp;COUNTIF(M$2:M1325,M1325),M1325&amp;"_"&amp;COUNTIF(M$2:M1325,M1325)))</f>
        <v>13248.61_1</v>
      </c>
      <c r="O1325" s="17" t="str">
        <f t="shared" si="20"/>
        <v/>
      </c>
      <c r="P1325" s="13" t="s">
        <v>3683</v>
      </c>
      <c r="Q1325" s="13" t="s">
        <v>3665</v>
      </c>
      <c r="R1325" s="13" t="s">
        <v>0</v>
      </c>
      <c r="S1325" s="13" t="s">
        <v>0</v>
      </c>
      <c r="T1325" s="13" t="s">
        <v>9</v>
      </c>
      <c r="U1325" s="13" t="s">
        <v>0</v>
      </c>
      <c r="V1325" s="13" t="s">
        <v>0</v>
      </c>
      <c r="W1325" s="13" t="s">
        <v>0</v>
      </c>
      <c r="X1325" s="13" t="s">
        <v>0</v>
      </c>
      <c r="Y1325" s="13" t="s">
        <v>10</v>
      </c>
      <c r="Z1325" s="13" t="s">
        <v>0</v>
      </c>
      <c r="AA1325" s="14"/>
      <c r="AB1325" s="13" t="s">
        <v>0</v>
      </c>
      <c r="AC1325" s="13" t="s">
        <v>0</v>
      </c>
      <c r="AD1325" s="13" t="s">
        <v>0</v>
      </c>
      <c r="AE1325" s="15">
        <v>0</v>
      </c>
    </row>
    <row r="1326" spans="1:31" ht="14.15" customHeight="1" x14ac:dyDescent="0.25">
      <c r="A1326" s="12" t="s">
        <v>0</v>
      </c>
      <c r="B1326" s="13" t="s">
        <v>1</v>
      </c>
      <c r="C1326" s="13" t="s">
        <v>922</v>
      </c>
      <c r="D1326" s="14">
        <v>44117</v>
      </c>
      <c r="E1326" s="14">
        <v>44117</v>
      </c>
      <c r="F1326" s="14">
        <v>44123</v>
      </c>
      <c r="G1326" s="13" t="s">
        <v>3</v>
      </c>
      <c r="H1326" s="13" t="s">
        <v>4</v>
      </c>
      <c r="I1326" s="15">
        <v>-13245.93</v>
      </c>
      <c r="J1326" s="13" t="s">
        <v>5</v>
      </c>
      <c r="K1326" s="13" t="s">
        <v>6</v>
      </c>
      <c r="L1326" s="15">
        <v>-1111995.82</v>
      </c>
      <c r="M1326" s="15">
        <v>-13245.93</v>
      </c>
      <c r="N1326" s="16" t="str">
        <f>IF(M1326="","",IF(M1326&lt;0,-M1326&amp;"_"&amp;COUNTIF(M$2:M1326,M1326),M1326&amp;"_"&amp;COUNTIF(M$2:M1326,M1326)))</f>
        <v>13245.93_1</v>
      </c>
      <c r="O1326" s="17" t="str">
        <f t="shared" si="20"/>
        <v/>
      </c>
      <c r="P1326" s="13" t="s">
        <v>923</v>
      </c>
      <c r="Q1326" s="13" t="s">
        <v>917</v>
      </c>
      <c r="R1326" s="13" t="s">
        <v>0</v>
      </c>
      <c r="S1326" s="13" t="s">
        <v>0</v>
      </c>
      <c r="T1326" s="13" t="s">
        <v>9</v>
      </c>
      <c r="U1326" s="13" t="s">
        <v>0</v>
      </c>
      <c r="V1326" s="13" t="s">
        <v>0</v>
      </c>
      <c r="W1326" s="13" t="s">
        <v>0</v>
      </c>
      <c r="X1326" s="13" t="s">
        <v>0</v>
      </c>
      <c r="Y1326" s="13" t="s">
        <v>10</v>
      </c>
      <c r="Z1326" s="13" t="s">
        <v>0</v>
      </c>
      <c r="AA1326" s="14"/>
      <c r="AB1326" s="13" t="s">
        <v>0</v>
      </c>
      <c r="AC1326" s="13" t="s">
        <v>0</v>
      </c>
      <c r="AD1326" s="13" t="s">
        <v>0</v>
      </c>
      <c r="AE1326" s="15">
        <v>0</v>
      </c>
    </row>
    <row r="1327" spans="1:31" ht="14.15" customHeight="1" x14ac:dyDescent="0.25">
      <c r="A1327" s="12" t="s">
        <v>0</v>
      </c>
      <c r="B1327" s="13" t="s">
        <v>1</v>
      </c>
      <c r="C1327" s="13" t="s">
        <v>4267</v>
      </c>
      <c r="D1327" s="14">
        <v>44370</v>
      </c>
      <c r="E1327" s="14">
        <v>44370</v>
      </c>
      <c r="F1327" s="14">
        <v>44371</v>
      </c>
      <c r="G1327" s="13" t="s">
        <v>3</v>
      </c>
      <c r="H1327" s="13" t="s">
        <v>4</v>
      </c>
      <c r="I1327" s="15">
        <v>-13239.31</v>
      </c>
      <c r="J1327" s="13" t="s">
        <v>5</v>
      </c>
      <c r="K1327" s="13" t="s">
        <v>6</v>
      </c>
      <c r="L1327" s="15">
        <v>-1111440.07</v>
      </c>
      <c r="M1327" s="15">
        <v>-13239.31</v>
      </c>
      <c r="N1327" s="16" t="str">
        <f>IF(M1327="","",IF(M1327&lt;0,-M1327&amp;"_"&amp;COUNTIF(M$2:M1327,M1327),M1327&amp;"_"&amp;COUNTIF(M$2:M1327,M1327)))</f>
        <v>13239.31_1</v>
      </c>
      <c r="O1327" s="17" t="str">
        <f t="shared" si="20"/>
        <v/>
      </c>
      <c r="P1327" s="13" t="s">
        <v>4268</v>
      </c>
      <c r="Q1327" s="13" t="s">
        <v>4269</v>
      </c>
      <c r="R1327" s="13" t="s">
        <v>0</v>
      </c>
      <c r="S1327" s="13" t="s">
        <v>0</v>
      </c>
      <c r="T1327" s="13" t="s">
        <v>9</v>
      </c>
      <c r="U1327" s="13" t="s">
        <v>0</v>
      </c>
      <c r="V1327" s="13" t="s">
        <v>0</v>
      </c>
      <c r="W1327" s="13" t="s">
        <v>0</v>
      </c>
      <c r="X1327" s="13" t="s">
        <v>0</v>
      </c>
      <c r="Y1327" s="13" t="s">
        <v>10</v>
      </c>
      <c r="Z1327" s="13" t="s">
        <v>0</v>
      </c>
      <c r="AA1327" s="14"/>
      <c r="AB1327" s="13" t="s">
        <v>0</v>
      </c>
      <c r="AC1327" s="13" t="s">
        <v>0</v>
      </c>
      <c r="AD1327" s="13" t="s">
        <v>0</v>
      </c>
      <c r="AE1327" s="15">
        <v>0</v>
      </c>
    </row>
    <row r="1328" spans="1:31" ht="14.15" customHeight="1" x14ac:dyDescent="0.25">
      <c r="A1328" s="12" t="s">
        <v>0</v>
      </c>
      <c r="B1328" s="13" t="s">
        <v>1</v>
      </c>
      <c r="C1328" s="13" t="s">
        <v>1961</v>
      </c>
      <c r="D1328" s="14">
        <v>44195</v>
      </c>
      <c r="E1328" s="14">
        <v>44195</v>
      </c>
      <c r="F1328" s="14">
        <v>44199</v>
      </c>
      <c r="G1328" s="13" t="s">
        <v>3</v>
      </c>
      <c r="H1328" s="13" t="s">
        <v>4</v>
      </c>
      <c r="I1328" s="15">
        <v>-13234.1</v>
      </c>
      <c r="J1328" s="13" t="s">
        <v>5</v>
      </c>
      <c r="K1328" s="13" t="s">
        <v>6</v>
      </c>
      <c r="L1328" s="15">
        <v>-1111002.7</v>
      </c>
      <c r="M1328" s="15">
        <v>-13234.1</v>
      </c>
      <c r="N1328" s="16" t="str">
        <f>IF(M1328="","",IF(M1328&lt;0,-M1328&amp;"_"&amp;COUNTIF(M$2:M1328,M1328),M1328&amp;"_"&amp;COUNTIF(M$2:M1328,M1328)))</f>
        <v>13234.1_1</v>
      </c>
      <c r="O1328" s="17" t="str">
        <f t="shared" si="20"/>
        <v/>
      </c>
      <c r="P1328" s="13" t="s">
        <v>1962</v>
      </c>
      <c r="Q1328" s="13" t="s">
        <v>1956</v>
      </c>
      <c r="R1328" s="13" t="s">
        <v>0</v>
      </c>
      <c r="S1328" s="13" t="s">
        <v>0</v>
      </c>
      <c r="T1328" s="13" t="s">
        <v>9</v>
      </c>
      <c r="U1328" s="13" t="s">
        <v>0</v>
      </c>
      <c r="V1328" s="13" t="s">
        <v>0</v>
      </c>
      <c r="W1328" s="13" t="s">
        <v>0</v>
      </c>
      <c r="X1328" s="13" t="s">
        <v>0</v>
      </c>
      <c r="Y1328" s="13" t="s">
        <v>10</v>
      </c>
      <c r="Z1328" s="13" t="s">
        <v>0</v>
      </c>
      <c r="AA1328" s="14"/>
      <c r="AB1328" s="13" t="s">
        <v>0</v>
      </c>
      <c r="AC1328" s="13" t="s">
        <v>0</v>
      </c>
      <c r="AD1328" s="13" t="s">
        <v>0</v>
      </c>
      <c r="AE1328" s="15">
        <v>0</v>
      </c>
    </row>
    <row r="1329" spans="1:31" ht="14.15" customHeight="1" x14ac:dyDescent="0.25">
      <c r="A1329" s="12" t="s">
        <v>0</v>
      </c>
      <c r="B1329" s="13" t="s">
        <v>1</v>
      </c>
      <c r="C1329" s="13" t="s">
        <v>3031</v>
      </c>
      <c r="D1329" s="14">
        <v>44281</v>
      </c>
      <c r="E1329" s="14">
        <v>44281</v>
      </c>
      <c r="F1329" s="14">
        <v>44290</v>
      </c>
      <c r="G1329" s="13" t="s">
        <v>3</v>
      </c>
      <c r="H1329" s="13" t="s">
        <v>4</v>
      </c>
      <c r="I1329" s="15">
        <v>-13227.74</v>
      </c>
      <c r="J1329" s="13" t="s">
        <v>5</v>
      </c>
      <c r="K1329" s="13" t="s">
        <v>6</v>
      </c>
      <c r="L1329" s="15">
        <v>-1110468.78</v>
      </c>
      <c r="M1329" s="15">
        <v>-13227.74</v>
      </c>
      <c r="N1329" s="16" t="str">
        <f>IF(M1329="","",IF(M1329&lt;0,-M1329&amp;"_"&amp;COUNTIF(M$2:M1329,M1329),M1329&amp;"_"&amp;COUNTIF(M$2:M1329,M1329)))</f>
        <v>13227.74_1</v>
      </c>
      <c r="O1329" s="17" t="str">
        <f t="shared" si="20"/>
        <v/>
      </c>
      <c r="P1329" s="13" t="s">
        <v>3032</v>
      </c>
      <c r="Q1329" s="13" t="s">
        <v>3014</v>
      </c>
      <c r="R1329" s="13" t="s">
        <v>0</v>
      </c>
      <c r="S1329" s="13" t="s">
        <v>0</v>
      </c>
      <c r="T1329" s="13" t="s">
        <v>9</v>
      </c>
      <c r="U1329" s="13" t="s">
        <v>0</v>
      </c>
      <c r="V1329" s="13" t="s">
        <v>0</v>
      </c>
      <c r="W1329" s="13" t="s">
        <v>0</v>
      </c>
      <c r="X1329" s="13" t="s">
        <v>0</v>
      </c>
      <c r="Y1329" s="13" t="s">
        <v>10</v>
      </c>
      <c r="Z1329" s="13" t="s">
        <v>0</v>
      </c>
      <c r="AA1329" s="14"/>
      <c r="AB1329" s="13" t="s">
        <v>0</v>
      </c>
      <c r="AC1329" s="13" t="s">
        <v>0</v>
      </c>
      <c r="AD1329" s="13" t="s">
        <v>0</v>
      </c>
      <c r="AE1329" s="15">
        <v>0</v>
      </c>
    </row>
    <row r="1330" spans="1:31" ht="14.15" customHeight="1" x14ac:dyDescent="0.25">
      <c r="A1330" s="12" t="s">
        <v>0</v>
      </c>
      <c r="B1330" s="13" t="s">
        <v>1</v>
      </c>
      <c r="C1330" s="13" t="s">
        <v>727</v>
      </c>
      <c r="D1330" s="14">
        <v>44095</v>
      </c>
      <c r="E1330" s="14">
        <v>44095</v>
      </c>
      <c r="F1330" s="14">
        <v>44098</v>
      </c>
      <c r="G1330" s="13" t="s">
        <v>3</v>
      </c>
      <c r="H1330" s="13" t="s">
        <v>4</v>
      </c>
      <c r="I1330" s="15">
        <v>-13220.69</v>
      </c>
      <c r="J1330" s="13" t="s">
        <v>5</v>
      </c>
      <c r="K1330" s="13" t="s">
        <v>6</v>
      </c>
      <c r="L1330" s="15">
        <v>-1109876.93</v>
      </c>
      <c r="M1330" s="15">
        <v>-13220.69</v>
      </c>
      <c r="N1330" s="16" t="str">
        <f>IF(M1330="","",IF(M1330&lt;0,-M1330&amp;"_"&amp;COUNTIF(M$2:M1330,M1330),M1330&amp;"_"&amp;COUNTIF(M$2:M1330,M1330)))</f>
        <v>13220.69_1</v>
      </c>
      <c r="O1330" s="17" t="str">
        <f t="shared" si="20"/>
        <v/>
      </c>
      <c r="P1330" s="13" t="s">
        <v>728</v>
      </c>
      <c r="Q1330" s="13" t="s">
        <v>726</v>
      </c>
      <c r="R1330" s="13" t="s">
        <v>0</v>
      </c>
      <c r="S1330" s="13" t="s">
        <v>0</v>
      </c>
      <c r="T1330" s="13" t="s">
        <v>9</v>
      </c>
      <c r="U1330" s="13" t="s">
        <v>0</v>
      </c>
      <c r="V1330" s="13" t="s">
        <v>0</v>
      </c>
      <c r="W1330" s="13" t="s">
        <v>0</v>
      </c>
      <c r="X1330" s="13" t="s">
        <v>0</v>
      </c>
      <c r="Y1330" s="13" t="s">
        <v>10</v>
      </c>
      <c r="Z1330" s="13" t="s">
        <v>0</v>
      </c>
      <c r="AA1330" s="14"/>
      <c r="AB1330" s="13" t="s">
        <v>0</v>
      </c>
      <c r="AC1330" s="13" t="s">
        <v>0</v>
      </c>
      <c r="AD1330" s="13" t="s">
        <v>0</v>
      </c>
      <c r="AE1330" s="15">
        <v>0</v>
      </c>
    </row>
    <row r="1331" spans="1:31" ht="14.15" customHeight="1" x14ac:dyDescent="0.25">
      <c r="A1331" s="12" t="s">
        <v>0</v>
      </c>
      <c r="B1331" s="13" t="s">
        <v>1</v>
      </c>
      <c r="C1331" s="13" t="s">
        <v>513</v>
      </c>
      <c r="D1331" s="14">
        <v>44069</v>
      </c>
      <c r="E1331" s="14">
        <v>44069</v>
      </c>
      <c r="F1331" s="14">
        <v>44076</v>
      </c>
      <c r="G1331" s="13" t="s">
        <v>3</v>
      </c>
      <c r="H1331" s="13" t="s">
        <v>4</v>
      </c>
      <c r="I1331" s="15">
        <v>-13216.73</v>
      </c>
      <c r="J1331" s="13" t="s">
        <v>5</v>
      </c>
      <c r="K1331" s="13" t="s">
        <v>6</v>
      </c>
      <c r="L1331" s="15">
        <v>-1109544.48</v>
      </c>
      <c r="M1331" s="15">
        <v>-13216.73</v>
      </c>
      <c r="N1331" s="16" t="str">
        <f>IF(M1331="","",IF(M1331&lt;0,-M1331&amp;"_"&amp;COUNTIF(M$2:M1331,M1331),M1331&amp;"_"&amp;COUNTIF(M$2:M1331,M1331)))</f>
        <v>13216.73_1</v>
      </c>
      <c r="O1331" s="17" t="str">
        <f t="shared" si="20"/>
        <v/>
      </c>
      <c r="P1331" s="13" t="s">
        <v>514</v>
      </c>
      <c r="Q1331" s="13" t="s">
        <v>510</v>
      </c>
      <c r="R1331" s="13" t="s">
        <v>0</v>
      </c>
      <c r="S1331" s="13" t="s">
        <v>0</v>
      </c>
      <c r="T1331" s="13" t="s">
        <v>9</v>
      </c>
      <c r="U1331" s="13" t="s">
        <v>0</v>
      </c>
      <c r="V1331" s="13" t="s">
        <v>0</v>
      </c>
      <c r="W1331" s="13" t="s">
        <v>0</v>
      </c>
      <c r="X1331" s="13" t="s">
        <v>0</v>
      </c>
      <c r="Y1331" s="13" t="s">
        <v>10</v>
      </c>
      <c r="Z1331" s="13" t="s">
        <v>0</v>
      </c>
      <c r="AA1331" s="14"/>
      <c r="AB1331" s="13" t="s">
        <v>0</v>
      </c>
      <c r="AC1331" s="13" t="s">
        <v>0</v>
      </c>
      <c r="AD1331" s="13" t="s">
        <v>0</v>
      </c>
      <c r="AE1331" s="15">
        <v>0</v>
      </c>
    </row>
    <row r="1332" spans="1:31" ht="14.15" customHeight="1" x14ac:dyDescent="0.25">
      <c r="A1332" s="12" t="s">
        <v>0</v>
      </c>
      <c r="B1332" s="13" t="s">
        <v>1</v>
      </c>
      <c r="C1332" s="13" t="s">
        <v>3232</v>
      </c>
      <c r="D1332" s="14">
        <v>44306</v>
      </c>
      <c r="E1332" s="14">
        <v>44306</v>
      </c>
      <c r="F1332" s="14">
        <v>44311</v>
      </c>
      <c r="G1332" s="13" t="s">
        <v>3</v>
      </c>
      <c r="H1332" s="13" t="s">
        <v>4</v>
      </c>
      <c r="I1332" s="15">
        <v>-13211.1</v>
      </c>
      <c r="J1332" s="13" t="s">
        <v>5</v>
      </c>
      <c r="K1332" s="13" t="s">
        <v>6</v>
      </c>
      <c r="L1332" s="15">
        <v>-1109071.8500000001</v>
      </c>
      <c r="M1332" s="15">
        <v>-13211.1</v>
      </c>
      <c r="N1332" s="16" t="str">
        <f>IF(M1332="","",IF(M1332&lt;0,-M1332&amp;"_"&amp;COUNTIF(M$2:M1332,M1332),M1332&amp;"_"&amp;COUNTIF(M$2:M1332,M1332)))</f>
        <v>13211.1_1</v>
      </c>
      <c r="O1332" s="17" t="str">
        <f t="shared" si="20"/>
        <v/>
      </c>
      <c r="P1332" s="13" t="s">
        <v>3233</v>
      </c>
      <c r="Q1332" s="13" t="s">
        <v>3229</v>
      </c>
      <c r="R1332" s="13" t="s">
        <v>0</v>
      </c>
      <c r="S1332" s="13" t="s">
        <v>0</v>
      </c>
      <c r="T1332" s="13" t="s">
        <v>9</v>
      </c>
      <c r="U1332" s="13" t="s">
        <v>0</v>
      </c>
      <c r="V1332" s="13" t="s">
        <v>0</v>
      </c>
      <c r="W1332" s="13" t="s">
        <v>0</v>
      </c>
      <c r="X1332" s="13" t="s">
        <v>0</v>
      </c>
      <c r="Y1332" s="13" t="s">
        <v>10</v>
      </c>
      <c r="Z1332" s="13" t="s">
        <v>0</v>
      </c>
      <c r="AA1332" s="14"/>
      <c r="AB1332" s="13" t="s">
        <v>0</v>
      </c>
      <c r="AC1332" s="13" t="s">
        <v>0</v>
      </c>
      <c r="AD1332" s="13" t="s">
        <v>0</v>
      </c>
      <c r="AE1332" s="15">
        <v>0</v>
      </c>
    </row>
    <row r="1333" spans="1:31" ht="14.15" customHeight="1" x14ac:dyDescent="0.25">
      <c r="A1333" s="12" t="s">
        <v>0</v>
      </c>
      <c r="B1333" s="13" t="s">
        <v>1</v>
      </c>
      <c r="C1333" s="13" t="s">
        <v>1784</v>
      </c>
      <c r="D1333" s="14">
        <v>44182</v>
      </c>
      <c r="E1333" s="14">
        <v>44182</v>
      </c>
      <c r="F1333" s="14">
        <v>44199</v>
      </c>
      <c r="G1333" s="13" t="s">
        <v>3</v>
      </c>
      <c r="H1333" s="13" t="s">
        <v>4</v>
      </c>
      <c r="I1333" s="15">
        <v>-13185.96</v>
      </c>
      <c r="J1333" s="13" t="s">
        <v>5</v>
      </c>
      <c r="K1333" s="13" t="s">
        <v>6</v>
      </c>
      <c r="L1333" s="15">
        <v>-1106961.33</v>
      </c>
      <c r="M1333" s="15">
        <v>-13185.96</v>
      </c>
      <c r="N1333" s="16" t="str">
        <f>IF(M1333="","",IF(M1333&lt;0,-M1333&amp;"_"&amp;COUNTIF(M$2:M1333,M1333),M1333&amp;"_"&amp;COUNTIF(M$2:M1333,M1333)))</f>
        <v>13185.96_1</v>
      </c>
      <c r="O1333" s="17" t="str">
        <f t="shared" si="20"/>
        <v/>
      </c>
      <c r="P1333" s="13" t="s">
        <v>1785</v>
      </c>
      <c r="Q1333" s="13" t="s">
        <v>1777</v>
      </c>
      <c r="R1333" s="13" t="s">
        <v>0</v>
      </c>
      <c r="S1333" s="13" t="s">
        <v>0</v>
      </c>
      <c r="T1333" s="13" t="s">
        <v>9</v>
      </c>
      <c r="U1333" s="13" t="s">
        <v>0</v>
      </c>
      <c r="V1333" s="13" t="s">
        <v>0</v>
      </c>
      <c r="W1333" s="13" t="s">
        <v>0</v>
      </c>
      <c r="X1333" s="13" t="s">
        <v>0</v>
      </c>
      <c r="Y1333" s="13" t="s">
        <v>10</v>
      </c>
      <c r="Z1333" s="13" t="s">
        <v>0</v>
      </c>
      <c r="AA1333" s="14"/>
      <c r="AB1333" s="13" t="s">
        <v>0</v>
      </c>
      <c r="AC1333" s="13" t="s">
        <v>0</v>
      </c>
      <c r="AD1333" s="13" t="s">
        <v>0</v>
      </c>
      <c r="AE1333" s="15">
        <v>0</v>
      </c>
    </row>
    <row r="1334" spans="1:31" ht="14.15" customHeight="1" x14ac:dyDescent="0.25">
      <c r="A1334" s="12" t="s">
        <v>0</v>
      </c>
      <c r="B1334" s="13" t="s">
        <v>1</v>
      </c>
      <c r="C1334" s="13" t="s">
        <v>2974</v>
      </c>
      <c r="D1334" s="14">
        <v>44278</v>
      </c>
      <c r="E1334" s="14">
        <v>44278</v>
      </c>
      <c r="F1334" s="14">
        <v>44292</v>
      </c>
      <c r="G1334" s="13" t="s">
        <v>3</v>
      </c>
      <c r="H1334" s="13" t="s">
        <v>4</v>
      </c>
      <c r="I1334" s="15">
        <v>-13183.28</v>
      </c>
      <c r="J1334" s="13" t="s">
        <v>5</v>
      </c>
      <c r="K1334" s="13" t="s">
        <v>6</v>
      </c>
      <c r="L1334" s="15">
        <v>-1106736.3600000001</v>
      </c>
      <c r="M1334" s="15">
        <v>-13183.28</v>
      </c>
      <c r="N1334" s="16" t="str">
        <f>IF(M1334="","",IF(M1334&lt;0,-M1334&amp;"_"&amp;COUNTIF(M$2:M1334,M1334),M1334&amp;"_"&amp;COUNTIF(M$2:M1334,M1334)))</f>
        <v>13183.28_1</v>
      </c>
      <c r="O1334" s="17" t="str">
        <f t="shared" si="20"/>
        <v/>
      </c>
      <c r="P1334" s="13" t="s">
        <v>2975</v>
      </c>
      <c r="Q1334" s="13" t="s">
        <v>2964</v>
      </c>
      <c r="R1334" s="13" t="s">
        <v>0</v>
      </c>
      <c r="S1334" s="13" t="s">
        <v>0</v>
      </c>
      <c r="T1334" s="13" t="s">
        <v>9</v>
      </c>
      <c r="U1334" s="13" t="s">
        <v>0</v>
      </c>
      <c r="V1334" s="13" t="s">
        <v>0</v>
      </c>
      <c r="W1334" s="13" t="s">
        <v>0</v>
      </c>
      <c r="X1334" s="13" t="s">
        <v>0</v>
      </c>
      <c r="Y1334" s="13" t="s">
        <v>10</v>
      </c>
      <c r="Z1334" s="13" t="s">
        <v>0</v>
      </c>
      <c r="AA1334" s="14"/>
      <c r="AB1334" s="13" t="s">
        <v>0</v>
      </c>
      <c r="AC1334" s="13" t="s">
        <v>0</v>
      </c>
      <c r="AD1334" s="13" t="s">
        <v>0</v>
      </c>
      <c r="AE1334" s="15">
        <v>0</v>
      </c>
    </row>
    <row r="1335" spans="1:31" ht="14.15" customHeight="1" x14ac:dyDescent="0.25">
      <c r="A1335" s="12" t="s">
        <v>0</v>
      </c>
      <c r="B1335" s="13" t="s">
        <v>1</v>
      </c>
      <c r="C1335" s="13" t="s">
        <v>982</v>
      </c>
      <c r="D1335" s="14">
        <v>44125</v>
      </c>
      <c r="E1335" s="14">
        <v>44125</v>
      </c>
      <c r="F1335" s="14">
        <v>44138</v>
      </c>
      <c r="G1335" s="13" t="s">
        <v>3</v>
      </c>
      <c r="H1335" s="13" t="s">
        <v>4</v>
      </c>
      <c r="I1335" s="15">
        <v>-13162.31</v>
      </c>
      <c r="J1335" s="13" t="s">
        <v>5</v>
      </c>
      <c r="K1335" s="13" t="s">
        <v>6</v>
      </c>
      <c r="L1335" s="15">
        <v>-1104975.92</v>
      </c>
      <c r="M1335" s="15">
        <v>-13162.31</v>
      </c>
      <c r="N1335" s="16" t="str">
        <f>IF(M1335="","",IF(M1335&lt;0,-M1335&amp;"_"&amp;COUNTIF(M$2:M1335,M1335),M1335&amp;"_"&amp;COUNTIF(M$2:M1335,M1335)))</f>
        <v>13162.31_1</v>
      </c>
      <c r="O1335" s="17" t="str">
        <f t="shared" si="20"/>
        <v/>
      </c>
      <c r="P1335" s="13" t="s">
        <v>983</v>
      </c>
      <c r="Q1335" s="13" t="s">
        <v>977</v>
      </c>
      <c r="R1335" s="13" t="s">
        <v>0</v>
      </c>
      <c r="S1335" s="13" t="s">
        <v>0</v>
      </c>
      <c r="T1335" s="13" t="s">
        <v>9</v>
      </c>
      <c r="U1335" s="13" t="s">
        <v>0</v>
      </c>
      <c r="V1335" s="13" t="s">
        <v>0</v>
      </c>
      <c r="W1335" s="13" t="s">
        <v>0</v>
      </c>
      <c r="X1335" s="13" t="s">
        <v>0</v>
      </c>
      <c r="Y1335" s="13" t="s">
        <v>10</v>
      </c>
      <c r="Z1335" s="13" t="s">
        <v>0</v>
      </c>
      <c r="AA1335" s="14"/>
      <c r="AB1335" s="13" t="s">
        <v>0</v>
      </c>
      <c r="AC1335" s="13" t="s">
        <v>0</v>
      </c>
      <c r="AD1335" s="13" t="s">
        <v>0</v>
      </c>
      <c r="AE1335" s="15">
        <v>0</v>
      </c>
    </row>
    <row r="1336" spans="1:31" ht="14.15" customHeight="1" x14ac:dyDescent="0.25">
      <c r="A1336" s="12" t="s">
        <v>0</v>
      </c>
      <c r="B1336" s="13" t="s">
        <v>1</v>
      </c>
      <c r="C1336" s="13" t="s">
        <v>517</v>
      </c>
      <c r="D1336" s="14">
        <v>44070</v>
      </c>
      <c r="E1336" s="14">
        <v>44070</v>
      </c>
      <c r="F1336" s="14">
        <v>44084</v>
      </c>
      <c r="G1336" s="13" t="s">
        <v>3</v>
      </c>
      <c r="H1336" s="13" t="s">
        <v>4</v>
      </c>
      <c r="I1336" s="15">
        <v>-13148.35</v>
      </c>
      <c r="J1336" s="13" t="s">
        <v>5</v>
      </c>
      <c r="K1336" s="13" t="s">
        <v>6</v>
      </c>
      <c r="L1336" s="15">
        <v>-1103803.98</v>
      </c>
      <c r="M1336" s="15">
        <v>-13148.35</v>
      </c>
      <c r="N1336" s="16" t="str">
        <f>IF(M1336="","",IF(M1336&lt;0,-M1336&amp;"_"&amp;COUNTIF(M$2:M1336,M1336),M1336&amp;"_"&amp;COUNTIF(M$2:M1336,M1336)))</f>
        <v>13148.35_1</v>
      </c>
      <c r="O1336" s="17" t="str">
        <f t="shared" si="20"/>
        <v/>
      </c>
      <c r="P1336" s="13" t="s">
        <v>518</v>
      </c>
      <c r="Q1336" s="13" t="s">
        <v>519</v>
      </c>
      <c r="R1336" s="13" t="s">
        <v>0</v>
      </c>
      <c r="S1336" s="13" t="s">
        <v>0</v>
      </c>
      <c r="T1336" s="13" t="s">
        <v>9</v>
      </c>
      <c r="U1336" s="13" t="s">
        <v>0</v>
      </c>
      <c r="V1336" s="13" t="s">
        <v>0</v>
      </c>
      <c r="W1336" s="13" t="s">
        <v>0</v>
      </c>
      <c r="X1336" s="13" t="s">
        <v>0</v>
      </c>
      <c r="Y1336" s="13" t="s">
        <v>10</v>
      </c>
      <c r="Z1336" s="13" t="s">
        <v>0</v>
      </c>
      <c r="AA1336" s="14"/>
      <c r="AB1336" s="13" t="s">
        <v>0</v>
      </c>
      <c r="AC1336" s="13" t="s">
        <v>0</v>
      </c>
      <c r="AD1336" s="13" t="s">
        <v>0</v>
      </c>
      <c r="AE1336" s="15">
        <v>0</v>
      </c>
    </row>
    <row r="1337" spans="1:31" ht="14.15" customHeight="1" x14ac:dyDescent="0.25">
      <c r="A1337" s="12" t="s">
        <v>0</v>
      </c>
      <c r="B1337" s="13" t="s">
        <v>1</v>
      </c>
      <c r="C1337" s="13" t="s">
        <v>4189</v>
      </c>
      <c r="D1337" s="14">
        <v>44364</v>
      </c>
      <c r="E1337" s="14">
        <v>44364</v>
      </c>
      <c r="F1337" s="14">
        <v>44370</v>
      </c>
      <c r="G1337" s="13" t="s">
        <v>3</v>
      </c>
      <c r="H1337" s="13" t="s">
        <v>4</v>
      </c>
      <c r="I1337" s="15">
        <v>-13126.41</v>
      </c>
      <c r="J1337" s="13" t="s">
        <v>5</v>
      </c>
      <c r="K1337" s="13" t="s">
        <v>6</v>
      </c>
      <c r="L1337" s="15">
        <v>-1101962.1200000001</v>
      </c>
      <c r="M1337" s="15">
        <v>-13126.41</v>
      </c>
      <c r="N1337" s="16" t="str">
        <f>IF(M1337="","",IF(M1337&lt;0,-M1337&amp;"_"&amp;COUNTIF(M$2:M1337,M1337),M1337&amp;"_"&amp;COUNTIF(M$2:M1337,M1337)))</f>
        <v>13126.41_1</v>
      </c>
      <c r="O1337" s="17" t="str">
        <f t="shared" si="20"/>
        <v/>
      </c>
      <c r="P1337" s="13" t="s">
        <v>4190</v>
      </c>
      <c r="Q1337" s="13" t="s">
        <v>4180</v>
      </c>
      <c r="R1337" s="13" t="s">
        <v>0</v>
      </c>
      <c r="S1337" s="13" t="s">
        <v>0</v>
      </c>
      <c r="T1337" s="13" t="s">
        <v>9</v>
      </c>
      <c r="U1337" s="13" t="s">
        <v>0</v>
      </c>
      <c r="V1337" s="13" t="s">
        <v>0</v>
      </c>
      <c r="W1337" s="13" t="s">
        <v>0</v>
      </c>
      <c r="X1337" s="13" t="s">
        <v>0</v>
      </c>
      <c r="Y1337" s="13" t="s">
        <v>10</v>
      </c>
      <c r="Z1337" s="13" t="s">
        <v>0</v>
      </c>
      <c r="AA1337" s="14"/>
      <c r="AB1337" s="13" t="s">
        <v>0</v>
      </c>
      <c r="AC1337" s="13" t="s">
        <v>0</v>
      </c>
      <c r="AD1337" s="13" t="s">
        <v>0</v>
      </c>
      <c r="AE1337" s="15">
        <v>0</v>
      </c>
    </row>
    <row r="1338" spans="1:31" ht="14.15" customHeight="1" x14ac:dyDescent="0.25">
      <c r="A1338" s="12" t="s">
        <v>0</v>
      </c>
      <c r="B1338" s="13" t="s">
        <v>1</v>
      </c>
      <c r="C1338" s="13" t="s">
        <v>1409</v>
      </c>
      <c r="D1338" s="14">
        <v>44154</v>
      </c>
      <c r="E1338" s="14">
        <v>44154</v>
      </c>
      <c r="F1338" s="14">
        <v>44159</v>
      </c>
      <c r="G1338" s="13" t="s">
        <v>3</v>
      </c>
      <c r="H1338" s="13" t="s">
        <v>4</v>
      </c>
      <c r="I1338" s="15">
        <v>-13099.79</v>
      </c>
      <c r="J1338" s="13" t="s">
        <v>5</v>
      </c>
      <c r="K1338" s="13" t="s">
        <v>6</v>
      </c>
      <c r="L1338" s="15">
        <v>-1099727.3700000001</v>
      </c>
      <c r="M1338" s="15">
        <v>-13099.79</v>
      </c>
      <c r="N1338" s="16" t="str">
        <f>IF(M1338="","",IF(M1338&lt;0,-M1338&amp;"_"&amp;COUNTIF(M$2:M1338,M1338),M1338&amp;"_"&amp;COUNTIF(M$2:M1338,M1338)))</f>
        <v>13099.79_1</v>
      </c>
      <c r="O1338" s="17" t="str">
        <f t="shared" si="20"/>
        <v/>
      </c>
      <c r="P1338" s="13" t="s">
        <v>1410</v>
      </c>
      <c r="Q1338" s="13" t="s">
        <v>1408</v>
      </c>
      <c r="R1338" s="13" t="s">
        <v>0</v>
      </c>
      <c r="S1338" s="13" t="s">
        <v>0</v>
      </c>
      <c r="T1338" s="13" t="s">
        <v>9</v>
      </c>
      <c r="U1338" s="13" t="s">
        <v>0</v>
      </c>
      <c r="V1338" s="13" t="s">
        <v>0</v>
      </c>
      <c r="W1338" s="13" t="s">
        <v>0</v>
      </c>
      <c r="X1338" s="13" t="s">
        <v>0</v>
      </c>
      <c r="Y1338" s="13" t="s">
        <v>10</v>
      </c>
      <c r="Z1338" s="13" t="s">
        <v>0</v>
      </c>
      <c r="AA1338" s="14"/>
      <c r="AB1338" s="13" t="s">
        <v>0</v>
      </c>
      <c r="AC1338" s="13" t="s">
        <v>0</v>
      </c>
      <c r="AD1338" s="13" t="s">
        <v>0</v>
      </c>
      <c r="AE1338" s="15">
        <v>0</v>
      </c>
    </row>
    <row r="1339" spans="1:31" ht="14.15" customHeight="1" x14ac:dyDescent="0.25">
      <c r="A1339" s="12" t="s">
        <v>0</v>
      </c>
      <c r="B1339" s="13" t="s">
        <v>1</v>
      </c>
      <c r="C1339" s="13" t="s">
        <v>3245</v>
      </c>
      <c r="D1339" s="14">
        <v>44307</v>
      </c>
      <c r="E1339" s="14">
        <v>44307</v>
      </c>
      <c r="F1339" s="14">
        <v>44313</v>
      </c>
      <c r="G1339" s="13" t="s">
        <v>3</v>
      </c>
      <c r="H1339" s="13" t="s">
        <v>4</v>
      </c>
      <c r="I1339" s="15">
        <v>-13084.66</v>
      </c>
      <c r="J1339" s="13" t="s">
        <v>5</v>
      </c>
      <c r="K1339" s="13" t="s">
        <v>6</v>
      </c>
      <c r="L1339" s="15">
        <v>-1098457.21</v>
      </c>
      <c r="M1339" s="15">
        <v>-13084.66</v>
      </c>
      <c r="N1339" s="16" t="str">
        <f>IF(M1339="","",IF(M1339&lt;0,-M1339&amp;"_"&amp;COUNTIF(M$2:M1339,M1339),M1339&amp;"_"&amp;COUNTIF(M$2:M1339,M1339)))</f>
        <v>13084.66_1</v>
      </c>
      <c r="O1339" s="17" t="str">
        <f t="shared" si="20"/>
        <v/>
      </c>
      <c r="P1339" s="13" t="s">
        <v>3246</v>
      </c>
      <c r="Q1339" s="13" t="s">
        <v>3244</v>
      </c>
      <c r="R1339" s="13" t="s">
        <v>0</v>
      </c>
      <c r="S1339" s="13" t="s">
        <v>0</v>
      </c>
      <c r="T1339" s="13" t="s">
        <v>9</v>
      </c>
      <c r="U1339" s="13" t="s">
        <v>0</v>
      </c>
      <c r="V1339" s="13" t="s">
        <v>0</v>
      </c>
      <c r="W1339" s="13" t="s">
        <v>0</v>
      </c>
      <c r="X1339" s="13" t="s">
        <v>0</v>
      </c>
      <c r="Y1339" s="13" t="s">
        <v>10</v>
      </c>
      <c r="Z1339" s="13" t="s">
        <v>0</v>
      </c>
      <c r="AA1339" s="14"/>
      <c r="AB1339" s="13" t="s">
        <v>0</v>
      </c>
      <c r="AC1339" s="13" t="s">
        <v>0</v>
      </c>
      <c r="AD1339" s="13" t="s">
        <v>0</v>
      </c>
      <c r="AE1339" s="15">
        <v>0</v>
      </c>
    </row>
    <row r="1340" spans="1:31" ht="14.15" customHeight="1" x14ac:dyDescent="0.25">
      <c r="A1340" s="12" t="s">
        <v>0</v>
      </c>
      <c r="B1340" s="13" t="s">
        <v>1</v>
      </c>
      <c r="C1340" s="13" t="s">
        <v>1778</v>
      </c>
      <c r="D1340" s="14">
        <v>44182</v>
      </c>
      <c r="E1340" s="14">
        <v>44182</v>
      </c>
      <c r="F1340" s="14">
        <v>44188</v>
      </c>
      <c r="G1340" s="13" t="s">
        <v>3</v>
      </c>
      <c r="H1340" s="13" t="s">
        <v>4</v>
      </c>
      <c r="I1340" s="15">
        <v>-13076.59</v>
      </c>
      <c r="J1340" s="13" t="s">
        <v>5</v>
      </c>
      <c r="K1340" s="13" t="s">
        <v>6</v>
      </c>
      <c r="L1340" s="15">
        <v>-1097779.73</v>
      </c>
      <c r="M1340" s="15">
        <v>-13076.59</v>
      </c>
      <c r="N1340" s="16" t="str">
        <f>IF(M1340="","",IF(M1340&lt;0,-M1340&amp;"_"&amp;COUNTIF(M$2:M1340,M1340),M1340&amp;"_"&amp;COUNTIF(M$2:M1340,M1340)))</f>
        <v>13076.59_1</v>
      </c>
      <c r="O1340" s="17" t="str">
        <f t="shared" si="20"/>
        <v/>
      </c>
      <c r="P1340" s="13" t="s">
        <v>1779</v>
      </c>
      <c r="Q1340" s="13" t="s">
        <v>1777</v>
      </c>
      <c r="R1340" s="13" t="s">
        <v>0</v>
      </c>
      <c r="S1340" s="13" t="s">
        <v>0</v>
      </c>
      <c r="T1340" s="13" t="s">
        <v>9</v>
      </c>
      <c r="U1340" s="13" t="s">
        <v>0</v>
      </c>
      <c r="V1340" s="13" t="s">
        <v>0</v>
      </c>
      <c r="W1340" s="13" t="s">
        <v>0</v>
      </c>
      <c r="X1340" s="13" t="s">
        <v>0</v>
      </c>
      <c r="Y1340" s="13" t="s">
        <v>10</v>
      </c>
      <c r="Z1340" s="13" t="s">
        <v>0</v>
      </c>
      <c r="AA1340" s="14"/>
      <c r="AB1340" s="13" t="s">
        <v>0</v>
      </c>
      <c r="AC1340" s="13" t="s">
        <v>0</v>
      </c>
      <c r="AD1340" s="13" t="s">
        <v>0</v>
      </c>
      <c r="AE1340" s="15">
        <v>0</v>
      </c>
    </row>
    <row r="1341" spans="1:31" ht="14.15" customHeight="1" x14ac:dyDescent="0.25">
      <c r="A1341" s="12" t="s">
        <v>0</v>
      </c>
      <c r="B1341" s="13" t="s">
        <v>1</v>
      </c>
      <c r="C1341" s="13" t="s">
        <v>88</v>
      </c>
      <c r="D1341" s="14">
        <v>44023</v>
      </c>
      <c r="E1341" s="14">
        <v>44023</v>
      </c>
      <c r="F1341" s="14">
        <v>44027</v>
      </c>
      <c r="G1341" s="13" t="s">
        <v>3</v>
      </c>
      <c r="H1341" s="13" t="s">
        <v>4</v>
      </c>
      <c r="I1341" s="15">
        <v>-13039.71</v>
      </c>
      <c r="J1341" s="13" t="s">
        <v>5</v>
      </c>
      <c r="K1341" s="13" t="s">
        <v>6</v>
      </c>
      <c r="L1341" s="15">
        <v>-1094683.6499999999</v>
      </c>
      <c r="M1341" s="15">
        <v>-13039.71</v>
      </c>
      <c r="N1341" s="16" t="str">
        <f>IF(M1341="","",IF(M1341&lt;0,-M1341&amp;"_"&amp;COUNTIF(M$2:M1341,M1341),M1341&amp;"_"&amp;COUNTIF(M$2:M1341,M1341)))</f>
        <v>13039.71_1</v>
      </c>
      <c r="O1341" s="17" t="str">
        <f t="shared" si="20"/>
        <v/>
      </c>
      <c r="P1341" s="13" t="s">
        <v>89</v>
      </c>
      <c r="Q1341" s="13" t="s">
        <v>90</v>
      </c>
      <c r="R1341" s="13" t="s">
        <v>0</v>
      </c>
      <c r="S1341" s="13" t="s">
        <v>0</v>
      </c>
      <c r="T1341" s="13" t="s">
        <v>9</v>
      </c>
      <c r="U1341" s="13" t="s">
        <v>0</v>
      </c>
      <c r="V1341" s="13" t="s">
        <v>0</v>
      </c>
      <c r="W1341" s="13" t="s">
        <v>0</v>
      </c>
      <c r="X1341" s="13" t="s">
        <v>0</v>
      </c>
      <c r="Y1341" s="13" t="s">
        <v>10</v>
      </c>
      <c r="Z1341" s="13" t="s">
        <v>0</v>
      </c>
      <c r="AA1341" s="14"/>
      <c r="AB1341" s="13" t="s">
        <v>0</v>
      </c>
      <c r="AC1341" s="13" t="s">
        <v>0</v>
      </c>
      <c r="AD1341" s="13" t="s">
        <v>0</v>
      </c>
      <c r="AE1341" s="15">
        <v>0</v>
      </c>
    </row>
    <row r="1342" spans="1:31" ht="14.15" customHeight="1" x14ac:dyDescent="0.25">
      <c r="A1342" s="12" t="s">
        <v>0</v>
      </c>
      <c r="B1342" s="13" t="s">
        <v>1</v>
      </c>
      <c r="C1342" s="13" t="s">
        <v>1582</v>
      </c>
      <c r="D1342" s="14">
        <v>44166</v>
      </c>
      <c r="E1342" s="14">
        <v>44166</v>
      </c>
      <c r="F1342" s="14">
        <v>44174</v>
      </c>
      <c r="G1342" s="13" t="s">
        <v>3</v>
      </c>
      <c r="H1342" s="13" t="s">
        <v>4</v>
      </c>
      <c r="I1342" s="15">
        <v>-13021.94</v>
      </c>
      <c r="J1342" s="13" t="s">
        <v>5</v>
      </c>
      <c r="K1342" s="13" t="s">
        <v>6</v>
      </c>
      <c r="L1342" s="15">
        <v>-1093191.8600000001</v>
      </c>
      <c r="M1342" s="15">
        <v>-13021.94</v>
      </c>
      <c r="N1342" s="16" t="str">
        <f>IF(M1342="","",IF(M1342&lt;0,-M1342&amp;"_"&amp;COUNTIF(M$2:M1342,M1342),M1342&amp;"_"&amp;COUNTIF(M$2:M1342,M1342)))</f>
        <v>13021.94_1</v>
      </c>
      <c r="O1342" s="17" t="str">
        <f t="shared" si="20"/>
        <v/>
      </c>
      <c r="P1342" s="13" t="s">
        <v>1583</v>
      </c>
      <c r="Q1342" s="13" t="s">
        <v>1579</v>
      </c>
      <c r="R1342" s="13" t="s">
        <v>0</v>
      </c>
      <c r="S1342" s="13" t="s">
        <v>0</v>
      </c>
      <c r="T1342" s="13" t="s">
        <v>9</v>
      </c>
      <c r="U1342" s="13" t="s">
        <v>0</v>
      </c>
      <c r="V1342" s="13" t="s">
        <v>0</v>
      </c>
      <c r="W1342" s="13" t="s">
        <v>0</v>
      </c>
      <c r="X1342" s="13" t="s">
        <v>0</v>
      </c>
      <c r="Y1342" s="13" t="s">
        <v>10</v>
      </c>
      <c r="Z1342" s="13" t="s">
        <v>0</v>
      </c>
      <c r="AA1342" s="14"/>
      <c r="AB1342" s="13" t="s">
        <v>0</v>
      </c>
      <c r="AC1342" s="13" t="s">
        <v>0</v>
      </c>
      <c r="AD1342" s="13" t="s">
        <v>0</v>
      </c>
      <c r="AE1342" s="15">
        <v>0</v>
      </c>
    </row>
    <row r="1343" spans="1:31" ht="14.15" customHeight="1" x14ac:dyDescent="0.25">
      <c r="A1343" s="12" t="s">
        <v>0</v>
      </c>
      <c r="B1343" s="13" t="s">
        <v>1</v>
      </c>
      <c r="C1343" s="13" t="s">
        <v>2759</v>
      </c>
      <c r="D1343" s="14">
        <v>44261</v>
      </c>
      <c r="E1343" s="14">
        <v>44261</v>
      </c>
      <c r="F1343" s="14">
        <v>44272</v>
      </c>
      <c r="G1343" s="13" t="s">
        <v>48</v>
      </c>
      <c r="H1343" s="13" t="s">
        <v>4</v>
      </c>
      <c r="I1343" s="15">
        <v>-13002.2</v>
      </c>
      <c r="J1343" s="13" t="s">
        <v>5</v>
      </c>
      <c r="K1343" s="13" t="s">
        <v>6</v>
      </c>
      <c r="L1343" s="15">
        <v>-1091534.69</v>
      </c>
      <c r="M1343" s="15">
        <v>-13002.2</v>
      </c>
      <c r="N1343" s="16" t="str">
        <f>IF(M1343="","",IF(M1343&lt;0,-M1343&amp;"_"&amp;COUNTIF(M$2:M1343,M1343),M1343&amp;"_"&amp;COUNTIF(M$2:M1343,M1343)))</f>
        <v>13002.2_1</v>
      </c>
      <c r="O1343" s="17" t="str">
        <f t="shared" si="20"/>
        <v/>
      </c>
      <c r="P1343" s="13" t="s">
        <v>2760</v>
      </c>
      <c r="Q1343" s="13" t="s">
        <v>2760</v>
      </c>
      <c r="R1343" s="13" t="s">
        <v>2733</v>
      </c>
      <c r="S1343" s="13" t="s">
        <v>0</v>
      </c>
      <c r="T1343" s="13" t="s">
        <v>9</v>
      </c>
      <c r="U1343" s="13" t="s">
        <v>2733</v>
      </c>
      <c r="V1343" s="13" t="s">
        <v>0</v>
      </c>
      <c r="W1343" s="13" t="s">
        <v>0</v>
      </c>
      <c r="X1343" s="13" t="s">
        <v>0</v>
      </c>
      <c r="Y1343" s="13" t="s">
        <v>10</v>
      </c>
      <c r="Z1343" s="13" t="s">
        <v>0</v>
      </c>
      <c r="AA1343" s="14"/>
      <c r="AB1343" s="13" t="s">
        <v>0</v>
      </c>
      <c r="AC1343" s="13" t="s">
        <v>0</v>
      </c>
      <c r="AD1343" s="13" t="s">
        <v>0</v>
      </c>
      <c r="AE1343" s="15">
        <v>0</v>
      </c>
    </row>
    <row r="1344" spans="1:31" ht="14.15" customHeight="1" x14ac:dyDescent="0.25">
      <c r="A1344" s="12" t="s">
        <v>0</v>
      </c>
      <c r="B1344" s="13" t="s">
        <v>1</v>
      </c>
      <c r="C1344" s="13" t="s">
        <v>3529</v>
      </c>
      <c r="D1344" s="14">
        <v>44324</v>
      </c>
      <c r="E1344" s="14">
        <v>44324</v>
      </c>
      <c r="F1344" s="14">
        <v>44333</v>
      </c>
      <c r="G1344" s="13" t="s">
        <v>3</v>
      </c>
      <c r="H1344" s="13" t="s">
        <v>4</v>
      </c>
      <c r="I1344" s="15">
        <v>-12998.85</v>
      </c>
      <c r="J1344" s="13" t="s">
        <v>5</v>
      </c>
      <c r="K1344" s="13" t="s">
        <v>6</v>
      </c>
      <c r="L1344" s="15">
        <v>-1091253.44</v>
      </c>
      <c r="M1344" s="15">
        <v>-12998.85</v>
      </c>
      <c r="N1344" s="16" t="str">
        <f>IF(M1344="","",IF(M1344&lt;0,-M1344&amp;"_"&amp;COUNTIF(M$2:M1344,M1344),M1344&amp;"_"&amp;COUNTIF(M$2:M1344,M1344)))</f>
        <v>12998.85_1</v>
      </c>
      <c r="O1344" s="17" t="str">
        <f t="shared" si="20"/>
        <v/>
      </c>
      <c r="P1344" s="13" t="s">
        <v>3530</v>
      </c>
      <c r="Q1344" s="13" t="s">
        <v>3512</v>
      </c>
      <c r="R1344" s="13" t="s">
        <v>0</v>
      </c>
      <c r="S1344" s="13" t="s">
        <v>0</v>
      </c>
      <c r="T1344" s="13" t="s">
        <v>9</v>
      </c>
      <c r="U1344" s="13" t="s">
        <v>0</v>
      </c>
      <c r="V1344" s="13" t="s">
        <v>0</v>
      </c>
      <c r="W1344" s="13" t="s">
        <v>0</v>
      </c>
      <c r="X1344" s="13" t="s">
        <v>0</v>
      </c>
      <c r="Y1344" s="13" t="s">
        <v>10</v>
      </c>
      <c r="Z1344" s="13" t="s">
        <v>0</v>
      </c>
      <c r="AA1344" s="14"/>
      <c r="AB1344" s="13" t="s">
        <v>0</v>
      </c>
      <c r="AC1344" s="13" t="s">
        <v>0</v>
      </c>
      <c r="AD1344" s="13" t="s">
        <v>0</v>
      </c>
      <c r="AE1344" s="15">
        <v>0</v>
      </c>
    </row>
    <row r="1345" spans="1:31" ht="14.15" customHeight="1" x14ac:dyDescent="0.25">
      <c r="A1345" s="12" t="s">
        <v>0</v>
      </c>
      <c r="B1345" s="13" t="s">
        <v>1</v>
      </c>
      <c r="C1345" s="13" t="s">
        <v>235</v>
      </c>
      <c r="D1345" s="14">
        <v>44039</v>
      </c>
      <c r="E1345" s="14">
        <v>44039</v>
      </c>
      <c r="F1345" s="14">
        <v>44042</v>
      </c>
      <c r="G1345" s="13" t="s">
        <v>3</v>
      </c>
      <c r="H1345" s="13" t="s">
        <v>4</v>
      </c>
      <c r="I1345" s="15">
        <v>-12988.54</v>
      </c>
      <c r="J1345" s="13" t="s">
        <v>5</v>
      </c>
      <c r="K1345" s="13" t="s">
        <v>6</v>
      </c>
      <c r="L1345" s="15">
        <v>-1090387.93</v>
      </c>
      <c r="M1345" s="15">
        <v>-12988.54</v>
      </c>
      <c r="N1345" s="16" t="str">
        <f>IF(M1345="","",IF(M1345&lt;0,-M1345&amp;"_"&amp;COUNTIF(M$2:M1345,M1345),M1345&amp;"_"&amp;COUNTIF(M$2:M1345,M1345)))</f>
        <v>12988.54_1</v>
      </c>
      <c r="O1345" s="17" t="str">
        <f t="shared" si="20"/>
        <v/>
      </c>
      <c r="P1345" s="13" t="s">
        <v>236</v>
      </c>
      <c r="Q1345" s="13" t="s">
        <v>230</v>
      </c>
      <c r="R1345" s="13" t="s">
        <v>0</v>
      </c>
      <c r="S1345" s="13" t="s">
        <v>0</v>
      </c>
      <c r="T1345" s="13" t="s">
        <v>9</v>
      </c>
      <c r="U1345" s="13" t="s">
        <v>0</v>
      </c>
      <c r="V1345" s="13" t="s">
        <v>0</v>
      </c>
      <c r="W1345" s="13" t="s">
        <v>0</v>
      </c>
      <c r="X1345" s="13" t="s">
        <v>0</v>
      </c>
      <c r="Y1345" s="13" t="s">
        <v>10</v>
      </c>
      <c r="Z1345" s="13" t="s">
        <v>0</v>
      </c>
      <c r="AA1345" s="14"/>
      <c r="AB1345" s="13" t="s">
        <v>0</v>
      </c>
      <c r="AC1345" s="13" t="s">
        <v>0</v>
      </c>
      <c r="AD1345" s="13" t="s">
        <v>0</v>
      </c>
      <c r="AE1345" s="15">
        <v>0</v>
      </c>
    </row>
    <row r="1346" spans="1:31" ht="14.15" customHeight="1" x14ac:dyDescent="0.25">
      <c r="A1346" s="12" t="s">
        <v>0</v>
      </c>
      <c r="B1346" s="13" t="s">
        <v>1</v>
      </c>
      <c r="C1346" s="13" t="s">
        <v>3629</v>
      </c>
      <c r="D1346" s="14">
        <v>44330</v>
      </c>
      <c r="E1346" s="14">
        <v>44330</v>
      </c>
      <c r="F1346" s="14">
        <v>44336</v>
      </c>
      <c r="G1346" s="13" t="s">
        <v>3</v>
      </c>
      <c r="H1346" s="13" t="s">
        <v>4</v>
      </c>
      <c r="I1346" s="15">
        <v>-12987.22</v>
      </c>
      <c r="J1346" s="13" t="s">
        <v>5</v>
      </c>
      <c r="K1346" s="13" t="s">
        <v>6</v>
      </c>
      <c r="L1346" s="15">
        <v>-1090277.1200000001</v>
      </c>
      <c r="M1346" s="15">
        <v>-12987.22</v>
      </c>
      <c r="N1346" s="16" t="str">
        <f>IF(M1346="","",IF(M1346&lt;0,-M1346&amp;"_"&amp;COUNTIF(M$2:M1346,M1346),M1346&amp;"_"&amp;COUNTIF(M$2:M1346,M1346)))</f>
        <v>12987.22_1</v>
      </c>
      <c r="O1346" s="17" t="str">
        <f t="shared" ref="O1346:O1409" si="21">IF(COUNTIF(N:N,N1346)=2,"x","")</f>
        <v/>
      </c>
      <c r="P1346" s="13" t="s">
        <v>3630</v>
      </c>
      <c r="Q1346" s="13" t="s">
        <v>3624</v>
      </c>
      <c r="R1346" s="13" t="s">
        <v>0</v>
      </c>
      <c r="S1346" s="13" t="s">
        <v>0</v>
      </c>
      <c r="T1346" s="13" t="s">
        <v>9</v>
      </c>
      <c r="U1346" s="13" t="s">
        <v>0</v>
      </c>
      <c r="V1346" s="13" t="s">
        <v>0</v>
      </c>
      <c r="W1346" s="13" t="s">
        <v>0</v>
      </c>
      <c r="X1346" s="13" t="s">
        <v>0</v>
      </c>
      <c r="Y1346" s="13" t="s">
        <v>10</v>
      </c>
      <c r="Z1346" s="13" t="s">
        <v>0</v>
      </c>
      <c r="AA1346" s="14"/>
      <c r="AB1346" s="13" t="s">
        <v>0</v>
      </c>
      <c r="AC1346" s="13" t="s">
        <v>0</v>
      </c>
      <c r="AD1346" s="13" t="s">
        <v>0</v>
      </c>
      <c r="AE1346" s="15">
        <v>0</v>
      </c>
    </row>
    <row r="1347" spans="1:31" ht="14.15" customHeight="1" x14ac:dyDescent="0.25">
      <c r="A1347" s="12" t="s">
        <v>0</v>
      </c>
      <c r="B1347" s="13" t="s">
        <v>1</v>
      </c>
      <c r="C1347" s="13" t="s">
        <v>1685</v>
      </c>
      <c r="D1347" s="14">
        <v>44173</v>
      </c>
      <c r="E1347" s="14">
        <v>44173</v>
      </c>
      <c r="F1347" s="14">
        <v>44178</v>
      </c>
      <c r="G1347" s="13" t="s">
        <v>3</v>
      </c>
      <c r="H1347" s="13" t="s">
        <v>4</v>
      </c>
      <c r="I1347" s="15">
        <v>-12983.85</v>
      </c>
      <c r="J1347" s="13" t="s">
        <v>5</v>
      </c>
      <c r="K1347" s="13" t="s">
        <v>6</v>
      </c>
      <c r="L1347" s="15">
        <v>-1089994.2</v>
      </c>
      <c r="M1347" s="15">
        <v>-12983.85</v>
      </c>
      <c r="N1347" s="16" t="str">
        <f>IF(M1347="","",IF(M1347&lt;0,-M1347&amp;"_"&amp;COUNTIF(M$2:M1347,M1347),M1347&amp;"_"&amp;COUNTIF(M$2:M1347,M1347)))</f>
        <v>12983.85_1</v>
      </c>
      <c r="O1347" s="17" t="str">
        <f t="shared" si="21"/>
        <v/>
      </c>
      <c r="P1347" s="13" t="s">
        <v>1686</v>
      </c>
      <c r="Q1347" s="13" t="s">
        <v>1687</v>
      </c>
      <c r="R1347" s="13" t="s">
        <v>0</v>
      </c>
      <c r="S1347" s="13" t="s">
        <v>0</v>
      </c>
      <c r="T1347" s="13" t="s">
        <v>9</v>
      </c>
      <c r="U1347" s="13" t="s">
        <v>0</v>
      </c>
      <c r="V1347" s="13" t="s">
        <v>0</v>
      </c>
      <c r="W1347" s="13" t="s">
        <v>0</v>
      </c>
      <c r="X1347" s="13" t="s">
        <v>0</v>
      </c>
      <c r="Y1347" s="13" t="s">
        <v>10</v>
      </c>
      <c r="Z1347" s="13" t="s">
        <v>0</v>
      </c>
      <c r="AA1347" s="14"/>
      <c r="AB1347" s="13" t="s">
        <v>0</v>
      </c>
      <c r="AC1347" s="13" t="s">
        <v>0</v>
      </c>
      <c r="AD1347" s="13" t="s">
        <v>0</v>
      </c>
      <c r="AE1347" s="15">
        <v>0</v>
      </c>
    </row>
    <row r="1348" spans="1:31" ht="14.15" customHeight="1" x14ac:dyDescent="0.25">
      <c r="A1348" s="12" t="s">
        <v>0</v>
      </c>
      <c r="B1348" s="13" t="s">
        <v>1</v>
      </c>
      <c r="C1348" s="13" t="s">
        <v>1838</v>
      </c>
      <c r="D1348" s="14">
        <v>44184</v>
      </c>
      <c r="E1348" s="14">
        <v>44184</v>
      </c>
      <c r="F1348" s="14">
        <v>44202</v>
      </c>
      <c r="G1348" s="13" t="s">
        <v>3</v>
      </c>
      <c r="H1348" s="13" t="s">
        <v>4</v>
      </c>
      <c r="I1348" s="15">
        <v>-12981.7</v>
      </c>
      <c r="J1348" s="13" t="s">
        <v>5</v>
      </c>
      <c r="K1348" s="13" t="s">
        <v>6</v>
      </c>
      <c r="L1348" s="15">
        <v>-1089813.72</v>
      </c>
      <c r="M1348" s="15">
        <v>-12981.7</v>
      </c>
      <c r="N1348" s="16" t="str">
        <f>IF(M1348="","",IF(M1348&lt;0,-M1348&amp;"_"&amp;COUNTIF(M$2:M1348,M1348),M1348&amp;"_"&amp;COUNTIF(M$2:M1348,M1348)))</f>
        <v>12981.7_1</v>
      </c>
      <c r="O1348" s="17" t="str">
        <f t="shared" si="21"/>
        <v/>
      </c>
      <c r="P1348" s="13" t="s">
        <v>1839</v>
      </c>
      <c r="Q1348" s="13" t="s">
        <v>1831</v>
      </c>
      <c r="R1348" s="13" t="s">
        <v>0</v>
      </c>
      <c r="S1348" s="13" t="s">
        <v>0</v>
      </c>
      <c r="T1348" s="13" t="s">
        <v>9</v>
      </c>
      <c r="U1348" s="13" t="s">
        <v>0</v>
      </c>
      <c r="V1348" s="13" t="s">
        <v>0</v>
      </c>
      <c r="W1348" s="13" t="s">
        <v>0</v>
      </c>
      <c r="X1348" s="13" t="s">
        <v>0</v>
      </c>
      <c r="Y1348" s="13" t="s">
        <v>10</v>
      </c>
      <c r="Z1348" s="13" t="s">
        <v>0</v>
      </c>
      <c r="AA1348" s="14"/>
      <c r="AB1348" s="13" t="s">
        <v>0</v>
      </c>
      <c r="AC1348" s="13" t="s">
        <v>0</v>
      </c>
      <c r="AD1348" s="13" t="s">
        <v>0</v>
      </c>
      <c r="AE1348" s="15">
        <v>0</v>
      </c>
    </row>
    <row r="1349" spans="1:31" ht="14.15" customHeight="1" x14ac:dyDescent="0.25">
      <c r="A1349" s="12" t="s">
        <v>0</v>
      </c>
      <c r="B1349" s="13" t="s">
        <v>1</v>
      </c>
      <c r="C1349" s="13" t="s">
        <v>2251</v>
      </c>
      <c r="D1349" s="14">
        <v>44215</v>
      </c>
      <c r="E1349" s="14">
        <v>44215</v>
      </c>
      <c r="F1349" s="14">
        <v>44222</v>
      </c>
      <c r="G1349" s="13" t="s">
        <v>3</v>
      </c>
      <c r="H1349" s="13" t="s">
        <v>4</v>
      </c>
      <c r="I1349" s="15">
        <v>-12955</v>
      </c>
      <c r="J1349" s="13" t="s">
        <v>5</v>
      </c>
      <c r="K1349" s="13" t="s">
        <v>6</v>
      </c>
      <c r="L1349" s="15">
        <v>-1087572.25</v>
      </c>
      <c r="M1349" s="15">
        <v>-12955</v>
      </c>
      <c r="N1349" s="16" t="str">
        <f>IF(M1349="","",IF(M1349&lt;0,-M1349&amp;"_"&amp;COUNTIF(M$2:M1349,M1349),M1349&amp;"_"&amp;COUNTIF(M$2:M1349,M1349)))</f>
        <v>12955_1</v>
      </c>
      <c r="O1349" s="17" t="str">
        <f t="shared" si="21"/>
        <v/>
      </c>
      <c r="P1349" s="13" t="s">
        <v>2252</v>
      </c>
      <c r="Q1349" s="13" t="s">
        <v>2250</v>
      </c>
      <c r="R1349" s="13" t="s">
        <v>0</v>
      </c>
      <c r="S1349" s="13" t="s">
        <v>0</v>
      </c>
      <c r="T1349" s="13" t="s">
        <v>9</v>
      </c>
      <c r="U1349" s="13" t="s">
        <v>0</v>
      </c>
      <c r="V1349" s="13" t="s">
        <v>0</v>
      </c>
      <c r="W1349" s="13" t="s">
        <v>0</v>
      </c>
      <c r="X1349" s="13" t="s">
        <v>0</v>
      </c>
      <c r="Y1349" s="13" t="s">
        <v>10</v>
      </c>
      <c r="Z1349" s="13" t="s">
        <v>0</v>
      </c>
      <c r="AA1349" s="14"/>
      <c r="AB1349" s="13" t="s">
        <v>0</v>
      </c>
      <c r="AC1349" s="13" t="s">
        <v>0</v>
      </c>
      <c r="AD1349" s="13" t="s">
        <v>0</v>
      </c>
      <c r="AE1349" s="15">
        <v>0</v>
      </c>
    </row>
    <row r="1350" spans="1:31" ht="14.15" customHeight="1" x14ac:dyDescent="0.25">
      <c r="A1350" s="12" t="s">
        <v>0</v>
      </c>
      <c r="B1350" s="13" t="s">
        <v>1</v>
      </c>
      <c r="C1350" s="13" t="s">
        <v>2965</v>
      </c>
      <c r="D1350" s="14">
        <v>44278</v>
      </c>
      <c r="E1350" s="14">
        <v>44278</v>
      </c>
      <c r="F1350" s="14">
        <v>44283</v>
      </c>
      <c r="G1350" s="13" t="s">
        <v>3</v>
      </c>
      <c r="H1350" s="13" t="s">
        <v>4</v>
      </c>
      <c r="I1350" s="15">
        <v>-12943.47</v>
      </c>
      <c r="J1350" s="13" t="s">
        <v>5</v>
      </c>
      <c r="K1350" s="13" t="s">
        <v>6</v>
      </c>
      <c r="L1350" s="15">
        <v>-1086604.31</v>
      </c>
      <c r="M1350" s="15">
        <v>-12943.47</v>
      </c>
      <c r="N1350" s="16" t="str">
        <f>IF(M1350="","",IF(M1350&lt;0,-M1350&amp;"_"&amp;COUNTIF(M$2:M1350,M1350),M1350&amp;"_"&amp;COUNTIF(M$2:M1350,M1350)))</f>
        <v>12943.47_1</v>
      </c>
      <c r="O1350" s="17" t="str">
        <f t="shared" si="21"/>
        <v/>
      </c>
      <c r="P1350" s="13" t="s">
        <v>2966</v>
      </c>
      <c r="Q1350" s="13" t="s">
        <v>2964</v>
      </c>
      <c r="R1350" s="13" t="s">
        <v>0</v>
      </c>
      <c r="S1350" s="13" t="s">
        <v>0</v>
      </c>
      <c r="T1350" s="13" t="s">
        <v>9</v>
      </c>
      <c r="U1350" s="13" t="s">
        <v>0</v>
      </c>
      <c r="V1350" s="13" t="s">
        <v>0</v>
      </c>
      <c r="W1350" s="13" t="s">
        <v>0</v>
      </c>
      <c r="X1350" s="13" t="s">
        <v>0</v>
      </c>
      <c r="Y1350" s="13" t="s">
        <v>10</v>
      </c>
      <c r="Z1350" s="13" t="s">
        <v>0</v>
      </c>
      <c r="AA1350" s="14"/>
      <c r="AB1350" s="13" t="s">
        <v>0</v>
      </c>
      <c r="AC1350" s="13" t="s">
        <v>0</v>
      </c>
      <c r="AD1350" s="13" t="s">
        <v>0</v>
      </c>
      <c r="AE1350" s="15">
        <v>0</v>
      </c>
    </row>
    <row r="1351" spans="1:31" ht="14.15" customHeight="1" x14ac:dyDescent="0.25">
      <c r="A1351" s="12" t="s">
        <v>0</v>
      </c>
      <c r="B1351" s="13" t="s">
        <v>1</v>
      </c>
      <c r="C1351" s="13" t="s">
        <v>1355</v>
      </c>
      <c r="D1351" s="14">
        <v>44150</v>
      </c>
      <c r="E1351" s="14">
        <v>44150</v>
      </c>
      <c r="F1351" s="14">
        <v>44159</v>
      </c>
      <c r="G1351" s="13" t="s">
        <v>3</v>
      </c>
      <c r="H1351" s="13" t="s">
        <v>4</v>
      </c>
      <c r="I1351" s="15">
        <v>-12922.57</v>
      </c>
      <c r="J1351" s="13" t="s">
        <v>5</v>
      </c>
      <c r="K1351" s="13" t="s">
        <v>6</v>
      </c>
      <c r="L1351" s="15">
        <v>-1084849.76</v>
      </c>
      <c r="M1351" s="15">
        <v>-12922.57</v>
      </c>
      <c r="N1351" s="16" t="str">
        <f>IF(M1351="","",IF(M1351&lt;0,-M1351&amp;"_"&amp;COUNTIF(M$2:M1351,M1351),M1351&amp;"_"&amp;COUNTIF(M$2:M1351,M1351)))</f>
        <v>12922.57_1</v>
      </c>
      <c r="O1351" s="17" t="str">
        <f t="shared" si="21"/>
        <v/>
      </c>
      <c r="P1351" s="13" t="s">
        <v>1356</v>
      </c>
      <c r="Q1351" s="13" t="s">
        <v>1338</v>
      </c>
      <c r="R1351" s="13" t="s">
        <v>0</v>
      </c>
      <c r="S1351" s="13" t="s">
        <v>0</v>
      </c>
      <c r="T1351" s="13" t="s">
        <v>9</v>
      </c>
      <c r="U1351" s="13" t="s">
        <v>0</v>
      </c>
      <c r="V1351" s="13" t="s">
        <v>0</v>
      </c>
      <c r="W1351" s="13" t="s">
        <v>0</v>
      </c>
      <c r="X1351" s="13" t="s">
        <v>0</v>
      </c>
      <c r="Y1351" s="13" t="s">
        <v>10</v>
      </c>
      <c r="Z1351" s="13" t="s">
        <v>0</v>
      </c>
      <c r="AA1351" s="14"/>
      <c r="AB1351" s="13" t="s">
        <v>0</v>
      </c>
      <c r="AC1351" s="13" t="s">
        <v>0</v>
      </c>
      <c r="AD1351" s="13" t="s">
        <v>0</v>
      </c>
      <c r="AE1351" s="15">
        <v>0</v>
      </c>
    </row>
    <row r="1352" spans="1:31" ht="14.15" customHeight="1" x14ac:dyDescent="0.25">
      <c r="A1352" s="12" t="s">
        <v>0</v>
      </c>
      <c r="B1352" s="13" t="s">
        <v>1</v>
      </c>
      <c r="C1352" s="13" t="s">
        <v>200</v>
      </c>
      <c r="D1352" s="14">
        <v>44034</v>
      </c>
      <c r="E1352" s="14">
        <v>44034</v>
      </c>
      <c r="F1352" s="14">
        <v>44049</v>
      </c>
      <c r="G1352" s="13" t="s">
        <v>3</v>
      </c>
      <c r="H1352" s="13" t="s">
        <v>4</v>
      </c>
      <c r="I1352" s="15">
        <v>-12916.61</v>
      </c>
      <c r="J1352" s="13" t="s">
        <v>5</v>
      </c>
      <c r="K1352" s="13" t="s">
        <v>6</v>
      </c>
      <c r="L1352" s="15">
        <v>-1084349.4099999999</v>
      </c>
      <c r="M1352" s="15">
        <v>-12916.61</v>
      </c>
      <c r="N1352" s="16" t="str">
        <f>IF(M1352="","",IF(M1352&lt;0,-M1352&amp;"_"&amp;COUNTIF(M$2:M1352,M1352),M1352&amp;"_"&amp;COUNTIF(M$2:M1352,M1352)))</f>
        <v>12916.61_1</v>
      </c>
      <c r="O1352" s="17" t="str">
        <f t="shared" si="21"/>
        <v/>
      </c>
      <c r="P1352" s="13" t="s">
        <v>201</v>
      </c>
      <c r="Q1352" s="13" t="s">
        <v>175</v>
      </c>
      <c r="R1352" s="13" t="s">
        <v>0</v>
      </c>
      <c r="S1352" s="13" t="s">
        <v>0</v>
      </c>
      <c r="T1352" s="13" t="s">
        <v>9</v>
      </c>
      <c r="U1352" s="13" t="s">
        <v>0</v>
      </c>
      <c r="V1352" s="13" t="s">
        <v>0</v>
      </c>
      <c r="W1352" s="13" t="s">
        <v>0</v>
      </c>
      <c r="X1352" s="13" t="s">
        <v>0</v>
      </c>
      <c r="Y1352" s="13" t="s">
        <v>10</v>
      </c>
      <c r="Z1352" s="13" t="s">
        <v>0</v>
      </c>
      <c r="AA1352" s="14"/>
      <c r="AB1352" s="13" t="s">
        <v>0</v>
      </c>
      <c r="AC1352" s="13" t="s">
        <v>0</v>
      </c>
      <c r="AD1352" s="13" t="s">
        <v>0</v>
      </c>
      <c r="AE1352" s="15">
        <v>0</v>
      </c>
    </row>
    <row r="1353" spans="1:31" ht="14.15" customHeight="1" x14ac:dyDescent="0.25">
      <c r="A1353" s="12" t="s">
        <v>0</v>
      </c>
      <c r="B1353" s="13" t="s">
        <v>1</v>
      </c>
      <c r="C1353" s="13" t="s">
        <v>4199</v>
      </c>
      <c r="D1353" s="14">
        <v>44364</v>
      </c>
      <c r="E1353" s="14">
        <v>44364</v>
      </c>
      <c r="F1353" s="14">
        <v>44371</v>
      </c>
      <c r="G1353" s="13" t="s">
        <v>3</v>
      </c>
      <c r="H1353" s="13" t="s">
        <v>4</v>
      </c>
      <c r="I1353" s="15">
        <v>-12916.57</v>
      </c>
      <c r="J1353" s="13" t="s">
        <v>5</v>
      </c>
      <c r="K1353" s="13" t="s">
        <v>6</v>
      </c>
      <c r="L1353" s="15">
        <v>-1084346.05</v>
      </c>
      <c r="M1353" s="15">
        <v>-12916.57</v>
      </c>
      <c r="N1353" s="16" t="str">
        <f>IF(M1353="","",IF(M1353&lt;0,-M1353&amp;"_"&amp;COUNTIF(M$2:M1353,M1353),M1353&amp;"_"&amp;COUNTIF(M$2:M1353,M1353)))</f>
        <v>12916.57_1</v>
      </c>
      <c r="O1353" s="17" t="str">
        <f t="shared" si="21"/>
        <v/>
      </c>
      <c r="P1353" s="13" t="s">
        <v>4200</v>
      </c>
      <c r="Q1353" s="13" t="s">
        <v>4180</v>
      </c>
      <c r="R1353" s="13" t="s">
        <v>0</v>
      </c>
      <c r="S1353" s="13" t="s">
        <v>0</v>
      </c>
      <c r="T1353" s="13" t="s">
        <v>9</v>
      </c>
      <c r="U1353" s="13" t="s">
        <v>0</v>
      </c>
      <c r="V1353" s="13" t="s">
        <v>0</v>
      </c>
      <c r="W1353" s="13" t="s">
        <v>0</v>
      </c>
      <c r="X1353" s="13" t="s">
        <v>0</v>
      </c>
      <c r="Y1353" s="13" t="s">
        <v>10</v>
      </c>
      <c r="Z1353" s="13" t="s">
        <v>0</v>
      </c>
      <c r="AA1353" s="14"/>
      <c r="AB1353" s="13" t="s">
        <v>0</v>
      </c>
      <c r="AC1353" s="13" t="s">
        <v>0</v>
      </c>
      <c r="AD1353" s="13" t="s">
        <v>0</v>
      </c>
      <c r="AE1353" s="15">
        <v>0</v>
      </c>
    </row>
    <row r="1354" spans="1:31" ht="14.15" customHeight="1" x14ac:dyDescent="0.25">
      <c r="A1354" s="12" t="s">
        <v>0</v>
      </c>
      <c r="B1354" s="13" t="s">
        <v>1</v>
      </c>
      <c r="C1354" s="13" t="s">
        <v>3575</v>
      </c>
      <c r="D1354" s="14">
        <v>44325</v>
      </c>
      <c r="E1354" s="14">
        <v>44325</v>
      </c>
      <c r="F1354" s="14">
        <v>44333</v>
      </c>
      <c r="G1354" s="13" t="s">
        <v>3</v>
      </c>
      <c r="H1354" s="13" t="s">
        <v>4</v>
      </c>
      <c r="I1354" s="15">
        <v>-12911.22</v>
      </c>
      <c r="J1354" s="13" t="s">
        <v>5</v>
      </c>
      <c r="K1354" s="13" t="s">
        <v>6</v>
      </c>
      <c r="L1354" s="15">
        <v>-1083896.92</v>
      </c>
      <c r="M1354" s="15">
        <v>-12911.22</v>
      </c>
      <c r="N1354" s="16" t="str">
        <f>IF(M1354="","",IF(M1354&lt;0,-M1354&amp;"_"&amp;COUNTIF(M$2:M1354,M1354),M1354&amp;"_"&amp;COUNTIF(M$2:M1354,M1354)))</f>
        <v>12911.22_1</v>
      </c>
      <c r="O1354" s="17" t="str">
        <f t="shared" si="21"/>
        <v/>
      </c>
      <c r="P1354" s="13" t="s">
        <v>3576</v>
      </c>
      <c r="Q1354" s="13" t="s">
        <v>3557</v>
      </c>
      <c r="R1354" s="13" t="s">
        <v>0</v>
      </c>
      <c r="S1354" s="13" t="s">
        <v>0</v>
      </c>
      <c r="T1354" s="13" t="s">
        <v>9</v>
      </c>
      <c r="U1354" s="13" t="s">
        <v>0</v>
      </c>
      <c r="V1354" s="13" t="s">
        <v>0</v>
      </c>
      <c r="W1354" s="13" t="s">
        <v>0</v>
      </c>
      <c r="X1354" s="13" t="s">
        <v>0</v>
      </c>
      <c r="Y1354" s="13" t="s">
        <v>10</v>
      </c>
      <c r="Z1354" s="13" t="s">
        <v>0</v>
      </c>
      <c r="AA1354" s="14"/>
      <c r="AB1354" s="13" t="s">
        <v>0</v>
      </c>
      <c r="AC1354" s="13" t="s">
        <v>0</v>
      </c>
      <c r="AD1354" s="13" t="s">
        <v>0</v>
      </c>
      <c r="AE1354" s="15">
        <v>0</v>
      </c>
    </row>
    <row r="1355" spans="1:31" ht="14.15" customHeight="1" x14ac:dyDescent="0.25">
      <c r="A1355" s="12" t="s">
        <v>0</v>
      </c>
      <c r="B1355" s="13" t="s">
        <v>1</v>
      </c>
      <c r="C1355" s="13" t="s">
        <v>2251</v>
      </c>
      <c r="D1355" s="14">
        <v>44215</v>
      </c>
      <c r="E1355" s="14">
        <v>44215</v>
      </c>
      <c r="F1355" s="14">
        <v>44222</v>
      </c>
      <c r="G1355" s="13" t="s">
        <v>3</v>
      </c>
      <c r="H1355" s="13" t="s">
        <v>4</v>
      </c>
      <c r="I1355" s="15">
        <v>-12905.59</v>
      </c>
      <c r="J1355" s="13" t="s">
        <v>5</v>
      </c>
      <c r="K1355" s="13" t="s">
        <v>6</v>
      </c>
      <c r="L1355" s="15">
        <v>-1083424.28</v>
      </c>
      <c r="M1355" s="15">
        <v>-12905.59</v>
      </c>
      <c r="N1355" s="16" t="str">
        <f>IF(M1355="","",IF(M1355&lt;0,-M1355&amp;"_"&amp;COUNTIF(M$2:M1355,M1355),M1355&amp;"_"&amp;COUNTIF(M$2:M1355,M1355)))</f>
        <v>12905.59_1</v>
      </c>
      <c r="O1355" s="17" t="str">
        <f t="shared" si="21"/>
        <v/>
      </c>
      <c r="P1355" s="13" t="s">
        <v>2252</v>
      </c>
      <c r="Q1355" s="13" t="s">
        <v>2250</v>
      </c>
      <c r="R1355" s="13" t="s">
        <v>0</v>
      </c>
      <c r="S1355" s="13" t="s">
        <v>0</v>
      </c>
      <c r="T1355" s="13" t="s">
        <v>9</v>
      </c>
      <c r="U1355" s="13" t="s">
        <v>0</v>
      </c>
      <c r="V1355" s="13" t="s">
        <v>0</v>
      </c>
      <c r="W1355" s="13" t="s">
        <v>0</v>
      </c>
      <c r="X1355" s="13" t="s">
        <v>0</v>
      </c>
      <c r="Y1355" s="13" t="s">
        <v>10</v>
      </c>
      <c r="Z1355" s="13" t="s">
        <v>0</v>
      </c>
      <c r="AA1355" s="14"/>
      <c r="AB1355" s="13" t="s">
        <v>0</v>
      </c>
      <c r="AC1355" s="13" t="s">
        <v>0</v>
      </c>
      <c r="AD1355" s="13" t="s">
        <v>0</v>
      </c>
      <c r="AE1355" s="15">
        <v>0</v>
      </c>
    </row>
    <row r="1356" spans="1:31" ht="14.15" customHeight="1" x14ac:dyDescent="0.25">
      <c r="A1356" s="12" t="s">
        <v>0</v>
      </c>
      <c r="B1356" s="13" t="s">
        <v>1</v>
      </c>
      <c r="C1356" s="13" t="s">
        <v>2585</v>
      </c>
      <c r="D1356" s="14">
        <v>44243</v>
      </c>
      <c r="E1356" s="14">
        <v>44243</v>
      </c>
      <c r="F1356" s="14">
        <v>44249</v>
      </c>
      <c r="G1356" s="13" t="s">
        <v>3</v>
      </c>
      <c r="H1356" s="13" t="s">
        <v>4</v>
      </c>
      <c r="I1356" s="15">
        <v>-12890.41</v>
      </c>
      <c r="J1356" s="13" t="s">
        <v>5</v>
      </c>
      <c r="K1356" s="13" t="s">
        <v>6</v>
      </c>
      <c r="L1356" s="15">
        <v>-1082149.92</v>
      </c>
      <c r="M1356" s="15">
        <v>-12890.41</v>
      </c>
      <c r="N1356" s="16" t="str">
        <f>IF(M1356="","",IF(M1356&lt;0,-M1356&amp;"_"&amp;COUNTIF(M$2:M1356,M1356),M1356&amp;"_"&amp;COUNTIF(M$2:M1356,M1356)))</f>
        <v>12890.41_1</v>
      </c>
      <c r="O1356" s="17" t="str">
        <f t="shared" si="21"/>
        <v/>
      </c>
      <c r="P1356" s="13" t="s">
        <v>2586</v>
      </c>
      <c r="Q1356" s="13" t="s">
        <v>2574</v>
      </c>
      <c r="R1356" s="13" t="s">
        <v>0</v>
      </c>
      <c r="S1356" s="13" t="s">
        <v>0</v>
      </c>
      <c r="T1356" s="13" t="s">
        <v>9</v>
      </c>
      <c r="U1356" s="13" t="s">
        <v>0</v>
      </c>
      <c r="V1356" s="13" t="s">
        <v>0</v>
      </c>
      <c r="W1356" s="13" t="s">
        <v>0</v>
      </c>
      <c r="X1356" s="13" t="s">
        <v>0</v>
      </c>
      <c r="Y1356" s="13" t="s">
        <v>10</v>
      </c>
      <c r="Z1356" s="13" t="s">
        <v>0</v>
      </c>
      <c r="AA1356" s="14"/>
      <c r="AB1356" s="13" t="s">
        <v>0</v>
      </c>
      <c r="AC1356" s="13" t="s">
        <v>0</v>
      </c>
      <c r="AD1356" s="13" t="s">
        <v>0</v>
      </c>
      <c r="AE1356" s="15">
        <v>0</v>
      </c>
    </row>
    <row r="1357" spans="1:31" ht="14.15" customHeight="1" x14ac:dyDescent="0.25">
      <c r="A1357" s="12" t="s">
        <v>0</v>
      </c>
      <c r="B1357" s="13" t="s">
        <v>1</v>
      </c>
      <c r="C1357" s="13" t="s">
        <v>1842</v>
      </c>
      <c r="D1357" s="14">
        <v>44184</v>
      </c>
      <c r="E1357" s="14">
        <v>44184</v>
      </c>
      <c r="F1357" s="14">
        <v>44202</v>
      </c>
      <c r="G1357" s="13" t="s">
        <v>3</v>
      </c>
      <c r="H1357" s="13" t="s">
        <v>4</v>
      </c>
      <c r="I1357" s="15">
        <v>-12888.96</v>
      </c>
      <c r="J1357" s="13" t="s">
        <v>5</v>
      </c>
      <c r="K1357" s="13" t="s">
        <v>6</v>
      </c>
      <c r="L1357" s="15">
        <v>-1082028.2</v>
      </c>
      <c r="M1357" s="15">
        <v>-12888.96</v>
      </c>
      <c r="N1357" s="16" t="str">
        <f>IF(M1357="","",IF(M1357&lt;0,-M1357&amp;"_"&amp;COUNTIF(M$2:M1357,M1357),M1357&amp;"_"&amp;COUNTIF(M$2:M1357,M1357)))</f>
        <v>12888.96_1</v>
      </c>
      <c r="O1357" s="17" t="str">
        <f t="shared" si="21"/>
        <v/>
      </c>
      <c r="P1357" s="13" t="s">
        <v>1843</v>
      </c>
      <c r="Q1357" s="13" t="s">
        <v>1831</v>
      </c>
      <c r="R1357" s="13" t="s">
        <v>0</v>
      </c>
      <c r="S1357" s="13" t="s">
        <v>0</v>
      </c>
      <c r="T1357" s="13" t="s">
        <v>9</v>
      </c>
      <c r="U1357" s="13" t="s">
        <v>0</v>
      </c>
      <c r="V1357" s="13" t="s">
        <v>0</v>
      </c>
      <c r="W1357" s="13" t="s">
        <v>0</v>
      </c>
      <c r="X1357" s="13" t="s">
        <v>0</v>
      </c>
      <c r="Y1357" s="13" t="s">
        <v>10</v>
      </c>
      <c r="Z1357" s="13" t="s">
        <v>0</v>
      </c>
      <c r="AA1357" s="14"/>
      <c r="AB1357" s="13" t="s">
        <v>0</v>
      </c>
      <c r="AC1357" s="13" t="s">
        <v>0</v>
      </c>
      <c r="AD1357" s="13" t="s">
        <v>0</v>
      </c>
      <c r="AE1357" s="15">
        <v>0</v>
      </c>
    </row>
    <row r="1358" spans="1:31" ht="14.15" customHeight="1" x14ac:dyDescent="0.25">
      <c r="A1358" s="12" t="s">
        <v>0</v>
      </c>
      <c r="B1358" s="13" t="s">
        <v>1</v>
      </c>
      <c r="C1358" s="13" t="s">
        <v>1252</v>
      </c>
      <c r="D1358" s="14">
        <v>44143</v>
      </c>
      <c r="E1358" s="14">
        <v>44143</v>
      </c>
      <c r="F1358" s="14">
        <v>44149</v>
      </c>
      <c r="G1358" s="13" t="s">
        <v>3</v>
      </c>
      <c r="H1358" s="13" t="s">
        <v>4</v>
      </c>
      <c r="I1358" s="15">
        <v>-12884.33</v>
      </c>
      <c r="J1358" s="13" t="s">
        <v>5</v>
      </c>
      <c r="K1358" s="13" t="s">
        <v>6</v>
      </c>
      <c r="L1358" s="15">
        <v>-1081639.5</v>
      </c>
      <c r="M1358" s="15">
        <v>-12884.33</v>
      </c>
      <c r="N1358" s="16" t="str">
        <f>IF(M1358="","",IF(M1358&lt;0,-M1358&amp;"_"&amp;COUNTIF(M$2:M1358,M1358),M1358&amp;"_"&amp;COUNTIF(M$2:M1358,M1358)))</f>
        <v>12884.33_1</v>
      </c>
      <c r="O1358" s="17" t="str">
        <f t="shared" si="21"/>
        <v/>
      </c>
      <c r="P1358" s="13" t="s">
        <v>1253</v>
      </c>
      <c r="Q1358" s="13" t="s">
        <v>1245</v>
      </c>
      <c r="R1358" s="13" t="s">
        <v>0</v>
      </c>
      <c r="S1358" s="13" t="s">
        <v>0</v>
      </c>
      <c r="T1358" s="13" t="s">
        <v>9</v>
      </c>
      <c r="U1358" s="13" t="s">
        <v>0</v>
      </c>
      <c r="V1358" s="13" t="s">
        <v>0</v>
      </c>
      <c r="W1358" s="13" t="s">
        <v>0</v>
      </c>
      <c r="X1358" s="13" t="s">
        <v>0</v>
      </c>
      <c r="Y1358" s="13" t="s">
        <v>10</v>
      </c>
      <c r="Z1358" s="13" t="s">
        <v>0</v>
      </c>
      <c r="AA1358" s="14"/>
      <c r="AB1358" s="13" t="s">
        <v>0</v>
      </c>
      <c r="AC1358" s="13" t="s">
        <v>0</v>
      </c>
      <c r="AD1358" s="13" t="s">
        <v>0</v>
      </c>
      <c r="AE1358" s="15">
        <v>0</v>
      </c>
    </row>
    <row r="1359" spans="1:31" ht="14.15" customHeight="1" x14ac:dyDescent="0.25">
      <c r="A1359" s="12" t="s">
        <v>0</v>
      </c>
      <c r="B1359" s="13" t="s">
        <v>1</v>
      </c>
      <c r="C1359" s="13" t="s">
        <v>956</v>
      </c>
      <c r="D1359" s="14">
        <v>44123</v>
      </c>
      <c r="E1359" s="14">
        <v>44123</v>
      </c>
      <c r="F1359" s="14">
        <v>44126</v>
      </c>
      <c r="G1359" s="13" t="s">
        <v>3</v>
      </c>
      <c r="H1359" s="13" t="s">
        <v>4</v>
      </c>
      <c r="I1359" s="15">
        <v>-12875.58</v>
      </c>
      <c r="J1359" s="13" t="s">
        <v>5</v>
      </c>
      <c r="K1359" s="13" t="s">
        <v>6</v>
      </c>
      <c r="L1359" s="15">
        <v>-1080904.94</v>
      </c>
      <c r="M1359" s="15">
        <v>-12875.58</v>
      </c>
      <c r="N1359" s="16" t="str">
        <f>IF(M1359="","",IF(M1359&lt;0,-M1359&amp;"_"&amp;COUNTIF(M$2:M1359,M1359),M1359&amp;"_"&amp;COUNTIF(M$2:M1359,M1359)))</f>
        <v>12875.58_1</v>
      </c>
      <c r="O1359" s="17" t="str">
        <f t="shared" si="21"/>
        <v/>
      </c>
      <c r="P1359" s="13" t="s">
        <v>957</v>
      </c>
      <c r="Q1359" s="13" t="s">
        <v>958</v>
      </c>
      <c r="R1359" s="13" t="s">
        <v>0</v>
      </c>
      <c r="S1359" s="13" t="s">
        <v>0</v>
      </c>
      <c r="T1359" s="13" t="s">
        <v>9</v>
      </c>
      <c r="U1359" s="13" t="s">
        <v>0</v>
      </c>
      <c r="V1359" s="13" t="s">
        <v>0</v>
      </c>
      <c r="W1359" s="13" t="s">
        <v>0</v>
      </c>
      <c r="X1359" s="13" t="s">
        <v>0</v>
      </c>
      <c r="Y1359" s="13" t="s">
        <v>10</v>
      </c>
      <c r="Z1359" s="13" t="s">
        <v>0</v>
      </c>
      <c r="AA1359" s="14"/>
      <c r="AB1359" s="13" t="s">
        <v>0</v>
      </c>
      <c r="AC1359" s="13" t="s">
        <v>0</v>
      </c>
      <c r="AD1359" s="13" t="s">
        <v>0</v>
      </c>
      <c r="AE1359" s="15">
        <v>0</v>
      </c>
    </row>
    <row r="1360" spans="1:31" ht="14.15" customHeight="1" x14ac:dyDescent="0.25">
      <c r="A1360" s="12" t="s">
        <v>0</v>
      </c>
      <c r="B1360" s="13" t="s">
        <v>1</v>
      </c>
      <c r="C1360" s="13" t="s">
        <v>1606</v>
      </c>
      <c r="D1360" s="14">
        <v>44168</v>
      </c>
      <c r="E1360" s="14">
        <v>44168</v>
      </c>
      <c r="F1360" s="14">
        <v>44174</v>
      </c>
      <c r="G1360" s="13" t="s">
        <v>3</v>
      </c>
      <c r="H1360" s="13" t="s">
        <v>4</v>
      </c>
      <c r="I1360" s="15">
        <v>-12853.76</v>
      </c>
      <c r="J1360" s="13" t="s">
        <v>5</v>
      </c>
      <c r="K1360" s="13" t="s">
        <v>6</v>
      </c>
      <c r="L1360" s="15">
        <v>-1079073.1499999999</v>
      </c>
      <c r="M1360" s="15">
        <v>-12853.76</v>
      </c>
      <c r="N1360" s="16" t="str">
        <f>IF(M1360="","",IF(M1360&lt;0,-M1360&amp;"_"&amp;COUNTIF(M$2:M1360,M1360),M1360&amp;"_"&amp;COUNTIF(M$2:M1360,M1360)))</f>
        <v>12853.76_1</v>
      </c>
      <c r="O1360" s="17" t="str">
        <f t="shared" si="21"/>
        <v/>
      </c>
      <c r="P1360" s="13" t="s">
        <v>1607</v>
      </c>
      <c r="Q1360" s="13" t="s">
        <v>1605</v>
      </c>
      <c r="R1360" s="13" t="s">
        <v>0</v>
      </c>
      <c r="S1360" s="13" t="s">
        <v>0</v>
      </c>
      <c r="T1360" s="13" t="s">
        <v>9</v>
      </c>
      <c r="U1360" s="13" t="s">
        <v>0</v>
      </c>
      <c r="V1360" s="13" t="s">
        <v>0</v>
      </c>
      <c r="W1360" s="13" t="s">
        <v>0</v>
      </c>
      <c r="X1360" s="13" t="s">
        <v>0</v>
      </c>
      <c r="Y1360" s="13" t="s">
        <v>10</v>
      </c>
      <c r="Z1360" s="13" t="s">
        <v>0</v>
      </c>
      <c r="AA1360" s="14"/>
      <c r="AB1360" s="13" t="s">
        <v>0</v>
      </c>
      <c r="AC1360" s="13" t="s">
        <v>0</v>
      </c>
      <c r="AD1360" s="13" t="s">
        <v>0</v>
      </c>
      <c r="AE1360" s="15">
        <v>0</v>
      </c>
    </row>
    <row r="1361" spans="1:31" ht="14.15" customHeight="1" x14ac:dyDescent="0.25">
      <c r="A1361" s="12" t="s">
        <v>0</v>
      </c>
      <c r="B1361" s="13" t="s">
        <v>1</v>
      </c>
      <c r="C1361" s="13" t="s">
        <v>3232</v>
      </c>
      <c r="D1361" s="14">
        <v>44306</v>
      </c>
      <c r="E1361" s="14">
        <v>44306</v>
      </c>
      <c r="F1361" s="14">
        <v>44311</v>
      </c>
      <c r="G1361" s="13" t="s">
        <v>3</v>
      </c>
      <c r="H1361" s="13" t="s">
        <v>4</v>
      </c>
      <c r="I1361" s="15">
        <v>-12833.64</v>
      </c>
      <c r="J1361" s="13" t="s">
        <v>5</v>
      </c>
      <c r="K1361" s="13" t="s">
        <v>6</v>
      </c>
      <c r="L1361" s="15">
        <v>-1077384.07</v>
      </c>
      <c r="M1361" s="15">
        <v>-12833.64</v>
      </c>
      <c r="N1361" s="16" t="str">
        <f>IF(M1361="","",IF(M1361&lt;0,-M1361&amp;"_"&amp;COUNTIF(M$2:M1361,M1361),M1361&amp;"_"&amp;COUNTIF(M$2:M1361,M1361)))</f>
        <v>12833.64_1</v>
      </c>
      <c r="O1361" s="17" t="str">
        <f t="shared" si="21"/>
        <v/>
      </c>
      <c r="P1361" s="13" t="s">
        <v>3233</v>
      </c>
      <c r="Q1361" s="13" t="s">
        <v>3229</v>
      </c>
      <c r="R1361" s="13" t="s">
        <v>0</v>
      </c>
      <c r="S1361" s="13" t="s">
        <v>0</v>
      </c>
      <c r="T1361" s="13" t="s">
        <v>9</v>
      </c>
      <c r="U1361" s="13" t="s">
        <v>0</v>
      </c>
      <c r="V1361" s="13" t="s">
        <v>0</v>
      </c>
      <c r="W1361" s="13" t="s">
        <v>0</v>
      </c>
      <c r="X1361" s="13" t="s">
        <v>0</v>
      </c>
      <c r="Y1361" s="13" t="s">
        <v>10</v>
      </c>
      <c r="Z1361" s="13" t="s">
        <v>0</v>
      </c>
      <c r="AA1361" s="14"/>
      <c r="AB1361" s="13" t="s">
        <v>0</v>
      </c>
      <c r="AC1361" s="13" t="s">
        <v>0</v>
      </c>
      <c r="AD1361" s="13" t="s">
        <v>0</v>
      </c>
      <c r="AE1361" s="15">
        <v>0</v>
      </c>
    </row>
    <row r="1362" spans="1:31" ht="14.15" customHeight="1" x14ac:dyDescent="0.25">
      <c r="A1362" s="12" t="s">
        <v>0</v>
      </c>
      <c r="B1362" s="13" t="s">
        <v>1</v>
      </c>
      <c r="C1362" s="13" t="s">
        <v>186</v>
      </c>
      <c r="D1362" s="14">
        <v>44034</v>
      </c>
      <c r="E1362" s="14">
        <v>44034</v>
      </c>
      <c r="F1362" s="14">
        <v>44040</v>
      </c>
      <c r="G1362" s="13" t="s">
        <v>3</v>
      </c>
      <c r="H1362" s="13" t="s">
        <v>4</v>
      </c>
      <c r="I1362" s="15">
        <v>-12821.46</v>
      </c>
      <c r="J1362" s="13" t="s">
        <v>5</v>
      </c>
      <c r="K1362" s="13" t="s">
        <v>6</v>
      </c>
      <c r="L1362" s="15">
        <v>-1076361.57</v>
      </c>
      <c r="M1362" s="15">
        <v>-12821.46</v>
      </c>
      <c r="N1362" s="16" t="str">
        <f>IF(M1362="","",IF(M1362&lt;0,-M1362&amp;"_"&amp;COUNTIF(M$2:M1362,M1362),M1362&amp;"_"&amp;COUNTIF(M$2:M1362,M1362)))</f>
        <v>12821.46_1</v>
      </c>
      <c r="O1362" s="17" t="str">
        <f t="shared" si="21"/>
        <v/>
      </c>
      <c r="P1362" s="13" t="s">
        <v>187</v>
      </c>
      <c r="Q1362" s="13" t="s">
        <v>175</v>
      </c>
      <c r="R1362" s="13" t="s">
        <v>0</v>
      </c>
      <c r="S1362" s="13" t="s">
        <v>0</v>
      </c>
      <c r="T1362" s="13" t="s">
        <v>9</v>
      </c>
      <c r="U1362" s="13" t="s">
        <v>0</v>
      </c>
      <c r="V1362" s="13" t="s">
        <v>0</v>
      </c>
      <c r="W1362" s="13" t="s">
        <v>0</v>
      </c>
      <c r="X1362" s="13" t="s">
        <v>0</v>
      </c>
      <c r="Y1362" s="13" t="s">
        <v>10</v>
      </c>
      <c r="Z1362" s="13" t="s">
        <v>0</v>
      </c>
      <c r="AA1362" s="14"/>
      <c r="AB1362" s="13" t="s">
        <v>0</v>
      </c>
      <c r="AC1362" s="13" t="s">
        <v>0</v>
      </c>
      <c r="AD1362" s="13" t="s">
        <v>0</v>
      </c>
      <c r="AE1362" s="15">
        <v>0</v>
      </c>
    </row>
    <row r="1363" spans="1:31" ht="14.15" customHeight="1" x14ac:dyDescent="0.25">
      <c r="A1363" s="12" t="s">
        <v>0</v>
      </c>
      <c r="B1363" s="13" t="s">
        <v>1</v>
      </c>
      <c r="C1363" s="13" t="s">
        <v>3545</v>
      </c>
      <c r="D1363" s="14">
        <v>44324</v>
      </c>
      <c r="E1363" s="14">
        <v>44324</v>
      </c>
      <c r="F1363" s="14">
        <v>44340</v>
      </c>
      <c r="G1363" s="13" t="s">
        <v>3</v>
      </c>
      <c r="H1363" s="13" t="s">
        <v>4</v>
      </c>
      <c r="I1363" s="15">
        <v>-12817.66</v>
      </c>
      <c r="J1363" s="13" t="s">
        <v>5</v>
      </c>
      <c r="K1363" s="13" t="s">
        <v>6</v>
      </c>
      <c r="L1363" s="15">
        <v>-1076042.56</v>
      </c>
      <c r="M1363" s="15">
        <v>-12817.66</v>
      </c>
      <c r="N1363" s="16" t="str">
        <f>IF(M1363="","",IF(M1363&lt;0,-M1363&amp;"_"&amp;COUNTIF(M$2:M1363,M1363),M1363&amp;"_"&amp;COUNTIF(M$2:M1363,M1363)))</f>
        <v>12817.66_1</v>
      </c>
      <c r="O1363" s="17" t="str">
        <f t="shared" si="21"/>
        <v/>
      </c>
      <c r="P1363" s="13" t="s">
        <v>3546</v>
      </c>
      <c r="Q1363" s="13" t="s">
        <v>3512</v>
      </c>
      <c r="R1363" s="13" t="s">
        <v>0</v>
      </c>
      <c r="S1363" s="13" t="s">
        <v>0</v>
      </c>
      <c r="T1363" s="13" t="s">
        <v>9</v>
      </c>
      <c r="U1363" s="13" t="s">
        <v>0</v>
      </c>
      <c r="V1363" s="13" t="s">
        <v>0</v>
      </c>
      <c r="W1363" s="13" t="s">
        <v>0</v>
      </c>
      <c r="X1363" s="13" t="s">
        <v>0</v>
      </c>
      <c r="Y1363" s="13" t="s">
        <v>10</v>
      </c>
      <c r="Z1363" s="13" t="s">
        <v>0</v>
      </c>
      <c r="AA1363" s="14"/>
      <c r="AB1363" s="13" t="s">
        <v>0</v>
      </c>
      <c r="AC1363" s="13" t="s">
        <v>0</v>
      </c>
      <c r="AD1363" s="13" t="s">
        <v>0</v>
      </c>
      <c r="AE1363" s="15">
        <v>0</v>
      </c>
    </row>
    <row r="1364" spans="1:31" ht="14.15" customHeight="1" x14ac:dyDescent="0.25">
      <c r="A1364" s="12" t="s">
        <v>0</v>
      </c>
      <c r="B1364" s="13" t="s">
        <v>1</v>
      </c>
      <c r="C1364" s="13" t="s">
        <v>1884</v>
      </c>
      <c r="D1364" s="14">
        <v>44189</v>
      </c>
      <c r="E1364" s="14">
        <v>44189</v>
      </c>
      <c r="F1364" s="14">
        <v>44194</v>
      </c>
      <c r="G1364" s="13" t="s">
        <v>3</v>
      </c>
      <c r="H1364" s="13" t="s">
        <v>4</v>
      </c>
      <c r="I1364" s="15">
        <v>-12816.34</v>
      </c>
      <c r="J1364" s="13" t="s">
        <v>5</v>
      </c>
      <c r="K1364" s="13" t="s">
        <v>6</v>
      </c>
      <c r="L1364" s="15">
        <v>-1075931.74</v>
      </c>
      <c r="M1364" s="15">
        <v>-12816.34</v>
      </c>
      <c r="N1364" s="16" t="str">
        <f>IF(M1364="","",IF(M1364&lt;0,-M1364&amp;"_"&amp;COUNTIF(M$2:M1364,M1364),M1364&amp;"_"&amp;COUNTIF(M$2:M1364,M1364)))</f>
        <v>12816.34_1</v>
      </c>
      <c r="O1364" s="17" t="str">
        <f t="shared" si="21"/>
        <v/>
      </c>
      <c r="P1364" s="13" t="s">
        <v>1885</v>
      </c>
      <c r="Q1364" s="13" t="s">
        <v>1886</v>
      </c>
      <c r="R1364" s="13" t="s">
        <v>0</v>
      </c>
      <c r="S1364" s="13" t="s">
        <v>0</v>
      </c>
      <c r="T1364" s="13" t="s">
        <v>9</v>
      </c>
      <c r="U1364" s="13" t="s">
        <v>0</v>
      </c>
      <c r="V1364" s="13" t="s">
        <v>0</v>
      </c>
      <c r="W1364" s="13" t="s">
        <v>0</v>
      </c>
      <c r="X1364" s="13" t="s">
        <v>0</v>
      </c>
      <c r="Y1364" s="13" t="s">
        <v>10</v>
      </c>
      <c r="Z1364" s="13" t="s">
        <v>0</v>
      </c>
      <c r="AA1364" s="14"/>
      <c r="AB1364" s="13" t="s">
        <v>0</v>
      </c>
      <c r="AC1364" s="13" t="s">
        <v>0</v>
      </c>
      <c r="AD1364" s="13" t="s">
        <v>0</v>
      </c>
      <c r="AE1364" s="15">
        <v>0</v>
      </c>
    </row>
    <row r="1365" spans="1:31" ht="14.15" customHeight="1" x14ac:dyDescent="0.25">
      <c r="A1365" s="12" t="s">
        <v>0</v>
      </c>
      <c r="B1365" s="13" t="s">
        <v>1</v>
      </c>
      <c r="C1365" s="13" t="s">
        <v>722</v>
      </c>
      <c r="D1365" s="14">
        <v>44094</v>
      </c>
      <c r="E1365" s="14">
        <v>44094</v>
      </c>
      <c r="F1365" s="14">
        <v>44098</v>
      </c>
      <c r="G1365" s="13" t="s">
        <v>3</v>
      </c>
      <c r="H1365" s="13" t="s">
        <v>4</v>
      </c>
      <c r="I1365" s="15">
        <v>-12810.87</v>
      </c>
      <c r="J1365" s="13" t="s">
        <v>5</v>
      </c>
      <c r="K1365" s="13" t="s">
        <v>6</v>
      </c>
      <c r="L1365" s="15">
        <v>-1075472.54</v>
      </c>
      <c r="M1365" s="15">
        <v>-12810.87</v>
      </c>
      <c r="N1365" s="16" t="str">
        <f>IF(M1365="","",IF(M1365&lt;0,-M1365&amp;"_"&amp;COUNTIF(M$2:M1365,M1365),M1365&amp;"_"&amp;COUNTIF(M$2:M1365,M1365)))</f>
        <v>12810.87_1</v>
      </c>
      <c r="O1365" s="17" t="str">
        <f t="shared" si="21"/>
        <v/>
      </c>
      <c r="P1365" s="13" t="s">
        <v>723</v>
      </c>
      <c r="Q1365" s="13" t="s">
        <v>719</v>
      </c>
      <c r="R1365" s="13" t="s">
        <v>0</v>
      </c>
      <c r="S1365" s="13" t="s">
        <v>0</v>
      </c>
      <c r="T1365" s="13" t="s">
        <v>9</v>
      </c>
      <c r="U1365" s="13" t="s">
        <v>0</v>
      </c>
      <c r="V1365" s="13" t="s">
        <v>0</v>
      </c>
      <c r="W1365" s="13" t="s">
        <v>0</v>
      </c>
      <c r="X1365" s="13" t="s">
        <v>0</v>
      </c>
      <c r="Y1365" s="13" t="s">
        <v>10</v>
      </c>
      <c r="Z1365" s="13" t="s">
        <v>0</v>
      </c>
      <c r="AA1365" s="14"/>
      <c r="AB1365" s="13" t="s">
        <v>0</v>
      </c>
      <c r="AC1365" s="13" t="s">
        <v>0</v>
      </c>
      <c r="AD1365" s="13" t="s">
        <v>0</v>
      </c>
      <c r="AE1365" s="15">
        <v>0</v>
      </c>
    </row>
    <row r="1366" spans="1:31" ht="14.15" customHeight="1" x14ac:dyDescent="0.25">
      <c r="A1366" s="12" t="s">
        <v>0</v>
      </c>
      <c r="B1366" s="13" t="s">
        <v>1</v>
      </c>
      <c r="C1366" s="13" t="s">
        <v>2773</v>
      </c>
      <c r="D1366" s="14">
        <v>44262</v>
      </c>
      <c r="E1366" s="14">
        <v>44262</v>
      </c>
      <c r="F1366" s="14">
        <v>44266</v>
      </c>
      <c r="G1366" s="13" t="s">
        <v>3</v>
      </c>
      <c r="H1366" s="13" t="s">
        <v>4</v>
      </c>
      <c r="I1366" s="15">
        <v>-12802.61</v>
      </c>
      <c r="J1366" s="13" t="s">
        <v>5</v>
      </c>
      <c r="K1366" s="13" t="s">
        <v>6</v>
      </c>
      <c r="L1366" s="15">
        <v>-1074779.1100000001</v>
      </c>
      <c r="M1366" s="15">
        <v>-12802.61</v>
      </c>
      <c r="N1366" s="16" t="str">
        <f>IF(M1366="","",IF(M1366&lt;0,-M1366&amp;"_"&amp;COUNTIF(M$2:M1366,M1366),M1366&amp;"_"&amp;COUNTIF(M$2:M1366,M1366)))</f>
        <v>12802.61_1</v>
      </c>
      <c r="O1366" s="17" t="str">
        <f t="shared" si="21"/>
        <v/>
      </c>
      <c r="P1366" s="13" t="s">
        <v>2774</v>
      </c>
      <c r="Q1366" s="13" t="s">
        <v>2770</v>
      </c>
      <c r="R1366" s="13" t="s">
        <v>0</v>
      </c>
      <c r="S1366" s="13" t="s">
        <v>0</v>
      </c>
      <c r="T1366" s="13" t="s">
        <v>9</v>
      </c>
      <c r="U1366" s="13" t="s">
        <v>0</v>
      </c>
      <c r="V1366" s="13" t="s">
        <v>0</v>
      </c>
      <c r="W1366" s="13" t="s">
        <v>0</v>
      </c>
      <c r="X1366" s="13" t="s">
        <v>0</v>
      </c>
      <c r="Y1366" s="13" t="s">
        <v>10</v>
      </c>
      <c r="Z1366" s="13" t="s">
        <v>0</v>
      </c>
      <c r="AA1366" s="14"/>
      <c r="AB1366" s="13" t="s">
        <v>0</v>
      </c>
      <c r="AC1366" s="13" t="s">
        <v>0</v>
      </c>
      <c r="AD1366" s="13" t="s">
        <v>0</v>
      </c>
      <c r="AE1366" s="15">
        <v>0</v>
      </c>
    </row>
    <row r="1367" spans="1:31" ht="14.15" customHeight="1" x14ac:dyDescent="0.25">
      <c r="A1367" s="12" t="s">
        <v>0</v>
      </c>
      <c r="B1367" s="13" t="s">
        <v>1</v>
      </c>
      <c r="C1367" s="13" t="s">
        <v>2811</v>
      </c>
      <c r="D1367" s="14">
        <v>44266</v>
      </c>
      <c r="E1367" s="14">
        <v>44266</v>
      </c>
      <c r="F1367" s="14">
        <v>44271</v>
      </c>
      <c r="G1367" s="13" t="s">
        <v>3</v>
      </c>
      <c r="H1367" s="13" t="s">
        <v>4</v>
      </c>
      <c r="I1367" s="15">
        <v>-12795.55</v>
      </c>
      <c r="J1367" s="13" t="s">
        <v>5</v>
      </c>
      <c r="K1367" s="13" t="s">
        <v>6</v>
      </c>
      <c r="L1367" s="15">
        <v>-1074186.42</v>
      </c>
      <c r="M1367" s="15">
        <v>-12795.55</v>
      </c>
      <c r="N1367" s="16" t="str">
        <f>IF(M1367="","",IF(M1367&lt;0,-M1367&amp;"_"&amp;COUNTIF(M$2:M1367,M1367),M1367&amp;"_"&amp;COUNTIF(M$2:M1367,M1367)))</f>
        <v>12795.55_1</v>
      </c>
      <c r="O1367" s="17" t="str">
        <f t="shared" si="21"/>
        <v/>
      </c>
      <c r="P1367" s="13" t="s">
        <v>2812</v>
      </c>
      <c r="Q1367" s="13" t="s">
        <v>2810</v>
      </c>
      <c r="R1367" s="13" t="s">
        <v>0</v>
      </c>
      <c r="S1367" s="13" t="s">
        <v>0</v>
      </c>
      <c r="T1367" s="13" t="s">
        <v>9</v>
      </c>
      <c r="U1367" s="13" t="s">
        <v>0</v>
      </c>
      <c r="V1367" s="13" t="s">
        <v>0</v>
      </c>
      <c r="W1367" s="13" t="s">
        <v>0</v>
      </c>
      <c r="X1367" s="13" t="s">
        <v>0</v>
      </c>
      <c r="Y1367" s="13" t="s">
        <v>10</v>
      </c>
      <c r="Z1367" s="13" t="s">
        <v>0</v>
      </c>
      <c r="AA1367" s="14"/>
      <c r="AB1367" s="13" t="s">
        <v>0</v>
      </c>
      <c r="AC1367" s="13" t="s">
        <v>0</v>
      </c>
      <c r="AD1367" s="13" t="s">
        <v>0</v>
      </c>
      <c r="AE1367" s="15">
        <v>0</v>
      </c>
    </row>
    <row r="1368" spans="1:31" ht="14.15" customHeight="1" x14ac:dyDescent="0.25">
      <c r="A1368" s="12" t="s">
        <v>0</v>
      </c>
      <c r="B1368" s="13" t="s">
        <v>1</v>
      </c>
      <c r="C1368" s="13" t="s">
        <v>2609</v>
      </c>
      <c r="D1368" s="14">
        <v>44243</v>
      </c>
      <c r="E1368" s="14">
        <v>44243</v>
      </c>
      <c r="F1368" s="14">
        <v>44252</v>
      </c>
      <c r="G1368" s="13" t="s">
        <v>3</v>
      </c>
      <c r="H1368" s="13" t="s">
        <v>4</v>
      </c>
      <c r="I1368" s="15">
        <v>-12791.46</v>
      </c>
      <c r="J1368" s="13" t="s">
        <v>5</v>
      </c>
      <c r="K1368" s="13" t="s">
        <v>6</v>
      </c>
      <c r="L1368" s="15">
        <v>-1073843.07</v>
      </c>
      <c r="M1368" s="15">
        <v>-12791.46</v>
      </c>
      <c r="N1368" s="16" t="str">
        <f>IF(M1368="","",IF(M1368&lt;0,-M1368&amp;"_"&amp;COUNTIF(M$2:M1368,M1368),M1368&amp;"_"&amp;COUNTIF(M$2:M1368,M1368)))</f>
        <v>12791.46_1</v>
      </c>
      <c r="O1368" s="17" t="str">
        <f t="shared" si="21"/>
        <v/>
      </c>
      <c r="P1368" s="13" t="s">
        <v>2610</v>
      </c>
      <c r="Q1368" s="13" t="s">
        <v>2574</v>
      </c>
      <c r="R1368" s="13" t="s">
        <v>0</v>
      </c>
      <c r="S1368" s="13" t="s">
        <v>0</v>
      </c>
      <c r="T1368" s="13" t="s">
        <v>9</v>
      </c>
      <c r="U1368" s="13" t="s">
        <v>0</v>
      </c>
      <c r="V1368" s="13" t="s">
        <v>0</v>
      </c>
      <c r="W1368" s="13" t="s">
        <v>0</v>
      </c>
      <c r="X1368" s="13" t="s">
        <v>0</v>
      </c>
      <c r="Y1368" s="13" t="s">
        <v>10</v>
      </c>
      <c r="Z1368" s="13" t="s">
        <v>0</v>
      </c>
      <c r="AA1368" s="14"/>
      <c r="AB1368" s="13" t="s">
        <v>0</v>
      </c>
      <c r="AC1368" s="13" t="s">
        <v>0</v>
      </c>
      <c r="AD1368" s="13" t="s">
        <v>0</v>
      </c>
      <c r="AE1368" s="15">
        <v>0</v>
      </c>
    </row>
    <row r="1369" spans="1:31" ht="14.15" customHeight="1" x14ac:dyDescent="0.25">
      <c r="A1369" s="12" t="s">
        <v>0</v>
      </c>
      <c r="B1369" s="13" t="s">
        <v>1</v>
      </c>
      <c r="C1369" s="13" t="s">
        <v>980</v>
      </c>
      <c r="D1369" s="14">
        <v>44125</v>
      </c>
      <c r="E1369" s="14">
        <v>44125</v>
      </c>
      <c r="F1369" s="14">
        <v>44132</v>
      </c>
      <c r="G1369" s="13" t="s">
        <v>3</v>
      </c>
      <c r="H1369" s="13" t="s">
        <v>4</v>
      </c>
      <c r="I1369" s="15">
        <v>-12775.71</v>
      </c>
      <c r="J1369" s="13" t="s">
        <v>5</v>
      </c>
      <c r="K1369" s="13" t="s">
        <v>6</v>
      </c>
      <c r="L1369" s="15">
        <v>-1072520.8500000001</v>
      </c>
      <c r="M1369" s="15">
        <v>-12775.71</v>
      </c>
      <c r="N1369" s="16" t="str">
        <f>IF(M1369="","",IF(M1369&lt;0,-M1369&amp;"_"&amp;COUNTIF(M$2:M1369,M1369),M1369&amp;"_"&amp;COUNTIF(M$2:M1369,M1369)))</f>
        <v>12775.71_1</v>
      </c>
      <c r="O1369" s="17" t="str">
        <f t="shared" si="21"/>
        <v/>
      </c>
      <c r="P1369" s="13" t="s">
        <v>981</v>
      </c>
      <c r="Q1369" s="13" t="s">
        <v>977</v>
      </c>
      <c r="R1369" s="13" t="s">
        <v>0</v>
      </c>
      <c r="S1369" s="13" t="s">
        <v>0</v>
      </c>
      <c r="T1369" s="13" t="s">
        <v>9</v>
      </c>
      <c r="U1369" s="13" t="s">
        <v>0</v>
      </c>
      <c r="V1369" s="13" t="s">
        <v>0</v>
      </c>
      <c r="W1369" s="13" t="s">
        <v>0</v>
      </c>
      <c r="X1369" s="13" t="s">
        <v>0</v>
      </c>
      <c r="Y1369" s="13" t="s">
        <v>10</v>
      </c>
      <c r="Z1369" s="13" t="s">
        <v>0</v>
      </c>
      <c r="AA1369" s="14"/>
      <c r="AB1369" s="13" t="s">
        <v>0</v>
      </c>
      <c r="AC1369" s="13" t="s">
        <v>0</v>
      </c>
      <c r="AD1369" s="13" t="s">
        <v>0</v>
      </c>
      <c r="AE1369" s="15">
        <v>0</v>
      </c>
    </row>
    <row r="1370" spans="1:31" ht="14.15" customHeight="1" x14ac:dyDescent="0.25">
      <c r="A1370" s="12" t="s">
        <v>0</v>
      </c>
      <c r="B1370" s="13" t="s">
        <v>1</v>
      </c>
      <c r="C1370" s="13" t="s">
        <v>1758</v>
      </c>
      <c r="D1370" s="14">
        <v>44180</v>
      </c>
      <c r="E1370" s="14">
        <v>44180</v>
      </c>
      <c r="F1370" s="14">
        <v>44185</v>
      </c>
      <c r="G1370" s="13" t="s">
        <v>3</v>
      </c>
      <c r="H1370" s="13" t="s">
        <v>4</v>
      </c>
      <c r="I1370" s="15">
        <v>-12765.87</v>
      </c>
      <c r="J1370" s="13" t="s">
        <v>5</v>
      </c>
      <c r="K1370" s="13" t="s">
        <v>6</v>
      </c>
      <c r="L1370" s="15">
        <v>-1071694.79</v>
      </c>
      <c r="M1370" s="15">
        <v>-12765.87</v>
      </c>
      <c r="N1370" s="16" t="str">
        <f>IF(M1370="","",IF(M1370&lt;0,-M1370&amp;"_"&amp;COUNTIF(M$2:M1370,M1370),M1370&amp;"_"&amp;COUNTIF(M$2:M1370,M1370)))</f>
        <v>12765.87_1</v>
      </c>
      <c r="O1370" s="17" t="str">
        <f t="shared" si="21"/>
        <v/>
      </c>
      <c r="P1370" s="13" t="s">
        <v>1759</v>
      </c>
      <c r="Q1370" s="13" t="s">
        <v>1757</v>
      </c>
      <c r="R1370" s="13" t="s">
        <v>0</v>
      </c>
      <c r="S1370" s="13" t="s">
        <v>0</v>
      </c>
      <c r="T1370" s="13" t="s">
        <v>9</v>
      </c>
      <c r="U1370" s="13" t="s">
        <v>0</v>
      </c>
      <c r="V1370" s="13" t="s">
        <v>0</v>
      </c>
      <c r="W1370" s="13" t="s">
        <v>0</v>
      </c>
      <c r="X1370" s="13" t="s">
        <v>0</v>
      </c>
      <c r="Y1370" s="13" t="s">
        <v>10</v>
      </c>
      <c r="Z1370" s="13" t="s">
        <v>0</v>
      </c>
      <c r="AA1370" s="14"/>
      <c r="AB1370" s="13" t="s">
        <v>0</v>
      </c>
      <c r="AC1370" s="13" t="s">
        <v>0</v>
      </c>
      <c r="AD1370" s="13" t="s">
        <v>0</v>
      </c>
      <c r="AE1370" s="15">
        <v>0</v>
      </c>
    </row>
    <row r="1371" spans="1:31" ht="14.15" customHeight="1" x14ac:dyDescent="0.25">
      <c r="A1371" s="12" t="s">
        <v>0</v>
      </c>
      <c r="B1371" s="13" t="s">
        <v>1</v>
      </c>
      <c r="C1371" s="13" t="s">
        <v>1811</v>
      </c>
      <c r="D1371" s="14">
        <v>44183</v>
      </c>
      <c r="E1371" s="14">
        <v>44183</v>
      </c>
      <c r="F1371" s="14">
        <v>44187</v>
      </c>
      <c r="G1371" s="13" t="s">
        <v>3</v>
      </c>
      <c r="H1371" s="13" t="s">
        <v>4</v>
      </c>
      <c r="I1371" s="15">
        <v>-12765.87</v>
      </c>
      <c r="J1371" s="13" t="s">
        <v>5</v>
      </c>
      <c r="K1371" s="13" t="s">
        <v>6</v>
      </c>
      <c r="L1371" s="15">
        <v>-1071694.79</v>
      </c>
      <c r="M1371" s="15">
        <v>-12765.87</v>
      </c>
      <c r="N1371" s="16" t="str">
        <f>IF(M1371="","",IF(M1371&lt;0,-M1371&amp;"_"&amp;COUNTIF(M$2:M1371,M1371),M1371&amp;"_"&amp;COUNTIF(M$2:M1371,M1371)))</f>
        <v>12765.87_2</v>
      </c>
      <c r="O1371" s="17" t="str">
        <f t="shared" si="21"/>
        <v/>
      </c>
      <c r="P1371" s="13" t="s">
        <v>1812</v>
      </c>
      <c r="Q1371" s="13" t="s">
        <v>1792</v>
      </c>
      <c r="R1371" s="13" t="s">
        <v>0</v>
      </c>
      <c r="S1371" s="13" t="s">
        <v>0</v>
      </c>
      <c r="T1371" s="13" t="s">
        <v>9</v>
      </c>
      <c r="U1371" s="13" t="s">
        <v>0</v>
      </c>
      <c r="V1371" s="13" t="s">
        <v>0</v>
      </c>
      <c r="W1371" s="13" t="s">
        <v>0</v>
      </c>
      <c r="X1371" s="13" t="s">
        <v>0</v>
      </c>
      <c r="Y1371" s="13" t="s">
        <v>10</v>
      </c>
      <c r="Z1371" s="13" t="s">
        <v>0</v>
      </c>
      <c r="AA1371" s="14"/>
      <c r="AB1371" s="13" t="s">
        <v>0</v>
      </c>
      <c r="AC1371" s="13" t="s">
        <v>0</v>
      </c>
      <c r="AD1371" s="13" t="s">
        <v>0</v>
      </c>
      <c r="AE1371" s="15">
        <v>0</v>
      </c>
    </row>
    <row r="1372" spans="1:31" ht="14.15" customHeight="1" x14ac:dyDescent="0.25">
      <c r="A1372" s="12" t="s">
        <v>0</v>
      </c>
      <c r="B1372" s="13" t="s">
        <v>1</v>
      </c>
      <c r="C1372" s="13" t="s">
        <v>3876</v>
      </c>
      <c r="D1372" s="14">
        <v>44352</v>
      </c>
      <c r="E1372" s="14">
        <v>44352</v>
      </c>
      <c r="F1372" s="14">
        <v>44356</v>
      </c>
      <c r="G1372" s="13" t="s">
        <v>3</v>
      </c>
      <c r="H1372" s="13" t="s">
        <v>4</v>
      </c>
      <c r="I1372" s="15">
        <v>-12760.15</v>
      </c>
      <c r="J1372" s="13" t="s">
        <v>5</v>
      </c>
      <c r="K1372" s="13" t="s">
        <v>6</v>
      </c>
      <c r="L1372" s="15">
        <v>-1071214.5900000001</v>
      </c>
      <c r="M1372" s="15">
        <v>-12760.15</v>
      </c>
      <c r="N1372" s="16" t="str">
        <f>IF(M1372="","",IF(M1372&lt;0,-M1372&amp;"_"&amp;COUNTIF(M$2:M1372,M1372),M1372&amp;"_"&amp;COUNTIF(M$2:M1372,M1372)))</f>
        <v>12760.15_1</v>
      </c>
      <c r="O1372" s="17" t="str">
        <f t="shared" si="21"/>
        <v/>
      </c>
      <c r="P1372" s="13" t="s">
        <v>3877</v>
      </c>
      <c r="Q1372" s="13" t="s">
        <v>3873</v>
      </c>
      <c r="R1372" s="13" t="s">
        <v>0</v>
      </c>
      <c r="S1372" s="13" t="s">
        <v>0</v>
      </c>
      <c r="T1372" s="13" t="s">
        <v>9</v>
      </c>
      <c r="U1372" s="13" t="s">
        <v>0</v>
      </c>
      <c r="V1372" s="13" t="s">
        <v>0</v>
      </c>
      <c r="W1372" s="13" t="s">
        <v>0</v>
      </c>
      <c r="X1372" s="13" t="s">
        <v>0</v>
      </c>
      <c r="Y1372" s="13" t="s">
        <v>10</v>
      </c>
      <c r="Z1372" s="13" t="s">
        <v>0</v>
      </c>
      <c r="AA1372" s="14"/>
      <c r="AB1372" s="13" t="s">
        <v>0</v>
      </c>
      <c r="AC1372" s="13" t="s">
        <v>0</v>
      </c>
      <c r="AD1372" s="13" t="s">
        <v>0</v>
      </c>
      <c r="AE1372" s="15">
        <v>0</v>
      </c>
    </row>
    <row r="1373" spans="1:31" ht="14.15" customHeight="1" x14ac:dyDescent="0.25">
      <c r="A1373" s="12" t="s">
        <v>0</v>
      </c>
      <c r="B1373" s="13" t="s">
        <v>1</v>
      </c>
      <c r="C1373" s="13" t="s">
        <v>2640</v>
      </c>
      <c r="D1373" s="14">
        <v>44248</v>
      </c>
      <c r="E1373" s="14">
        <v>44248</v>
      </c>
      <c r="F1373" s="14">
        <v>44262</v>
      </c>
      <c r="G1373" s="13" t="s">
        <v>3</v>
      </c>
      <c r="H1373" s="13" t="s">
        <v>4</v>
      </c>
      <c r="I1373" s="15">
        <v>-12743.34</v>
      </c>
      <c r="J1373" s="13" t="s">
        <v>5</v>
      </c>
      <c r="K1373" s="13" t="s">
        <v>6</v>
      </c>
      <c r="L1373" s="15">
        <v>-1069803.3899999999</v>
      </c>
      <c r="M1373" s="15">
        <v>-12743.34</v>
      </c>
      <c r="N1373" s="16" t="str">
        <f>IF(M1373="","",IF(M1373&lt;0,-M1373&amp;"_"&amp;COUNTIF(M$2:M1373,M1373),M1373&amp;"_"&amp;COUNTIF(M$2:M1373,M1373)))</f>
        <v>12743.34_1</v>
      </c>
      <c r="O1373" s="17" t="str">
        <f t="shared" si="21"/>
        <v/>
      </c>
      <c r="P1373" s="13" t="s">
        <v>2641</v>
      </c>
      <c r="Q1373" s="13" t="s">
        <v>2637</v>
      </c>
      <c r="R1373" s="13" t="s">
        <v>0</v>
      </c>
      <c r="S1373" s="13" t="s">
        <v>0</v>
      </c>
      <c r="T1373" s="13" t="s">
        <v>9</v>
      </c>
      <c r="U1373" s="13" t="s">
        <v>0</v>
      </c>
      <c r="V1373" s="13" t="s">
        <v>0</v>
      </c>
      <c r="W1373" s="13" t="s">
        <v>0</v>
      </c>
      <c r="X1373" s="13" t="s">
        <v>0</v>
      </c>
      <c r="Y1373" s="13" t="s">
        <v>10</v>
      </c>
      <c r="Z1373" s="13" t="s">
        <v>0</v>
      </c>
      <c r="AA1373" s="14"/>
      <c r="AB1373" s="13" t="s">
        <v>0</v>
      </c>
      <c r="AC1373" s="13" t="s">
        <v>0</v>
      </c>
      <c r="AD1373" s="13" t="s">
        <v>0</v>
      </c>
      <c r="AE1373" s="15">
        <v>0</v>
      </c>
    </row>
    <row r="1374" spans="1:31" ht="14.15" customHeight="1" x14ac:dyDescent="0.25">
      <c r="A1374" s="12" t="s">
        <v>0</v>
      </c>
      <c r="B1374" s="13" t="s">
        <v>1</v>
      </c>
      <c r="C1374" s="13" t="s">
        <v>4323</v>
      </c>
      <c r="D1374" s="14">
        <v>44373</v>
      </c>
      <c r="E1374" s="14">
        <v>44373</v>
      </c>
      <c r="F1374" s="14">
        <v>44376</v>
      </c>
      <c r="G1374" s="13" t="s">
        <v>3</v>
      </c>
      <c r="H1374" s="13" t="s">
        <v>4</v>
      </c>
      <c r="I1374" s="15">
        <v>-12726.48</v>
      </c>
      <c r="J1374" s="13" t="s">
        <v>5</v>
      </c>
      <c r="K1374" s="13" t="s">
        <v>6</v>
      </c>
      <c r="L1374" s="15">
        <v>-1068388</v>
      </c>
      <c r="M1374" s="15">
        <v>-12726.48</v>
      </c>
      <c r="N1374" s="16" t="str">
        <f>IF(M1374="","",IF(M1374&lt;0,-M1374&amp;"_"&amp;COUNTIF(M$2:M1374,M1374),M1374&amp;"_"&amp;COUNTIF(M$2:M1374,M1374)))</f>
        <v>12726.48_1</v>
      </c>
      <c r="O1374" s="17" t="str">
        <f t="shared" si="21"/>
        <v/>
      </c>
      <c r="P1374" s="13" t="s">
        <v>4324</v>
      </c>
      <c r="Q1374" s="13" t="s">
        <v>4325</v>
      </c>
      <c r="R1374" s="13" t="s">
        <v>0</v>
      </c>
      <c r="S1374" s="13" t="s">
        <v>0</v>
      </c>
      <c r="T1374" s="13" t="s">
        <v>9</v>
      </c>
      <c r="U1374" s="13" t="s">
        <v>0</v>
      </c>
      <c r="V1374" s="13" t="s">
        <v>0</v>
      </c>
      <c r="W1374" s="13" t="s">
        <v>0</v>
      </c>
      <c r="X1374" s="13" t="s">
        <v>0</v>
      </c>
      <c r="Y1374" s="13" t="s">
        <v>10</v>
      </c>
      <c r="Z1374" s="13" t="s">
        <v>0</v>
      </c>
      <c r="AA1374" s="14"/>
      <c r="AB1374" s="13" t="s">
        <v>0</v>
      </c>
      <c r="AC1374" s="13" t="s">
        <v>0</v>
      </c>
      <c r="AD1374" s="13" t="s">
        <v>0</v>
      </c>
      <c r="AE1374" s="15">
        <v>0</v>
      </c>
    </row>
    <row r="1375" spans="1:31" ht="14.15" customHeight="1" x14ac:dyDescent="0.25">
      <c r="A1375" s="12" t="s">
        <v>0</v>
      </c>
      <c r="B1375" s="13" t="s">
        <v>1</v>
      </c>
      <c r="C1375" s="13" t="s">
        <v>1180</v>
      </c>
      <c r="D1375" s="14">
        <v>44140</v>
      </c>
      <c r="E1375" s="14">
        <v>44140</v>
      </c>
      <c r="F1375" s="14">
        <v>44146</v>
      </c>
      <c r="G1375" s="13" t="s">
        <v>3</v>
      </c>
      <c r="H1375" s="13" t="s">
        <v>4</v>
      </c>
      <c r="I1375" s="15">
        <v>-12716.64</v>
      </c>
      <c r="J1375" s="13" t="s">
        <v>5</v>
      </c>
      <c r="K1375" s="13" t="s">
        <v>6</v>
      </c>
      <c r="L1375" s="15">
        <v>-1067561.93</v>
      </c>
      <c r="M1375" s="15">
        <v>-12716.64</v>
      </c>
      <c r="N1375" s="16" t="str">
        <f>IF(M1375="","",IF(M1375&lt;0,-M1375&amp;"_"&amp;COUNTIF(M$2:M1375,M1375),M1375&amp;"_"&amp;COUNTIF(M$2:M1375,M1375)))</f>
        <v>12716.64_1</v>
      </c>
      <c r="O1375" s="17" t="str">
        <f t="shared" si="21"/>
        <v/>
      </c>
      <c r="P1375" s="13" t="s">
        <v>1181</v>
      </c>
      <c r="Q1375" s="13" t="s">
        <v>1165</v>
      </c>
      <c r="R1375" s="13" t="s">
        <v>0</v>
      </c>
      <c r="S1375" s="13" t="s">
        <v>0</v>
      </c>
      <c r="T1375" s="13" t="s">
        <v>9</v>
      </c>
      <c r="U1375" s="13" t="s">
        <v>0</v>
      </c>
      <c r="V1375" s="13" t="s">
        <v>0</v>
      </c>
      <c r="W1375" s="13" t="s">
        <v>0</v>
      </c>
      <c r="X1375" s="13" t="s">
        <v>0</v>
      </c>
      <c r="Y1375" s="13" t="s">
        <v>10</v>
      </c>
      <c r="Z1375" s="13" t="s">
        <v>0</v>
      </c>
      <c r="AA1375" s="14"/>
      <c r="AB1375" s="13" t="s">
        <v>0</v>
      </c>
      <c r="AC1375" s="13" t="s">
        <v>0</v>
      </c>
      <c r="AD1375" s="13" t="s">
        <v>0</v>
      </c>
      <c r="AE1375" s="15">
        <v>0</v>
      </c>
    </row>
    <row r="1376" spans="1:31" ht="14.15" customHeight="1" x14ac:dyDescent="0.25">
      <c r="A1376" s="12" t="s">
        <v>0</v>
      </c>
      <c r="B1376" s="13" t="s">
        <v>1</v>
      </c>
      <c r="C1376" s="13" t="s">
        <v>4348</v>
      </c>
      <c r="D1376" s="14">
        <v>44376</v>
      </c>
      <c r="E1376" s="14">
        <v>44376</v>
      </c>
      <c r="F1376" s="14">
        <v>44377</v>
      </c>
      <c r="G1376" s="13" t="s">
        <v>3</v>
      </c>
      <c r="H1376" s="13" t="s">
        <v>4</v>
      </c>
      <c r="I1376" s="15">
        <v>-12716.06</v>
      </c>
      <c r="J1376" s="13" t="s">
        <v>5</v>
      </c>
      <c r="K1376" s="13" t="s">
        <v>6</v>
      </c>
      <c r="L1376" s="15">
        <v>-1067513.24</v>
      </c>
      <c r="M1376" s="15">
        <v>-12716.06</v>
      </c>
      <c r="N1376" s="16" t="str">
        <f>IF(M1376="","",IF(M1376&lt;0,-M1376&amp;"_"&amp;COUNTIF(M$2:M1376,M1376),M1376&amp;"_"&amp;COUNTIF(M$2:M1376,M1376)))</f>
        <v>12716.06_1</v>
      </c>
      <c r="O1376" s="17" t="str">
        <f t="shared" si="21"/>
        <v/>
      </c>
      <c r="P1376" s="13" t="s">
        <v>4349</v>
      </c>
      <c r="Q1376" s="13" t="s">
        <v>4350</v>
      </c>
      <c r="R1376" s="13" t="s">
        <v>0</v>
      </c>
      <c r="S1376" s="13" t="s">
        <v>0</v>
      </c>
      <c r="T1376" s="13" t="s">
        <v>9</v>
      </c>
      <c r="U1376" s="13" t="s">
        <v>0</v>
      </c>
      <c r="V1376" s="13" t="s">
        <v>0</v>
      </c>
      <c r="W1376" s="13" t="s">
        <v>0</v>
      </c>
      <c r="X1376" s="13" t="s">
        <v>0</v>
      </c>
      <c r="Y1376" s="13" t="s">
        <v>10</v>
      </c>
      <c r="Z1376" s="13" t="s">
        <v>0</v>
      </c>
      <c r="AA1376" s="14"/>
      <c r="AB1376" s="13" t="s">
        <v>0</v>
      </c>
      <c r="AC1376" s="13" t="s">
        <v>0</v>
      </c>
      <c r="AD1376" s="13" t="s">
        <v>0</v>
      </c>
      <c r="AE1376" s="15">
        <v>0</v>
      </c>
    </row>
    <row r="1377" spans="1:31" ht="14.15" customHeight="1" x14ac:dyDescent="0.25">
      <c r="A1377" s="12" t="s">
        <v>0</v>
      </c>
      <c r="B1377" s="13" t="s">
        <v>1</v>
      </c>
      <c r="C1377" s="13" t="s">
        <v>117</v>
      </c>
      <c r="D1377" s="14">
        <v>44025</v>
      </c>
      <c r="E1377" s="14">
        <v>44025</v>
      </c>
      <c r="F1377" s="14">
        <v>44030</v>
      </c>
      <c r="G1377" s="13" t="s">
        <v>3</v>
      </c>
      <c r="H1377" s="13" t="s">
        <v>4</v>
      </c>
      <c r="I1377" s="15">
        <v>-12714.11</v>
      </c>
      <c r="J1377" s="13" t="s">
        <v>5</v>
      </c>
      <c r="K1377" s="13" t="s">
        <v>6</v>
      </c>
      <c r="L1377" s="15">
        <v>-1067349.53</v>
      </c>
      <c r="M1377" s="15">
        <v>-12714.11</v>
      </c>
      <c r="N1377" s="16" t="str">
        <f>IF(M1377="","",IF(M1377&lt;0,-M1377&amp;"_"&amp;COUNTIF(M$2:M1377,M1377),M1377&amp;"_"&amp;COUNTIF(M$2:M1377,M1377)))</f>
        <v>12714.11_1</v>
      </c>
      <c r="O1377" s="17" t="str">
        <f t="shared" si="21"/>
        <v/>
      </c>
      <c r="P1377" s="13" t="s">
        <v>118</v>
      </c>
      <c r="Q1377" s="13" t="s">
        <v>104</v>
      </c>
      <c r="R1377" s="13" t="s">
        <v>0</v>
      </c>
      <c r="S1377" s="13" t="s">
        <v>0</v>
      </c>
      <c r="T1377" s="13" t="s">
        <v>9</v>
      </c>
      <c r="U1377" s="13" t="s">
        <v>0</v>
      </c>
      <c r="V1377" s="13" t="s">
        <v>0</v>
      </c>
      <c r="W1377" s="13" t="s">
        <v>0</v>
      </c>
      <c r="X1377" s="13" t="s">
        <v>0</v>
      </c>
      <c r="Y1377" s="13" t="s">
        <v>10</v>
      </c>
      <c r="Z1377" s="13" t="s">
        <v>0</v>
      </c>
      <c r="AA1377" s="14"/>
      <c r="AB1377" s="13" t="s">
        <v>0</v>
      </c>
      <c r="AC1377" s="13" t="s">
        <v>0</v>
      </c>
      <c r="AD1377" s="13" t="s">
        <v>0</v>
      </c>
      <c r="AE1377" s="15">
        <v>0</v>
      </c>
    </row>
    <row r="1378" spans="1:31" ht="14.15" customHeight="1" x14ac:dyDescent="0.25">
      <c r="A1378" s="12" t="s">
        <v>0</v>
      </c>
      <c r="B1378" s="13" t="s">
        <v>1</v>
      </c>
      <c r="C1378" s="13" t="s">
        <v>3267</v>
      </c>
      <c r="D1378" s="14">
        <v>44311</v>
      </c>
      <c r="E1378" s="14">
        <v>44311</v>
      </c>
      <c r="F1378" s="14">
        <v>44315</v>
      </c>
      <c r="G1378" s="13" t="s">
        <v>3</v>
      </c>
      <c r="H1378" s="13" t="s">
        <v>4</v>
      </c>
      <c r="I1378" s="15">
        <v>-12711.39</v>
      </c>
      <c r="J1378" s="13" t="s">
        <v>5</v>
      </c>
      <c r="K1378" s="13" t="s">
        <v>6</v>
      </c>
      <c r="L1378" s="15">
        <v>-1067121.19</v>
      </c>
      <c r="M1378" s="15">
        <v>-12711.39</v>
      </c>
      <c r="N1378" s="16" t="str">
        <f>IF(M1378="","",IF(M1378&lt;0,-M1378&amp;"_"&amp;COUNTIF(M$2:M1378,M1378),M1378&amp;"_"&amp;COUNTIF(M$2:M1378,M1378)))</f>
        <v>12711.39_1</v>
      </c>
      <c r="O1378" s="17" t="str">
        <f t="shared" si="21"/>
        <v/>
      </c>
      <c r="P1378" s="13" t="s">
        <v>3268</v>
      </c>
      <c r="Q1378" s="13" t="s">
        <v>3269</v>
      </c>
      <c r="R1378" s="13" t="s">
        <v>0</v>
      </c>
      <c r="S1378" s="13" t="s">
        <v>0</v>
      </c>
      <c r="T1378" s="13" t="s">
        <v>9</v>
      </c>
      <c r="U1378" s="13" t="s">
        <v>0</v>
      </c>
      <c r="V1378" s="13" t="s">
        <v>0</v>
      </c>
      <c r="W1378" s="13" t="s">
        <v>0</v>
      </c>
      <c r="X1378" s="13" t="s">
        <v>0</v>
      </c>
      <c r="Y1378" s="13" t="s">
        <v>10</v>
      </c>
      <c r="Z1378" s="13" t="s">
        <v>0</v>
      </c>
      <c r="AA1378" s="14"/>
      <c r="AB1378" s="13" t="s">
        <v>0</v>
      </c>
      <c r="AC1378" s="13" t="s">
        <v>0</v>
      </c>
      <c r="AD1378" s="13" t="s">
        <v>0</v>
      </c>
      <c r="AE1378" s="15">
        <v>0</v>
      </c>
    </row>
    <row r="1379" spans="1:31" ht="14.15" customHeight="1" x14ac:dyDescent="0.25">
      <c r="A1379" s="12" t="s">
        <v>0</v>
      </c>
      <c r="B1379" s="13" t="s">
        <v>1</v>
      </c>
      <c r="C1379" s="13" t="s">
        <v>1311</v>
      </c>
      <c r="D1379" s="14">
        <v>44147</v>
      </c>
      <c r="E1379" s="14">
        <v>44147</v>
      </c>
      <c r="F1379" s="14">
        <v>44149</v>
      </c>
      <c r="G1379" s="13" t="s">
        <v>3</v>
      </c>
      <c r="H1379" s="13" t="s">
        <v>4</v>
      </c>
      <c r="I1379" s="15">
        <v>-12683.85</v>
      </c>
      <c r="J1379" s="13" t="s">
        <v>5</v>
      </c>
      <c r="K1379" s="13" t="s">
        <v>6</v>
      </c>
      <c r="L1379" s="15">
        <v>-1064809.21</v>
      </c>
      <c r="M1379" s="15">
        <v>-12683.85</v>
      </c>
      <c r="N1379" s="16" t="str">
        <f>IF(M1379="","",IF(M1379&lt;0,-M1379&amp;"_"&amp;COUNTIF(M$2:M1379,M1379),M1379&amp;"_"&amp;COUNTIF(M$2:M1379,M1379)))</f>
        <v>12683.85_1</v>
      </c>
      <c r="O1379" s="17" t="str">
        <f t="shared" si="21"/>
        <v/>
      </c>
      <c r="P1379" s="13" t="s">
        <v>1312</v>
      </c>
      <c r="Q1379" s="13" t="s">
        <v>1313</v>
      </c>
      <c r="R1379" s="13" t="s">
        <v>0</v>
      </c>
      <c r="S1379" s="13" t="s">
        <v>0</v>
      </c>
      <c r="T1379" s="13" t="s">
        <v>9</v>
      </c>
      <c r="U1379" s="13" t="s">
        <v>0</v>
      </c>
      <c r="V1379" s="13" t="s">
        <v>0</v>
      </c>
      <c r="W1379" s="13" t="s">
        <v>0</v>
      </c>
      <c r="X1379" s="13" t="s">
        <v>0</v>
      </c>
      <c r="Y1379" s="13" t="s">
        <v>10</v>
      </c>
      <c r="Z1379" s="13" t="s">
        <v>0</v>
      </c>
      <c r="AA1379" s="14"/>
      <c r="AB1379" s="13" t="s">
        <v>0</v>
      </c>
      <c r="AC1379" s="13" t="s">
        <v>0</v>
      </c>
      <c r="AD1379" s="13" t="s">
        <v>0</v>
      </c>
      <c r="AE1379" s="15">
        <v>0</v>
      </c>
    </row>
    <row r="1380" spans="1:31" ht="14.15" customHeight="1" x14ac:dyDescent="0.25">
      <c r="A1380" s="12" t="s">
        <v>0</v>
      </c>
      <c r="B1380" s="13" t="s">
        <v>1</v>
      </c>
      <c r="C1380" s="13" t="s">
        <v>186</v>
      </c>
      <c r="D1380" s="14">
        <v>44034</v>
      </c>
      <c r="E1380" s="14">
        <v>44034</v>
      </c>
      <c r="F1380" s="14">
        <v>44040</v>
      </c>
      <c r="G1380" s="13" t="s">
        <v>3</v>
      </c>
      <c r="H1380" s="13" t="s">
        <v>4</v>
      </c>
      <c r="I1380" s="15">
        <v>-12672.38</v>
      </c>
      <c r="J1380" s="13" t="s">
        <v>5</v>
      </c>
      <c r="K1380" s="13" t="s">
        <v>6</v>
      </c>
      <c r="L1380" s="15">
        <v>-1063846.3</v>
      </c>
      <c r="M1380" s="15">
        <v>-12672.38</v>
      </c>
      <c r="N1380" s="16" t="str">
        <f>IF(M1380="","",IF(M1380&lt;0,-M1380&amp;"_"&amp;COUNTIF(M$2:M1380,M1380),M1380&amp;"_"&amp;COUNTIF(M$2:M1380,M1380)))</f>
        <v>12672.38_1</v>
      </c>
      <c r="O1380" s="17" t="str">
        <f t="shared" si="21"/>
        <v/>
      </c>
      <c r="P1380" s="13" t="s">
        <v>187</v>
      </c>
      <c r="Q1380" s="13" t="s">
        <v>175</v>
      </c>
      <c r="R1380" s="13" t="s">
        <v>0</v>
      </c>
      <c r="S1380" s="13" t="s">
        <v>0</v>
      </c>
      <c r="T1380" s="13" t="s">
        <v>9</v>
      </c>
      <c r="U1380" s="13" t="s">
        <v>0</v>
      </c>
      <c r="V1380" s="13" t="s">
        <v>0</v>
      </c>
      <c r="W1380" s="13" t="s">
        <v>0</v>
      </c>
      <c r="X1380" s="13" t="s">
        <v>0</v>
      </c>
      <c r="Y1380" s="13" t="s">
        <v>10</v>
      </c>
      <c r="Z1380" s="13" t="s">
        <v>0</v>
      </c>
      <c r="AA1380" s="14"/>
      <c r="AB1380" s="13" t="s">
        <v>0</v>
      </c>
      <c r="AC1380" s="13" t="s">
        <v>0</v>
      </c>
      <c r="AD1380" s="13" t="s">
        <v>0</v>
      </c>
      <c r="AE1380" s="15">
        <v>0</v>
      </c>
    </row>
    <row r="1381" spans="1:31" ht="14.15" customHeight="1" x14ac:dyDescent="0.25">
      <c r="A1381" s="12" t="s">
        <v>0</v>
      </c>
      <c r="B1381" s="13" t="s">
        <v>1</v>
      </c>
      <c r="C1381" s="13" t="s">
        <v>2747</v>
      </c>
      <c r="D1381" s="14">
        <v>44260</v>
      </c>
      <c r="E1381" s="14">
        <v>44260</v>
      </c>
      <c r="F1381" s="14">
        <v>44265</v>
      </c>
      <c r="G1381" s="13" t="s">
        <v>3</v>
      </c>
      <c r="H1381" s="13" t="s">
        <v>4</v>
      </c>
      <c r="I1381" s="15">
        <v>-12670.22</v>
      </c>
      <c r="J1381" s="13" t="s">
        <v>5</v>
      </c>
      <c r="K1381" s="13" t="s">
        <v>6</v>
      </c>
      <c r="L1381" s="15">
        <v>-1063664.97</v>
      </c>
      <c r="M1381" s="15">
        <v>-12670.22</v>
      </c>
      <c r="N1381" s="16" t="str">
        <f>IF(M1381="","",IF(M1381&lt;0,-M1381&amp;"_"&amp;COUNTIF(M$2:M1381,M1381),M1381&amp;"_"&amp;COUNTIF(M$2:M1381,M1381)))</f>
        <v>12670.22_1</v>
      </c>
      <c r="O1381" s="17" t="str">
        <f t="shared" si="21"/>
        <v/>
      </c>
      <c r="P1381" s="13" t="s">
        <v>2748</v>
      </c>
      <c r="Q1381" s="13" t="s">
        <v>2746</v>
      </c>
      <c r="R1381" s="13" t="s">
        <v>0</v>
      </c>
      <c r="S1381" s="13" t="s">
        <v>0</v>
      </c>
      <c r="T1381" s="13" t="s">
        <v>9</v>
      </c>
      <c r="U1381" s="13" t="s">
        <v>0</v>
      </c>
      <c r="V1381" s="13" t="s">
        <v>0</v>
      </c>
      <c r="W1381" s="13" t="s">
        <v>0</v>
      </c>
      <c r="X1381" s="13" t="s">
        <v>0</v>
      </c>
      <c r="Y1381" s="13" t="s">
        <v>10</v>
      </c>
      <c r="Z1381" s="13" t="s">
        <v>0</v>
      </c>
      <c r="AA1381" s="14"/>
      <c r="AB1381" s="13" t="s">
        <v>0</v>
      </c>
      <c r="AC1381" s="13" t="s">
        <v>0</v>
      </c>
      <c r="AD1381" s="13" t="s">
        <v>0</v>
      </c>
      <c r="AE1381" s="15">
        <v>0</v>
      </c>
    </row>
    <row r="1382" spans="1:31" ht="14.15" customHeight="1" x14ac:dyDescent="0.25">
      <c r="A1382" s="12" t="s">
        <v>0</v>
      </c>
      <c r="B1382" s="13" t="s">
        <v>1</v>
      </c>
      <c r="C1382" s="13" t="s">
        <v>1283</v>
      </c>
      <c r="D1382" s="14">
        <v>44146</v>
      </c>
      <c r="E1382" s="14">
        <v>44146</v>
      </c>
      <c r="F1382" s="14">
        <v>44151</v>
      </c>
      <c r="G1382" s="13" t="s">
        <v>3</v>
      </c>
      <c r="H1382" s="13" t="s">
        <v>4</v>
      </c>
      <c r="I1382" s="15">
        <v>-12664.88</v>
      </c>
      <c r="J1382" s="13" t="s">
        <v>5</v>
      </c>
      <c r="K1382" s="13" t="s">
        <v>6</v>
      </c>
      <c r="L1382" s="15">
        <v>-1063216.68</v>
      </c>
      <c r="M1382" s="15">
        <v>-12664.88</v>
      </c>
      <c r="N1382" s="16" t="str">
        <f>IF(M1382="","",IF(M1382&lt;0,-M1382&amp;"_"&amp;COUNTIF(M$2:M1382,M1382),M1382&amp;"_"&amp;COUNTIF(M$2:M1382,M1382)))</f>
        <v>12664.88_1</v>
      </c>
      <c r="O1382" s="17" t="str">
        <f t="shared" si="21"/>
        <v/>
      </c>
      <c r="P1382" s="13" t="s">
        <v>1284</v>
      </c>
      <c r="Q1382" s="13" t="s">
        <v>1282</v>
      </c>
      <c r="R1382" s="13" t="s">
        <v>0</v>
      </c>
      <c r="S1382" s="13" t="s">
        <v>0</v>
      </c>
      <c r="T1382" s="13" t="s">
        <v>9</v>
      </c>
      <c r="U1382" s="13" t="s">
        <v>0</v>
      </c>
      <c r="V1382" s="13" t="s">
        <v>0</v>
      </c>
      <c r="W1382" s="13" t="s">
        <v>0</v>
      </c>
      <c r="X1382" s="13" t="s">
        <v>0</v>
      </c>
      <c r="Y1382" s="13" t="s">
        <v>10</v>
      </c>
      <c r="Z1382" s="13" t="s">
        <v>0</v>
      </c>
      <c r="AA1382" s="14"/>
      <c r="AB1382" s="13" t="s">
        <v>0</v>
      </c>
      <c r="AC1382" s="13" t="s">
        <v>0</v>
      </c>
      <c r="AD1382" s="13" t="s">
        <v>0</v>
      </c>
      <c r="AE1382" s="15">
        <v>0</v>
      </c>
    </row>
    <row r="1383" spans="1:31" ht="14.15" customHeight="1" x14ac:dyDescent="0.25">
      <c r="A1383" s="12" t="s">
        <v>0</v>
      </c>
      <c r="B1383" s="13" t="s">
        <v>1</v>
      </c>
      <c r="C1383" s="13" t="s">
        <v>2609</v>
      </c>
      <c r="D1383" s="14">
        <v>44243</v>
      </c>
      <c r="E1383" s="14">
        <v>44243</v>
      </c>
      <c r="F1383" s="14">
        <v>44252</v>
      </c>
      <c r="G1383" s="13" t="s">
        <v>3</v>
      </c>
      <c r="H1383" s="13" t="s">
        <v>4</v>
      </c>
      <c r="I1383" s="15">
        <v>-12664.22</v>
      </c>
      <c r="J1383" s="13" t="s">
        <v>5</v>
      </c>
      <c r="K1383" s="13" t="s">
        <v>6</v>
      </c>
      <c r="L1383" s="15">
        <v>-1063161.27</v>
      </c>
      <c r="M1383" s="15">
        <v>-12664.22</v>
      </c>
      <c r="N1383" s="16" t="str">
        <f>IF(M1383="","",IF(M1383&lt;0,-M1383&amp;"_"&amp;COUNTIF(M$2:M1383,M1383),M1383&amp;"_"&amp;COUNTIF(M$2:M1383,M1383)))</f>
        <v>12664.22_1</v>
      </c>
      <c r="O1383" s="17" t="str">
        <f t="shared" si="21"/>
        <v/>
      </c>
      <c r="P1383" s="13" t="s">
        <v>2610</v>
      </c>
      <c r="Q1383" s="13" t="s">
        <v>2574</v>
      </c>
      <c r="R1383" s="13" t="s">
        <v>0</v>
      </c>
      <c r="S1383" s="13" t="s">
        <v>0</v>
      </c>
      <c r="T1383" s="13" t="s">
        <v>9</v>
      </c>
      <c r="U1383" s="13" t="s">
        <v>0</v>
      </c>
      <c r="V1383" s="13" t="s">
        <v>0</v>
      </c>
      <c r="W1383" s="13" t="s">
        <v>0</v>
      </c>
      <c r="X1383" s="13" t="s">
        <v>0</v>
      </c>
      <c r="Y1383" s="13" t="s">
        <v>10</v>
      </c>
      <c r="Z1383" s="13" t="s">
        <v>0</v>
      </c>
      <c r="AA1383" s="14"/>
      <c r="AB1383" s="13" t="s">
        <v>0</v>
      </c>
      <c r="AC1383" s="13" t="s">
        <v>0</v>
      </c>
      <c r="AD1383" s="13" t="s">
        <v>0</v>
      </c>
      <c r="AE1383" s="15">
        <v>0</v>
      </c>
    </row>
    <row r="1384" spans="1:31" ht="14.15" customHeight="1" x14ac:dyDescent="0.25">
      <c r="A1384" s="12" t="s">
        <v>0</v>
      </c>
      <c r="B1384" s="13" t="s">
        <v>1</v>
      </c>
      <c r="C1384" s="13" t="s">
        <v>1377</v>
      </c>
      <c r="D1384" s="14">
        <v>44152</v>
      </c>
      <c r="E1384" s="14">
        <v>44152</v>
      </c>
      <c r="F1384" s="14">
        <v>44159</v>
      </c>
      <c r="G1384" s="13" t="s">
        <v>3</v>
      </c>
      <c r="H1384" s="13" t="s">
        <v>4</v>
      </c>
      <c r="I1384" s="15">
        <v>-12656.48</v>
      </c>
      <c r="J1384" s="13" t="s">
        <v>5</v>
      </c>
      <c r="K1384" s="13" t="s">
        <v>6</v>
      </c>
      <c r="L1384" s="15">
        <v>-1062511.5</v>
      </c>
      <c r="M1384" s="15">
        <v>-12656.48</v>
      </c>
      <c r="N1384" s="16" t="str">
        <f>IF(M1384="","",IF(M1384&lt;0,-M1384&amp;"_"&amp;COUNTIF(M$2:M1384,M1384),M1384&amp;"_"&amp;COUNTIF(M$2:M1384,M1384)))</f>
        <v>12656.48_1</v>
      </c>
      <c r="O1384" s="17" t="str">
        <f t="shared" si="21"/>
        <v/>
      </c>
      <c r="P1384" s="13" t="s">
        <v>1378</v>
      </c>
      <c r="Q1384" s="13" t="s">
        <v>1376</v>
      </c>
      <c r="R1384" s="13" t="s">
        <v>0</v>
      </c>
      <c r="S1384" s="13" t="s">
        <v>0</v>
      </c>
      <c r="T1384" s="13" t="s">
        <v>9</v>
      </c>
      <c r="U1384" s="13" t="s">
        <v>0</v>
      </c>
      <c r="V1384" s="13" t="s">
        <v>0</v>
      </c>
      <c r="W1384" s="13" t="s">
        <v>0</v>
      </c>
      <c r="X1384" s="13" t="s">
        <v>0</v>
      </c>
      <c r="Y1384" s="13" t="s">
        <v>10</v>
      </c>
      <c r="Z1384" s="13" t="s">
        <v>0</v>
      </c>
      <c r="AA1384" s="14"/>
      <c r="AB1384" s="13" t="s">
        <v>0</v>
      </c>
      <c r="AC1384" s="13" t="s">
        <v>0</v>
      </c>
      <c r="AD1384" s="13" t="s">
        <v>0</v>
      </c>
      <c r="AE1384" s="15">
        <v>0</v>
      </c>
    </row>
    <row r="1385" spans="1:31" ht="14.15" customHeight="1" x14ac:dyDescent="0.25">
      <c r="A1385" s="12" t="s">
        <v>0</v>
      </c>
      <c r="B1385" s="13" t="s">
        <v>1</v>
      </c>
      <c r="C1385" s="13" t="s">
        <v>3947</v>
      </c>
      <c r="D1385" s="14">
        <v>44355</v>
      </c>
      <c r="E1385" s="14">
        <v>44355</v>
      </c>
      <c r="F1385" s="14">
        <v>44359</v>
      </c>
      <c r="G1385" s="13" t="s">
        <v>3</v>
      </c>
      <c r="H1385" s="13" t="s">
        <v>4</v>
      </c>
      <c r="I1385" s="15">
        <v>-12624.34</v>
      </c>
      <c r="J1385" s="13" t="s">
        <v>5</v>
      </c>
      <c r="K1385" s="13" t="s">
        <v>6</v>
      </c>
      <c r="L1385" s="15">
        <v>-1059813.3400000001</v>
      </c>
      <c r="M1385" s="15">
        <v>-12624.34</v>
      </c>
      <c r="N1385" s="16" t="str">
        <f>IF(M1385="","",IF(M1385&lt;0,-M1385&amp;"_"&amp;COUNTIF(M$2:M1385,M1385),M1385&amp;"_"&amp;COUNTIF(M$2:M1385,M1385)))</f>
        <v>12624.34_1</v>
      </c>
      <c r="O1385" s="17" t="str">
        <f t="shared" si="21"/>
        <v/>
      </c>
      <c r="P1385" s="13" t="s">
        <v>3948</v>
      </c>
      <c r="Q1385" s="13" t="s">
        <v>3946</v>
      </c>
      <c r="R1385" s="13" t="s">
        <v>0</v>
      </c>
      <c r="S1385" s="13" t="s">
        <v>0</v>
      </c>
      <c r="T1385" s="13" t="s">
        <v>9</v>
      </c>
      <c r="U1385" s="13" t="s">
        <v>0</v>
      </c>
      <c r="V1385" s="13" t="s">
        <v>0</v>
      </c>
      <c r="W1385" s="13" t="s">
        <v>0</v>
      </c>
      <c r="X1385" s="13" t="s">
        <v>0</v>
      </c>
      <c r="Y1385" s="13" t="s">
        <v>10</v>
      </c>
      <c r="Z1385" s="13" t="s">
        <v>0</v>
      </c>
      <c r="AA1385" s="14"/>
      <c r="AB1385" s="13" t="s">
        <v>0</v>
      </c>
      <c r="AC1385" s="13" t="s">
        <v>0</v>
      </c>
      <c r="AD1385" s="13" t="s">
        <v>0</v>
      </c>
      <c r="AE1385" s="15">
        <v>0</v>
      </c>
    </row>
    <row r="1386" spans="1:31" ht="14.15" customHeight="1" x14ac:dyDescent="0.25">
      <c r="A1386" s="12" t="s">
        <v>0</v>
      </c>
      <c r="B1386" s="13" t="s">
        <v>1</v>
      </c>
      <c r="C1386" s="13" t="s">
        <v>1118</v>
      </c>
      <c r="D1386" s="14">
        <v>44137</v>
      </c>
      <c r="E1386" s="14">
        <v>44137</v>
      </c>
      <c r="F1386" s="14">
        <v>44139</v>
      </c>
      <c r="G1386" s="13" t="s">
        <v>3</v>
      </c>
      <c r="H1386" s="13" t="s">
        <v>4</v>
      </c>
      <c r="I1386" s="15">
        <v>-12609.46</v>
      </c>
      <c r="J1386" s="13" t="s">
        <v>5</v>
      </c>
      <c r="K1386" s="13" t="s">
        <v>6</v>
      </c>
      <c r="L1386" s="15">
        <v>-1058564.17</v>
      </c>
      <c r="M1386" s="15">
        <v>-12609.46</v>
      </c>
      <c r="N1386" s="16" t="str">
        <f>IF(M1386="","",IF(M1386&lt;0,-M1386&amp;"_"&amp;COUNTIF(M$2:M1386,M1386),M1386&amp;"_"&amp;COUNTIF(M$2:M1386,M1386)))</f>
        <v>12609.46_1</v>
      </c>
      <c r="O1386" s="17" t="str">
        <f t="shared" si="21"/>
        <v/>
      </c>
      <c r="P1386" s="13" t="s">
        <v>1119</v>
      </c>
      <c r="Q1386" s="13" t="s">
        <v>1120</v>
      </c>
      <c r="R1386" s="13" t="s">
        <v>0</v>
      </c>
      <c r="S1386" s="13" t="s">
        <v>0</v>
      </c>
      <c r="T1386" s="13" t="s">
        <v>9</v>
      </c>
      <c r="U1386" s="13" t="s">
        <v>0</v>
      </c>
      <c r="V1386" s="13" t="s">
        <v>0</v>
      </c>
      <c r="W1386" s="13" t="s">
        <v>0</v>
      </c>
      <c r="X1386" s="13" t="s">
        <v>0</v>
      </c>
      <c r="Y1386" s="13" t="s">
        <v>10</v>
      </c>
      <c r="Z1386" s="13" t="s">
        <v>0</v>
      </c>
      <c r="AA1386" s="14"/>
      <c r="AB1386" s="13" t="s">
        <v>0</v>
      </c>
      <c r="AC1386" s="13" t="s">
        <v>0</v>
      </c>
      <c r="AD1386" s="13" t="s">
        <v>0</v>
      </c>
      <c r="AE1386" s="15">
        <v>0</v>
      </c>
    </row>
    <row r="1387" spans="1:31" ht="14.15" customHeight="1" x14ac:dyDescent="0.25">
      <c r="A1387" s="12" t="s">
        <v>0</v>
      </c>
      <c r="B1387" s="13" t="s">
        <v>1</v>
      </c>
      <c r="C1387" s="13" t="s">
        <v>842</v>
      </c>
      <c r="D1387" s="14">
        <v>44107</v>
      </c>
      <c r="E1387" s="14">
        <v>44107</v>
      </c>
      <c r="F1387" s="14">
        <v>44114</v>
      </c>
      <c r="G1387" s="13" t="s">
        <v>3</v>
      </c>
      <c r="H1387" s="13" t="s">
        <v>4</v>
      </c>
      <c r="I1387" s="15">
        <v>-12589.43</v>
      </c>
      <c r="J1387" s="13" t="s">
        <v>5</v>
      </c>
      <c r="K1387" s="13" t="s">
        <v>6</v>
      </c>
      <c r="L1387" s="15">
        <v>-1056882.6499999999</v>
      </c>
      <c r="M1387" s="15">
        <v>-12589.43</v>
      </c>
      <c r="N1387" s="16" t="str">
        <f>IF(M1387="","",IF(M1387&lt;0,-M1387&amp;"_"&amp;COUNTIF(M$2:M1387,M1387),M1387&amp;"_"&amp;COUNTIF(M$2:M1387,M1387)))</f>
        <v>12589.43_1</v>
      </c>
      <c r="O1387" s="17" t="str">
        <f t="shared" si="21"/>
        <v/>
      </c>
      <c r="P1387" s="13" t="s">
        <v>843</v>
      </c>
      <c r="Q1387" s="13" t="s">
        <v>841</v>
      </c>
      <c r="R1387" s="13" t="s">
        <v>0</v>
      </c>
      <c r="S1387" s="13" t="s">
        <v>0</v>
      </c>
      <c r="T1387" s="13" t="s">
        <v>9</v>
      </c>
      <c r="U1387" s="13" t="s">
        <v>0</v>
      </c>
      <c r="V1387" s="13" t="s">
        <v>0</v>
      </c>
      <c r="W1387" s="13" t="s">
        <v>0</v>
      </c>
      <c r="X1387" s="13" t="s">
        <v>0</v>
      </c>
      <c r="Y1387" s="13" t="s">
        <v>10</v>
      </c>
      <c r="Z1387" s="13" t="s">
        <v>0</v>
      </c>
      <c r="AA1387" s="14"/>
      <c r="AB1387" s="13" t="s">
        <v>0</v>
      </c>
      <c r="AC1387" s="13" t="s">
        <v>0</v>
      </c>
      <c r="AD1387" s="13" t="s">
        <v>0</v>
      </c>
      <c r="AE1387" s="15">
        <v>0</v>
      </c>
    </row>
    <row r="1388" spans="1:31" ht="14.15" customHeight="1" x14ac:dyDescent="0.25">
      <c r="A1388" s="12" t="s">
        <v>0</v>
      </c>
      <c r="B1388" s="13" t="s">
        <v>1</v>
      </c>
      <c r="C1388" s="13" t="s">
        <v>4276</v>
      </c>
      <c r="D1388" s="14">
        <v>44370</v>
      </c>
      <c r="E1388" s="14">
        <v>44370</v>
      </c>
      <c r="F1388" s="14">
        <v>44375</v>
      </c>
      <c r="G1388" s="13" t="s">
        <v>3</v>
      </c>
      <c r="H1388" s="13" t="s">
        <v>4</v>
      </c>
      <c r="I1388" s="15">
        <v>-12586.57</v>
      </c>
      <c r="J1388" s="13" t="s">
        <v>5</v>
      </c>
      <c r="K1388" s="13" t="s">
        <v>6</v>
      </c>
      <c r="L1388" s="15">
        <v>-1056642.55</v>
      </c>
      <c r="M1388" s="15">
        <v>-12586.57</v>
      </c>
      <c r="N1388" s="16" t="str">
        <f>IF(M1388="","",IF(M1388&lt;0,-M1388&amp;"_"&amp;COUNTIF(M$2:M1388,M1388),M1388&amp;"_"&amp;COUNTIF(M$2:M1388,M1388)))</f>
        <v>12586.57_1</v>
      </c>
      <c r="O1388" s="17" t="str">
        <f t="shared" si="21"/>
        <v/>
      </c>
      <c r="P1388" s="13" t="s">
        <v>4277</v>
      </c>
      <c r="Q1388" s="13" t="s">
        <v>4269</v>
      </c>
      <c r="R1388" s="13" t="s">
        <v>0</v>
      </c>
      <c r="S1388" s="13" t="s">
        <v>0</v>
      </c>
      <c r="T1388" s="13" t="s">
        <v>9</v>
      </c>
      <c r="U1388" s="13" t="s">
        <v>0</v>
      </c>
      <c r="V1388" s="13" t="s">
        <v>0</v>
      </c>
      <c r="W1388" s="13" t="s">
        <v>0</v>
      </c>
      <c r="X1388" s="13" t="s">
        <v>0</v>
      </c>
      <c r="Y1388" s="13" t="s">
        <v>10</v>
      </c>
      <c r="Z1388" s="13" t="s">
        <v>0</v>
      </c>
      <c r="AA1388" s="14"/>
      <c r="AB1388" s="13" t="s">
        <v>0</v>
      </c>
      <c r="AC1388" s="13" t="s">
        <v>0</v>
      </c>
      <c r="AD1388" s="13" t="s">
        <v>0</v>
      </c>
      <c r="AE1388" s="15">
        <v>0</v>
      </c>
    </row>
    <row r="1389" spans="1:31" ht="14.15" customHeight="1" x14ac:dyDescent="0.25">
      <c r="A1389" s="12" t="s">
        <v>0</v>
      </c>
      <c r="B1389" s="13" t="s">
        <v>1</v>
      </c>
      <c r="C1389" s="13" t="s">
        <v>1058</v>
      </c>
      <c r="D1389" s="14">
        <v>44132</v>
      </c>
      <c r="E1389" s="14">
        <v>44132</v>
      </c>
      <c r="F1389" s="14">
        <v>44137</v>
      </c>
      <c r="G1389" s="13" t="s">
        <v>3</v>
      </c>
      <c r="H1389" s="13" t="s">
        <v>4</v>
      </c>
      <c r="I1389" s="15">
        <v>-12575.99</v>
      </c>
      <c r="J1389" s="13" t="s">
        <v>5</v>
      </c>
      <c r="K1389" s="13" t="s">
        <v>6</v>
      </c>
      <c r="L1389" s="15">
        <v>-1055754.3600000001</v>
      </c>
      <c r="M1389" s="15">
        <v>-12575.99</v>
      </c>
      <c r="N1389" s="16" t="str">
        <f>IF(M1389="","",IF(M1389&lt;0,-M1389&amp;"_"&amp;COUNTIF(M$2:M1389,M1389),M1389&amp;"_"&amp;COUNTIF(M$2:M1389,M1389)))</f>
        <v>12575.99_1</v>
      </c>
      <c r="O1389" s="17" t="str">
        <f t="shared" si="21"/>
        <v/>
      </c>
      <c r="P1389" s="13" t="s">
        <v>1059</v>
      </c>
      <c r="Q1389" s="13" t="s">
        <v>1060</v>
      </c>
      <c r="R1389" s="13" t="s">
        <v>0</v>
      </c>
      <c r="S1389" s="13" t="s">
        <v>0</v>
      </c>
      <c r="T1389" s="13" t="s">
        <v>9</v>
      </c>
      <c r="U1389" s="13" t="s">
        <v>0</v>
      </c>
      <c r="V1389" s="13" t="s">
        <v>0</v>
      </c>
      <c r="W1389" s="13" t="s">
        <v>0</v>
      </c>
      <c r="X1389" s="13" t="s">
        <v>0</v>
      </c>
      <c r="Y1389" s="13" t="s">
        <v>10</v>
      </c>
      <c r="Z1389" s="13" t="s">
        <v>0</v>
      </c>
      <c r="AA1389" s="14"/>
      <c r="AB1389" s="13" t="s">
        <v>0</v>
      </c>
      <c r="AC1389" s="13" t="s">
        <v>0</v>
      </c>
      <c r="AD1389" s="13" t="s">
        <v>0</v>
      </c>
      <c r="AE1389" s="15">
        <v>0</v>
      </c>
    </row>
    <row r="1390" spans="1:31" ht="14.15" customHeight="1" x14ac:dyDescent="0.25">
      <c r="A1390" s="12" t="s">
        <v>0</v>
      </c>
      <c r="B1390" s="13" t="s">
        <v>1</v>
      </c>
      <c r="C1390" s="13" t="s">
        <v>1517</v>
      </c>
      <c r="D1390" s="14">
        <v>44164</v>
      </c>
      <c r="E1390" s="14">
        <v>44164</v>
      </c>
      <c r="F1390" s="14">
        <v>44166</v>
      </c>
      <c r="G1390" s="13" t="s">
        <v>3</v>
      </c>
      <c r="H1390" s="13" t="s">
        <v>4</v>
      </c>
      <c r="I1390" s="15">
        <v>-12544.89</v>
      </c>
      <c r="J1390" s="13" t="s">
        <v>5</v>
      </c>
      <c r="K1390" s="13" t="s">
        <v>6</v>
      </c>
      <c r="L1390" s="15">
        <v>-1053143.52</v>
      </c>
      <c r="M1390" s="15">
        <v>-12544.89</v>
      </c>
      <c r="N1390" s="16" t="str">
        <f>IF(M1390="","",IF(M1390&lt;0,-M1390&amp;"_"&amp;COUNTIF(M$2:M1390,M1390),M1390&amp;"_"&amp;COUNTIF(M$2:M1390,M1390)))</f>
        <v>12544.89_1</v>
      </c>
      <c r="O1390" s="17" t="str">
        <f t="shared" si="21"/>
        <v/>
      </c>
      <c r="P1390" s="13" t="s">
        <v>1518</v>
      </c>
      <c r="Q1390" s="13" t="s">
        <v>1516</v>
      </c>
      <c r="R1390" s="13" t="s">
        <v>0</v>
      </c>
      <c r="S1390" s="13" t="s">
        <v>0</v>
      </c>
      <c r="T1390" s="13" t="s">
        <v>9</v>
      </c>
      <c r="U1390" s="13" t="s">
        <v>0</v>
      </c>
      <c r="V1390" s="13" t="s">
        <v>0</v>
      </c>
      <c r="W1390" s="13" t="s">
        <v>0</v>
      </c>
      <c r="X1390" s="13" t="s">
        <v>0</v>
      </c>
      <c r="Y1390" s="13" t="s">
        <v>10</v>
      </c>
      <c r="Z1390" s="13" t="s">
        <v>0</v>
      </c>
      <c r="AA1390" s="14"/>
      <c r="AB1390" s="13" t="s">
        <v>0</v>
      </c>
      <c r="AC1390" s="13" t="s">
        <v>0</v>
      </c>
      <c r="AD1390" s="13" t="s">
        <v>0</v>
      </c>
      <c r="AE1390" s="15">
        <v>0</v>
      </c>
    </row>
    <row r="1391" spans="1:31" ht="14.15" customHeight="1" x14ac:dyDescent="0.25">
      <c r="A1391" s="12" t="s">
        <v>0</v>
      </c>
      <c r="B1391" s="13" t="s">
        <v>1</v>
      </c>
      <c r="C1391" s="13" t="s">
        <v>88</v>
      </c>
      <c r="D1391" s="14">
        <v>44023</v>
      </c>
      <c r="E1391" s="14">
        <v>44023</v>
      </c>
      <c r="F1391" s="14">
        <v>44027</v>
      </c>
      <c r="G1391" s="13" t="s">
        <v>3</v>
      </c>
      <c r="H1391" s="13" t="s">
        <v>4</v>
      </c>
      <c r="I1391" s="15">
        <v>-12496.58</v>
      </c>
      <c r="J1391" s="13" t="s">
        <v>5</v>
      </c>
      <c r="K1391" s="13" t="s">
        <v>6</v>
      </c>
      <c r="L1391" s="15">
        <v>-1049087.8999999999</v>
      </c>
      <c r="M1391" s="15">
        <v>-12496.58</v>
      </c>
      <c r="N1391" s="16" t="str">
        <f>IF(M1391="","",IF(M1391&lt;0,-M1391&amp;"_"&amp;COUNTIF(M$2:M1391,M1391),M1391&amp;"_"&amp;COUNTIF(M$2:M1391,M1391)))</f>
        <v>12496.58_1</v>
      </c>
      <c r="O1391" s="17" t="str">
        <f t="shared" si="21"/>
        <v/>
      </c>
      <c r="P1391" s="13" t="s">
        <v>89</v>
      </c>
      <c r="Q1391" s="13" t="s">
        <v>90</v>
      </c>
      <c r="R1391" s="13" t="s">
        <v>0</v>
      </c>
      <c r="S1391" s="13" t="s">
        <v>0</v>
      </c>
      <c r="T1391" s="13" t="s">
        <v>9</v>
      </c>
      <c r="U1391" s="13" t="s">
        <v>0</v>
      </c>
      <c r="V1391" s="13" t="s">
        <v>0</v>
      </c>
      <c r="W1391" s="13" t="s">
        <v>0</v>
      </c>
      <c r="X1391" s="13" t="s">
        <v>0</v>
      </c>
      <c r="Y1391" s="13" t="s">
        <v>10</v>
      </c>
      <c r="Z1391" s="13" t="s">
        <v>0</v>
      </c>
      <c r="AA1391" s="14"/>
      <c r="AB1391" s="13" t="s">
        <v>0</v>
      </c>
      <c r="AC1391" s="13" t="s">
        <v>0</v>
      </c>
      <c r="AD1391" s="13" t="s">
        <v>0</v>
      </c>
      <c r="AE1391" s="15">
        <v>0</v>
      </c>
    </row>
    <row r="1392" spans="1:31" ht="14.15" customHeight="1" x14ac:dyDescent="0.25">
      <c r="A1392" s="12" t="s">
        <v>0</v>
      </c>
      <c r="B1392" s="13" t="s">
        <v>1</v>
      </c>
      <c r="C1392" s="13" t="s">
        <v>1512</v>
      </c>
      <c r="D1392" s="14">
        <v>44163</v>
      </c>
      <c r="E1392" s="14">
        <v>44163</v>
      </c>
      <c r="F1392" s="14">
        <v>44168</v>
      </c>
      <c r="G1392" s="13" t="s">
        <v>3</v>
      </c>
      <c r="H1392" s="13" t="s">
        <v>4</v>
      </c>
      <c r="I1392" s="15">
        <v>-12486.16</v>
      </c>
      <c r="J1392" s="13" t="s">
        <v>5</v>
      </c>
      <c r="K1392" s="13" t="s">
        <v>6</v>
      </c>
      <c r="L1392" s="15">
        <v>-1048213.13</v>
      </c>
      <c r="M1392" s="15">
        <v>-12486.16</v>
      </c>
      <c r="N1392" s="16" t="str">
        <f>IF(M1392="","",IF(M1392&lt;0,-M1392&amp;"_"&amp;COUNTIF(M$2:M1392,M1392),M1392&amp;"_"&amp;COUNTIF(M$2:M1392,M1392)))</f>
        <v>12486.16_1</v>
      </c>
      <c r="O1392" s="17" t="str">
        <f t="shared" si="21"/>
        <v/>
      </c>
      <c r="P1392" s="13" t="s">
        <v>1513</v>
      </c>
      <c r="Q1392" s="13" t="s">
        <v>1509</v>
      </c>
      <c r="R1392" s="13" t="s">
        <v>0</v>
      </c>
      <c r="S1392" s="13" t="s">
        <v>0</v>
      </c>
      <c r="T1392" s="13" t="s">
        <v>9</v>
      </c>
      <c r="U1392" s="13" t="s">
        <v>0</v>
      </c>
      <c r="V1392" s="13" t="s">
        <v>0</v>
      </c>
      <c r="W1392" s="13" t="s">
        <v>0</v>
      </c>
      <c r="X1392" s="13" t="s">
        <v>0</v>
      </c>
      <c r="Y1392" s="13" t="s">
        <v>10</v>
      </c>
      <c r="Z1392" s="13" t="s">
        <v>0</v>
      </c>
      <c r="AA1392" s="14"/>
      <c r="AB1392" s="13" t="s">
        <v>0</v>
      </c>
      <c r="AC1392" s="13" t="s">
        <v>0</v>
      </c>
      <c r="AD1392" s="13" t="s">
        <v>0</v>
      </c>
      <c r="AE1392" s="15">
        <v>0</v>
      </c>
    </row>
    <row r="1393" spans="1:31" ht="14.15" customHeight="1" x14ac:dyDescent="0.25">
      <c r="A1393" s="12" t="s">
        <v>0</v>
      </c>
      <c r="B1393" s="13" t="s">
        <v>1</v>
      </c>
      <c r="C1393" s="13" t="s">
        <v>2307</v>
      </c>
      <c r="D1393" s="14">
        <v>44219</v>
      </c>
      <c r="E1393" s="14">
        <v>44219</v>
      </c>
      <c r="F1393" s="14">
        <v>44226</v>
      </c>
      <c r="G1393" s="13" t="s">
        <v>3</v>
      </c>
      <c r="H1393" s="13" t="s">
        <v>4</v>
      </c>
      <c r="I1393" s="15">
        <v>-12463.22</v>
      </c>
      <c r="J1393" s="13" t="s">
        <v>5</v>
      </c>
      <c r="K1393" s="13" t="s">
        <v>6</v>
      </c>
      <c r="L1393" s="15">
        <v>-1046287.32</v>
      </c>
      <c r="M1393" s="15">
        <v>-12463.22</v>
      </c>
      <c r="N1393" s="16" t="str">
        <f>IF(M1393="","",IF(M1393&lt;0,-M1393&amp;"_"&amp;COUNTIF(M$2:M1393,M1393),M1393&amp;"_"&amp;COUNTIF(M$2:M1393,M1393)))</f>
        <v>12463.22_1</v>
      </c>
      <c r="O1393" s="17" t="str">
        <f t="shared" si="21"/>
        <v/>
      </c>
      <c r="P1393" s="13" t="s">
        <v>2308</v>
      </c>
      <c r="Q1393" s="13" t="s">
        <v>2282</v>
      </c>
      <c r="R1393" s="13" t="s">
        <v>0</v>
      </c>
      <c r="S1393" s="13" t="s">
        <v>0</v>
      </c>
      <c r="T1393" s="13" t="s">
        <v>9</v>
      </c>
      <c r="U1393" s="13" t="s">
        <v>0</v>
      </c>
      <c r="V1393" s="13" t="s">
        <v>0</v>
      </c>
      <c r="W1393" s="13" t="s">
        <v>0</v>
      </c>
      <c r="X1393" s="13" t="s">
        <v>0</v>
      </c>
      <c r="Y1393" s="13" t="s">
        <v>10</v>
      </c>
      <c r="Z1393" s="13" t="s">
        <v>0</v>
      </c>
      <c r="AA1393" s="14"/>
      <c r="AB1393" s="13" t="s">
        <v>0</v>
      </c>
      <c r="AC1393" s="13" t="s">
        <v>0</v>
      </c>
      <c r="AD1393" s="13" t="s">
        <v>0</v>
      </c>
      <c r="AE1393" s="15">
        <v>0</v>
      </c>
    </row>
    <row r="1394" spans="1:31" ht="14.15" customHeight="1" x14ac:dyDescent="0.25">
      <c r="A1394" s="12" t="s">
        <v>0</v>
      </c>
      <c r="B1394" s="13" t="s">
        <v>1</v>
      </c>
      <c r="C1394" s="13" t="s">
        <v>1406</v>
      </c>
      <c r="D1394" s="14">
        <v>44154</v>
      </c>
      <c r="E1394" s="14">
        <v>44154</v>
      </c>
      <c r="F1394" s="14">
        <v>44159</v>
      </c>
      <c r="G1394" s="13" t="s">
        <v>3</v>
      </c>
      <c r="H1394" s="13" t="s">
        <v>4</v>
      </c>
      <c r="I1394" s="15">
        <v>-12454.29</v>
      </c>
      <c r="J1394" s="13" t="s">
        <v>5</v>
      </c>
      <c r="K1394" s="13" t="s">
        <v>6</v>
      </c>
      <c r="L1394" s="15">
        <v>-1045537.65</v>
      </c>
      <c r="M1394" s="15">
        <v>-12454.29</v>
      </c>
      <c r="N1394" s="16" t="str">
        <f>IF(M1394="","",IF(M1394&lt;0,-M1394&amp;"_"&amp;COUNTIF(M$2:M1394,M1394),M1394&amp;"_"&amp;COUNTIF(M$2:M1394,M1394)))</f>
        <v>12454.29_1</v>
      </c>
      <c r="O1394" s="17" t="str">
        <f t="shared" si="21"/>
        <v/>
      </c>
      <c r="P1394" s="13" t="s">
        <v>1407</v>
      </c>
      <c r="Q1394" s="13" t="s">
        <v>1408</v>
      </c>
      <c r="R1394" s="13" t="s">
        <v>0</v>
      </c>
      <c r="S1394" s="13" t="s">
        <v>0</v>
      </c>
      <c r="T1394" s="13" t="s">
        <v>9</v>
      </c>
      <c r="U1394" s="13" t="s">
        <v>0</v>
      </c>
      <c r="V1394" s="13" t="s">
        <v>0</v>
      </c>
      <c r="W1394" s="13" t="s">
        <v>0</v>
      </c>
      <c r="X1394" s="13" t="s">
        <v>0</v>
      </c>
      <c r="Y1394" s="13" t="s">
        <v>10</v>
      </c>
      <c r="Z1394" s="13" t="s">
        <v>0</v>
      </c>
      <c r="AA1394" s="14"/>
      <c r="AB1394" s="13" t="s">
        <v>0</v>
      </c>
      <c r="AC1394" s="13" t="s">
        <v>0</v>
      </c>
      <c r="AD1394" s="13" t="s">
        <v>0</v>
      </c>
      <c r="AE1394" s="15">
        <v>0</v>
      </c>
    </row>
    <row r="1395" spans="1:31" ht="14.15" customHeight="1" x14ac:dyDescent="0.25">
      <c r="A1395" s="12" t="s">
        <v>0</v>
      </c>
      <c r="B1395" s="13" t="s">
        <v>1</v>
      </c>
      <c r="C1395" s="13" t="s">
        <v>2264</v>
      </c>
      <c r="D1395" s="14">
        <v>44216</v>
      </c>
      <c r="E1395" s="14">
        <v>44216</v>
      </c>
      <c r="F1395" s="14">
        <v>44223</v>
      </c>
      <c r="G1395" s="13" t="s">
        <v>3</v>
      </c>
      <c r="H1395" s="13" t="s">
        <v>4</v>
      </c>
      <c r="I1395" s="15">
        <v>-12422.66</v>
      </c>
      <c r="J1395" s="13" t="s">
        <v>5</v>
      </c>
      <c r="K1395" s="13" t="s">
        <v>6</v>
      </c>
      <c r="L1395" s="15">
        <v>-1042882.31</v>
      </c>
      <c r="M1395" s="15">
        <v>-12422.66</v>
      </c>
      <c r="N1395" s="16" t="str">
        <f>IF(M1395="","",IF(M1395&lt;0,-M1395&amp;"_"&amp;COUNTIF(M$2:M1395,M1395),M1395&amp;"_"&amp;COUNTIF(M$2:M1395,M1395)))</f>
        <v>12422.66_1</v>
      </c>
      <c r="O1395" s="17" t="str">
        <f t="shared" si="21"/>
        <v/>
      </c>
      <c r="P1395" s="13" t="s">
        <v>2265</v>
      </c>
      <c r="Q1395" s="13" t="s">
        <v>2255</v>
      </c>
      <c r="R1395" s="13" t="s">
        <v>0</v>
      </c>
      <c r="S1395" s="13" t="s">
        <v>0</v>
      </c>
      <c r="T1395" s="13" t="s">
        <v>9</v>
      </c>
      <c r="U1395" s="13" t="s">
        <v>0</v>
      </c>
      <c r="V1395" s="13" t="s">
        <v>0</v>
      </c>
      <c r="W1395" s="13" t="s">
        <v>0</v>
      </c>
      <c r="X1395" s="13" t="s">
        <v>0</v>
      </c>
      <c r="Y1395" s="13" t="s">
        <v>10</v>
      </c>
      <c r="Z1395" s="13" t="s">
        <v>0</v>
      </c>
      <c r="AA1395" s="14"/>
      <c r="AB1395" s="13" t="s">
        <v>0</v>
      </c>
      <c r="AC1395" s="13" t="s">
        <v>0</v>
      </c>
      <c r="AD1395" s="13" t="s">
        <v>0</v>
      </c>
      <c r="AE1395" s="15">
        <v>0</v>
      </c>
    </row>
    <row r="1396" spans="1:31" ht="14.15" customHeight="1" x14ac:dyDescent="0.25">
      <c r="A1396" s="12" t="s">
        <v>0</v>
      </c>
      <c r="B1396" s="13" t="s">
        <v>1</v>
      </c>
      <c r="C1396" s="13" t="s">
        <v>3635</v>
      </c>
      <c r="D1396" s="14">
        <v>44331</v>
      </c>
      <c r="E1396" s="14">
        <v>44331</v>
      </c>
      <c r="F1396" s="14">
        <v>44336</v>
      </c>
      <c r="G1396" s="13" t="s">
        <v>3</v>
      </c>
      <c r="H1396" s="13" t="s">
        <v>4</v>
      </c>
      <c r="I1396" s="15">
        <v>-12420.34</v>
      </c>
      <c r="J1396" s="13" t="s">
        <v>5</v>
      </c>
      <c r="K1396" s="13" t="s">
        <v>6</v>
      </c>
      <c r="L1396" s="15">
        <v>-1042687.54</v>
      </c>
      <c r="M1396" s="15">
        <v>-12420.34</v>
      </c>
      <c r="N1396" s="16" t="str">
        <f>IF(M1396="","",IF(M1396&lt;0,-M1396&amp;"_"&amp;COUNTIF(M$2:M1396,M1396),M1396&amp;"_"&amp;COUNTIF(M$2:M1396,M1396)))</f>
        <v>12420.34_1</v>
      </c>
      <c r="O1396" s="17" t="str">
        <f t="shared" si="21"/>
        <v/>
      </c>
      <c r="P1396" s="13" t="s">
        <v>3636</v>
      </c>
      <c r="Q1396" s="13" t="s">
        <v>3637</v>
      </c>
      <c r="R1396" s="13" t="s">
        <v>0</v>
      </c>
      <c r="S1396" s="13" t="s">
        <v>0</v>
      </c>
      <c r="T1396" s="13" t="s">
        <v>9</v>
      </c>
      <c r="U1396" s="13" t="s">
        <v>0</v>
      </c>
      <c r="V1396" s="13" t="s">
        <v>0</v>
      </c>
      <c r="W1396" s="13" t="s">
        <v>0</v>
      </c>
      <c r="X1396" s="13" t="s">
        <v>0</v>
      </c>
      <c r="Y1396" s="13" t="s">
        <v>10</v>
      </c>
      <c r="Z1396" s="13" t="s">
        <v>0</v>
      </c>
      <c r="AA1396" s="14"/>
      <c r="AB1396" s="13" t="s">
        <v>0</v>
      </c>
      <c r="AC1396" s="13" t="s">
        <v>0</v>
      </c>
      <c r="AD1396" s="13" t="s">
        <v>0</v>
      </c>
      <c r="AE1396" s="15">
        <v>0</v>
      </c>
    </row>
    <row r="1397" spans="1:31" ht="14.15" customHeight="1" x14ac:dyDescent="0.25">
      <c r="A1397" s="12" t="s">
        <v>0</v>
      </c>
      <c r="B1397" s="13" t="s">
        <v>1</v>
      </c>
      <c r="C1397" s="13" t="s">
        <v>2677</v>
      </c>
      <c r="D1397" s="14">
        <v>44253</v>
      </c>
      <c r="E1397" s="14">
        <v>44253</v>
      </c>
      <c r="F1397" s="14">
        <v>44258</v>
      </c>
      <c r="G1397" s="13" t="s">
        <v>3</v>
      </c>
      <c r="H1397" s="13" t="s">
        <v>4</v>
      </c>
      <c r="I1397" s="15">
        <v>-12400.54</v>
      </c>
      <c r="J1397" s="13" t="s">
        <v>5</v>
      </c>
      <c r="K1397" s="13" t="s">
        <v>6</v>
      </c>
      <c r="L1397" s="15">
        <v>-1041025.34</v>
      </c>
      <c r="M1397" s="15">
        <v>-12400.54</v>
      </c>
      <c r="N1397" s="16" t="str">
        <f>IF(M1397="","",IF(M1397&lt;0,-M1397&amp;"_"&amp;COUNTIF(M$2:M1397,M1397),M1397&amp;"_"&amp;COUNTIF(M$2:M1397,M1397)))</f>
        <v>12400.54_1</v>
      </c>
      <c r="O1397" s="17" t="str">
        <f t="shared" si="21"/>
        <v/>
      </c>
      <c r="P1397" s="13" t="s">
        <v>2678</v>
      </c>
      <c r="Q1397" s="13" t="s">
        <v>2660</v>
      </c>
      <c r="R1397" s="13" t="s">
        <v>0</v>
      </c>
      <c r="S1397" s="13" t="s">
        <v>0</v>
      </c>
      <c r="T1397" s="13" t="s">
        <v>9</v>
      </c>
      <c r="U1397" s="13" t="s">
        <v>0</v>
      </c>
      <c r="V1397" s="13" t="s">
        <v>0</v>
      </c>
      <c r="W1397" s="13" t="s">
        <v>0</v>
      </c>
      <c r="X1397" s="13" t="s">
        <v>0</v>
      </c>
      <c r="Y1397" s="13" t="s">
        <v>10</v>
      </c>
      <c r="Z1397" s="13" t="s">
        <v>0</v>
      </c>
      <c r="AA1397" s="14"/>
      <c r="AB1397" s="13" t="s">
        <v>0</v>
      </c>
      <c r="AC1397" s="13" t="s">
        <v>0</v>
      </c>
      <c r="AD1397" s="13" t="s">
        <v>0</v>
      </c>
      <c r="AE1397" s="15">
        <v>0</v>
      </c>
    </row>
    <row r="1398" spans="1:31" ht="14.15" customHeight="1" x14ac:dyDescent="0.25">
      <c r="A1398" s="12" t="s">
        <v>0</v>
      </c>
      <c r="B1398" s="13" t="s">
        <v>1</v>
      </c>
      <c r="C1398" s="13" t="s">
        <v>1514</v>
      </c>
      <c r="D1398" s="14">
        <v>44164</v>
      </c>
      <c r="E1398" s="14">
        <v>44164</v>
      </c>
      <c r="F1398" s="14">
        <v>44166</v>
      </c>
      <c r="G1398" s="13" t="s">
        <v>3</v>
      </c>
      <c r="H1398" s="13" t="s">
        <v>4</v>
      </c>
      <c r="I1398" s="15">
        <v>-12395.31</v>
      </c>
      <c r="J1398" s="13" t="s">
        <v>5</v>
      </c>
      <c r="K1398" s="13" t="s">
        <v>6</v>
      </c>
      <c r="L1398" s="15">
        <v>-1040586.27</v>
      </c>
      <c r="M1398" s="15">
        <v>-12395.31</v>
      </c>
      <c r="N1398" s="16" t="str">
        <f>IF(M1398="","",IF(M1398&lt;0,-M1398&amp;"_"&amp;COUNTIF(M$2:M1398,M1398),M1398&amp;"_"&amp;COUNTIF(M$2:M1398,M1398)))</f>
        <v>12395.31_1</v>
      </c>
      <c r="O1398" s="17" t="str">
        <f t="shared" si="21"/>
        <v/>
      </c>
      <c r="P1398" s="13" t="s">
        <v>1515</v>
      </c>
      <c r="Q1398" s="13" t="s">
        <v>1516</v>
      </c>
      <c r="R1398" s="13" t="s">
        <v>0</v>
      </c>
      <c r="S1398" s="13" t="s">
        <v>0</v>
      </c>
      <c r="T1398" s="13" t="s">
        <v>9</v>
      </c>
      <c r="U1398" s="13" t="s">
        <v>0</v>
      </c>
      <c r="V1398" s="13" t="s">
        <v>0</v>
      </c>
      <c r="W1398" s="13" t="s">
        <v>0</v>
      </c>
      <c r="X1398" s="13" t="s">
        <v>0</v>
      </c>
      <c r="Y1398" s="13" t="s">
        <v>10</v>
      </c>
      <c r="Z1398" s="13" t="s">
        <v>0</v>
      </c>
      <c r="AA1398" s="14"/>
      <c r="AB1398" s="13" t="s">
        <v>0</v>
      </c>
      <c r="AC1398" s="13" t="s">
        <v>0</v>
      </c>
      <c r="AD1398" s="13" t="s">
        <v>0</v>
      </c>
      <c r="AE1398" s="15">
        <v>0</v>
      </c>
    </row>
    <row r="1399" spans="1:31" ht="14.15" customHeight="1" x14ac:dyDescent="0.25">
      <c r="A1399" s="12" t="s">
        <v>0</v>
      </c>
      <c r="B1399" s="13" t="s">
        <v>1</v>
      </c>
      <c r="C1399" s="13" t="s">
        <v>993</v>
      </c>
      <c r="D1399" s="14">
        <v>44126</v>
      </c>
      <c r="E1399" s="14">
        <v>44126</v>
      </c>
      <c r="F1399" s="14">
        <v>44133</v>
      </c>
      <c r="G1399" s="13" t="s">
        <v>3</v>
      </c>
      <c r="H1399" s="13" t="s">
        <v>4</v>
      </c>
      <c r="I1399" s="15">
        <v>-12390.2</v>
      </c>
      <c r="J1399" s="13" t="s">
        <v>5</v>
      </c>
      <c r="K1399" s="13" t="s">
        <v>6</v>
      </c>
      <c r="L1399" s="15">
        <v>-1040157.29</v>
      </c>
      <c r="M1399" s="15">
        <v>-12390.2</v>
      </c>
      <c r="N1399" s="16" t="str">
        <f>IF(M1399="","",IF(M1399&lt;0,-M1399&amp;"_"&amp;COUNTIF(M$2:M1399,M1399),M1399&amp;"_"&amp;COUNTIF(M$2:M1399,M1399)))</f>
        <v>12390.2_1</v>
      </c>
      <c r="O1399" s="17" t="str">
        <f t="shared" si="21"/>
        <v/>
      </c>
      <c r="P1399" s="13" t="s">
        <v>994</v>
      </c>
      <c r="Q1399" s="13" t="s">
        <v>992</v>
      </c>
      <c r="R1399" s="13" t="s">
        <v>0</v>
      </c>
      <c r="S1399" s="13" t="s">
        <v>0</v>
      </c>
      <c r="T1399" s="13" t="s">
        <v>9</v>
      </c>
      <c r="U1399" s="13" t="s">
        <v>0</v>
      </c>
      <c r="V1399" s="13" t="s">
        <v>0</v>
      </c>
      <c r="W1399" s="13" t="s">
        <v>0</v>
      </c>
      <c r="X1399" s="13" t="s">
        <v>0</v>
      </c>
      <c r="Y1399" s="13" t="s">
        <v>10</v>
      </c>
      <c r="Z1399" s="13" t="s">
        <v>0</v>
      </c>
      <c r="AA1399" s="14"/>
      <c r="AB1399" s="13" t="s">
        <v>0</v>
      </c>
      <c r="AC1399" s="13" t="s">
        <v>0</v>
      </c>
      <c r="AD1399" s="13" t="s">
        <v>0</v>
      </c>
      <c r="AE1399" s="15">
        <v>0</v>
      </c>
    </row>
    <row r="1400" spans="1:31" ht="14.15" customHeight="1" x14ac:dyDescent="0.25">
      <c r="A1400" s="12" t="s">
        <v>0</v>
      </c>
      <c r="B1400" s="13" t="s">
        <v>1</v>
      </c>
      <c r="C1400" s="13" t="s">
        <v>83</v>
      </c>
      <c r="D1400" s="14">
        <v>44021</v>
      </c>
      <c r="E1400" s="14">
        <v>44021</v>
      </c>
      <c r="F1400" s="14">
        <v>44032</v>
      </c>
      <c r="G1400" s="13" t="s">
        <v>3</v>
      </c>
      <c r="H1400" s="13" t="s">
        <v>4</v>
      </c>
      <c r="I1400" s="15">
        <v>-12386.92</v>
      </c>
      <c r="J1400" s="13" t="s">
        <v>5</v>
      </c>
      <c r="K1400" s="13" t="s">
        <v>6</v>
      </c>
      <c r="L1400" s="15">
        <v>-1039881.93</v>
      </c>
      <c r="M1400" s="15">
        <v>-12386.92</v>
      </c>
      <c r="N1400" s="16" t="str">
        <f>IF(M1400="","",IF(M1400&lt;0,-M1400&amp;"_"&amp;COUNTIF(M$2:M1400,M1400),M1400&amp;"_"&amp;COUNTIF(M$2:M1400,M1400)))</f>
        <v>12386.92_1</v>
      </c>
      <c r="O1400" s="17" t="str">
        <f t="shared" si="21"/>
        <v/>
      </c>
      <c r="P1400" s="13" t="s">
        <v>84</v>
      </c>
      <c r="Q1400" s="13" t="s">
        <v>85</v>
      </c>
      <c r="R1400" s="13" t="s">
        <v>0</v>
      </c>
      <c r="S1400" s="13" t="s">
        <v>0</v>
      </c>
      <c r="T1400" s="13" t="s">
        <v>9</v>
      </c>
      <c r="U1400" s="13" t="s">
        <v>0</v>
      </c>
      <c r="V1400" s="13" t="s">
        <v>0</v>
      </c>
      <c r="W1400" s="13" t="s">
        <v>0</v>
      </c>
      <c r="X1400" s="13" t="s">
        <v>0</v>
      </c>
      <c r="Y1400" s="13" t="s">
        <v>10</v>
      </c>
      <c r="Z1400" s="13" t="s">
        <v>0</v>
      </c>
      <c r="AA1400" s="14"/>
      <c r="AB1400" s="13" t="s">
        <v>0</v>
      </c>
      <c r="AC1400" s="13" t="s">
        <v>0</v>
      </c>
      <c r="AD1400" s="13" t="s">
        <v>0</v>
      </c>
      <c r="AE1400" s="15">
        <v>0</v>
      </c>
    </row>
    <row r="1401" spans="1:31" ht="14.15" customHeight="1" x14ac:dyDescent="0.25">
      <c r="A1401" s="12" t="s">
        <v>0</v>
      </c>
      <c r="B1401" s="13" t="s">
        <v>1</v>
      </c>
      <c r="C1401" s="13" t="s">
        <v>3066</v>
      </c>
      <c r="D1401" s="14">
        <v>44284</v>
      </c>
      <c r="E1401" s="14">
        <v>44284</v>
      </c>
      <c r="F1401" s="14">
        <v>44290</v>
      </c>
      <c r="G1401" s="13" t="s">
        <v>3</v>
      </c>
      <c r="H1401" s="13" t="s">
        <v>4</v>
      </c>
      <c r="I1401" s="15">
        <v>-12351.04</v>
      </c>
      <c r="J1401" s="13" t="s">
        <v>5</v>
      </c>
      <c r="K1401" s="13" t="s">
        <v>6</v>
      </c>
      <c r="L1401" s="15">
        <v>-1036869.81</v>
      </c>
      <c r="M1401" s="15">
        <v>-12351.04</v>
      </c>
      <c r="N1401" s="16" t="str">
        <f>IF(M1401="","",IF(M1401&lt;0,-M1401&amp;"_"&amp;COUNTIF(M$2:M1401,M1401),M1401&amp;"_"&amp;COUNTIF(M$2:M1401,M1401)))</f>
        <v>12351.04_1</v>
      </c>
      <c r="O1401" s="17" t="str">
        <f t="shared" si="21"/>
        <v/>
      </c>
      <c r="P1401" s="13" t="s">
        <v>3067</v>
      </c>
      <c r="Q1401" s="13" t="s">
        <v>3061</v>
      </c>
      <c r="R1401" s="13" t="s">
        <v>0</v>
      </c>
      <c r="S1401" s="13" t="s">
        <v>0</v>
      </c>
      <c r="T1401" s="13" t="s">
        <v>9</v>
      </c>
      <c r="U1401" s="13" t="s">
        <v>0</v>
      </c>
      <c r="V1401" s="13" t="s">
        <v>0</v>
      </c>
      <c r="W1401" s="13" t="s">
        <v>0</v>
      </c>
      <c r="X1401" s="13" t="s">
        <v>0</v>
      </c>
      <c r="Y1401" s="13" t="s">
        <v>10</v>
      </c>
      <c r="Z1401" s="13" t="s">
        <v>0</v>
      </c>
      <c r="AA1401" s="14"/>
      <c r="AB1401" s="13" t="s">
        <v>0</v>
      </c>
      <c r="AC1401" s="13" t="s">
        <v>0</v>
      </c>
      <c r="AD1401" s="13" t="s">
        <v>0</v>
      </c>
      <c r="AE1401" s="15">
        <v>0</v>
      </c>
    </row>
    <row r="1402" spans="1:31" ht="14.15" customHeight="1" x14ac:dyDescent="0.25">
      <c r="A1402" s="12" t="s">
        <v>0</v>
      </c>
      <c r="B1402" s="13" t="s">
        <v>1</v>
      </c>
      <c r="C1402" s="13" t="s">
        <v>355</v>
      </c>
      <c r="D1402" s="14">
        <v>44048</v>
      </c>
      <c r="E1402" s="14">
        <v>44048</v>
      </c>
      <c r="F1402" s="14">
        <v>44072</v>
      </c>
      <c r="G1402" s="13" t="s">
        <v>3</v>
      </c>
      <c r="H1402" s="13" t="s">
        <v>4</v>
      </c>
      <c r="I1402" s="15">
        <v>-12324.72</v>
      </c>
      <c r="J1402" s="13" t="s">
        <v>5</v>
      </c>
      <c r="K1402" s="13" t="s">
        <v>6</v>
      </c>
      <c r="L1402" s="15">
        <v>-1034660.24</v>
      </c>
      <c r="M1402" s="15">
        <v>-12324.72</v>
      </c>
      <c r="N1402" s="16" t="str">
        <f>IF(M1402="","",IF(M1402&lt;0,-M1402&amp;"_"&amp;COUNTIF(M$2:M1402,M1402),M1402&amp;"_"&amp;COUNTIF(M$2:M1402,M1402)))</f>
        <v>12324.72_1</v>
      </c>
      <c r="O1402" s="17" t="str">
        <f t="shared" si="21"/>
        <v/>
      </c>
      <c r="P1402" s="13" t="s">
        <v>356</v>
      </c>
      <c r="Q1402" s="13" t="s">
        <v>357</v>
      </c>
      <c r="R1402" s="13" t="s">
        <v>0</v>
      </c>
      <c r="S1402" s="13" t="s">
        <v>0</v>
      </c>
      <c r="T1402" s="13" t="s">
        <v>9</v>
      </c>
      <c r="U1402" s="13" t="s">
        <v>0</v>
      </c>
      <c r="V1402" s="13" t="s">
        <v>0</v>
      </c>
      <c r="W1402" s="13" t="s">
        <v>0</v>
      </c>
      <c r="X1402" s="13" t="s">
        <v>0</v>
      </c>
      <c r="Y1402" s="13" t="s">
        <v>10</v>
      </c>
      <c r="Z1402" s="13" t="s">
        <v>0</v>
      </c>
      <c r="AA1402" s="14"/>
      <c r="AB1402" s="13" t="s">
        <v>0</v>
      </c>
      <c r="AC1402" s="13" t="s">
        <v>0</v>
      </c>
      <c r="AD1402" s="13" t="s">
        <v>0</v>
      </c>
      <c r="AE1402" s="15">
        <v>0</v>
      </c>
    </row>
    <row r="1403" spans="1:31" ht="14.15" customHeight="1" x14ac:dyDescent="0.25">
      <c r="A1403" s="12" t="s">
        <v>0</v>
      </c>
      <c r="B1403" s="13" t="s">
        <v>1</v>
      </c>
      <c r="C1403" s="13" t="s">
        <v>2603</v>
      </c>
      <c r="D1403" s="14">
        <v>44243</v>
      </c>
      <c r="E1403" s="14">
        <v>44243</v>
      </c>
      <c r="F1403" s="14">
        <v>44252</v>
      </c>
      <c r="G1403" s="13" t="s">
        <v>3</v>
      </c>
      <c r="H1403" s="13" t="s">
        <v>4</v>
      </c>
      <c r="I1403" s="15">
        <v>-12316.44</v>
      </c>
      <c r="J1403" s="13" t="s">
        <v>5</v>
      </c>
      <c r="K1403" s="13" t="s">
        <v>6</v>
      </c>
      <c r="L1403" s="15">
        <v>-1033965.14</v>
      </c>
      <c r="M1403" s="15">
        <v>-12316.44</v>
      </c>
      <c r="N1403" s="16" t="str">
        <f>IF(M1403="","",IF(M1403&lt;0,-M1403&amp;"_"&amp;COUNTIF(M$2:M1403,M1403),M1403&amp;"_"&amp;COUNTIF(M$2:M1403,M1403)))</f>
        <v>12316.44_1</v>
      </c>
      <c r="O1403" s="17" t="str">
        <f t="shared" si="21"/>
        <v/>
      </c>
      <c r="P1403" s="13" t="s">
        <v>2604</v>
      </c>
      <c r="Q1403" s="13" t="s">
        <v>2574</v>
      </c>
      <c r="R1403" s="13" t="s">
        <v>0</v>
      </c>
      <c r="S1403" s="13" t="s">
        <v>0</v>
      </c>
      <c r="T1403" s="13" t="s">
        <v>9</v>
      </c>
      <c r="U1403" s="13" t="s">
        <v>0</v>
      </c>
      <c r="V1403" s="13" t="s">
        <v>0</v>
      </c>
      <c r="W1403" s="13" t="s">
        <v>0</v>
      </c>
      <c r="X1403" s="13" t="s">
        <v>0</v>
      </c>
      <c r="Y1403" s="13" t="s">
        <v>10</v>
      </c>
      <c r="Z1403" s="13" t="s">
        <v>0</v>
      </c>
      <c r="AA1403" s="14"/>
      <c r="AB1403" s="13" t="s">
        <v>0</v>
      </c>
      <c r="AC1403" s="13" t="s">
        <v>0</v>
      </c>
      <c r="AD1403" s="13" t="s">
        <v>0</v>
      </c>
      <c r="AE1403" s="15">
        <v>0</v>
      </c>
    </row>
    <row r="1404" spans="1:31" ht="14.15" customHeight="1" x14ac:dyDescent="0.25">
      <c r="A1404" s="12" t="s">
        <v>0</v>
      </c>
      <c r="B1404" s="13" t="s">
        <v>1</v>
      </c>
      <c r="C1404" s="13" t="s">
        <v>1614</v>
      </c>
      <c r="D1404" s="14">
        <v>44168</v>
      </c>
      <c r="E1404" s="14">
        <v>44168</v>
      </c>
      <c r="F1404" s="14">
        <v>44185</v>
      </c>
      <c r="G1404" s="13" t="s">
        <v>3</v>
      </c>
      <c r="H1404" s="13" t="s">
        <v>4</v>
      </c>
      <c r="I1404" s="15">
        <v>-12259.8</v>
      </c>
      <c r="J1404" s="13" t="s">
        <v>5</v>
      </c>
      <c r="K1404" s="13" t="s">
        <v>6</v>
      </c>
      <c r="L1404" s="15">
        <v>-1029210.21</v>
      </c>
      <c r="M1404" s="15">
        <v>-12259.8</v>
      </c>
      <c r="N1404" s="16" t="str">
        <f>IF(M1404="","",IF(M1404&lt;0,-M1404&amp;"_"&amp;COUNTIF(M$2:M1404,M1404),M1404&amp;"_"&amp;COUNTIF(M$2:M1404,M1404)))</f>
        <v>12259.8_1</v>
      </c>
      <c r="O1404" s="17" t="str">
        <f t="shared" si="21"/>
        <v/>
      </c>
      <c r="P1404" s="13" t="s">
        <v>1615</v>
      </c>
      <c r="Q1404" s="13" t="s">
        <v>1605</v>
      </c>
      <c r="R1404" s="13" t="s">
        <v>0</v>
      </c>
      <c r="S1404" s="13" t="s">
        <v>0</v>
      </c>
      <c r="T1404" s="13" t="s">
        <v>9</v>
      </c>
      <c r="U1404" s="13" t="s">
        <v>0</v>
      </c>
      <c r="V1404" s="13" t="s">
        <v>0</v>
      </c>
      <c r="W1404" s="13" t="s">
        <v>0</v>
      </c>
      <c r="X1404" s="13" t="s">
        <v>0</v>
      </c>
      <c r="Y1404" s="13" t="s">
        <v>10</v>
      </c>
      <c r="Z1404" s="13" t="s">
        <v>0</v>
      </c>
      <c r="AA1404" s="14"/>
      <c r="AB1404" s="13" t="s">
        <v>0</v>
      </c>
      <c r="AC1404" s="13" t="s">
        <v>0</v>
      </c>
      <c r="AD1404" s="13" t="s">
        <v>0</v>
      </c>
      <c r="AE1404" s="15">
        <v>0</v>
      </c>
    </row>
    <row r="1405" spans="1:31" ht="14.15" customHeight="1" x14ac:dyDescent="0.25">
      <c r="A1405" s="12" t="s">
        <v>0</v>
      </c>
      <c r="B1405" s="13" t="s">
        <v>1</v>
      </c>
      <c r="C1405" s="13" t="s">
        <v>1685</v>
      </c>
      <c r="D1405" s="14">
        <v>44173</v>
      </c>
      <c r="E1405" s="14">
        <v>44173</v>
      </c>
      <c r="F1405" s="14">
        <v>44178</v>
      </c>
      <c r="G1405" s="13" t="s">
        <v>3</v>
      </c>
      <c r="H1405" s="13" t="s">
        <v>4</v>
      </c>
      <c r="I1405" s="15">
        <v>-12253.44</v>
      </c>
      <c r="J1405" s="13" t="s">
        <v>5</v>
      </c>
      <c r="K1405" s="13" t="s">
        <v>6</v>
      </c>
      <c r="L1405" s="15">
        <v>-1028676.29</v>
      </c>
      <c r="M1405" s="15">
        <v>-12253.44</v>
      </c>
      <c r="N1405" s="16" t="str">
        <f>IF(M1405="","",IF(M1405&lt;0,-M1405&amp;"_"&amp;COUNTIF(M$2:M1405,M1405),M1405&amp;"_"&amp;COUNTIF(M$2:M1405,M1405)))</f>
        <v>12253.44_1</v>
      </c>
      <c r="O1405" s="17" t="str">
        <f t="shared" si="21"/>
        <v/>
      </c>
      <c r="P1405" s="13" t="s">
        <v>1686</v>
      </c>
      <c r="Q1405" s="13" t="s">
        <v>1687</v>
      </c>
      <c r="R1405" s="13" t="s">
        <v>0</v>
      </c>
      <c r="S1405" s="13" t="s">
        <v>0</v>
      </c>
      <c r="T1405" s="13" t="s">
        <v>9</v>
      </c>
      <c r="U1405" s="13" t="s">
        <v>0</v>
      </c>
      <c r="V1405" s="13" t="s">
        <v>0</v>
      </c>
      <c r="W1405" s="13" t="s">
        <v>0</v>
      </c>
      <c r="X1405" s="13" t="s">
        <v>0</v>
      </c>
      <c r="Y1405" s="13" t="s">
        <v>10</v>
      </c>
      <c r="Z1405" s="13" t="s">
        <v>0</v>
      </c>
      <c r="AA1405" s="14"/>
      <c r="AB1405" s="13" t="s">
        <v>0</v>
      </c>
      <c r="AC1405" s="13" t="s">
        <v>0</v>
      </c>
      <c r="AD1405" s="13" t="s">
        <v>0</v>
      </c>
      <c r="AE1405" s="15">
        <v>0</v>
      </c>
    </row>
    <row r="1406" spans="1:31" ht="14.15" customHeight="1" x14ac:dyDescent="0.25">
      <c r="A1406" s="12" t="s">
        <v>0</v>
      </c>
      <c r="B1406" s="13" t="s">
        <v>1</v>
      </c>
      <c r="C1406" s="13" t="s">
        <v>4069</v>
      </c>
      <c r="D1406" s="14">
        <v>44360</v>
      </c>
      <c r="E1406" s="14">
        <v>44360</v>
      </c>
      <c r="F1406" s="14">
        <v>44384</v>
      </c>
      <c r="G1406" s="13" t="s">
        <v>3</v>
      </c>
      <c r="H1406" s="13" t="s">
        <v>4</v>
      </c>
      <c r="I1406" s="15">
        <v>-12205.48</v>
      </c>
      <c r="J1406" s="13" t="s">
        <v>5</v>
      </c>
      <c r="K1406" s="13" t="s">
        <v>6</v>
      </c>
      <c r="L1406" s="15">
        <v>-1024650.05</v>
      </c>
      <c r="M1406" s="15">
        <v>-12205.48</v>
      </c>
      <c r="N1406" s="16" t="str">
        <f>IF(M1406="","",IF(M1406&lt;0,-M1406&amp;"_"&amp;COUNTIF(M$2:M1406,M1406),M1406&amp;"_"&amp;COUNTIF(M$2:M1406,M1406)))</f>
        <v>12205.48_1</v>
      </c>
      <c r="O1406" s="17" t="str">
        <f t="shared" si="21"/>
        <v/>
      </c>
      <c r="P1406" s="13" t="s">
        <v>4070</v>
      </c>
      <c r="Q1406" s="13" t="s">
        <v>4062</v>
      </c>
      <c r="R1406" s="13" t="s">
        <v>0</v>
      </c>
      <c r="S1406" s="13" t="s">
        <v>0</v>
      </c>
      <c r="T1406" s="13" t="s">
        <v>9</v>
      </c>
      <c r="U1406" s="13" t="s">
        <v>0</v>
      </c>
      <c r="V1406" s="13" t="s">
        <v>0</v>
      </c>
      <c r="W1406" s="13" t="s">
        <v>0</v>
      </c>
      <c r="X1406" s="13" t="s">
        <v>0</v>
      </c>
      <c r="Y1406" s="13" t="s">
        <v>10</v>
      </c>
      <c r="Z1406" s="13" t="s">
        <v>0</v>
      </c>
      <c r="AA1406" s="14"/>
      <c r="AB1406" s="13" t="s">
        <v>0</v>
      </c>
      <c r="AC1406" s="13" t="s">
        <v>0</v>
      </c>
      <c r="AD1406" s="13" t="s">
        <v>0</v>
      </c>
      <c r="AE1406" s="15">
        <v>0</v>
      </c>
    </row>
    <row r="1407" spans="1:31" ht="14.15" customHeight="1" x14ac:dyDescent="0.25">
      <c r="A1407" s="12" t="s">
        <v>0</v>
      </c>
      <c r="B1407" s="13" t="s">
        <v>1</v>
      </c>
      <c r="C1407" s="13" t="s">
        <v>1400</v>
      </c>
      <c r="D1407" s="14">
        <v>44153</v>
      </c>
      <c r="E1407" s="14">
        <v>44153</v>
      </c>
      <c r="F1407" s="14">
        <v>44161</v>
      </c>
      <c r="G1407" s="13" t="s">
        <v>3</v>
      </c>
      <c r="H1407" s="13" t="s">
        <v>4</v>
      </c>
      <c r="I1407" s="15">
        <v>-12185.79</v>
      </c>
      <c r="J1407" s="13" t="s">
        <v>5</v>
      </c>
      <c r="K1407" s="13" t="s">
        <v>6</v>
      </c>
      <c r="L1407" s="15">
        <v>-1022997.07</v>
      </c>
      <c r="M1407" s="15">
        <v>-12185.79</v>
      </c>
      <c r="N1407" s="16" t="str">
        <f>IF(M1407="","",IF(M1407&lt;0,-M1407&amp;"_"&amp;COUNTIF(M$2:M1407,M1407),M1407&amp;"_"&amp;COUNTIF(M$2:M1407,M1407)))</f>
        <v>12185.79_1</v>
      </c>
      <c r="O1407" s="17" t="str">
        <f t="shared" si="21"/>
        <v/>
      </c>
      <c r="P1407" s="13" t="s">
        <v>1401</v>
      </c>
      <c r="Q1407" s="13" t="s">
        <v>1381</v>
      </c>
      <c r="R1407" s="13" t="s">
        <v>0</v>
      </c>
      <c r="S1407" s="13" t="s">
        <v>0</v>
      </c>
      <c r="T1407" s="13" t="s">
        <v>9</v>
      </c>
      <c r="U1407" s="13" t="s">
        <v>0</v>
      </c>
      <c r="V1407" s="13" t="s">
        <v>0</v>
      </c>
      <c r="W1407" s="13" t="s">
        <v>0</v>
      </c>
      <c r="X1407" s="13" t="s">
        <v>0</v>
      </c>
      <c r="Y1407" s="13" t="s">
        <v>10</v>
      </c>
      <c r="Z1407" s="13" t="s">
        <v>0</v>
      </c>
      <c r="AA1407" s="14"/>
      <c r="AB1407" s="13" t="s">
        <v>0</v>
      </c>
      <c r="AC1407" s="13" t="s">
        <v>0</v>
      </c>
      <c r="AD1407" s="13" t="s">
        <v>0</v>
      </c>
      <c r="AE1407" s="15">
        <v>0</v>
      </c>
    </row>
    <row r="1408" spans="1:31" ht="14.15" customHeight="1" x14ac:dyDescent="0.25">
      <c r="A1408" s="12" t="s">
        <v>0</v>
      </c>
      <c r="B1408" s="13" t="s">
        <v>1</v>
      </c>
      <c r="C1408" s="13" t="s">
        <v>381</v>
      </c>
      <c r="D1408" s="14">
        <v>44057</v>
      </c>
      <c r="E1408" s="14">
        <v>44057</v>
      </c>
      <c r="F1408" s="14">
        <v>44063</v>
      </c>
      <c r="G1408" s="13" t="s">
        <v>3</v>
      </c>
      <c r="H1408" s="13" t="s">
        <v>4</v>
      </c>
      <c r="I1408" s="15">
        <v>-12180.03</v>
      </c>
      <c r="J1408" s="13" t="s">
        <v>5</v>
      </c>
      <c r="K1408" s="13" t="s">
        <v>6</v>
      </c>
      <c r="L1408" s="15">
        <v>-1022513.52</v>
      </c>
      <c r="M1408" s="15">
        <v>-12180.03</v>
      </c>
      <c r="N1408" s="16" t="str">
        <f>IF(M1408="","",IF(M1408&lt;0,-M1408&amp;"_"&amp;COUNTIF(M$2:M1408,M1408),M1408&amp;"_"&amp;COUNTIF(M$2:M1408,M1408)))</f>
        <v>12180.03_1</v>
      </c>
      <c r="O1408" s="17" t="str">
        <f t="shared" si="21"/>
        <v/>
      </c>
      <c r="P1408" s="13" t="s">
        <v>382</v>
      </c>
      <c r="Q1408" s="13" t="s">
        <v>376</v>
      </c>
      <c r="R1408" s="13" t="s">
        <v>0</v>
      </c>
      <c r="S1408" s="13" t="s">
        <v>0</v>
      </c>
      <c r="T1408" s="13" t="s">
        <v>9</v>
      </c>
      <c r="U1408" s="13" t="s">
        <v>0</v>
      </c>
      <c r="V1408" s="13" t="s">
        <v>0</v>
      </c>
      <c r="W1408" s="13" t="s">
        <v>0</v>
      </c>
      <c r="X1408" s="13" t="s">
        <v>0</v>
      </c>
      <c r="Y1408" s="13" t="s">
        <v>10</v>
      </c>
      <c r="Z1408" s="13" t="s">
        <v>0</v>
      </c>
      <c r="AA1408" s="14"/>
      <c r="AB1408" s="13" t="s">
        <v>0</v>
      </c>
      <c r="AC1408" s="13" t="s">
        <v>0</v>
      </c>
      <c r="AD1408" s="13" t="s">
        <v>0</v>
      </c>
      <c r="AE1408" s="15">
        <v>0</v>
      </c>
    </row>
    <row r="1409" spans="1:31" ht="14.15" customHeight="1" x14ac:dyDescent="0.25">
      <c r="A1409" s="12" t="s">
        <v>0</v>
      </c>
      <c r="B1409" s="13" t="s">
        <v>1</v>
      </c>
      <c r="C1409" s="13" t="s">
        <v>3614</v>
      </c>
      <c r="D1409" s="14">
        <v>44329</v>
      </c>
      <c r="E1409" s="14">
        <v>44329</v>
      </c>
      <c r="F1409" s="14">
        <v>44336</v>
      </c>
      <c r="G1409" s="13" t="s">
        <v>3</v>
      </c>
      <c r="H1409" s="13" t="s">
        <v>4</v>
      </c>
      <c r="I1409" s="15">
        <v>-12166.69</v>
      </c>
      <c r="J1409" s="13" t="s">
        <v>5</v>
      </c>
      <c r="K1409" s="13" t="s">
        <v>6</v>
      </c>
      <c r="L1409" s="15">
        <v>-1021393.63</v>
      </c>
      <c r="M1409" s="15">
        <v>-12166.69</v>
      </c>
      <c r="N1409" s="16" t="str">
        <f>IF(M1409="","",IF(M1409&lt;0,-M1409&amp;"_"&amp;COUNTIF(M$2:M1409,M1409),M1409&amp;"_"&amp;COUNTIF(M$2:M1409,M1409)))</f>
        <v>12166.69_1</v>
      </c>
      <c r="O1409" s="17" t="str">
        <f t="shared" si="21"/>
        <v/>
      </c>
      <c r="P1409" s="13" t="s">
        <v>3615</v>
      </c>
      <c r="Q1409" s="13" t="s">
        <v>3603</v>
      </c>
      <c r="R1409" s="13" t="s">
        <v>0</v>
      </c>
      <c r="S1409" s="13" t="s">
        <v>0</v>
      </c>
      <c r="T1409" s="13" t="s">
        <v>9</v>
      </c>
      <c r="U1409" s="13" t="s">
        <v>0</v>
      </c>
      <c r="V1409" s="13" t="s">
        <v>0</v>
      </c>
      <c r="W1409" s="13" t="s">
        <v>0</v>
      </c>
      <c r="X1409" s="13" t="s">
        <v>0</v>
      </c>
      <c r="Y1409" s="13" t="s">
        <v>10</v>
      </c>
      <c r="Z1409" s="13" t="s">
        <v>0</v>
      </c>
      <c r="AA1409" s="14"/>
      <c r="AB1409" s="13" t="s">
        <v>0</v>
      </c>
      <c r="AC1409" s="13" t="s">
        <v>0</v>
      </c>
      <c r="AD1409" s="13" t="s">
        <v>0</v>
      </c>
      <c r="AE1409" s="15">
        <v>0</v>
      </c>
    </row>
    <row r="1410" spans="1:31" ht="14.15" customHeight="1" x14ac:dyDescent="0.25">
      <c r="A1410" s="12" t="s">
        <v>0</v>
      </c>
      <c r="B1410" s="13" t="s">
        <v>1</v>
      </c>
      <c r="C1410" s="13" t="s">
        <v>228</v>
      </c>
      <c r="D1410" s="14">
        <v>44039</v>
      </c>
      <c r="E1410" s="14">
        <v>44039</v>
      </c>
      <c r="F1410" s="14">
        <v>44042</v>
      </c>
      <c r="G1410" s="13" t="s">
        <v>3</v>
      </c>
      <c r="H1410" s="13" t="s">
        <v>4</v>
      </c>
      <c r="I1410" s="15">
        <v>-12150.48</v>
      </c>
      <c r="J1410" s="13" t="s">
        <v>5</v>
      </c>
      <c r="K1410" s="13" t="s">
        <v>6</v>
      </c>
      <c r="L1410" s="15">
        <v>-1020032.79</v>
      </c>
      <c r="M1410" s="15">
        <v>-12150.48</v>
      </c>
      <c r="N1410" s="16" t="str">
        <f>IF(M1410="","",IF(M1410&lt;0,-M1410&amp;"_"&amp;COUNTIF(M$2:M1410,M1410),M1410&amp;"_"&amp;COUNTIF(M$2:M1410,M1410)))</f>
        <v>12150.48_1</v>
      </c>
      <c r="O1410" s="17" t="str">
        <f t="shared" ref="O1410:O1473" si="22">IF(COUNTIF(N:N,N1410)=2,"x","")</f>
        <v/>
      </c>
      <c r="P1410" s="13" t="s">
        <v>229</v>
      </c>
      <c r="Q1410" s="13" t="s">
        <v>230</v>
      </c>
      <c r="R1410" s="13" t="s">
        <v>0</v>
      </c>
      <c r="S1410" s="13" t="s">
        <v>0</v>
      </c>
      <c r="T1410" s="13" t="s">
        <v>9</v>
      </c>
      <c r="U1410" s="13" t="s">
        <v>0</v>
      </c>
      <c r="V1410" s="13" t="s">
        <v>0</v>
      </c>
      <c r="W1410" s="13" t="s">
        <v>0</v>
      </c>
      <c r="X1410" s="13" t="s">
        <v>0</v>
      </c>
      <c r="Y1410" s="13" t="s">
        <v>10</v>
      </c>
      <c r="Z1410" s="13" t="s">
        <v>0</v>
      </c>
      <c r="AA1410" s="14"/>
      <c r="AB1410" s="13" t="s">
        <v>0</v>
      </c>
      <c r="AC1410" s="13" t="s">
        <v>0</v>
      </c>
      <c r="AD1410" s="13" t="s">
        <v>0</v>
      </c>
      <c r="AE1410" s="15">
        <v>0</v>
      </c>
    </row>
    <row r="1411" spans="1:31" ht="14.15" customHeight="1" x14ac:dyDescent="0.25">
      <c r="A1411" s="12" t="s">
        <v>0</v>
      </c>
      <c r="B1411" s="13" t="s">
        <v>1</v>
      </c>
      <c r="C1411" s="13" t="s">
        <v>4201</v>
      </c>
      <c r="D1411" s="14">
        <v>44364</v>
      </c>
      <c r="E1411" s="14">
        <v>44364</v>
      </c>
      <c r="F1411" s="14">
        <v>44371</v>
      </c>
      <c r="G1411" s="13" t="s">
        <v>3</v>
      </c>
      <c r="H1411" s="13" t="s">
        <v>4</v>
      </c>
      <c r="I1411" s="15">
        <v>-12147.46</v>
      </c>
      <c r="J1411" s="13" t="s">
        <v>5</v>
      </c>
      <c r="K1411" s="13" t="s">
        <v>6</v>
      </c>
      <c r="L1411" s="15">
        <v>-1019779.27</v>
      </c>
      <c r="M1411" s="15">
        <v>-12147.46</v>
      </c>
      <c r="N1411" s="16" t="str">
        <f>IF(M1411="","",IF(M1411&lt;0,-M1411&amp;"_"&amp;COUNTIF(M$2:M1411,M1411),M1411&amp;"_"&amp;COUNTIF(M$2:M1411,M1411)))</f>
        <v>12147.46_1</v>
      </c>
      <c r="O1411" s="17" t="str">
        <f t="shared" si="22"/>
        <v/>
      </c>
      <c r="P1411" s="13" t="s">
        <v>4202</v>
      </c>
      <c r="Q1411" s="13" t="s">
        <v>4180</v>
      </c>
      <c r="R1411" s="13" t="s">
        <v>0</v>
      </c>
      <c r="S1411" s="13" t="s">
        <v>0</v>
      </c>
      <c r="T1411" s="13" t="s">
        <v>9</v>
      </c>
      <c r="U1411" s="13" t="s">
        <v>0</v>
      </c>
      <c r="V1411" s="13" t="s">
        <v>0</v>
      </c>
      <c r="W1411" s="13" t="s">
        <v>0</v>
      </c>
      <c r="X1411" s="13" t="s">
        <v>0</v>
      </c>
      <c r="Y1411" s="13" t="s">
        <v>10</v>
      </c>
      <c r="Z1411" s="13" t="s">
        <v>0</v>
      </c>
      <c r="AA1411" s="14"/>
      <c r="AB1411" s="13" t="s">
        <v>0</v>
      </c>
      <c r="AC1411" s="13" t="s">
        <v>0</v>
      </c>
      <c r="AD1411" s="13" t="s">
        <v>0</v>
      </c>
      <c r="AE1411" s="15">
        <v>0</v>
      </c>
    </row>
    <row r="1412" spans="1:31" ht="14.15" customHeight="1" x14ac:dyDescent="0.25">
      <c r="A1412" s="12" t="s">
        <v>0</v>
      </c>
      <c r="B1412" s="13" t="s">
        <v>1</v>
      </c>
      <c r="C1412" s="13" t="s">
        <v>1052</v>
      </c>
      <c r="D1412" s="14">
        <v>44131</v>
      </c>
      <c r="E1412" s="14">
        <v>44131</v>
      </c>
      <c r="F1412" s="14">
        <v>44138</v>
      </c>
      <c r="G1412" s="13" t="s">
        <v>3</v>
      </c>
      <c r="H1412" s="13" t="s">
        <v>4</v>
      </c>
      <c r="I1412" s="15">
        <v>-12140.22</v>
      </c>
      <c r="J1412" s="13" t="s">
        <v>5</v>
      </c>
      <c r="K1412" s="13" t="s">
        <v>6</v>
      </c>
      <c r="L1412" s="15">
        <v>-1019171.47</v>
      </c>
      <c r="M1412" s="15">
        <v>-12140.22</v>
      </c>
      <c r="N1412" s="16" t="str">
        <f>IF(M1412="","",IF(M1412&lt;0,-M1412&amp;"_"&amp;COUNTIF(M$2:M1412,M1412),M1412&amp;"_"&amp;COUNTIF(M$2:M1412,M1412)))</f>
        <v>12140.22_1</v>
      </c>
      <c r="O1412" s="17" t="str">
        <f t="shared" si="22"/>
        <v/>
      </c>
      <c r="P1412" s="13" t="s">
        <v>1053</v>
      </c>
      <c r="Q1412" s="13" t="s">
        <v>1041</v>
      </c>
      <c r="R1412" s="13" t="s">
        <v>0</v>
      </c>
      <c r="S1412" s="13" t="s">
        <v>0</v>
      </c>
      <c r="T1412" s="13" t="s">
        <v>9</v>
      </c>
      <c r="U1412" s="13" t="s">
        <v>0</v>
      </c>
      <c r="V1412" s="13" t="s">
        <v>0</v>
      </c>
      <c r="W1412" s="13" t="s">
        <v>0</v>
      </c>
      <c r="X1412" s="13" t="s">
        <v>0</v>
      </c>
      <c r="Y1412" s="13" t="s">
        <v>10</v>
      </c>
      <c r="Z1412" s="13" t="s">
        <v>0</v>
      </c>
      <c r="AA1412" s="14"/>
      <c r="AB1412" s="13" t="s">
        <v>0</v>
      </c>
      <c r="AC1412" s="13" t="s">
        <v>0</v>
      </c>
      <c r="AD1412" s="13" t="s">
        <v>0</v>
      </c>
      <c r="AE1412" s="15">
        <v>0</v>
      </c>
    </row>
    <row r="1413" spans="1:31" ht="14.15" customHeight="1" x14ac:dyDescent="0.25">
      <c r="A1413" s="12" t="s">
        <v>0</v>
      </c>
      <c r="B1413" s="13" t="s">
        <v>1</v>
      </c>
      <c r="C1413" s="13" t="s">
        <v>1504</v>
      </c>
      <c r="D1413" s="14">
        <v>44162</v>
      </c>
      <c r="E1413" s="14">
        <v>44162</v>
      </c>
      <c r="F1413" s="14">
        <v>44167</v>
      </c>
      <c r="G1413" s="13" t="s">
        <v>3</v>
      </c>
      <c r="H1413" s="13" t="s">
        <v>4</v>
      </c>
      <c r="I1413" s="15">
        <v>-12117.82</v>
      </c>
      <c r="J1413" s="13" t="s">
        <v>5</v>
      </c>
      <c r="K1413" s="13" t="s">
        <v>6</v>
      </c>
      <c r="L1413" s="15">
        <v>-1017290.99</v>
      </c>
      <c r="M1413" s="15">
        <v>-12117.82</v>
      </c>
      <c r="N1413" s="16" t="str">
        <f>IF(M1413="","",IF(M1413&lt;0,-M1413&amp;"_"&amp;COUNTIF(M$2:M1413,M1413),M1413&amp;"_"&amp;COUNTIF(M$2:M1413,M1413)))</f>
        <v>12117.82_1</v>
      </c>
      <c r="O1413" s="17" t="str">
        <f t="shared" si="22"/>
        <v/>
      </c>
      <c r="P1413" s="13" t="s">
        <v>1505</v>
      </c>
      <c r="Q1413" s="13" t="s">
        <v>1506</v>
      </c>
      <c r="R1413" s="13" t="s">
        <v>0</v>
      </c>
      <c r="S1413" s="13" t="s">
        <v>0</v>
      </c>
      <c r="T1413" s="13" t="s">
        <v>9</v>
      </c>
      <c r="U1413" s="13" t="s">
        <v>0</v>
      </c>
      <c r="V1413" s="13" t="s">
        <v>0</v>
      </c>
      <c r="W1413" s="13" t="s">
        <v>0</v>
      </c>
      <c r="X1413" s="13" t="s">
        <v>0</v>
      </c>
      <c r="Y1413" s="13" t="s">
        <v>10</v>
      </c>
      <c r="Z1413" s="13" t="s">
        <v>0</v>
      </c>
      <c r="AA1413" s="14"/>
      <c r="AB1413" s="13" t="s">
        <v>0</v>
      </c>
      <c r="AC1413" s="13" t="s">
        <v>0</v>
      </c>
      <c r="AD1413" s="13" t="s">
        <v>0</v>
      </c>
      <c r="AE1413" s="15">
        <v>0</v>
      </c>
    </row>
    <row r="1414" spans="1:31" ht="14.15" customHeight="1" x14ac:dyDescent="0.25">
      <c r="A1414" s="12" t="s">
        <v>0</v>
      </c>
      <c r="B1414" s="13" t="s">
        <v>1</v>
      </c>
      <c r="C1414" s="13" t="s">
        <v>4105</v>
      </c>
      <c r="D1414" s="14">
        <v>44363</v>
      </c>
      <c r="E1414" s="14">
        <v>44363</v>
      </c>
      <c r="F1414" s="14">
        <v>44364</v>
      </c>
      <c r="G1414" s="13" t="s">
        <v>3</v>
      </c>
      <c r="H1414" s="13" t="s">
        <v>4</v>
      </c>
      <c r="I1414" s="15">
        <v>-12108.18</v>
      </c>
      <c r="J1414" s="13" t="s">
        <v>5</v>
      </c>
      <c r="K1414" s="13" t="s">
        <v>6</v>
      </c>
      <c r="L1414" s="15">
        <v>-1016481.71</v>
      </c>
      <c r="M1414" s="15">
        <v>-12108.18</v>
      </c>
      <c r="N1414" s="16" t="str">
        <f>IF(M1414="","",IF(M1414&lt;0,-M1414&amp;"_"&amp;COUNTIF(M$2:M1414,M1414),M1414&amp;"_"&amp;COUNTIF(M$2:M1414,M1414)))</f>
        <v>12108.18_1</v>
      </c>
      <c r="O1414" s="17" t="str">
        <f t="shared" si="22"/>
        <v/>
      </c>
      <c r="P1414" s="13" t="s">
        <v>4106</v>
      </c>
      <c r="Q1414" s="13" t="s">
        <v>4107</v>
      </c>
      <c r="R1414" s="13" t="s">
        <v>0</v>
      </c>
      <c r="S1414" s="13" t="s">
        <v>0</v>
      </c>
      <c r="T1414" s="13" t="s">
        <v>9</v>
      </c>
      <c r="U1414" s="13" t="s">
        <v>0</v>
      </c>
      <c r="V1414" s="13" t="s">
        <v>0</v>
      </c>
      <c r="W1414" s="13" t="s">
        <v>0</v>
      </c>
      <c r="X1414" s="13" t="s">
        <v>0</v>
      </c>
      <c r="Y1414" s="13" t="s">
        <v>10</v>
      </c>
      <c r="Z1414" s="13" t="s">
        <v>0</v>
      </c>
      <c r="AA1414" s="14"/>
      <c r="AB1414" s="13" t="s">
        <v>0</v>
      </c>
      <c r="AC1414" s="13" t="s">
        <v>0</v>
      </c>
      <c r="AD1414" s="13" t="s">
        <v>0</v>
      </c>
      <c r="AE1414" s="15">
        <v>0</v>
      </c>
    </row>
    <row r="1415" spans="1:31" ht="14.15" customHeight="1" x14ac:dyDescent="0.25">
      <c r="A1415" s="12" t="s">
        <v>0</v>
      </c>
      <c r="B1415" s="13" t="s">
        <v>1</v>
      </c>
      <c r="C1415" s="13" t="s">
        <v>1521</v>
      </c>
      <c r="D1415" s="14">
        <v>44164</v>
      </c>
      <c r="E1415" s="14">
        <v>44164</v>
      </c>
      <c r="F1415" s="14">
        <v>44166</v>
      </c>
      <c r="G1415" s="13" t="s">
        <v>3</v>
      </c>
      <c r="H1415" s="13" t="s">
        <v>4</v>
      </c>
      <c r="I1415" s="15">
        <v>-12085.56</v>
      </c>
      <c r="J1415" s="13" t="s">
        <v>5</v>
      </c>
      <c r="K1415" s="13" t="s">
        <v>6</v>
      </c>
      <c r="L1415" s="15">
        <v>-1014582.76</v>
      </c>
      <c r="M1415" s="15">
        <v>-12085.56</v>
      </c>
      <c r="N1415" s="16" t="str">
        <f>IF(M1415="","",IF(M1415&lt;0,-M1415&amp;"_"&amp;COUNTIF(M$2:M1415,M1415),M1415&amp;"_"&amp;COUNTIF(M$2:M1415,M1415)))</f>
        <v>12085.56_1</v>
      </c>
      <c r="O1415" s="17" t="str">
        <f t="shared" si="22"/>
        <v/>
      </c>
      <c r="P1415" s="13" t="s">
        <v>1522</v>
      </c>
      <c r="Q1415" s="13" t="s">
        <v>1516</v>
      </c>
      <c r="R1415" s="13" t="s">
        <v>0</v>
      </c>
      <c r="S1415" s="13" t="s">
        <v>0</v>
      </c>
      <c r="T1415" s="13" t="s">
        <v>9</v>
      </c>
      <c r="U1415" s="13" t="s">
        <v>0</v>
      </c>
      <c r="V1415" s="13" t="s">
        <v>0</v>
      </c>
      <c r="W1415" s="13" t="s">
        <v>0</v>
      </c>
      <c r="X1415" s="13" t="s">
        <v>0</v>
      </c>
      <c r="Y1415" s="13" t="s">
        <v>10</v>
      </c>
      <c r="Z1415" s="13" t="s">
        <v>0</v>
      </c>
      <c r="AA1415" s="14"/>
      <c r="AB1415" s="13" t="s">
        <v>0</v>
      </c>
      <c r="AC1415" s="13" t="s">
        <v>0</v>
      </c>
      <c r="AD1415" s="13" t="s">
        <v>0</v>
      </c>
      <c r="AE1415" s="15">
        <v>0</v>
      </c>
    </row>
    <row r="1416" spans="1:31" ht="14.15" customHeight="1" x14ac:dyDescent="0.25">
      <c r="A1416" s="12" t="s">
        <v>0</v>
      </c>
      <c r="B1416" s="13" t="s">
        <v>1</v>
      </c>
      <c r="C1416" s="13" t="s">
        <v>1660</v>
      </c>
      <c r="D1416" s="14">
        <v>44171</v>
      </c>
      <c r="E1416" s="14">
        <v>44171</v>
      </c>
      <c r="F1416" s="14">
        <v>44174</v>
      </c>
      <c r="G1416" s="13" t="s">
        <v>3</v>
      </c>
      <c r="H1416" s="13" t="s">
        <v>4</v>
      </c>
      <c r="I1416" s="15">
        <v>-12085.56</v>
      </c>
      <c r="J1416" s="13" t="s">
        <v>5</v>
      </c>
      <c r="K1416" s="13" t="s">
        <v>6</v>
      </c>
      <c r="L1416" s="15">
        <v>-1014582.76</v>
      </c>
      <c r="M1416" s="15">
        <v>-12085.56</v>
      </c>
      <c r="N1416" s="16" t="str">
        <f>IF(M1416="","",IF(M1416&lt;0,-M1416&amp;"_"&amp;COUNTIF(M$2:M1416,M1416),M1416&amp;"_"&amp;COUNTIF(M$2:M1416,M1416)))</f>
        <v>12085.56_2</v>
      </c>
      <c r="O1416" s="17" t="str">
        <f t="shared" si="22"/>
        <v/>
      </c>
      <c r="P1416" s="13" t="s">
        <v>1661</v>
      </c>
      <c r="Q1416" s="13" t="s">
        <v>1659</v>
      </c>
      <c r="R1416" s="13" t="s">
        <v>0</v>
      </c>
      <c r="S1416" s="13" t="s">
        <v>0</v>
      </c>
      <c r="T1416" s="13" t="s">
        <v>9</v>
      </c>
      <c r="U1416" s="13" t="s">
        <v>0</v>
      </c>
      <c r="V1416" s="13" t="s">
        <v>0</v>
      </c>
      <c r="W1416" s="13" t="s">
        <v>0</v>
      </c>
      <c r="X1416" s="13" t="s">
        <v>0</v>
      </c>
      <c r="Y1416" s="13" t="s">
        <v>10</v>
      </c>
      <c r="Z1416" s="13" t="s">
        <v>0</v>
      </c>
      <c r="AA1416" s="14"/>
      <c r="AB1416" s="13" t="s">
        <v>0</v>
      </c>
      <c r="AC1416" s="13" t="s">
        <v>0</v>
      </c>
      <c r="AD1416" s="13" t="s">
        <v>0</v>
      </c>
      <c r="AE1416" s="15">
        <v>0</v>
      </c>
    </row>
    <row r="1417" spans="1:31" ht="14.15" customHeight="1" x14ac:dyDescent="0.25">
      <c r="A1417" s="12" t="s">
        <v>0</v>
      </c>
      <c r="B1417" s="13" t="s">
        <v>1</v>
      </c>
      <c r="C1417" s="13" t="s">
        <v>2172</v>
      </c>
      <c r="D1417" s="14">
        <v>44209</v>
      </c>
      <c r="E1417" s="14">
        <v>44209</v>
      </c>
      <c r="F1417" s="14">
        <v>44228</v>
      </c>
      <c r="G1417" s="13" t="s">
        <v>3</v>
      </c>
      <c r="H1417" s="13" t="s">
        <v>4</v>
      </c>
      <c r="I1417" s="15">
        <v>-12079.21</v>
      </c>
      <c r="J1417" s="13" t="s">
        <v>5</v>
      </c>
      <c r="K1417" s="13" t="s">
        <v>6</v>
      </c>
      <c r="L1417" s="15">
        <v>-1014049.68</v>
      </c>
      <c r="M1417" s="15">
        <v>-12079.21</v>
      </c>
      <c r="N1417" s="16" t="str">
        <f>IF(M1417="","",IF(M1417&lt;0,-M1417&amp;"_"&amp;COUNTIF(M$2:M1417,M1417),M1417&amp;"_"&amp;COUNTIF(M$2:M1417,M1417)))</f>
        <v>12079.21_1</v>
      </c>
      <c r="O1417" s="17" t="str">
        <f t="shared" si="22"/>
        <v/>
      </c>
      <c r="P1417" s="13" t="s">
        <v>2173</v>
      </c>
      <c r="Q1417" s="13" t="s">
        <v>2159</v>
      </c>
      <c r="R1417" s="13" t="s">
        <v>0</v>
      </c>
      <c r="S1417" s="13" t="s">
        <v>0</v>
      </c>
      <c r="T1417" s="13" t="s">
        <v>9</v>
      </c>
      <c r="U1417" s="13" t="s">
        <v>0</v>
      </c>
      <c r="V1417" s="13" t="s">
        <v>0</v>
      </c>
      <c r="W1417" s="13" t="s">
        <v>0</v>
      </c>
      <c r="X1417" s="13" t="s">
        <v>0</v>
      </c>
      <c r="Y1417" s="13" t="s">
        <v>10</v>
      </c>
      <c r="Z1417" s="13" t="s">
        <v>0</v>
      </c>
      <c r="AA1417" s="14"/>
      <c r="AB1417" s="13" t="s">
        <v>0</v>
      </c>
      <c r="AC1417" s="13" t="s">
        <v>0</v>
      </c>
      <c r="AD1417" s="13" t="s">
        <v>0</v>
      </c>
      <c r="AE1417" s="15">
        <v>0</v>
      </c>
    </row>
    <row r="1418" spans="1:31" ht="14.15" customHeight="1" x14ac:dyDescent="0.25">
      <c r="A1418" s="12" t="s">
        <v>0</v>
      </c>
      <c r="B1418" s="13" t="s">
        <v>1</v>
      </c>
      <c r="C1418" s="13" t="s">
        <v>3218</v>
      </c>
      <c r="D1418" s="14">
        <v>44303</v>
      </c>
      <c r="E1418" s="14">
        <v>44303</v>
      </c>
      <c r="F1418" s="14">
        <v>44308</v>
      </c>
      <c r="G1418" s="13" t="s">
        <v>3</v>
      </c>
      <c r="H1418" s="13" t="s">
        <v>4</v>
      </c>
      <c r="I1418" s="15">
        <v>-12076.62</v>
      </c>
      <c r="J1418" s="13" t="s">
        <v>5</v>
      </c>
      <c r="K1418" s="13" t="s">
        <v>6</v>
      </c>
      <c r="L1418" s="15">
        <v>-1013832.25</v>
      </c>
      <c r="M1418" s="15">
        <v>-12076.62</v>
      </c>
      <c r="N1418" s="16" t="str">
        <f>IF(M1418="","",IF(M1418&lt;0,-M1418&amp;"_"&amp;COUNTIF(M$2:M1418,M1418),M1418&amp;"_"&amp;COUNTIF(M$2:M1418,M1418)))</f>
        <v>12076.62_1</v>
      </c>
      <c r="O1418" s="17" t="str">
        <f t="shared" si="22"/>
        <v/>
      </c>
      <c r="P1418" s="13" t="s">
        <v>3219</v>
      </c>
      <c r="Q1418" s="13" t="s">
        <v>3215</v>
      </c>
      <c r="R1418" s="13" t="s">
        <v>0</v>
      </c>
      <c r="S1418" s="13" t="s">
        <v>0</v>
      </c>
      <c r="T1418" s="13" t="s">
        <v>9</v>
      </c>
      <c r="U1418" s="13" t="s">
        <v>0</v>
      </c>
      <c r="V1418" s="13" t="s">
        <v>0</v>
      </c>
      <c r="W1418" s="13" t="s">
        <v>0</v>
      </c>
      <c r="X1418" s="13" t="s">
        <v>0</v>
      </c>
      <c r="Y1418" s="13" t="s">
        <v>10</v>
      </c>
      <c r="Z1418" s="13" t="s">
        <v>0</v>
      </c>
      <c r="AA1418" s="14"/>
      <c r="AB1418" s="13" t="s">
        <v>0</v>
      </c>
      <c r="AC1418" s="13" t="s">
        <v>0</v>
      </c>
      <c r="AD1418" s="13" t="s">
        <v>0</v>
      </c>
      <c r="AE1418" s="15">
        <v>0</v>
      </c>
    </row>
    <row r="1419" spans="1:31" ht="14.15" customHeight="1" x14ac:dyDescent="0.25">
      <c r="A1419" s="12" t="s">
        <v>0</v>
      </c>
      <c r="B1419" s="13" t="s">
        <v>1</v>
      </c>
      <c r="C1419" s="13" t="s">
        <v>4201</v>
      </c>
      <c r="D1419" s="14">
        <v>44364</v>
      </c>
      <c r="E1419" s="14">
        <v>44364</v>
      </c>
      <c r="F1419" s="14">
        <v>44371</v>
      </c>
      <c r="G1419" s="13" t="s">
        <v>3</v>
      </c>
      <c r="H1419" s="13" t="s">
        <v>4</v>
      </c>
      <c r="I1419" s="15">
        <v>-12073.64</v>
      </c>
      <c r="J1419" s="13" t="s">
        <v>5</v>
      </c>
      <c r="K1419" s="13" t="s">
        <v>6</v>
      </c>
      <c r="L1419" s="15">
        <v>-1013582.08</v>
      </c>
      <c r="M1419" s="15">
        <v>-12073.64</v>
      </c>
      <c r="N1419" s="16" t="str">
        <f>IF(M1419="","",IF(M1419&lt;0,-M1419&amp;"_"&amp;COUNTIF(M$2:M1419,M1419),M1419&amp;"_"&amp;COUNTIF(M$2:M1419,M1419)))</f>
        <v>12073.64_1</v>
      </c>
      <c r="O1419" s="17" t="str">
        <f t="shared" si="22"/>
        <v/>
      </c>
      <c r="P1419" s="13" t="s">
        <v>4202</v>
      </c>
      <c r="Q1419" s="13" t="s">
        <v>4180</v>
      </c>
      <c r="R1419" s="13" t="s">
        <v>0</v>
      </c>
      <c r="S1419" s="13" t="s">
        <v>0</v>
      </c>
      <c r="T1419" s="13" t="s">
        <v>9</v>
      </c>
      <c r="U1419" s="13" t="s">
        <v>0</v>
      </c>
      <c r="V1419" s="13" t="s">
        <v>0</v>
      </c>
      <c r="W1419" s="13" t="s">
        <v>0</v>
      </c>
      <c r="X1419" s="13" t="s">
        <v>0</v>
      </c>
      <c r="Y1419" s="13" t="s">
        <v>10</v>
      </c>
      <c r="Z1419" s="13" t="s">
        <v>0</v>
      </c>
      <c r="AA1419" s="14"/>
      <c r="AB1419" s="13" t="s">
        <v>0</v>
      </c>
      <c r="AC1419" s="13" t="s">
        <v>0</v>
      </c>
      <c r="AD1419" s="13" t="s">
        <v>0</v>
      </c>
      <c r="AE1419" s="15">
        <v>0</v>
      </c>
    </row>
    <row r="1420" spans="1:31" ht="14.15" customHeight="1" x14ac:dyDescent="0.25">
      <c r="A1420" s="12" t="s">
        <v>0</v>
      </c>
      <c r="B1420" s="13" t="s">
        <v>1</v>
      </c>
      <c r="C1420" s="13" t="s">
        <v>1872</v>
      </c>
      <c r="D1420" s="14">
        <v>44188</v>
      </c>
      <c r="E1420" s="14">
        <v>44188</v>
      </c>
      <c r="F1420" s="14">
        <v>44198</v>
      </c>
      <c r="G1420" s="13" t="s">
        <v>3</v>
      </c>
      <c r="H1420" s="13" t="s">
        <v>4</v>
      </c>
      <c r="I1420" s="15">
        <v>-12073.51</v>
      </c>
      <c r="J1420" s="13" t="s">
        <v>5</v>
      </c>
      <c r="K1420" s="13" t="s">
        <v>6</v>
      </c>
      <c r="L1420" s="15">
        <v>-1013571.16</v>
      </c>
      <c r="M1420" s="15">
        <v>-12073.51</v>
      </c>
      <c r="N1420" s="16" t="str">
        <f>IF(M1420="","",IF(M1420&lt;0,-M1420&amp;"_"&amp;COUNTIF(M$2:M1420,M1420),M1420&amp;"_"&amp;COUNTIF(M$2:M1420,M1420)))</f>
        <v>12073.51_1</v>
      </c>
      <c r="O1420" s="17" t="str">
        <f t="shared" si="22"/>
        <v/>
      </c>
      <c r="P1420" s="13" t="s">
        <v>1873</v>
      </c>
      <c r="Q1420" s="13" t="s">
        <v>1869</v>
      </c>
      <c r="R1420" s="13" t="s">
        <v>0</v>
      </c>
      <c r="S1420" s="13" t="s">
        <v>0</v>
      </c>
      <c r="T1420" s="13" t="s">
        <v>9</v>
      </c>
      <c r="U1420" s="13" t="s">
        <v>0</v>
      </c>
      <c r="V1420" s="13" t="s">
        <v>0</v>
      </c>
      <c r="W1420" s="13" t="s">
        <v>0</v>
      </c>
      <c r="X1420" s="13" t="s">
        <v>0</v>
      </c>
      <c r="Y1420" s="13" t="s">
        <v>10</v>
      </c>
      <c r="Z1420" s="13" t="s">
        <v>0</v>
      </c>
      <c r="AA1420" s="14"/>
      <c r="AB1420" s="13" t="s">
        <v>0</v>
      </c>
      <c r="AC1420" s="13" t="s">
        <v>0</v>
      </c>
      <c r="AD1420" s="13" t="s">
        <v>0</v>
      </c>
      <c r="AE1420" s="15">
        <v>0</v>
      </c>
    </row>
    <row r="1421" spans="1:31" ht="14.15" customHeight="1" x14ac:dyDescent="0.25">
      <c r="A1421" s="12" t="s">
        <v>0</v>
      </c>
      <c r="B1421" s="13" t="s">
        <v>1</v>
      </c>
      <c r="C1421" s="13" t="s">
        <v>2851</v>
      </c>
      <c r="D1421" s="14">
        <v>44272</v>
      </c>
      <c r="E1421" s="14">
        <v>44272</v>
      </c>
      <c r="F1421" s="14">
        <v>44279</v>
      </c>
      <c r="G1421" s="13" t="s">
        <v>3</v>
      </c>
      <c r="H1421" s="13" t="s">
        <v>4</v>
      </c>
      <c r="I1421" s="15">
        <v>-12069.16</v>
      </c>
      <c r="J1421" s="13" t="s">
        <v>5</v>
      </c>
      <c r="K1421" s="13" t="s">
        <v>6</v>
      </c>
      <c r="L1421" s="15">
        <v>-1013205.98</v>
      </c>
      <c r="M1421" s="15">
        <v>-12069.16</v>
      </c>
      <c r="N1421" s="16" t="str">
        <f>IF(M1421="","",IF(M1421&lt;0,-M1421&amp;"_"&amp;COUNTIF(M$2:M1421,M1421),M1421&amp;"_"&amp;COUNTIF(M$2:M1421,M1421)))</f>
        <v>12069.16_1</v>
      </c>
      <c r="O1421" s="17" t="str">
        <f t="shared" si="22"/>
        <v/>
      </c>
      <c r="P1421" s="13" t="s">
        <v>2852</v>
      </c>
      <c r="Q1421" s="13" t="s">
        <v>2848</v>
      </c>
      <c r="R1421" s="13" t="s">
        <v>0</v>
      </c>
      <c r="S1421" s="13" t="s">
        <v>0</v>
      </c>
      <c r="T1421" s="13" t="s">
        <v>9</v>
      </c>
      <c r="U1421" s="13" t="s">
        <v>0</v>
      </c>
      <c r="V1421" s="13" t="s">
        <v>0</v>
      </c>
      <c r="W1421" s="13" t="s">
        <v>0</v>
      </c>
      <c r="X1421" s="13" t="s">
        <v>0</v>
      </c>
      <c r="Y1421" s="13" t="s">
        <v>10</v>
      </c>
      <c r="Z1421" s="13" t="s">
        <v>0</v>
      </c>
      <c r="AA1421" s="14"/>
      <c r="AB1421" s="13" t="s">
        <v>0</v>
      </c>
      <c r="AC1421" s="13" t="s">
        <v>0</v>
      </c>
      <c r="AD1421" s="13" t="s">
        <v>0</v>
      </c>
      <c r="AE1421" s="15">
        <v>0</v>
      </c>
    </row>
    <row r="1422" spans="1:31" ht="14.15" customHeight="1" x14ac:dyDescent="0.25">
      <c r="A1422" s="12" t="s">
        <v>0</v>
      </c>
      <c r="B1422" s="13" t="s">
        <v>1</v>
      </c>
      <c r="C1422" s="13" t="s">
        <v>2599</v>
      </c>
      <c r="D1422" s="14">
        <v>44243</v>
      </c>
      <c r="E1422" s="14">
        <v>44243</v>
      </c>
      <c r="F1422" s="14">
        <v>44252</v>
      </c>
      <c r="G1422" s="13" t="s">
        <v>3</v>
      </c>
      <c r="H1422" s="13" t="s">
        <v>4</v>
      </c>
      <c r="I1422" s="15">
        <v>-12058.24</v>
      </c>
      <c r="J1422" s="13" t="s">
        <v>5</v>
      </c>
      <c r="K1422" s="13" t="s">
        <v>6</v>
      </c>
      <c r="L1422" s="15">
        <v>-1012289.25</v>
      </c>
      <c r="M1422" s="15">
        <v>-12058.24</v>
      </c>
      <c r="N1422" s="16" t="str">
        <f>IF(M1422="","",IF(M1422&lt;0,-M1422&amp;"_"&amp;COUNTIF(M$2:M1422,M1422),M1422&amp;"_"&amp;COUNTIF(M$2:M1422,M1422)))</f>
        <v>12058.24_1</v>
      </c>
      <c r="O1422" s="17" t="str">
        <f t="shared" si="22"/>
        <v/>
      </c>
      <c r="P1422" s="13" t="s">
        <v>2600</v>
      </c>
      <c r="Q1422" s="13" t="s">
        <v>2574</v>
      </c>
      <c r="R1422" s="13" t="s">
        <v>0</v>
      </c>
      <c r="S1422" s="13" t="s">
        <v>0</v>
      </c>
      <c r="T1422" s="13" t="s">
        <v>9</v>
      </c>
      <c r="U1422" s="13" t="s">
        <v>0</v>
      </c>
      <c r="V1422" s="13" t="s">
        <v>0</v>
      </c>
      <c r="W1422" s="13" t="s">
        <v>0</v>
      </c>
      <c r="X1422" s="13" t="s">
        <v>0</v>
      </c>
      <c r="Y1422" s="13" t="s">
        <v>10</v>
      </c>
      <c r="Z1422" s="13" t="s">
        <v>0</v>
      </c>
      <c r="AA1422" s="14"/>
      <c r="AB1422" s="13" t="s">
        <v>0</v>
      </c>
      <c r="AC1422" s="13" t="s">
        <v>0</v>
      </c>
      <c r="AD1422" s="13" t="s">
        <v>0</v>
      </c>
      <c r="AE1422" s="15">
        <v>0</v>
      </c>
    </row>
    <row r="1423" spans="1:31" ht="14.15" customHeight="1" x14ac:dyDescent="0.25">
      <c r="A1423" s="12" t="s">
        <v>0</v>
      </c>
      <c r="B1423" s="13" t="s">
        <v>1</v>
      </c>
      <c r="C1423" s="13" t="s">
        <v>1778</v>
      </c>
      <c r="D1423" s="14">
        <v>44182</v>
      </c>
      <c r="E1423" s="14">
        <v>44182</v>
      </c>
      <c r="F1423" s="14">
        <v>44188</v>
      </c>
      <c r="G1423" s="13" t="s">
        <v>3</v>
      </c>
      <c r="H1423" s="13" t="s">
        <v>4</v>
      </c>
      <c r="I1423" s="15">
        <v>-12018.21</v>
      </c>
      <c r="J1423" s="13" t="s">
        <v>5</v>
      </c>
      <c r="K1423" s="13" t="s">
        <v>6</v>
      </c>
      <c r="L1423" s="15">
        <v>-1008928.73</v>
      </c>
      <c r="M1423" s="15">
        <v>-12018.21</v>
      </c>
      <c r="N1423" s="16" t="str">
        <f>IF(M1423="","",IF(M1423&lt;0,-M1423&amp;"_"&amp;COUNTIF(M$2:M1423,M1423),M1423&amp;"_"&amp;COUNTIF(M$2:M1423,M1423)))</f>
        <v>12018.21_1</v>
      </c>
      <c r="O1423" s="17" t="str">
        <f t="shared" si="22"/>
        <v/>
      </c>
      <c r="P1423" s="13" t="s">
        <v>1779</v>
      </c>
      <c r="Q1423" s="13" t="s">
        <v>1777</v>
      </c>
      <c r="R1423" s="13" t="s">
        <v>0</v>
      </c>
      <c r="S1423" s="13" t="s">
        <v>0</v>
      </c>
      <c r="T1423" s="13" t="s">
        <v>9</v>
      </c>
      <c r="U1423" s="13" t="s">
        <v>0</v>
      </c>
      <c r="V1423" s="13" t="s">
        <v>0</v>
      </c>
      <c r="W1423" s="13" t="s">
        <v>0</v>
      </c>
      <c r="X1423" s="13" t="s">
        <v>0</v>
      </c>
      <c r="Y1423" s="13" t="s">
        <v>10</v>
      </c>
      <c r="Z1423" s="13" t="s">
        <v>0</v>
      </c>
      <c r="AA1423" s="14"/>
      <c r="AB1423" s="13" t="s">
        <v>0</v>
      </c>
      <c r="AC1423" s="13" t="s">
        <v>0</v>
      </c>
      <c r="AD1423" s="13" t="s">
        <v>0</v>
      </c>
      <c r="AE1423" s="15">
        <v>0</v>
      </c>
    </row>
    <row r="1424" spans="1:31" ht="14.15" customHeight="1" x14ac:dyDescent="0.25">
      <c r="A1424" s="12" t="s">
        <v>0</v>
      </c>
      <c r="B1424" s="13" t="s">
        <v>1</v>
      </c>
      <c r="C1424" s="13" t="s">
        <v>2927</v>
      </c>
      <c r="D1424" s="14">
        <v>44276</v>
      </c>
      <c r="E1424" s="14">
        <v>44276</v>
      </c>
      <c r="F1424" s="14">
        <v>44283</v>
      </c>
      <c r="G1424" s="13" t="s">
        <v>3</v>
      </c>
      <c r="H1424" s="13" t="s">
        <v>4</v>
      </c>
      <c r="I1424" s="15">
        <v>-12017.85</v>
      </c>
      <c r="J1424" s="13" t="s">
        <v>5</v>
      </c>
      <c r="K1424" s="13" t="s">
        <v>6</v>
      </c>
      <c r="L1424" s="15">
        <v>-1008898.5</v>
      </c>
      <c r="M1424" s="15">
        <v>-12017.85</v>
      </c>
      <c r="N1424" s="16" t="str">
        <f>IF(M1424="","",IF(M1424&lt;0,-M1424&amp;"_"&amp;COUNTIF(M$2:M1424,M1424),M1424&amp;"_"&amp;COUNTIF(M$2:M1424,M1424)))</f>
        <v>12017.85_1</v>
      </c>
      <c r="O1424" s="17" t="str">
        <f t="shared" si="22"/>
        <v/>
      </c>
      <c r="P1424" s="13" t="s">
        <v>2928</v>
      </c>
      <c r="Q1424" s="13" t="s">
        <v>2922</v>
      </c>
      <c r="R1424" s="13" t="s">
        <v>0</v>
      </c>
      <c r="S1424" s="13" t="s">
        <v>0</v>
      </c>
      <c r="T1424" s="13" t="s">
        <v>9</v>
      </c>
      <c r="U1424" s="13" t="s">
        <v>0</v>
      </c>
      <c r="V1424" s="13" t="s">
        <v>0</v>
      </c>
      <c r="W1424" s="13" t="s">
        <v>0</v>
      </c>
      <c r="X1424" s="13" t="s">
        <v>0</v>
      </c>
      <c r="Y1424" s="13" t="s">
        <v>10</v>
      </c>
      <c r="Z1424" s="13" t="s">
        <v>0</v>
      </c>
      <c r="AA1424" s="14"/>
      <c r="AB1424" s="13" t="s">
        <v>0</v>
      </c>
      <c r="AC1424" s="13" t="s">
        <v>0</v>
      </c>
      <c r="AD1424" s="13" t="s">
        <v>0</v>
      </c>
      <c r="AE1424" s="15">
        <v>0</v>
      </c>
    </row>
    <row r="1425" spans="1:31" ht="14.15" customHeight="1" x14ac:dyDescent="0.25">
      <c r="A1425" s="12" t="s">
        <v>0</v>
      </c>
      <c r="B1425" s="13" t="s">
        <v>1</v>
      </c>
      <c r="C1425" s="13" t="s">
        <v>3729</v>
      </c>
      <c r="D1425" s="14">
        <v>44337</v>
      </c>
      <c r="E1425" s="14">
        <v>44337</v>
      </c>
      <c r="F1425" s="14">
        <v>44355</v>
      </c>
      <c r="G1425" s="13" t="s">
        <v>3</v>
      </c>
      <c r="H1425" s="13" t="s">
        <v>4</v>
      </c>
      <c r="I1425" s="15">
        <v>-12003</v>
      </c>
      <c r="J1425" s="13" t="s">
        <v>5</v>
      </c>
      <c r="K1425" s="13" t="s">
        <v>6</v>
      </c>
      <c r="L1425" s="15">
        <v>-1007651.85</v>
      </c>
      <c r="M1425" s="15">
        <v>-12003</v>
      </c>
      <c r="N1425" s="16" t="str">
        <f>IF(M1425="","",IF(M1425&lt;0,-M1425&amp;"_"&amp;COUNTIF(M$2:M1425,M1425),M1425&amp;"_"&amp;COUNTIF(M$2:M1425,M1425)))</f>
        <v>12003_1</v>
      </c>
      <c r="O1425" s="17" t="str">
        <f t="shared" si="22"/>
        <v/>
      </c>
      <c r="P1425" s="13" t="s">
        <v>3730</v>
      </c>
      <c r="Q1425" s="13" t="s">
        <v>3726</v>
      </c>
      <c r="R1425" s="13" t="s">
        <v>0</v>
      </c>
      <c r="S1425" s="13" t="s">
        <v>0</v>
      </c>
      <c r="T1425" s="13" t="s">
        <v>9</v>
      </c>
      <c r="U1425" s="13" t="s">
        <v>0</v>
      </c>
      <c r="V1425" s="13" t="s">
        <v>0</v>
      </c>
      <c r="W1425" s="13" t="s">
        <v>0</v>
      </c>
      <c r="X1425" s="13" t="s">
        <v>0</v>
      </c>
      <c r="Y1425" s="13" t="s">
        <v>10</v>
      </c>
      <c r="Z1425" s="13" t="s">
        <v>0</v>
      </c>
      <c r="AA1425" s="14"/>
      <c r="AB1425" s="13" t="s">
        <v>0</v>
      </c>
      <c r="AC1425" s="13" t="s">
        <v>0</v>
      </c>
      <c r="AD1425" s="13" t="s">
        <v>0</v>
      </c>
      <c r="AE1425" s="15">
        <v>0</v>
      </c>
    </row>
    <row r="1426" spans="1:31" ht="14.15" customHeight="1" x14ac:dyDescent="0.25">
      <c r="A1426" s="12" t="s">
        <v>0</v>
      </c>
      <c r="B1426" s="13" t="s">
        <v>1</v>
      </c>
      <c r="C1426" s="13" t="s">
        <v>3287</v>
      </c>
      <c r="D1426" s="14">
        <v>44314</v>
      </c>
      <c r="E1426" s="14">
        <v>44314</v>
      </c>
      <c r="F1426" s="14">
        <v>44319</v>
      </c>
      <c r="G1426" s="13" t="s">
        <v>3</v>
      </c>
      <c r="H1426" s="13" t="s">
        <v>4</v>
      </c>
      <c r="I1426" s="15">
        <v>-11998.89</v>
      </c>
      <c r="J1426" s="13" t="s">
        <v>5</v>
      </c>
      <c r="K1426" s="13" t="s">
        <v>6</v>
      </c>
      <c r="L1426" s="15">
        <v>-1007306.82</v>
      </c>
      <c r="M1426" s="15">
        <v>-11998.89</v>
      </c>
      <c r="N1426" s="16" t="str">
        <f>IF(M1426="","",IF(M1426&lt;0,-M1426&amp;"_"&amp;COUNTIF(M$2:M1426,M1426),M1426&amp;"_"&amp;COUNTIF(M$2:M1426,M1426)))</f>
        <v>11998.89_1</v>
      </c>
      <c r="O1426" s="17" t="str">
        <f t="shared" si="22"/>
        <v/>
      </c>
      <c r="P1426" s="13" t="s">
        <v>3288</v>
      </c>
      <c r="Q1426" s="13" t="s">
        <v>3284</v>
      </c>
      <c r="R1426" s="13" t="s">
        <v>0</v>
      </c>
      <c r="S1426" s="13" t="s">
        <v>0</v>
      </c>
      <c r="T1426" s="13" t="s">
        <v>9</v>
      </c>
      <c r="U1426" s="13" t="s">
        <v>0</v>
      </c>
      <c r="V1426" s="13" t="s">
        <v>0</v>
      </c>
      <c r="W1426" s="13" t="s">
        <v>0</v>
      </c>
      <c r="X1426" s="13" t="s">
        <v>0</v>
      </c>
      <c r="Y1426" s="13" t="s">
        <v>10</v>
      </c>
      <c r="Z1426" s="13" t="s">
        <v>0</v>
      </c>
      <c r="AA1426" s="14"/>
      <c r="AB1426" s="13" t="s">
        <v>0</v>
      </c>
      <c r="AC1426" s="13" t="s">
        <v>0</v>
      </c>
      <c r="AD1426" s="13" t="s">
        <v>0</v>
      </c>
      <c r="AE1426" s="15">
        <v>0</v>
      </c>
    </row>
    <row r="1427" spans="1:31" ht="14.15" customHeight="1" x14ac:dyDescent="0.25">
      <c r="A1427" s="12" t="s">
        <v>0</v>
      </c>
      <c r="B1427" s="13" t="s">
        <v>1</v>
      </c>
      <c r="C1427" s="13" t="s">
        <v>4069</v>
      </c>
      <c r="D1427" s="14">
        <v>44360</v>
      </c>
      <c r="E1427" s="14">
        <v>44360</v>
      </c>
      <c r="F1427" s="14">
        <v>44384</v>
      </c>
      <c r="G1427" s="13" t="s">
        <v>3</v>
      </c>
      <c r="H1427" s="13" t="s">
        <v>4</v>
      </c>
      <c r="I1427" s="15">
        <v>-11981.97</v>
      </c>
      <c r="J1427" s="13" t="s">
        <v>5</v>
      </c>
      <c r="K1427" s="13" t="s">
        <v>6</v>
      </c>
      <c r="L1427" s="15">
        <v>-1005886.38</v>
      </c>
      <c r="M1427" s="15">
        <v>-11981.97</v>
      </c>
      <c r="N1427" s="16" t="str">
        <f>IF(M1427="","",IF(M1427&lt;0,-M1427&amp;"_"&amp;COUNTIF(M$2:M1427,M1427),M1427&amp;"_"&amp;COUNTIF(M$2:M1427,M1427)))</f>
        <v>11981.97_1</v>
      </c>
      <c r="O1427" s="17" t="str">
        <f t="shared" si="22"/>
        <v/>
      </c>
      <c r="P1427" s="13" t="s">
        <v>4070</v>
      </c>
      <c r="Q1427" s="13" t="s">
        <v>4062</v>
      </c>
      <c r="R1427" s="13" t="s">
        <v>0</v>
      </c>
      <c r="S1427" s="13" t="s">
        <v>0</v>
      </c>
      <c r="T1427" s="13" t="s">
        <v>9</v>
      </c>
      <c r="U1427" s="13" t="s">
        <v>0</v>
      </c>
      <c r="V1427" s="13" t="s">
        <v>0</v>
      </c>
      <c r="W1427" s="13" t="s">
        <v>0</v>
      </c>
      <c r="X1427" s="13" t="s">
        <v>0</v>
      </c>
      <c r="Y1427" s="13" t="s">
        <v>10</v>
      </c>
      <c r="Z1427" s="13" t="s">
        <v>0</v>
      </c>
      <c r="AA1427" s="14"/>
      <c r="AB1427" s="13" t="s">
        <v>0</v>
      </c>
      <c r="AC1427" s="13" t="s">
        <v>0</v>
      </c>
      <c r="AD1427" s="13" t="s">
        <v>0</v>
      </c>
      <c r="AE1427" s="15">
        <v>0</v>
      </c>
    </row>
    <row r="1428" spans="1:31" ht="14.15" customHeight="1" x14ac:dyDescent="0.25">
      <c r="A1428" s="12" t="s">
        <v>0</v>
      </c>
      <c r="B1428" s="13" t="s">
        <v>1</v>
      </c>
      <c r="C1428" s="13" t="s">
        <v>3287</v>
      </c>
      <c r="D1428" s="14">
        <v>44314</v>
      </c>
      <c r="E1428" s="14">
        <v>44314</v>
      </c>
      <c r="F1428" s="14">
        <v>44319</v>
      </c>
      <c r="G1428" s="13" t="s">
        <v>3</v>
      </c>
      <c r="H1428" s="13" t="s">
        <v>4</v>
      </c>
      <c r="I1428" s="15">
        <v>-11941.05</v>
      </c>
      <c r="J1428" s="13" t="s">
        <v>5</v>
      </c>
      <c r="K1428" s="13" t="s">
        <v>6</v>
      </c>
      <c r="L1428" s="15">
        <v>-1002451.15</v>
      </c>
      <c r="M1428" s="15">
        <v>-11941.05</v>
      </c>
      <c r="N1428" s="16" t="str">
        <f>IF(M1428="","",IF(M1428&lt;0,-M1428&amp;"_"&amp;COUNTIF(M$2:M1428,M1428),M1428&amp;"_"&amp;COUNTIF(M$2:M1428,M1428)))</f>
        <v>11941.05_1</v>
      </c>
      <c r="O1428" s="17" t="str">
        <f t="shared" si="22"/>
        <v/>
      </c>
      <c r="P1428" s="13" t="s">
        <v>3288</v>
      </c>
      <c r="Q1428" s="13" t="s">
        <v>3284</v>
      </c>
      <c r="R1428" s="13" t="s">
        <v>0</v>
      </c>
      <c r="S1428" s="13" t="s">
        <v>0</v>
      </c>
      <c r="T1428" s="13" t="s">
        <v>9</v>
      </c>
      <c r="U1428" s="13" t="s">
        <v>0</v>
      </c>
      <c r="V1428" s="13" t="s">
        <v>0</v>
      </c>
      <c r="W1428" s="13" t="s">
        <v>0</v>
      </c>
      <c r="X1428" s="13" t="s">
        <v>0</v>
      </c>
      <c r="Y1428" s="13" t="s">
        <v>10</v>
      </c>
      <c r="Z1428" s="13" t="s">
        <v>0</v>
      </c>
      <c r="AA1428" s="14"/>
      <c r="AB1428" s="13" t="s">
        <v>0</v>
      </c>
      <c r="AC1428" s="13" t="s">
        <v>0</v>
      </c>
      <c r="AD1428" s="13" t="s">
        <v>0</v>
      </c>
      <c r="AE1428" s="15">
        <v>0</v>
      </c>
    </row>
    <row r="1429" spans="1:31" ht="14.15" customHeight="1" x14ac:dyDescent="0.25">
      <c r="A1429" s="12" t="s">
        <v>0</v>
      </c>
      <c r="B1429" s="13" t="s">
        <v>1</v>
      </c>
      <c r="C1429" s="13" t="s">
        <v>3635</v>
      </c>
      <c r="D1429" s="14">
        <v>44331</v>
      </c>
      <c r="E1429" s="14">
        <v>44331</v>
      </c>
      <c r="F1429" s="14">
        <v>44336</v>
      </c>
      <c r="G1429" s="13" t="s">
        <v>3</v>
      </c>
      <c r="H1429" s="13" t="s">
        <v>4</v>
      </c>
      <c r="I1429" s="15">
        <v>-11938.61</v>
      </c>
      <c r="J1429" s="13" t="s">
        <v>5</v>
      </c>
      <c r="K1429" s="13" t="s">
        <v>6</v>
      </c>
      <c r="L1429" s="15">
        <v>-1002246.31</v>
      </c>
      <c r="M1429" s="15">
        <v>-11938.61</v>
      </c>
      <c r="N1429" s="16" t="str">
        <f>IF(M1429="","",IF(M1429&lt;0,-M1429&amp;"_"&amp;COUNTIF(M$2:M1429,M1429),M1429&amp;"_"&amp;COUNTIF(M$2:M1429,M1429)))</f>
        <v>11938.61_1</v>
      </c>
      <c r="O1429" s="17" t="str">
        <f t="shared" si="22"/>
        <v/>
      </c>
      <c r="P1429" s="13" t="s">
        <v>3636</v>
      </c>
      <c r="Q1429" s="13" t="s">
        <v>3637</v>
      </c>
      <c r="R1429" s="13" t="s">
        <v>0</v>
      </c>
      <c r="S1429" s="13" t="s">
        <v>0</v>
      </c>
      <c r="T1429" s="13" t="s">
        <v>9</v>
      </c>
      <c r="U1429" s="13" t="s">
        <v>0</v>
      </c>
      <c r="V1429" s="13" t="s">
        <v>0</v>
      </c>
      <c r="W1429" s="13" t="s">
        <v>0</v>
      </c>
      <c r="X1429" s="13" t="s">
        <v>0</v>
      </c>
      <c r="Y1429" s="13" t="s">
        <v>10</v>
      </c>
      <c r="Z1429" s="13" t="s">
        <v>0</v>
      </c>
      <c r="AA1429" s="14"/>
      <c r="AB1429" s="13" t="s">
        <v>0</v>
      </c>
      <c r="AC1429" s="13" t="s">
        <v>0</v>
      </c>
      <c r="AD1429" s="13" t="s">
        <v>0</v>
      </c>
      <c r="AE1429" s="15">
        <v>0</v>
      </c>
    </row>
    <row r="1430" spans="1:31" ht="14.15" customHeight="1" x14ac:dyDescent="0.25">
      <c r="A1430" s="12" t="s">
        <v>0</v>
      </c>
      <c r="B1430" s="13" t="s">
        <v>1</v>
      </c>
      <c r="C1430" s="13" t="s">
        <v>1502</v>
      </c>
      <c r="D1430" s="14">
        <v>44161</v>
      </c>
      <c r="E1430" s="14">
        <v>44161</v>
      </c>
      <c r="F1430" s="14">
        <v>44170</v>
      </c>
      <c r="G1430" s="13" t="s">
        <v>3</v>
      </c>
      <c r="H1430" s="13" t="s">
        <v>4</v>
      </c>
      <c r="I1430" s="15">
        <v>-11916.66</v>
      </c>
      <c r="J1430" s="13" t="s">
        <v>5</v>
      </c>
      <c r="K1430" s="13" t="s">
        <v>6</v>
      </c>
      <c r="L1430" s="15">
        <v>-1000403.61</v>
      </c>
      <c r="M1430" s="15">
        <v>-11916.66</v>
      </c>
      <c r="N1430" s="16" t="str">
        <f>IF(M1430="","",IF(M1430&lt;0,-M1430&amp;"_"&amp;COUNTIF(M$2:M1430,M1430),M1430&amp;"_"&amp;COUNTIF(M$2:M1430,M1430)))</f>
        <v>11916.66_1</v>
      </c>
      <c r="O1430" s="17" t="str">
        <f t="shared" si="22"/>
        <v/>
      </c>
      <c r="P1430" s="13" t="s">
        <v>1503</v>
      </c>
      <c r="Q1430" s="13" t="s">
        <v>1501</v>
      </c>
      <c r="R1430" s="13" t="s">
        <v>0</v>
      </c>
      <c r="S1430" s="13" t="s">
        <v>0</v>
      </c>
      <c r="T1430" s="13" t="s">
        <v>9</v>
      </c>
      <c r="U1430" s="13" t="s">
        <v>0</v>
      </c>
      <c r="V1430" s="13" t="s">
        <v>0</v>
      </c>
      <c r="W1430" s="13" t="s">
        <v>0</v>
      </c>
      <c r="X1430" s="13" t="s">
        <v>0</v>
      </c>
      <c r="Y1430" s="13" t="s">
        <v>10</v>
      </c>
      <c r="Z1430" s="13" t="s">
        <v>0</v>
      </c>
      <c r="AA1430" s="14"/>
      <c r="AB1430" s="13" t="s">
        <v>0</v>
      </c>
      <c r="AC1430" s="13" t="s">
        <v>0</v>
      </c>
      <c r="AD1430" s="13" t="s">
        <v>0</v>
      </c>
      <c r="AE1430" s="15">
        <v>0</v>
      </c>
    </row>
    <row r="1431" spans="1:31" ht="14.15" customHeight="1" x14ac:dyDescent="0.25">
      <c r="A1431" s="12" t="s">
        <v>0</v>
      </c>
      <c r="B1431" s="13" t="s">
        <v>1</v>
      </c>
      <c r="C1431" s="13" t="s">
        <v>332</v>
      </c>
      <c r="D1431" s="14">
        <v>44043</v>
      </c>
      <c r="E1431" s="14">
        <v>44043</v>
      </c>
      <c r="F1431" s="14">
        <v>44057</v>
      </c>
      <c r="G1431" s="13" t="s">
        <v>3</v>
      </c>
      <c r="H1431" s="13" t="s">
        <v>4</v>
      </c>
      <c r="I1431" s="15">
        <v>-11915.82</v>
      </c>
      <c r="J1431" s="13" t="s">
        <v>5</v>
      </c>
      <c r="K1431" s="13" t="s">
        <v>6</v>
      </c>
      <c r="L1431" s="15">
        <v>-1000333.09</v>
      </c>
      <c r="M1431" s="15">
        <v>-11915.82</v>
      </c>
      <c r="N1431" s="16" t="str">
        <f>IF(M1431="","",IF(M1431&lt;0,-M1431&amp;"_"&amp;COUNTIF(M$2:M1431,M1431),M1431&amp;"_"&amp;COUNTIF(M$2:M1431,M1431)))</f>
        <v>11915.82_1</v>
      </c>
      <c r="O1431" s="17" t="str">
        <f t="shared" si="22"/>
        <v/>
      </c>
      <c r="P1431" s="13" t="s">
        <v>333</v>
      </c>
      <c r="Q1431" s="13" t="s">
        <v>316</v>
      </c>
      <c r="R1431" s="13" t="s">
        <v>0</v>
      </c>
      <c r="S1431" s="13" t="s">
        <v>0</v>
      </c>
      <c r="T1431" s="13" t="s">
        <v>9</v>
      </c>
      <c r="U1431" s="13" t="s">
        <v>0</v>
      </c>
      <c r="V1431" s="13" t="s">
        <v>0</v>
      </c>
      <c r="W1431" s="13" t="s">
        <v>0</v>
      </c>
      <c r="X1431" s="13" t="s">
        <v>0</v>
      </c>
      <c r="Y1431" s="13" t="s">
        <v>10</v>
      </c>
      <c r="Z1431" s="13" t="s">
        <v>0</v>
      </c>
      <c r="AA1431" s="14"/>
      <c r="AB1431" s="13" t="s">
        <v>0</v>
      </c>
      <c r="AC1431" s="13" t="s">
        <v>0</v>
      </c>
      <c r="AD1431" s="13" t="s">
        <v>0</v>
      </c>
      <c r="AE1431" s="15">
        <v>0</v>
      </c>
    </row>
    <row r="1432" spans="1:31" ht="14.15" customHeight="1" x14ac:dyDescent="0.25">
      <c r="A1432" s="12" t="s">
        <v>0</v>
      </c>
      <c r="B1432" s="13" t="s">
        <v>1</v>
      </c>
      <c r="C1432" s="13" t="s">
        <v>2929</v>
      </c>
      <c r="D1432" s="14">
        <v>44276</v>
      </c>
      <c r="E1432" s="14">
        <v>44276</v>
      </c>
      <c r="F1432" s="14">
        <v>44283</v>
      </c>
      <c r="G1432" s="13" t="s">
        <v>3</v>
      </c>
      <c r="H1432" s="13" t="s">
        <v>4</v>
      </c>
      <c r="I1432" s="15">
        <v>-11910.82</v>
      </c>
      <c r="J1432" s="13" t="s">
        <v>5</v>
      </c>
      <c r="K1432" s="13" t="s">
        <v>6</v>
      </c>
      <c r="L1432" s="15">
        <v>-999913.34</v>
      </c>
      <c r="M1432" s="15">
        <v>-11910.82</v>
      </c>
      <c r="N1432" s="16" t="str">
        <f>IF(M1432="","",IF(M1432&lt;0,-M1432&amp;"_"&amp;COUNTIF(M$2:M1432,M1432),M1432&amp;"_"&amp;COUNTIF(M$2:M1432,M1432)))</f>
        <v>11910.82_1</v>
      </c>
      <c r="O1432" s="17" t="str">
        <f t="shared" si="22"/>
        <v/>
      </c>
      <c r="P1432" s="13" t="s">
        <v>2930</v>
      </c>
      <c r="Q1432" s="13" t="s">
        <v>2922</v>
      </c>
      <c r="R1432" s="13" t="s">
        <v>0</v>
      </c>
      <c r="S1432" s="13" t="s">
        <v>0</v>
      </c>
      <c r="T1432" s="13" t="s">
        <v>9</v>
      </c>
      <c r="U1432" s="13" t="s">
        <v>0</v>
      </c>
      <c r="V1432" s="13" t="s">
        <v>0</v>
      </c>
      <c r="W1432" s="13" t="s">
        <v>0</v>
      </c>
      <c r="X1432" s="13" t="s">
        <v>0</v>
      </c>
      <c r="Y1432" s="13" t="s">
        <v>10</v>
      </c>
      <c r="Z1432" s="13" t="s">
        <v>0</v>
      </c>
      <c r="AA1432" s="14"/>
      <c r="AB1432" s="13" t="s">
        <v>0</v>
      </c>
      <c r="AC1432" s="13" t="s">
        <v>0</v>
      </c>
      <c r="AD1432" s="13" t="s">
        <v>0</v>
      </c>
      <c r="AE1432" s="15">
        <v>0</v>
      </c>
    </row>
    <row r="1433" spans="1:31" ht="14.15" customHeight="1" x14ac:dyDescent="0.25">
      <c r="A1433" s="12" t="s">
        <v>0</v>
      </c>
      <c r="B1433" s="13" t="s">
        <v>1</v>
      </c>
      <c r="C1433" s="13" t="s">
        <v>678</v>
      </c>
      <c r="D1433" s="14">
        <v>44089</v>
      </c>
      <c r="E1433" s="14">
        <v>44089</v>
      </c>
      <c r="F1433" s="14">
        <v>44091</v>
      </c>
      <c r="G1433" s="13" t="s">
        <v>3</v>
      </c>
      <c r="H1433" s="13" t="s">
        <v>4</v>
      </c>
      <c r="I1433" s="15">
        <v>-11906.57</v>
      </c>
      <c r="J1433" s="13" t="s">
        <v>5</v>
      </c>
      <c r="K1433" s="13" t="s">
        <v>6</v>
      </c>
      <c r="L1433" s="15">
        <v>-999556.55</v>
      </c>
      <c r="M1433" s="15">
        <v>-11906.57</v>
      </c>
      <c r="N1433" s="16" t="str">
        <f>IF(M1433="","",IF(M1433&lt;0,-M1433&amp;"_"&amp;COUNTIF(M$2:M1433,M1433),M1433&amp;"_"&amp;COUNTIF(M$2:M1433,M1433)))</f>
        <v>11906.57_1</v>
      </c>
      <c r="O1433" s="17" t="str">
        <f t="shared" si="22"/>
        <v/>
      </c>
      <c r="P1433" s="13" t="s">
        <v>679</v>
      </c>
      <c r="Q1433" s="13" t="s">
        <v>680</v>
      </c>
      <c r="R1433" s="13" t="s">
        <v>0</v>
      </c>
      <c r="S1433" s="13" t="s">
        <v>0</v>
      </c>
      <c r="T1433" s="13" t="s">
        <v>9</v>
      </c>
      <c r="U1433" s="13" t="s">
        <v>0</v>
      </c>
      <c r="V1433" s="13" t="s">
        <v>0</v>
      </c>
      <c r="W1433" s="13" t="s">
        <v>0</v>
      </c>
      <c r="X1433" s="13" t="s">
        <v>0</v>
      </c>
      <c r="Y1433" s="13" t="s">
        <v>10</v>
      </c>
      <c r="Z1433" s="13" t="s">
        <v>0</v>
      </c>
      <c r="AA1433" s="14"/>
      <c r="AB1433" s="13" t="s">
        <v>0</v>
      </c>
      <c r="AC1433" s="13" t="s">
        <v>0</v>
      </c>
      <c r="AD1433" s="13" t="s">
        <v>0</v>
      </c>
      <c r="AE1433" s="15">
        <v>0</v>
      </c>
    </row>
    <row r="1434" spans="1:31" ht="14.15" customHeight="1" x14ac:dyDescent="0.25">
      <c r="A1434" s="12" t="s">
        <v>0</v>
      </c>
      <c r="B1434" s="13" t="s">
        <v>1</v>
      </c>
      <c r="C1434" s="13" t="s">
        <v>739</v>
      </c>
      <c r="D1434" s="14">
        <v>44095</v>
      </c>
      <c r="E1434" s="14">
        <v>44095</v>
      </c>
      <c r="F1434" s="14">
        <v>44100</v>
      </c>
      <c r="G1434" s="13" t="s">
        <v>3</v>
      </c>
      <c r="H1434" s="13" t="s">
        <v>4</v>
      </c>
      <c r="I1434" s="15">
        <v>-11902.69</v>
      </c>
      <c r="J1434" s="13" t="s">
        <v>5</v>
      </c>
      <c r="K1434" s="13" t="s">
        <v>6</v>
      </c>
      <c r="L1434" s="15">
        <v>-999230.83</v>
      </c>
      <c r="M1434" s="15">
        <v>-11902.69</v>
      </c>
      <c r="N1434" s="16" t="str">
        <f>IF(M1434="","",IF(M1434&lt;0,-M1434&amp;"_"&amp;COUNTIF(M$2:M1434,M1434),M1434&amp;"_"&amp;COUNTIF(M$2:M1434,M1434)))</f>
        <v>11902.69_1</v>
      </c>
      <c r="O1434" s="17" t="str">
        <f t="shared" si="22"/>
        <v/>
      </c>
      <c r="P1434" s="13" t="s">
        <v>740</v>
      </c>
      <c r="Q1434" s="13" t="s">
        <v>726</v>
      </c>
      <c r="R1434" s="13" t="s">
        <v>0</v>
      </c>
      <c r="S1434" s="13" t="s">
        <v>0</v>
      </c>
      <c r="T1434" s="13" t="s">
        <v>9</v>
      </c>
      <c r="U1434" s="13" t="s">
        <v>0</v>
      </c>
      <c r="V1434" s="13" t="s">
        <v>0</v>
      </c>
      <c r="W1434" s="13" t="s">
        <v>0</v>
      </c>
      <c r="X1434" s="13" t="s">
        <v>0</v>
      </c>
      <c r="Y1434" s="13" t="s">
        <v>10</v>
      </c>
      <c r="Z1434" s="13" t="s">
        <v>0</v>
      </c>
      <c r="AA1434" s="14"/>
      <c r="AB1434" s="13" t="s">
        <v>0</v>
      </c>
      <c r="AC1434" s="13" t="s">
        <v>0</v>
      </c>
      <c r="AD1434" s="13" t="s">
        <v>0</v>
      </c>
      <c r="AE1434" s="15">
        <v>0</v>
      </c>
    </row>
    <row r="1435" spans="1:31" ht="14.15" customHeight="1" x14ac:dyDescent="0.25">
      <c r="A1435" s="12" t="s">
        <v>0</v>
      </c>
      <c r="B1435" s="13" t="s">
        <v>1</v>
      </c>
      <c r="C1435" s="13" t="s">
        <v>4201</v>
      </c>
      <c r="D1435" s="14">
        <v>44364</v>
      </c>
      <c r="E1435" s="14">
        <v>44364</v>
      </c>
      <c r="F1435" s="14">
        <v>44371</v>
      </c>
      <c r="G1435" s="13" t="s">
        <v>3</v>
      </c>
      <c r="H1435" s="13" t="s">
        <v>4</v>
      </c>
      <c r="I1435" s="15">
        <v>-11874.86</v>
      </c>
      <c r="J1435" s="13" t="s">
        <v>5</v>
      </c>
      <c r="K1435" s="13" t="s">
        <v>6</v>
      </c>
      <c r="L1435" s="15">
        <v>-996894.5</v>
      </c>
      <c r="M1435" s="15">
        <v>-11874.86</v>
      </c>
      <c r="N1435" s="16" t="str">
        <f>IF(M1435="","",IF(M1435&lt;0,-M1435&amp;"_"&amp;COUNTIF(M$2:M1435,M1435),M1435&amp;"_"&amp;COUNTIF(M$2:M1435,M1435)))</f>
        <v>11874.86_1</v>
      </c>
      <c r="O1435" s="17" t="str">
        <f t="shared" si="22"/>
        <v/>
      </c>
      <c r="P1435" s="13" t="s">
        <v>4202</v>
      </c>
      <c r="Q1435" s="13" t="s">
        <v>4180</v>
      </c>
      <c r="R1435" s="13" t="s">
        <v>0</v>
      </c>
      <c r="S1435" s="13" t="s">
        <v>0</v>
      </c>
      <c r="T1435" s="13" t="s">
        <v>9</v>
      </c>
      <c r="U1435" s="13" t="s">
        <v>0</v>
      </c>
      <c r="V1435" s="13" t="s">
        <v>0</v>
      </c>
      <c r="W1435" s="13" t="s">
        <v>0</v>
      </c>
      <c r="X1435" s="13" t="s">
        <v>0</v>
      </c>
      <c r="Y1435" s="13" t="s">
        <v>10</v>
      </c>
      <c r="Z1435" s="13" t="s">
        <v>0</v>
      </c>
      <c r="AA1435" s="14"/>
      <c r="AB1435" s="13" t="s">
        <v>0</v>
      </c>
      <c r="AC1435" s="13" t="s">
        <v>0</v>
      </c>
      <c r="AD1435" s="13" t="s">
        <v>0</v>
      </c>
      <c r="AE1435" s="15">
        <v>0</v>
      </c>
    </row>
    <row r="1436" spans="1:31" ht="14.15" customHeight="1" x14ac:dyDescent="0.25">
      <c r="A1436" s="12" t="s">
        <v>0</v>
      </c>
      <c r="B1436" s="13" t="s">
        <v>1</v>
      </c>
      <c r="C1436" s="13" t="s">
        <v>4272</v>
      </c>
      <c r="D1436" s="14">
        <v>44370</v>
      </c>
      <c r="E1436" s="14">
        <v>44370</v>
      </c>
      <c r="F1436" s="14">
        <v>44371</v>
      </c>
      <c r="G1436" s="13" t="s">
        <v>3</v>
      </c>
      <c r="H1436" s="13" t="s">
        <v>4</v>
      </c>
      <c r="I1436" s="15">
        <v>-11847.54</v>
      </c>
      <c r="J1436" s="13" t="s">
        <v>5</v>
      </c>
      <c r="K1436" s="13" t="s">
        <v>6</v>
      </c>
      <c r="L1436" s="15">
        <v>-994600.98</v>
      </c>
      <c r="M1436" s="15">
        <v>-11847.54</v>
      </c>
      <c r="N1436" s="16" t="str">
        <f>IF(M1436="","",IF(M1436&lt;0,-M1436&amp;"_"&amp;COUNTIF(M$2:M1436,M1436),M1436&amp;"_"&amp;COUNTIF(M$2:M1436,M1436)))</f>
        <v>11847.54_1</v>
      </c>
      <c r="O1436" s="17" t="str">
        <f t="shared" si="22"/>
        <v/>
      </c>
      <c r="P1436" s="13" t="s">
        <v>4273</v>
      </c>
      <c r="Q1436" s="13" t="s">
        <v>4269</v>
      </c>
      <c r="R1436" s="13" t="s">
        <v>0</v>
      </c>
      <c r="S1436" s="13" t="s">
        <v>0</v>
      </c>
      <c r="T1436" s="13" t="s">
        <v>9</v>
      </c>
      <c r="U1436" s="13" t="s">
        <v>0</v>
      </c>
      <c r="V1436" s="13" t="s">
        <v>0</v>
      </c>
      <c r="W1436" s="13" t="s">
        <v>0</v>
      </c>
      <c r="X1436" s="13" t="s">
        <v>0</v>
      </c>
      <c r="Y1436" s="13" t="s">
        <v>10</v>
      </c>
      <c r="Z1436" s="13" t="s">
        <v>0</v>
      </c>
      <c r="AA1436" s="14"/>
      <c r="AB1436" s="13" t="s">
        <v>0</v>
      </c>
      <c r="AC1436" s="13" t="s">
        <v>0</v>
      </c>
      <c r="AD1436" s="13" t="s">
        <v>0</v>
      </c>
      <c r="AE1436" s="15">
        <v>0</v>
      </c>
    </row>
    <row r="1437" spans="1:31" ht="14.15" customHeight="1" x14ac:dyDescent="0.25">
      <c r="A1437" s="12" t="s">
        <v>0</v>
      </c>
      <c r="B1437" s="13" t="s">
        <v>1</v>
      </c>
      <c r="C1437" s="13" t="s">
        <v>1303</v>
      </c>
      <c r="D1437" s="14">
        <v>44146</v>
      </c>
      <c r="E1437" s="14">
        <v>44146</v>
      </c>
      <c r="F1437" s="14">
        <v>44154</v>
      </c>
      <c r="G1437" s="13" t="s">
        <v>3</v>
      </c>
      <c r="H1437" s="13" t="s">
        <v>4</v>
      </c>
      <c r="I1437" s="15">
        <v>-11834.62</v>
      </c>
      <c r="J1437" s="13" t="s">
        <v>5</v>
      </c>
      <c r="K1437" s="13" t="s">
        <v>6</v>
      </c>
      <c r="L1437" s="15">
        <v>-993516.35</v>
      </c>
      <c r="M1437" s="15">
        <v>-11834.62</v>
      </c>
      <c r="N1437" s="16" t="str">
        <f>IF(M1437="","",IF(M1437&lt;0,-M1437&amp;"_"&amp;COUNTIF(M$2:M1437,M1437),M1437&amp;"_"&amp;COUNTIF(M$2:M1437,M1437)))</f>
        <v>11834.62_1</v>
      </c>
      <c r="O1437" s="17" t="str">
        <f t="shared" si="22"/>
        <v/>
      </c>
      <c r="P1437" s="13" t="s">
        <v>1304</v>
      </c>
      <c r="Q1437" s="13" t="s">
        <v>1282</v>
      </c>
      <c r="R1437" s="13" t="s">
        <v>0</v>
      </c>
      <c r="S1437" s="13" t="s">
        <v>0</v>
      </c>
      <c r="T1437" s="13" t="s">
        <v>9</v>
      </c>
      <c r="U1437" s="13" t="s">
        <v>0</v>
      </c>
      <c r="V1437" s="13" t="s">
        <v>0</v>
      </c>
      <c r="W1437" s="13" t="s">
        <v>0</v>
      </c>
      <c r="X1437" s="13" t="s">
        <v>0</v>
      </c>
      <c r="Y1437" s="13" t="s">
        <v>10</v>
      </c>
      <c r="Z1437" s="13" t="s">
        <v>0</v>
      </c>
      <c r="AA1437" s="14"/>
      <c r="AB1437" s="13" t="s">
        <v>0</v>
      </c>
      <c r="AC1437" s="13" t="s">
        <v>0</v>
      </c>
      <c r="AD1437" s="13" t="s">
        <v>0</v>
      </c>
      <c r="AE1437" s="15">
        <v>0</v>
      </c>
    </row>
    <row r="1438" spans="1:31" ht="14.15" customHeight="1" x14ac:dyDescent="0.25">
      <c r="A1438" s="12" t="s">
        <v>0</v>
      </c>
      <c r="B1438" s="13" t="s">
        <v>1</v>
      </c>
      <c r="C1438" s="13" t="s">
        <v>2094</v>
      </c>
      <c r="D1438" s="14">
        <v>44199</v>
      </c>
      <c r="E1438" s="14">
        <v>44199</v>
      </c>
      <c r="F1438" s="14">
        <v>44202</v>
      </c>
      <c r="G1438" s="13" t="s">
        <v>3</v>
      </c>
      <c r="H1438" s="13" t="s">
        <v>4</v>
      </c>
      <c r="I1438" s="15">
        <v>-11833.1</v>
      </c>
      <c r="J1438" s="13" t="s">
        <v>5</v>
      </c>
      <c r="K1438" s="13" t="s">
        <v>6</v>
      </c>
      <c r="L1438" s="15">
        <v>-993388.75</v>
      </c>
      <c r="M1438" s="15">
        <v>-11833.1</v>
      </c>
      <c r="N1438" s="16" t="str">
        <f>IF(M1438="","",IF(M1438&lt;0,-M1438&amp;"_"&amp;COUNTIF(M$2:M1438,M1438),M1438&amp;"_"&amp;COUNTIF(M$2:M1438,M1438)))</f>
        <v>11833.1_1</v>
      </c>
      <c r="O1438" s="17" t="str">
        <f t="shared" si="22"/>
        <v/>
      </c>
      <c r="P1438" s="13" t="s">
        <v>2095</v>
      </c>
      <c r="Q1438" s="13" t="s">
        <v>2093</v>
      </c>
      <c r="R1438" s="13" t="s">
        <v>0</v>
      </c>
      <c r="S1438" s="13" t="s">
        <v>0</v>
      </c>
      <c r="T1438" s="13" t="s">
        <v>9</v>
      </c>
      <c r="U1438" s="13" t="s">
        <v>0</v>
      </c>
      <c r="V1438" s="13" t="s">
        <v>0</v>
      </c>
      <c r="W1438" s="13" t="s">
        <v>0</v>
      </c>
      <c r="X1438" s="13" t="s">
        <v>0</v>
      </c>
      <c r="Y1438" s="13" t="s">
        <v>10</v>
      </c>
      <c r="Z1438" s="13" t="s">
        <v>0</v>
      </c>
      <c r="AA1438" s="14"/>
      <c r="AB1438" s="13" t="s">
        <v>0</v>
      </c>
      <c r="AC1438" s="13" t="s">
        <v>0</v>
      </c>
      <c r="AD1438" s="13" t="s">
        <v>0</v>
      </c>
      <c r="AE1438" s="15">
        <v>0</v>
      </c>
    </row>
    <row r="1439" spans="1:31" ht="14.15" customHeight="1" x14ac:dyDescent="0.25">
      <c r="A1439" s="12" t="s">
        <v>0</v>
      </c>
      <c r="B1439" s="13" t="s">
        <v>1</v>
      </c>
      <c r="C1439" s="13" t="s">
        <v>3066</v>
      </c>
      <c r="D1439" s="14">
        <v>44284</v>
      </c>
      <c r="E1439" s="14">
        <v>44284</v>
      </c>
      <c r="F1439" s="14">
        <v>44290</v>
      </c>
      <c r="G1439" s="13" t="s">
        <v>3</v>
      </c>
      <c r="H1439" s="13" t="s">
        <v>4</v>
      </c>
      <c r="I1439" s="15">
        <v>-11804.88</v>
      </c>
      <c r="J1439" s="13" t="s">
        <v>5</v>
      </c>
      <c r="K1439" s="13" t="s">
        <v>6</v>
      </c>
      <c r="L1439" s="15">
        <v>-991019.68</v>
      </c>
      <c r="M1439" s="15">
        <v>-11804.88</v>
      </c>
      <c r="N1439" s="16" t="str">
        <f>IF(M1439="","",IF(M1439&lt;0,-M1439&amp;"_"&amp;COUNTIF(M$2:M1439,M1439),M1439&amp;"_"&amp;COUNTIF(M$2:M1439,M1439)))</f>
        <v>11804.88_1</v>
      </c>
      <c r="O1439" s="17" t="str">
        <f t="shared" si="22"/>
        <v/>
      </c>
      <c r="P1439" s="13" t="s">
        <v>3067</v>
      </c>
      <c r="Q1439" s="13" t="s">
        <v>3061</v>
      </c>
      <c r="R1439" s="13" t="s">
        <v>0</v>
      </c>
      <c r="S1439" s="13" t="s">
        <v>0</v>
      </c>
      <c r="T1439" s="13" t="s">
        <v>9</v>
      </c>
      <c r="U1439" s="13" t="s">
        <v>0</v>
      </c>
      <c r="V1439" s="13" t="s">
        <v>0</v>
      </c>
      <c r="W1439" s="13" t="s">
        <v>0</v>
      </c>
      <c r="X1439" s="13" t="s">
        <v>0</v>
      </c>
      <c r="Y1439" s="13" t="s">
        <v>10</v>
      </c>
      <c r="Z1439" s="13" t="s">
        <v>0</v>
      </c>
      <c r="AA1439" s="14"/>
      <c r="AB1439" s="13" t="s">
        <v>0</v>
      </c>
      <c r="AC1439" s="13" t="s">
        <v>0</v>
      </c>
      <c r="AD1439" s="13" t="s">
        <v>0</v>
      </c>
      <c r="AE1439" s="15">
        <v>0</v>
      </c>
    </row>
    <row r="1440" spans="1:31" ht="14.15" customHeight="1" x14ac:dyDescent="0.25">
      <c r="A1440" s="12" t="s">
        <v>0</v>
      </c>
      <c r="B1440" s="13" t="s">
        <v>1</v>
      </c>
      <c r="C1440" s="13" t="s">
        <v>1606</v>
      </c>
      <c r="D1440" s="14">
        <v>44168</v>
      </c>
      <c r="E1440" s="14">
        <v>44168</v>
      </c>
      <c r="F1440" s="14">
        <v>44174</v>
      </c>
      <c r="G1440" s="13" t="s">
        <v>3</v>
      </c>
      <c r="H1440" s="13" t="s">
        <v>4</v>
      </c>
      <c r="I1440" s="15">
        <v>-11791.15</v>
      </c>
      <c r="J1440" s="13" t="s">
        <v>5</v>
      </c>
      <c r="K1440" s="13" t="s">
        <v>6</v>
      </c>
      <c r="L1440" s="15">
        <v>-989867.04</v>
      </c>
      <c r="M1440" s="15">
        <v>-11791.15</v>
      </c>
      <c r="N1440" s="16" t="str">
        <f>IF(M1440="","",IF(M1440&lt;0,-M1440&amp;"_"&amp;COUNTIF(M$2:M1440,M1440),M1440&amp;"_"&amp;COUNTIF(M$2:M1440,M1440)))</f>
        <v>11791.15_1</v>
      </c>
      <c r="O1440" s="17" t="str">
        <f t="shared" si="22"/>
        <v/>
      </c>
      <c r="P1440" s="13" t="s">
        <v>1607</v>
      </c>
      <c r="Q1440" s="13" t="s">
        <v>1605</v>
      </c>
      <c r="R1440" s="13" t="s">
        <v>0</v>
      </c>
      <c r="S1440" s="13" t="s">
        <v>0</v>
      </c>
      <c r="T1440" s="13" t="s">
        <v>9</v>
      </c>
      <c r="U1440" s="13" t="s">
        <v>0</v>
      </c>
      <c r="V1440" s="13" t="s">
        <v>0</v>
      </c>
      <c r="W1440" s="13" t="s">
        <v>0</v>
      </c>
      <c r="X1440" s="13" t="s">
        <v>0</v>
      </c>
      <c r="Y1440" s="13" t="s">
        <v>10</v>
      </c>
      <c r="Z1440" s="13" t="s">
        <v>0</v>
      </c>
      <c r="AA1440" s="14"/>
      <c r="AB1440" s="13" t="s">
        <v>0</v>
      </c>
      <c r="AC1440" s="13" t="s">
        <v>0</v>
      </c>
      <c r="AD1440" s="13" t="s">
        <v>0</v>
      </c>
      <c r="AE1440" s="15">
        <v>0</v>
      </c>
    </row>
    <row r="1441" spans="1:31" ht="14.15" customHeight="1" x14ac:dyDescent="0.25">
      <c r="A1441" s="12" t="s">
        <v>0</v>
      </c>
      <c r="B1441" s="13" t="s">
        <v>1</v>
      </c>
      <c r="C1441" s="13" t="s">
        <v>975</v>
      </c>
      <c r="D1441" s="14">
        <v>44125</v>
      </c>
      <c r="E1441" s="14">
        <v>44125</v>
      </c>
      <c r="F1441" s="14">
        <v>44130</v>
      </c>
      <c r="G1441" s="13" t="s">
        <v>3</v>
      </c>
      <c r="H1441" s="13" t="s">
        <v>4</v>
      </c>
      <c r="I1441" s="15">
        <v>-11768.31</v>
      </c>
      <c r="J1441" s="13" t="s">
        <v>5</v>
      </c>
      <c r="K1441" s="13" t="s">
        <v>6</v>
      </c>
      <c r="L1441" s="15">
        <v>-987949.62</v>
      </c>
      <c r="M1441" s="15">
        <v>-11768.31</v>
      </c>
      <c r="N1441" s="16" t="str">
        <f>IF(M1441="","",IF(M1441&lt;0,-M1441&amp;"_"&amp;COUNTIF(M$2:M1441,M1441),M1441&amp;"_"&amp;COUNTIF(M$2:M1441,M1441)))</f>
        <v>11768.31_1</v>
      </c>
      <c r="O1441" s="17" t="str">
        <f t="shared" si="22"/>
        <v/>
      </c>
      <c r="P1441" s="13" t="s">
        <v>976</v>
      </c>
      <c r="Q1441" s="13" t="s">
        <v>977</v>
      </c>
      <c r="R1441" s="13" t="s">
        <v>0</v>
      </c>
      <c r="S1441" s="13" t="s">
        <v>0</v>
      </c>
      <c r="T1441" s="13" t="s">
        <v>9</v>
      </c>
      <c r="U1441" s="13" t="s">
        <v>0</v>
      </c>
      <c r="V1441" s="13" t="s">
        <v>0</v>
      </c>
      <c r="W1441" s="13" t="s">
        <v>0</v>
      </c>
      <c r="X1441" s="13" t="s">
        <v>0</v>
      </c>
      <c r="Y1441" s="13" t="s">
        <v>10</v>
      </c>
      <c r="Z1441" s="13" t="s">
        <v>0</v>
      </c>
      <c r="AA1441" s="14"/>
      <c r="AB1441" s="13" t="s">
        <v>0</v>
      </c>
      <c r="AC1441" s="13" t="s">
        <v>0</v>
      </c>
      <c r="AD1441" s="13" t="s">
        <v>0</v>
      </c>
      <c r="AE1441" s="15">
        <v>0</v>
      </c>
    </row>
    <row r="1442" spans="1:31" ht="14.15" customHeight="1" x14ac:dyDescent="0.25">
      <c r="A1442" s="12" t="s">
        <v>0</v>
      </c>
      <c r="B1442" s="13" t="s">
        <v>1</v>
      </c>
      <c r="C1442" s="13" t="s">
        <v>1058</v>
      </c>
      <c r="D1442" s="14">
        <v>44132</v>
      </c>
      <c r="E1442" s="14">
        <v>44132</v>
      </c>
      <c r="F1442" s="14">
        <v>44137</v>
      </c>
      <c r="G1442" s="13" t="s">
        <v>3</v>
      </c>
      <c r="H1442" s="13" t="s">
        <v>4</v>
      </c>
      <c r="I1442" s="15">
        <v>-11760.85</v>
      </c>
      <c r="J1442" s="13" t="s">
        <v>5</v>
      </c>
      <c r="K1442" s="13" t="s">
        <v>6</v>
      </c>
      <c r="L1442" s="15">
        <v>-987323.36</v>
      </c>
      <c r="M1442" s="15">
        <v>-11760.85</v>
      </c>
      <c r="N1442" s="16" t="str">
        <f>IF(M1442="","",IF(M1442&lt;0,-M1442&amp;"_"&amp;COUNTIF(M$2:M1442,M1442),M1442&amp;"_"&amp;COUNTIF(M$2:M1442,M1442)))</f>
        <v>11760.85_1</v>
      </c>
      <c r="O1442" s="17" t="str">
        <f t="shared" si="22"/>
        <v/>
      </c>
      <c r="P1442" s="13" t="s">
        <v>1059</v>
      </c>
      <c r="Q1442" s="13" t="s">
        <v>1060</v>
      </c>
      <c r="R1442" s="13" t="s">
        <v>0</v>
      </c>
      <c r="S1442" s="13" t="s">
        <v>0</v>
      </c>
      <c r="T1442" s="13" t="s">
        <v>9</v>
      </c>
      <c r="U1442" s="13" t="s">
        <v>0</v>
      </c>
      <c r="V1442" s="13" t="s">
        <v>0</v>
      </c>
      <c r="W1442" s="13" t="s">
        <v>0</v>
      </c>
      <c r="X1442" s="13" t="s">
        <v>0</v>
      </c>
      <c r="Y1442" s="13" t="s">
        <v>10</v>
      </c>
      <c r="Z1442" s="13" t="s">
        <v>0</v>
      </c>
      <c r="AA1442" s="14"/>
      <c r="AB1442" s="13" t="s">
        <v>0</v>
      </c>
      <c r="AC1442" s="13" t="s">
        <v>0</v>
      </c>
      <c r="AD1442" s="13" t="s">
        <v>0</v>
      </c>
      <c r="AE1442" s="15">
        <v>0</v>
      </c>
    </row>
    <row r="1443" spans="1:31" ht="14.15" customHeight="1" x14ac:dyDescent="0.25">
      <c r="A1443" s="12" t="s">
        <v>0</v>
      </c>
      <c r="B1443" s="13" t="s">
        <v>1</v>
      </c>
      <c r="C1443" s="13" t="s">
        <v>873</v>
      </c>
      <c r="D1443" s="14">
        <v>44111</v>
      </c>
      <c r="E1443" s="14">
        <v>44111</v>
      </c>
      <c r="F1443" s="14">
        <v>44118</v>
      </c>
      <c r="G1443" s="13" t="s">
        <v>3</v>
      </c>
      <c r="H1443" s="13" t="s">
        <v>4</v>
      </c>
      <c r="I1443" s="15">
        <v>-11756.64</v>
      </c>
      <c r="J1443" s="13" t="s">
        <v>5</v>
      </c>
      <c r="K1443" s="13" t="s">
        <v>6</v>
      </c>
      <c r="L1443" s="15">
        <v>-986969.93</v>
      </c>
      <c r="M1443" s="15">
        <v>-11756.64</v>
      </c>
      <c r="N1443" s="16" t="str">
        <f>IF(M1443="","",IF(M1443&lt;0,-M1443&amp;"_"&amp;COUNTIF(M$2:M1443,M1443),M1443&amp;"_"&amp;COUNTIF(M$2:M1443,M1443)))</f>
        <v>11756.64_1</v>
      </c>
      <c r="O1443" s="17" t="str">
        <f t="shared" si="22"/>
        <v/>
      </c>
      <c r="P1443" s="13" t="s">
        <v>874</v>
      </c>
      <c r="Q1443" s="13" t="s">
        <v>866</v>
      </c>
      <c r="R1443" s="13" t="s">
        <v>0</v>
      </c>
      <c r="S1443" s="13" t="s">
        <v>0</v>
      </c>
      <c r="T1443" s="13" t="s">
        <v>9</v>
      </c>
      <c r="U1443" s="13" t="s">
        <v>0</v>
      </c>
      <c r="V1443" s="13" t="s">
        <v>0</v>
      </c>
      <c r="W1443" s="13" t="s">
        <v>0</v>
      </c>
      <c r="X1443" s="13" t="s">
        <v>0</v>
      </c>
      <c r="Y1443" s="13" t="s">
        <v>10</v>
      </c>
      <c r="Z1443" s="13" t="s">
        <v>0</v>
      </c>
      <c r="AA1443" s="14"/>
      <c r="AB1443" s="13" t="s">
        <v>0</v>
      </c>
      <c r="AC1443" s="13" t="s">
        <v>0</v>
      </c>
      <c r="AD1443" s="13" t="s">
        <v>0</v>
      </c>
      <c r="AE1443" s="15">
        <v>0</v>
      </c>
    </row>
    <row r="1444" spans="1:31" ht="14.15" customHeight="1" x14ac:dyDescent="0.25">
      <c r="A1444" s="12" t="s">
        <v>0</v>
      </c>
      <c r="B1444" s="13" t="s">
        <v>1</v>
      </c>
      <c r="C1444" s="13" t="s">
        <v>3635</v>
      </c>
      <c r="D1444" s="14">
        <v>44331</v>
      </c>
      <c r="E1444" s="14">
        <v>44331</v>
      </c>
      <c r="F1444" s="14">
        <v>44336</v>
      </c>
      <c r="G1444" s="13" t="s">
        <v>3</v>
      </c>
      <c r="H1444" s="13" t="s">
        <v>4</v>
      </c>
      <c r="I1444" s="15">
        <v>-11734.13</v>
      </c>
      <c r="J1444" s="13" t="s">
        <v>5</v>
      </c>
      <c r="K1444" s="13" t="s">
        <v>6</v>
      </c>
      <c r="L1444" s="15">
        <v>-985080.22</v>
      </c>
      <c r="M1444" s="15">
        <v>-11734.13</v>
      </c>
      <c r="N1444" s="16" t="str">
        <f>IF(M1444="","",IF(M1444&lt;0,-M1444&amp;"_"&amp;COUNTIF(M$2:M1444,M1444),M1444&amp;"_"&amp;COUNTIF(M$2:M1444,M1444)))</f>
        <v>11734.13_1</v>
      </c>
      <c r="O1444" s="17" t="str">
        <f t="shared" si="22"/>
        <v/>
      </c>
      <c r="P1444" s="13" t="s">
        <v>3636</v>
      </c>
      <c r="Q1444" s="13" t="s">
        <v>3637</v>
      </c>
      <c r="R1444" s="13" t="s">
        <v>0</v>
      </c>
      <c r="S1444" s="13" t="s">
        <v>0</v>
      </c>
      <c r="T1444" s="13" t="s">
        <v>9</v>
      </c>
      <c r="U1444" s="13" t="s">
        <v>0</v>
      </c>
      <c r="V1444" s="13" t="s">
        <v>0</v>
      </c>
      <c r="W1444" s="13" t="s">
        <v>0</v>
      </c>
      <c r="X1444" s="13" t="s">
        <v>0</v>
      </c>
      <c r="Y1444" s="13" t="s">
        <v>10</v>
      </c>
      <c r="Z1444" s="13" t="s">
        <v>0</v>
      </c>
      <c r="AA1444" s="14"/>
      <c r="AB1444" s="13" t="s">
        <v>0</v>
      </c>
      <c r="AC1444" s="13" t="s">
        <v>0</v>
      </c>
      <c r="AD1444" s="13" t="s">
        <v>0</v>
      </c>
      <c r="AE1444" s="15">
        <v>0</v>
      </c>
    </row>
    <row r="1445" spans="1:31" ht="14.15" customHeight="1" x14ac:dyDescent="0.25">
      <c r="A1445" s="12" t="s">
        <v>0</v>
      </c>
      <c r="B1445" s="13" t="s">
        <v>1</v>
      </c>
      <c r="C1445" s="13" t="s">
        <v>1742</v>
      </c>
      <c r="D1445" s="14">
        <v>44178</v>
      </c>
      <c r="E1445" s="14">
        <v>44178</v>
      </c>
      <c r="F1445" s="14">
        <v>44188</v>
      </c>
      <c r="G1445" s="13" t="s">
        <v>3</v>
      </c>
      <c r="H1445" s="13" t="s">
        <v>4</v>
      </c>
      <c r="I1445" s="15">
        <v>-11718.22</v>
      </c>
      <c r="J1445" s="13" t="s">
        <v>5</v>
      </c>
      <c r="K1445" s="13" t="s">
        <v>6</v>
      </c>
      <c r="L1445" s="15">
        <v>-983744.57</v>
      </c>
      <c r="M1445" s="15">
        <v>-11718.22</v>
      </c>
      <c r="N1445" s="16" t="str">
        <f>IF(M1445="","",IF(M1445&lt;0,-M1445&amp;"_"&amp;COUNTIF(M$2:M1445,M1445),M1445&amp;"_"&amp;COUNTIF(M$2:M1445,M1445)))</f>
        <v>11718.22_1</v>
      </c>
      <c r="O1445" s="17" t="str">
        <f t="shared" si="22"/>
        <v/>
      </c>
      <c r="P1445" s="13" t="s">
        <v>1743</v>
      </c>
      <c r="Q1445" s="13" t="s">
        <v>1739</v>
      </c>
      <c r="R1445" s="13" t="s">
        <v>0</v>
      </c>
      <c r="S1445" s="13" t="s">
        <v>0</v>
      </c>
      <c r="T1445" s="13" t="s">
        <v>9</v>
      </c>
      <c r="U1445" s="13" t="s">
        <v>0</v>
      </c>
      <c r="V1445" s="13" t="s">
        <v>0</v>
      </c>
      <c r="W1445" s="13" t="s">
        <v>0</v>
      </c>
      <c r="X1445" s="13" t="s">
        <v>0</v>
      </c>
      <c r="Y1445" s="13" t="s">
        <v>10</v>
      </c>
      <c r="Z1445" s="13" t="s">
        <v>0</v>
      </c>
      <c r="AA1445" s="14"/>
      <c r="AB1445" s="13" t="s">
        <v>0</v>
      </c>
      <c r="AC1445" s="13" t="s">
        <v>0</v>
      </c>
      <c r="AD1445" s="13" t="s">
        <v>0</v>
      </c>
      <c r="AE1445" s="15">
        <v>0</v>
      </c>
    </row>
    <row r="1446" spans="1:31" ht="14.15" customHeight="1" x14ac:dyDescent="0.25">
      <c r="A1446" s="12" t="s">
        <v>0</v>
      </c>
      <c r="B1446" s="13" t="s">
        <v>1</v>
      </c>
      <c r="C1446" s="13" t="s">
        <v>683</v>
      </c>
      <c r="D1446" s="14">
        <v>44089</v>
      </c>
      <c r="E1446" s="14">
        <v>44089</v>
      </c>
      <c r="F1446" s="14">
        <v>44112</v>
      </c>
      <c r="G1446" s="13" t="s">
        <v>3</v>
      </c>
      <c r="H1446" s="13" t="s">
        <v>4</v>
      </c>
      <c r="I1446" s="15">
        <v>-11716.83</v>
      </c>
      <c r="J1446" s="13" t="s">
        <v>5</v>
      </c>
      <c r="K1446" s="13" t="s">
        <v>6</v>
      </c>
      <c r="L1446" s="15">
        <v>-983627.88</v>
      </c>
      <c r="M1446" s="15">
        <v>-11716.83</v>
      </c>
      <c r="N1446" s="16" t="str">
        <f>IF(M1446="","",IF(M1446&lt;0,-M1446&amp;"_"&amp;COUNTIF(M$2:M1446,M1446),M1446&amp;"_"&amp;COUNTIF(M$2:M1446,M1446)))</f>
        <v>11716.83_1</v>
      </c>
      <c r="O1446" s="17" t="str">
        <f t="shared" si="22"/>
        <v/>
      </c>
      <c r="P1446" s="13" t="s">
        <v>684</v>
      </c>
      <c r="Q1446" s="13" t="s">
        <v>680</v>
      </c>
      <c r="R1446" s="13" t="s">
        <v>0</v>
      </c>
      <c r="S1446" s="13" t="s">
        <v>0</v>
      </c>
      <c r="T1446" s="13" t="s">
        <v>9</v>
      </c>
      <c r="U1446" s="13" t="s">
        <v>0</v>
      </c>
      <c r="V1446" s="13" t="s">
        <v>0</v>
      </c>
      <c r="W1446" s="13" t="s">
        <v>0</v>
      </c>
      <c r="X1446" s="13" t="s">
        <v>0</v>
      </c>
      <c r="Y1446" s="13" t="s">
        <v>10</v>
      </c>
      <c r="Z1446" s="13" t="s">
        <v>0</v>
      </c>
      <c r="AA1446" s="14"/>
      <c r="AB1446" s="13" t="s">
        <v>0</v>
      </c>
      <c r="AC1446" s="13" t="s">
        <v>0</v>
      </c>
      <c r="AD1446" s="13" t="s">
        <v>0</v>
      </c>
      <c r="AE1446" s="15">
        <v>0</v>
      </c>
    </row>
    <row r="1447" spans="1:31" ht="14.15" customHeight="1" x14ac:dyDescent="0.25">
      <c r="A1447" s="12" t="s">
        <v>0</v>
      </c>
      <c r="B1447" s="13" t="s">
        <v>1</v>
      </c>
      <c r="C1447" s="13" t="s">
        <v>2251</v>
      </c>
      <c r="D1447" s="14">
        <v>44215</v>
      </c>
      <c r="E1447" s="14">
        <v>44215</v>
      </c>
      <c r="F1447" s="14">
        <v>44222</v>
      </c>
      <c r="G1447" s="13" t="s">
        <v>3</v>
      </c>
      <c r="H1447" s="13" t="s">
        <v>4</v>
      </c>
      <c r="I1447" s="15">
        <v>-11697.93</v>
      </c>
      <c r="J1447" s="13" t="s">
        <v>5</v>
      </c>
      <c r="K1447" s="13" t="s">
        <v>6</v>
      </c>
      <c r="L1447" s="15">
        <v>-982041.22</v>
      </c>
      <c r="M1447" s="15">
        <v>-11697.93</v>
      </c>
      <c r="N1447" s="16" t="str">
        <f>IF(M1447="","",IF(M1447&lt;0,-M1447&amp;"_"&amp;COUNTIF(M$2:M1447,M1447),M1447&amp;"_"&amp;COUNTIF(M$2:M1447,M1447)))</f>
        <v>11697.93_1</v>
      </c>
      <c r="O1447" s="17" t="str">
        <f t="shared" si="22"/>
        <v/>
      </c>
      <c r="P1447" s="13" t="s">
        <v>2252</v>
      </c>
      <c r="Q1447" s="13" t="s">
        <v>2250</v>
      </c>
      <c r="R1447" s="13" t="s">
        <v>0</v>
      </c>
      <c r="S1447" s="13" t="s">
        <v>0</v>
      </c>
      <c r="T1447" s="13" t="s">
        <v>9</v>
      </c>
      <c r="U1447" s="13" t="s">
        <v>0</v>
      </c>
      <c r="V1447" s="13" t="s">
        <v>0</v>
      </c>
      <c r="W1447" s="13" t="s">
        <v>0</v>
      </c>
      <c r="X1447" s="13" t="s">
        <v>0</v>
      </c>
      <c r="Y1447" s="13" t="s">
        <v>10</v>
      </c>
      <c r="Z1447" s="13" t="s">
        <v>0</v>
      </c>
      <c r="AA1447" s="14"/>
      <c r="AB1447" s="13" t="s">
        <v>0</v>
      </c>
      <c r="AC1447" s="13" t="s">
        <v>0</v>
      </c>
      <c r="AD1447" s="13" t="s">
        <v>0</v>
      </c>
      <c r="AE1447" s="15">
        <v>0</v>
      </c>
    </row>
    <row r="1448" spans="1:31" ht="14.15" customHeight="1" x14ac:dyDescent="0.25">
      <c r="A1448" s="12" t="s">
        <v>0</v>
      </c>
      <c r="B1448" s="13" t="s">
        <v>1</v>
      </c>
      <c r="C1448" s="13" t="s">
        <v>3933</v>
      </c>
      <c r="D1448" s="14">
        <v>44354</v>
      </c>
      <c r="E1448" s="14">
        <v>44354</v>
      </c>
      <c r="F1448" s="14">
        <v>44359</v>
      </c>
      <c r="G1448" s="13" t="s">
        <v>3</v>
      </c>
      <c r="H1448" s="13" t="s">
        <v>4</v>
      </c>
      <c r="I1448" s="15">
        <v>-11689.2</v>
      </c>
      <c r="J1448" s="13" t="s">
        <v>5</v>
      </c>
      <c r="K1448" s="13" t="s">
        <v>6</v>
      </c>
      <c r="L1448" s="15">
        <v>-981308.34</v>
      </c>
      <c r="M1448" s="15">
        <v>-11689.2</v>
      </c>
      <c r="N1448" s="16" t="str">
        <f>IF(M1448="","",IF(M1448&lt;0,-M1448&amp;"_"&amp;COUNTIF(M$2:M1448,M1448),M1448&amp;"_"&amp;COUNTIF(M$2:M1448,M1448)))</f>
        <v>11689.2_1</v>
      </c>
      <c r="O1448" s="17" t="str">
        <f t="shared" si="22"/>
        <v/>
      </c>
      <c r="P1448" s="13" t="s">
        <v>3934</v>
      </c>
      <c r="Q1448" s="13" t="s">
        <v>3914</v>
      </c>
      <c r="R1448" s="13" t="s">
        <v>0</v>
      </c>
      <c r="S1448" s="13" t="s">
        <v>0</v>
      </c>
      <c r="T1448" s="13" t="s">
        <v>9</v>
      </c>
      <c r="U1448" s="13" t="s">
        <v>0</v>
      </c>
      <c r="V1448" s="13" t="s">
        <v>0</v>
      </c>
      <c r="W1448" s="13" t="s">
        <v>0</v>
      </c>
      <c r="X1448" s="13" t="s">
        <v>0</v>
      </c>
      <c r="Y1448" s="13" t="s">
        <v>10</v>
      </c>
      <c r="Z1448" s="13" t="s">
        <v>0</v>
      </c>
      <c r="AA1448" s="14"/>
      <c r="AB1448" s="13" t="s">
        <v>0</v>
      </c>
      <c r="AC1448" s="13" t="s">
        <v>0</v>
      </c>
      <c r="AD1448" s="13" t="s">
        <v>0</v>
      </c>
      <c r="AE1448" s="15">
        <v>0</v>
      </c>
    </row>
    <row r="1449" spans="1:31" ht="14.15" customHeight="1" x14ac:dyDescent="0.25">
      <c r="A1449" s="12" t="s">
        <v>0</v>
      </c>
      <c r="B1449" s="13" t="s">
        <v>454</v>
      </c>
      <c r="C1449" s="13" t="s">
        <v>455</v>
      </c>
      <c r="D1449" s="14">
        <v>44066</v>
      </c>
      <c r="E1449" s="14">
        <v>44066</v>
      </c>
      <c r="F1449" s="14">
        <v>44069</v>
      </c>
      <c r="G1449" s="13" t="s">
        <v>3</v>
      </c>
      <c r="H1449" s="13" t="s">
        <v>4</v>
      </c>
      <c r="I1449" s="15">
        <v>-11684.4</v>
      </c>
      <c r="J1449" s="13" t="s">
        <v>5</v>
      </c>
      <c r="K1449" s="13" t="s">
        <v>6</v>
      </c>
      <c r="L1449" s="15">
        <v>-980905.38</v>
      </c>
      <c r="M1449" s="15">
        <v>-11684.4</v>
      </c>
      <c r="N1449" s="16" t="str">
        <f>IF(M1449="","",IF(M1449&lt;0,-M1449&amp;"_"&amp;COUNTIF(M$2:M1449,M1449),M1449&amp;"_"&amp;COUNTIF(M$2:M1449,M1449)))</f>
        <v>11684.4_1</v>
      </c>
      <c r="O1449" s="17" t="str">
        <f t="shared" si="22"/>
        <v/>
      </c>
      <c r="P1449" s="13" t="s">
        <v>456</v>
      </c>
      <c r="Q1449" s="13" t="s">
        <v>445</v>
      </c>
      <c r="R1449" s="13" t="s">
        <v>0</v>
      </c>
      <c r="S1449" s="13" t="s">
        <v>0</v>
      </c>
      <c r="T1449" s="13" t="s">
        <v>9</v>
      </c>
      <c r="U1449" s="13" t="s">
        <v>0</v>
      </c>
      <c r="V1449" s="13" t="s">
        <v>0</v>
      </c>
      <c r="W1449" s="13" t="s">
        <v>0</v>
      </c>
      <c r="X1449" s="13" t="s">
        <v>0</v>
      </c>
      <c r="Y1449" s="13" t="s">
        <v>10</v>
      </c>
      <c r="Z1449" s="13" t="s">
        <v>0</v>
      </c>
      <c r="AA1449" s="14"/>
      <c r="AB1449" s="13" t="s">
        <v>0</v>
      </c>
      <c r="AC1449" s="13" t="s">
        <v>0</v>
      </c>
      <c r="AD1449" s="13" t="s">
        <v>0</v>
      </c>
      <c r="AE1449" s="15">
        <v>0</v>
      </c>
    </row>
    <row r="1450" spans="1:31" ht="14.15" customHeight="1" x14ac:dyDescent="0.25">
      <c r="A1450" s="12" t="s">
        <v>0</v>
      </c>
      <c r="B1450" s="13" t="s">
        <v>1</v>
      </c>
      <c r="C1450" s="13" t="s">
        <v>1713</v>
      </c>
      <c r="D1450" s="14">
        <v>44175</v>
      </c>
      <c r="E1450" s="14">
        <v>44175</v>
      </c>
      <c r="F1450" s="14">
        <v>44180</v>
      </c>
      <c r="G1450" s="13" t="s">
        <v>3</v>
      </c>
      <c r="H1450" s="13" t="s">
        <v>4</v>
      </c>
      <c r="I1450" s="15">
        <v>-11680.01</v>
      </c>
      <c r="J1450" s="13" t="s">
        <v>5</v>
      </c>
      <c r="K1450" s="13" t="s">
        <v>6</v>
      </c>
      <c r="L1450" s="15">
        <v>-980536.84</v>
      </c>
      <c r="M1450" s="15">
        <v>-11680.01</v>
      </c>
      <c r="N1450" s="16" t="str">
        <f>IF(M1450="","",IF(M1450&lt;0,-M1450&amp;"_"&amp;COUNTIF(M$2:M1450,M1450),M1450&amp;"_"&amp;COUNTIF(M$2:M1450,M1450)))</f>
        <v>11680.01_1</v>
      </c>
      <c r="O1450" s="17" t="str">
        <f t="shared" si="22"/>
        <v/>
      </c>
      <c r="P1450" s="13" t="s">
        <v>1714</v>
      </c>
      <c r="Q1450" s="13" t="s">
        <v>1715</v>
      </c>
      <c r="R1450" s="13" t="s">
        <v>0</v>
      </c>
      <c r="S1450" s="13" t="s">
        <v>0</v>
      </c>
      <c r="T1450" s="13" t="s">
        <v>9</v>
      </c>
      <c r="U1450" s="13" t="s">
        <v>0</v>
      </c>
      <c r="V1450" s="13" t="s">
        <v>0</v>
      </c>
      <c r="W1450" s="13" t="s">
        <v>0</v>
      </c>
      <c r="X1450" s="13" t="s">
        <v>0</v>
      </c>
      <c r="Y1450" s="13" t="s">
        <v>10</v>
      </c>
      <c r="Z1450" s="13" t="s">
        <v>0</v>
      </c>
      <c r="AA1450" s="14"/>
      <c r="AB1450" s="13" t="s">
        <v>0</v>
      </c>
      <c r="AC1450" s="13" t="s">
        <v>0</v>
      </c>
      <c r="AD1450" s="13" t="s">
        <v>0</v>
      </c>
      <c r="AE1450" s="15">
        <v>0</v>
      </c>
    </row>
    <row r="1451" spans="1:31" ht="14.15" customHeight="1" x14ac:dyDescent="0.25">
      <c r="A1451" s="12" t="s">
        <v>0</v>
      </c>
      <c r="B1451" s="13" t="s">
        <v>1</v>
      </c>
      <c r="C1451" s="13" t="s">
        <v>1453</v>
      </c>
      <c r="D1451" s="14">
        <v>44159</v>
      </c>
      <c r="E1451" s="14">
        <v>44159</v>
      </c>
      <c r="F1451" s="14">
        <v>44163</v>
      </c>
      <c r="G1451" s="13" t="s">
        <v>3</v>
      </c>
      <c r="H1451" s="13" t="s">
        <v>4</v>
      </c>
      <c r="I1451" s="15">
        <v>-11674.79</v>
      </c>
      <c r="J1451" s="13" t="s">
        <v>5</v>
      </c>
      <c r="K1451" s="13" t="s">
        <v>6</v>
      </c>
      <c r="L1451" s="15">
        <v>-980098.62</v>
      </c>
      <c r="M1451" s="15">
        <v>-11674.79</v>
      </c>
      <c r="N1451" s="16" t="str">
        <f>IF(M1451="","",IF(M1451&lt;0,-M1451&amp;"_"&amp;COUNTIF(M$2:M1451,M1451),M1451&amp;"_"&amp;COUNTIF(M$2:M1451,M1451)))</f>
        <v>11674.79_1</v>
      </c>
      <c r="O1451" s="17" t="str">
        <f t="shared" si="22"/>
        <v/>
      </c>
      <c r="P1451" s="13" t="s">
        <v>1454</v>
      </c>
      <c r="Q1451" s="13" t="s">
        <v>1455</v>
      </c>
      <c r="R1451" s="13" t="s">
        <v>0</v>
      </c>
      <c r="S1451" s="13" t="s">
        <v>0</v>
      </c>
      <c r="T1451" s="13" t="s">
        <v>9</v>
      </c>
      <c r="U1451" s="13" t="s">
        <v>0</v>
      </c>
      <c r="V1451" s="13" t="s">
        <v>0</v>
      </c>
      <c r="W1451" s="13" t="s">
        <v>0</v>
      </c>
      <c r="X1451" s="13" t="s">
        <v>0</v>
      </c>
      <c r="Y1451" s="13" t="s">
        <v>10</v>
      </c>
      <c r="Z1451" s="13" t="s">
        <v>0</v>
      </c>
      <c r="AA1451" s="14"/>
      <c r="AB1451" s="13" t="s">
        <v>0</v>
      </c>
      <c r="AC1451" s="13" t="s">
        <v>0</v>
      </c>
      <c r="AD1451" s="13" t="s">
        <v>0</v>
      </c>
      <c r="AE1451" s="15">
        <v>0</v>
      </c>
    </row>
    <row r="1452" spans="1:31" ht="14.15" customHeight="1" x14ac:dyDescent="0.25">
      <c r="A1452" s="12" t="s">
        <v>0</v>
      </c>
      <c r="B1452" s="13" t="s">
        <v>1</v>
      </c>
      <c r="C1452" s="13" t="s">
        <v>2728</v>
      </c>
      <c r="D1452" s="14">
        <v>44256</v>
      </c>
      <c r="E1452" s="14">
        <v>44256</v>
      </c>
      <c r="F1452" s="14">
        <v>44265</v>
      </c>
      <c r="G1452" s="13" t="s">
        <v>3</v>
      </c>
      <c r="H1452" s="13" t="s">
        <v>4</v>
      </c>
      <c r="I1452" s="15">
        <v>-11674.3</v>
      </c>
      <c r="J1452" s="13" t="s">
        <v>5</v>
      </c>
      <c r="K1452" s="13" t="s">
        <v>6</v>
      </c>
      <c r="L1452" s="15">
        <v>-980057.49</v>
      </c>
      <c r="M1452" s="15">
        <v>-11674.3</v>
      </c>
      <c r="N1452" s="16" t="str">
        <f>IF(M1452="","",IF(M1452&lt;0,-M1452&amp;"_"&amp;COUNTIF(M$2:M1452,M1452),M1452&amp;"_"&amp;COUNTIF(M$2:M1452,M1452)))</f>
        <v>11674.3_1</v>
      </c>
      <c r="O1452" s="17" t="str">
        <f t="shared" si="22"/>
        <v/>
      </c>
      <c r="P1452" s="13" t="s">
        <v>2729</v>
      </c>
      <c r="Q1452" s="13" t="s">
        <v>2730</v>
      </c>
      <c r="R1452" s="13" t="s">
        <v>0</v>
      </c>
      <c r="S1452" s="13" t="s">
        <v>0</v>
      </c>
      <c r="T1452" s="13" t="s">
        <v>9</v>
      </c>
      <c r="U1452" s="13" t="s">
        <v>0</v>
      </c>
      <c r="V1452" s="13" t="s">
        <v>0</v>
      </c>
      <c r="W1452" s="13" t="s">
        <v>0</v>
      </c>
      <c r="X1452" s="13" t="s">
        <v>0</v>
      </c>
      <c r="Y1452" s="13" t="s">
        <v>10</v>
      </c>
      <c r="Z1452" s="13" t="s">
        <v>0</v>
      </c>
      <c r="AA1452" s="14"/>
      <c r="AB1452" s="13" t="s">
        <v>0</v>
      </c>
      <c r="AC1452" s="13" t="s">
        <v>0</v>
      </c>
      <c r="AD1452" s="13" t="s">
        <v>0</v>
      </c>
      <c r="AE1452" s="15">
        <v>0</v>
      </c>
    </row>
    <row r="1453" spans="1:31" ht="14.15" customHeight="1" x14ac:dyDescent="0.25">
      <c r="A1453" s="12" t="s">
        <v>0</v>
      </c>
      <c r="B1453" s="13" t="s">
        <v>1</v>
      </c>
      <c r="C1453" s="13" t="s">
        <v>86</v>
      </c>
      <c r="D1453" s="14">
        <v>44021</v>
      </c>
      <c r="E1453" s="14">
        <v>44021</v>
      </c>
      <c r="F1453" s="14">
        <v>44032</v>
      </c>
      <c r="G1453" s="13" t="s">
        <v>3</v>
      </c>
      <c r="H1453" s="13" t="s">
        <v>4</v>
      </c>
      <c r="I1453" s="15">
        <v>-11669.18</v>
      </c>
      <c r="J1453" s="13" t="s">
        <v>5</v>
      </c>
      <c r="K1453" s="13" t="s">
        <v>6</v>
      </c>
      <c r="L1453" s="15">
        <v>-979627.66</v>
      </c>
      <c r="M1453" s="15">
        <v>-11669.18</v>
      </c>
      <c r="N1453" s="16" t="str">
        <f>IF(M1453="","",IF(M1453&lt;0,-M1453&amp;"_"&amp;COUNTIF(M$2:M1453,M1453),M1453&amp;"_"&amp;COUNTIF(M$2:M1453,M1453)))</f>
        <v>11669.18_1</v>
      </c>
      <c r="O1453" s="17" t="str">
        <f t="shared" si="22"/>
        <v/>
      </c>
      <c r="P1453" s="13" t="s">
        <v>87</v>
      </c>
      <c r="Q1453" s="13" t="s">
        <v>85</v>
      </c>
      <c r="R1453" s="13" t="s">
        <v>0</v>
      </c>
      <c r="S1453" s="13" t="s">
        <v>0</v>
      </c>
      <c r="T1453" s="13" t="s">
        <v>9</v>
      </c>
      <c r="U1453" s="13" t="s">
        <v>0</v>
      </c>
      <c r="V1453" s="13" t="s">
        <v>0</v>
      </c>
      <c r="W1453" s="13" t="s">
        <v>0</v>
      </c>
      <c r="X1453" s="13" t="s">
        <v>0</v>
      </c>
      <c r="Y1453" s="13" t="s">
        <v>10</v>
      </c>
      <c r="Z1453" s="13" t="s">
        <v>0</v>
      </c>
      <c r="AA1453" s="14"/>
      <c r="AB1453" s="13" t="s">
        <v>0</v>
      </c>
      <c r="AC1453" s="13" t="s">
        <v>0</v>
      </c>
      <c r="AD1453" s="13" t="s">
        <v>0</v>
      </c>
      <c r="AE1453" s="15">
        <v>0</v>
      </c>
    </row>
    <row r="1454" spans="1:31" ht="14.15" customHeight="1" x14ac:dyDescent="0.25">
      <c r="A1454" s="12" t="s">
        <v>0</v>
      </c>
      <c r="B1454" s="13" t="s">
        <v>1</v>
      </c>
      <c r="C1454" s="13" t="s">
        <v>4369</v>
      </c>
      <c r="D1454" s="14">
        <v>44376</v>
      </c>
      <c r="E1454" s="14">
        <v>44376</v>
      </c>
      <c r="F1454" s="14">
        <v>44384</v>
      </c>
      <c r="G1454" s="13" t="s">
        <v>3</v>
      </c>
      <c r="H1454" s="13" t="s">
        <v>4</v>
      </c>
      <c r="I1454" s="15">
        <v>-11662.42</v>
      </c>
      <c r="J1454" s="13" t="s">
        <v>5</v>
      </c>
      <c r="K1454" s="13" t="s">
        <v>6</v>
      </c>
      <c r="L1454" s="15">
        <v>-979060.16</v>
      </c>
      <c r="M1454" s="15">
        <v>-11662.42</v>
      </c>
      <c r="N1454" s="16" t="str">
        <f>IF(M1454="","",IF(M1454&lt;0,-M1454&amp;"_"&amp;COUNTIF(M$2:M1454,M1454),M1454&amp;"_"&amp;COUNTIF(M$2:M1454,M1454)))</f>
        <v>11662.42_1</v>
      </c>
      <c r="O1454" s="17" t="str">
        <f t="shared" si="22"/>
        <v/>
      </c>
      <c r="P1454" s="13" t="s">
        <v>4370</v>
      </c>
      <c r="Q1454" s="13" t="s">
        <v>4350</v>
      </c>
      <c r="R1454" s="13" t="s">
        <v>0</v>
      </c>
      <c r="S1454" s="13" t="s">
        <v>0</v>
      </c>
      <c r="T1454" s="13" t="s">
        <v>9</v>
      </c>
      <c r="U1454" s="13" t="s">
        <v>0</v>
      </c>
      <c r="V1454" s="13" t="s">
        <v>0</v>
      </c>
      <c r="W1454" s="13" t="s">
        <v>0</v>
      </c>
      <c r="X1454" s="13" t="s">
        <v>0</v>
      </c>
      <c r="Y1454" s="13" t="s">
        <v>10</v>
      </c>
      <c r="Z1454" s="13" t="s">
        <v>0</v>
      </c>
      <c r="AA1454" s="14"/>
      <c r="AB1454" s="13" t="s">
        <v>0</v>
      </c>
      <c r="AC1454" s="13" t="s">
        <v>0</v>
      </c>
      <c r="AD1454" s="13" t="s">
        <v>0</v>
      </c>
      <c r="AE1454" s="15">
        <v>0</v>
      </c>
    </row>
    <row r="1455" spans="1:31" ht="14.15" customHeight="1" x14ac:dyDescent="0.25">
      <c r="A1455" s="12" t="s">
        <v>0</v>
      </c>
      <c r="B1455" s="13" t="s">
        <v>1</v>
      </c>
      <c r="C1455" s="13" t="s">
        <v>1698</v>
      </c>
      <c r="D1455" s="14">
        <v>44173</v>
      </c>
      <c r="E1455" s="14">
        <v>44173</v>
      </c>
      <c r="F1455" s="14">
        <v>44185</v>
      </c>
      <c r="G1455" s="13" t="s">
        <v>3</v>
      </c>
      <c r="H1455" s="13" t="s">
        <v>4</v>
      </c>
      <c r="I1455" s="15">
        <v>-11660.97</v>
      </c>
      <c r="J1455" s="13" t="s">
        <v>5</v>
      </c>
      <c r="K1455" s="13" t="s">
        <v>6</v>
      </c>
      <c r="L1455" s="15">
        <v>-978938.43</v>
      </c>
      <c r="M1455" s="15">
        <v>-11660.97</v>
      </c>
      <c r="N1455" s="16" t="str">
        <f>IF(M1455="","",IF(M1455&lt;0,-M1455&amp;"_"&amp;COUNTIF(M$2:M1455,M1455),M1455&amp;"_"&amp;COUNTIF(M$2:M1455,M1455)))</f>
        <v>11660.97_1</v>
      </c>
      <c r="O1455" s="17" t="str">
        <f t="shared" si="22"/>
        <v/>
      </c>
      <c r="P1455" s="13" t="s">
        <v>1699</v>
      </c>
      <c r="Q1455" s="13" t="s">
        <v>1687</v>
      </c>
      <c r="R1455" s="13" t="s">
        <v>0</v>
      </c>
      <c r="S1455" s="13" t="s">
        <v>0</v>
      </c>
      <c r="T1455" s="13" t="s">
        <v>9</v>
      </c>
      <c r="U1455" s="13" t="s">
        <v>0</v>
      </c>
      <c r="V1455" s="13" t="s">
        <v>0</v>
      </c>
      <c r="W1455" s="13" t="s">
        <v>0</v>
      </c>
      <c r="X1455" s="13" t="s">
        <v>0</v>
      </c>
      <c r="Y1455" s="13" t="s">
        <v>10</v>
      </c>
      <c r="Z1455" s="13" t="s">
        <v>0</v>
      </c>
      <c r="AA1455" s="14"/>
      <c r="AB1455" s="13" t="s">
        <v>0</v>
      </c>
      <c r="AC1455" s="13" t="s">
        <v>0</v>
      </c>
      <c r="AD1455" s="13" t="s">
        <v>0</v>
      </c>
      <c r="AE1455" s="15">
        <v>0</v>
      </c>
    </row>
    <row r="1456" spans="1:31" ht="14.15" customHeight="1" x14ac:dyDescent="0.25">
      <c r="A1456" s="12" t="s">
        <v>0</v>
      </c>
      <c r="B1456" s="13" t="s">
        <v>1</v>
      </c>
      <c r="C1456" s="13" t="s">
        <v>1519</v>
      </c>
      <c r="D1456" s="14">
        <v>44164</v>
      </c>
      <c r="E1456" s="14">
        <v>44164</v>
      </c>
      <c r="F1456" s="14">
        <v>44166</v>
      </c>
      <c r="G1456" s="13" t="s">
        <v>3</v>
      </c>
      <c r="H1456" s="13" t="s">
        <v>4</v>
      </c>
      <c r="I1456" s="15">
        <v>-11656.85</v>
      </c>
      <c r="J1456" s="13" t="s">
        <v>5</v>
      </c>
      <c r="K1456" s="13" t="s">
        <v>6</v>
      </c>
      <c r="L1456" s="15">
        <v>-978592.56</v>
      </c>
      <c r="M1456" s="15">
        <v>-11656.85</v>
      </c>
      <c r="N1456" s="16" t="str">
        <f>IF(M1456="","",IF(M1456&lt;0,-M1456&amp;"_"&amp;COUNTIF(M$2:M1456,M1456),M1456&amp;"_"&amp;COUNTIF(M$2:M1456,M1456)))</f>
        <v>11656.85_1</v>
      </c>
      <c r="O1456" s="17" t="str">
        <f t="shared" si="22"/>
        <v/>
      </c>
      <c r="P1456" s="13" t="s">
        <v>1520</v>
      </c>
      <c r="Q1456" s="13" t="s">
        <v>1516</v>
      </c>
      <c r="R1456" s="13" t="s">
        <v>0</v>
      </c>
      <c r="S1456" s="13" t="s">
        <v>0</v>
      </c>
      <c r="T1456" s="13" t="s">
        <v>9</v>
      </c>
      <c r="U1456" s="13" t="s">
        <v>0</v>
      </c>
      <c r="V1456" s="13" t="s">
        <v>0</v>
      </c>
      <c r="W1456" s="13" t="s">
        <v>0</v>
      </c>
      <c r="X1456" s="13" t="s">
        <v>0</v>
      </c>
      <c r="Y1456" s="13" t="s">
        <v>10</v>
      </c>
      <c r="Z1456" s="13" t="s">
        <v>0</v>
      </c>
      <c r="AA1456" s="14"/>
      <c r="AB1456" s="13" t="s">
        <v>0</v>
      </c>
      <c r="AC1456" s="13" t="s">
        <v>0</v>
      </c>
      <c r="AD1456" s="13" t="s">
        <v>0</v>
      </c>
      <c r="AE1456" s="15">
        <v>0</v>
      </c>
    </row>
    <row r="1457" spans="1:31" ht="14.15" customHeight="1" x14ac:dyDescent="0.25">
      <c r="A1457" s="12" t="s">
        <v>0</v>
      </c>
      <c r="B1457" s="13" t="s">
        <v>1</v>
      </c>
      <c r="C1457" s="13" t="s">
        <v>3181</v>
      </c>
      <c r="D1457" s="14">
        <v>44299</v>
      </c>
      <c r="E1457" s="14">
        <v>44299</v>
      </c>
      <c r="F1457" s="14">
        <v>44308</v>
      </c>
      <c r="G1457" s="13" t="s">
        <v>3</v>
      </c>
      <c r="H1457" s="13" t="s">
        <v>4</v>
      </c>
      <c r="I1457" s="15">
        <v>-11644.21</v>
      </c>
      <c r="J1457" s="13" t="s">
        <v>5</v>
      </c>
      <c r="K1457" s="13" t="s">
        <v>6</v>
      </c>
      <c r="L1457" s="15">
        <v>-977531.43</v>
      </c>
      <c r="M1457" s="15">
        <v>-11644.21</v>
      </c>
      <c r="N1457" s="16" t="str">
        <f>IF(M1457="","",IF(M1457&lt;0,-M1457&amp;"_"&amp;COUNTIF(M$2:M1457,M1457),M1457&amp;"_"&amp;COUNTIF(M$2:M1457,M1457)))</f>
        <v>11644.21_1</v>
      </c>
      <c r="O1457" s="17" t="str">
        <f t="shared" si="22"/>
        <v/>
      </c>
      <c r="P1457" s="13" t="s">
        <v>3182</v>
      </c>
      <c r="Q1457" s="13" t="s">
        <v>3170</v>
      </c>
      <c r="R1457" s="13" t="s">
        <v>0</v>
      </c>
      <c r="S1457" s="13" t="s">
        <v>0</v>
      </c>
      <c r="T1457" s="13" t="s">
        <v>9</v>
      </c>
      <c r="U1457" s="13" t="s">
        <v>0</v>
      </c>
      <c r="V1457" s="13" t="s">
        <v>0</v>
      </c>
      <c r="W1457" s="13" t="s">
        <v>0</v>
      </c>
      <c r="X1457" s="13" t="s">
        <v>0</v>
      </c>
      <c r="Y1457" s="13" t="s">
        <v>10</v>
      </c>
      <c r="Z1457" s="13" t="s">
        <v>0</v>
      </c>
      <c r="AA1457" s="14"/>
      <c r="AB1457" s="13" t="s">
        <v>0</v>
      </c>
      <c r="AC1457" s="13" t="s">
        <v>0</v>
      </c>
      <c r="AD1457" s="13" t="s">
        <v>0</v>
      </c>
      <c r="AE1457" s="15">
        <v>0</v>
      </c>
    </row>
    <row r="1458" spans="1:31" ht="14.15" customHeight="1" x14ac:dyDescent="0.25">
      <c r="A1458" s="12" t="s">
        <v>0</v>
      </c>
      <c r="B1458" s="13" t="s">
        <v>1</v>
      </c>
      <c r="C1458" s="13" t="s">
        <v>2609</v>
      </c>
      <c r="D1458" s="14">
        <v>44243</v>
      </c>
      <c r="E1458" s="14">
        <v>44243</v>
      </c>
      <c r="F1458" s="14">
        <v>44252</v>
      </c>
      <c r="G1458" s="13" t="s">
        <v>3</v>
      </c>
      <c r="H1458" s="13" t="s">
        <v>4</v>
      </c>
      <c r="I1458" s="15">
        <v>-11643.29</v>
      </c>
      <c r="J1458" s="13" t="s">
        <v>5</v>
      </c>
      <c r="K1458" s="13" t="s">
        <v>6</v>
      </c>
      <c r="L1458" s="15">
        <v>-977454.2</v>
      </c>
      <c r="M1458" s="15">
        <v>-11643.29</v>
      </c>
      <c r="N1458" s="16" t="str">
        <f>IF(M1458="","",IF(M1458&lt;0,-M1458&amp;"_"&amp;COUNTIF(M$2:M1458,M1458),M1458&amp;"_"&amp;COUNTIF(M$2:M1458,M1458)))</f>
        <v>11643.29_1</v>
      </c>
      <c r="O1458" s="17" t="str">
        <f t="shared" si="22"/>
        <v/>
      </c>
      <c r="P1458" s="13" t="s">
        <v>2610</v>
      </c>
      <c r="Q1458" s="13" t="s">
        <v>2574</v>
      </c>
      <c r="R1458" s="13" t="s">
        <v>0</v>
      </c>
      <c r="S1458" s="13" t="s">
        <v>0</v>
      </c>
      <c r="T1458" s="13" t="s">
        <v>9</v>
      </c>
      <c r="U1458" s="13" t="s">
        <v>0</v>
      </c>
      <c r="V1458" s="13" t="s">
        <v>0</v>
      </c>
      <c r="W1458" s="13" t="s">
        <v>0</v>
      </c>
      <c r="X1458" s="13" t="s">
        <v>0</v>
      </c>
      <c r="Y1458" s="13" t="s">
        <v>10</v>
      </c>
      <c r="Z1458" s="13" t="s">
        <v>0</v>
      </c>
      <c r="AA1458" s="14"/>
      <c r="AB1458" s="13" t="s">
        <v>0</v>
      </c>
      <c r="AC1458" s="13" t="s">
        <v>0</v>
      </c>
      <c r="AD1458" s="13" t="s">
        <v>0</v>
      </c>
      <c r="AE1458" s="15">
        <v>0</v>
      </c>
    </row>
    <row r="1459" spans="1:31" ht="14.15" customHeight="1" x14ac:dyDescent="0.25">
      <c r="A1459" s="12" t="s">
        <v>0</v>
      </c>
      <c r="B1459" s="13" t="s">
        <v>1</v>
      </c>
      <c r="C1459" s="13" t="s">
        <v>3860</v>
      </c>
      <c r="D1459" s="14">
        <v>44351</v>
      </c>
      <c r="E1459" s="14">
        <v>44351</v>
      </c>
      <c r="F1459" s="14">
        <v>44357</v>
      </c>
      <c r="G1459" s="13" t="s">
        <v>3</v>
      </c>
      <c r="H1459" s="13" t="s">
        <v>4</v>
      </c>
      <c r="I1459" s="15">
        <v>-11639.76</v>
      </c>
      <c r="J1459" s="13" t="s">
        <v>5</v>
      </c>
      <c r="K1459" s="13" t="s">
        <v>6</v>
      </c>
      <c r="L1459" s="15">
        <v>-977157.85</v>
      </c>
      <c r="M1459" s="15">
        <v>-11639.76</v>
      </c>
      <c r="N1459" s="16" t="str">
        <f>IF(M1459="","",IF(M1459&lt;0,-M1459&amp;"_"&amp;COUNTIF(M$2:M1459,M1459),M1459&amp;"_"&amp;COUNTIF(M$2:M1459,M1459)))</f>
        <v>11639.76_1</v>
      </c>
      <c r="O1459" s="17" t="str">
        <f t="shared" si="22"/>
        <v/>
      </c>
      <c r="P1459" s="13" t="s">
        <v>3861</v>
      </c>
      <c r="Q1459" s="13" t="s">
        <v>3857</v>
      </c>
      <c r="R1459" s="13" t="s">
        <v>0</v>
      </c>
      <c r="S1459" s="13" t="s">
        <v>0</v>
      </c>
      <c r="T1459" s="13" t="s">
        <v>9</v>
      </c>
      <c r="U1459" s="13" t="s">
        <v>0</v>
      </c>
      <c r="V1459" s="13" t="s">
        <v>0</v>
      </c>
      <c r="W1459" s="13" t="s">
        <v>0</v>
      </c>
      <c r="X1459" s="13" t="s">
        <v>0</v>
      </c>
      <c r="Y1459" s="13" t="s">
        <v>10</v>
      </c>
      <c r="Z1459" s="13" t="s">
        <v>0</v>
      </c>
      <c r="AA1459" s="14"/>
      <c r="AB1459" s="13" t="s">
        <v>0</v>
      </c>
      <c r="AC1459" s="13" t="s">
        <v>0</v>
      </c>
      <c r="AD1459" s="13" t="s">
        <v>0</v>
      </c>
      <c r="AE1459" s="15">
        <v>0</v>
      </c>
    </row>
    <row r="1460" spans="1:31" ht="14.15" customHeight="1" x14ac:dyDescent="0.25">
      <c r="A1460" s="12" t="s">
        <v>0</v>
      </c>
      <c r="B1460" s="13" t="s">
        <v>1</v>
      </c>
      <c r="C1460" s="13" t="s">
        <v>86</v>
      </c>
      <c r="D1460" s="14">
        <v>44021</v>
      </c>
      <c r="E1460" s="14">
        <v>44021</v>
      </c>
      <c r="F1460" s="14">
        <v>44032</v>
      </c>
      <c r="G1460" s="13" t="s">
        <v>3</v>
      </c>
      <c r="H1460" s="13" t="s">
        <v>4</v>
      </c>
      <c r="I1460" s="15">
        <v>-11629.77</v>
      </c>
      <c r="J1460" s="13" t="s">
        <v>5</v>
      </c>
      <c r="K1460" s="13" t="s">
        <v>6</v>
      </c>
      <c r="L1460" s="15">
        <v>-976319.19</v>
      </c>
      <c r="M1460" s="15">
        <v>-11629.77</v>
      </c>
      <c r="N1460" s="16" t="str">
        <f>IF(M1460="","",IF(M1460&lt;0,-M1460&amp;"_"&amp;COUNTIF(M$2:M1460,M1460),M1460&amp;"_"&amp;COUNTIF(M$2:M1460,M1460)))</f>
        <v>11629.77_1</v>
      </c>
      <c r="O1460" s="17" t="str">
        <f t="shared" si="22"/>
        <v/>
      </c>
      <c r="P1460" s="13" t="s">
        <v>87</v>
      </c>
      <c r="Q1460" s="13" t="s">
        <v>85</v>
      </c>
      <c r="R1460" s="13" t="s">
        <v>0</v>
      </c>
      <c r="S1460" s="13" t="s">
        <v>0</v>
      </c>
      <c r="T1460" s="13" t="s">
        <v>9</v>
      </c>
      <c r="U1460" s="13" t="s">
        <v>0</v>
      </c>
      <c r="V1460" s="13" t="s">
        <v>0</v>
      </c>
      <c r="W1460" s="13" t="s">
        <v>0</v>
      </c>
      <c r="X1460" s="13" t="s">
        <v>0</v>
      </c>
      <c r="Y1460" s="13" t="s">
        <v>10</v>
      </c>
      <c r="Z1460" s="13" t="s">
        <v>0</v>
      </c>
      <c r="AA1460" s="14"/>
      <c r="AB1460" s="13" t="s">
        <v>0</v>
      </c>
      <c r="AC1460" s="13" t="s">
        <v>0</v>
      </c>
      <c r="AD1460" s="13" t="s">
        <v>0</v>
      </c>
      <c r="AE1460" s="15">
        <v>0</v>
      </c>
    </row>
    <row r="1461" spans="1:31" ht="14.15" customHeight="1" x14ac:dyDescent="0.25">
      <c r="A1461" s="12" t="s">
        <v>0</v>
      </c>
      <c r="B1461" s="13" t="s">
        <v>289</v>
      </c>
      <c r="C1461" s="13" t="s">
        <v>820</v>
      </c>
      <c r="D1461" s="14">
        <v>44104</v>
      </c>
      <c r="E1461" s="14">
        <v>44104</v>
      </c>
      <c r="F1461" s="14">
        <v>44114</v>
      </c>
      <c r="G1461" s="13" t="s">
        <v>48</v>
      </c>
      <c r="H1461" s="13" t="s">
        <v>4</v>
      </c>
      <c r="I1461" s="15">
        <v>-11620.1</v>
      </c>
      <c r="J1461" s="13" t="s">
        <v>5</v>
      </c>
      <c r="K1461" s="13" t="s">
        <v>6</v>
      </c>
      <c r="L1461" s="15">
        <v>-975507.4</v>
      </c>
      <c r="M1461" s="15">
        <v>-11620.1</v>
      </c>
      <c r="N1461" s="16" t="str">
        <f>IF(M1461="","",IF(M1461&lt;0,-M1461&amp;"_"&amp;COUNTIF(M$2:M1461,M1461),M1461&amp;"_"&amp;COUNTIF(M$2:M1461,M1461)))</f>
        <v>11620.1_1</v>
      </c>
      <c r="O1461" s="17" t="str">
        <f t="shared" si="22"/>
        <v/>
      </c>
      <c r="P1461" s="13" t="s">
        <v>821</v>
      </c>
      <c r="Q1461" s="13" t="s">
        <v>821</v>
      </c>
      <c r="R1461" s="13" t="s">
        <v>294</v>
      </c>
      <c r="S1461" s="13" t="s">
        <v>0</v>
      </c>
      <c r="T1461" s="13" t="s">
        <v>9</v>
      </c>
      <c r="U1461" s="13" t="s">
        <v>295</v>
      </c>
      <c r="V1461" s="13" t="s">
        <v>0</v>
      </c>
      <c r="W1461" s="13" t="s">
        <v>0</v>
      </c>
      <c r="X1461" s="13" t="s">
        <v>0</v>
      </c>
      <c r="Y1461" s="13" t="s">
        <v>291</v>
      </c>
      <c r="Z1461" s="13" t="s">
        <v>0</v>
      </c>
      <c r="AA1461" s="14"/>
      <c r="AB1461" s="13" t="s">
        <v>0</v>
      </c>
      <c r="AC1461" s="13" t="s">
        <v>0</v>
      </c>
      <c r="AD1461" s="13" t="s">
        <v>0</v>
      </c>
      <c r="AE1461" s="15">
        <v>0</v>
      </c>
    </row>
    <row r="1462" spans="1:31" ht="14.15" customHeight="1" x14ac:dyDescent="0.25">
      <c r="A1462" s="12" t="s">
        <v>0</v>
      </c>
      <c r="B1462" s="13" t="s">
        <v>1</v>
      </c>
      <c r="C1462" s="13" t="s">
        <v>286</v>
      </c>
      <c r="D1462" s="14">
        <v>44042</v>
      </c>
      <c r="E1462" s="14">
        <v>44042</v>
      </c>
      <c r="F1462" s="14">
        <v>44053</v>
      </c>
      <c r="G1462" s="13" t="s">
        <v>3</v>
      </c>
      <c r="H1462" s="13" t="s">
        <v>4</v>
      </c>
      <c r="I1462" s="15">
        <v>-11611.03</v>
      </c>
      <c r="J1462" s="13" t="s">
        <v>5</v>
      </c>
      <c r="K1462" s="13" t="s">
        <v>6</v>
      </c>
      <c r="L1462" s="15">
        <v>-974745.97</v>
      </c>
      <c r="M1462" s="15">
        <v>-11611.03</v>
      </c>
      <c r="N1462" s="16" t="str">
        <f>IF(M1462="","",IF(M1462&lt;0,-M1462&amp;"_"&amp;COUNTIF(M$2:M1462,M1462),M1462&amp;"_"&amp;COUNTIF(M$2:M1462,M1462)))</f>
        <v>11611.03_1</v>
      </c>
      <c r="O1462" s="17" t="str">
        <f t="shared" si="22"/>
        <v/>
      </c>
      <c r="P1462" s="13" t="s">
        <v>287</v>
      </c>
      <c r="Q1462" s="13" t="s">
        <v>268</v>
      </c>
      <c r="R1462" s="13" t="s">
        <v>0</v>
      </c>
      <c r="S1462" s="13" t="s">
        <v>0</v>
      </c>
      <c r="T1462" s="13" t="s">
        <v>9</v>
      </c>
      <c r="U1462" s="13" t="s">
        <v>0</v>
      </c>
      <c r="V1462" s="13" t="s">
        <v>0</v>
      </c>
      <c r="W1462" s="13" t="s">
        <v>0</v>
      </c>
      <c r="X1462" s="13" t="s">
        <v>0</v>
      </c>
      <c r="Y1462" s="13" t="s">
        <v>10</v>
      </c>
      <c r="Z1462" s="13" t="s">
        <v>0</v>
      </c>
      <c r="AA1462" s="14"/>
      <c r="AB1462" s="13" t="s">
        <v>0</v>
      </c>
      <c r="AC1462" s="13" t="s">
        <v>0</v>
      </c>
      <c r="AD1462" s="13" t="s">
        <v>0</v>
      </c>
      <c r="AE1462" s="15">
        <v>0</v>
      </c>
    </row>
    <row r="1463" spans="1:31" ht="14.15" customHeight="1" x14ac:dyDescent="0.25">
      <c r="A1463" s="12" t="s">
        <v>0</v>
      </c>
      <c r="B1463" s="13" t="s">
        <v>1</v>
      </c>
      <c r="C1463" s="13" t="s">
        <v>2788</v>
      </c>
      <c r="D1463" s="14">
        <v>44263</v>
      </c>
      <c r="E1463" s="14">
        <v>44263</v>
      </c>
      <c r="F1463" s="14">
        <v>44268</v>
      </c>
      <c r="G1463" s="13" t="s">
        <v>3</v>
      </c>
      <c r="H1463" s="13" t="s">
        <v>4</v>
      </c>
      <c r="I1463" s="15">
        <v>-11608.53</v>
      </c>
      <c r="J1463" s="13" t="s">
        <v>5</v>
      </c>
      <c r="K1463" s="13" t="s">
        <v>6</v>
      </c>
      <c r="L1463" s="15">
        <v>-974536.09</v>
      </c>
      <c r="M1463" s="15">
        <v>-11608.53</v>
      </c>
      <c r="N1463" s="16" t="str">
        <f>IF(M1463="","",IF(M1463&lt;0,-M1463&amp;"_"&amp;COUNTIF(M$2:M1463,M1463),M1463&amp;"_"&amp;COUNTIF(M$2:M1463,M1463)))</f>
        <v>11608.53_1</v>
      </c>
      <c r="O1463" s="17" t="str">
        <f t="shared" si="22"/>
        <v/>
      </c>
      <c r="P1463" s="13" t="s">
        <v>2789</v>
      </c>
      <c r="Q1463" s="13" t="s">
        <v>2779</v>
      </c>
      <c r="R1463" s="13" t="s">
        <v>0</v>
      </c>
      <c r="S1463" s="13" t="s">
        <v>0</v>
      </c>
      <c r="T1463" s="13" t="s">
        <v>9</v>
      </c>
      <c r="U1463" s="13" t="s">
        <v>0</v>
      </c>
      <c r="V1463" s="13" t="s">
        <v>0</v>
      </c>
      <c r="W1463" s="13" t="s">
        <v>0</v>
      </c>
      <c r="X1463" s="13" t="s">
        <v>0</v>
      </c>
      <c r="Y1463" s="13" t="s">
        <v>10</v>
      </c>
      <c r="Z1463" s="13" t="s">
        <v>0</v>
      </c>
      <c r="AA1463" s="14"/>
      <c r="AB1463" s="13" t="s">
        <v>0</v>
      </c>
      <c r="AC1463" s="13" t="s">
        <v>0</v>
      </c>
      <c r="AD1463" s="13" t="s">
        <v>0</v>
      </c>
      <c r="AE1463" s="15">
        <v>0</v>
      </c>
    </row>
    <row r="1464" spans="1:31" ht="14.15" customHeight="1" x14ac:dyDescent="0.25">
      <c r="A1464" s="12" t="s">
        <v>0</v>
      </c>
      <c r="B1464" s="13" t="s">
        <v>1</v>
      </c>
      <c r="C1464" s="13" t="s">
        <v>980</v>
      </c>
      <c r="D1464" s="14">
        <v>44125</v>
      </c>
      <c r="E1464" s="14">
        <v>44125</v>
      </c>
      <c r="F1464" s="14">
        <v>44132</v>
      </c>
      <c r="G1464" s="13" t="s">
        <v>3</v>
      </c>
      <c r="H1464" s="13" t="s">
        <v>4</v>
      </c>
      <c r="I1464" s="15">
        <v>-11598.19</v>
      </c>
      <c r="J1464" s="13" t="s">
        <v>5</v>
      </c>
      <c r="K1464" s="13" t="s">
        <v>6</v>
      </c>
      <c r="L1464" s="15">
        <v>-973668.05</v>
      </c>
      <c r="M1464" s="15">
        <v>-11598.19</v>
      </c>
      <c r="N1464" s="16" t="str">
        <f>IF(M1464="","",IF(M1464&lt;0,-M1464&amp;"_"&amp;COUNTIF(M$2:M1464,M1464),M1464&amp;"_"&amp;COUNTIF(M$2:M1464,M1464)))</f>
        <v>11598.19_1</v>
      </c>
      <c r="O1464" s="17" t="str">
        <f t="shared" si="22"/>
        <v/>
      </c>
      <c r="P1464" s="13" t="s">
        <v>981</v>
      </c>
      <c r="Q1464" s="13" t="s">
        <v>977</v>
      </c>
      <c r="R1464" s="13" t="s">
        <v>0</v>
      </c>
      <c r="S1464" s="13" t="s">
        <v>0</v>
      </c>
      <c r="T1464" s="13" t="s">
        <v>9</v>
      </c>
      <c r="U1464" s="13" t="s">
        <v>0</v>
      </c>
      <c r="V1464" s="13" t="s">
        <v>0</v>
      </c>
      <c r="W1464" s="13" t="s">
        <v>0</v>
      </c>
      <c r="X1464" s="13" t="s">
        <v>0</v>
      </c>
      <c r="Y1464" s="13" t="s">
        <v>10</v>
      </c>
      <c r="Z1464" s="13" t="s">
        <v>0</v>
      </c>
      <c r="AA1464" s="14"/>
      <c r="AB1464" s="13" t="s">
        <v>0</v>
      </c>
      <c r="AC1464" s="13" t="s">
        <v>0</v>
      </c>
      <c r="AD1464" s="13" t="s">
        <v>0</v>
      </c>
      <c r="AE1464" s="15">
        <v>0</v>
      </c>
    </row>
    <row r="1465" spans="1:31" ht="14.15" customHeight="1" x14ac:dyDescent="0.25">
      <c r="A1465" s="12" t="s">
        <v>0</v>
      </c>
      <c r="B1465" s="13" t="s">
        <v>1</v>
      </c>
      <c r="C1465" s="13" t="s">
        <v>901</v>
      </c>
      <c r="D1465" s="14">
        <v>44114</v>
      </c>
      <c r="E1465" s="14">
        <v>44114</v>
      </c>
      <c r="F1465" s="14">
        <v>44126</v>
      </c>
      <c r="G1465" s="13" t="s">
        <v>3</v>
      </c>
      <c r="H1465" s="13" t="s">
        <v>4</v>
      </c>
      <c r="I1465" s="15">
        <v>-11595.55</v>
      </c>
      <c r="J1465" s="13" t="s">
        <v>5</v>
      </c>
      <c r="K1465" s="13" t="s">
        <v>6</v>
      </c>
      <c r="L1465" s="15">
        <v>-973446.42</v>
      </c>
      <c r="M1465" s="15">
        <v>-11595.55</v>
      </c>
      <c r="N1465" s="16" t="str">
        <f>IF(M1465="","",IF(M1465&lt;0,-M1465&amp;"_"&amp;COUNTIF(M$2:M1465,M1465),M1465&amp;"_"&amp;COUNTIF(M$2:M1465,M1465)))</f>
        <v>11595.55_1</v>
      </c>
      <c r="O1465" s="17" t="str">
        <f t="shared" si="22"/>
        <v/>
      </c>
      <c r="P1465" s="13" t="s">
        <v>902</v>
      </c>
      <c r="Q1465" s="13" t="s">
        <v>900</v>
      </c>
      <c r="R1465" s="13" t="s">
        <v>0</v>
      </c>
      <c r="S1465" s="13" t="s">
        <v>0</v>
      </c>
      <c r="T1465" s="13" t="s">
        <v>9</v>
      </c>
      <c r="U1465" s="13" t="s">
        <v>0</v>
      </c>
      <c r="V1465" s="13" t="s">
        <v>0</v>
      </c>
      <c r="W1465" s="13" t="s">
        <v>0</v>
      </c>
      <c r="X1465" s="13" t="s">
        <v>0</v>
      </c>
      <c r="Y1465" s="13" t="s">
        <v>10</v>
      </c>
      <c r="Z1465" s="13" t="s">
        <v>0</v>
      </c>
      <c r="AA1465" s="14"/>
      <c r="AB1465" s="13" t="s">
        <v>0</v>
      </c>
      <c r="AC1465" s="13" t="s">
        <v>0</v>
      </c>
      <c r="AD1465" s="13" t="s">
        <v>0</v>
      </c>
      <c r="AE1465" s="15">
        <v>0</v>
      </c>
    </row>
    <row r="1466" spans="1:31" ht="14.15" customHeight="1" x14ac:dyDescent="0.25">
      <c r="A1466" s="12" t="s">
        <v>0</v>
      </c>
      <c r="B1466" s="13" t="s">
        <v>1</v>
      </c>
      <c r="C1466" s="13" t="s">
        <v>3301</v>
      </c>
      <c r="D1466" s="14">
        <v>44314</v>
      </c>
      <c r="E1466" s="14">
        <v>44314</v>
      </c>
      <c r="F1466" s="14">
        <v>44322</v>
      </c>
      <c r="G1466" s="13" t="s">
        <v>3</v>
      </c>
      <c r="H1466" s="13" t="s">
        <v>4</v>
      </c>
      <c r="I1466" s="15">
        <v>-11569.11</v>
      </c>
      <c r="J1466" s="13" t="s">
        <v>5</v>
      </c>
      <c r="K1466" s="13" t="s">
        <v>6</v>
      </c>
      <c r="L1466" s="15">
        <v>-971226.78</v>
      </c>
      <c r="M1466" s="15">
        <v>-11569.11</v>
      </c>
      <c r="N1466" s="16" t="str">
        <f>IF(M1466="","",IF(M1466&lt;0,-M1466&amp;"_"&amp;COUNTIF(M$2:M1466,M1466),M1466&amp;"_"&amp;COUNTIF(M$2:M1466,M1466)))</f>
        <v>11569.11_1</v>
      </c>
      <c r="O1466" s="17" t="str">
        <f t="shared" si="22"/>
        <v/>
      </c>
      <c r="P1466" s="13" t="s">
        <v>3302</v>
      </c>
      <c r="Q1466" s="13" t="s">
        <v>3284</v>
      </c>
      <c r="R1466" s="13" t="s">
        <v>0</v>
      </c>
      <c r="S1466" s="13" t="s">
        <v>0</v>
      </c>
      <c r="T1466" s="13" t="s">
        <v>9</v>
      </c>
      <c r="U1466" s="13" t="s">
        <v>0</v>
      </c>
      <c r="V1466" s="13" t="s">
        <v>0</v>
      </c>
      <c r="W1466" s="13" t="s">
        <v>0</v>
      </c>
      <c r="X1466" s="13" t="s">
        <v>0</v>
      </c>
      <c r="Y1466" s="13" t="s">
        <v>10</v>
      </c>
      <c r="Z1466" s="13" t="s">
        <v>0</v>
      </c>
      <c r="AA1466" s="14"/>
      <c r="AB1466" s="13" t="s">
        <v>0</v>
      </c>
      <c r="AC1466" s="13" t="s">
        <v>0</v>
      </c>
      <c r="AD1466" s="13" t="s">
        <v>0</v>
      </c>
      <c r="AE1466" s="15">
        <v>0</v>
      </c>
    </row>
    <row r="1467" spans="1:31" ht="14.15" customHeight="1" x14ac:dyDescent="0.25">
      <c r="A1467" s="12" t="s">
        <v>0</v>
      </c>
      <c r="B1467" s="13" t="s">
        <v>1</v>
      </c>
      <c r="C1467" s="13" t="s">
        <v>332</v>
      </c>
      <c r="D1467" s="14">
        <v>44043</v>
      </c>
      <c r="E1467" s="14">
        <v>44043</v>
      </c>
      <c r="F1467" s="14">
        <v>44057</v>
      </c>
      <c r="G1467" s="13" t="s">
        <v>3</v>
      </c>
      <c r="H1467" s="13" t="s">
        <v>4</v>
      </c>
      <c r="I1467" s="15">
        <v>-11563.28</v>
      </c>
      <c r="J1467" s="13" t="s">
        <v>5</v>
      </c>
      <c r="K1467" s="13" t="s">
        <v>6</v>
      </c>
      <c r="L1467" s="15">
        <v>-970737.36</v>
      </c>
      <c r="M1467" s="15">
        <v>-11563.28</v>
      </c>
      <c r="N1467" s="16" t="str">
        <f>IF(M1467="","",IF(M1467&lt;0,-M1467&amp;"_"&amp;COUNTIF(M$2:M1467,M1467),M1467&amp;"_"&amp;COUNTIF(M$2:M1467,M1467)))</f>
        <v>11563.28_1</v>
      </c>
      <c r="O1467" s="17" t="str">
        <f t="shared" si="22"/>
        <v/>
      </c>
      <c r="P1467" s="13" t="s">
        <v>333</v>
      </c>
      <c r="Q1467" s="13" t="s">
        <v>316</v>
      </c>
      <c r="R1467" s="13" t="s">
        <v>0</v>
      </c>
      <c r="S1467" s="13" t="s">
        <v>0</v>
      </c>
      <c r="T1467" s="13" t="s">
        <v>9</v>
      </c>
      <c r="U1467" s="13" t="s">
        <v>0</v>
      </c>
      <c r="V1467" s="13" t="s">
        <v>0</v>
      </c>
      <c r="W1467" s="13" t="s">
        <v>0</v>
      </c>
      <c r="X1467" s="13" t="s">
        <v>0</v>
      </c>
      <c r="Y1467" s="13" t="s">
        <v>10</v>
      </c>
      <c r="Z1467" s="13" t="s">
        <v>0</v>
      </c>
      <c r="AA1467" s="14"/>
      <c r="AB1467" s="13" t="s">
        <v>0</v>
      </c>
      <c r="AC1467" s="13" t="s">
        <v>0</v>
      </c>
      <c r="AD1467" s="13" t="s">
        <v>0</v>
      </c>
      <c r="AE1467" s="15">
        <v>0</v>
      </c>
    </row>
    <row r="1468" spans="1:31" ht="14.15" customHeight="1" x14ac:dyDescent="0.25">
      <c r="A1468" s="12" t="s">
        <v>0</v>
      </c>
      <c r="B1468" s="13" t="s">
        <v>1</v>
      </c>
      <c r="C1468" s="13" t="s">
        <v>1009</v>
      </c>
      <c r="D1468" s="14">
        <v>44127</v>
      </c>
      <c r="E1468" s="14">
        <v>44127</v>
      </c>
      <c r="F1468" s="14">
        <v>44132</v>
      </c>
      <c r="G1468" s="13" t="s">
        <v>3</v>
      </c>
      <c r="H1468" s="13" t="s">
        <v>4</v>
      </c>
      <c r="I1468" s="15">
        <v>-11553.35</v>
      </c>
      <c r="J1468" s="13" t="s">
        <v>5</v>
      </c>
      <c r="K1468" s="13" t="s">
        <v>6</v>
      </c>
      <c r="L1468" s="15">
        <v>-969903.73</v>
      </c>
      <c r="M1468" s="15">
        <v>-11553.35</v>
      </c>
      <c r="N1468" s="16" t="str">
        <f>IF(M1468="","",IF(M1468&lt;0,-M1468&amp;"_"&amp;COUNTIF(M$2:M1468,M1468),M1468&amp;"_"&amp;COUNTIF(M$2:M1468,M1468)))</f>
        <v>11553.35_1</v>
      </c>
      <c r="O1468" s="17" t="str">
        <f t="shared" si="22"/>
        <v/>
      </c>
      <c r="P1468" s="13" t="s">
        <v>1010</v>
      </c>
      <c r="Q1468" s="13" t="s">
        <v>1011</v>
      </c>
      <c r="R1468" s="13" t="s">
        <v>0</v>
      </c>
      <c r="S1468" s="13" t="s">
        <v>0</v>
      </c>
      <c r="T1468" s="13" t="s">
        <v>9</v>
      </c>
      <c r="U1468" s="13" t="s">
        <v>0</v>
      </c>
      <c r="V1468" s="13" t="s">
        <v>0</v>
      </c>
      <c r="W1468" s="13" t="s">
        <v>0</v>
      </c>
      <c r="X1468" s="13" t="s">
        <v>0</v>
      </c>
      <c r="Y1468" s="13" t="s">
        <v>10</v>
      </c>
      <c r="Z1468" s="13" t="s">
        <v>0</v>
      </c>
      <c r="AA1468" s="14"/>
      <c r="AB1468" s="13" t="s">
        <v>0</v>
      </c>
      <c r="AC1468" s="13" t="s">
        <v>0</v>
      </c>
      <c r="AD1468" s="13" t="s">
        <v>0</v>
      </c>
      <c r="AE1468" s="15">
        <v>0</v>
      </c>
    </row>
    <row r="1469" spans="1:31" ht="14.15" customHeight="1" x14ac:dyDescent="0.25">
      <c r="A1469" s="12" t="s">
        <v>0</v>
      </c>
      <c r="B1469" s="13" t="s">
        <v>1</v>
      </c>
      <c r="C1469" s="13" t="s">
        <v>1295</v>
      </c>
      <c r="D1469" s="14">
        <v>44146</v>
      </c>
      <c r="E1469" s="14">
        <v>44146</v>
      </c>
      <c r="F1469" s="14">
        <v>44152</v>
      </c>
      <c r="G1469" s="13" t="s">
        <v>3</v>
      </c>
      <c r="H1469" s="13" t="s">
        <v>4</v>
      </c>
      <c r="I1469" s="15">
        <v>-11540.83</v>
      </c>
      <c r="J1469" s="13" t="s">
        <v>5</v>
      </c>
      <c r="K1469" s="13" t="s">
        <v>6</v>
      </c>
      <c r="L1469" s="15">
        <v>-968852.68</v>
      </c>
      <c r="M1469" s="15">
        <v>-11540.83</v>
      </c>
      <c r="N1469" s="16" t="str">
        <f>IF(M1469="","",IF(M1469&lt;0,-M1469&amp;"_"&amp;COUNTIF(M$2:M1469,M1469),M1469&amp;"_"&amp;COUNTIF(M$2:M1469,M1469)))</f>
        <v>11540.83_1</v>
      </c>
      <c r="O1469" s="17" t="str">
        <f t="shared" si="22"/>
        <v/>
      </c>
      <c r="P1469" s="13" t="s">
        <v>1296</v>
      </c>
      <c r="Q1469" s="13" t="s">
        <v>1282</v>
      </c>
      <c r="R1469" s="13" t="s">
        <v>0</v>
      </c>
      <c r="S1469" s="13" t="s">
        <v>0</v>
      </c>
      <c r="T1469" s="13" t="s">
        <v>9</v>
      </c>
      <c r="U1469" s="13" t="s">
        <v>0</v>
      </c>
      <c r="V1469" s="13" t="s">
        <v>0</v>
      </c>
      <c r="W1469" s="13" t="s">
        <v>0</v>
      </c>
      <c r="X1469" s="13" t="s">
        <v>0</v>
      </c>
      <c r="Y1469" s="13" t="s">
        <v>10</v>
      </c>
      <c r="Z1469" s="13" t="s">
        <v>0</v>
      </c>
      <c r="AA1469" s="14"/>
      <c r="AB1469" s="13" t="s">
        <v>0</v>
      </c>
      <c r="AC1469" s="13" t="s">
        <v>0</v>
      </c>
      <c r="AD1469" s="13" t="s">
        <v>0</v>
      </c>
      <c r="AE1469" s="15">
        <v>0</v>
      </c>
    </row>
    <row r="1470" spans="1:31" ht="14.15" customHeight="1" x14ac:dyDescent="0.25">
      <c r="A1470" s="12" t="s">
        <v>0</v>
      </c>
      <c r="B1470" s="13" t="s">
        <v>1</v>
      </c>
      <c r="C1470" s="13" t="s">
        <v>1727</v>
      </c>
      <c r="D1470" s="14">
        <v>44177</v>
      </c>
      <c r="E1470" s="14">
        <v>44177</v>
      </c>
      <c r="F1470" s="14">
        <v>44185</v>
      </c>
      <c r="G1470" s="13" t="s">
        <v>3</v>
      </c>
      <c r="H1470" s="13" t="s">
        <v>4</v>
      </c>
      <c r="I1470" s="15">
        <v>-11529.35</v>
      </c>
      <c r="J1470" s="13" t="s">
        <v>5</v>
      </c>
      <c r="K1470" s="13" t="s">
        <v>6</v>
      </c>
      <c r="L1470" s="15">
        <v>-967888.93</v>
      </c>
      <c r="M1470" s="15">
        <v>-11529.35</v>
      </c>
      <c r="N1470" s="16" t="str">
        <f>IF(M1470="","",IF(M1470&lt;0,-M1470&amp;"_"&amp;COUNTIF(M$2:M1470,M1470),M1470&amp;"_"&amp;COUNTIF(M$2:M1470,M1470)))</f>
        <v>11529.35_1</v>
      </c>
      <c r="O1470" s="17" t="str">
        <f t="shared" si="22"/>
        <v/>
      </c>
      <c r="P1470" s="13" t="s">
        <v>1728</v>
      </c>
      <c r="Q1470" s="13" t="s">
        <v>1729</v>
      </c>
      <c r="R1470" s="13" t="s">
        <v>0</v>
      </c>
      <c r="S1470" s="13" t="s">
        <v>0</v>
      </c>
      <c r="T1470" s="13" t="s">
        <v>9</v>
      </c>
      <c r="U1470" s="13" t="s">
        <v>0</v>
      </c>
      <c r="V1470" s="13" t="s">
        <v>0</v>
      </c>
      <c r="W1470" s="13" t="s">
        <v>0</v>
      </c>
      <c r="X1470" s="13" t="s">
        <v>0</v>
      </c>
      <c r="Y1470" s="13" t="s">
        <v>10</v>
      </c>
      <c r="Z1470" s="13" t="s">
        <v>0</v>
      </c>
      <c r="AA1470" s="14"/>
      <c r="AB1470" s="13" t="s">
        <v>0</v>
      </c>
      <c r="AC1470" s="13" t="s">
        <v>0</v>
      </c>
      <c r="AD1470" s="13" t="s">
        <v>0</v>
      </c>
      <c r="AE1470" s="15">
        <v>0</v>
      </c>
    </row>
    <row r="1471" spans="1:31" ht="14.15" customHeight="1" x14ac:dyDescent="0.25">
      <c r="A1471" s="12" t="s">
        <v>0</v>
      </c>
      <c r="B1471" s="13" t="s">
        <v>1</v>
      </c>
      <c r="C1471" s="13" t="s">
        <v>2599</v>
      </c>
      <c r="D1471" s="14">
        <v>44243</v>
      </c>
      <c r="E1471" s="14">
        <v>44243</v>
      </c>
      <c r="F1471" s="14">
        <v>44252</v>
      </c>
      <c r="G1471" s="13" t="s">
        <v>3</v>
      </c>
      <c r="H1471" s="13" t="s">
        <v>4</v>
      </c>
      <c r="I1471" s="15">
        <v>-11527.55</v>
      </c>
      <c r="J1471" s="13" t="s">
        <v>5</v>
      </c>
      <c r="K1471" s="13" t="s">
        <v>6</v>
      </c>
      <c r="L1471" s="15">
        <v>-967737.82</v>
      </c>
      <c r="M1471" s="15">
        <v>-11527.55</v>
      </c>
      <c r="N1471" s="16" t="str">
        <f>IF(M1471="","",IF(M1471&lt;0,-M1471&amp;"_"&amp;COUNTIF(M$2:M1471,M1471),M1471&amp;"_"&amp;COUNTIF(M$2:M1471,M1471)))</f>
        <v>11527.55_1</v>
      </c>
      <c r="O1471" s="17" t="str">
        <f t="shared" si="22"/>
        <v/>
      </c>
      <c r="P1471" s="13" t="s">
        <v>2600</v>
      </c>
      <c r="Q1471" s="13" t="s">
        <v>2574</v>
      </c>
      <c r="R1471" s="13" t="s">
        <v>0</v>
      </c>
      <c r="S1471" s="13" t="s">
        <v>0</v>
      </c>
      <c r="T1471" s="13" t="s">
        <v>9</v>
      </c>
      <c r="U1471" s="13" t="s">
        <v>0</v>
      </c>
      <c r="V1471" s="13" t="s">
        <v>0</v>
      </c>
      <c r="W1471" s="13" t="s">
        <v>0</v>
      </c>
      <c r="X1471" s="13" t="s">
        <v>0</v>
      </c>
      <c r="Y1471" s="13" t="s">
        <v>10</v>
      </c>
      <c r="Z1471" s="13" t="s">
        <v>0</v>
      </c>
      <c r="AA1471" s="14"/>
      <c r="AB1471" s="13" t="s">
        <v>0</v>
      </c>
      <c r="AC1471" s="13" t="s">
        <v>0</v>
      </c>
      <c r="AD1471" s="13" t="s">
        <v>0</v>
      </c>
      <c r="AE1471" s="15">
        <v>0</v>
      </c>
    </row>
    <row r="1472" spans="1:31" ht="14.15" customHeight="1" x14ac:dyDescent="0.25">
      <c r="A1472" s="12" t="s">
        <v>0</v>
      </c>
      <c r="B1472" s="13" t="s">
        <v>1</v>
      </c>
      <c r="C1472" s="13" t="s">
        <v>2777</v>
      </c>
      <c r="D1472" s="14">
        <v>44263</v>
      </c>
      <c r="E1472" s="14">
        <v>44263</v>
      </c>
      <c r="F1472" s="14">
        <v>44266</v>
      </c>
      <c r="G1472" s="13" t="s">
        <v>3</v>
      </c>
      <c r="H1472" s="13" t="s">
        <v>4</v>
      </c>
      <c r="I1472" s="15">
        <v>-11507.69</v>
      </c>
      <c r="J1472" s="13" t="s">
        <v>5</v>
      </c>
      <c r="K1472" s="13" t="s">
        <v>6</v>
      </c>
      <c r="L1472" s="15">
        <v>-966070.58</v>
      </c>
      <c r="M1472" s="15">
        <v>-11507.69</v>
      </c>
      <c r="N1472" s="16" t="str">
        <f>IF(M1472="","",IF(M1472&lt;0,-M1472&amp;"_"&amp;COUNTIF(M$2:M1472,M1472),M1472&amp;"_"&amp;COUNTIF(M$2:M1472,M1472)))</f>
        <v>11507.69_1</v>
      </c>
      <c r="O1472" s="17" t="str">
        <f t="shared" si="22"/>
        <v/>
      </c>
      <c r="P1472" s="13" t="s">
        <v>2778</v>
      </c>
      <c r="Q1472" s="13" t="s">
        <v>2779</v>
      </c>
      <c r="R1472" s="13" t="s">
        <v>0</v>
      </c>
      <c r="S1472" s="13" t="s">
        <v>0</v>
      </c>
      <c r="T1472" s="13" t="s">
        <v>9</v>
      </c>
      <c r="U1472" s="13" t="s">
        <v>0</v>
      </c>
      <c r="V1472" s="13" t="s">
        <v>0</v>
      </c>
      <c r="W1472" s="13" t="s">
        <v>0</v>
      </c>
      <c r="X1472" s="13" t="s">
        <v>0</v>
      </c>
      <c r="Y1472" s="13" t="s">
        <v>10</v>
      </c>
      <c r="Z1472" s="13" t="s">
        <v>0</v>
      </c>
      <c r="AA1472" s="14"/>
      <c r="AB1472" s="13" t="s">
        <v>0</v>
      </c>
      <c r="AC1472" s="13" t="s">
        <v>0</v>
      </c>
      <c r="AD1472" s="13" t="s">
        <v>0</v>
      </c>
      <c r="AE1472" s="15">
        <v>0</v>
      </c>
    </row>
    <row r="1473" spans="1:31" ht="14.15" customHeight="1" x14ac:dyDescent="0.25">
      <c r="A1473" s="12" t="s">
        <v>0</v>
      </c>
      <c r="B1473" s="13" t="s">
        <v>1</v>
      </c>
      <c r="C1473" s="13" t="s">
        <v>1303</v>
      </c>
      <c r="D1473" s="14">
        <v>44146</v>
      </c>
      <c r="E1473" s="14">
        <v>44146</v>
      </c>
      <c r="F1473" s="14">
        <v>44154</v>
      </c>
      <c r="G1473" s="13" t="s">
        <v>3</v>
      </c>
      <c r="H1473" s="13" t="s">
        <v>4</v>
      </c>
      <c r="I1473" s="15">
        <v>-11495.73</v>
      </c>
      <c r="J1473" s="13" t="s">
        <v>5</v>
      </c>
      <c r="K1473" s="13" t="s">
        <v>6</v>
      </c>
      <c r="L1473" s="15">
        <v>-965066.54</v>
      </c>
      <c r="M1473" s="15">
        <v>-11495.73</v>
      </c>
      <c r="N1473" s="16" t="str">
        <f>IF(M1473="","",IF(M1473&lt;0,-M1473&amp;"_"&amp;COUNTIF(M$2:M1473,M1473),M1473&amp;"_"&amp;COUNTIF(M$2:M1473,M1473)))</f>
        <v>11495.73_1</v>
      </c>
      <c r="O1473" s="17" t="str">
        <f t="shared" si="22"/>
        <v/>
      </c>
      <c r="P1473" s="13" t="s">
        <v>1304</v>
      </c>
      <c r="Q1473" s="13" t="s">
        <v>1282</v>
      </c>
      <c r="R1473" s="13" t="s">
        <v>0</v>
      </c>
      <c r="S1473" s="13" t="s">
        <v>0</v>
      </c>
      <c r="T1473" s="13" t="s">
        <v>9</v>
      </c>
      <c r="U1473" s="13" t="s">
        <v>0</v>
      </c>
      <c r="V1473" s="13" t="s">
        <v>0</v>
      </c>
      <c r="W1473" s="13" t="s">
        <v>0</v>
      </c>
      <c r="X1473" s="13" t="s">
        <v>0</v>
      </c>
      <c r="Y1473" s="13" t="s">
        <v>10</v>
      </c>
      <c r="Z1473" s="13" t="s">
        <v>0</v>
      </c>
      <c r="AA1473" s="14"/>
      <c r="AB1473" s="13" t="s">
        <v>0</v>
      </c>
      <c r="AC1473" s="13" t="s">
        <v>0</v>
      </c>
      <c r="AD1473" s="13" t="s">
        <v>0</v>
      </c>
      <c r="AE1473" s="15">
        <v>0</v>
      </c>
    </row>
    <row r="1474" spans="1:31" ht="14.15" customHeight="1" x14ac:dyDescent="0.25">
      <c r="A1474" s="12" t="s">
        <v>0</v>
      </c>
      <c r="B1474" s="13" t="s">
        <v>1</v>
      </c>
      <c r="C1474" s="13" t="s">
        <v>665</v>
      </c>
      <c r="D1474" s="14">
        <v>44088</v>
      </c>
      <c r="E1474" s="14">
        <v>44088</v>
      </c>
      <c r="F1474" s="14">
        <v>44090</v>
      </c>
      <c r="G1474" s="13" t="s">
        <v>3</v>
      </c>
      <c r="H1474" s="13" t="s">
        <v>4</v>
      </c>
      <c r="I1474" s="15">
        <v>-11466.69</v>
      </c>
      <c r="J1474" s="13" t="s">
        <v>5</v>
      </c>
      <c r="K1474" s="13" t="s">
        <v>6</v>
      </c>
      <c r="L1474" s="15">
        <v>-962628.62</v>
      </c>
      <c r="M1474" s="15">
        <v>-11466.69</v>
      </c>
      <c r="N1474" s="16" t="str">
        <f>IF(M1474="","",IF(M1474&lt;0,-M1474&amp;"_"&amp;COUNTIF(M$2:M1474,M1474),M1474&amp;"_"&amp;COUNTIF(M$2:M1474,M1474)))</f>
        <v>11466.69_1</v>
      </c>
      <c r="O1474" s="17" t="str">
        <f t="shared" ref="O1474:O1537" si="23">IF(COUNTIF(N:N,N1474)=2,"x","")</f>
        <v/>
      </c>
      <c r="P1474" s="13" t="s">
        <v>666</v>
      </c>
      <c r="Q1474" s="13" t="s">
        <v>667</v>
      </c>
      <c r="R1474" s="13" t="s">
        <v>0</v>
      </c>
      <c r="S1474" s="13" t="s">
        <v>0</v>
      </c>
      <c r="T1474" s="13" t="s">
        <v>9</v>
      </c>
      <c r="U1474" s="13" t="s">
        <v>0</v>
      </c>
      <c r="V1474" s="13" t="s">
        <v>0</v>
      </c>
      <c r="W1474" s="13" t="s">
        <v>0</v>
      </c>
      <c r="X1474" s="13" t="s">
        <v>0</v>
      </c>
      <c r="Y1474" s="13" t="s">
        <v>10</v>
      </c>
      <c r="Z1474" s="13" t="s">
        <v>0</v>
      </c>
      <c r="AA1474" s="14"/>
      <c r="AB1474" s="13" t="s">
        <v>0</v>
      </c>
      <c r="AC1474" s="13" t="s">
        <v>0</v>
      </c>
      <c r="AD1474" s="13" t="s">
        <v>0</v>
      </c>
      <c r="AE1474" s="15">
        <v>0</v>
      </c>
    </row>
    <row r="1475" spans="1:31" ht="14.15" customHeight="1" x14ac:dyDescent="0.25">
      <c r="A1475" s="12" t="s">
        <v>0</v>
      </c>
      <c r="B1475" s="13" t="s">
        <v>1</v>
      </c>
      <c r="C1475" s="13" t="s">
        <v>2609</v>
      </c>
      <c r="D1475" s="14">
        <v>44243</v>
      </c>
      <c r="E1475" s="14">
        <v>44243</v>
      </c>
      <c r="F1475" s="14">
        <v>44252</v>
      </c>
      <c r="G1475" s="13" t="s">
        <v>3</v>
      </c>
      <c r="H1475" s="13" t="s">
        <v>4</v>
      </c>
      <c r="I1475" s="15">
        <v>-11404.43</v>
      </c>
      <c r="J1475" s="13" t="s">
        <v>5</v>
      </c>
      <c r="K1475" s="13" t="s">
        <v>6</v>
      </c>
      <c r="L1475" s="15">
        <v>-957401.89</v>
      </c>
      <c r="M1475" s="15">
        <v>-11404.43</v>
      </c>
      <c r="N1475" s="16" t="str">
        <f>IF(M1475="","",IF(M1475&lt;0,-M1475&amp;"_"&amp;COUNTIF(M$2:M1475,M1475),M1475&amp;"_"&amp;COUNTIF(M$2:M1475,M1475)))</f>
        <v>11404.43_1</v>
      </c>
      <c r="O1475" s="17" t="str">
        <f t="shared" si="23"/>
        <v/>
      </c>
      <c r="P1475" s="13" t="s">
        <v>2610</v>
      </c>
      <c r="Q1475" s="13" t="s">
        <v>2574</v>
      </c>
      <c r="R1475" s="13" t="s">
        <v>0</v>
      </c>
      <c r="S1475" s="13" t="s">
        <v>0</v>
      </c>
      <c r="T1475" s="13" t="s">
        <v>9</v>
      </c>
      <c r="U1475" s="13" t="s">
        <v>0</v>
      </c>
      <c r="V1475" s="13" t="s">
        <v>0</v>
      </c>
      <c r="W1475" s="13" t="s">
        <v>0</v>
      </c>
      <c r="X1475" s="13" t="s">
        <v>0</v>
      </c>
      <c r="Y1475" s="13" t="s">
        <v>10</v>
      </c>
      <c r="Z1475" s="13" t="s">
        <v>0</v>
      </c>
      <c r="AA1475" s="14"/>
      <c r="AB1475" s="13" t="s">
        <v>0</v>
      </c>
      <c r="AC1475" s="13" t="s">
        <v>0</v>
      </c>
      <c r="AD1475" s="13" t="s">
        <v>0</v>
      </c>
      <c r="AE1475" s="15">
        <v>0</v>
      </c>
    </row>
    <row r="1476" spans="1:31" ht="14.15" customHeight="1" x14ac:dyDescent="0.25">
      <c r="A1476" s="12" t="s">
        <v>0</v>
      </c>
      <c r="B1476" s="13" t="s">
        <v>1</v>
      </c>
      <c r="C1476" s="13" t="s">
        <v>2603</v>
      </c>
      <c r="D1476" s="14">
        <v>44243</v>
      </c>
      <c r="E1476" s="14">
        <v>44243</v>
      </c>
      <c r="F1476" s="14">
        <v>44252</v>
      </c>
      <c r="G1476" s="13" t="s">
        <v>3</v>
      </c>
      <c r="H1476" s="13" t="s">
        <v>4</v>
      </c>
      <c r="I1476" s="15">
        <v>-11380.16</v>
      </c>
      <c r="J1476" s="13" t="s">
        <v>5</v>
      </c>
      <c r="K1476" s="13" t="s">
        <v>6</v>
      </c>
      <c r="L1476" s="15">
        <v>-955364.43</v>
      </c>
      <c r="M1476" s="15">
        <v>-11380.16</v>
      </c>
      <c r="N1476" s="16" t="str">
        <f>IF(M1476="","",IF(M1476&lt;0,-M1476&amp;"_"&amp;COUNTIF(M$2:M1476,M1476),M1476&amp;"_"&amp;COUNTIF(M$2:M1476,M1476)))</f>
        <v>11380.16_1</v>
      </c>
      <c r="O1476" s="17" t="str">
        <f t="shared" si="23"/>
        <v/>
      </c>
      <c r="P1476" s="13" t="s">
        <v>2604</v>
      </c>
      <c r="Q1476" s="13" t="s">
        <v>2574</v>
      </c>
      <c r="R1476" s="13" t="s">
        <v>0</v>
      </c>
      <c r="S1476" s="13" t="s">
        <v>0</v>
      </c>
      <c r="T1476" s="13" t="s">
        <v>9</v>
      </c>
      <c r="U1476" s="13" t="s">
        <v>0</v>
      </c>
      <c r="V1476" s="13" t="s">
        <v>0</v>
      </c>
      <c r="W1476" s="13" t="s">
        <v>0</v>
      </c>
      <c r="X1476" s="13" t="s">
        <v>0</v>
      </c>
      <c r="Y1476" s="13" t="s">
        <v>10</v>
      </c>
      <c r="Z1476" s="13" t="s">
        <v>0</v>
      </c>
      <c r="AA1476" s="14"/>
      <c r="AB1476" s="13" t="s">
        <v>0</v>
      </c>
      <c r="AC1476" s="13" t="s">
        <v>0</v>
      </c>
      <c r="AD1476" s="13" t="s">
        <v>0</v>
      </c>
      <c r="AE1476" s="15">
        <v>0</v>
      </c>
    </row>
    <row r="1477" spans="1:31" ht="14.15" customHeight="1" x14ac:dyDescent="0.25">
      <c r="A1477" s="12" t="s">
        <v>0</v>
      </c>
      <c r="B1477" s="13" t="s">
        <v>1</v>
      </c>
      <c r="C1477" s="13" t="s">
        <v>3943</v>
      </c>
      <c r="D1477" s="14">
        <v>44354</v>
      </c>
      <c r="E1477" s="14">
        <v>44354</v>
      </c>
      <c r="F1477" s="14">
        <v>44364</v>
      </c>
      <c r="G1477" s="13" t="s">
        <v>3</v>
      </c>
      <c r="H1477" s="13" t="s">
        <v>4</v>
      </c>
      <c r="I1477" s="15">
        <v>-11371.44</v>
      </c>
      <c r="J1477" s="13" t="s">
        <v>5</v>
      </c>
      <c r="K1477" s="13" t="s">
        <v>6</v>
      </c>
      <c r="L1477" s="15">
        <v>-954632.39</v>
      </c>
      <c r="M1477" s="15">
        <v>-11371.44</v>
      </c>
      <c r="N1477" s="16" t="str">
        <f>IF(M1477="","",IF(M1477&lt;0,-M1477&amp;"_"&amp;COUNTIF(M$2:M1477,M1477),M1477&amp;"_"&amp;COUNTIF(M$2:M1477,M1477)))</f>
        <v>11371.44_1</v>
      </c>
      <c r="O1477" s="17" t="str">
        <f t="shared" si="23"/>
        <v/>
      </c>
      <c r="P1477" s="13" t="s">
        <v>3944</v>
      </c>
      <c r="Q1477" s="13" t="s">
        <v>3914</v>
      </c>
      <c r="R1477" s="13" t="s">
        <v>0</v>
      </c>
      <c r="S1477" s="13" t="s">
        <v>0</v>
      </c>
      <c r="T1477" s="13" t="s">
        <v>9</v>
      </c>
      <c r="U1477" s="13" t="s">
        <v>0</v>
      </c>
      <c r="V1477" s="13" t="s">
        <v>0</v>
      </c>
      <c r="W1477" s="13" t="s">
        <v>0</v>
      </c>
      <c r="X1477" s="13" t="s">
        <v>0</v>
      </c>
      <c r="Y1477" s="13" t="s">
        <v>10</v>
      </c>
      <c r="Z1477" s="13" t="s">
        <v>0</v>
      </c>
      <c r="AA1477" s="14"/>
      <c r="AB1477" s="13" t="s">
        <v>0</v>
      </c>
      <c r="AC1477" s="13" t="s">
        <v>0</v>
      </c>
      <c r="AD1477" s="13" t="s">
        <v>0</v>
      </c>
      <c r="AE1477" s="15">
        <v>0</v>
      </c>
    </row>
    <row r="1478" spans="1:31" ht="14.15" customHeight="1" x14ac:dyDescent="0.25">
      <c r="A1478" s="12" t="s">
        <v>0</v>
      </c>
      <c r="B1478" s="13" t="s">
        <v>1</v>
      </c>
      <c r="C1478" s="13" t="s">
        <v>2565</v>
      </c>
      <c r="D1478" s="14">
        <v>44240</v>
      </c>
      <c r="E1478" s="14">
        <v>44240</v>
      </c>
      <c r="F1478" s="14">
        <v>44251</v>
      </c>
      <c r="G1478" s="13" t="s">
        <v>3</v>
      </c>
      <c r="H1478" s="13" t="s">
        <v>4</v>
      </c>
      <c r="I1478" s="15">
        <v>-11369.89</v>
      </c>
      <c r="J1478" s="13" t="s">
        <v>5</v>
      </c>
      <c r="K1478" s="13" t="s">
        <v>6</v>
      </c>
      <c r="L1478" s="15">
        <v>-954502.27</v>
      </c>
      <c r="M1478" s="15">
        <v>-11369.89</v>
      </c>
      <c r="N1478" s="16" t="str">
        <f>IF(M1478="","",IF(M1478&lt;0,-M1478&amp;"_"&amp;COUNTIF(M$2:M1478,M1478),M1478&amp;"_"&amp;COUNTIF(M$2:M1478,M1478)))</f>
        <v>11369.89_1</v>
      </c>
      <c r="O1478" s="17" t="str">
        <f t="shared" si="23"/>
        <v/>
      </c>
      <c r="P1478" s="13" t="s">
        <v>2566</v>
      </c>
      <c r="Q1478" s="13" t="s">
        <v>2560</v>
      </c>
      <c r="R1478" s="13" t="s">
        <v>0</v>
      </c>
      <c r="S1478" s="13" t="s">
        <v>0</v>
      </c>
      <c r="T1478" s="13" t="s">
        <v>9</v>
      </c>
      <c r="U1478" s="13" t="s">
        <v>0</v>
      </c>
      <c r="V1478" s="13" t="s">
        <v>0</v>
      </c>
      <c r="W1478" s="13" t="s">
        <v>0</v>
      </c>
      <c r="X1478" s="13" t="s">
        <v>0</v>
      </c>
      <c r="Y1478" s="13" t="s">
        <v>10</v>
      </c>
      <c r="Z1478" s="13" t="s">
        <v>0</v>
      </c>
      <c r="AA1478" s="14"/>
      <c r="AB1478" s="13" t="s">
        <v>0</v>
      </c>
      <c r="AC1478" s="13" t="s">
        <v>0</v>
      </c>
      <c r="AD1478" s="13" t="s">
        <v>0</v>
      </c>
      <c r="AE1478" s="15">
        <v>0</v>
      </c>
    </row>
    <row r="1479" spans="1:31" ht="14.15" customHeight="1" x14ac:dyDescent="0.25">
      <c r="A1479" s="12" t="s">
        <v>0</v>
      </c>
      <c r="B1479" s="13" t="s">
        <v>1</v>
      </c>
      <c r="C1479" s="13" t="s">
        <v>3737</v>
      </c>
      <c r="D1479" s="14">
        <v>44338</v>
      </c>
      <c r="E1479" s="14">
        <v>44338</v>
      </c>
      <c r="F1479" s="14">
        <v>44341</v>
      </c>
      <c r="G1479" s="13" t="s">
        <v>3</v>
      </c>
      <c r="H1479" s="13" t="s">
        <v>4</v>
      </c>
      <c r="I1479" s="15">
        <v>-11368.22</v>
      </c>
      <c r="J1479" s="13" t="s">
        <v>5</v>
      </c>
      <c r="K1479" s="13" t="s">
        <v>6</v>
      </c>
      <c r="L1479" s="15">
        <v>-954362.07</v>
      </c>
      <c r="M1479" s="15">
        <v>-11368.22</v>
      </c>
      <c r="N1479" s="16" t="str">
        <f>IF(M1479="","",IF(M1479&lt;0,-M1479&amp;"_"&amp;COUNTIF(M$2:M1479,M1479),M1479&amp;"_"&amp;COUNTIF(M$2:M1479,M1479)))</f>
        <v>11368.22_1</v>
      </c>
      <c r="O1479" s="17" t="str">
        <f t="shared" si="23"/>
        <v/>
      </c>
      <c r="P1479" s="13" t="s">
        <v>3738</v>
      </c>
      <c r="Q1479" s="13" t="s">
        <v>3739</v>
      </c>
      <c r="R1479" s="13" t="s">
        <v>0</v>
      </c>
      <c r="S1479" s="13" t="s">
        <v>0</v>
      </c>
      <c r="T1479" s="13" t="s">
        <v>9</v>
      </c>
      <c r="U1479" s="13" t="s">
        <v>0</v>
      </c>
      <c r="V1479" s="13" t="s">
        <v>0</v>
      </c>
      <c r="W1479" s="13" t="s">
        <v>0</v>
      </c>
      <c r="X1479" s="13" t="s">
        <v>0</v>
      </c>
      <c r="Y1479" s="13" t="s">
        <v>10</v>
      </c>
      <c r="Z1479" s="13" t="s">
        <v>0</v>
      </c>
      <c r="AA1479" s="14"/>
      <c r="AB1479" s="13" t="s">
        <v>0</v>
      </c>
      <c r="AC1479" s="13" t="s">
        <v>0</v>
      </c>
      <c r="AD1479" s="13" t="s">
        <v>0</v>
      </c>
      <c r="AE1479" s="15">
        <v>0</v>
      </c>
    </row>
    <row r="1480" spans="1:31" ht="14.15" customHeight="1" x14ac:dyDescent="0.25">
      <c r="A1480" s="12" t="s">
        <v>0</v>
      </c>
      <c r="B1480" s="13" t="s">
        <v>1</v>
      </c>
      <c r="C1480" s="13" t="s">
        <v>4105</v>
      </c>
      <c r="D1480" s="14">
        <v>44363</v>
      </c>
      <c r="E1480" s="14">
        <v>44363</v>
      </c>
      <c r="F1480" s="14">
        <v>44364</v>
      </c>
      <c r="G1480" s="13" t="s">
        <v>3</v>
      </c>
      <c r="H1480" s="13" t="s">
        <v>4</v>
      </c>
      <c r="I1480" s="15">
        <v>-11363.67</v>
      </c>
      <c r="J1480" s="13" t="s">
        <v>5</v>
      </c>
      <c r="K1480" s="13" t="s">
        <v>6</v>
      </c>
      <c r="L1480" s="15">
        <v>-953980.1</v>
      </c>
      <c r="M1480" s="15">
        <v>-11363.67</v>
      </c>
      <c r="N1480" s="16" t="str">
        <f>IF(M1480="","",IF(M1480&lt;0,-M1480&amp;"_"&amp;COUNTIF(M$2:M1480,M1480),M1480&amp;"_"&amp;COUNTIF(M$2:M1480,M1480)))</f>
        <v>11363.67_1</v>
      </c>
      <c r="O1480" s="17" t="str">
        <f t="shared" si="23"/>
        <v/>
      </c>
      <c r="P1480" s="13" t="s">
        <v>4106</v>
      </c>
      <c r="Q1480" s="13" t="s">
        <v>4107</v>
      </c>
      <c r="R1480" s="13" t="s">
        <v>0</v>
      </c>
      <c r="S1480" s="13" t="s">
        <v>0</v>
      </c>
      <c r="T1480" s="13" t="s">
        <v>9</v>
      </c>
      <c r="U1480" s="13" t="s">
        <v>0</v>
      </c>
      <c r="V1480" s="13" t="s">
        <v>0</v>
      </c>
      <c r="W1480" s="13" t="s">
        <v>0</v>
      </c>
      <c r="X1480" s="13" t="s">
        <v>0</v>
      </c>
      <c r="Y1480" s="13" t="s">
        <v>10</v>
      </c>
      <c r="Z1480" s="13" t="s">
        <v>0</v>
      </c>
      <c r="AA1480" s="14"/>
      <c r="AB1480" s="13" t="s">
        <v>0</v>
      </c>
      <c r="AC1480" s="13" t="s">
        <v>0</v>
      </c>
      <c r="AD1480" s="13" t="s">
        <v>0</v>
      </c>
      <c r="AE1480" s="15">
        <v>0</v>
      </c>
    </row>
    <row r="1481" spans="1:31" ht="14.15" customHeight="1" x14ac:dyDescent="0.25">
      <c r="A1481" s="12" t="s">
        <v>0</v>
      </c>
      <c r="B1481" s="13" t="s">
        <v>1</v>
      </c>
      <c r="C1481" s="13" t="s">
        <v>2681</v>
      </c>
      <c r="D1481" s="14">
        <v>44253</v>
      </c>
      <c r="E1481" s="14">
        <v>44253</v>
      </c>
      <c r="F1481" s="14">
        <v>44258</v>
      </c>
      <c r="G1481" s="13" t="s">
        <v>3</v>
      </c>
      <c r="H1481" s="13" t="s">
        <v>4</v>
      </c>
      <c r="I1481" s="15">
        <v>-11357.8</v>
      </c>
      <c r="J1481" s="13" t="s">
        <v>5</v>
      </c>
      <c r="K1481" s="13" t="s">
        <v>6</v>
      </c>
      <c r="L1481" s="15">
        <v>-953487.31</v>
      </c>
      <c r="M1481" s="15">
        <v>-11357.8</v>
      </c>
      <c r="N1481" s="16" t="str">
        <f>IF(M1481="","",IF(M1481&lt;0,-M1481&amp;"_"&amp;COUNTIF(M$2:M1481,M1481),M1481&amp;"_"&amp;COUNTIF(M$2:M1481,M1481)))</f>
        <v>11357.8_1</v>
      </c>
      <c r="O1481" s="17" t="str">
        <f t="shared" si="23"/>
        <v/>
      </c>
      <c r="P1481" s="13" t="s">
        <v>2682</v>
      </c>
      <c r="Q1481" s="13" t="s">
        <v>2660</v>
      </c>
      <c r="R1481" s="13" t="s">
        <v>0</v>
      </c>
      <c r="S1481" s="13" t="s">
        <v>0</v>
      </c>
      <c r="T1481" s="13" t="s">
        <v>9</v>
      </c>
      <c r="U1481" s="13" t="s">
        <v>0</v>
      </c>
      <c r="V1481" s="13" t="s">
        <v>0</v>
      </c>
      <c r="W1481" s="13" t="s">
        <v>0</v>
      </c>
      <c r="X1481" s="13" t="s">
        <v>0</v>
      </c>
      <c r="Y1481" s="13" t="s">
        <v>10</v>
      </c>
      <c r="Z1481" s="13" t="s">
        <v>0</v>
      </c>
      <c r="AA1481" s="14"/>
      <c r="AB1481" s="13" t="s">
        <v>0</v>
      </c>
      <c r="AC1481" s="13" t="s">
        <v>0</v>
      </c>
      <c r="AD1481" s="13" t="s">
        <v>0</v>
      </c>
      <c r="AE1481" s="15">
        <v>0</v>
      </c>
    </row>
    <row r="1482" spans="1:31" ht="14.15" customHeight="1" x14ac:dyDescent="0.25">
      <c r="A1482" s="12" t="s">
        <v>0</v>
      </c>
      <c r="B1482" s="13" t="s">
        <v>1</v>
      </c>
      <c r="C1482" s="13" t="s">
        <v>853</v>
      </c>
      <c r="D1482" s="14">
        <v>44108</v>
      </c>
      <c r="E1482" s="14">
        <v>44108</v>
      </c>
      <c r="F1482" s="14">
        <v>44128</v>
      </c>
      <c r="G1482" s="13" t="s">
        <v>3</v>
      </c>
      <c r="H1482" s="13" t="s">
        <v>4</v>
      </c>
      <c r="I1482" s="15">
        <v>-11342.67</v>
      </c>
      <c r="J1482" s="13" t="s">
        <v>5</v>
      </c>
      <c r="K1482" s="13" t="s">
        <v>6</v>
      </c>
      <c r="L1482" s="15">
        <v>-952217.15</v>
      </c>
      <c r="M1482" s="15">
        <v>-11342.67</v>
      </c>
      <c r="N1482" s="16" t="str">
        <f>IF(M1482="","",IF(M1482&lt;0,-M1482&amp;"_"&amp;COUNTIF(M$2:M1482,M1482),M1482&amp;"_"&amp;COUNTIF(M$2:M1482,M1482)))</f>
        <v>11342.67_1</v>
      </c>
      <c r="O1482" s="17" t="str">
        <f t="shared" si="23"/>
        <v/>
      </c>
      <c r="P1482" s="13" t="s">
        <v>854</v>
      </c>
      <c r="Q1482" s="13" t="s">
        <v>850</v>
      </c>
      <c r="R1482" s="13" t="s">
        <v>0</v>
      </c>
      <c r="S1482" s="13" t="s">
        <v>0</v>
      </c>
      <c r="T1482" s="13" t="s">
        <v>9</v>
      </c>
      <c r="U1482" s="13" t="s">
        <v>0</v>
      </c>
      <c r="V1482" s="13" t="s">
        <v>0</v>
      </c>
      <c r="W1482" s="13" t="s">
        <v>0</v>
      </c>
      <c r="X1482" s="13" t="s">
        <v>0</v>
      </c>
      <c r="Y1482" s="13" t="s">
        <v>10</v>
      </c>
      <c r="Z1482" s="13" t="s">
        <v>0</v>
      </c>
      <c r="AA1482" s="14"/>
      <c r="AB1482" s="13" t="s">
        <v>0</v>
      </c>
      <c r="AC1482" s="13" t="s">
        <v>0</v>
      </c>
      <c r="AD1482" s="13" t="s">
        <v>0</v>
      </c>
      <c r="AE1482" s="15">
        <v>0</v>
      </c>
    </row>
    <row r="1483" spans="1:31" ht="14.15" customHeight="1" x14ac:dyDescent="0.25">
      <c r="A1483" s="12" t="s">
        <v>0</v>
      </c>
      <c r="B1483" s="13" t="s">
        <v>1</v>
      </c>
      <c r="C1483" s="13" t="s">
        <v>1462</v>
      </c>
      <c r="D1483" s="14">
        <v>44159</v>
      </c>
      <c r="E1483" s="14">
        <v>44159</v>
      </c>
      <c r="F1483" s="14">
        <v>44163</v>
      </c>
      <c r="G1483" s="13" t="s">
        <v>3</v>
      </c>
      <c r="H1483" s="13" t="s">
        <v>4</v>
      </c>
      <c r="I1483" s="15">
        <v>-11336.03</v>
      </c>
      <c r="J1483" s="13" t="s">
        <v>5</v>
      </c>
      <c r="K1483" s="13" t="s">
        <v>6</v>
      </c>
      <c r="L1483" s="15">
        <v>-951659.72</v>
      </c>
      <c r="M1483" s="15">
        <v>-11336.03</v>
      </c>
      <c r="N1483" s="16" t="str">
        <f>IF(M1483="","",IF(M1483&lt;0,-M1483&amp;"_"&amp;COUNTIF(M$2:M1483,M1483),M1483&amp;"_"&amp;COUNTIF(M$2:M1483,M1483)))</f>
        <v>11336.03_1</v>
      </c>
      <c r="O1483" s="17" t="str">
        <f t="shared" si="23"/>
        <v/>
      </c>
      <c r="P1483" s="13" t="s">
        <v>1463</v>
      </c>
      <c r="Q1483" s="13" t="s">
        <v>1455</v>
      </c>
      <c r="R1483" s="13" t="s">
        <v>0</v>
      </c>
      <c r="S1483" s="13" t="s">
        <v>0</v>
      </c>
      <c r="T1483" s="13" t="s">
        <v>9</v>
      </c>
      <c r="U1483" s="13" t="s">
        <v>0</v>
      </c>
      <c r="V1483" s="13" t="s">
        <v>0</v>
      </c>
      <c r="W1483" s="13" t="s">
        <v>0</v>
      </c>
      <c r="X1483" s="13" t="s">
        <v>0</v>
      </c>
      <c r="Y1483" s="13" t="s">
        <v>10</v>
      </c>
      <c r="Z1483" s="13" t="s">
        <v>0</v>
      </c>
      <c r="AA1483" s="14"/>
      <c r="AB1483" s="13" t="s">
        <v>0</v>
      </c>
      <c r="AC1483" s="13" t="s">
        <v>0</v>
      </c>
      <c r="AD1483" s="13" t="s">
        <v>0</v>
      </c>
      <c r="AE1483" s="15">
        <v>0</v>
      </c>
    </row>
    <row r="1484" spans="1:31" ht="14.15" customHeight="1" x14ac:dyDescent="0.25">
      <c r="A1484" s="12" t="s">
        <v>0</v>
      </c>
      <c r="B1484" s="13" t="s">
        <v>1</v>
      </c>
      <c r="C1484" s="13" t="s">
        <v>2927</v>
      </c>
      <c r="D1484" s="14">
        <v>44276</v>
      </c>
      <c r="E1484" s="14">
        <v>44276</v>
      </c>
      <c r="F1484" s="14">
        <v>44283</v>
      </c>
      <c r="G1484" s="13" t="s">
        <v>3</v>
      </c>
      <c r="H1484" s="13" t="s">
        <v>4</v>
      </c>
      <c r="I1484" s="15">
        <v>-11334.66</v>
      </c>
      <c r="J1484" s="13" t="s">
        <v>5</v>
      </c>
      <c r="K1484" s="13" t="s">
        <v>6</v>
      </c>
      <c r="L1484" s="15">
        <v>-951544.71</v>
      </c>
      <c r="M1484" s="15">
        <v>-11334.66</v>
      </c>
      <c r="N1484" s="16" t="str">
        <f>IF(M1484="","",IF(M1484&lt;0,-M1484&amp;"_"&amp;COUNTIF(M$2:M1484,M1484),M1484&amp;"_"&amp;COUNTIF(M$2:M1484,M1484)))</f>
        <v>11334.66_1</v>
      </c>
      <c r="O1484" s="17" t="str">
        <f t="shared" si="23"/>
        <v/>
      </c>
      <c r="P1484" s="13" t="s">
        <v>2928</v>
      </c>
      <c r="Q1484" s="13" t="s">
        <v>2922</v>
      </c>
      <c r="R1484" s="13" t="s">
        <v>0</v>
      </c>
      <c r="S1484" s="13" t="s">
        <v>0</v>
      </c>
      <c r="T1484" s="13" t="s">
        <v>9</v>
      </c>
      <c r="U1484" s="13" t="s">
        <v>0</v>
      </c>
      <c r="V1484" s="13" t="s">
        <v>0</v>
      </c>
      <c r="W1484" s="13" t="s">
        <v>0</v>
      </c>
      <c r="X1484" s="13" t="s">
        <v>0</v>
      </c>
      <c r="Y1484" s="13" t="s">
        <v>10</v>
      </c>
      <c r="Z1484" s="13" t="s">
        <v>0</v>
      </c>
      <c r="AA1484" s="14"/>
      <c r="AB1484" s="13" t="s">
        <v>0</v>
      </c>
      <c r="AC1484" s="13" t="s">
        <v>0</v>
      </c>
      <c r="AD1484" s="13" t="s">
        <v>0</v>
      </c>
      <c r="AE1484" s="15">
        <v>0</v>
      </c>
    </row>
    <row r="1485" spans="1:31" ht="14.15" customHeight="1" x14ac:dyDescent="0.25">
      <c r="A1485" s="12" t="s">
        <v>0</v>
      </c>
      <c r="B1485" s="13" t="s">
        <v>1</v>
      </c>
      <c r="C1485" s="13" t="s">
        <v>1690</v>
      </c>
      <c r="D1485" s="14">
        <v>44173</v>
      </c>
      <c r="E1485" s="14">
        <v>44173</v>
      </c>
      <c r="F1485" s="14">
        <v>44178</v>
      </c>
      <c r="G1485" s="13" t="s">
        <v>3</v>
      </c>
      <c r="H1485" s="13" t="s">
        <v>4</v>
      </c>
      <c r="I1485" s="15">
        <v>-11312.77</v>
      </c>
      <c r="J1485" s="13" t="s">
        <v>5</v>
      </c>
      <c r="K1485" s="13" t="s">
        <v>6</v>
      </c>
      <c r="L1485" s="15">
        <v>-949707.04</v>
      </c>
      <c r="M1485" s="15">
        <v>-11312.77</v>
      </c>
      <c r="N1485" s="16" t="str">
        <f>IF(M1485="","",IF(M1485&lt;0,-M1485&amp;"_"&amp;COUNTIF(M$2:M1485,M1485),M1485&amp;"_"&amp;COUNTIF(M$2:M1485,M1485)))</f>
        <v>11312.77_1</v>
      </c>
      <c r="O1485" s="17" t="str">
        <f t="shared" si="23"/>
        <v/>
      </c>
      <c r="P1485" s="13" t="s">
        <v>1691</v>
      </c>
      <c r="Q1485" s="13" t="s">
        <v>1687</v>
      </c>
      <c r="R1485" s="13" t="s">
        <v>0</v>
      </c>
      <c r="S1485" s="13" t="s">
        <v>0</v>
      </c>
      <c r="T1485" s="13" t="s">
        <v>9</v>
      </c>
      <c r="U1485" s="13" t="s">
        <v>0</v>
      </c>
      <c r="V1485" s="13" t="s">
        <v>0</v>
      </c>
      <c r="W1485" s="13" t="s">
        <v>0</v>
      </c>
      <c r="X1485" s="13" t="s">
        <v>0</v>
      </c>
      <c r="Y1485" s="13" t="s">
        <v>10</v>
      </c>
      <c r="Z1485" s="13" t="s">
        <v>0</v>
      </c>
      <c r="AA1485" s="14"/>
      <c r="AB1485" s="13" t="s">
        <v>0</v>
      </c>
      <c r="AC1485" s="13" t="s">
        <v>0</v>
      </c>
      <c r="AD1485" s="13" t="s">
        <v>0</v>
      </c>
      <c r="AE1485" s="15">
        <v>0</v>
      </c>
    </row>
    <row r="1486" spans="1:31" ht="14.15" customHeight="1" x14ac:dyDescent="0.25">
      <c r="A1486" s="12" t="s">
        <v>0</v>
      </c>
      <c r="B1486" s="13" t="s">
        <v>1</v>
      </c>
      <c r="C1486" s="13" t="s">
        <v>1264</v>
      </c>
      <c r="D1486" s="14">
        <v>44143</v>
      </c>
      <c r="E1486" s="14">
        <v>44143</v>
      </c>
      <c r="F1486" s="14">
        <v>44149</v>
      </c>
      <c r="G1486" s="13" t="s">
        <v>3</v>
      </c>
      <c r="H1486" s="13" t="s">
        <v>4</v>
      </c>
      <c r="I1486" s="15">
        <v>-11292.53</v>
      </c>
      <c r="J1486" s="13" t="s">
        <v>5</v>
      </c>
      <c r="K1486" s="13" t="s">
        <v>6</v>
      </c>
      <c r="L1486" s="15">
        <v>-948007.89</v>
      </c>
      <c r="M1486" s="15">
        <v>-11292.53</v>
      </c>
      <c r="N1486" s="16" t="str">
        <f>IF(M1486="","",IF(M1486&lt;0,-M1486&amp;"_"&amp;COUNTIF(M$2:M1486,M1486),M1486&amp;"_"&amp;COUNTIF(M$2:M1486,M1486)))</f>
        <v>11292.53_1</v>
      </c>
      <c r="O1486" s="17" t="str">
        <f t="shared" si="23"/>
        <v/>
      </c>
      <c r="P1486" s="13" t="s">
        <v>1265</v>
      </c>
      <c r="Q1486" s="13" t="s">
        <v>1245</v>
      </c>
      <c r="R1486" s="13" t="s">
        <v>0</v>
      </c>
      <c r="S1486" s="13" t="s">
        <v>0</v>
      </c>
      <c r="T1486" s="13" t="s">
        <v>9</v>
      </c>
      <c r="U1486" s="13" t="s">
        <v>0</v>
      </c>
      <c r="V1486" s="13" t="s">
        <v>0</v>
      </c>
      <c r="W1486" s="13" t="s">
        <v>0</v>
      </c>
      <c r="X1486" s="13" t="s">
        <v>0</v>
      </c>
      <c r="Y1486" s="13" t="s">
        <v>10</v>
      </c>
      <c r="Z1486" s="13" t="s">
        <v>0</v>
      </c>
      <c r="AA1486" s="14"/>
      <c r="AB1486" s="13" t="s">
        <v>0</v>
      </c>
      <c r="AC1486" s="13" t="s">
        <v>0</v>
      </c>
      <c r="AD1486" s="13" t="s">
        <v>0</v>
      </c>
      <c r="AE1486" s="15">
        <v>0</v>
      </c>
    </row>
    <row r="1487" spans="1:31" ht="14.15" customHeight="1" x14ac:dyDescent="0.25">
      <c r="A1487" s="12" t="s">
        <v>0</v>
      </c>
      <c r="B1487" s="13" t="s">
        <v>1</v>
      </c>
      <c r="C1487" s="13" t="s">
        <v>1614</v>
      </c>
      <c r="D1487" s="14">
        <v>44168</v>
      </c>
      <c r="E1487" s="14">
        <v>44168</v>
      </c>
      <c r="F1487" s="14">
        <v>44185</v>
      </c>
      <c r="G1487" s="13" t="s">
        <v>3</v>
      </c>
      <c r="H1487" s="13" t="s">
        <v>4</v>
      </c>
      <c r="I1487" s="15">
        <v>-11289.61</v>
      </c>
      <c r="J1487" s="13" t="s">
        <v>5</v>
      </c>
      <c r="K1487" s="13" t="s">
        <v>6</v>
      </c>
      <c r="L1487" s="15">
        <v>-947762.76</v>
      </c>
      <c r="M1487" s="15">
        <v>-11289.61</v>
      </c>
      <c r="N1487" s="16" t="str">
        <f>IF(M1487="","",IF(M1487&lt;0,-M1487&amp;"_"&amp;COUNTIF(M$2:M1487,M1487),M1487&amp;"_"&amp;COUNTIF(M$2:M1487,M1487)))</f>
        <v>11289.61_1</v>
      </c>
      <c r="O1487" s="17" t="str">
        <f t="shared" si="23"/>
        <v/>
      </c>
      <c r="P1487" s="13" t="s">
        <v>1615</v>
      </c>
      <c r="Q1487" s="13" t="s">
        <v>1605</v>
      </c>
      <c r="R1487" s="13" t="s">
        <v>0</v>
      </c>
      <c r="S1487" s="13" t="s">
        <v>0</v>
      </c>
      <c r="T1487" s="13" t="s">
        <v>9</v>
      </c>
      <c r="U1487" s="13" t="s">
        <v>0</v>
      </c>
      <c r="V1487" s="13" t="s">
        <v>0</v>
      </c>
      <c r="W1487" s="13" t="s">
        <v>0</v>
      </c>
      <c r="X1487" s="13" t="s">
        <v>0</v>
      </c>
      <c r="Y1487" s="13" t="s">
        <v>10</v>
      </c>
      <c r="Z1487" s="13" t="s">
        <v>0</v>
      </c>
      <c r="AA1487" s="14"/>
      <c r="AB1487" s="13" t="s">
        <v>0</v>
      </c>
      <c r="AC1487" s="13" t="s">
        <v>0</v>
      </c>
      <c r="AD1487" s="13" t="s">
        <v>0</v>
      </c>
      <c r="AE1487" s="15">
        <v>0</v>
      </c>
    </row>
    <row r="1488" spans="1:31" ht="14.15" customHeight="1" x14ac:dyDescent="0.25">
      <c r="A1488" s="12" t="s">
        <v>0</v>
      </c>
      <c r="B1488" s="13" t="s">
        <v>1</v>
      </c>
      <c r="C1488" s="13" t="s">
        <v>727</v>
      </c>
      <c r="D1488" s="14">
        <v>44095</v>
      </c>
      <c r="E1488" s="14">
        <v>44095</v>
      </c>
      <c r="F1488" s="14">
        <v>44098</v>
      </c>
      <c r="G1488" s="13" t="s">
        <v>3</v>
      </c>
      <c r="H1488" s="13" t="s">
        <v>4</v>
      </c>
      <c r="I1488" s="15">
        <v>-11287.84</v>
      </c>
      <c r="J1488" s="13" t="s">
        <v>5</v>
      </c>
      <c r="K1488" s="13" t="s">
        <v>6</v>
      </c>
      <c r="L1488" s="15">
        <v>-947614.17</v>
      </c>
      <c r="M1488" s="15">
        <v>-11287.84</v>
      </c>
      <c r="N1488" s="16" t="str">
        <f>IF(M1488="","",IF(M1488&lt;0,-M1488&amp;"_"&amp;COUNTIF(M$2:M1488,M1488),M1488&amp;"_"&amp;COUNTIF(M$2:M1488,M1488)))</f>
        <v>11287.84_1</v>
      </c>
      <c r="O1488" s="17" t="str">
        <f t="shared" si="23"/>
        <v/>
      </c>
      <c r="P1488" s="13" t="s">
        <v>728</v>
      </c>
      <c r="Q1488" s="13" t="s">
        <v>726</v>
      </c>
      <c r="R1488" s="13" t="s">
        <v>0</v>
      </c>
      <c r="S1488" s="13" t="s">
        <v>0</v>
      </c>
      <c r="T1488" s="13" t="s">
        <v>9</v>
      </c>
      <c r="U1488" s="13" t="s">
        <v>0</v>
      </c>
      <c r="V1488" s="13" t="s">
        <v>0</v>
      </c>
      <c r="W1488" s="13" t="s">
        <v>0</v>
      </c>
      <c r="X1488" s="13" t="s">
        <v>0</v>
      </c>
      <c r="Y1488" s="13" t="s">
        <v>10</v>
      </c>
      <c r="Z1488" s="13" t="s">
        <v>0</v>
      </c>
      <c r="AA1488" s="14"/>
      <c r="AB1488" s="13" t="s">
        <v>0</v>
      </c>
      <c r="AC1488" s="13" t="s">
        <v>0</v>
      </c>
      <c r="AD1488" s="13" t="s">
        <v>0</v>
      </c>
      <c r="AE1488" s="15">
        <v>0</v>
      </c>
    </row>
    <row r="1489" spans="1:31" ht="14.15" customHeight="1" x14ac:dyDescent="0.25">
      <c r="A1489" s="12" t="s">
        <v>0</v>
      </c>
      <c r="B1489" s="13" t="s">
        <v>1</v>
      </c>
      <c r="C1489" s="13" t="s">
        <v>990</v>
      </c>
      <c r="D1489" s="14">
        <v>44126</v>
      </c>
      <c r="E1489" s="14">
        <v>44126</v>
      </c>
      <c r="F1489" s="14">
        <v>44130</v>
      </c>
      <c r="G1489" s="13" t="s">
        <v>3</v>
      </c>
      <c r="H1489" s="13" t="s">
        <v>4</v>
      </c>
      <c r="I1489" s="15">
        <v>-11281.07</v>
      </c>
      <c r="J1489" s="13" t="s">
        <v>5</v>
      </c>
      <c r="K1489" s="13" t="s">
        <v>6</v>
      </c>
      <c r="L1489" s="15">
        <v>-947045.83</v>
      </c>
      <c r="M1489" s="15">
        <v>-11281.07</v>
      </c>
      <c r="N1489" s="16" t="str">
        <f>IF(M1489="","",IF(M1489&lt;0,-M1489&amp;"_"&amp;COUNTIF(M$2:M1489,M1489),M1489&amp;"_"&amp;COUNTIF(M$2:M1489,M1489)))</f>
        <v>11281.07_1</v>
      </c>
      <c r="O1489" s="17" t="str">
        <f t="shared" si="23"/>
        <v/>
      </c>
      <c r="P1489" s="13" t="s">
        <v>991</v>
      </c>
      <c r="Q1489" s="13" t="s">
        <v>992</v>
      </c>
      <c r="R1489" s="13" t="s">
        <v>0</v>
      </c>
      <c r="S1489" s="13" t="s">
        <v>0</v>
      </c>
      <c r="T1489" s="13" t="s">
        <v>9</v>
      </c>
      <c r="U1489" s="13" t="s">
        <v>0</v>
      </c>
      <c r="V1489" s="13" t="s">
        <v>0</v>
      </c>
      <c r="W1489" s="13" t="s">
        <v>0</v>
      </c>
      <c r="X1489" s="13" t="s">
        <v>0</v>
      </c>
      <c r="Y1489" s="13" t="s">
        <v>10</v>
      </c>
      <c r="Z1489" s="13" t="s">
        <v>0</v>
      </c>
      <c r="AA1489" s="14"/>
      <c r="AB1489" s="13" t="s">
        <v>0</v>
      </c>
      <c r="AC1489" s="13" t="s">
        <v>0</v>
      </c>
      <c r="AD1489" s="13" t="s">
        <v>0</v>
      </c>
      <c r="AE1489" s="15">
        <v>0</v>
      </c>
    </row>
    <row r="1490" spans="1:31" ht="14.15" customHeight="1" x14ac:dyDescent="0.25">
      <c r="A1490" s="12" t="s">
        <v>0</v>
      </c>
      <c r="B1490" s="13" t="s">
        <v>1</v>
      </c>
      <c r="C1490" s="13" t="s">
        <v>690</v>
      </c>
      <c r="D1490" s="14">
        <v>44090</v>
      </c>
      <c r="E1490" s="14">
        <v>44090</v>
      </c>
      <c r="F1490" s="14">
        <v>44096</v>
      </c>
      <c r="G1490" s="13" t="s">
        <v>3</v>
      </c>
      <c r="H1490" s="13" t="s">
        <v>4</v>
      </c>
      <c r="I1490" s="15">
        <v>-11264.23</v>
      </c>
      <c r="J1490" s="13" t="s">
        <v>5</v>
      </c>
      <c r="K1490" s="13" t="s">
        <v>6</v>
      </c>
      <c r="L1490" s="15">
        <v>-945632.11</v>
      </c>
      <c r="M1490" s="15">
        <v>-11264.23</v>
      </c>
      <c r="N1490" s="16" t="str">
        <f>IF(M1490="","",IF(M1490&lt;0,-M1490&amp;"_"&amp;COUNTIF(M$2:M1490,M1490),M1490&amp;"_"&amp;COUNTIF(M$2:M1490,M1490)))</f>
        <v>11264.23_1</v>
      </c>
      <c r="O1490" s="17" t="str">
        <f t="shared" si="23"/>
        <v/>
      </c>
      <c r="P1490" s="13" t="s">
        <v>691</v>
      </c>
      <c r="Q1490" s="13" t="s">
        <v>687</v>
      </c>
      <c r="R1490" s="13" t="s">
        <v>0</v>
      </c>
      <c r="S1490" s="13" t="s">
        <v>0</v>
      </c>
      <c r="T1490" s="13" t="s">
        <v>9</v>
      </c>
      <c r="U1490" s="13" t="s">
        <v>0</v>
      </c>
      <c r="V1490" s="13" t="s">
        <v>0</v>
      </c>
      <c r="W1490" s="13" t="s">
        <v>0</v>
      </c>
      <c r="X1490" s="13" t="s">
        <v>0</v>
      </c>
      <c r="Y1490" s="13" t="s">
        <v>10</v>
      </c>
      <c r="Z1490" s="13" t="s">
        <v>0</v>
      </c>
      <c r="AA1490" s="14"/>
      <c r="AB1490" s="13" t="s">
        <v>0</v>
      </c>
      <c r="AC1490" s="13" t="s">
        <v>0</v>
      </c>
      <c r="AD1490" s="13" t="s">
        <v>0</v>
      </c>
      <c r="AE1490" s="15">
        <v>0</v>
      </c>
    </row>
    <row r="1491" spans="1:31" ht="14.15" customHeight="1" x14ac:dyDescent="0.25">
      <c r="A1491" s="12" t="s">
        <v>0</v>
      </c>
      <c r="B1491" s="13" t="s">
        <v>1</v>
      </c>
      <c r="C1491" s="13" t="s">
        <v>1880</v>
      </c>
      <c r="D1491" s="14">
        <v>44188</v>
      </c>
      <c r="E1491" s="14">
        <v>44188</v>
      </c>
      <c r="F1491" s="14">
        <v>44199</v>
      </c>
      <c r="G1491" s="13" t="s">
        <v>3</v>
      </c>
      <c r="H1491" s="13" t="s">
        <v>4</v>
      </c>
      <c r="I1491" s="15">
        <v>-11249.52</v>
      </c>
      <c r="J1491" s="13" t="s">
        <v>5</v>
      </c>
      <c r="K1491" s="13" t="s">
        <v>6</v>
      </c>
      <c r="L1491" s="15">
        <v>-944397.2</v>
      </c>
      <c r="M1491" s="15">
        <v>-11249.52</v>
      </c>
      <c r="N1491" s="16" t="str">
        <f>IF(M1491="","",IF(M1491&lt;0,-M1491&amp;"_"&amp;COUNTIF(M$2:M1491,M1491),M1491&amp;"_"&amp;COUNTIF(M$2:M1491,M1491)))</f>
        <v>11249.52_1</v>
      </c>
      <c r="O1491" s="17" t="str">
        <f t="shared" si="23"/>
        <v/>
      </c>
      <c r="P1491" s="13" t="s">
        <v>1881</v>
      </c>
      <c r="Q1491" s="13" t="s">
        <v>1869</v>
      </c>
      <c r="R1491" s="13" t="s">
        <v>0</v>
      </c>
      <c r="S1491" s="13" t="s">
        <v>0</v>
      </c>
      <c r="T1491" s="13" t="s">
        <v>9</v>
      </c>
      <c r="U1491" s="13" t="s">
        <v>0</v>
      </c>
      <c r="V1491" s="13" t="s">
        <v>0</v>
      </c>
      <c r="W1491" s="13" t="s">
        <v>0</v>
      </c>
      <c r="X1491" s="13" t="s">
        <v>0</v>
      </c>
      <c r="Y1491" s="13" t="s">
        <v>10</v>
      </c>
      <c r="Z1491" s="13" t="s">
        <v>0</v>
      </c>
      <c r="AA1491" s="14"/>
      <c r="AB1491" s="13" t="s">
        <v>0</v>
      </c>
      <c r="AC1491" s="13" t="s">
        <v>0</v>
      </c>
      <c r="AD1491" s="13" t="s">
        <v>0</v>
      </c>
      <c r="AE1491" s="15">
        <v>0</v>
      </c>
    </row>
    <row r="1492" spans="1:31" ht="14.15" customHeight="1" x14ac:dyDescent="0.25">
      <c r="A1492" s="12" t="s">
        <v>0</v>
      </c>
      <c r="B1492" s="13" t="s">
        <v>1</v>
      </c>
      <c r="C1492" s="13" t="s">
        <v>4326</v>
      </c>
      <c r="D1492" s="14">
        <v>44373</v>
      </c>
      <c r="E1492" s="14">
        <v>44373</v>
      </c>
      <c r="F1492" s="14">
        <v>44376</v>
      </c>
      <c r="G1492" s="13" t="s">
        <v>3</v>
      </c>
      <c r="H1492" s="13" t="s">
        <v>4</v>
      </c>
      <c r="I1492" s="15">
        <v>-11247.91</v>
      </c>
      <c r="J1492" s="13" t="s">
        <v>5</v>
      </c>
      <c r="K1492" s="13" t="s">
        <v>6</v>
      </c>
      <c r="L1492" s="15">
        <v>-944262.04</v>
      </c>
      <c r="M1492" s="15">
        <v>-11247.91</v>
      </c>
      <c r="N1492" s="16" t="str">
        <f>IF(M1492="","",IF(M1492&lt;0,-M1492&amp;"_"&amp;COUNTIF(M$2:M1492,M1492),M1492&amp;"_"&amp;COUNTIF(M$2:M1492,M1492)))</f>
        <v>11247.91_1</v>
      </c>
      <c r="O1492" s="17" t="str">
        <f t="shared" si="23"/>
        <v/>
      </c>
      <c r="P1492" s="13" t="s">
        <v>4327</v>
      </c>
      <c r="Q1492" s="13" t="s">
        <v>4325</v>
      </c>
      <c r="R1492" s="13" t="s">
        <v>0</v>
      </c>
      <c r="S1492" s="13" t="s">
        <v>0</v>
      </c>
      <c r="T1492" s="13" t="s">
        <v>9</v>
      </c>
      <c r="U1492" s="13" t="s">
        <v>0</v>
      </c>
      <c r="V1492" s="13" t="s">
        <v>0</v>
      </c>
      <c r="W1492" s="13" t="s">
        <v>0</v>
      </c>
      <c r="X1492" s="13" t="s">
        <v>0</v>
      </c>
      <c r="Y1492" s="13" t="s">
        <v>10</v>
      </c>
      <c r="Z1492" s="13" t="s">
        <v>0</v>
      </c>
      <c r="AA1492" s="14"/>
      <c r="AB1492" s="13" t="s">
        <v>0</v>
      </c>
      <c r="AC1492" s="13" t="s">
        <v>0</v>
      </c>
      <c r="AD1492" s="13" t="s">
        <v>0</v>
      </c>
      <c r="AE1492" s="15">
        <v>0</v>
      </c>
    </row>
    <row r="1493" spans="1:31" ht="14.15" customHeight="1" x14ac:dyDescent="0.25">
      <c r="A1493" s="12" t="s">
        <v>0</v>
      </c>
      <c r="B1493" s="13" t="s">
        <v>1</v>
      </c>
      <c r="C1493" s="13" t="s">
        <v>4069</v>
      </c>
      <c r="D1493" s="14">
        <v>44360</v>
      </c>
      <c r="E1493" s="14">
        <v>44360</v>
      </c>
      <c r="F1493" s="14">
        <v>44384</v>
      </c>
      <c r="G1493" s="13" t="s">
        <v>3</v>
      </c>
      <c r="H1493" s="13" t="s">
        <v>4</v>
      </c>
      <c r="I1493" s="15">
        <v>-11204.06</v>
      </c>
      <c r="J1493" s="13" t="s">
        <v>5</v>
      </c>
      <c r="K1493" s="13" t="s">
        <v>6</v>
      </c>
      <c r="L1493" s="15">
        <v>-940580.84</v>
      </c>
      <c r="M1493" s="15">
        <v>-11204.06</v>
      </c>
      <c r="N1493" s="16" t="str">
        <f>IF(M1493="","",IF(M1493&lt;0,-M1493&amp;"_"&amp;COUNTIF(M$2:M1493,M1493),M1493&amp;"_"&amp;COUNTIF(M$2:M1493,M1493)))</f>
        <v>11204.06_1</v>
      </c>
      <c r="O1493" s="17" t="str">
        <f t="shared" si="23"/>
        <v/>
      </c>
      <c r="P1493" s="13" t="s">
        <v>4070</v>
      </c>
      <c r="Q1493" s="13" t="s">
        <v>4062</v>
      </c>
      <c r="R1493" s="13" t="s">
        <v>0</v>
      </c>
      <c r="S1493" s="13" t="s">
        <v>0</v>
      </c>
      <c r="T1493" s="13" t="s">
        <v>9</v>
      </c>
      <c r="U1493" s="13" t="s">
        <v>0</v>
      </c>
      <c r="V1493" s="13" t="s">
        <v>0</v>
      </c>
      <c r="W1493" s="13" t="s">
        <v>0</v>
      </c>
      <c r="X1493" s="13" t="s">
        <v>0</v>
      </c>
      <c r="Y1493" s="13" t="s">
        <v>10</v>
      </c>
      <c r="Z1493" s="13" t="s">
        <v>0</v>
      </c>
      <c r="AA1493" s="14"/>
      <c r="AB1493" s="13" t="s">
        <v>0</v>
      </c>
      <c r="AC1493" s="13" t="s">
        <v>0</v>
      </c>
      <c r="AD1493" s="13" t="s">
        <v>0</v>
      </c>
      <c r="AE1493" s="15">
        <v>0</v>
      </c>
    </row>
    <row r="1494" spans="1:31" ht="14.15" customHeight="1" x14ac:dyDescent="0.25">
      <c r="A1494" s="12" t="s">
        <v>0</v>
      </c>
      <c r="B1494" s="13" t="s">
        <v>1</v>
      </c>
      <c r="C1494" s="13" t="s">
        <v>3272</v>
      </c>
      <c r="D1494" s="14">
        <v>44311</v>
      </c>
      <c r="E1494" s="14">
        <v>44311</v>
      </c>
      <c r="F1494" s="14">
        <v>44315</v>
      </c>
      <c r="G1494" s="13" t="s">
        <v>3</v>
      </c>
      <c r="H1494" s="13" t="s">
        <v>4</v>
      </c>
      <c r="I1494" s="15">
        <v>-11200.15</v>
      </c>
      <c r="J1494" s="13" t="s">
        <v>5</v>
      </c>
      <c r="K1494" s="13" t="s">
        <v>6</v>
      </c>
      <c r="L1494" s="15">
        <v>-940252.59</v>
      </c>
      <c r="M1494" s="15">
        <v>-11200.15</v>
      </c>
      <c r="N1494" s="16" t="str">
        <f>IF(M1494="","",IF(M1494&lt;0,-M1494&amp;"_"&amp;COUNTIF(M$2:M1494,M1494),M1494&amp;"_"&amp;COUNTIF(M$2:M1494,M1494)))</f>
        <v>11200.15_1</v>
      </c>
      <c r="O1494" s="17" t="str">
        <f t="shared" si="23"/>
        <v/>
      </c>
      <c r="P1494" s="13" t="s">
        <v>3273</v>
      </c>
      <c r="Q1494" s="13" t="s">
        <v>3269</v>
      </c>
      <c r="R1494" s="13" t="s">
        <v>0</v>
      </c>
      <c r="S1494" s="13" t="s">
        <v>0</v>
      </c>
      <c r="T1494" s="13" t="s">
        <v>9</v>
      </c>
      <c r="U1494" s="13" t="s">
        <v>0</v>
      </c>
      <c r="V1494" s="13" t="s">
        <v>0</v>
      </c>
      <c r="W1494" s="13" t="s">
        <v>0</v>
      </c>
      <c r="X1494" s="13" t="s">
        <v>0</v>
      </c>
      <c r="Y1494" s="13" t="s">
        <v>10</v>
      </c>
      <c r="Z1494" s="13" t="s">
        <v>0</v>
      </c>
      <c r="AA1494" s="14"/>
      <c r="AB1494" s="13" t="s">
        <v>0</v>
      </c>
      <c r="AC1494" s="13" t="s">
        <v>0</v>
      </c>
      <c r="AD1494" s="13" t="s">
        <v>0</v>
      </c>
      <c r="AE1494" s="15">
        <v>0</v>
      </c>
    </row>
    <row r="1495" spans="1:31" ht="14.15" customHeight="1" x14ac:dyDescent="0.25">
      <c r="A1495" s="12" t="s">
        <v>0</v>
      </c>
      <c r="B1495" s="13" t="s">
        <v>1</v>
      </c>
      <c r="C1495" s="13" t="s">
        <v>1884</v>
      </c>
      <c r="D1495" s="14">
        <v>44189</v>
      </c>
      <c r="E1495" s="14">
        <v>44189</v>
      </c>
      <c r="F1495" s="14">
        <v>44194</v>
      </c>
      <c r="G1495" s="13" t="s">
        <v>3</v>
      </c>
      <c r="H1495" s="13" t="s">
        <v>4</v>
      </c>
      <c r="I1495" s="15">
        <v>-11196.96</v>
      </c>
      <c r="J1495" s="13" t="s">
        <v>5</v>
      </c>
      <c r="K1495" s="13" t="s">
        <v>6</v>
      </c>
      <c r="L1495" s="15">
        <v>-939984.79</v>
      </c>
      <c r="M1495" s="15">
        <v>-11196.96</v>
      </c>
      <c r="N1495" s="16" t="str">
        <f>IF(M1495="","",IF(M1495&lt;0,-M1495&amp;"_"&amp;COUNTIF(M$2:M1495,M1495),M1495&amp;"_"&amp;COUNTIF(M$2:M1495,M1495)))</f>
        <v>11196.96_1</v>
      </c>
      <c r="O1495" s="17" t="str">
        <f t="shared" si="23"/>
        <v/>
      </c>
      <c r="P1495" s="13" t="s">
        <v>1885</v>
      </c>
      <c r="Q1495" s="13" t="s">
        <v>1886</v>
      </c>
      <c r="R1495" s="13" t="s">
        <v>0</v>
      </c>
      <c r="S1495" s="13" t="s">
        <v>0</v>
      </c>
      <c r="T1495" s="13" t="s">
        <v>9</v>
      </c>
      <c r="U1495" s="13" t="s">
        <v>0</v>
      </c>
      <c r="V1495" s="13" t="s">
        <v>0</v>
      </c>
      <c r="W1495" s="13" t="s">
        <v>0</v>
      </c>
      <c r="X1495" s="13" t="s">
        <v>0</v>
      </c>
      <c r="Y1495" s="13" t="s">
        <v>10</v>
      </c>
      <c r="Z1495" s="13" t="s">
        <v>0</v>
      </c>
      <c r="AA1495" s="14"/>
      <c r="AB1495" s="13" t="s">
        <v>0</v>
      </c>
      <c r="AC1495" s="13" t="s">
        <v>0</v>
      </c>
      <c r="AD1495" s="13" t="s">
        <v>0</v>
      </c>
      <c r="AE1495" s="15">
        <v>0</v>
      </c>
    </row>
    <row r="1496" spans="1:31" ht="14.15" customHeight="1" x14ac:dyDescent="0.25">
      <c r="A1496" s="12" t="s">
        <v>0</v>
      </c>
      <c r="B1496" s="13" t="s">
        <v>1</v>
      </c>
      <c r="C1496" s="13" t="s">
        <v>83</v>
      </c>
      <c r="D1496" s="14">
        <v>44021</v>
      </c>
      <c r="E1496" s="14">
        <v>44021</v>
      </c>
      <c r="F1496" s="14">
        <v>44032</v>
      </c>
      <c r="G1496" s="13" t="s">
        <v>3</v>
      </c>
      <c r="H1496" s="13" t="s">
        <v>4</v>
      </c>
      <c r="I1496" s="15">
        <v>-11174.9</v>
      </c>
      <c r="J1496" s="13" t="s">
        <v>5</v>
      </c>
      <c r="K1496" s="13" t="s">
        <v>6</v>
      </c>
      <c r="L1496" s="15">
        <v>-938132.85</v>
      </c>
      <c r="M1496" s="15">
        <v>-11174.9</v>
      </c>
      <c r="N1496" s="16" t="str">
        <f>IF(M1496="","",IF(M1496&lt;0,-M1496&amp;"_"&amp;COUNTIF(M$2:M1496,M1496),M1496&amp;"_"&amp;COUNTIF(M$2:M1496,M1496)))</f>
        <v>11174.9_1</v>
      </c>
      <c r="O1496" s="17" t="str">
        <f t="shared" si="23"/>
        <v/>
      </c>
      <c r="P1496" s="13" t="s">
        <v>84</v>
      </c>
      <c r="Q1496" s="13" t="s">
        <v>85</v>
      </c>
      <c r="R1496" s="13" t="s">
        <v>0</v>
      </c>
      <c r="S1496" s="13" t="s">
        <v>0</v>
      </c>
      <c r="T1496" s="13" t="s">
        <v>9</v>
      </c>
      <c r="U1496" s="13" t="s">
        <v>0</v>
      </c>
      <c r="V1496" s="13" t="s">
        <v>0</v>
      </c>
      <c r="W1496" s="13" t="s">
        <v>0</v>
      </c>
      <c r="X1496" s="13" t="s">
        <v>0</v>
      </c>
      <c r="Y1496" s="13" t="s">
        <v>10</v>
      </c>
      <c r="Z1496" s="13" t="s">
        <v>0</v>
      </c>
      <c r="AA1496" s="14"/>
      <c r="AB1496" s="13" t="s">
        <v>0</v>
      </c>
      <c r="AC1496" s="13" t="s">
        <v>0</v>
      </c>
      <c r="AD1496" s="13" t="s">
        <v>0</v>
      </c>
      <c r="AE1496" s="15">
        <v>0</v>
      </c>
    </row>
    <row r="1497" spans="1:31" ht="14.15" customHeight="1" x14ac:dyDescent="0.25">
      <c r="A1497" s="12" t="s">
        <v>0</v>
      </c>
      <c r="B1497" s="13" t="s">
        <v>1</v>
      </c>
      <c r="C1497" s="13" t="s">
        <v>213</v>
      </c>
      <c r="D1497" s="14">
        <v>44038</v>
      </c>
      <c r="E1497" s="14">
        <v>44038</v>
      </c>
      <c r="F1497" s="14">
        <v>44041</v>
      </c>
      <c r="G1497" s="13" t="s">
        <v>3</v>
      </c>
      <c r="H1497" s="13" t="s">
        <v>4</v>
      </c>
      <c r="I1497" s="15">
        <v>-11166.88</v>
      </c>
      <c r="J1497" s="13" t="s">
        <v>5</v>
      </c>
      <c r="K1497" s="13" t="s">
        <v>6</v>
      </c>
      <c r="L1497" s="15">
        <v>-937459.58</v>
      </c>
      <c r="M1497" s="15">
        <v>-11166.88</v>
      </c>
      <c r="N1497" s="16" t="str">
        <f>IF(M1497="","",IF(M1497&lt;0,-M1497&amp;"_"&amp;COUNTIF(M$2:M1497,M1497),M1497&amp;"_"&amp;COUNTIF(M$2:M1497,M1497)))</f>
        <v>11166.88_1</v>
      </c>
      <c r="O1497" s="17" t="str">
        <f t="shared" si="23"/>
        <v/>
      </c>
      <c r="P1497" s="13" t="s">
        <v>214</v>
      </c>
      <c r="Q1497" s="13" t="s">
        <v>215</v>
      </c>
      <c r="R1497" s="13" t="s">
        <v>0</v>
      </c>
      <c r="S1497" s="13" t="s">
        <v>0</v>
      </c>
      <c r="T1497" s="13" t="s">
        <v>9</v>
      </c>
      <c r="U1497" s="13" t="s">
        <v>0</v>
      </c>
      <c r="V1497" s="13" t="s">
        <v>0</v>
      </c>
      <c r="W1497" s="13" t="s">
        <v>0</v>
      </c>
      <c r="X1497" s="13" t="s">
        <v>0</v>
      </c>
      <c r="Y1497" s="13" t="s">
        <v>10</v>
      </c>
      <c r="Z1497" s="13" t="s">
        <v>0</v>
      </c>
      <c r="AA1497" s="14"/>
      <c r="AB1497" s="13" t="s">
        <v>0</v>
      </c>
      <c r="AC1497" s="13" t="s">
        <v>0</v>
      </c>
      <c r="AD1497" s="13" t="s">
        <v>0</v>
      </c>
      <c r="AE1497" s="15">
        <v>0</v>
      </c>
    </row>
    <row r="1498" spans="1:31" ht="14.15" customHeight="1" x14ac:dyDescent="0.25">
      <c r="A1498" s="12" t="s">
        <v>0</v>
      </c>
      <c r="B1498" s="13" t="s">
        <v>1</v>
      </c>
      <c r="C1498" s="13" t="s">
        <v>4088</v>
      </c>
      <c r="D1498" s="14">
        <v>44361</v>
      </c>
      <c r="E1498" s="14">
        <v>44361</v>
      </c>
      <c r="F1498" s="14">
        <v>44364</v>
      </c>
      <c r="G1498" s="13" t="s">
        <v>3</v>
      </c>
      <c r="H1498" s="13" t="s">
        <v>4</v>
      </c>
      <c r="I1498" s="15">
        <v>-11158.72</v>
      </c>
      <c r="J1498" s="13" t="s">
        <v>5</v>
      </c>
      <c r="K1498" s="13" t="s">
        <v>6</v>
      </c>
      <c r="L1498" s="15">
        <v>-936774.54</v>
      </c>
      <c r="M1498" s="15">
        <v>-11158.72</v>
      </c>
      <c r="N1498" s="16" t="str">
        <f>IF(M1498="","",IF(M1498&lt;0,-M1498&amp;"_"&amp;COUNTIF(M$2:M1498,M1498),M1498&amp;"_"&amp;COUNTIF(M$2:M1498,M1498)))</f>
        <v>11158.72_1</v>
      </c>
      <c r="O1498" s="17" t="str">
        <f t="shared" si="23"/>
        <v/>
      </c>
      <c r="P1498" s="13" t="s">
        <v>4089</v>
      </c>
      <c r="Q1498" s="13" t="s">
        <v>4075</v>
      </c>
      <c r="R1498" s="13" t="s">
        <v>0</v>
      </c>
      <c r="S1498" s="13" t="s">
        <v>0</v>
      </c>
      <c r="T1498" s="13" t="s">
        <v>9</v>
      </c>
      <c r="U1498" s="13" t="s">
        <v>0</v>
      </c>
      <c r="V1498" s="13" t="s">
        <v>0</v>
      </c>
      <c r="W1498" s="13" t="s">
        <v>0</v>
      </c>
      <c r="X1498" s="13" t="s">
        <v>0</v>
      </c>
      <c r="Y1498" s="13" t="s">
        <v>10</v>
      </c>
      <c r="Z1498" s="13" t="s">
        <v>0</v>
      </c>
      <c r="AA1498" s="14"/>
      <c r="AB1498" s="13" t="s">
        <v>0</v>
      </c>
      <c r="AC1498" s="13" t="s">
        <v>0</v>
      </c>
      <c r="AD1498" s="13" t="s">
        <v>0</v>
      </c>
      <c r="AE1498" s="15">
        <v>0</v>
      </c>
    </row>
    <row r="1499" spans="1:31" ht="14.15" customHeight="1" x14ac:dyDescent="0.25">
      <c r="A1499" s="12" t="s">
        <v>0</v>
      </c>
      <c r="B1499" s="13" t="s">
        <v>1</v>
      </c>
      <c r="C1499" s="13" t="s">
        <v>3029</v>
      </c>
      <c r="D1499" s="14">
        <v>44281</v>
      </c>
      <c r="E1499" s="14">
        <v>44281</v>
      </c>
      <c r="F1499" s="14">
        <v>44290</v>
      </c>
      <c r="G1499" s="13" t="s">
        <v>3</v>
      </c>
      <c r="H1499" s="13" t="s">
        <v>4</v>
      </c>
      <c r="I1499" s="15">
        <v>-11140.29</v>
      </c>
      <c r="J1499" s="13" t="s">
        <v>5</v>
      </c>
      <c r="K1499" s="13" t="s">
        <v>6</v>
      </c>
      <c r="L1499" s="15">
        <v>-935227.32</v>
      </c>
      <c r="M1499" s="15">
        <v>-11140.29</v>
      </c>
      <c r="N1499" s="16" t="str">
        <f>IF(M1499="","",IF(M1499&lt;0,-M1499&amp;"_"&amp;COUNTIF(M$2:M1499,M1499),M1499&amp;"_"&amp;COUNTIF(M$2:M1499,M1499)))</f>
        <v>11140.29_1</v>
      </c>
      <c r="O1499" s="17" t="str">
        <f t="shared" si="23"/>
        <v/>
      </c>
      <c r="P1499" s="13" t="s">
        <v>3030</v>
      </c>
      <c r="Q1499" s="13" t="s">
        <v>3014</v>
      </c>
      <c r="R1499" s="13" t="s">
        <v>0</v>
      </c>
      <c r="S1499" s="13" t="s">
        <v>0</v>
      </c>
      <c r="T1499" s="13" t="s">
        <v>9</v>
      </c>
      <c r="U1499" s="13" t="s">
        <v>0</v>
      </c>
      <c r="V1499" s="13" t="s">
        <v>0</v>
      </c>
      <c r="W1499" s="13" t="s">
        <v>0</v>
      </c>
      <c r="X1499" s="13" t="s">
        <v>0</v>
      </c>
      <c r="Y1499" s="13" t="s">
        <v>10</v>
      </c>
      <c r="Z1499" s="13" t="s">
        <v>0</v>
      </c>
      <c r="AA1499" s="14"/>
      <c r="AB1499" s="13" t="s">
        <v>0</v>
      </c>
      <c r="AC1499" s="13" t="s">
        <v>0</v>
      </c>
      <c r="AD1499" s="13" t="s">
        <v>0</v>
      </c>
      <c r="AE1499" s="15">
        <v>0</v>
      </c>
    </row>
    <row r="1500" spans="1:31" ht="14.15" customHeight="1" x14ac:dyDescent="0.25">
      <c r="A1500" s="12" t="s">
        <v>0</v>
      </c>
      <c r="B1500" s="13" t="s">
        <v>1</v>
      </c>
      <c r="C1500" s="13" t="s">
        <v>612</v>
      </c>
      <c r="D1500" s="14">
        <v>44082</v>
      </c>
      <c r="E1500" s="14">
        <v>44082</v>
      </c>
      <c r="F1500" s="14">
        <v>44086</v>
      </c>
      <c r="G1500" s="13" t="s">
        <v>3</v>
      </c>
      <c r="H1500" s="13" t="s">
        <v>4</v>
      </c>
      <c r="I1500" s="15">
        <v>-11133.42</v>
      </c>
      <c r="J1500" s="13" t="s">
        <v>5</v>
      </c>
      <c r="K1500" s="13" t="s">
        <v>6</v>
      </c>
      <c r="L1500" s="15">
        <v>-934650.6</v>
      </c>
      <c r="M1500" s="15">
        <v>-11133.42</v>
      </c>
      <c r="N1500" s="16" t="str">
        <f>IF(M1500="","",IF(M1500&lt;0,-M1500&amp;"_"&amp;COUNTIF(M$2:M1500,M1500),M1500&amp;"_"&amp;COUNTIF(M$2:M1500,M1500)))</f>
        <v>11133.42_1</v>
      </c>
      <c r="O1500" s="17" t="str">
        <f t="shared" si="23"/>
        <v/>
      </c>
      <c r="P1500" s="13" t="s">
        <v>613</v>
      </c>
      <c r="Q1500" s="13" t="s">
        <v>603</v>
      </c>
      <c r="R1500" s="13" t="s">
        <v>0</v>
      </c>
      <c r="S1500" s="13" t="s">
        <v>0</v>
      </c>
      <c r="T1500" s="13" t="s">
        <v>9</v>
      </c>
      <c r="U1500" s="13" t="s">
        <v>0</v>
      </c>
      <c r="V1500" s="13" t="s">
        <v>0</v>
      </c>
      <c r="W1500" s="13" t="s">
        <v>0</v>
      </c>
      <c r="X1500" s="13" t="s">
        <v>0</v>
      </c>
      <c r="Y1500" s="13" t="s">
        <v>10</v>
      </c>
      <c r="Z1500" s="13" t="s">
        <v>0</v>
      </c>
      <c r="AA1500" s="14"/>
      <c r="AB1500" s="13" t="s">
        <v>0</v>
      </c>
      <c r="AC1500" s="13" t="s">
        <v>0</v>
      </c>
      <c r="AD1500" s="13" t="s">
        <v>0</v>
      </c>
      <c r="AE1500" s="15">
        <v>0</v>
      </c>
    </row>
    <row r="1501" spans="1:31" ht="14.15" customHeight="1" x14ac:dyDescent="0.25">
      <c r="A1501" s="12" t="s">
        <v>0</v>
      </c>
      <c r="B1501" s="13" t="s">
        <v>1</v>
      </c>
      <c r="C1501" s="13" t="s">
        <v>616</v>
      </c>
      <c r="D1501" s="14">
        <v>44082</v>
      </c>
      <c r="E1501" s="14">
        <v>44082</v>
      </c>
      <c r="F1501" s="14">
        <v>44086</v>
      </c>
      <c r="G1501" s="13" t="s">
        <v>3</v>
      </c>
      <c r="H1501" s="13" t="s">
        <v>4</v>
      </c>
      <c r="I1501" s="15">
        <v>-11133.42</v>
      </c>
      <c r="J1501" s="13" t="s">
        <v>5</v>
      </c>
      <c r="K1501" s="13" t="s">
        <v>6</v>
      </c>
      <c r="L1501" s="15">
        <v>-934650.61</v>
      </c>
      <c r="M1501" s="15">
        <v>-11133.42</v>
      </c>
      <c r="N1501" s="16" t="str">
        <f>IF(M1501="","",IF(M1501&lt;0,-M1501&amp;"_"&amp;COUNTIF(M$2:M1501,M1501),M1501&amp;"_"&amp;COUNTIF(M$2:M1501,M1501)))</f>
        <v>11133.42_2</v>
      </c>
      <c r="O1501" s="17" t="str">
        <f t="shared" si="23"/>
        <v/>
      </c>
      <c r="P1501" s="13" t="s">
        <v>617</v>
      </c>
      <c r="Q1501" s="13" t="s">
        <v>603</v>
      </c>
      <c r="R1501" s="13" t="s">
        <v>0</v>
      </c>
      <c r="S1501" s="13" t="s">
        <v>0</v>
      </c>
      <c r="T1501" s="13" t="s">
        <v>9</v>
      </c>
      <c r="U1501" s="13" t="s">
        <v>0</v>
      </c>
      <c r="V1501" s="13" t="s">
        <v>0</v>
      </c>
      <c r="W1501" s="13" t="s">
        <v>0</v>
      </c>
      <c r="X1501" s="13" t="s">
        <v>0</v>
      </c>
      <c r="Y1501" s="13" t="s">
        <v>10</v>
      </c>
      <c r="Z1501" s="13" t="s">
        <v>0</v>
      </c>
      <c r="AA1501" s="14"/>
      <c r="AB1501" s="13" t="s">
        <v>0</v>
      </c>
      <c r="AC1501" s="13" t="s">
        <v>0</v>
      </c>
      <c r="AD1501" s="13" t="s">
        <v>0</v>
      </c>
      <c r="AE1501" s="15">
        <v>0</v>
      </c>
    </row>
    <row r="1502" spans="1:31" ht="14.15" customHeight="1" x14ac:dyDescent="0.25">
      <c r="A1502" s="12" t="s">
        <v>0</v>
      </c>
      <c r="B1502" s="13" t="s">
        <v>1</v>
      </c>
      <c r="C1502" s="13" t="s">
        <v>1468</v>
      </c>
      <c r="D1502" s="14">
        <v>44160</v>
      </c>
      <c r="E1502" s="14">
        <v>44160</v>
      </c>
      <c r="F1502" s="14">
        <v>44163</v>
      </c>
      <c r="G1502" s="13" t="s">
        <v>3</v>
      </c>
      <c r="H1502" s="13" t="s">
        <v>4</v>
      </c>
      <c r="I1502" s="15">
        <v>-11128.2</v>
      </c>
      <c r="J1502" s="13" t="s">
        <v>5</v>
      </c>
      <c r="K1502" s="13" t="s">
        <v>6</v>
      </c>
      <c r="L1502" s="15">
        <v>-934212.39</v>
      </c>
      <c r="M1502" s="15">
        <v>-11128.2</v>
      </c>
      <c r="N1502" s="16" t="str">
        <f>IF(M1502="","",IF(M1502&lt;0,-M1502&amp;"_"&amp;COUNTIF(M$2:M1502,M1502),M1502&amp;"_"&amp;COUNTIF(M$2:M1502,M1502)))</f>
        <v>11128.2_1</v>
      </c>
      <c r="O1502" s="17" t="str">
        <f t="shared" si="23"/>
        <v/>
      </c>
      <c r="P1502" s="13" t="s">
        <v>1469</v>
      </c>
      <c r="Q1502" s="13" t="s">
        <v>1470</v>
      </c>
      <c r="R1502" s="13" t="s">
        <v>0</v>
      </c>
      <c r="S1502" s="13" t="s">
        <v>0</v>
      </c>
      <c r="T1502" s="13" t="s">
        <v>9</v>
      </c>
      <c r="U1502" s="13" t="s">
        <v>0</v>
      </c>
      <c r="V1502" s="13" t="s">
        <v>0</v>
      </c>
      <c r="W1502" s="13" t="s">
        <v>0</v>
      </c>
      <c r="X1502" s="13" t="s">
        <v>0</v>
      </c>
      <c r="Y1502" s="13" t="s">
        <v>10</v>
      </c>
      <c r="Z1502" s="13" t="s">
        <v>0</v>
      </c>
      <c r="AA1502" s="14"/>
      <c r="AB1502" s="13" t="s">
        <v>0</v>
      </c>
      <c r="AC1502" s="13" t="s">
        <v>0</v>
      </c>
      <c r="AD1502" s="13" t="s">
        <v>0</v>
      </c>
      <c r="AE1502" s="15">
        <v>0</v>
      </c>
    </row>
    <row r="1503" spans="1:31" ht="14.15" customHeight="1" x14ac:dyDescent="0.25">
      <c r="A1503" s="12" t="s">
        <v>0</v>
      </c>
      <c r="B1503" s="13" t="s">
        <v>1</v>
      </c>
      <c r="C1503" s="13" t="s">
        <v>813</v>
      </c>
      <c r="D1503" s="14">
        <v>44104</v>
      </c>
      <c r="E1503" s="14">
        <v>44104</v>
      </c>
      <c r="F1503" s="14">
        <v>44108</v>
      </c>
      <c r="G1503" s="13" t="s">
        <v>3</v>
      </c>
      <c r="H1503" s="13" t="s">
        <v>4</v>
      </c>
      <c r="I1503" s="15">
        <v>-11099.65</v>
      </c>
      <c r="J1503" s="13" t="s">
        <v>5</v>
      </c>
      <c r="K1503" s="13" t="s">
        <v>6</v>
      </c>
      <c r="L1503" s="15">
        <v>-931815.62</v>
      </c>
      <c r="M1503" s="15">
        <v>-11099.65</v>
      </c>
      <c r="N1503" s="16" t="str">
        <f>IF(M1503="","",IF(M1503&lt;0,-M1503&amp;"_"&amp;COUNTIF(M$2:M1503,M1503),M1503&amp;"_"&amp;COUNTIF(M$2:M1503,M1503)))</f>
        <v>11099.65_1</v>
      </c>
      <c r="O1503" s="17" t="str">
        <f t="shared" si="23"/>
        <v/>
      </c>
      <c r="P1503" s="13" t="s">
        <v>814</v>
      </c>
      <c r="Q1503" s="13" t="s">
        <v>812</v>
      </c>
      <c r="R1503" s="13" t="s">
        <v>0</v>
      </c>
      <c r="S1503" s="13" t="s">
        <v>0</v>
      </c>
      <c r="T1503" s="13" t="s">
        <v>9</v>
      </c>
      <c r="U1503" s="13" t="s">
        <v>0</v>
      </c>
      <c r="V1503" s="13" t="s">
        <v>0</v>
      </c>
      <c r="W1503" s="13" t="s">
        <v>0</v>
      </c>
      <c r="X1503" s="13" t="s">
        <v>0</v>
      </c>
      <c r="Y1503" s="13" t="s">
        <v>10</v>
      </c>
      <c r="Z1503" s="13" t="s">
        <v>0</v>
      </c>
      <c r="AA1503" s="14"/>
      <c r="AB1503" s="13" t="s">
        <v>0</v>
      </c>
      <c r="AC1503" s="13" t="s">
        <v>0</v>
      </c>
      <c r="AD1503" s="13" t="s">
        <v>0</v>
      </c>
      <c r="AE1503" s="15">
        <v>0</v>
      </c>
    </row>
    <row r="1504" spans="1:31" ht="14.15" customHeight="1" x14ac:dyDescent="0.25">
      <c r="A1504" s="12" t="s">
        <v>0</v>
      </c>
      <c r="B1504" s="13" t="s">
        <v>1</v>
      </c>
      <c r="C1504" s="13" t="s">
        <v>2251</v>
      </c>
      <c r="D1504" s="14">
        <v>44215</v>
      </c>
      <c r="E1504" s="14">
        <v>44215</v>
      </c>
      <c r="F1504" s="14">
        <v>44222</v>
      </c>
      <c r="G1504" s="13" t="s">
        <v>3</v>
      </c>
      <c r="H1504" s="13" t="s">
        <v>4</v>
      </c>
      <c r="I1504" s="15">
        <v>-11086.17</v>
      </c>
      <c r="J1504" s="13" t="s">
        <v>5</v>
      </c>
      <c r="K1504" s="13" t="s">
        <v>6</v>
      </c>
      <c r="L1504" s="15">
        <v>-930683.99</v>
      </c>
      <c r="M1504" s="15">
        <v>-11086.17</v>
      </c>
      <c r="N1504" s="16" t="str">
        <f>IF(M1504="","",IF(M1504&lt;0,-M1504&amp;"_"&amp;COUNTIF(M$2:M1504,M1504),M1504&amp;"_"&amp;COUNTIF(M$2:M1504,M1504)))</f>
        <v>11086.17_1</v>
      </c>
      <c r="O1504" s="17" t="str">
        <f t="shared" si="23"/>
        <v/>
      </c>
      <c r="P1504" s="13" t="s">
        <v>2252</v>
      </c>
      <c r="Q1504" s="13" t="s">
        <v>2250</v>
      </c>
      <c r="R1504" s="13" t="s">
        <v>0</v>
      </c>
      <c r="S1504" s="13" t="s">
        <v>0</v>
      </c>
      <c r="T1504" s="13" t="s">
        <v>9</v>
      </c>
      <c r="U1504" s="13" t="s">
        <v>0</v>
      </c>
      <c r="V1504" s="13" t="s">
        <v>0</v>
      </c>
      <c r="W1504" s="13" t="s">
        <v>0</v>
      </c>
      <c r="X1504" s="13" t="s">
        <v>0</v>
      </c>
      <c r="Y1504" s="13" t="s">
        <v>10</v>
      </c>
      <c r="Z1504" s="13" t="s">
        <v>0</v>
      </c>
      <c r="AA1504" s="14"/>
      <c r="AB1504" s="13" t="s">
        <v>0</v>
      </c>
      <c r="AC1504" s="13" t="s">
        <v>0</v>
      </c>
      <c r="AD1504" s="13" t="s">
        <v>0</v>
      </c>
      <c r="AE1504" s="15">
        <v>0</v>
      </c>
    </row>
    <row r="1505" spans="1:31" ht="14.15" customHeight="1" x14ac:dyDescent="0.25">
      <c r="A1505" s="12" t="s">
        <v>0</v>
      </c>
      <c r="B1505" s="13" t="s">
        <v>1</v>
      </c>
      <c r="C1505" s="13" t="s">
        <v>86</v>
      </c>
      <c r="D1505" s="14">
        <v>44021</v>
      </c>
      <c r="E1505" s="14">
        <v>44021</v>
      </c>
      <c r="F1505" s="14">
        <v>44032</v>
      </c>
      <c r="G1505" s="13" t="s">
        <v>3</v>
      </c>
      <c r="H1505" s="13" t="s">
        <v>4</v>
      </c>
      <c r="I1505" s="15">
        <v>-11078.25</v>
      </c>
      <c r="J1505" s="13" t="s">
        <v>5</v>
      </c>
      <c r="K1505" s="13" t="s">
        <v>6</v>
      </c>
      <c r="L1505" s="15">
        <v>-930019.09</v>
      </c>
      <c r="M1505" s="15">
        <v>-11078.25</v>
      </c>
      <c r="N1505" s="16" t="str">
        <f>IF(M1505="","",IF(M1505&lt;0,-M1505&amp;"_"&amp;COUNTIF(M$2:M1505,M1505),M1505&amp;"_"&amp;COUNTIF(M$2:M1505,M1505)))</f>
        <v>11078.25_1</v>
      </c>
      <c r="O1505" s="17" t="str">
        <f t="shared" si="23"/>
        <v/>
      </c>
      <c r="P1505" s="13" t="s">
        <v>87</v>
      </c>
      <c r="Q1505" s="13" t="s">
        <v>85</v>
      </c>
      <c r="R1505" s="13" t="s">
        <v>0</v>
      </c>
      <c r="S1505" s="13" t="s">
        <v>0</v>
      </c>
      <c r="T1505" s="13" t="s">
        <v>9</v>
      </c>
      <c r="U1505" s="13" t="s">
        <v>0</v>
      </c>
      <c r="V1505" s="13" t="s">
        <v>0</v>
      </c>
      <c r="W1505" s="13" t="s">
        <v>0</v>
      </c>
      <c r="X1505" s="13" t="s">
        <v>0</v>
      </c>
      <c r="Y1505" s="13" t="s">
        <v>10</v>
      </c>
      <c r="Z1505" s="13" t="s">
        <v>0</v>
      </c>
      <c r="AA1505" s="14"/>
      <c r="AB1505" s="13" t="s">
        <v>0</v>
      </c>
      <c r="AC1505" s="13" t="s">
        <v>0</v>
      </c>
      <c r="AD1505" s="13" t="s">
        <v>0</v>
      </c>
      <c r="AE1505" s="15">
        <v>0</v>
      </c>
    </row>
    <row r="1506" spans="1:31" ht="14.15" customHeight="1" x14ac:dyDescent="0.25">
      <c r="A1506" s="12" t="s">
        <v>0</v>
      </c>
      <c r="B1506" s="13" t="s">
        <v>1</v>
      </c>
      <c r="C1506" s="13" t="s">
        <v>4033</v>
      </c>
      <c r="D1506" s="14">
        <v>44358</v>
      </c>
      <c r="E1506" s="14">
        <v>44358</v>
      </c>
      <c r="F1506" s="14">
        <v>44364</v>
      </c>
      <c r="G1506" s="13" t="s">
        <v>3</v>
      </c>
      <c r="H1506" s="13" t="s">
        <v>4</v>
      </c>
      <c r="I1506" s="15">
        <v>-11073.75</v>
      </c>
      <c r="J1506" s="13" t="s">
        <v>5</v>
      </c>
      <c r="K1506" s="13" t="s">
        <v>6</v>
      </c>
      <c r="L1506" s="15">
        <v>-929641.31</v>
      </c>
      <c r="M1506" s="15">
        <v>-11073.75</v>
      </c>
      <c r="N1506" s="16" t="str">
        <f>IF(M1506="","",IF(M1506&lt;0,-M1506&amp;"_"&amp;COUNTIF(M$2:M1506,M1506),M1506&amp;"_"&amp;COUNTIF(M$2:M1506,M1506)))</f>
        <v>11073.75_1</v>
      </c>
      <c r="O1506" s="17" t="str">
        <f t="shared" si="23"/>
        <v/>
      </c>
      <c r="P1506" s="13" t="s">
        <v>4034</v>
      </c>
      <c r="Q1506" s="13" t="s">
        <v>4006</v>
      </c>
      <c r="R1506" s="13" t="s">
        <v>0</v>
      </c>
      <c r="S1506" s="13" t="s">
        <v>0</v>
      </c>
      <c r="T1506" s="13" t="s">
        <v>9</v>
      </c>
      <c r="U1506" s="13" t="s">
        <v>0</v>
      </c>
      <c r="V1506" s="13" t="s">
        <v>0</v>
      </c>
      <c r="W1506" s="13" t="s">
        <v>0</v>
      </c>
      <c r="X1506" s="13" t="s">
        <v>0</v>
      </c>
      <c r="Y1506" s="13" t="s">
        <v>10</v>
      </c>
      <c r="Z1506" s="13" t="s">
        <v>0</v>
      </c>
      <c r="AA1506" s="14"/>
      <c r="AB1506" s="13" t="s">
        <v>0</v>
      </c>
      <c r="AC1506" s="13" t="s">
        <v>0</v>
      </c>
      <c r="AD1506" s="13" t="s">
        <v>0</v>
      </c>
      <c r="AE1506" s="15">
        <v>0</v>
      </c>
    </row>
    <row r="1507" spans="1:31" ht="14.15" customHeight="1" x14ac:dyDescent="0.25">
      <c r="A1507" s="12" t="s">
        <v>0</v>
      </c>
      <c r="B1507" s="13" t="s">
        <v>1</v>
      </c>
      <c r="C1507" s="13" t="s">
        <v>1688</v>
      </c>
      <c r="D1507" s="14">
        <v>44173</v>
      </c>
      <c r="E1507" s="14">
        <v>44173</v>
      </c>
      <c r="F1507" s="14">
        <v>44178</v>
      </c>
      <c r="G1507" s="13" t="s">
        <v>3</v>
      </c>
      <c r="H1507" s="13" t="s">
        <v>4</v>
      </c>
      <c r="I1507" s="15">
        <v>-11064.39</v>
      </c>
      <c r="J1507" s="13" t="s">
        <v>5</v>
      </c>
      <c r="K1507" s="13" t="s">
        <v>6</v>
      </c>
      <c r="L1507" s="15">
        <v>-928855.54</v>
      </c>
      <c r="M1507" s="15">
        <v>-11064.39</v>
      </c>
      <c r="N1507" s="16" t="str">
        <f>IF(M1507="","",IF(M1507&lt;0,-M1507&amp;"_"&amp;COUNTIF(M$2:M1507,M1507),M1507&amp;"_"&amp;COUNTIF(M$2:M1507,M1507)))</f>
        <v>11064.39_1</v>
      </c>
      <c r="O1507" s="17" t="str">
        <f t="shared" si="23"/>
        <v/>
      </c>
      <c r="P1507" s="13" t="s">
        <v>1689</v>
      </c>
      <c r="Q1507" s="13" t="s">
        <v>1687</v>
      </c>
      <c r="R1507" s="13" t="s">
        <v>0</v>
      </c>
      <c r="S1507" s="13" t="s">
        <v>0</v>
      </c>
      <c r="T1507" s="13" t="s">
        <v>9</v>
      </c>
      <c r="U1507" s="13" t="s">
        <v>0</v>
      </c>
      <c r="V1507" s="13" t="s">
        <v>0</v>
      </c>
      <c r="W1507" s="13" t="s">
        <v>0</v>
      </c>
      <c r="X1507" s="13" t="s">
        <v>0</v>
      </c>
      <c r="Y1507" s="13" t="s">
        <v>10</v>
      </c>
      <c r="Z1507" s="13" t="s">
        <v>0</v>
      </c>
      <c r="AA1507" s="14"/>
      <c r="AB1507" s="13" t="s">
        <v>0</v>
      </c>
      <c r="AC1507" s="13" t="s">
        <v>0</v>
      </c>
      <c r="AD1507" s="13" t="s">
        <v>0</v>
      </c>
      <c r="AE1507" s="15">
        <v>0</v>
      </c>
    </row>
    <row r="1508" spans="1:31" ht="14.15" customHeight="1" x14ac:dyDescent="0.25">
      <c r="A1508" s="12" t="s">
        <v>0</v>
      </c>
      <c r="B1508" s="13" t="s">
        <v>1</v>
      </c>
      <c r="C1508" s="13" t="s">
        <v>4351</v>
      </c>
      <c r="D1508" s="14">
        <v>44376</v>
      </c>
      <c r="E1508" s="14">
        <v>44376</v>
      </c>
      <c r="F1508" s="14">
        <v>44377</v>
      </c>
      <c r="G1508" s="13" t="s">
        <v>3</v>
      </c>
      <c r="H1508" s="13" t="s">
        <v>4</v>
      </c>
      <c r="I1508" s="15">
        <v>-11060.34</v>
      </c>
      <c r="J1508" s="13" t="s">
        <v>5</v>
      </c>
      <c r="K1508" s="13" t="s">
        <v>6</v>
      </c>
      <c r="L1508" s="15">
        <v>-928515.54</v>
      </c>
      <c r="M1508" s="15">
        <v>-11060.34</v>
      </c>
      <c r="N1508" s="16" t="str">
        <f>IF(M1508="","",IF(M1508&lt;0,-M1508&amp;"_"&amp;COUNTIF(M$2:M1508,M1508),M1508&amp;"_"&amp;COUNTIF(M$2:M1508,M1508)))</f>
        <v>11060.34_1</v>
      </c>
      <c r="O1508" s="17" t="str">
        <f t="shared" si="23"/>
        <v/>
      </c>
      <c r="P1508" s="13" t="s">
        <v>4352</v>
      </c>
      <c r="Q1508" s="13" t="s">
        <v>4350</v>
      </c>
      <c r="R1508" s="13" t="s">
        <v>0</v>
      </c>
      <c r="S1508" s="13" t="s">
        <v>0</v>
      </c>
      <c r="T1508" s="13" t="s">
        <v>9</v>
      </c>
      <c r="U1508" s="13" t="s">
        <v>0</v>
      </c>
      <c r="V1508" s="13" t="s">
        <v>0</v>
      </c>
      <c r="W1508" s="13" t="s">
        <v>0</v>
      </c>
      <c r="X1508" s="13" t="s">
        <v>0</v>
      </c>
      <c r="Y1508" s="13" t="s">
        <v>10</v>
      </c>
      <c r="Z1508" s="13" t="s">
        <v>0</v>
      </c>
      <c r="AA1508" s="14"/>
      <c r="AB1508" s="13" t="s">
        <v>0</v>
      </c>
      <c r="AC1508" s="13" t="s">
        <v>0</v>
      </c>
      <c r="AD1508" s="13" t="s">
        <v>0</v>
      </c>
      <c r="AE1508" s="15">
        <v>0</v>
      </c>
    </row>
    <row r="1509" spans="1:31" ht="14.15" customHeight="1" x14ac:dyDescent="0.25">
      <c r="A1509" s="12" t="s">
        <v>0</v>
      </c>
      <c r="B1509" s="13" t="s">
        <v>1</v>
      </c>
      <c r="C1509" s="13" t="s">
        <v>1884</v>
      </c>
      <c r="D1509" s="14">
        <v>44189</v>
      </c>
      <c r="E1509" s="14">
        <v>44189</v>
      </c>
      <c r="F1509" s="14">
        <v>44194</v>
      </c>
      <c r="G1509" s="13" t="s">
        <v>3</v>
      </c>
      <c r="H1509" s="13" t="s">
        <v>4</v>
      </c>
      <c r="I1509" s="15">
        <v>-11057.46</v>
      </c>
      <c r="J1509" s="13" t="s">
        <v>5</v>
      </c>
      <c r="K1509" s="13" t="s">
        <v>6</v>
      </c>
      <c r="L1509" s="15">
        <v>-928273.77</v>
      </c>
      <c r="M1509" s="15">
        <v>-11057.46</v>
      </c>
      <c r="N1509" s="16" t="str">
        <f>IF(M1509="","",IF(M1509&lt;0,-M1509&amp;"_"&amp;COUNTIF(M$2:M1509,M1509),M1509&amp;"_"&amp;COUNTIF(M$2:M1509,M1509)))</f>
        <v>11057.46_1</v>
      </c>
      <c r="O1509" s="17" t="str">
        <f t="shared" si="23"/>
        <v/>
      </c>
      <c r="P1509" s="13" t="s">
        <v>1885</v>
      </c>
      <c r="Q1509" s="13" t="s">
        <v>1886</v>
      </c>
      <c r="R1509" s="13" t="s">
        <v>0</v>
      </c>
      <c r="S1509" s="13" t="s">
        <v>0</v>
      </c>
      <c r="T1509" s="13" t="s">
        <v>9</v>
      </c>
      <c r="U1509" s="13" t="s">
        <v>0</v>
      </c>
      <c r="V1509" s="13" t="s">
        <v>0</v>
      </c>
      <c r="W1509" s="13" t="s">
        <v>0</v>
      </c>
      <c r="X1509" s="13" t="s">
        <v>0</v>
      </c>
      <c r="Y1509" s="13" t="s">
        <v>10</v>
      </c>
      <c r="Z1509" s="13" t="s">
        <v>0</v>
      </c>
      <c r="AA1509" s="14"/>
      <c r="AB1509" s="13" t="s">
        <v>0</v>
      </c>
      <c r="AC1509" s="13" t="s">
        <v>0</v>
      </c>
      <c r="AD1509" s="13" t="s">
        <v>0</v>
      </c>
      <c r="AE1509" s="15">
        <v>0</v>
      </c>
    </row>
    <row r="1510" spans="1:31" ht="14.15" customHeight="1" x14ac:dyDescent="0.25">
      <c r="A1510" s="12" t="s">
        <v>0</v>
      </c>
      <c r="B1510" s="13" t="s">
        <v>1</v>
      </c>
      <c r="C1510" s="13" t="s">
        <v>2998</v>
      </c>
      <c r="D1510" s="14">
        <v>44280</v>
      </c>
      <c r="E1510" s="14">
        <v>44280</v>
      </c>
      <c r="F1510" s="14">
        <v>44286</v>
      </c>
      <c r="G1510" s="13" t="s">
        <v>3</v>
      </c>
      <c r="H1510" s="13" t="s">
        <v>4</v>
      </c>
      <c r="I1510" s="15">
        <v>-11054.76</v>
      </c>
      <c r="J1510" s="13" t="s">
        <v>5</v>
      </c>
      <c r="K1510" s="13" t="s">
        <v>6</v>
      </c>
      <c r="L1510" s="15">
        <v>-928047.1</v>
      </c>
      <c r="M1510" s="15">
        <v>-11054.76</v>
      </c>
      <c r="N1510" s="16" t="str">
        <f>IF(M1510="","",IF(M1510&lt;0,-M1510&amp;"_"&amp;COUNTIF(M$2:M1510,M1510),M1510&amp;"_"&amp;COUNTIF(M$2:M1510,M1510)))</f>
        <v>11054.76_1</v>
      </c>
      <c r="O1510" s="17" t="str">
        <f t="shared" si="23"/>
        <v/>
      </c>
      <c r="P1510" s="13" t="s">
        <v>2999</v>
      </c>
      <c r="Q1510" s="13" t="s">
        <v>2989</v>
      </c>
      <c r="R1510" s="13" t="s">
        <v>0</v>
      </c>
      <c r="S1510" s="13" t="s">
        <v>0</v>
      </c>
      <c r="T1510" s="13" t="s">
        <v>9</v>
      </c>
      <c r="U1510" s="13" t="s">
        <v>0</v>
      </c>
      <c r="V1510" s="13" t="s">
        <v>0</v>
      </c>
      <c r="W1510" s="13" t="s">
        <v>0</v>
      </c>
      <c r="X1510" s="13" t="s">
        <v>0</v>
      </c>
      <c r="Y1510" s="13" t="s">
        <v>10</v>
      </c>
      <c r="Z1510" s="13" t="s">
        <v>0</v>
      </c>
      <c r="AA1510" s="14"/>
      <c r="AB1510" s="13" t="s">
        <v>0</v>
      </c>
      <c r="AC1510" s="13" t="s">
        <v>0</v>
      </c>
      <c r="AD1510" s="13" t="s">
        <v>0</v>
      </c>
      <c r="AE1510" s="15">
        <v>0</v>
      </c>
    </row>
    <row r="1511" spans="1:31" ht="14.15" customHeight="1" x14ac:dyDescent="0.25">
      <c r="A1511" s="12" t="s">
        <v>0</v>
      </c>
      <c r="B1511" s="13" t="s">
        <v>1</v>
      </c>
      <c r="C1511" s="13" t="s">
        <v>4088</v>
      </c>
      <c r="D1511" s="14">
        <v>44361</v>
      </c>
      <c r="E1511" s="14">
        <v>44361</v>
      </c>
      <c r="F1511" s="14">
        <v>44364</v>
      </c>
      <c r="G1511" s="13" t="s">
        <v>3</v>
      </c>
      <c r="H1511" s="13" t="s">
        <v>4</v>
      </c>
      <c r="I1511" s="15">
        <v>-11039.93</v>
      </c>
      <c r="J1511" s="13" t="s">
        <v>5</v>
      </c>
      <c r="K1511" s="13" t="s">
        <v>6</v>
      </c>
      <c r="L1511" s="15">
        <v>-926802.12</v>
      </c>
      <c r="M1511" s="15">
        <v>-11039.93</v>
      </c>
      <c r="N1511" s="16" t="str">
        <f>IF(M1511="","",IF(M1511&lt;0,-M1511&amp;"_"&amp;COUNTIF(M$2:M1511,M1511),M1511&amp;"_"&amp;COUNTIF(M$2:M1511,M1511)))</f>
        <v>11039.93_1</v>
      </c>
      <c r="O1511" s="17" t="str">
        <f t="shared" si="23"/>
        <v/>
      </c>
      <c r="P1511" s="13" t="s">
        <v>4089</v>
      </c>
      <c r="Q1511" s="13" t="s">
        <v>4075</v>
      </c>
      <c r="R1511" s="13" t="s">
        <v>0</v>
      </c>
      <c r="S1511" s="13" t="s">
        <v>0</v>
      </c>
      <c r="T1511" s="13" t="s">
        <v>9</v>
      </c>
      <c r="U1511" s="13" t="s">
        <v>0</v>
      </c>
      <c r="V1511" s="13" t="s">
        <v>0</v>
      </c>
      <c r="W1511" s="13" t="s">
        <v>0</v>
      </c>
      <c r="X1511" s="13" t="s">
        <v>0</v>
      </c>
      <c r="Y1511" s="13" t="s">
        <v>10</v>
      </c>
      <c r="Z1511" s="13" t="s">
        <v>0</v>
      </c>
      <c r="AA1511" s="14"/>
      <c r="AB1511" s="13" t="s">
        <v>0</v>
      </c>
      <c r="AC1511" s="13" t="s">
        <v>0</v>
      </c>
      <c r="AD1511" s="13" t="s">
        <v>0</v>
      </c>
      <c r="AE1511" s="15">
        <v>0</v>
      </c>
    </row>
    <row r="1512" spans="1:31" ht="14.15" customHeight="1" x14ac:dyDescent="0.25">
      <c r="A1512" s="12" t="s">
        <v>0</v>
      </c>
      <c r="B1512" s="13" t="s">
        <v>1</v>
      </c>
      <c r="C1512" s="13" t="s">
        <v>2177</v>
      </c>
      <c r="D1512" s="14">
        <v>44210</v>
      </c>
      <c r="E1512" s="14">
        <v>44210</v>
      </c>
      <c r="F1512" s="14">
        <v>44216</v>
      </c>
      <c r="G1512" s="13" t="s">
        <v>3</v>
      </c>
      <c r="H1512" s="13" t="s">
        <v>4</v>
      </c>
      <c r="I1512" s="15">
        <v>-11023.83</v>
      </c>
      <c r="J1512" s="13" t="s">
        <v>5</v>
      </c>
      <c r="K1512" s="13" t="s">
        <v>6</v>
      </c>
      <c r="L1512" s="15">
        <v>-925450.53</v>
      </c>
      <c r="M1512" s="15">
        <v>-11023.83</v>
      </c>
      <c r="N1512" s="16" t="str">
        <f>IF(M1512="","",IF(M1512&lt;0,-M1512&amp;"_"&amp;COUNTIF(M$2:M1512,M1512),M1512&amp;"_"&amp;COUNTIF(M$2:M1512,M1512)))</f>
        <v>11023.83_1</v>
      </c>
      <c r="O1512" s="17" t="str">
        <f t="shared" si="23"/>
        <v/>
      </c>
      <c r="P1512" s="13" t="s">
        <v>2178</v>
      </c>
      <c r="Q1512" s="13" t="s">
        <v>2176</v>
      </c>
      <c r="R1512" s="13" t="s">
        <v>0</v>
      </c>
      <c r="S1512" s="13" t="s">
        <v>0</v>
      </c>
      <c r="T1512" s="13" t="s">
        <v>9</v>
      </c>
      <c r="U1512" s="13" t="s">
        <v>0</v>
      </c>
      <c r="V1512" s="13" t="s">
        <v>0</v>
      </c>
      <c r="W1512" s="13" t="s">
        <v>0</v>
      </c>
      <c r="X1512" s="13" t="s">
        <v>0</v>
      </c>
      <c r="Y1512" s="13" t="s">
        <v>10</v>
      </c>
      <c r="Z1512" s="13" t="s">
        <v>0</v>
      </c>
      <c r="AA1512" s="14"/>
      <c r="AB1512" s="13" t="s">
        <v>0</v>
      </c>
      <c r="AC1512" s="13" t="s">
        <v>0</v>
      </c>
      <c r="AD1512" s="13" t="s">
        <v>0</v>
      </c>
      <c r="AE1512" s="15">
        <v>0</v>
      </c>
    </row>
    <row r="1513" spans="1:31" ht="14.15" customHeight="1" x14ac:dyDescent="0.25">
      <c r="A1513" s="12" t="s">
        <v>0</v>
      </c>
      <c r="B1513" s="13" t="s">
        <v>1</v>
      </c>
      <c r="C1513" s="13" t="s">
        <v>3183</v>
      </c>
      <c r="D1513" s="14">
        <v>44299</v>
      </c>
      <c r="E1513" s="14">
        <v>44299</v>
      </c>
      <c r="F1513" s="14">
        <v>44308</v>
      </c>
      <c r="G1513" s="13" t="s">
        <v>3</v>
      </c>
      <c r="H1513" s="13" t="s">
        <v>4</v>
      </c>
      <c r="I1513" s="15">
        <v>-11012.35</v>
      </c>
      <c r="J1513" s="13" t="s">
        <v>5</v>
      </c>
      <c r="K1513" s="13" t="s">
        <v>6</v>
      </c>
      <c r="L1513" s="15">
        <v>-924486.78</v>
      </c>
      <c r="M1513" s="15">
        <v>-11012.35</v>
      </c>
      <c r="N1513" s="16" t="str">
        <f>IF(M1513="","",IF(M1513&lt;0,-M1513&amp;"_"&amp;COUNTIF(M$2:M1513,M1513),M1513&amp;"_"&amp;COUNTIF(M$2:M1513,M1513)))</f>
        <v>11012.35_1</v>
      </c>
      <c r="O1513" s="17" t="str">
        <f t="shared" si="23"/>
        <v/>
      </c>
      <c r="P1513" s="13" t="s">
        <v>3184</v>
      </c>
      <c r="Q1513" s="13" t="s">
        <v>3170</v>
      </c>
      <c r="R1513" s="13" t="s">
        <v>0</v>
      </c>
      <c r="S1513" s="13" t="s">
        <v>0</v>
      </c>
      <c r="T1513" s="13" t="s">
        <v>9</v>
      </c>
      <c r="U1513" s="13" t="s">
        <v>0</v>
      </c>
      <c r="V1513" s="13" t="s">
        <v>0</v>
      </c>
      <c r="W1513" s="13" t="s">
        <v>0</v>
      </c>
      <c r="X1513" s="13" t="s">
        <v>0</v>
      </c>
      <c r="Y1513" s="13" t="s">
        <v>10</v>
      </c>
      <c r="Z1513" s="13" t="s">
        <v>0</v>
      </c>
      <c r="AA1513" s="14"/>
      <c r="AB1513" s="13" t="s">
        <v>0</v>
      </c>
      <c r="AC1513" s="13" t="s">
        <v>0</v>
      </c>
      <c r="AD1513" s="13" t="s">
        <v>0</v>
      </c>
      <c r="AE1513" s="15">
        <v>0</v>
      </c>
    </row>
    <row r="1514" spans="1:31" ht="14.15" customHeight="1" x14ac:dyDescent="0.25">
      <c r="A1514" s="12" t="s">
        <v>0</v>
      </c>
      <c r="B1514" s="13" t="s">
        <v>1</v>
      </c>
      <c r="C1514" s="13" t="s">
        <v>1285</v>
      </c>
      <c r="D1514" s="14">
        <v>44146</v>
      </c>
      <c r="E1514" s="14">
        <v>44146</v>
      </c>
      <c r="F1514" s="14">
        <v>44151</v>
      </c>
      <c r="G1514" s="13" t="s">
        <v>3</v>
      </c>
      <c r="H1514" s="13" t="s">
        <v>4</v>
      </c>
      <c r="I1514" s="15">
        <v>-10999.82</v>
      </c>
      <c r="J1514" s="13" t="s">
        <v>5</v>
      </c>
      <c r="K1514" s="13" t="s">
        <v>6</v>
      </c>
      <c r="L1514" s="15">
        <v>-923434.89</v>
      </c>
      <c r="M1514" s="15">
        <v>-10999.82</v>
      </c>
      <c r="N1514" s="16" t="str">
        <f>IF(M1514="","",IF(M1514&lt;0,-M1514&amp;"_"&amp;COUNTIF(M$2:M1514,M1514),M1514&amp;"_"&amp;COUNTIF(M$2:M1514,M1514)))</f>
        <v>10999.82_1</v>
      </c>
      <c r="O1514" s="17" t="str">
        <f t="shared" si="23"/>
        <v/>
      </c>
      <c r="P1514" s="13" t="s">
        <v>1286</v>
      </c>
      <c r="Q1514" s="13" t="s">
        <v>1282</v>
      </c>
      <c r="R1514" s="13" t="s">
        <v>0</v>
      </c>
      <c r="S1514" s="13" t="s">
        <v>0</v>
      </c>
      <c r="T1514" s="13" t="s">
        <v>9</v>
      </c>
      <c r="U1514" s="13" t="s">
        <v>0</v>
      </c>
      <c r="V1514" s="13" t="s">
        <v>0</v>
      </c>
      <c r="W1514" s="13" t="s">
        <v>0</v>
      </c>
      <c r="X1514" s="13" t="s">
        <v>0</v>
      </c>
      <c r="Y1514" s="13" t="s">
        <v>10</v>
      </c>
      <c r="Z1514" s="13" t="s">
        <v>0</v>
      </c>
      <c r="AA1514" s="14"/>
      <c r="AB1514" s="13" t="s">
        <v>0</v>
      </c>
      <c r="AC1514" s="13" t="s">
        <v>0</v>
      </c>
      <c r="AD1514" s="13" t="s">
        <v>0</v>
      </c>
      <c r="AE1514" s="15">
        <v>0</v>
      </c>
    </row>
    <row r="1515" spans="1:31" ht="14.15" customHeight="1" x14ac:dyDescent="0.25">
      <c r="A1515" s="12" t="s">
        <v>0</v>
      </c>
      <c r="B1515" s="13" t="s">
        <v>1</v>
      </c>
      <c r="C1515" s="13" t="s">
        <v>4045</v>
      </c>
      <c r="D1515" s="14">
        <v>44358</v>
      </c>
      <c r="E1515" s="14">
        <v>44358</v>
      </c>
      <c r="F1515" s="14">
        <v>44364</v>
      </c>
      <c r="G1515" s="13" t="s">
        <v>3</v>
      </c>
      <c r="H1515" s="13" t="s">
        <v>4</v>
      </c>
      <c r="I1515" s="15">
        <v>-10981.69</v>
      </c>
      <c r="J1515" s="13" t="s">
        <v>5</v>
      </c>
      <c r="K1515" s="13" t="s">
        <v>6</v>
      </c>
      <c r="L1515" s="15">
        <v>-921912.88</v>
      </c>
      <c r="M1515" s="15">
        <v>-10981.69</v>
      </c>
      <c r="N1515" s="16" t="str">
        <f>IF(M1515="","",IF(M1515&lt;0,-M1515&amp;"_"&amp;COUNTIF(M$2:M1515,M1515),M1515&amp;"_"&amp;COUNTIF(M$2:M1515,M1515)))</f>
        <v>10981.69_1</v>
      </c>
      <c r="O1515" s="17" t="str">
        <f t="shared" si="23"/>
        <v/>
      </c>
      <c r="P1515" s="13" t="s">
        <v>4046</v>
      </c>
      <c r="Q1515" s="13" t="s">
        <v>4006</v>
      </c>
      <c r="R1515" s="13" t="s">
        <v>0</v>
      </c>
      <c r="S1515" s="13" t="s">
        <v>0</v>
      </c>
      <c r="T1515" s="13" t="s">
        <v>9</v>
      </c>
      <c r="U1515" s="13" t="s">
        <v>0</v>
      </c>
      <c r="V1515" s="13" t="s">
        <v>0</v>
      </c>
      <c r="W1515" s="13" t="s">
        <v>0</v>
      </c>
      <c r="X1515" s="13" t="s">
        <v>0</v>
      </c>
      <c r="Y1515" s="13" t="s">
        <v>10</v>
      </c>
      <c r="Z1515" s="13" t="s">
        <v>0</v>
      </c>
      <c r="AA1515" s="14"/>
      <c r="AB1515" s="13" t="s">
        <v>0</v>
      </c>
      <c r="AC1515" s="13" t="s">
        <v>0</v>
      </c>
      <c r="AD1515" s="13" t="s">
        <v>0</v>
      </c>
      <c r="AE1515" s="15">
        <v>0</v>
      </c>
    </row>
    <row r="1516" spans="1:31" ht="14.15" customHeight="1" x14ac:dyDescent="0.25">
      <c r="A1516" s="12" t="s">
        <v>0</v>
      </c>
      <c r="B1516" s="13" t="s">
        <v>1</v>
      </c>
      <c r="C1516" s="13" t="s">
        <v>3021</v>
      </c>
      <c r="D1516" s="14">
        <v>44281</v>
      </c>
      <c r="E1516" s="14">
        <v>44281</v>
      </c>
      <c r="F1516" s="14">
        <v>44287</v>
      </c>
      <c r="G1516" s="13" t="s">
        <v>3</v>
      </c>
      <c r="H1516" s="13" t="s">
        <v>4</v>
      </c>
      <c r="I1516" s="15">
        <v>-10973.8</v>
      </c>
      <c r="J1516" s="13" t="s">
        <v>5</v>
      </c>
      <c r="K1516" s="13" t="s">
        <v>6</v>
      </c>
      <c r="L1516" s="15">
        <v>-921250.51</v>
      </c>
      <c r="M1516" s="15">
        <v>-10973.8</v>
      </c>
      <c r="N1516" s="16" t="str">
        <f>IF(M1516="","",IF(M1516&lt;0,-M1516&amp;"_"&amp;COUNTIF(M$2:M1516,M1516),M1516&amp;"_"&amp;COUNTIF(M$2:M1516,M1516)))</f>
        <v>10973.8_1</v>
      </c>
      <c r="O1516" s="17" t="str">
        <f t="shared" si="23"/>
        <v/>
      </c>
      <c r="P1516" s="13" t="s">
        <v>3022</v>
      </c>
      <c r="Q1516" s="13" t="s">
        <v>3014</v>
      </c>
      <c r="R1516" s="13" t="s">
        <v>0</v>
      </c>
      <c r="S1516" s="13" t="s">
        <v>0</v>
      </c>
      <c r="T1516" s="13" t="s">
        <v>9</v>
      </c>
      <c r="U1516" s="13" t="s">
        <v>0</v>
      </c>
      <c r="V1516" s="13" t="s">
        <v>0</v>
      </c>
      <c r="W1516" s="13" t="s">
        <v>0</v>
      </c>
      <c r="X1516" s="13" t="s">
        <v>0</v>
      </c>
      <c r="Y1516" s="13" t="s">
        <v>10</v>
      </c>
      <c r="Z1516" s="13" t="s">
        <v>0</v>
      </c>
      <c r="AA1516" s="14"/>
      <c r="AB1516" s="13" t="s">
        <v>0</v>
      </c>
      <c r="AC1516" s="13" t="s">
        <v>0</v>
      </c>
      <c r="AD1516" s="13" t="s">
        <v>0</v>
      </c>
      <c r="AE1516" s="15">
        <v>0</v>
      </c>
    </row>
    <row r="1517" spans="1:31" ht="14.15" customHeight="1" x14ac:dyDescent="0.25">
      <c r="A1517" s="12" t="s">
        <v>0</v>
      </c>
      <c r="B1517" s="13" t="s">
        <v>1</v>
      </c>
      <c r="C1517" s="13" t="s">
        <v>2114</v>
      </c>
      <c r="D1517" s="14">
        <v>44201</v>
      </c>
      <c r="E1517" s="14">
        <v>44201</v>
      </c>
      <c r="F1517" s="14">
        <v>44206</v>
      </c>
      <c r="G1517" s="13" t="s">
        <v>3</v>
      </c>
      <c r="H1517" s="13" t="s">
        <v>4</v>
      </c>
      <c r="I1517" s="15">
        <v>-10950.1</v>
      </c>
      <c r="J1517" s="13" t="s">
        <v>5</v>
      </c>
      <c r="K1517" s="13" t="s">
        <v>6</v>
      </c>
      <c r="L1517" s="15">
        <v>-919260.89</v>
      </c>
      <c r="M1517" s="15">
        <v>-10950.1</v>
      </c>
      <c r="N1517" s="16" t="str">
        <f>IF(M1517="","",IF(M1517&lt;0,-M1517&amp;"_"&amp;COUNTIF(M$2:M1517,M1517),M1517&amp;"_"&amp;COUNTIF(M$2:M1517,M1517)))</f>
        <v>10950.1_1</v>
      </c>
      <c r="O1517" s="17" t="str">
        <f t="shared" si="23"/>
        <v/>
      </c>
      <c r="P1517" s="13" t="s">
        <v>2115</v>
      </c>
      <c r="Q1517" s="13" t="s">
        <v>2116</v>
      </c>
      <c r="R1517" s="13" t="s">
        <v>0</v>
      </c>
      <c r="S1517" s="13" t="s">
        <v>0</v>
      </c>
      <c r="T1517" s="13" t="s">
        <v>9</v>
      </c>
      <c r="U1517" s="13" t="s">
        <v>0</v>
      </c>
      <c r="V1517" s="13" t="s">
        <v>0</v>
      </c>
      <c r="W1517" s="13" t="s">
        <v>0</v>
      </c>
      <c r="X1517" s="13" t="s">
        <v>0</v>
      </c>
      <c r="Y1517" s="13" t="s">
        <v>10</v>
      </c>
      <c r="Z1517" s="13" t="s">
        <v>0</v>
      </c>
      <c r="AA1517" s="14"/>
      <c r="AB1517" s="13" t="s">
        <v>0</v>
      </c>
      <c r="AC1517" s="13" t="s">
        <v>0</v>
      </c>
      <c r="AD1517" s="13" t="s">
        <v>0</v>
      </c>
      <c r="AE1517" s="15">
        <v>0</v>
      </c>
    </row>
    <row r="1518" spans="1:31" ht="14.15" customHeight="1" x14ac:dyDescent="0.25">
      <c r="A1518" s="12" t="s">
        <v>0</v>
      </c>
      <c r="B1518" s="13" t="s">
        <v>1</v>
      </c>
      <c r="C1518" s="13" t="s">
        <v>2278</v>
      </c>
      <c r="D1518" s="14">
        <v>44218</v>
      </c>
      <c r="E1518" s="14">
        <v>44218</v>
      </c>
      <c r="F1518" s="14">
        <v>44229</v>
      </c>
      <c r="G1518" s="13" t="s">
        <v>3</v>
      </c>
      <c r="H1518" s="13" t="s">
        <v>4</v>
      </c>
      <c r="I1518" s="15">
        <v>-10937.26</v>
      </c>
      <c r="J1518" s="13" t="s">
        <v>5</v>
      </c>
      <c r="K1518" s="13" t="s">
        <v>6</v>
      </c>
      <c r="L1518" s="15">
        <v>-918182.98</v>
      </c>
      <c r="M1518" s="15">
        <v>-10937.26</v>
      </c>
      <c r="N1518" s="16" t="str">
        <f>IF(M1518="","",IF(M1518&lt;0,-M1518&amp;"_"&amp;COUNTIF(M$2:M1518,M1518),M1518&amp;"_"&amp;COUNTIF(M$2:M1518,M1518)))</f>
        <v>10937.26_1</v>
      </c>
      <c r="O1518" s="17" t="str">
        <f t="shared" si="23"/>
        <v/>
      </c>
      <c r="P1518" s="13" t="s">
        <v>2279</v>
      </c>
      <c r="Q1518" s="13" t="s">
        <v>2274</v>
      </c>
      <c r="R1518" s="13" t="s">
        <v>0</v>
      </c>
      <c r="S1518" s="13" t="s">
        <v>0</v>
      </c>
      <c r="T1518" s="13" t="s">
        <v>9</v>
      </c>
      <c r="U1518" s="13" t="s">
        <v>0</v>
      </c>
      <c r="V1518" s="13" t="s">
        <v>0</v>
      </c>
      <c r="W1518" s="13" t="s">
        <v>0</v>
      </c>
      <c r="X1518" s="13" t="s">
        <v>0</v>
      </c>
      <c r="Y1518" s="13" t="s">
        <v>10</v>
      </c>
      <c r="Z1518" s="13" t="s">
        <v>0</v>
      </c>
      <c r="AA1518" s="14"/>
      <c r="AB1518" s="13" t="s">
        <v>0</v>
      </c>
      <c r="AC1518" s="13" t="s">
        <v>0</v>
      </c>
      <c r="AD1518" s="13" t="s">
        <v>0</v>
      </c>
      <c r="AE1518" s="15">
        <v>0</v>
      </c>
    </row>
    <row r="1519" spans="1:31" ht="14.15" customHeight="1" x14ac:dyDescent="0.25">
      <c r="A1519" s="12" t="s">
        <v>0</v>
      </c>
      <c r="B1519" s="13" t="s">
        <v>1</v>
      </c>
      <c r="C1519" s="13" t="s">
        <v>1967</v>
      </c>
      <c r="D1519" s="14">
        <v>44195</v>
      </c>
      <c r="E1519" s="14">
        <v>44195</v>
      </c>
      <c r="F1519" s="14">
        <v>44202</v>
      </c>
      <c r="G1519" s="13" t="s">
        <v>3</v>
      </c>
      <c r="H1519" s="13" t="s">
        <v>4</v>
      </c>
      <c r="I1519" s="15">
        <v>-10936.56</v>
      </c>
      <c r="J1519" s="13" t="s">
        <v>5</v>
      </c>
      <c r="K1519" s="13" t="s">
        <v>6</v>
      </c>
      <c r="L1519" s="15">
        <v>-918124.21</v>
      </c>
      <c r="M1519" s="15">
        <v>-10936.56</v>
      </c>
      <c r="N1519" s="16" t="str">
        <f>IF(M1519="","",IF(M1519&lt;0,-M1519&amp;"_"&amp;COUNTIF(M$2:M1519,M1519),M1519&amp;"_"&amp;COUNTIF(M$2:M1519,M1519)))</f>
        <v>10936.56_1</v>
      </c>
      <c r="O1519" s="17" t="str">
        <f t="shared" si="23"/>
        <v/>
      </c>
      <c r="P1519" s="13" t="s">
        <v>1968</v>
      </c>
      <c r="Q1519" s="13" t="s">
        <v>1956</v>
      </c>
      <c r="R1519" s="13" t="s">
        <v>0</v>
      </c>
      <c r="S1519" s="13" t="s">
        <v>0</v>
      </c>
      <c r="T1519" s="13" t="s">
        <v>9</v>
      </c>
      <c r="U1519" s="13" t="s">
        <v>0</v>
      </c>
      <c r="V1519" s="13" t="s">
        <v>0</v>
      </c>
      <c r="W1519" s="13" t="s">
        <v>0</v>
      </c>
      <c r="X1519" s="13" t="s">
        <v>0</v>
      </c>
      <c r="Y1519" s="13" t="s">
        <v>10</v>
      </c>
      <c r="Z1519" s="13" t="s">
        <v>0</v>
      </c>
      <c r="AA1519" s="14"/>
      <c r="AB1519" s="13" t="s">
        <v>0</v>
      </c>
      <c r="AC1519" s="13" t="s">
        <v>0</v>
      </c>
      <c r="AD1519" s="13" t="s">
        <v>0</v>
      </c>
      <c r="AE1519" s="15">
        <v>0</v>
      </c>
    </row>
    <row r="1520" spans="1:31" ht="14.15" customHeight="1" x14ac:dyDescent="0.25">
      <c r="A1520" s="12" t="s">
        <v>0</v>
      </c>
      <c r="B1520" s="13" t="s">
        <v>1</v>
      </c>
      <c r="C1520" s="13" t="s">
        <v>620</v>
      </c>
      <c r="D1520" s="14">
        <v>44082</v>
      </c>
      <c r="E1520" s="14">
        <v>44082</v>
      </c>
      <c r="F1520" s="14">
        <v>44104</v>
      </c>
      <c r="G1520" s="13" t="s">
        <v>3</v>
      </c>
      <c r="H1520" s="13" t="s">
        <v>4</v>
      </c>
      <c r="I1520" s="15">
        <v>-10928.96</v>
      </c>
      <c r="J1520" s="13" t="s">
        <v>5</v>
      </c>
      <c r="K1520" s="13" t="s">
        <v>6</v>
      </c>
      <c r="L1520" s="15">
        <v>-917486.19</v>
      </c>
      <c r="M1520" s="15">
        <v>-10928.96</v>
      </c>
      <c r="N1520" s="16" t="str">
        <f>IF(M1520="","",IF(M1520&lt;0,-M1520&amp;"_"&amp;COUNTIF(M$2:M1520,M1520),M1520&amp;"_"&amp;COUNTIF(M$2:M1520,M1520)))</f>
        <v>10928.96_1</v>
      </c>
      <c r="O1520" s="17" t="str">
        <f t="shared" si="23"/>
        <v/>
      </c>
      <c r="P1520" s="13" t="s">
        <v>621</v>
      </c>
      <c r="Q1520" s="13" t="s">
        <v>603</v>
      </c>
      <c r="R1520" s="13" t="s">
        <v>0</v>
      </c>
      <c r="S1520" s="13" t="s">
        <v>0</v>
      </c>
      <c r="T1520" s="13" t="s">
        <v>9</v>
      </c>
      <c r="U1520" s="13" t="s">
        <v>0</v>
      </c>
      <c r="V1520" s="13" t="s">
        <v>0</v>
      </c>
      <c r="W1520" s="13" t="s">
        <v>0</v>
      </c>
      <c r="X1520" s="13" t="s">
        <v>0</v>
      </c>
      <c r="Y1520" s="13" t="s">
        <v>10</v>
      </c>
      <c r="Z1520" s="13" t="s">
        <v>0</v>
      </c>
      <c r="AA1520" s="14"/>
      <c r="AB1520" s="13" t="s">
        <v>0</v>
      </c>
      <c r="AC1520" s="13" t="s">
        <v>0</v>
      </c>
      <c r="AD1520" s="13" t="s">
        <v>0</v>
      </c>
      <c r="AE1520" s="15">
        <v>0</v>
      </c>
    </row>
    <row r="1521" spans="1:31" ht="14.15" customHeight="1" x14ac:dyDescent="0.25">
      <c r="A1521" s="12" t="s">
        <v>0</v>
      </c>
      <c r="B1521" s="13" t="s">
        <v>1</v>
      </c>
      <c r="C1521" s="13" t="s">
        <v>1819</v>
      </c>
      <c r="D1521" s="14">
        <v>44183</v>
      </c>
      <c r="E1521" s="14">
        <v>44183</v>
      </c>
      <c r="F1521" s="14">
        <v>44188</v>
      </c>
      <c r="G1521" s="13" t="s">
        <v>3</v>
      </c>
      <c r="H1521" s="13" t="s">
        <v>4</v>
      </c>
      <c r="I1521" s="15">
        <v>-10883.07</v>
      </c>
      <c r="J1521" s="13" t="s">
        <v>5</v>
      </c>
      <c r="K1521" s="13" t="s">
        <v>6</v>
      </c>
      <c r="L1521" s="15">
        <v>-913633.73</v>
      </c>
      <c r="M1521" s="15">
        <v>-10883.07</v>
      </c>
      <c r="N1521" s="16" t="str">
        <f>IF(M1521="","",IF(M1521&lt;0,-M1521&amp;"_"&amp;COUNTIF(M$2:M1521,M1521),M1521&amp;"_"&amp;COUNTIF(M$2:M1521,M1521)))</f>
        <v>10883.07_1</v>
      </c>
      <c r="O1521" s="17" t="str">
        <f t="shared" si="23"/>
        <v/>
      </c>
      <c r="P1521" s="13" t="s">
        <v>1820</v>
      </c>
      <c r="Q1521" s="13" t="s">
        <v>1792</v>
      </c>
      <c r="R1521" s="13" t="s">
        <v>0</v>
      </c>
      <c r="S1521" s="13" t="s">
        <v>0</v>
      </c>
      <c r="T1521" s="13" t="s">
        <v>9</v>
      </c>
      <c r="U1521" s="13" t="s">
        <v>0</v>
      </c>
      <c r="V1521" s="13" t="s">
        <v>0</v>
      </c>
      <c r="W1521" s="13" t="s">
        <v>0</v>
      </c>
      <c r="X1521" s="13" t="s">
        <v>0</v>
      </c>
      <c r="Y1521" s="13" t="s">
        <v>10</v>
      </c>
      <c r="Z1521" s="13" t="s">
        <v>0</v>
      </c>
      <c r="AA1521" s="14"/>
      <c r="AB1521" s="13" t="s">
        <v>0</v>
      </c>
      <c r="AC1521" s="13" t="s">
        <v>0</v>
      </c>
      <c r="AD1521" s="13" t="s">
        <v>0</v>
      </c>
      <c r="AE1521" s="15">
        <v>0</v>
      </c>
    </row>
    <row r="1522" spans="1:31" ht="14.15" customHeight="1" x14ac:dyDescent="0.25">
      <c r="A1522" s="12" t="s">
        <v>0</v>
      </c>
      <c r="B1522" s="13" t="s">
        <v>1</v>
      </c>
      <c r="C1522" s="13" t="s">
        <v>2524</v>
      </c>
      <c r="D1522" s="14">
        <v>44237</v>
      </c>
      <c r="E1522" s="14">
        <v>44237</v>
      </c>
      <c r="F1522" s="14">
        <v>44249</v>
      </c>
      <c r="G1522" s="13" t="s">
        <v>3</v>
      </c>
      <c r="H1522" s="13" t="s">
        <v>4</v>
      </c>
      <c r="I1522" s="15">
        <v>-10880.53</v>
      </c>
      <c r="J1522" s="13" t="s">
        <v>5</v>
      </c>
      <c r="K1522" s="13" t="s">
        <v>6</v>
      </c>
      <c r="L1522" s="15">
        <v>-913420.49</v>
      </c>
      <c r="M1522" s="15">
        <v>-10880.53</v>
      </c>
      <c r="N1522" s="16" t="str">
        <f>IF(M1522="","",IF(M1522&lt;0,-M1522&amp;"_"&amp;COUNTIF(M$2:M1522,M1522),M1522&amp;"_"&amp;COUNTIF(M$2:M1522,M1522)))</f>
        <v>10880.53_1</v>
      </c>
      <c r="O1522" s="17" t="str">
        <f t="shared" si="23"/>
        <v/>
      </c>
      <c r="P1522" s="13" t="s">
        <v>2525</v>
      </c>
      <c r="Q1522" s="13" t="s">
        <v>2517</v>
      </c>
      <c r="R1522" s="13" t="s">
        <v>0</v>
      </c>
      <c r="S1522" s="13" t="s">
        <v>0</v>
      </c>
      <c r="T1522" s="13" t="s">
        <v>9</v>
      </c>
      <c r="U1522" s="13" t="s">
        <v>0</v>
      </c>
      <c r="V1522" s="13" t="s">
        <v>0</v>
      </c>
      <c r="W1522" s="13" t="s">
        <v>0</v>
      </c>
      <c r="X1522" s="13" t="s">
        <v>0</v>
      </c>
      <c r="Y1522" s="13" t="s">
        <v>10</v>
      </c>
      <c r="Z1522" s="13" t="s">
        <v>0</v>
      </c>
      <c r="AA1522" s="14"/>
      <c r="AB1522" s="13" t="s">
        <v>0</v>
      </c>
      <c r="AC1522" s="13" t="s">
        <v>0</v>
      </c>
      <c r="AD1522" s="13" t="s">
        <v>0</v>
      </c>
      <c r="AE1522" s="15">
        <v>0</v>
      </c>
    </row>
    <row r="1523" spans="1:31" ht="14.15" customHeight="1" x14ac:dyDescent="0.25">
      <c r="A1523" s="12" t="s">
        <v>0</v>
      </c>
      <c r="B1523" s="13" t="s">
        <v>1</v>
      </c>
      <c r="C1523" s="13" t="s">
        <v>2166</v>
      </c>
      <c r="D1523" s="14">
        <v>44209</v>
      </c>
      <c r="E1523" s="14">
        <v>44209</v>
      </c>
      <c r="F1523" s="14">
        <v>44219</v>
      </c>
      <c r="G1523" s="13" t="s">
        <v>3</v>
      </c>
      <c r="H1523" s="13" t="s">
        <v>4</v>
      </c>
      <c r="I1523" s="15">
        <v>-10871.41</v>
      </c>
      <c r="J1523" s="13" t="s">
        <v>5</v>
      </c>
      <c r="K1523" s="13" t="s">
        <v>6</v>
      </c>
      <c r="L1523" s="15">
        <v>-912654.87</v>
      </c>
      <c r="M1523" s="15">
        <v>-10871.41</v>
      </c>
      <c r="N1523" s="16" t="str">
        <f>IF(M1523="","",IF(M1523&lt;0,-M1523&amp;"_"&amp;COUNTIF(M$2:M1523,M1523),M1523&amp;"_"&amp;COUNTIF(M$2:M1523,M1523)))</f>
        <v>10871.41_1</v>
      </c>
      <c r="O1523" s="17" t="str">
        <f t="shared" si="23"/>
        <v/>
      </c>
      <c r="P1523" s="13" t="s">
        <v>2167</v>
      </c>
      <c r="Q1523" s="13" t="s">
        <v>2159</v>
      </c>
      <c r="R1523" s="13" t="s">
        <v>0</v>
      </c>
      <c r="S1523" s="13" t="s">
        <v>0</v>
      </c>
      <c r="T1523" s="13" t="s">
        <v>9</v>
      </c>
      <c r="U1523" s="13" t="s">
        <v>0</v>
      </c>
      <c r="V1523" s="13" t="s">
        <v>0</v>
      </c>
      <c r="W1523" s="13" t="s">
        <v>0</v>
      </c>
      <c r="X1523" s="13" t="s">
        <v>0</v>
      </c>
      <c r="Y1523" s="13" t="s">
        <v>10</v>
      </c>
      <c r="Z1523" s="13" t="s">
        <v>0</v>
      </c>
      <c r="AA1523" s="14"/>
      <c r="AB1523" s="13" t="s">
        <v>0</v>
      </c>
      <c r="AC1523" s="13" t="s">
        <v>0</v>
      </c>
      <c r="AD1523" s="13" t="s">
        <v>0</v>
      </c>
      <c r="AE1523" s="15">
        <v>0</v>
      </c>
    </row>
    <row r="1524" spans="1:31" ht="14.15" customHeight="1" x14ac:dyDescent="0.25">
      <c r="A1524" s="12" t="s">
        <v>0</v>
      </c>
      <c r="B1524" s="13" t="s">
        <v>1</v>
      </c>
      <c r="C1524" s="13" t="s">
        <v>1685</v>
      </c>
      <c r="D1524" s="14">
        <v>44173</v>
      </c>
      <c r="E1524" s="14">
        <v>44173</v>
      </c>
      <c r="F1524" s="14">
        <v>44178</v>
      </c>
      <c r="G1524" s="13" t="s">
        <v>3</v>
      </c>
      <c r="H1524" s="13" t="s">
        <v>4</v>
      </c>
      <c r="I1524" s="15">
        <v>-10851.34</v>
      </c>
      <c r="J1524" s="13" t="s">
        <v>5</v>
      </c>
      <c r="K1524" s="13" t="s">
        <v>6</v>
      </c>
      <c r="L1524" s="15">
        <v>-910969.99</v>
      </c>
      <c r="M1524" s="15">
        <v>-10851.34</v>
      </c>
      <c r="N1524" s="16" t="str">
        <f>IF(M1524="","",IF(M1524&lt;0,-M1524&amp;"_"&amp;COUNTIF(M$2:M1524,M1524),M1524&amp;"_"&amp;COUNTIF(M$2:M1524,M1524)))</f>
        <v>10851.34_1</v>
      </c>
      <c r="O1524" s="17" t="str">
        <f t="shared" si="23"/>
        <v/>
      </c>
      <c r="P1524" s="13" t="s">
        <v>1686</v>
      </c>
      <c r="Q1524" s="13" t="s">
        <v>1687</v>
      </c>
      <c r="R1524" s="13" t="s">
        <v>0</v>
      </c>
      <c r="S1524" s="13" t="s">
        <v>0</v>
      </c>
      <c r="T1524" s="13" t="s">
        <v>9</v>
      </c>
      <c r="U1524" s="13" t="s">
        <v>0</v>
      </c>
      <c r="V1524" s="13" t="s">
        <v>0</v>
      </c>
      <c r="W1524" s="13" t="s">
        <v>0</v>
      </c>
      <c r="X1524" s="13" t="s">
        <v>0</v>
      </c>
      <c r="Y1524" s="13" t="s">
        <v>10</v>
      </c>
      <c r="Z1524" s="13" t="s">
        <v>0</v>
      </c>
      <c r="AA1524" s="14"/>
      <c r="AB1524" s="13" t="s">
        <v>0</v>
      </c>
      <c r="AC1524" s="13" t="s">
        <v>0</v>
      </c>
      <c r="AD1524" s="13" t="s">
        <v>0</v>
      </c>
      <c r="AE1524" s="15">
        <v>0</v>
      </c>
    </row>
    <row r="1525" spans="1:31" ht="14.15" customHeight="1" x14ac:dyDescent="0.25">
      <c r="A1525" s="12" t="s">
        <v>0</v>
      </c>
      <c r="B1525" s="13" t="s">
        <v>1</v>
      </c>
      <c r="C1525" s="13" t="s">
        <v>216</v>
      </c>
      <c r="D1525" s="14">
        <v>44038</v>
      </c>
      <c r="E1525" s="14">
        <v>44038</v>
      </c>
      <c r="F1525" s="14">
        <v>44041</v>
      </c>
      <c r="G1525" s="13" t="s">
        <v>3</v>
      </c>
      <c r="H1525" s="13" t="s">
        <v>4</v>
      </c>
      <c r="I1525" s="15">
        <v>-10847.82</v>
      </c>
      <c r="J1525" s="13" t="s">
        <v>5</v>
      </c>
      <c r="K1525" s="13" t="s">
        <v>6</v>
      </c>
      <c r="L1525" s="15">
        <v>-910674.49</v>
      </c>
      <c r="M1525" s="15">
        <v>-10847.82</v>
      </c>
      <c r="N1525" s="16" t="str">
        <f>IF(M1525="","",IF(M1525&lt;0,-M1525&amp;"_"&amp;COUNTIF(M$2:M1525,M1525),M1525&amp;"_"&amp;COUNTIF(M$2:M1525,M1525)))</f>
        <v>10847.82_1</v>
      </c>
      <c r="O1525" s="17" t="str">
        <f t="shared" si="23"/>
        <v/>
      </c>
      <c r="P1525" s="13" t="s">
        <v>217</v>
      </c>
      <c r="Q1525" s="13" t="s">
        <v>215</v>
      </c>
      <c r="R1525" s="13" t="s">
        <v>0</v>
      </c>
      <c r="S1525" s="13" t="s">
        <v>0</v>
      </c>
      <c r="T1525" s="13" t="s">
        <v>9</v>
      </c>
      <c r="U1525" s="13" t="s">
        <v>0</v>
      </c>
      <c r="V1525" s="13" t="s">
        <v>0</v>
      </c>
      <c r="W1525" s="13" t="s">
        <v>0</v>
      </c>
      <c r="X1525" s="13" t="s">
        <v>0</v>
      </c>
      <c r="Y1525" s="13" t="s">
        <v>10</v>
      </c>
      <c r="Z1525" s="13" t="s">
        <v>0</v>
      </c>
      <c r="AA1525" s="14"/>
      <c r="AB1525" s="13" t="s">
        <v>0</v>
      </c>
      <c r="AC1525" s="13" t="s">
        <v>0</v>
      </c>
      <c r="AD1525" s="13" t="s">
        <v>0</v>
      </c>
      <c r="AE1525" s="15">
        <v>0</v>
      </c>
    </row>
    <row r="1526" spans="1:31" ht="14.15" customHeight="1" x14ac:dyDescent="0.25">
      <c r="A1526" s="12" t="s">
        <v>0</v>
      </c>
      <c r="B1526" s="13" t="s">
        <v>1</v>
      </c>
      <c r="C1526" s="13" t="s">
        <v>3002</v>
      </c>
      <c r="D1526" s="14">
        <v>44280</v>
      </c>
      <c r="E1526" s="14">
        <v>44280</v>
      </c>
      <c r="F1526" s="14">
        <v>44286</v>
      </c>
      <c r="G1526" s="13" t="s">
        <v>3</v>
      </c>
      <c r="H1526" s="13" t="s">
        <v>4</v>
      </c>
      <c r="I1526" s="15">
        <v>-10843.19</v>
      </c>
      <c r="J1526" s="13" t="s">
        <v>5</v>
      </c>
      <c r="K1526" s="13" t="s">
        <v>6</v>
      </c>
      <c r="L1526" s="15">
        <v>-910285.8</v>
      </c>
      <c r="M1526" s="15">
        <v>-10843.19</v>
      </c>
      <c r="N1526" s="16" t="str">
        <f>IF(M1526="","",IF(M1526&lt;0,-M1526&amp;"_"&amp;COUNTIF(M$2:M1526,M1526),M1526&amp;"_"&amp;COUNTIF(M$2:M1526,M1526)))</f>
        <v>10843.19_1</v>
      </c>
      <c r="O1526" s="17" t="str">
        <f t="shared" si="23"/>
        <v/>
      </c>
      <c r="P1526" s="13" t="s">
        <v>3003</v>
      </c>
      <c r="Q1526" s="13" t="s">
        <v>2989</v>
      </c>
      <c r="R1526" s="13" t="s">
        <v>0</v>
      </c>
      <c r="S1526" s="13" t="s">
        <v>0</v>
      </c>
      <c r="T1526" s="13" t="s">
        <v>9</v>
      </c>
      <c r="U1526" s="13" t="s">
        <v>0</v>
      </c>
      <c r="V1526" s="13" t="s">
        <v>0</v>
      </c>
      <c r="W1526" s="13" t="s">
        <v>0</v>
      </c>
      <c r="X1526" s="13" t="s">
        <v>0</v>
      </c>
      <c r="Y1526" s="13" t="s">
        <v>10</v>
      </c>
      <c r="Z1526" s="13" t="s">
        <v>0</v>
      </c>
      <c r="AA1526" s="14"/>
      <c r="AB1526" s="13" t="s">
        <v>0</v>
      </c>
      <c r="AC1526" s="13" t="s">
        <v>0</v>
      </c>
      <c r="AD1526" s="13" t="s">
        <v>0</v>
      </c>
      <c r="AE1526" s="15">
        <v>0</v>
      </c>
    </row>
    <row r="1527" spans="1:31" ht="14.15" customHeight="1" x14ac:dyDescent="0.25">
      <c r="A1527" s="12" t="s">
        <v>0</v>
      </c>
      <c r="B1527" s="13" t="s">
        <v>1</v>
      </c>
      <c r="C1527" s="13" t="s">
        <v>3118</v>
      </c>
      <c r="D1527" s="14">
        <v>44289</v>
      </c>
      <c r="E1527" s="14">
        <v>44289</v>
      </c>
      <c r="F1527" s="14">
        <v>44294</v>
      </c>
      <c r="G1527" s="13" t="s">
        <v>3</v>
      </c>
      <c r="H1527" s="13" t="s">
        <v>4</v>
      </c>
      <c r="I1527" s="15">
        <v>-10831.76</v>
      </c>
      <c r="J1527" s="13" t="s">
        <v>5</v>
      </c>
      <c r="K1527" s="13" t="s">
        <v>6</v>
      </c>
      <c r="L1527" s="15">
        <v>-909326.25</v>
      </c>
      <c r="M1527" s="15">
        <v>-10831.76</v>
      </c>
      <c r="N1527" s="16" t="str">
        <f>IF(M1527="","",IF(M1527&lt;0,-M1527&amp;"_"&amp;COUNTIF(M$2:M1527,M1527),M1527&amp;"_"&amp;COUNTIF(M$2:M1527,M1527)))</f>
        <v>10831.76_1</v>
      </c>
      <c r="O1527" s="17" t="str">
        <f t="shared" si="23"/>
        <v/>
      </c>
      <c r="P1527" s="13" t="s">
        <v>3119</v>
      </c>
      <c r="Q1527" s="13" t="s">
        <v>3117</v>
      </c>
      <c r="R1527" s="13" t="s">
        <v>0</v>
      </c>
      <c r="S1527" s="13" t="s">
        <v>0</v>
      </c>
      <c r="T1527" s="13" t="s">
        <v>9</v>
      </c>
      <c r="U1527" s="13" t="s">
        <v>0</v>
      </c>
      <c r="V1527" s="13" t="s">
        <v>0</v>
      </c>
      <c r="W1527" s="13" t="s">
        <v>0</v>
      </c>
      <c r="X1527" s="13" t="s">
        <v>0</v>
      </c>
      <c r="Y1527" s="13" t="s">
        <v>10</v>
      </c>
      <c r="Z1527" s="13" t="s">
        <v>0</v>
      </c>
      <c r="AA1527" s="14"/>
      <c r="AB1527" s="13" t="s">
        <v>0</v>
      </c>
      <c r="AC1527" s="13" t="s">
        <v>0</v>
      </c>
      <c r="AD1527" s="13" t="s">
        <v>0</v>
      </c>
      <c r="AE1527" s="15">
        <v>0</v>
      </c>
    </row>
    <row r="1528" spans="1:31" ht="14.15" customHeight="1" x14ac:dyDescent="0.25">
      <c r="A1528" s="12" t="s">
        <v>0</v>
      </c>
      <c r="B1528" s="13" t="s">
        <v>1</v>
      </c>
      <c r="C1528" s="13" t="s">
        <v>2168</v>
      </c>
      <c r="D1528" s="14">
        <v>44209</v>
      </c>
      <c r="E1528" s="14">
        <v>44209</v>
      </c>
      <c r="F1528" s="14">
        <v>44228</v>
      </c>
      <c r="G1528" s="13" t="s">
        <v>3</v>
      </c>
      <c r="H1528" s="13" t="s">
        <v>4</v>
      </c>
      <c r="I1528" s="15">
        <v>-10826.69</v>
      </c>
      <c r="J1528" s="13" t="s">
        <v>5</v>
      </c>
      <c r="K1528" s="13" t="s">
        <v>6</v>
      </c>
      <c r="L1528" s="15">
        <v>-908900.63</v>
      </c>
      <c r="M1528" s="15">
        <v>-10826.69</v>
      </c>
      <c r="N1528" s="16" t="str">
        <f>IF(M1528="","",IF(M1528&lt;0,-M1528&amp;"_"&amp;COUNTIF(M$2:M1528,M1528),M1528&amp;"_"&amp;COUNTIF(M$2:M1528,M1528)))</f>
        <v>10826.69_1</v>
      </c>
      <c r="O1528" s="17" t="str">
        <f t="shared" si="23"/>
        <v/>
      </c>
      <c r="P1528" s="13" t="s">
        <v>2169</v>
      </c>
      <c r="Q1528" s="13" t="s">
        <v>2159</v>
      </c>
      <c r="R1528" s="13" t="s">
        <v>0</v>
      </c>
      <c r="S1528" s="13" t="s">
        <v>0</v>
      </c>
      <c r="T1528" s="13" t="s">
        <v>9</v>
      </c>
      <c r="U1528" s="13" t="s">
        <v>0</v>
      </c>
      <c r="V1528" s="13" t="s">
        <v>0</v>
      </c>
      <c r="W1528" s="13" t="s">
        <v>0</v>
      </c>
      <c r="X1528" s="13" t="s">
        <v>0</v>
      </c>
      <c r="Y1528" s="13" t="s">
        <v>10</v>
      </c>
      <c r="Z1528" s="13" t="s">
        <v>0</v>
      </c>
      <c r="AA1528" s="14"/>
      <c r="AB1528" s="13" t="s">
        <v>0</v>
      </c>
      <c r="AC1528" s="13" t="s">
        <v>0</v>
      </c>
      <c r="AD1528" s="13" t="s">
        <v>0</v>
      </c>
      <c r="AE1528" s="15">
        <v>0</v>
      </c>
    </row>
    <row r="1529" spans="1:31" ht="14.15" customHeight="1" x14ac:dyDescent="0.25">
      <c r="A1529" s="12" t="s">
        <v>0</v>
      </c>
      <c r="B1529" s="13" t="s">
        <v>1</v>
      </c>
      <c r="C1529" s="13" t="s">
        <v>228</v>
      </c>
      <c r="D1529" s="14">
        <v>44039</v>
      </c>
      <c r="E1529" s="14">
        <v>44039</v>
      </c>
      <c r="F1529" s="14">
        <v>44042</v>
      </c>
      <c r="G1529" s="13" t="s">
        <v>3</v>
      </c>
      <c r="H1529" s="13" t="s">
        <v>4</v>
      </c>
      <c r="I1529" s="15">
        <v>-10806.4</v>
      </c>
      <c r="J1529" s="13" t="s">
        <v>5</v>
      </c>
      <c r="K1529" s="13" t="s">
        <v>6</v>
      </c>
      <c r="L1529" s="15">
        <v>-907197.28</v>
      </c>
      <c r="M1529" s="15">
        <v>-10806.4</v>
      </c>
      <c r="N1529" s="16" t="str">
        <f>IF(M1529="","",IF(M1529&lt;0,-M1529&amp;"_"&amp;COUNTIF(M$2:M1529,M1529),M1529&amp;"_"&amp;COUNTIF(M$2:M1529,M1529)))</f>
        <v>10806.4_1</v>
      </c>
      <c r="O1529" s="17" t="str">
        <f t="shared" si="23"/>
        <v/>
      </c>
      <c r="P1529" s="13" t="s">
        <v>229</v>
      </c>
      <c r="Q1529" s="13" t="s">
        <v>230</v>
      </c>
      <c r="R1529" s="13" t="s">
        <v>0</v>
      </c>
      <c r="S1529" s="13" t="s">
        <v>0</v>
      </c>
      <c r="T1529" s="13" t="s">
        <v>9</v>
      </c>
      <c r="U1529" s="13" t="s">
        <v>0</v>
      </c>
      <c r="V1529" s="13" t="s">
        <v>0</v>
      </c>
      <c r="W1529" s="13" t="s">
        <v>0</v>
      </c>
      <c r="X1529" s="13" t="s">
        <v>0</v>
      </c>
      <c r="Y1529" s="13" t="s">
        <v>10</v>
      </c>
      <c r="Z1529" s="13" t="s">
        <v>0</v>
      </c>
      <c r="AA1529" s="14"/>
      <c r="AB1529" s="13" t="s">
        <v>0</v>
      </c>
      <c r="AC1529" s="13" t="s">
        <v>0</v>
      </c>
      <c r="AD1529" s="13" t="s">
        <v>0</v>
      </c>
      <c r="AE1529" s="15">
        <v>0</v>
      </c>
    </row>
    <row r="1530" spans="1:31" ht="14.15" customHeight="1" x14ac:dyDescent="0.25">
      <c r="A1530" s="12" t="s">
        <v>0</v>
      </c>
      <c r="B1530" s="13" t="s">
        <v>1</v>
      </c>
      <c r="C1530" s="13" t="s">
        <v>3737</v>
      </c>
      <c r="D1530" s="14">
        <v>44338</v>
      </c>
      <c r="E1530" s="14">
        <v>44338</v>
      </c>
      <c r="F1530" s="14">
        <v>44341</v>
      </c>
      <c r="G1530" s="13" t="s">
        <v>3</v>
      </c>
      <c r="H1530" s="13" t="s">
        <v>4</v>
      </c>
      <c r="I1530" s="15">
        <v>-10767.17</v>
      </c>
      <c r="J1530" s="13" t="s">
        <v>5</v>
      </c>
      <c r="K1530" s="13" t="s">
        <v>6</v>
      </c>
      <c r="L1530" s="15">
        <v>-903903.92</v>
      </c>
      <c r="M1530" s="15">
        <v>-10767.17</v>
      </c>
      <c r="N1530" s="16" t="str">
        <f>IF(M1530="","",IF(M1530&lt;0,-M1530&amp;"_"&amp;COUNTIF(M$2:M1530,M1530),M1530&amp;"_"&amp;COUNTIF(M$2:M1530,M1530)))</f>
        <v>10767.17_1</v>
      </c>
      <c r="O1530" s="17" t="str">
        <f t="shared" si="23"/>
        <v/>
      </c>
      <c r="P1530" s="13" t="s">
        <v>3738</v>
      </c>
      <c r="Q1530" s="13" t="s">
        <v>3739</v>
      </c>
      <c r="R1530" s="13" t="s">
        <v>0</v>
      </c>
      <c r="S1530" s="13" t="s">
        <v>0</v>
      </c>
      <c r="T1530" s="13" t="s">
        <v>9</v>
      </c>
      <c r="U1530" s="13" t="s">
        <v>0</v>
      </c>
      <c r="V1530" s="13" t="s">
        <v>0</v>
      </c>
      <c r="W1530" s="13" t="s">
        <v>0</v>
      </c>
      <c r="X1530" s="13" t="s">
        <v>0</v>
      </c>
      <c r="Y1530" s="13" t="s">
        <v>10</v>
      </c>
      <c r="Z1530" s="13" t="s">
        <v>0</v>
      </c>
      <c r="AA1530" s="14"/>
      <c r="AB1530" s="13" t="s">
        <v>0</v>
      </c>
      <c r="AC1530" s="13" t="s">
        <v>0</v>
      </c>
      <c r="AD1530" s="13" t="s">
        <v>0</v>
      </c>
      <c r="AE1530" s="15">
        <v>0</v>
      </c>
    </row>
    <row r="1531" spans="1:31" ht="14.15" customHeight="1" x14ac:dyDescent="0.25">
      <c r="A1531" s="12" t="s">
        <v>0</v>
      </c>
      <c r="B1531" s="13" t="s">
        <v>1</v>
      </c>
      <c r="C1531" s="13" t="s">
        <v>1370</v>
      </c>
      <c r="D1531" s="14">
        <v>44151</v>
      </c>
      <c r="E1531" s="14">
        <v>44151</v>
      </c>
      <c r="F1531" s="14">
        <v>44159</v>
      </c>
      <c r="G1531" s="13" t="s">
        <v>3</v>
      </c>
      <c r="H1531" s="13" t="s">
        <v>4</v>
      </c>
      <c r="I1531" s="15">
        <v>-10753.3</v>
      </c>
      <c r="J1531" s="13" t="s">
        <v>5</v>
      </c>
      <c r="K1531" s="13" t="s">
        <v>6</v>
      </c>
      <c r="L1531" s="15">
        <v>-902739.54</v>
      </c>
      <c r="M1531" s="15">
        <v>-10753.3</v>
      </c>
      <c r="N1531" s="16" t="str">
        <f>IF(M1531="","",IF(M1531&lt;0,-M1531&amp;"_"&amp;COUNTIF(M$2:M1531,M1531),M1531&amp;"_"&amp;COUNTIF(M$2:M1531,M1531)))</f>
        <v>10753.3_1</v>
      </c>
      <c r="O1531" s="17" t="str">
        <f t="shared" si="23"/>
        <v/>
      </c>
      <c r="P1531" s="13" t="s">
        <v>1371</v>
      </c>
      <c r="Q1531" s="13" t="s">
        <v>1363</v>
      </c>
      <c r="R1531" s="13" t="s">
        <v>0</v>
      </c>
      <c r="S1531" s="13" t="s">
        <v>0</v>
      </c>
      <c r="T1531" s="13" t="s">
        <v>9</v>
      </c>
      <c r="U1531" s="13" t="s">
        <v>0</v>
      </c>
      <c r="V1531" s="13" t="s">
        <v>0</v>
      </c>
      <c r="W1531" s="13" t="s">
        <v>0</v>
      </c>
      <c r="X1531" s="13" t="s">
        <v>0</v>
      </c>
      <c r="Y1531" s="13" t="s">
        <v>10</v>
      </c>
      <c r="Z1531" s="13" t="s">
        <v>0</v>
      </c>
      <c r="AA1531" s="14"/>
      <c r="AB1531" s="13" t="s">
        <v>0</v>
      </c>
      <c r="AC1531" s="13" t="s">
        <v>0</v>
      </c>
      <c r="AD1531" s="13" t="s">
        <v>0</v>
      </c>
      <c r="AE1531" s="15">
        <v>0</v>
      </c>
    </row>
    <row r="1532" spans="1:31" ht="14.15" customHeight="1" x14ac:dyDescent="0.25">
      <c r="A1532" s="12" t="s">
        <v>0</v>
      </c>
      <c r="B1532" s="13" t="s">
        <v>1</v>
      </c>
      <c r="C1532" s="13" t="s">
        <v>4069</v>
      </c>
      <c r="D1532" s="14">
        <v>44360</v>
      </c>
      <c r="E1532" s="14">
        <v>44360</v>
      </c>
      <c r="F1532" s="14">
        <v>44384</v>
      </c>
      <c r="G1532" s="13" t="s">
        <v>3</v>
      </c>
      <c r="H1532" s="13" t="s">
        <v>4</v>
      </c>
      <c r="I1532" s="15">
        <v>-10750.28</v>
      </c>
      <c r="J1532" s="13" t="s">
        <v>5</v>
      </c>
      <c r="K1532" s="13" t="s">
        <v>6</v>
      </c>
      <c r="L1532" s="15">
        <v>-902486.01</v>
      </c>
      <c r="M1532" s="15">
        <v>-10750.28</v>
      </c>
      <c r="N1532" s="16" t="str">
        <f>IF(M1532="","",IF(M1532&lt;0,-M1532&amp;"_"&amp;COUNTIF(M$2:M1532,M1532),M1532&amp;"_"&amp;COUNTIF(M$2:M1532,M1532)))</f>
        <v>10750.28_1</v>
      </c>
      <c r="O1532" s="17" t="str">
        <f t="shared" si="23"/>
        <v/>
      </c>
      <c r="P1532" s="13" t="s">
        <v>4070</v>
      </c>
      <c r="Q1532" s="13" t="s">
        <v>4062</v>
      </c>
      <c r="R1532" s="13" t="s">
        <v>0</v>
      </c>
      <c r="S1532" s="13" t="s">
        <v>0</v>
      </c>
      <c r="T1532" s="13" t="s">
        <v>9</v>
      </c>
      <c r="U1532" s="13" t="s">
        <v>0</v>
      </c>
      <c r="V1532" s="13" t="s">
        <v>0</v>
      </c>
      <c r="W1532" s="13" t="s">
        <v>0</v>
      </c>
      <c r="X1532" s="13" t="s">
        <v>0</v>
      </c>
      <c r="Y1532" s="13" t="s">
        <v>10</v>
      </c>
      <c r="Z1532" s="13" t="s">
        <v>0</v>
      </c>
      <c r="AA1532" s="14"/>
      <c r="AB1532" s="13" t="s">
        <v>0</v>
      </c>
      <c r="AC1532" s="13" t="s">
        <v>0</v>
      </c>
      <c r="AD1532" s="13" t="s">
        <v>0</v>
      </c>
      <c r="AE1532" s="15">
        <v>0</v>
      </c>
    </row>
    <row r="1533" spans="1:31" ht="14.15" customHeight="1" x14ac:dyDescent="0.25">
      <c r="A1533" s="12" t="s">
        <v>0</v>
      </c>
      <c r="B1533" s="13" t="s">
        <v>1</v>
      </c>
      <c r="C1533" s="13" t="s">
        <v>4223</v>
      </c>
      <c r="D1533" s="14">
        <v>44366</v>
      </c>
      <c r="E1533" s="14">
        <v>44366</v>
      </c>
      <c r="F1533" s="14">
        <v>44384</v>
      </c>
      <c r="G1533" s="13" t="s">
        <v>3</v>
      </c>
      <c r="H1533" s="13" t="s">
        <v>4</v>
      </c>
      <c r="I1533" s="15">
        <v>-10744.86</v>
      </c>
      <c r="J1533" s="13" t="s">
        <v>5</v>
      </c>
      <c r="K1533" s="13" t="s">
        <v>6</v>
      </c>
      <c r="L1533" s="15">
        <v>-902031</v>
      </c>
      <c r="M1533" s="15">
        <v>-10744.86</v>
      </c>
      <c r="N1533" s="16" t="str">
        <f>IF(M1533="","",IF(M1533&lt;0,-M1533&amp;"_"&amp;COUNTIF(M$2:M1533,M1533),M1533&amp;"_"&amp;COUNTIF(M$2:M1533,M1533)))</f>
        <v>10744.86_1</v>
      </c>
      <c r="O1533" s="17" t="str">
        <f t="shared" si="23"/>
        <v/>
      </c>
      <c r="P1533" s="13" t="s">
        <v>4224</v>
      </c>
      <c r="Q1533" s="13" t="s">
        <v>4216</v>
      </c>
      <c r="R1533" s="13" t="s">
        <v>0</v>
      </c>
      <c r="S1533" s="13" t="s">
        <v>0</v>
      </c>
      <c r="T1533" s="13" t="s">
        <v>9</v>
      </c>
      <c r="U1533" s="13" t="s">
        <v>0</v>
      </c>
      <c r="V1533" s="13" t="s">
        <v>0</v>
      </c>
      <c r="W1533" s="13" t="s">
        <v>0</v>
      </c>
      <c r="X1533" s="13" t="s">
        <v>0</v>
      </c>
      <c r="Y1533" s="13" t="s">
        <v>10</v>
      </c>
      <c r="Z1533" s="13" t="s">
        <v>0</v>
      </c>
      <c r="AA1533" s="14"/>
      <c r="AB1533" s="13" t="s">
        <v>0</v>
      </c>
      <c r="AC1533" s="13" t="s">
        <v>0</v>
      </c>
      <c r="AD1533" s="13" t="s">
        <v>0</v>
      </c>
      <c r="AE1533" s="15">
        <v>0</v>
      </c>
    </row>
    <row r="1534" spans="1:31" ht="14.15" customHeight="1" x14ac:dyDescent="0.25">
      <c r="A1534" s="12" t="s">
        <v>0</v>
      </c>
      <c r="B1534" s="13" t="s">
        <v>1</v>
      </c>
      <c r="C1534" s="13" t="s">
        <v>1254</v>
      </c>
      <c r="D1534" s="14">
        <v>44143</v>
      </c>
      <c r="E1534" s="14">
        <v>44143</v>
      </c>
      <c r="F1534" s="14">
        <v>44149</v>
      </c>
      <c r="G1534" s="13" t="s">
        <v>3</v>
      </c>
      <c r="H1534" s="13" t="s">
        <v>4</v>
      </c>
      <c r="I1534" s="15">
        <v>-10737.82</v>
      </c>
      <c r="J1534" s="13" t="s">
        <v>5</v>
      </c>
      <c r="K1534" s="13" t="s">
        <v>6</v>
      </c>
      <c r="L1534" s="15">
        <v>-901439.99</v>
      </c>
      <c r="M1534" s="15">
        <v>-10737.82</v>
      </c>
      <c r="N1534" s="16" t="str">
        <f>IF(M1534="","",IF(M1534&lt;0,-M1534&amp;"_"&amp;COUNTIF(M$2:M1534,M1534),M1534&amp;"_"&amp;COUNTIF(M$2:M1534,M1534)))</f>
        <v>10737.82_1</v>
      </c>
      <c r="O1534" s="17" t="str">
        <f t="shared" si="23"/>
        <v/>
      </c>
      <c r="P1534" s="13" t="s">
        <v>1255</v>
      </c>
      <c r="Q1534" s="13" t="s">
        <v>1245</v>
      </c>
      <c r="R1534" s="13" t="s">
        <v>0</v>
      </c>
      <c r="S1534" s="13" t="s">
        <v>0</v>
      </c>
      <c r="T1534" s="13" t="s">
        <v>9</v>
      </c>
      <c r="U1534" s="13" t="s">
        <v>0</v>
      </c>
      <c r="V1534" s="13" t="s">
        <v>0</v>
      </c>
      <c r="W1534" s="13" t="s">
        <v>0</v>
      </c>
      <c r="X1534" s="13" t="s">
        <v>0</v>
      </c>
      <c r="Y1534" s="13" t="s">
        <v>10</v>
      </c>
      <c r="Z1534" s="13" t="s">
        <v>0</v>
      </c>
      <c r="AA1534" s="14"/>
      <c r="AB1534" s="13" t="s">
        <v>0</v>
      </c>
      <c r="AC1534" s="13" t="s">
        <v>0</v>
      </c>
      <c r="AD1534" s="13" t="s">
        <v>0</v>
      </c>
      <c r="AE1534" s="15">
        <v>0</v>
      </c>
    </row>
    <row r="1535" spans="1:31" ht="14.15" customHeight="1" x14ac:dyDescent="0.25">
      <c r="A1535" s="12" t="s">
        <v>0</v>
      </c>
      <c r="B1535" s="13" t="s">
        <v>1</v>
      </c>
      <c r="C1535" s="13" t="s">
        <v>3031</v>
      </c>
      <c r="D1535" s="14">
        <v>44281</v>
      </c>
      <c r="E1535" s="14">
        <v>44281</v>
      </c>
      <c r="F1535" s="14">
        <v>44290</v>
      </c>
      <c r="G1535" s="13" t="s">
        <v>3</v>
      </c>
      <c r="H1535" s="13" t="s">
        <v>4</v>
      </c>
      <c r="I1535" s="15">
        <v>-10728.64</v>
      </c>
      <c r="J1535" s="13" t="s">
        <v>5</v>
      </c>
      <c r="K1535" s="13" t="s">
        <v>6</v>
      </c>
      <c r="L1535" s="15">
        <v>-900669.32</v>
      </c>
      <c r="M1535" s="15">
        <v>-10728.64</v>
      </c>
      <c r="N1535" s="16" t="str">
        <f>IF(M1535="","",IF(M1535&lt;0,-M1535&amp;"_"&amp;COUNTIF(M$2:M1535,M1535),M1535&amp;"_"&amp;COUNTIF(M$2:M1535,M1535)))</f>
        <v>10728.64_1</v>
      </c>
      <c r="O1535" s="17" t="str">
        <f t="shared" si="23"/>
        <v/>
      </c>
      <c r="P1535" s="13" t="s">
        <v>3032</v>
      </c>
      <c r="Q1535" s="13" t="s">
        <v>3014</v>
      </c>
      <c r="R1535" s="13" t="s">
        <v>0</v>
      </c>
      <c r="S1535" s="13" t="s">
        <v>0</v>
      </c>
      <c r="T1535" s="13" t="s">
        <v>9</v>
      </c>
      <c r="U1535" s="13" t="s">
        <v>0</v>
      </c>
      <c r="V1535" s="13" t="s">
        <v>0</v>
      </c>
      <c r="W1535" s="13" t="s">
        <v>0</v>
      </c>
      <c r="X1535" s="13" t="s">
        <v>0</v>
      </c>
      <c r="Y1535" s="13" t="s">
        <v>10</v>
      </c>
      <c r="Z1535" s="13" t="s">
        <v>0</v>
      </c>
      <c r="AA1535" s="14"/>
      <c r="AB1535" s="13" t="s">
        <v>0</v>
      </c>
      <c r="AC1535" s="13" t="s">
        <v>0</v>
      </c>
      <c r="AD1535" s="13" t="s">
        <v>0</v>
      </c>
      <c r="AE1535" s="15">
        <v>0</v>
      </c>
    </row>
    <row r="1536" spans="1:31" ht="14.15" customHeight="1" x14ac:dyDescent="0.25">
      <c r="A1536" s="12" t="s">
        <v>0</v>
      </c>
      <c r="B1536" s="13" t="s">
        <v>1</v>
      </c>
      <c r="C1536" s="13" t="s">
        <v>2661</v>
      </c>
      <c r="D1536" s="14">
        <v>44253</v>
      </c>
      <c r="E1536" s="14">
        <v>44253</v>
      </c>
      <c r="F1536" s="14">
        <v>44257</v>
      </c>
      <c r="G1536" s="13" t="s">
        <v>3</v>
      </c>
      <c r="H1536" s="13" t="s">
        <v>4</v>
      </c>
      <c r="I1536" s="15">
        <v>-10721.19</v>
      </c>
      <c r="J1536" s="13" t="s">
        <v>5</v>
      </c>
      <c r="K1536" s="13" t="s">
        <v>6</v>
      </c>
      <c r="L1536" s="15">
        <v>-900043.9</v>
      </c>
      <c r="M1536" s="15">
        <v>-10721.19</v>
      </c>
      <c r="N1536" s="16" t="str">
        <f>IF(M1536="","",IF(M1536&lt;0,-M1536&amp;"_"&amp;COUNTIF(M$2:M1536,M1536),M1536&amp;"_"&amp;COUNTIF(M$2:M1536,M1536)))</f>
        <v>10721.19_1</v>
      </c>
      <c r="O1536" s="17" t="str">
        <f t="shared" si="23"/>
        <v/>
      </c>
      <c r="P1536" s="13" t="s">
        <v>2662</v>
      </c>
      <c r="Q1536" s="13" t="s">
        <v>2660</v>
      </c>
      <c r="R1536" s="13" t="s">
        <v>0</v>
      </c>
      <c r="S1536" s="13" t="s">
        <v>0</v>
      </c>
      <c r="T1536" s="13" t="s">
        <v>9</v>
      </c>
      <c r="U1536" s="13" t="s">
        <v>0</v>
      </c>
      <c r="V1536" s="13" t="s">
        <v>0</v>
      </c>
      <c r="W1536" s="13" t="s">
        <v>0</v>
      </c>
      <c r="X1536" s="13" t="s">
        <v>0</v>
      </c>
      <c r="Y1536" s="13" t="s">
        <v>10</v>
      </c>
      <c r="Z1536" s="13" t="s">
        <v>0</v>
      </c>
      <c r="AA1536" s="14"/>
      <c r="AB1536" s="13" t="s">
        <v>0</v>
      </c>
      <c r="AC1536" s="13" t="s">
        <v>0</v>
      </c>
      <c r="AD1536" s="13" t="s">
        <v>0</v>
      </c>
      <c r="AE1536" s="15">
        <v>0</v>
      </c>
    </row>
    <row r="1537" spans="1:31" ht="14.15" customHeight="1" x14ac:dyDescent="0.25">
      <c r="A1537" s="12" t="s">
        <v>0</v>
      </c>
      <c r="B1537" s="13" t="s">
        <v>1</v>
      </c>
      <c r="C1537" s="13" t="s">
        <v>2125</v>
      </c>
      <c r="D1537" s="14">
        <v>44202</v>
      </c>
      <c r="E1537" s="14">
        <v>44202</v>
      </c>
      <c r="F1537" s="14">
        <v>44208</v>
      </c>
      <c r="G1537" s="13" t="s">
        <v>3</v>
      </c>
      <c r="H1537" s="13" t="s">
        <v>4</v>
      </c>
      <c r="I1537" s="15">
        <v>-10718.63</v>
      </c>
      <c r="J1537" s="13" t="s">
        <v>5</v>
      </c>
      <c r="K1537" s="13" t="s">
        <v>6</v>
      </c>
      <c r="L1537" s="15">
        <v>-899828.99</v>
      </c>
      <c r="M1537" s="15">
        <v>-10718.63</v>
      </c>
      <c r="N1537" s="16" t="str">
        <f>IF(M1537="","",IF(M1537&lt;0,-M1537&amp;"_"&amp;COUNTIF(M$2:M1537,M1537),M1537&amp;"_"&amp;COUNTIF(M$2:M1537,M1537)))</f>
        <v>10718.63_1</v>
      </c>
      <c r="O1537" s="17" t="str">
        <f t="shared" si="23"/>
        <v/>
      </c>
      <c r="P1537" s="13" t="s">
        <v>2126</v>
      </c>
      <c r="Q1537" s="13" t="s">
        <v>2127</v>
      </c>
      <c r="R1537" s="13" t="s">
        <v>0</v>
      </c>
      <c r="S1537" s="13" t="s">
        <v>0</v>
      </c>
      <c r="T1537" s="13" t="s">
        <v>9</v>
      </c>
      <c r="U1537" s="13" t="s">
        <v>0</v>
      </c>
      <c r="V1537" s="13" t="s">
        <v>0</v>
      </c>
      <c r="W1537" s="13" t="s">
        <v>0</v>
      </c>
      <c r="X1537" s="13" t="s">
        <v>0</v>
      </c>
      <c r="Y1537" s="13" t="s">
        <v>10</v>
      </c>
      <c r="Z1537" s="13" t="s">
        <v>0</v>
      </c>
      <c r="AA1537" s="14"/>
      <c r="AB1537" s="13" t="s">
        <v>0</v>
      </c>
      <c r="AC1537" s="13" t="s">
        <v>0</v>
      </c>
      <c r="AD1537" s="13" t="s">
        <v>0</v>
      </c>
      <c r="AE1537" s="15">
        <v>0</v>
      </c>
    </row>
    <row r="1538" spans="1:31" ht="14.15" customHeight="1" x14ac:dyDescent="0.25">
      <c r="A1538" s="12" t="s">
        <v>0</v>
      </c>
      <c r="B1538" s="13" t="s">
        <v>1</v>
      </c>
      <c r="C1538" s="13" t="s">
        <v>2642</v>
      </c>
      <c r="D1538" s="14">
        <v>44248</v>
      </c>
      <c r="E1538" s="14">
        <v>44248</v>
      </c>
      <c r="F1538" s="14">
        <v>44262</v>
      </c>
      <c r="G1538" s="13" t="s">
        <v>3</v>
      </c>
      <c r="H1538" s="13" t="s">
        <v>4</v>
      </c>
      <c r="I1538" s="15">
        <v>-10695.3</v>
      </c>
      <c r="J1538" s="13" t="s">
        <v>5</v>
      </c>
      <c r="K1538" s="13" t="s">
        <v>6</v>
      </c>
      <c r="L1538" s="15">
        <v>-897870.44</v>
      </c>
      <c r="M1538" s="15">
        <v>-10695.3</v>
      </c>
      <c r="N1538" s="16" t="str">
        <f>IF(M1538="","",IF(M1538&lt;0,-M1538&amp;"_"&amp;COUNTIF(M$2:M1538,M1538),M1538&amp;"_"&amp;COUNTIF(M$2:M1538,M1538)))</f>
        <v>10695.3_1</v>
      </c>
      <c r="O1538" s="17" t="str">
        <f t="shared" ref="O1538:O1601" si="24">IF(COUNTIF(N:N,N1538)=2,"x","")</f>
        <v/>
      </c>
      <c r="P1538" s="13" t="s">
        <v>2643</v>
      </c>
      <c r="Q1538" s="13" t="s">
        <v>2637</v>
      </c>
      <c r="R1538" s="13" t="s">
        <v>0</v>
      </c>
      <c r="S1538" s="13" t="s">
        <v>0</v>
      </c>
      <c r="T1538" s="13" t="s">
        <v>9</v>
      </c>
      <c r="U1538" s="13" t="s">
        <v>0</v>
      </c>
      <c r="V1538" s="13" t="s">
        <v>0</v>
      </c>
      <c r="W1538" s="13" t="s">
        <v>0</v>
      </c>
      <c r="X1538" s="13" t="s">
        <v>0</v>
      </c>
      <c r="Y1538" s="13" t="s">
        <v>10</v>
      </c>
      <c r="Z1538" s="13" t="s">
        <v>0</v>
      </c>
      <c r="AA1538" s="14"/>
      <c r="AB1538" s="13" t="s">
        <v>0</v>
      </c>
      <c r="AC1538" s="13" t="s">
        <v>0</v>
      </c>
      <c r="AD1538" s="13" t="s">
        <v>0</v>
      </c>
      <c r="AE1538" s="15">
        <v>0</v>
      </c>
    </row>
    <row r="1539" spans="1:31" ht="14.15" customHeight="1" x14ac:dyDescent="0.25">
      <c r="A1539" s="12" t="s">
        <v>0</v>
      </c>
      <c r="B1539" s="13" t="s">
        <v>1</v>
      </c>
      <c r="C1539" s="13" t="s">
        <v>1136</v>
      </c>
      <c r="D1539" s="14">
        <v>44139</v>
      </c>
      <c r="E1539" s="14">
        <v>44139</v>
      </c>
      <c r="F1539" s="14">
        <v>44146</v>
      </c>
      <c r="G1539" s="13" t="s">
        <v>3</v>
      </c>
      <c r="H1539" s="13" t="s">
        <v>4</v>
      </c>
      <c r="I1539" s="15">
        <v>-10688.47</v>
      </c>
      <c r="J1539" s="13" t="s">
        <v>5</v>
      </c>
      <c r="K1539" s="13" t="s">
        <v>6</v>
      </c>
      <c r="L1539" s="15">
        <v>-897297.06</v>
      </c>
      <c r="M1539" s="15">
        <v>-10688.47</v>
      </c>
      <c r="N1539" s="16" t="str">
        <f>IF(M1539="","",IF(M1539&lt;0,-M1539&amp;"_"&amp;COUNTIF(M$2:M1539,M1539),M1539&amp;"_"&amp;COUNTIF(M$2:M1539,M1539)))</f>
        <v>10688.47_1</v>
      </c>
      <c r="O1539" s="17" t="str">
        <f t="shared" si="24"/>
        <v/>
      </c>
      <c r="P1539" s="13" t="s">
        <v>1137</v>
      </c>
      <c r="Q1539" s="13" t="s">
        <v>1138</v>
      </c>
      <c r="R1539" s="13" t="s">
        <v>0</v>
      </c>
      <c r="S1539" s="13" t="s">
        <v>0</v>
      </c>
      <c r="T1539" s="13" t="s">
        <v>9</v>
      </c>
      <c r="U1539" s="13" t="s">
        <v>0</v>
      </c>
      <c r="V1539" s="13" t="s">
        <v>0</v>
      </c>
      <c r="W1539" s="13" t="s">
        <v>0</v>
      </c>
      <c r="X1539" s="13" t="s">
        <v>0</v>
      </c>
      <c r="Y1539" s="13" t="s">
        <v>10</v>
      </c>
      <c r="Z1539" s="13" t="s">
        <v>0</v>
      </c>
      <c r="AA1539" s="14"/>
      <c r="AB1539" s="13" t="s">
        <v>0</v>
      </c>
      <c r="AC1539" s="13" t="s">
        <v>0</v>
      </c>
      <c r="AD1539" s="13" t="s">
        <v>0</v>
      </c>
      <c r="AE1539" s="15">
        <v>0</v>
      </c>
    </row>
    <row r="1540" spans="1:31" ht="14.15" customHeight="1" x14ac:dyDescent="0.25">
      <c r="A1540" s="12" t="s">
        <v>0</v>
      </c>
      <c r="B1540" s="13" t="s">
        <v>1</v>
      </c>
      <c r="C1540" s="13" t="s">
        <v>3635</v>
      </c>
      <c r="D1540" s="14">
        <v>44331</v>
      </c>
      <c r="E1540" s="14">
        <v>44331</v>
      </c>
      <c r="F1540" s="14">
        <v>44336</v>
      </c>
      <c r="G1540" s="13" t="s">
        <v>3</v>
      </c>
      <c r="H1540" s="13" t="s">
        <v>4</v>
      </c>
      <c r="I1540" s="15">
        <v>-10680.71</v>
      </c>
      <c r="J1540" s="13" t="s">
        <v>5</v>
      </c>
      <c r="K1540" s="13" t="s">
        <v>6</v>
      </c>
      <c r="L1540" s="15">
        <v>-896645.6</v>
      </c>
      <c r="M1540" s="15">
        <v>-10680.71</v>
      </c>
      <c r="N1540" s="16" t="str">
        <f>IF(M1540="","",IF(M1540&lt;0,-M1540&amp;"_"&amp;COUNTIF(M$2:M1540,M1540),M1540&amp;"_"&amp;COUNTIF(M$2:M1540,M1540)))</f>
        <v>10680.71_1</v>
      </c>
      <c r="O1540" s="17" t="str">
        <f t="shared" si="24"/>
        <v/>
      </c>
      <c r="P1540" s="13" t="s">
        <v>3636</v>
      </c>
      <c r="Q1540" s="13" t="s">
        <v>3637</v>
      </c>
      <c r="R1540" s="13" t="s">
        <v>0</v>
      </c>
      <c r="S1540" s="13" t="s">
        <v>0</v>
      </c>
      <c r="T1540" s="13" t="s">
        <v>9</v>
      </c>
      <c r="U1540" s="13" t="s">
        <v>0</v>
      </c>
      <c r="V1540" s="13" t="s">
        <v>0</v>
      </c>
      <c r="W1540" s="13" t="s">
        <v>0</v>
      </c>
      <c r="X1540" s="13" t="s">
        <v>0</v>
      </c>
      <c r="Y1540" s="13" t="s">
        <v>10</v>
      </c>
      <c r="Z1540" s="13" t="s">
        <v>0</v>
      </c>
      <c r="AA1540" s="14"/>
      <c r="AB1540" s="13" t="s">
        <v>0</v>
      </c>
      <c r="AC1540" s="13" t="s">
        <v>0</v>
      </c>
      <c r="AD1540" s="13" t="s">
        <v>0</v>
      </c>
      <c r="AE1540" s="15">
        <v>0</v>
      </c>
    </row>
    <row r="1541" spans="1:31" ht="14.15" customHeight="1" x14ac:dyDescent="0.25">
      <c r="A1541" s="12" t="s">
        <v>0</v>
      </c>
      <c r="B1541" s="13" t="s">
        <v>1</v>
      </c>
      <c r="C1541" s="13" t="s">
        <v>631</v>
      </c>
      <c r="D1541" s="14">
        <v>44083</v>
      </c>
      <c r="E1541" s="14">
        <v>44083</v>
      </c>
      <c r="F1541" s="14">
        <v>44088</v>
      </c>
      <c r="G1541" s="13" t="s">
        <v>3</v>
      </c>
      <c r="H1541" s="13" t="s">
        <v>4</v>
      </c>
      <c r="I1541" s="15">
        <v>-10671.65</v>
      </c>
      <c r="J1541" s="13" t="s">
        <v>5</v>
      </c>
      <c r="K1541" s="13" t="s">
        <v>6</v>
      </c>
      <c r="L1541" s="15">
        <v>-895885.02</v>
      </c>
      <c r="M1541" s="15">
        <v>-10671.65</v>
      </c>
      <c r="N1541" s="16" t="str">
        <f>IF(M1541="","",IF(M1541&lt;0,-M1541&amp;"_"&amp;COUNTIF(M$2:M1541,M1541),M1541&amp;"_"&amp;COUNTIF(M$2:M1541,M1541)))</f>
        <v>10671.65_1</v>
      </c>
      <c r="O1541" s="17" t="str">
        <f t="shared" si="24"/>
        <v/>
      </c>
      <c r="P1541" s="13" t="s">
        <v>632</v>
      </c>
      <c r="Q1541" s="13" t="s">
        <v>624</v>
      </c>
      <c r="R1541" s="13" t="s">
        <v>0</v>
      </c>
      <c r="S1541" s="13" t="s">
        <v>0</v>
      </c>
      <c r="T1541" s="13" t="s">
        <v>9</v>
      </c>
      <c r="U1541" s="13" t="s">
        <v>0</v>
      </c>
      <c r="V1541" s="13" t="s">
        <v>0</v>
      </c>
      <c r="W1541" s="13" t="s">
        <v>0</v>
      </c>
      <c r="X1541" s="13" t="s">
        <v>0</v>
      </c>
      <c r="Y1541" s="13" t="s">
        <v>10</v>
      </c>
      <c r="Z1541" s="13" t="s">
        <v>0</v>
      </c>
      <c r="AA1541" s="14"/>
      <c r="AB1541" s="13" t="s">
        <v>0</v>
      </c>
      <c r="AC1541" s="13" t="s">
        <v>0</v>
      </c>
      <c r="AD1541" s="13" t="s">
        <v>0</v>
      </c>
      <c r="AE1541" s="15">
        <v>0</v>
      </c>
    </row>
    <row r="1542" spans="1:31" ht="14.15" customHeight="1" x14ac:dyDescent="0.25">
      <c r="A1542" s="12" t="s">
        <v>0</v>
      </c>
      <c r="B1542" s="13" t="s">
        <v>1</v>
      </c>
      <c r="C1542" s="13" t="s">
        <v>4207</v>
      </c>
      <c r="D1542" s="14">
        <v>44365</v>
      </c>
      <c r="E1542" s="14">
        <v>44365</v>
      </c>
      <c r="F1542" s="14">
        <v>44368</v>
      </c>
      <c r="G1542" s="13" t="s">
        <v>3</v>
      </c>
      <c r="H1542" s="13" t="s">
        <v>4</v>
      </c>
      <c r="I1542" s="15">
        <v>-10651.7</v>
      </c>
      <c r="J1542" s="13" t="s">
        <v>5</v>
      </c>
      <c r="K1542" s="13" t="s">
        <v>6</v>
      </c>
      <c r="L1542" s="15">
        <v>-894210.22</v>
      </c>
      <c r="M1542" s="15">
        <v>-10651.7</v>
      </c>
      <c r="N1542" s="16" t="str">
        <f>IF(M1542="","",IF(M1542&lt;0,-M1542&amp;"_"&amp;COUNTIF(M$2:M1542,M1542),M1542&amp;"_"&amp;COUNTIF(M$2:M1542,M1542)))</f>
        <v>10651.7_1</v>
      </c>
      <c r="O1542" s="17" t="str">
        <f t="shared" si="24"/>
        <v/>
      </c>
      <c r="P1542" s="13" t="s">
        <v>4208</v>
      </c>
      <c r="Q1542" s="13" t="s">
        <v>4209</v>
      </c>
      <c r="R1542" s="13" t="s">
        <v>0</v>
      </c>
      <c r="S1542" s="13" t="s">
        <v>0</v>
      </c>
      <c r="T1542" s="13" t="s">
        <v>9</v>
      </c>
      <c r="U1542" s="13" t="s">
        <v>0</v>
      </c>
      <c r="V1542" s="13" t="s">
        <v>0</v>
      </c>
      <c r="W1542" s="13" t="s">
        <v>0</v>
      </c>
      <c r="X1542" s="13" t="s">
        <v>0</v>
      </c>
      <c r="Y1542" s="13" t="s">
        <v>10</v>
      </c>
      <c r="Z1542" s="13" t="s">
        <v>0</v>
      </c>
      <c r="AA1542" s="14"/>
      <c r="AB1542" s="13" t="s">
        <v>0</v>
      </c>
      <c r="AC1542" s="13" t="s">
        <v>0</v>
      </c>
      <c r="AD1542" s="13" t="s">
        <v>0</v>
      </c>
      <c r="AE1542" s="15">
        <v>0</v>
      </c>
    </row>
    <row r="1543" spans="1:31" ht="14.15" customHeight="1" x14ac:dyDescent="0.25">
      <c r="A1543" s="12" t="s">
        <v>0</v>
      </c>
      <c r="B1543" s="13" t="s">
        <v>1</v>
      </c>
      <c r="C1543" s="13" t="s">
        <v>173</v>
      </c>
      <c r="D1543" s="14">
        <v>44034</v>
      </c>
      <c r="E1543" s="14">
        <v>44034</v>
      </c>
      <c r="F1543" s="14">
        <v>44037</v>
      </c>
      <c r="G1543" s="13" t="s">
        <v>3</v>
      </c>
      <c r="H1543" s="13" t="s">
        <v>4</v>
      </c>
      <c r="I1543" s="15">
        <v>-10640.55</v>
      </c>
      <c r="J1543" s="13" t="s">
        <v>5</v>
      </c>
      <c r="K1543" s="13" t="s">
        <v>6</v>
      </c>
      <c r="L1543" s="15">
        <v>-893274.18</v>
      </c>
      <c r="M1543" s="15">
        <v>-10640.55</v>
      </c>
      <c r="N1543" s="16" t="str">
        <f>IF(M1543="","",IF(M1543&lt;0,-M1543&amp;"_"&amp;COUNTIF(M$2:M1543,M1543),M1543&amp;"_"&amp;COUNTIF(M$2:M1543,M1543)))</f>
        <v>10640.55_1</v>
      </c>
      <c r="O1543" s="17" t="str">
        <f t="shared" si="24"/>
        <v/>
      </c>
      <c r="P1543" s="13" t="s">
        <v>174</v>
      </c>
      <c r="Q1543" s="13" t="s">
        <v>175</v>
      </c>
      <c r="R1543" s="13" t="s">
        <v>0</v>
      </c>
      <c r="S1543" s="13" t="s">
        <v>0</v>
      </c>
      <c r="T1543" s="13" t="s">
        <v>9</v>
      </c>
      <c r="U1543" s="13" t="s">
        <v>0</v>
      </c>
      <c r="V1543" s="13" t="s">
        <v>0</v>
      </c>
      <c r="W1543" s="13" t="s">
        <v>0</v>
      </c>
      <c r="X1543" s="13" t="s">
        <v>0</v>
      </c>
      <c r="Y1543" s="13" t="s">
        <v>10</v>
      </c>
      <c r="Z1543" s="13" t="s">
        <v>0</v>
      </c>
      <c r="AA1543" s="14"/>
      <c r="AB1543" s="13" t="s">
        <v>0</v>
      </c>
      <c r="AC1543" s="13" t="s">
        <v>0</v>
      </c>
      <c r="AD1543" s="13" t="s">
        <v>0</v>
      </c>
      <c r="AE1543" s="15">
        <v>0</v>
      </c>
    </row>
    <row r="1544" spans="1:31" ht="14.15" customHeight="1" x14ac:dyDescent="0.25">
      <c r="A1544" s="12" t="s">
        <v>0</v>
      </c>
      <c r="B1544" s="13" t="s">
        <v>1</v>
      </c>
      <c r="C1544" s="13" t="s">
        <v>883</v>
      </c>
      <c r="D1544" s="14">
        <v>44113</v>
      </c>
      <c r="E1544" s="14">
        <v>44113</v>
      </c>
      <c r="F1544" s="14">
        <v>44117</v>
      </c>
      <c r="G1544" s="13" t="s">
        <v>3</v>
      </c>
      <c r="H1544" s="13" t="s">
        <v>4</v>
      </c>
      <c r="I1544" s="15">
        <v>-10637.16</v>
      </c>
      <c r="J1544" s="13" t="s">
        <v>5</v>
      </c>
      <c r="K1544" s="13" t="s">
        <v>6</v>
      </c>
      <c r="L1544" s="15">
        <v>-892989.58</v>
      </c>
      <c r="M1544" s="15">
        <v>-10637.16</v>
      </c>
      <c r="N1544" s="16" t="str">
        <f>IF(M1544="","",IF(M1544&lt;0,-M1544&amp;"_"&amp;COUNTIF(M$2:M1544,M1544),M1544&amp;"_"&amp;COUNTIF(M$2:M1544,M1544)))</f>
        <v>10637.16_1</v>
      </c>
      <c r="O1544" s="17" t="str">
        <f t="shared" si="24"/>
        <v/>
      </c>
      <c r="P1544" s="13" t="s">
        <v>884</v>
      </c>
      <c r="Q1544" s="13" t="s">
        <v>882</v>
      </c>
      <c r="R1544" s="13" t="s">
        <v>0</v>
      </c>
      <c r="S1544" s="13" t="s">
        <v>0</v>
      </c>
      <c r="T1544" s="13" t="s">
        <v>9</v>
      </c>
      <c r="U1544" s="13" t="s">
        <v>0</v>
      </c>
      <c r="V1544" s="13" t="s">
        <v>0</v>
      </c>
      <c r="W1544" s="13" t="s">
        <v>0</v>
      </c>
      <c r="X1544" s="13" t="s">
        <v>0</v>
      </c>
      <c r="Y1544" s="13" t="s">
        <v>10</v>
      </c>
      <c r="Z1544" s="13" t="s">
        <v>0</v>
      </c>
      <c r="AA1544" s="14"/>
      <c r="AB1544" s="13" t="s">
        <v>0</v>
      </c>
      <c r="AC1544" s="13" t="s">
        <v>0</v>
      </c>
      <c r="AD1544" s="13" t="s">
        <v>0</v>
      </c>
      <c r="AE1544" s="15">
        <v>0</v>
      </c>
    </row>
    <row r="1545" spans="1:31" ht="14.15" customHeight="1" x14ac:dyDescent="0.25">
      <c r="A1545" s="12" t="s">
        <v>0</v>
      </c>
      <c r="B1545" s="13" t="s">
        <v>1</v>
      </c>
      <c r="C1545" s="13" t="s">
        <v>1054</v>
      </c>
      <c r="D1545" s="14">
        <v>44131</v>
      </c>
      <c r="E1545" s="14">
        <v>44131</v>
      </c>
      <c r="F1545" s="14">
        <v>44138</v>
      </c>
      <c r="G1545" s="13" t="s">
        <v>3</v>
      </c>
      <c r="H1545" s="13" t="s">
        <v>4</v>
      </c>
      <c r="I1545" s="15">
        <v>-10636.4</v>
      </c>
      <c r="J1545" s="13" t="s">
        <v>5</v>
      </c>
      <c r="K1545" s="13" t="s">
        <v>6</v>
      </c>
      <c r="L1545" s="15">
        <v>-892925.78</v>
      </c>
      <c r="M1545" s="15">
        <v>-10636.4</v>
      </c>
      <c r="N1545" s="16" t="str">
        <f>IF(M1545="","",IF(M1545&lt;0,-M1545&amp;"_"&amp;COUNTIF(M$2:M1545,M1545),M1545&amp;"_"&amp;COUNTIF(M$2:M1545,M1545)))</f>
        <v>10636.4_1</v>
      </c>
      <c r="O1545" s="17" t="str">
        <f t="shared" si="24"/>
        <v/>
      </c>
      <c r="P1545" s="13" t="s">
        <v>1055</v>
      </c>
      <c r="Q1545" s="13" t="s">
        <v>1041</v>
      </c>
      <c r="R1545" s="13" t="s">
        <v>0</v>
      </c>
      <c r="S1545" s="13" t="s">
        <v>0</v>
      </c>
      <c r="T1545" s="13" t="s">
        <v>9</v>
      </c>
      <c r="U1545" s="13" t="s">
        <v>0</v>
      </c>
      <c r="V1545" s="13" t="s">
        <v>0</v>
      </c>
      <c r="W1545" s="13" t="s">
        <v>0</v>
      </c>
      <c r="X1545" s="13" t="s">
        <v>0</v>
      </c>
      <c r="Y1545" s="13" t="s">
        <v>10</v>
      </c>
      <c r="Z1545" s="13" t="s">
        <v>0</v>
      </c>
      <c r="AA1545" s="14"/>
      <c r="AB1545" s="13" t="s">
        <v>0</v>
      </c>
      <c r="AC1545" s="13" t="s">
        <v>0</v>
      </c>
      <c r="AD1545" s="13" t="s">
        <v>0</v>
      </c>
      <c r="AE1545" s="15">
        <v>0</v>
      </c>
    </row>
    <row r="1546" spans="1:31" ht="14.15" customHeight="1" x14ac:dyDescent="0.25">
      <c r="A1546" s="12" t="s">
        <v>0</v>
      </c>
      <c r="B1546" s="13" t="s">
        <v>1</v>
      </c>
      <c r="C1546" s="13" t="s">
        <v>3299</v>
      </c>
      <c r="D1546" s="14">
        <v>44314</v>
      </c>
      <c r="E1546" s="14">
        <v>44314</v>
      </c>
      <c r="F1546" s="14">
        <v>44322</v>
      </c>
      <c r="G1546" s="13" t="s">
        <v>3</v>
      </c>
      <c r="H1546" s="13" t="s">
        <v>4</v>
      </c>
      <c r="I1546" s="15">
        <v>-10626.3</v>
      </c>
      <c r="J1546" s="13" t="s">
        <v>5</v>
      </c>
      <c r="K1546" s="13" t="s">
        <v>6</v>
      </c>
      <c r="L1546" s="15">
        <v>-892077.89</v>
      </c>
      <c r="M1546" s="15">
        <v>-10626.3</v>
      </c>
      <c r="N1546" s="16" t="str">
        <f>IF(M1546="","",IF(M1546&lt;0,-M1546&amp;"_"&amp;COUNTIF(M$2:M1546,M1546),M1546&amp;"_"&amp;COUNTIF(M$2:M1546,M1546)))</f>
        <v>10626.3_1</v>
      </c>
      <c r="O1546" s="17" t="str">
        <f t="shared" si="24"/>
        <v/>
      </c>
      <c r="P1546" s="13" t="s">
        <v>3300</v>
      </c>
      <c r="Q1546" s="13" t="s">
        <v>3284</v>
      </c>
      <c r="R1546" s="13" t="s">
        <v>0</v>
      </c>
      <c r="S1546" s="13" t="s">
        <v>0</v>
      </c>
      <c r="T1546" s="13" t="s">
        <v>9</v>
      </c>
      <c r="U1546" s="13" t="s">
        <v>0</v>
      </c>
      <c r="V1546" s="13" t="s">
        <v>0</v>
      </c>
      <c r="W1546" s="13" t="s">
        <v>0</v>
      </c>
      <c r="X1546" s="13" t="s">
        <v>0</v>
      </c>
      <c r="Y1546" s="13" t="s">
        <v>10</v>
      </c>
      <c r="Z1546" s="13" t="s">
        <v>0</v>
      </c>
      <c r="AA1546" s="14"/>
      <c r="AB1546" s="13" t="s">
        <v>0</v>
      </c>
      <c r="AC1546" s="13" t="s">
        <v>0</v>
      </c>
      <c r="AD1546" s="13" t="s">
        <v>0</v>
      </c>
      <c r="AE1546" s="15">
        <v>0</v>
      </c>
    </row>
    <row r="1547" spans="1:31" ht="14.15" customHeight="1" x14ac:dyDescent="0.25">
      <c r="A1547" s="12" t="s">
        <v>0</v>
      </c>
      <c r="B1547" s="13" t="s">
        <v>1</v>
      </c>
      <c r="C1547" s="13" t="s">
        <v>950</v>
      </c>
      <c r="D1547" s="14">
        <v>44122</v>
      </c>
      <c r="E1547" s="14">
        <v>44122</v>
      </c>
      <c r="F1547" s="14">
        <v>44126</v>
      </c>
      <c r="G1547" s="13" t="s">
        <v>3</v>
      </c>
      <c r="H1547" s="13" t="s">
        <v>4</v>
      </c>
      <c r="I1547" s="15">
        <v>-10600.77</v>
      </c>
      <c r="J1547" s="13" t="s">
        <v>5</v>
      </c>
      <c r="K1547" s="13" t="s">
        <v>6</v>
      </c>
      <c r="L1547" s="15">
        <v>-889934.65</v>
      </c>
      <c r="M1547" s="15">
        <v>-10600.77</v>
      </c>
      <c r="N1547" s="16" t="str">
        <f>IF(M1547="","",IF(M1547&lt;0,-M1547&amp;"_"&amp;COUNTIF(M$2:M1547,M1547),M1547&amp;"_"&amp;COUNTIF(M$2:M1547,M1547)))</f>
        <v>10600.77_1</v>
      </c>
      <c r="O1547" s="17" t="str">
        <f t="shared" si="24"/>
        <v/>
      </c>
      <c r="P1547" s="13" t="s">
        <v>951</v>
      </c>
      <c r="Q1547" s="13" t="s">
        <v>947</v>
      </c>
      <c r="R1547" s="13" t="s">
        <v>0</v>
      </c>
      <c r="S1547" s="13" t="s">
        <v>0</v>
      </c>
      <c r="T1547" s="13" t="s">
        <v>9</v>
      </c>
      <c r="U1547" s="13" t="s">
        <v>0</v>
      </c>
      <c r="V1547" s="13" t="s">
        <v>0</v>
      </c>
      <c r="W1547" s="13" t="s">
        <v>0</v>
      </c>
      <c r="X1547" s="13" t="s">
        <v>0</v>
      </c>
      <c r="Y1547" s="13" t="s">
        <v>10</v>
      </c>
      <c r="Z1547" s="13" t="s">
        <v>0</v>
      </c>
      <c r="AA1547" s="14"/>
      <c r="AB1547" s="13" t="s">
        <v>0</v>
      </c>
      <c r="AC1547" s="13" t="s">
        <v>0</v>
      </c>
      <c r="AD1547" s="13" t="s">
        <v>0</v>
      </c>
      <c r="AE1547" s="15">
        <v>0</v>
      </c>
    </row>
    <row r="1548" spans="1:31" ht="14.15" customHeight="1" x14ac:dyDescent="0.25">
      <c r="A1548" s="12" t="s">
        <v>0</v>
      </c>
      <c r="B1548" s="13" t="s">
        <v>1</v>
      </c>
      <c r="C1548" s="13" t="s">
        <v>3635</v>
      </c>
      <c r="D1548" s="14">
        <v>44331</v>
      </c>
      <c r="E1548" s="14">
        <v>44331</v>
      </c>
      <c r="F1548" s="14">
        <v>44336</v>
      </c>
      <c r="G1548" s="13" t="s">
        <v>3</v>
      </c>
      <c r="H1548" s="13" t="s">
        <v>4</v>
      </c>
      <c r="I1548" s="15">
        <v>-10587.37</v>
      </c>
      <c r="J1548" s="13" t="s">
        <v>5</v>
      </c>
      <c r="K1548" s="13" t="s">
        <v>6</v>
      </c>
      <c r="L1548" s="15">
        <v>-888809.71</v>
      </c>
      <c r="M1548" s="15">
        <v>-10587.37</v>
      </c>
      <c r="N1548" s="16" t="str">
        <f>IF(M1548="","",IF(M1548&lt;0,-M1548&amp;"_"&amp;COUNTIF(M$2:M1548,M1548),M1548&amp;"_"&amp;COUNTIF(M$2:M1548,M1548)))</f>
        <v>10587.37_1</v>
      </c>
      <c r="O1548" s="17" t="str">
        <f t="shared" si="24"/>
        <v/>
      </c>
      <c r="P1548" s="13" t="s">
        <v>3636</v>
      </c>
      <c r="Q1548" s="13" t="s">
        <v>3637</v>
      </c>
      <c r="R1548" s="13" t="s">
        <v>0</v>
      </c>
      <c r="S1548" s="13" t="s">
        <v>0</v>
      </c>
      <c r="T1548" s="13" t="s">
        <v>9</v>
      </c>
      <c r="U1548" s="13" t="s">
        <v>0</v>
      </c>
      <c r="V1548" s="13" t="s">
        <v>0</v>
      </c>
      <c r="W1548" s="13" t="s">
        <v>0</v>
      </c>
      <c r="X1548" s="13" t="s">
        <v>0</v>
      </c>
      <c r="Y1548" s="13" t="s">
        <v>10</v>
      </c>
      <c r="Z1548" s="13" t="s">
        <v>0</v>
      </c>
      <c r="AA1548" s="14"/>
      <c r="AB1548" s="13" t="s">
        <v>0</v>
      </c>
      <c r="AC1548" s="13" t="s">
        <v>0</v>
      </c>
      <c r="AD1548" s="13" t="s">
        <v>0</v>
      </c>
      <c r="AE1548" s="15">
        <v>0</v>
      </c>
    </row>
    <row r="1549" spans="1:31" ht="14.15" customHeight="1" x14ac:dyDescent="0.25">
      <c r="A1549" s="12" t="s">
        <v>0</v>
      </c>
      <c r="B1549" s="13" t="s">
        <v>1</v>
      </c>
      <c r="C1549" s="13" t="s">
        <v>2968</v>
      </c>
      <c r="D1549" s="14">
        <v>44278</v>
      </c>
      <c r="E1549" s="14">
        <v>44278</v>
      </c>
      <c r="F1549" s="14">
        <v>44283</v>
      </c>
      <c r="G1549" s="13" t="s">
        <v>3</v>
      </c>
      <c r="H1549" s="13" t="s">
        <v>4</v>
      </c>
      <c r="I1549" s="15">
        <v>-10566.49</v>
      </c>
      <c r="J1549" s="13" t="s">
        <v>5</v>
      </c>
      <c r="K1549" s="13" t="s">
        <v>6</v>
      </c>
      <c r="L1549" s="15">
        <v>-887056.84</v>
      </c>
      <c r="M1549" s="15">
        <v>-10566.49</v>
      </c>
      <c r="N1549" s="16" t="str">
        <f>IF(M1549="","",IF(M1549&lt;0,-M1549&amp;"_"&amp;COUNTIF(M$2:M1549,M1549),M1549&amp;"_"&amp;COUNTIF(M$2:M1549,M1549)))</f>
        <v>10566.49_1</v>
      </c>
      <c r="O1549" s="17" t="str">
        <f t="shared" si="24"/>
        <v/>
      </c>
      <c r="P1549" s="13" t="s">
        <v>2969</v>
      </c>
      <c r="Q1549" s="13" t="s">
        <v>2964</v>
      </c>
      <c r="R1549" s="13" t="s">
        <v>0</v>
      </c>
      <c r="S1549" s="13" t="s">
        <v>0</v>
      </c>
      <c r="T1549" s="13" t="s">
        <v>9</v>
      </c>
      <c r="U1549" s="13" t="s">
        <v>0</v>
      </c>
      <c r="V1549" s="13" t="s">
        <v>0</v>
      </c>
      <c r="W1549" s="13" t="s">
        <v>0</v>
      </c>
      <c r="X1549" s="13" t="s">
        <v>0</v>
      </c>
      <c r="Y1549" s="13" t="s">
        <v>10</v>
      </c>
      <c r="Z1549" s="13" t="s">
        <v>0</v>
      </c>
      <c r="AA1549" s="14"/>
      <c r="AB1549" s="13" t="s">
        <v>0</v>
      </c>
      <c r="AC1549" s="13" t="s">
        <v>0</v>
      </c>
      <c r="AD1549" s="13" t="s">
        <v>0</v>
      </c>
      <c r="AE1549" s="15">
        <v>0</v>
      </c>
    </row>
    <row r="1550" spans="1:31" ht="14.15" customHeight="1" x14ac:dyDescent="0.25">
      <c r="A1550" s="12" t="s">
        <v>0</v>
      </c>
      <c r="B1550" s="13" t="s">
        <v>1</v>
      </c>
      <c r="C1550" s="13" t="s">
        <v>2037</v>
      </c>
      <c r="D1550" s="14">
        <v>44197</v>
      </c>
      <c r="E1550" s="14">
        <v>44197</v>
      </c>
      <c r="F1550" s="14">
        <v>44201</v>
      </c>
      <c r="G1550" s="13" t="s">
        <v>3</v>
      </c>
      <c r="H1550" s="13" t="s">
        <v>4</v>
      </c>
      <c r="I1550" s="15">
        <v>-10564.66</v>
      </c>
      <c r="J1550" s="13" t="s">
        <v>5</v>
      </c>
      <c r="K1550" s="13" t="s">
        <v>6</v>
      </c>
      <c r="L1550" s="15">
        <v>-886903.21</v>
      </c>
      <c r="M1550" s="15">
        <v>-10564.66</v>
      </c>
      <c r="N1550" s="16" t="str">
        <f>IF(M1550="","",IF(M1550&lt;0,-M1550&amp;"_"&amp;COUNTIF(M$2:M1550,M1550),M1550&amp;"_"&amp;COUNTIF(M$2:M1550,M1550)))</f>
        <v>10564.66_1</v>
      </c>
      <c r="O1550" s="17" t="str">
        <f t="shared" si="24"/>
        <v/>
      </c>
      <c r="P1550" s="13" t="s">
        <v>2038</v>
      </c>
      <c r="Q1550" s="13" t="s">
        <v>2034</v>
      </c>
      <c r="R1550" s="13" t="s">
        <v>0</v>
      </c>
      <c r="S1550" s="13" t="s">
        <v>0</v>
      </c>
      <c r="T1550" s="13" t="s">
        <v>9</v>
      </c>
      <c r="U1550" s="13" t="s">
        <v>0</v>
      </c>
      <c r="V1550" s="13" t="s">
        <v>0</v>
      </c>
      <c r="W1550" s="13" t="s">
        <v>0</v>
      </c>
      <c r="X1550" s="13" t="s">
        <v>0</v>
      </c>
      <c r="Y1550" s="13" t="s">
        <v>10</v>
      </c>
      <c r="Z1550" s="13" t="s">
        <v>0</v>
      </c>
      <c r="AA1550" s="14"/>
      <c r="AB1550" s="13" t="s">
        <v>0</v>
      </c>
      <c r="AC1550" s="13" t="s">
        <v>0</v>
      </c>
      <c r="AD1550" s="13" t="s">
        <v>0</v>
      </c>
      <c r="AE1550" s="15">
        <v>0</v>
      </c>
    </row>
    <row r="1551" spans="1:31" ht="14.15" customHeight="1" x14ac:dyDescent="0.25">
      <c r="A1551" s="12" t="s">
        <v>0</v>
      </c>
      <c r="B1551" s="13" t="s">
        <v>1</v>
      </c>
      <c r="C1551" s="13" t="s">
        <v>228</v>
      </c>
      <c r="D1551" s="14">
        <v>44039</v>
      </c>
      <c r="E1551" s="14">
        <v>44039</v>
      </c>
      <c r="F1551" s="14">
        <v>44042</v>
      </c>
      <c r="G1551" s="13" t="s">
        <v>3</v>
      </c>
      <c r="H1551" s="13" t="s">
        <v>4</v>
      </c>
      <c r="I1551" s="15">
        <v>-10564.47</v>
      </c>
      <c r="J1551" s="13" t="s">
        <v>5</v>
      </c>
      <c r="K1551" s="13" t="s">
        <v>6</v>
      </c>
      <c r="L1551" s="15">
        <v>-886887.26</v>
      </c>
      <c r="M1551" s="15">
        <v>-10564.47</v>
      </c>
      <c r="N1551" s="16" t="str">
        <f>IF(M1551="","",IF(M1551&lt;0,-M1551&amp;"_"&amp;COUNTIF(M$2:M1551,M1551),M1551&amp;"_"&amp;COUNTIF(M$2:M1551,M1551)))</f>
        <v>10564.47_1</v>
      </c>
      <c r="O1551" s="17" t="str">
        <f t="shared" si="24"/>
        <v/>
      </c>
      <c r="P1551" s="13" t="s">
        <v>229</v>
      </c>
      <c r="Q1551" s="13" t="s">
        <v>230</v>
      </c>
      <c r="R1551" s="13" t="s">
        <v>0</v>
      </c>
      <c r="S1551" s="13" t="s">
        <v>0</v>
      </c>
      <c r="T1551" s="13" t="s">
        <v>9</v>
      </c>
      <c r="U1551" s="13" t="s">
        <v>0</v>
      </c>
      <c r="V1551" s="13" t="s">
        <v>0</v>
      </c>
      <c r="W1551" s="13" t="s">
        <v>0</v>
      </c>
      <c r="X1551" s="13" t="s">
        <v>0</v>
      </c>
      <c r="Y1551" s="13" t="s">
        <v>10</v>
      </c>
      <c r="Z1551" s="13" t="s">
        <v>0</v>
      </c>
      <c r="AA1551" s="14"/>
      <c r="AB1551" s="13" t="s">
        <v>0</v>
      </c>
      <c r="AC1551" s="13" t="s">
        <v>0</v>
      </c>
      <c r="AD1551" s="13" t="s">
        <v>0</v>
      </c>
      <c r="AE1551" s="15">
        <v>0</v>
      </c>
    </row>
    <row r="1552" spans="1:31" ht="14.15" customHeight="1" x14ac:dyDescent="0.25">
      <c r="A1552" s="12" t="s">
        <v>0</v>
      </c>
      <c r="B1552" s="13" t="s">
        <v>1</v>
      </c>
      <c r="C1552" s="13" t="s">
        <v>3635</v>
      </c>
      <c r="D1552" s="14">
        <v>44331</v>
      </c>
      <c r="E1552" s="14">
        <v>44331</v>
      </c>
      <c r="F1552" s="14">
        <v>44336</v>
      </c>
      <c r="G1552" s="13" t="s">
        <v>3</v>
      </c>
      <c r="H1552" s="13" t="s">
        <v>4</v>
      </c>
      <c r="I1552" s="15">
        <v>-10559.23</v>
      </c>
      <c r="J1552" s="13" t="s">
        <v>5</v>
      </c>
      <c r="K1552" s="13" t="s">
        <v>6</v>
      </c>
      <c r="L1552" s="15">
        <v>-886447.36</v>
      </c>
      <c r="M1552" s="15">
        <v>-10559.23</v>
      </c>
      <c r="N1552" s="16" t="str">
        <f>IF(M1552="","",IF(M1552&lt;0,-M1552&amp;"_"&amp;COUNTIF(M$2:M1552,M1552),M1552&amp;"_"&amp;COUNTIF(M$2:M1552,M1552)))</f>
        <v>10559.23_1</v>
      </c>
      <c r="O1552" s="17" t="str">
        <f t="shared" si="24"/>
        <v/>
      </c>
      <c r="P1552" s="13" t="s">
        <v>3636</v>
      </c>
      <c r="Q1552" s="13" t="s">
        <v>3637</v>
      </c>
      <c r="R1552" s="13" t="s">
        <v>0</v>
      </c>
      <c r="S1552" s="13" t="s">
        <v>0</v>
      </c>
      <c r="T1552" s="13" t="s">
        <v>9</v>
      </c>
      <c r="U1552" s="13" t="s">
        <v>0</v>
      </c>
      <c r="V1552" s="13" t="s">
        <v>0</v>
      </c>
      <c r="W1552" s="13" t="s">
        <v>0</v>
      </c>
      <c r="X1552" s="13" t="s">
        <v>0</v>
      </c>
      <c r="Y1552" s="13" t="s">
        <v>10</v>
      </c>
      <c r="Z1552" s="13" t="s">
        <v>0</v>
      </c>
      <c r="AA1552" s="14"/>
      <c r="AB1552" s="13" t="s">
        <v>0</v>
      </c>
      <c r="AC1552" s="13" t="s">
        <v>0</v>
      </c>
      <c r="AD1552" s="13" t="s">
        <v>0</v>
      </c>
      <c r="AE1552" s="15">
        <v>0</v>
      </c>
    </row>
    <row r="1553" spans="1:31" ht="14.15" customHeight="1" x14ac:dyDescent="0.25">
      <c r="A1553" s="12" t="s">
        <v>0</v>
      </c>
      <c r="B1553" s="13" t="s">
        <v>1</v>
      </c>
      <c r="C1553" s="13" t="s">
        <v>4191</v>
      </c>
      <c r="D1553" s="14">
        <v>44364</v>
      </c>
      <c r="E1553" s="14">
        <v>44364</v>
      </c>
      <c r="F1553" s="14">
        <v>44370</v>
      </c>
      <c r="G1553" s="13" t="s">
        <v>3</v>
      </c>
      <c r="H1553" s="13" t="s">
        <v>4</v>
      </c>
      <c r="I1553" s="15">
        <v>-10557.34</v>
      </c>
      <c r="J1553" s="13" t="s">
        <v>5</v>
      </c>
      <c r="K1553" s="13" t="s">
        <v>6</v>
      </c>
      <c r="L1553" s="15">
        <v>-886288.69</v>
      </c>
      <c r="M1553" s="15">
        <v>-10557.34</v>
      </c>
      <c r="N1553" s="16" t="str">
        <f>IF(M1553="","",IF(M1553&lt;0,-M1553&amp;"_"&amp;COUNTIF(M$2:M1553,M1553),M1553&amp;"_"&amp;COUNTIF(M$2:M1553,M1553)))</f>
        <v>10557.34_1</v>
      </c>
      <c r="O1553" s="17" t="str">
        <f t="shared" si="24"/>
        <v/>
      </c>
      <c r="P1553" s="13" t="s">
        <v>4192</v>
      </c>
      <c r="Q1553" s="13" t="s">
        <v>4180</v>
      </c>
      <c r="R1553" s="13" t="s">
        <v>0</v>
      </c>
      <c r="S1553" s="13" t="s">
        <v>0</v>
      </c>
      <c r="T1553" s="13" t="s">
        <v>9</v>
      </c>
      <c r="U1553" s="13" t="s">
        <v>0</v>
      </c>
      <c r="V1553" s="13" t="s">
        <v>0</v>
      </c>
      <c r="W1553" s="13" t="s">
        <v>0</v>
      </c>
      <c r="X1553" s="13" t="s">
        <v>0</v>
      </c>
      <c r="Y1553" s="13" t="s">
        <v>10</v>
      </c>
      <c r="Z1553" s="13" t="s">
        <v>0</v>
      </c>
      <c r="AA1553" s="14"/>
      <c r="AB1553" s="13" t="s">
        <v>0</v>
      </c>
      <c r="AC1553" s="13" t="s">
        <v>0</v>
      </c>
      <c r="AD1553" s="13" t="s">
        <v>0</v>
      </c>
      <c r="AE1553" s="15">
        <v>0</v>
      </c>
    </row>
    <row r="1554" spans="1:31" ht="14.15" customHeight="1" x14ac:dyDescent="0.25">
      <c r="A1554" s="12" t="s">
        <v>0</v>
      </c>
      <c r="B1554" s="13" t="s">
        <v>1</v>
      </c>
      <c r="C1554" s="13" t="s">
        <v>898</v>
      </c>
      <c r="D1554" s="14">
        <v>44114</v>
      </c>
      <c r="E1554" s="14">
        <v>44114</v>
      </c>
      <c r="F1554" s="14">
        <v>44118</v>
      </c>
      <c r="G1554" s="13" t="s">
        <v>3</v>
      </c>
      <c r="H1554" s="13" t="s">
        <v>4</v>
      </c>
      <c r="I1554" s="15">
        <v>-10548.11</v>
      </c>
      <c r="J1554" s="13" t="s">
        <v>5</v>
      </c>
      <c r="K1554" s="13" t="s">
        <v>6</v>
      </c>
      <c r="L1554" s="15">
        <v>-885513.83</v>
      </c>
      <c r="M1554" s="15">
        <v>-10548.11</v>
      </c>
      <c r="N1554" s="16" t="str">
        <f>IF(M1554="","",IF(M1554&lt;0,-M1554&amp;"_"&amp;COUNTIF(M$2:M1554,M1554),M1554&amp;"_"&amp;COUNTIF(M$2:M1554,M1554)))</f>
        <v>10548.11_1</v>
      </c>
      <c r="O1554" s="17" t="str">
        <f t="shared" si="24"/>
        <v/>
      </c>
      <c r="P1554" s="13" t="s">
        <v>899</v>
      </c>
      <c r="Q1554" s="13" t="s">
        <v>900</v>
      </c>
      <c r="R1554" s="13" t="s">
        <v>0</v>
      </c>
      <c r="S1554" s="13" t="s">
        <v>0</v>
      </c>
      <c r="T1554" s="13" t="s">
        <v>9</v>
      </c>
      <c r="U1554" s="13" t="s">
        <v>0</v>
      </c>
      <c r="V1554" s="13" t="s">
        <v>0</v>
      </c>
      <c r="W1554" s="13" t="s">
        <v>0</v>
      </c>
      <c r="X1554" s="13" t="s">
        <v>0</v>
      </c>
      <c r="Y1554" s="13" t="s">
        <v>10</v>
      </c>
      <c r="Z1554" s="13" t="s">
        <v>0</v>
      </c>
      <c r="AA1554" s="14"/>
      <c r="AB1554" s="13" t="s">
        <v>0</v>
      </c>
      <c r="AC1554" s="13" t="s">
        <v>0</v>
      </c>
      <c r="AD1554" s="13" t="s">
        <v>0</v>
      </c>
      <c r="AE1554" s="15">
        <v>0</v>
      </c>
    </row>
    <row r="1555" spans="1:31" ht="14.15" customHeight="1" x14ac:dyDescent="0.25">
      <c r="A1555" s="12" t="s">
        <v>0</v>
      </c>
      <c r="B1555" s="13" t="s">
        <v>1</v>
      </c>
      <c r="C1555" s="13" t="s">
        <v>2248</v>
      </c>
      <c r="D1555" s="14">
        <v>44215</v>
      </c>
      <c r="E1555" s="14">
        <v>44215</v>
      </c>
      <c r="F1555" s="14">
        <v>44222</v>
      </c>
      <c r="G1555" s="13" t="s">
        <v>3</v>
      </c>
      <c r="H1555" s="13" t="s">
        <v>4</v>
      </c>
      <c r="I1555" s="15">
        <v>-10537.23</v>
      </c>
      <c r="J1555" s="13" t="s">
        <v>5</v>
      </c>
      <c r="K1555" s="13" t="s">
        <v>6</v>
      </c>
      <c r="L1555" s="15">
        <v>-884600.46</v>
      </c>
      <c r="M1555" s="15">
        <v>-10537.23</v>
      </c>
      <c r="N1555" s="16" t="str">
        <f>IF(M1555="","",IF(M1555&lt;0,-M1555&amp;"_"&amp;COUNTIF(M$2:M1555,M1555),M1555&amp;"_"&amp;COUNTIF(M$2:M1555,M1555)))</f>
        <v>10537.23_1</v>
      </c>
      <c r="O1555" s="17" t="str">
        <f t="shared" si="24"/>
        <v/>
      </c>
      <c r="P1555" s="13" t="s">
        <v>2249</v>
      </c>
      <c r="Q1555" s="13" t="s">
        <v>2250</v>
      </c>
      <c r="R1555" s="13" t="s">
        <v>0</v>
      </c>
      <c r="S1555" s="13" t="s">
        <v>0</v>
      </c>
      <c r="T1555" s="13" t="s">
        <v>9</v>
      </c>
      <c r="U1555" s="13" t="s">
        <v>0</v>
      </c>
      <c r="V1555" s="13" t="s">
        <v>0</v>
      </c>
      <c r="W1555" s="13" t="s">
        <v>0</v>
      </c>
      <c r="X1555" s="13" t="s">
        <v>0</v>
      </c>
      <c r="Y1555" s="13" t="s">
        <v>10</v>
      </c>
      <c r="Z1555" s="13" t="s">
        <v>0</v>
      </c>
      <c r="AA1555" s="14"/>
      <c r="AB1555" s="13" t="s">
        <v>0</v>
      </c>
      <c r="AC1555" s="13" t="s">
        <v>0</v>
      </c>
      <c r="AD1555" s="13" t="s">
        <v>0</v>
      </c>
      <c r="AE1555" s="15">
        <v>0</v>
      </c>
    </row>
    <row r="1556" spans="1:31" ht="14.15" customHeight="1" x14ac:dyDescent="0.25">
      <c r="A1556" s="12" t="s">
        <v>0</v>
      </c>
      <c r="B1556" s="13" t="s">
        <v>1</v>
      </c>
      <c r="C1556" s="13" t="s">
        <v>3285</v>
      </c>
      <c r="D1556" s="14">
        <v>44314</v>
      </c>
      <c r="E1556" s="14">
        <v>44314</v>
      </c>
      <c r="F1556" s="14">
        <v>44319</v>
      </c>
      <c r="G1556" s="13" t="s">
        <v>3</v>
      </c>
      <c r="H1556" s="13" t="s">
        <v>4</v>
      </c>
      <c r="I1556" s="15">
        <v>-10531.1</v>
      </c>
      <c r="J1556" s="13" t="s">
        <v>5</v>
      </c>
      <c r="K1556" s="13" t="s">
        <v>6</v>
      </c>
      <c r="L1556" s="15">
        <v>-884085.85</v>
      </c>
      <c r="M1556" s="15">
        <v>-10531.1</v>
      </c>
      <c r="N1556" s="16" t="str">
        <f>IF(M1556="","",IF(M1556&lt;0,-M1556&amp;"_"&amp;COUNTIF(M$2:M1556,M1556),M1556&amp;"_"&amp;COUNTIF(M$2:M1556,M1556)))</f>
        <v>10531.1_1</v>
      </c>
      <c r="O1556" s="17" t="str">
        <f t="shared" si="24"/>
        <v/>
      </c>
      <c r="P1556" s="13" t="s">
        <v>3286</v>
      </c>
      <c r="Q1556" s="13" t="s">
        <v>3284</v>
      </c>
      <c r="R1556" s="13" t="s">
        <v>0</v>
      </c>
      <c r="S1556" s="13" t="s">
        <v>0</v>
      </c>
      <c r="T1556" s="13" t="s">
        <v>9</v>
      </c>
      <c r="U1556" s="13" t="s">
        <v>0</v>
      </c>
      <c r="V1556" s="13" t="s">
        <v>0</v>
      </c>
      <c r="W1556" s="13" t="s">
        <v>0</v>
      </c>
      <c r="X1556" s="13" t="s">
        <v>0</v>
      </c>
      <c r="Y1556" s="13" t="s">
        <v>10</v>
      </c>
      <c r="Z1556" s="13" t="s">
        <v>0</v>
      </c>
      <c r="AA1556" s="14"/>
      <c r="AB1556" s="13" t="s">
        <v>0</v>
      </c>
      <c r="AC1556" s="13" t="s">
        <v>0</v>
      </c>
      <c r="AD1556" s="13" t="s">
        <v>0</v>
      </c>
      <c r="AE1556" s="15">
        <v>0</v>
      </c>
    </row>
    <row r="1557" spans="1:31" ht="14.15" customHeight="1" x14ac:dyDescent="0.25">
      <c r="A1557" s="12" t="s">
        <v>0</v>
      </c>
      <c r="B1557" s="13" t="s">
        <v>1</v>
      </c>
      <c r="C1557" s="13" t="s">
        <v>2125</v>
      </c>
      <c r="D1557" s="14">
        <v>44202</v>
      </c>
      <c r="E1557" s="14">
        <v>44202</v>
      </c>
      <c r="F1557" s="14">
        <v>44208</v>
      </c>
      <c r="G1557" s="13" t="s">
        <v>3</v>
      </c>
      <c r="H1557" s="13" t="s">
        <v>4</v>
      </c>
      <c r="I1557" s="15">
        <v>-10472.91</v>
      </c>
      <c r="J1557" s="13" t="s">
        <v>5</v>
      </c>
      <c r="K1557" s="13" t="s">
        <v>6</v>
      </c>
      <c r="L1557" s="15">
        <v>-879200.79</v>
      </c>
      <c r="M1557" s="15">
        <v>-10472.91</v>
      </c>
      <c r="N1557" s="16" t="str">
        <f>IF(M1557="","",IF(M1557&lt;0,-M1557&amp;"_"&amp;COUNTIF(M$2:M1557,M1557),M1557&amp;"_"&amp;COUNTIF(M$2:M1557,M1557)))</f>
        <v>10472.91_1</v>
      </c>
      <c r="O1557" s="17" t="str">
        <f t="shared" si="24"/>
        <v/>
      </c>
      <c r="P1557" s="13" t="s">
        <v>2126</v>
      </c>
      <c r="Q1557" s="13" t="s">
        <v>2127</v>
      </c>
      <c r="R1557" s="13" t="s">
        <v>0</v>
      </c>
      <c r="S1557" s="13" t="s">
        <v>0</v>
      </c>
      <c r="T1557" s="13" t="s">
        <v>9</v>
      </c>
      <c r="U1557" s="13" t="s">
        <v>0</v>
      </c>
      <c r="V1557" s="13" t="s">
        <v>0</v>
      </c>
      <c r="W1557" s="13" t="s">
        <v>0</v>
      </c>
      <c r="X1557" s="13" t="s">
        <v>0</v>
      </c>
      <c r="Y1557" s="13" t="s">
        <v>10</v>
      </c>
      <c r="Z1557" s="13" t="s">
        <v>0</v>
      </c>
      <c r="AA1557" s="14"/>
      <c r="AB1557" s="13" t="s">
        <v>0</v>
      </c>
      <c r="AC1557" s="13" t="s">
        <v>0</v>
      </c>
      <c r="AD1557" s="13" t="s">
        <v>0</v>
      </c>
      <c r="AE1557" s="15">
        <v>0</v>
      </c>
    </row>
    <row r="1558" spans="1:31" ht="14.15" customHeight="1" x14ac:dyDescent="0.25">
      <c r="A1558" s="12" t="s">
        <v>0</v>
      </c>
      <c r="B1558" s="13" t="s">
        <v>289</v>
      </c>
      <c r="C1558" s="13" t="s">
        <v>3827</v>
      </c>
      <c r="D1558" s="14">
        <v>44347</v>
      </c>
      <c r="E1558" s="14">
        <v>44347</v>
      </c>
      <c r="F1558" s="14">
        <v>44353</v>
      </c>
      <c r="G1558" s="13" t="s">
        <v>48</v>
      </c>
      <c r="H1558" s="13" t="s">
        <v>4</v>
      </c>
      <c r="I1558" s="15">
        <v>-10472.91</v>
      </c>
      <c r="J1558" s="13" t="s">
        <v>3828</v>
      </c>
      <c r="K1558" s="13" t="s">
        <v>6</v>
      </c>
      <c r="L1558" s="15">
        <v>-879199.96</v>
      </c>
      <c r="M1558" s="15">
        <v>-10472.91</v>
      </c>
      <c r="N1558" s="16" t="str">
        <f>IF(M1558="","",IF(M1558&lt;0,-M1558&amp;"_"&amp;COUNTIF(M$2:M1558,M1558),M1558&amp;"_"&amp;COUNTIF(M$2:M1558,M1558)))</f>
        <v>10472.91_2</v>
      </c>
      <c r="O1558" s="17" t="str">
        <f t="shared" si="24"/>
        <v/>
      </c>
      <c r="P1558" s="13" t="s">
        <v>3829</v>
      </c>
      <c r="Q1558" s="13" t="s">
        <v>3829</v>
      </c>
      <c r="R1558" s="13" t="s">
        <v>1994</v>
      </c>
      <c r="S1558" s="13" t="s">
        <v>0</v>
      </c>
      <c r="T1558" s="13" t="s">
        <v>9</v>
      </c>
      <c r="U1558" s="13" t="s">
        <v>1995</v>
      </c>
      <c r="V1558" s="13" t="s">
        <v>0</v>
      </c>
      <c r="W1558" s="13" t="s">
        <v>0</v>
      </c>
      <c r="X1558" s="13" t="s">
        <v>0</v>
      </c>
      <c r="Y1558" s="13" t="s">
        <v>0</v>
      </c>
      <c r="Z1558" s="13" t="s">
        <v>0</v>
      </c>
      <c r="AA1558" s="14"/>
      <c r="AB1558" s="13" t="s">
        <v>0</v>
      </c>
      <c r="AC1558" s="13" t="s">
        <v>0</v>
      </c>
      <c r="AD1558" s="13" t="s">
        <v>0</v>
      </c>
      <c r="AE1558" s="15">
        <v>0</v>
      </c>
    </row>
    <row r="1559" spans="1:31" ht="14.15" customHeight="1" x14ac:dyDescent="0.25">
      <c r="A1559" s="12" t="s">
        <v>0</v>
      </c>
      <c r="B1559" s="13" t="s">
        <v>1</v>
      </c>
      <c r="C1559" s="13" t="s">
        <v>3159</v>
      </c>
      <c r="D1559" s="14">
        <v>44297</v>
      </c>
      <c r="E1559" s="14">
        <v>44297</v>
      </c>
      <c r="F1559" s="14">
        <v>44308</v>
      </c>
      <c r="G1559" s="13" t="s">
        <v>3</v>
      </c>
      <c r="H1559" s="13" t="s">
        <v>4</v>
      </c>
      <c r="I1559" s="15">
        <v>-10472.76</v>
      </c>
      <c r="J1559" s="13" t="s">
        <v>5</v>
      </c>
      <c r="K1559" s="13" t="s">
        <v>6</v>
      </c>
      <c r="L1559" s="15">
        <v>-879188.2</v>
      </c>
      <c r="M1559" s="15">
        <v>-10472.76</v>
      </c>
      <c r="N1559" s="16" t="str">
        <f>IF(M1559="","",IF(M1559&lt;0,-M1559&amp;"_"&amp;COUNTIF(M$2:M1559,M1559),M1559&amp;"_"&amp;COUNTIF(M$2:M1559,M1559)))</f>
        <v>10472.76_1</v>
      </c>
      <c r="O1559" s="17" t="str">
        <f t="shared" si="24"/>
        <v/>
      </c>
      <c r="P1559" s="13" t="s">
        <v>3160</v>
      </c>
      <c r="Q1559" s="13" t="s">
        <v>3152</v>
      </c>
      <c r="R1559" s="13" t="s">
        <v>0</v>
      </c>
      <c r="S1559" s="13" t="s">
        <v>0</v>
      </c>
      <c r="T1559" s="13" t="s">
        <v>9</v>
      </c>
      <c r="U1559" s="13" t="s">
        <v>0</v>
      </c>
      <c r="V1559" s="13" t="s">
        <v>0</v>
      </c>
      <c r="W1559" s="13" t="s">
        <v>0</v>
      </c>
      <c r="X1559" s="13" t="s">
        <v>0</v>
      </c>
      <c r="Y1559" s="13" t="s">
        <v>10</v>
      </c>
      <c r="Z1559" s="13" t="s">
        <v>0</v>
      </c>
      <c r="AA1559" s="14"/>
      <c r="AB1559" s="13" t="s">
        <v>0</v>
      </c>
      <c r="AC1559" s="13" t="s">
        <v>0</v>
      </c>
      <c r="AD1559" s="13" t="s">
        <v>0</v>
      </c>
      <c r="AE1559" s="15">
        <v>0</v>
      </c>
    </row>
    <row r="1560" spans="1:31" ht="14.15" customHeight="1" x14ac:dyDescent="0.25">
      <c r="A1560" s="12" t="s">
        <v>0</v>
      </c>
      <c r="B1560" s="13" t="s">
        <v>1</v>
      </c>
      <c r="C1560" s="13" t="s">
        <v>1748</v>
      </c>
      <c r="D1560" s="14">
        <v>44178</v>
      </c>
      <c r="E1560" s="14">
        <v>44178</v>
      </c>
      <c r="F1560" s="14">
        <v>44188</v>
      </c>
      <c r="G1560" s="13" t="s">
        <v>3</v>
      </c>
      <c r="H1560" s="13" t="s">
        <v>4</v>
      </c>
      <c r="I1560" s="15">
        <v>-10465.469999999999</v>
      </c>
      <c r="J1560" s="13" t="s">
        <v>5</v>
      </c>
      <c r="K1560" s="13" t="s">
        <v>6</v>
      </c>
      <c r="L1560" s="15">
        <v>-878576.21</v>
      </c>
      <c r="M1560" s="15">
        <v>-10465.469999999999</v>
      </c>
      <c r="N1560" s="16" t="str">
        <f>IF(M1560="","",IF(M1560&lt;0,-M1560&amp;"_"&amp;COUNTIF(M$2:M1560,M1560),M1560&amp;"_"&amp;COUNTIF(M$2:M1560,M1560)))</f>
        <v>10465.47_1</v>
      </c>
      <c r="O1560" s="17" t="str">
        <f t="shared" si="24"/>
        <v/>
      </c>
      <c r="P1560" s="13" t="s">
        <v>1749</v>
      </c>
      <c r="Q1560" s="13" t="s">
        <v>1739</v>
      </c>
      <c r="R1560" s="13" t="s">
        <v>0</v>
      </c>
      <c r="S1560" s="13" t="s">
        <v>0</v>
      </c>
      <c r="T1560" s="13" t="s">
        <v>9</v>
      </c>
      <c r="U1560" s="13" t="s">
        <v>0</v>
      </c>
      <c r="V1560" s="13" t="s">
        <v>0</v>
      </c>
      <c r="W1560" s="13" t="s">
        <v>0</v>
      </c>
      <c r="X1560" s="13" t="s">
        <v>0</v>
      </c>
      <c r="Y1560" s="13" t="s">
        <v>10</v>
      </c>
      <c r="Z1560" s="13" t="s">
        <v>0</v>
      </c>
      <c r="AA1560" s="14"/>
      <c r="AB1560" s="13" t="s">
        <v>0</v>
      </c>
      <c r="AC1560" s="13" t="s">
        <v>0</v>
      </c>
      <c r="AD1560" s="13" t="s">
        <v>0</v>
      </c>
      <c r="AE1560" s="15">
        <v>0</v>
      </c>
    </row>
    <row r="1561" spans="1:31" ht="14.15" customHeight="1" x14ac:dyDescent="0.25">
      <c r="A1561" s="12" t="s">
        <v>0</v>
      </c>
      <c r="B1561" s="13" t="s">
        <v>1</v>
      </c>
      <c r="C1561" s="13" t="s">
        <v>3285</v>
      </c>
      <c r="D1561" s="14">
        <v>44314</v>
      </c>
      <c r="E1561" s="14">
        <v>44314</v>
      </c>
      <c r="F1561" s="14">
        <v>44319</v>
      </c>
      <c r="G1561" s="13" t="s">
        <v>3</v>
      </c>
      <c r="H1561" s="13" t="s">
        <v>4</v>
      </c>
      <c r="I1561" s="15">
        <v>-10448.77</v>
      </c>
      <c r="J1561" s="13" t="s">
        <v>5</v>
      </c>
      <c r="K1561" s="13" t="s">
        <v>6</v>
      </c>
      <c r="L1561" s="15">
        <v>-877174.24</v>
      </c>
      <c r="M1561" s="15">
        <v>-10448.77</v>
      </c>
      <c r="N1561" s="16" t="str">
        <f>IF(M1561="","",IF(M1561&lt;0,-M1561&amp;"_"&amp;COUNTIF(M$2:M1561,M1561),M1561&amp;"_"&amp;COUNTIF(M$2:M1561,M1561)))</f>
        <v>10448.77_1</v>
      </c>
      <c r="O1561" s="17" t="str">
        <f t="shared" si="24"/>
        <v/>
      </c>
      <c r="P1561" s="13" t="s">
        <v>3286</v>
      </c>
      <c r="Q1561" s="13" t="s">
        <v>3284</v>
      </c>
      <c r="R1561" s="13" t="s">
        <v>0</v>
      </c>
      <c r="S1561" s="13" t="s">
        <v>0</v>
      </c>
      <c r="T1561" s="13" t="s">
        <v>9</v>
      </c>
      <c r="U1561" s="13" t="s">
        <v>0</v>
      </c>
      <c r="V1561" s="13" t="s">
        <v>0</v>
      </c>
      <c r="W1561" s="13" t="s">
        <v>0</v>
      </c>
      <c r="X1561" s="13" t="s">
        <v>0</v>
      </c>
      <c r="Y1561" s="13" t="s">
        <v>10</v>
      </c>
      <c r="Z1561" s="13" t="s">
        <v>0</v>
      </c>
      <c r="AA1561" s="14"/>
      <c r="AB1561" s="13" t="s">
        <v>0</v>
      </c>
      <c r="AC1561" s="13" t="s">
        <v>0</v>
      </c>
      <c r="AD1561" s="13" t="s">
        <v>0</v>
      </c>
      <c r="AE1561" s="15">
        <v>0</v>
      </c>
    </row>
    <row r="1562" spans="1:31" ht="14.15" customHeight="1" x14ac:dyDescent="0.25">
      <c r="A1562" s="12" t="s">
        <v>0</v>
      </c>
      <c r="B1562" s="13" t="s">
        <v>1</v>
      </c>
      <c r="C1562" s="13" t="s">
        <v>4353</v>
      </c>
      <c r="D1562" s="14">
        <v>44376</v>
      </c>
      <c r="E1562" s="14">
        <v>44376</v>
      </c>
      <c r="F1562" s="14">
        <v>44377</v>
      </c>
      <c r="G1562" s="13" t="s">
        <v>3</v>
      </c>
      <c r="H1562" s="13" t="s">
        <v>4</v>
      </c>
      <c r="I1562" s="15">
        <v>-10445.41</v>
      </c>
      <c r="J1562" s="13" t="s">
        <v>5</v>
      </c>
      <c r="K1562" s="13" t="s">
        <v>6</v>
      </c>
      <c r="L1562" s="15">
        <v>-876892.17</v>
      </c>
      <c r="M1562" s="15">
        <v>-10445.41</v>
      </c>
      <c r="N1562" s="16" t="str">
        <f>IF(M1562="","",IF(M1562&lt;0,-M1562&amp;"_"&amp;COUNTIF(M$2:M1562,M1562),M1562&amp;"_"&amp;COUNTIF(M$2:M1562,M1562)))</f>
        <v>10445.41_1</v>
      </c>
      <c r="O1562" s="17" t="str">
        <f t="shared" si="24"/>
        <v/>
      </c>
      <c r="P1562" s="13" t="s">
        <v>4354</v>
      </c>
      <c r="Q1562" s="13" t="s">
        <v>4350</v>
      </c>
      <c r="R1562" s="13" t="s">
        <v>0</v>
      </c>
      <c r="S1562" s="13" t="s">
        <v>0</v>
      </c>
      <c r="T1562" s="13" t="s">
        <v>9</v>
      </c>
      <c r="U1562" s="13" t="s">
        <v>0</v>
      </c>
      <c r="V1562" s="13" t="s">
        <v>0</v>
      </c>
      <c r="W1562" s="13" t="s">
        <v>0</v>
      </c>
      <c r="X1562" s="13" t="s">
        <v>0</v>
      </c>
      <c r="Y1562" s="13" t="s">
        <v>10</v>
      </c>
      <c r="Z1562" s="13" t="s">
        <v>0</v>
      </c>
      <c r="AA1562" s="14"/>
      <c r="AB1562" s="13" t="s">
        <v>0</v>
      </c>
      <c r="AC1562" s="13" t="s">
        <v>0</v>
      </c>
      <c r="AD1562" s="13" t="s">
        <v>0</v>
      </c>
      <c r="AE1562" s="15">
        <v>0</v>
      </c>
    </row>
    <row r="1563" spans="1:31" ht="14.15" customHeight="1" x14ac:dyDescent="0.25">
      <c r="A1563" s="12" t="s">
        <v>0</v>
      </c>
      <c r="B1563" s="13" t="s">
        <v>1</v>
      </c>
      <c r="C1563" s="13" t="s">
        <v>3130</v>
      </c>
      <c r="D1563" s="14">
        <v>44292</v>
      </c>
      <c r="E1563" s="14">
        <v>44292</v>
      </c>
      <c r="F1563" s="14">
        <v>44306</v>
      </c>
      <c r="G1563" s="13" t="s">
        <v>3</v>
      </c>
      <c r="H1563" s="13" t="s">
        <v>4</v>
      </c>
      <c r="I1563" s="15">
        <v>-10429.17</v>
      </c>
      <c r="J1563" s="13" t="s">
        <v>5</v>
      </c>
      <c r="K1563" s="13" t="s">
        <v>6</v>
      </c>
      <c r="L1563" s="15">
        <v>-875528.82</v>
      </c>
      <c r="M1563" s="15">
        <v>-10429.17</v>
      </c>
      <c r="N1563" s="16" t="str">
        <f>IF(M1563="","",IF(M1563&lt;0,-M1563&amp;"_"&amp;COUNTIF(M$2:M1563,M1563),M1563&amp;"_"&amp;COUNTIF(M$2:M1563,M1563)))</f>
        <v>10429.17_1</v>
      </c>
      <c r="O1563" s="17" t="str">
        <f t="shared" si="24"/>
        <v/>
      </c>
      <c r="P1563" s="13" t="s">
        <v>3131</v>
      </c>
      <c r="Q1563" s="13" t="s">
        <v>3132</v>
      </c>
      <c r="R1563" s="13" t="s">
        <v>0</v>
      </c>
      <c r="S1563" s="13" t="s">
        <v>0</v>
      </c>
      <c r="T1563" s="13" t="s">
        <v>9</v>
      </c>
      <c r="U1563" s="13" t="s">
        <v>0</v>
      </c>
      <c r="V1563" s="13" t="s">
        <v>0</v>
      </c>
      <c r="W1563" s="13" t="s">
        <v>0</v>
      </c>
      <c r="X1563" s="13" t="s">
        <v>0</v>
      </c>
      <c r="Y1563" s="13" t="s">
        <v>10</v>
      </c>
      <c r="Z1563" s="13" t="s">
        <v>0</v>
      </c>
      <c r="AA1563" s="14"/>
      <c r="AB1563" s="13" t="s">
        <v>0</v>
      </c>
      <c r="AC1563" s="13" t="s">
        <v>0</v>
      </c>
      <c r="AD1563" s="13" t="s">
        <v>0</v>
      </c>
      <c r="AE1563" s="15">
        <v>0</v>
      </c>
    </row>
    <row r="1564" spans="1:31" ht="14.15" customHeight="1" x14ac:dyDescent="0.25">
      <c r="A1564" s="12" t="s">
        <v>0</v>
      </c>
      <c r="B1564" s="13" t="s">
        <v>1</v>
      </c>
      <c r="C1564" s="13" t="s">
        <v>776</v>
      </c>
      <c r="D1564" s="14">
        <v>44100</v>
      </c>
      <c r="E1564" s="14">
        <v>44100</v>
      </c>
      <c r="F1564" s="14">
        <v>44104</v>
      </c>
      <c r="G1564" s="13" t="s">
        <v>3</v>
      </c>
      <c r="H1564" s="13" t="s">
        <v>4</v>
      </c>
      <c r="I1564" s="15">
        <v>-10422.42</v>
      </c>
      <c r="J1564" s="13" t="s">
        <v>5</v>
      </c>
      <c r="K1564" s="13" t="s">
        <v>6</v>
      </c>
      <c r="L1564" s="15">
        <v>-874962.16</v>
      </c>
      <c r="M1564" s="15">
        <v>-10422.42</v>
      </c>
      <c r="N1564" s="16" t="str">
        <f>IF(M1564="","",IF(M1564&lt;0,-M1564&amp;"_"&amp;COUNTIF(M$2:M1564,M1564),M1564&amp;"_"&amp;COUNTIF(M$2:M1564,M1564)))</f>
        <v>10422.42_1</v>
      </c>
      <c r="O1564" s="17" t="str">
        <f t="shared" si="24"/>
        <v/>
      </c>
      <c r="P1564" s="13" t="s">
        <v>777</v>
      </c>
      <c r="Q1564" s="13" t="s">
        <v>775</v>
      </c>
      <c r="R1564" s="13" t="s">
        <v>0</v>
      </c>
      <c r="S1564" s="13" t="s">
        <v>0</v>
      </c>
      <c r="T1564" s="13" t="s">
        <v>9</v>
      </c>
      <c r="U1564" s="13" t="s">
        <v>0</v>
      </c>
      <c r="V1564" s="13" t="s">
        <v>0</v>
      </c>
      <c r="W1564" s="13" t="s">
        <v>0</v>
      </c>
      <c r="X1564" s="13" t="s">
        <v>0</v>
      </c>
      <c r="Y1564" s="13" t="s">
        <v>10</v>
      </c>
      <c r="Z1564" s="13" t="s">
        <v>0</v>
      </c>
      <c r="AA1564" s="14"/>
      <c r="AB1564" s="13" t="s">
        <v>0</v>
      </c>
      <c r="AC1564" s="13" t="s">
        <v>0</v>
      </c>
      <c r="AD1564" s="13" t="s">
        <v>0</v>
      </c>
      <c r="AE1564" s="15">
        <v>0</v>
      </c>
    </row>
    <row r="1565" spans="1:31" ht="14.15" customHeight="1" x14ac:dyDescent="0.25">
      <c r="A1565" s="12" t="s">
        <v>0</v>
      </c>
      <c r="B1565" s="13" t="s">
        <v>1</v>
      </c>
      <c r="C1565" s="13" t="s">
        <v>651</v>
      </c>
      <c r="D1565" s="14">
        <v>44085</v>
      </c>
      <c r="E1565" s="14">
        <v>44085</v>
      </c>
      <c r="F1565" s="14">
        <v>44090</v>
      </c>
      <c r="G1565" s="13" t="s">
        <v>3</v>
      </c>
      <c r="H1565" s="13" t="s">
        <v>4</v>
      </c>
      <c r="I1565" s="15">
        <v>-10412</v>
      </c>
      <c r="J1565" s="13" t="s">
        <v>5</v>
      </c>
      <c r="K1565" s="13" t="s">
        <v>6</v>
      </c>
      <c r="L1565" s="15">
        <v>-874087.4</v>
      </c>
      <c r="M1565" s="15">
        <v>-10412</v>
      </c>
      <c r="N1565" s="16" t="str">
        <f>IF(M1565="","",IF(M1565&lt;0,-M1565&amp;"_"&amp;COUNTIF(M$2:M1565,M1565),M1565&amp;"_"&amp;COUNTIF(M$2:M1565,M1565)))</f>
        <v>10412_1</v>
      </c>
      <c r="O1565" s="17" t="str">
        <f t="shared" si="24"/>
        <v/>
      </c>
      <c r="P1565" s="13" t="s">
        <v>652</v>
      </c>
      <c r="Q1565" s="13" t="s">
        <v>650</v>
      </c>
      <c r="R1565" s="13" t="s">
        <v>0</v>
      </c>
      <c r="S1565" s="13" t="s">
        <v>0</v>
      </c>
      <c r="T1565" s="13" t="s">
        <v>9</v>
      </c>
      <c r="U1565" s="13" t="s">
        <v>0</v>
      </c>
      <c r="V1565" s="13" t="s">
        <v>0</v>
      </c>
      <c r="W1565" s="13" t="s">
        <v>0</v>
      </c>
      <c r="X1565" s="13" t="s">
        <v>0</v>
      </c>
      <c r="Y1565" s="13" t="s">
        <v>10</v>
      </c>
      <c r="Z1565" s="13" t="s">
        <v>0</v>
      </c>
      <c r="AA1565" s="14"/>
      <c r="AB1565" s="13" t="s">
        <v>0</v>
      </c>
      <c r="AC1565" s="13" t="s">
        <v>0</v>
      </c>
      <c r="AD1565" s="13" t="s">
        <v>0</v>
      </c>
      <c r="AE1565" s="15">
        <v>0</v>
      </c>
    </row>
    <row r="1566" spans="1:31" ht="14" customHeight="1" x14ac:dyDescent="0.25">
      <c r="A1566" s="12" t="s">
        <v>0</v>
      </c>
      <c r="B1566" s="13" t="s">
        <v>1</v>
      </c>
      <c r="C1566" s="13" t="s">
        <v>3591</v>
      </c>
      <c r="D1566" s="14">
        <v>44328</v>
      </c>
      <c r="E1566" s="14">
        <v>44328</v>
      </c>
      <c r="F1566" s="14">
        <v>44336</v>
      </c>
      <c r="G1566" s="13" t="s">
        <v>3</v>
      </c>
      <c r="H1566" s="13" t="s">
        <v>4</v>
      </c>
      <c r="I1566" s="15">
        <v>-10403.39</v>
      </c>
      <c r="J1566" s="13" t="s">
        <v>5</v>
      </c>
      <c r="K1566" s="13" t="s">
        <v>6</v>
      </c>
      <c r="L1566" s="15">
        <v>-873364.59</v>
      </c>
      <c r="M1566" s="15">
        <v>-10403.39</v>
      </c>
      <c r="N1566" s="16" t="str">
        <f>IF(M1566="","",IF(M1566&lt;0,-M1566&amp;"_"&amp;COUNTIF(M$2:M1566,M1566),M1566&amp;"_"&amp;COUNTIF(M$2:M1566,M1566)))</f>
        <v>10403.39_1</v>
      </c>
      <c r="O1566" s="17" t="str">
        <f t="shared" si="24"/>
        <v/>
      </c>
      <c r="P1566" s="13" t="s">
        <v>3592</v>
      </c>
      <c r="Q1566" s="13" t="s">
        <v>3590</v>
      </c>
      <c r="R1566" s="13" t="s">
        <v>0</v>
      </c>
      <c r="S1566" s="13" t="s">
        <v>0</v>
      </c>
      <c r="T1566" s="13" t="s">
        <v>9</v>
      </c>
      <c r="U1566" s="13" t="s">
        <v>0</v>
      </c>
      <c r="V1566" s="13" t="s">
        <v>0</v>
      </c>
      <c r="W1566" s="13" t="s">
        <v>0</v>
      </c>
      <c r="X1566" s="13" t="s">
        <v>0</v>
      </c>
      <c r="Y1566" s="13" t="s">
        <v>10</v>
      </c>
      <c r="Z1566" s="13" t="s">
        <v>0</v>
      </c>
      <c r="AA1566" s="14"/>
      <c r="AB1566" s="13" t="s">
        <v>0</v>
      </c>
      <c r="AC1566" s="13" t="s">
        <v>0</v>
      </c>
      <c r="AD1566" s="13" t="s">
        <v>0</v>
      </c>
      <c r="AE1566" s="15">
        <v>0</v>
      </c>
    </row>
    <row r="1567" spans="1:31" ht="14.15" customHeight="1" x14ac:dyDescent="0.25">
      <c r="A1567" s="12" t="s">
        <v>0</v>
      </c>
      <c r="B1567" s="13" t="s">
        <v>1</v>
      </c>
      <c r="C1567" s="13" t="s">
        <v>1603</v>
      </c>
      <c r="D1567" s="14">
        <v>44168</v>
      </c>
      <c r="E1567" s="14">
        <v>44168</v>
      </c>
      <c r="F1567" s="14">
        <v>44174</v>
      </c>
      <c r="G1567" s="13" t="s">
        <v>3</v>
      </c>
      <c r="H1567" s="13" t="s">
        <v>4</v>
      </c>
      <c r="I1567" s="15">
        <v>-10384.82</v>
      </c>
      <c r="J1567" s="13" t="s">
        <v>5</v>
      </c>
      <c r="K1567" s="13" t="s">
        <v>6</v>
      </c>
      <c r="L1567" s="15">
        <v>-871805.64</v>
      </c>
      <c r="M1567" s="15">
        <v>-10384.82</v>
      </c>
      <c r="N1567" s="16" t="str">
        <f>IF(M1567="","",IF(M1567&lt;0,-M1567&amp;"_"&amp;COUNTIF(M$2:M1567,M1567),M1567&amp;"_"&amp;COUNTIF(M$2:M1567,M1567)))</f>
        <v>10384.82_1</v>
      </c>
      <c r="O1567" s="17" t="str">
        <f t="shared" si="24"/>
        <v/>
      </c>
      <c r="P1567" s="13" t="s">
        <v>1604</v>
      </c>
      <c r="Q1567" s="13" t="s">
        <v>1605</v>
      </c>
      <c r="R1567" s="13" t="s">
        <v>0</v>
      </c>
      <c r="S1567" s="13" t="s">
        <v>0</v>
      </c>
      <c r="T1567" s="13" t="s">
        <v>9</v>
      </c>
      <c r="U1567" s="13" t="s">
        <v>0</v>
      </c>
      <c r="V1567" s="13" t="s">
        <v>0</v>
      </c>
      <c r="W1567" s="13" t="s">
        <v>0</v>
      </c>
      <c r="X1567" s="13" t="s">
        <v>0</v>
      </c>
      <c r="Y1567" s="13" t="s">
        <v>10</v>
      </c>
      <c r="Z1567" s="13" t="s">
        <v>0</v>
      </c>
      <c r="AA1567" s="14"/>
      <c r="AB1567" s="13" t="s">
        <v>0</v>
      </c>
      <c r="AC1567" s="13" t="s">
        <v>0</v>
      </c>
      <c r="AD1567" s="13" t="s">
        <v>0</v>
      </c>
      <c r="AE1567" s="15">
        <v>0</v>
      </c>
    </row>
    <row r="1568" spans="1:31" ht="14.15" customHeight="1" x14ac:dyDescent="0.25">
      <c r="A1568" s="12" t="s">
        <v>0</v>
      </c>
      <c r="B1568" s="13" t="s">
        <v>1</v>
      </c>
      <c r="C1568" s="13" t="s">
        <v>1424</v>
      </c>
      <c r="D1568" s="14">
        <v>44156</v>
      </c>
      <c r="E1568" s="14">
        <v>44156</v>
      </c>
      <c r="F1568" s="14">
        <v>44159</v>
      </c>
      <c r="G1568" s="13" t="s">
        <v>3</v>
      </c>
      <c r="H1568" s="13" t="s">
        <v>4</v>
      </c>
      <c r="I1568" s="15">
        <v>-10361.83</v>
      </c>
      <c r="J1568" s="13" t="s">
        <v>5</v>
      </c>
      <c r="K1568" s="13" t="s">
        <v>6</v>
      </c>
      <c r="L1568" s="15">
        <v>-869875.63</v>
      </c>
      <c r="M1568" s="15">
        <v>-10361.83</v>
      </c>
      <c r="N1568" s="16" t="str">
        <f>IF(M1568="","",IF(M1568&lt;0,-M1568&amp;"_"&amp;COUNTIF(M$2:M1568,M1568),M1568&amp;"_"&amp;COUNTIF(M$2:M1568,M1568)))</f>
        <v>10361.83_1</v>
      </c>
      <c r="O1568" s="17" t="str">
        <f t="shared" si="24"/>
        <v/>
      </c>
      <c r="P1568" s="13" t="s">
        <v>1425</v>
      </c>
      <c r="Q1568" s="13" t="s">
        <v>1426</v>
      </c>
      <c r="R1568" s="13" t="s">
        <v>0</v>
      </c>
      <c r="S1568" s="13" t="s">
        <v>0</v>
      </c>
      <c r="T1568" s="13" t="s">
        <v>9</v>
      </c>
      <c r="U1568" s="13" t="s">
        <v>0</v>
      </c>
      <c r="V1568" s="13" t="s">
        <v>0</v>
      </c>
      <c r="W1568" s="13" t="s">
        <v>0</v>
      </c>
      <c r="X1568" s="13" t="s">
        <v>0</v>
      </c>
      <c r="Y1568" s="13" t="s">
        <v>10</v>
      </c>
      <c r="Z1568" s="13" t="s">
        <v>0</v>
      </c>
      <c r="AA1568" s="14"/>
      <c r="AB1568" s="13" t="s">
        <v>0</v>
      </c>
      <c r="AC1568" s="13" t="s">
        <v>0</v>
      </c>
      <c r="AD1568" s="13" t="s">
        <v>0</v>
      </c>
      <c r="AE1568" s="15">
        <v>0</v>
      </c>
    </row>
    <row r="1569" spans="1:31" ht="14.15" customHeight="1" x14ac:dyDescent="0.25">
      <c r="A1569" s="12" t="s">
        <v>0</v>
      </c>
      <c r="B1569" s="13" t="s">
        <v>1</v>
      </c>
      <c r="C1569" s="13" t="s">
        <v>1417</v>
      </c>
      <c r="D1569" s="14">
        <v>44154</v>
      </c>
      <c r="E1569" s="14">
        <v>44154</v>
      </c>
      <c r="F1569" s="14">
        <v>44170</v>
      </c>
      <c r="G1569" s="13" t="s">
        <v>3</v>
      </c>
      <c r="H1569" s="13" t="s">
        <v>4</v>
      </c>
      <c r="I1569" s="15">
        <v>-10351.219999999999</v>
      </c>
      <c r="J1569" s="13" t="s">
        <v>5</v>
      </c>
      <c r="K1569" s="13" t="s">
        <v>6</v>
      </c>
      <c r="L1569" s="15">
        <v>-868984.92</v>
      </c>
      <c r="M1569" s="15">
        <v>-10351.219999999999</v>
      </c>
      <c r="N1569" s="16" t="str">
        <f>IF(M1569="","",IF(M1569&lt;0,-M1569&amp;"_"&amp;COUNTIF(M$2:M1569,M1569),M1569&amp;"_"&amp;COUNTIF(M$2:M1569,M1569)))</f>
        <v>10351.22_1</v>
      </c>
      <c r="O1569" s="17" t="str">
        <f t="shared" si="24"/>
        <v/>
      </c>
      <c r="P1569" s="13" t="s">
        <v>1418</v>
      </c>
      <c r="Q1569" s="13" t="s">
        <v>1408</v>
      </c>
      <c r="R1569" s="13" t="s">
        <v>0</v>
      </c>
      <c r="S1569" s="13" t="s">
        <v>0</v>
      </c>
      <c r="T1569" s="13" t="s">
        <v>9</v>
      </c>
      <c r="U1569" s="13" t="s">
        <v>0</v>
      </c>
      <c r="V1569" s="13" t="s">
        <v>0</v>
      </c>
      <c r="W1569" s="13" t="s">
        <v>0</v>
      </c>
      <c r="X1569" s="13" t="s">
        <v>0</v>
      </c>
      <c r="Y1569" s="13" t="s">
        <v>10</v>
      </c>
      <c r="Z1569" s="13" t="s">
        <v>0</v>
      </c>
      <c r="AA1569" s="14"/>
      <c r="AB1569" s="13" t="s">
        <v>0</v>
      </c>
      <c r="AC1569" s="13" t="s">
        <v>0</v>
      </c>
      <c r="AD1569" s="13" t="s">
        <v>0</v>
      </c>
      <c r="AE1569" s="15">
        <v>0</v>
      </c>
    </row>
    <row r="1570" spans="1:31" ht="14.15" customHeight="1" x14ac:dyDescent="0.25">
      <c r="A1570" s="12" t="s">
        <v>0</v>
      </c>
      <c r="B1570" s="13" t="s">
        <v>1</v>
      </c>
      <c r="C1570" s="13" t="s">
        <v>379</v>
      </c>
      <c r="D1570" s="14">
        <v>44057</v>
      </c>
      <c r="E1570" s="14">
        <v>44057</v>
      </c>
      <c r="F1570" s="14">
        <v>44063</v>
      </c>
      <c r="G1570" s="13" t="s">
        <v>3</v>
      </c>
      <c r="H1570" s="13" t="s">
        <v>4</v>
      </c>
      <c r="I1570" s="15">
        <v>-10341.540000000001</v>
      </c>
      <c r="J1570" s="13" t="s">
        <v>5</v>
      </c>
      <c r="K1570" s="13" t="s">
        <v>6</v>
      </c>
      <c r="L1570" s="15">
        <v>-868172.28</v>
      </c>
      <c r="M1570" s="15">
        <v>-10341.540000000001</v>
      </c>
      <c r="N1570" s="16" t="str">
        <f>IF(M1570="","",IF(M1570&lt;0,-M1570&amp;"_"&amp;COUNTIF(M$2:M1570,M1570),M1570&amp;"_"&amp;COUNTIF(M$2:M1570,M1570)))</f>
        <v>10341.54_1</v>
      </c>
      <c r="O1570" s="17" t="str">
        <f t="shared" si="24"/>
        <v/>
      </c>
      <c r="P1570" s="13" t="s">
        <v>380</v>
      </c>
      <c r="Q1570" s="13" t="s">
        <v>376</v>
      </c>
      <c r="R1570" s="13" t="s">
        <v>0</v>
      </c>
      <c r="S1570" s="13" t="s">
        <v>0</v>
      </c>
      <c r="T1570" s="13" t="s">
        <v>9</v>
      </c>
      <c r="U1570" s="13" t="s">
        <v>0</v>
      </c>
      <c r="V1570" s="13" t="s">
        <v>0</v>
      </c>
      <c r="W1570" s="13" t="s">
        <v>0</v>
      </c>
      <c r="X1570" s="13" t="s">
        <v>0</v>
      </c>
      <c r="Y1570" s="13" t="s">
        <v>10</v>
      </c>
      <c r="Z1570" s="13" t="s">
        <v>0</v>
      </c>
      <c r="AA1570" s="14"/>
      <c r="AB1570" s="13" t="s">
        <v>0</v>
      </c>
      <c r="AC1570" s="13" t="s">
        <v>0</v>
      </c>
      <c r="AD1570" s="13" t="s">
        <v>0</v>
      </c>
      <c r="AE1570" s="15">
        <v>0</v>
      </c>
    </row>
    <row r="1571" spans="1:31" ht="14.15" customHeight="1" x14ac:dyDescent="0.25">
      <c r="A1571" s="12" t="s">
        <v>0</v>
      </c>
      <c r="B1571" s="13" t="s">
        <v>1</v>
      </c>
      <c r="C1571" s="13" t="s">
        <v>1746</v>
      </c>
      <c r="D1571" s="14">
        <v>44178</v>
      </c>
      <c r="E1571" s="14">
        <v>44178</v>
      </c>
      <c r="F1571" s="14">
        <v>44188</v>
      </c>
      <c r="G1571" s="13" t="s">
        <v>3</v>
      </c>
      <c r="H1571" s="13" t="s">
        <v>4</v>
      </c>
      <c r="I1571" s="15">
        <v>-10321.06</v>
      </c>
      <c r="J1571" s="13" t="s">
        <v>5</v>
      </c>
      <c r="K1571" s="13" t="s">
        <v>6</v>
      </c>
      <c r="L1571" s="15">
        <v>-866452.98</v>
      </c>
      <c r="M1571" s="15">
        <v>-10321.06</v>
      </c>
      <c r="N1571" s="16" t="str">
        <f>IF(M1571="","",IF(M1571&lt;0,-M1571&amp;"_"&amp;COUNTIF(M$2:M1571,M1571),M1571&amp;"_"&amp;COUNTIF(M$2:M1571,M1571)))</f>
        <v>10321.06_1</v>
      </c>
      <c r="O1571" s="17" t="str">
        <f t="shared" si="24"/>
        <v/>
      </c>
      <c r="P1571" s="13" t="s">
        <v>1747</v>
      </c>
      <c r="Q1571" s="13" t="s">
        <v>1739</v>
      </c>
      <c r="R1571" s="13" t="s">
        <v>0</v>
      </c>
      <c r="S1571" s="13" t="s">
        <v>0</v>
      </c>
      <c r="T1571" s="13" t="s">
        <v>9</v>
      </c>
      <c r="U1571" s="13" t="s">
        <v>0</v>
      </c>
      <c r="V1571" s="13" t="s">
        <v>0</v>
      </c>
      <c r="W1571" s="13" t="s">
        <v>0</v>
      </c>
      <c r="X1571" s="13" t="s">
        <v>0</v>
      </c>
      <c r="Y1571" s="13" t="s">
        <v>10</v>
      </c>
      <c r="Z1571" s="13" t="s">
        <v>0</v>
      </c>
      <c r="AA1571" s="14"/>
      <c r="AB1571" s="13" t="s">
        <v>0</v>
      </c>
      <c r="AC1571" s="13" t="s">
        <v>0</v>
      </c>
      <c r="AD1571" s="13" t="s">
        <v>0</v>
      </c>
      <c r="AE1571" s="15">
        <v>0</v>
      </c>
    </row>
    <row r="1572" spans="1:31" ht="14.15" customHeight="1" x14ac:dyDescent="0.25">
      <c r="A1572" s="12" t="s">
        <v>0</v>
      </c>
      <c r="B1572" s="13" t="s">
        <v>1</v>
      </c>
      <c r="C1572" s="13" t="s">
        <v>3887</v>
      </c>
      <c r="D1572" s="14">
        <v>44353</v>
      </c>
      <c r="E1572" s="14">
        <v>44353</v>
      </c>
      <c r="F1572" s="14">
        <v>44356</v>
      </c>
      <c r="G1572" s="13" t="s">
        <v>3</v>
      </c>
      <c r="H1572" s="13" t="s">
        <v>4</v>
      </c>
      <c r="I1572" s="15">
        <v>-10272.200000000001</v>
      </c>
      <c r="J1572" s="13" t="s">
        <v>5</v>
      </c>
      <c r="K1572" s="13" t="s">
        <v>6</v>
      </c>
      <c r="L1572" s="15">
        <v>-862351.19</v>
      </c>
      <c r="M1572" s="15">
        <v>-10272.200000000001</v>
      </c>
      <c r="N1572" s="16" t="str">
        <f>IF(M1572="","",IF(M1572&lt;0,-M1572&amp;"_"&amp;COUNTIF(M$2:M1572,M1572),M1572&amp;"_"&amp;COUNTIF(M$2:M1572,M1572)))</f>
        <v>10272.2_1</v>
      </c>
      <c r="O1572" s="17" t="str">
        <f t="shared" si="24"/>
        <v/>
      </c>
      <c r="P1572" s="13" t="s">
        <v>3888</v>
      </c>
      <c r="Q1572" s="13" t="s">
        <v>3886</v>
      </c>
      <c r="R1572" s="13" t="s">
        <v>0</v>
      </c>
      <c r="S1572" s="13" t="s">
        <v>0</v>
      </c>
      <c r="T1572" s="13" t="s">
        <v>9</v>
      </c>
      <c r="U1572" s="13" t="s">
        <v>0</v>
      </c>
      <c r="V1572" s="13" t="s">
        <v>0</v>
      </c>
      <c r="W1572" s="13" t="s">
        <v>0</v>
      </c>
      <c r="X1572" s="13" t="s">
        <v>0</v>
      </c>
      <c r="Y1572" s="13" t="s">
        <v>10</v>
      </c>
      <c r="Z1572" s="13" t="s">
        <v>0</v>
      </c>
      <c r="AA1572" s="14"/>
      <c r="AB1572" s="13" t="s">
        <v>0</v>
      </c>
      <c r="AC1572" s="13" t="s">
        <v>0</v>
      </c>
      <c r="AD1572" s="13" t="s">
        <v>0</v>
      </c>
      <c r="AE1572" s="15">
        <v>0</v>
      </c>
    </row>
    <row r="1573" spans="1:31" ht="14.15" customHeight="1" x14ac:dyDescent="0.25">
      <c r="A1573" s="12" t="s">
        <v>0</v>
      </c>
      <c r="B1573" s="13" t="s">
        <v>1</v>
      </c>
      <c r="C1573" s="13" t="s">
        <v>1322</v>
      </c>
      <c r="D1573" s="14">
        <v>44148</v>
      </c>
      <c r="E1573" s="14">
        <v>44148</v>
      </c>
      <c r="F1573" s="14">
        <v>44151</v>
      </c>
      <c r="G1573" s="13" t="s">
        <v>3</v>
      </c>
      <c r="H1573" s="13" t="s">
        <v>4</v>
      </c>
      <c r="I1573" s="15">
        <v>-10269.299999999999</v>
      </c>
      <c r="J1573" s="13" t="s">
        <v>5</v>
      </c>
      <c r="K1573" s="13" t="s">
        <v>6</v>
      </c>
      <c r="L1573" s="15">
        <v>-862107.74</v>
      </c>
      <c r="M1573" s="15">
        <v>-10269.299999999999</v>
      </c>
      <c r="N1573" s="16" t="str">
        <f>IF(M1573="","",IF(M1573&lt;0,-M1573&amp;"_"&amp;COUNTIF(M$2:M1573,M1573),M1573&amp;"_"&amp;COUNTIF(M$2:M1573,M1573)))</f>
        <v>10269.3_1</v>
      </c>
      <c r="O1573" s="17" t="str">
        <f t="shared" si="24"/>
        <v/>
      </c>
      <c r="P1573" s="13" t="s">
        <v>1323</v>
      </c>
      <c r="Q1573" s="13" t="s">
        <v>1324</v>
      </c>
      <c r="R1573" s="13" t="s">
        <v>0</v>
      </c>
      <c r="S1573" s="13" t="s">
        <v>0</v>
      </c>
      <c r="T1573" s="13" t="s">
        <v>9</v>
      </c>
      <c r="U1573" s="13" t="s">
        <v>0</v>
      </c>
      <c r="V1573" s="13" t="s">
        <v>0</v>
      </c>
      <c r="W1573" s="13" t="s">
        <v>0</v>
      </c>
      <c r="X1573" s="13" t="s">
        <v>0</v>
      </c>
      <c r="Y1573" s="13" t="s">
        <v>10</v>
      </c>
      <c r="Z1573" s="13" t="s">
        <v>0</v>
      </c>
      <c r="AA1573" s="14"/>
      <c r="AB1573" s="13" t="s">
        <v>0</v>
      </c>
      <c r="AC1573" s="13" t="s">
        <v>0</v>
      </c>
      <c r="AD1573" s="13" t="s">
        <v>0</v>
      </c>
      <c r="AE1573" s="15">
        <v>0</v>
      </c>
    </row>
    <row r="1574" spans="1:31" ht="14.15" customHeight="1" x14ac:dyDescent="0.25">
      <c r="A1574" s="12" t="s">
        <v>0</v>
      </c>
      <c r="B1574" s="13" t="s">
        <v>1</v>
      </c>
      <c r="C1574" s="13" t="s">
        <v>1880</v>
      </c>
      <c r="D1574" s="14">
        <v>44188</v>
      </c>
      <c r="E1574" s="14">
        <v>44188</v>
      </c>
      <c r="F1574" s="14">
        <v>44199</v>
      </c>
      <c r="G1574" s="13" t="s">
        <v>3</v>
      </c>
      <c r="H1574" s="13" t="s">
        <v>4</v>
      </c>
      <c r="I1574" s="15">
        <v>-10266.98</v>
      </c>
      <c r="J1574" s="13" t="s">
        <v>5</v>
      </c>
      <c r="K1574" s="13" t="s">
        <v>6</v>
      </c>
      <c r="L1574" s="15">
        <v>-861912.97</v>
      </c>
      <c r="M1574" s="15">
        <v>-10266.98</v>
      </c>
      <c r="N1574" s="16" t="str">
        <f>IF(M1574="","",IF(M1574&lt;0,-M1574&amp;"_"&amp;COUNTIF(M$2:M1574,M1574),M1574&amp;"_"&amp;COUNTIF(M$2:M1574,M1574)))</f>
        <v>10266.98_1</v>
      </c>
      <c r="O1574" s="17" t="str">
        <f t="shared" si="24"/>
        <v/>
      </c>
      <c r="P1574" s="13" t="s">
        <v>1881</v>
      </c>
      <c r="Q1574" s="13" t="s">
        <v>1869</v>
      </c>
      <c r="R1574" s="13" t="s">
        <v>0</v>
      </c>
      <c r="S1574" s="13" t="s">
        <v>0</v>
      </c>
      <c r="T1574" s="13" t="s">
        <v>9</v>
      </c>
      <c r="U1574" s="13" t="s">
        <v>0</v>
      </c>
      <c r="V1574" s="13" t="s">
        <v>0</v>
      </c>
      <c r="W1574" s="13" t="s">
        <v>0</v>
      </c>
      <c r="X1574" s="13" t="s">
        <v>0</v>
      </c>
      <c r="Y1574" s="13" t="s">
        <v>10</v>
      </c>
      <c r="Z1574" s="13" t="s">
        <v>0</v>
      </c>
      <c r="AA1574" s="14"/>
      <c r="AB1574" s="13" t="s">
        <v>0</v>
      </c>
      <c r="AC1574" s="13" t="s">
        <v>0</v>
      </c>
      <c r="AD1574" s="13" t="s">
        <v>0</v>
      </c>
      <c r="AE1574" s="15">
        <v>0</v>
      </c>
    </row>
    <row r="1575" spans="1:31" ht="14.15" customHeight="1" x14ac:dyDescent="0.25">
      <c r="A1575" s="12" t="s">
        <v>0</v>
      </c>
      <c r="B1575" s="13" t="s">
        <v>1</v>
      </c>
      <c r="C1575" s="13" t="s">
        <v>965</v>
      </c>
      <c r="D1575" s="14">
        <v>44123</v>
      </c>
      <c r="E1575" s="14">
        <v>44123</v>
      </c>
      <c r="F1575" s="14">
        <v>44128</v>
      </c>
      <c r="G1575" s="13" t="s">
        <v>3</v>
      </c>
      <c r="H1575" s="13" t="s">
        <v>4</v>
      </c>
      <c r="I1575" s="15">
        <v>-10265.31</v>
      </c>
      <c r="J1575" s="13" t="s">
        <v>5</v>
      </c>
      <c r="K1575" s="13" t="s">
        <v>6</v>
      </c>
      <c r="L1575" s="15">
        <v>-861772.77</v>
      </c>
      <c r="M1575" s="15">
        <v>-10265.31</v>
      </c>
      <c r="N1575" s="16" t="str">
        <f>IF(M1575="","",IF(M1575&lt;0,-M1575&amp;"_"&amp;COUNTIF(M$2:M1575,M1575),M1575&amp;"_"&amp;COUNTIF(M$2:M1575,M1575)))</f>
        <v>10265.31_1</v>
      </c>
      <c r="O1575" s="17" t="str">
        <f t="shared" si="24"/>
        <v/>
      </c>
      <c r="P1575" s="13" t="s">
        <v>966</v>
      </c>
      <c r="Q1575" s="13" t="s">
        <v>958</v>
      </c>
      <c r="R1575" s="13" t="s">
        <v>0</v>
      </c>
      <c r="S1575" s="13" t="s">
        <v>0</v>
      </c>
      <c r="T1575" s="13" t="s">
        <v>9</v>
      </c>
      <c r="U1575" s="13" t="s">
        <v>0</v>
      </c>
      <c r="V1575" s="13" t="s">
        <v>0</v>
      </c>
      <c r="W1575" s="13" t="s">
        <v>0</v>
      </c>
      <c r="X1575" s="13" t="s">
        <v>0</v>
      </c>
      <c r="Y1575" s="13" t="s">
        <v>10</v>
      </c>
      <c r="Z1575" s="13" t="s">
        <v>0</v>
      </c>
      <c r="AA1575" s="14"/>
      <c r="AB1575" s="13" t="s">
        <v>0</v>
      </c>
      <c r="AC1575" s="13" t="s">
        <v>0</v>
      </c>
      <c r="AD1575" s="13" t="s">
        <v>0</v>
      </c>
      <c r="AE1575" s="15">
        <v>0</v>
      </c>
    </row>
    <row r="1576" spans="1:31" ht="14.15" customHeight="1" x14ac:dyDescent="0.25">
      <c r="A1576" s="12" t="s">
        <v>0</v>
      </c>
      <c r="B1576" s="13" t="s">
        <v>1</v>
      </c>
      <c r="C1576" s="13" t="s">
        <v>2125</v>
      </c>
      <c r="D1576" s="14">
        <v>44202</v>
      </c>
      <c r="E1576" s="14">
        <v>44202</v>
      </c>
      <c r="F1576" s="14">
        <v>44208</v>
      </c>
      <c r="G1576" s="13" t="s">
        <v>3</v>
      </c>
      <c r="H1576" s="13" t="s">
        <v>4</v>
      </c>
      <c r="I1576" s="15">
        <v>-10250.959999999999</v>
      </c>
      <c r="J1576" s="13" t="s">
        <v>5</v>
      </c>
      <c r="K1576" s="13" t="s">
        <v>6</v>
      </c>
      <c r="L1576" s="15">
        <v>-860568.09</v>
      </c>
      <c r="M1576" s="15">
        <v>-10250.959999999999</v>
      </c>
      <c r="N1576" s="16" t="str">
        <f>IF(M1576="","",IF(M1576&lt;0,-M1576&amp;"_"&amp;COUNTIF(M$2:M1576,M1576),M1576&amp;"_"&amp;COUNTIF(M$2:M1576,M1576)))</f>
        <v>10250.96_1</v>
      </c>
      <c r="O1576" s="17" t="str">
        <f t="shared" si="24"/>
        <v/>
      </c>
      <c r="P1576" s="13" t="s">
        <v>2126</v>
      </c>
      <c r="Q1576" s="13" t="s">
        <v>2127</v>
      </c>
      <c r="R1576" s="13" t="s">
        <v>0</v>
      </c>
      <c r="S1576" s="13" t="s">
        <v>0</v>
      </c>
      <c r="T1576" s="13" t="s">
        <v>9</v>
      </c>
      <c r="U1576" s="13" t="s">
        <v>0</v>
      </c>
      <c r="V1576" s="13" t="s">
        <v>0</v>
      </c>
      <c r="W1576" s="13" t="s">
        <v>0</v>
      </c>
      <c r="X1576" s="13" t="s">
        <v>0</v>
      </c>
      <c r="Y1576" s="13" t="s">
        <v>10</v>
      </c>
      <c r="Z1576" s="13" t="s">
        <v>0</v>
      </c>
      <c r="AA1576" s="14"/>
      <c r="AB1576" s="13" t="s">
        <v>0</v>
      </c>
      <c r="AC1576" s="13" t="s">
        <v>0</v>
      </c>
      <c r="AD1576" s="13" t="s">
        <v>0</v>
      </c>
      <c r="AE1576" s="15">
        <v>0</v>
      </c>
    </row>
    <row r="1577" spans="1:31" ht="14.15" customHeight="1" x14ac:dyDescent="0.25">
      <c r="A1577" s="12" t="s">
        <v>0</v>
      </c>
      <c r="B1577" s="13" t="s">
        <v>1</v>
      </c>
      <c r="C1577" s="13" t="s">
        <v>406</v>
      </c>
      <c r="D1577" s="14">
        <v>44062</v>
      </c>
      <c r="E1577" s="14">
        <v>44062</v>
      </c>
      <c r="F1577" s="14">
        <v>44079</v>
      </c>
      <c r="G1577" s="13" t="s">
        <v>3</v>
      </c>
      <c r="H1577" s="13" t="s">
        <v>4</v>
      </c>
      <c r="I1577" s="15">
        <v>-10250.16</v>
      </c>
      <c r="J1577" s="13" t="s">
        <v>5</v>
      </c>
      <c r="K1577" s="13" t="s">
        <v>6</v>
      </c>
      <c r="L1577" s="15">
        <v>-860500.94</v>
      </c>
      <c r="M1577" s="15">
        <v>-10250.16</v>
      </c>
      <c r="N1577" s="16" t="str">
        <f>IF(M1577="","",IF(M1577&lt;0,-M1577&amp;"_"&amp;COUNTIF(M$2:M1577,M1577),M1577&amp;"_"&amp;COUNTIF(M$2:M1577,M1577)))</f>
        <v>10250.16_1</v>
      </c>
      <c r="O1577" s="17" t="str">
        <f t="shared" si="24"/>
        <v/>
      </c>
      <c r="P1577" s="13" t="s">
        <v>407</v>
      </c>
      <c r="Q1577" s="13" t="s">
        <v>403</v>
      </c>
      <c r="R1577" s="13" t="s">
        <v>0</v>
      </c>
      <c r="S1577" s="13" t="s">
        <v>0</v>
      </c>
      <c r="T1577" s="13" t="s">
        <v>9</v>
      </c>
      <c r="U1577" s="13" t="s">
        <v>0</v>
      </c>
      <c r="V1577" s="13" t="s">
        <v>0</v>
      </c>
      <c r="W1577" s="13" t="s">
        <v>0</v>
      </c>
      <c r="X1577" s="13" t="s">
        <v>0</v>
      </c>
      <c r="Y1577" s="13" t="s">
        <v>10</v>
      </c>
      <c r="Z1577" s="13" t="s">
        <v>0</v>
      </c>
      <c r="AA1577" s="14"/>
      <c r="AB1577" s="13" t="s">
        <v>0</v>
      </c>
      <c r="AC1577" s="13" t="s">
        <v>0</v>
      </c>
      <c r="AD1577" s="13" t="s">
        <v>0</v>
      </c>
      <c r="AE1577" s="15">
        <v>0</v>
      </c>
    </row>
    <row r="1578" spans="1:31" ht="14.15" customHeight="1" x14ac:dyDescent="0.25">
      <c r="A1578" s="12" t="s">
        <v>0</v>
      </c>
      <c r="B1578" s="13" t="s">
        <v>1</v>
      </c>
      <c r="C1578" s="13" t="s">
        <v>1725</v>
      </c>
      <c r="D1578" s="14">
        <v>44176</v>
      </c>
      <c r="E1578" s="14">
        <v>44176</v>
      </c>
      <c r="F1578" s="14">
        <v>44188</v>
      </c>
      <c r="G1578" s="13" t="s">
        <v>3</v>
      </c>
      <c r="H1578" s="13" t="s">
        <v>4</v>
      </c>
      <c r="I1578" s="15">
        <v>-10248.85</v>
      </c>
      <c r="J1578" s="13" t="s">
        <v>5</v>
      </c>
      <c r="K1578" s="13" t="s">
        <v>6</v>
      </c>
      <c r="L1578" s="15">
        <v>-860390.96</v>
      </c>
      <c r="M1578" s="15">
        <v>-10248.85</v>
      </c>
      <c r="N1578" s="16" t="str">
        <f>IF(M1578="","",IF(M1578&lt;0,-M1578&amp;"_"&amp;COUNTIF(M$2:M1578,M1578),M1578&amp;"_"&amp;COUNTIF(M$2:M1578,M1578)))</f>
        <v>10248.85_1</v>
      </c>
      <c r="O1578" s="17" t="str">
        <f t="shared" si="24"/>
        <v/>
      </c>
      <c r="P1578" s="13" t="s">
        <v>1726</v>
      </c>
      <c r="Q1578" s="13" t="s">
        <v>1718</v>
      </c>
      <c r="R1578" s="13" t="s">
        <v>0</v>
      </c>
      <c r="S1578" s="13" t="s">
        <v>0</v>
      </c>
      <c r="T1578" s="13" t="s">
        <v>9</v>
      </c>
      <c r="U1578" s="13" t="s">
        <v>0</v>
      </c>
      <c r="V1578" s="13" t="s">
        <v>0</v>
      </c>
      <c r="W1578" s="13" t="s">
        <v>0</v>
      </c>
      <c r="X1578" s="13" t="s">
        <v>0</v>
      </c>
      <c r="Y1578" s="13" t="s">
        <v>10</v>
      </c>
      <c r="Z1578" s="13" t="s">
        <v>0</v>
      </c>
      <c r="AA1578" s="14"/>
      <c r="AB1578" s="13" t="s">
        <v>0</v>
      </c>
      <c r="AC1578" s="13" t="s">
        <v>0</v>
      </c>
      <c r="AD1578" s="13" t="s">
        <v>0</v>
      </c>
      <c r="AE1578" s="15">
        <v>0</v>
      </c>
    </row>
    <row r="1579" spans="1:31" ht="14.15" customHeight="1" x14ac:dyDescent="0.25">
      <c r="A1579" s="12" t="s">
        <v>0</v>
      </c>
      <c r="B1579" s="13" t="s">
        <v>1</v>
      </c>
      <c r="C1579" s="13" t="s">
        <v>2340</v>
      </c>
      <c r="D1579" s="14">
        <v>44223</v>
      </c>
      <c r="E1579" s="14">
        <v>44223</v>
      </c>
      <c r="F1579" s="14">
        <v>44231</v>
      </c>
      <c r="G1579" s="13" t="s">
        <v>3</v>
      </c>
      <c r="H1579" s="13" t="s">
        <v>4</v>
      </c>
      <c r="I1579" s="15">
        <v>-10227.94</v>
      </c>
      <c r="J1579" s="13" t="s">
        <v>5</v>
      </c>
      <c r="K1579" s="13" t="s">
        <v>6</v>
      </c>
      <c r="L1579" s="15">
        <v>-858635.56</v>
      </c>
      <c r="M1579" s="15">
        <v>-10227.94</v>
      </c>
      <c r="N1579" s="16" t="str">
        <f>IF(M1579="","",IF(M1579&lt;0,-M1579&amp;"_"&amp;COUNTIF(M$2:M1579,M1579),M1579&amp;"_"&amp;COUNTIF(M$2:M1579,M1579)))</f>
        <v>10227.94_1</v>
      </c>
      <c r="O1579" s="17" t="str">
        <f t="shared" si="24"/>
        <v/>
      </c>
      <c r="P1579" s="13" t="s">
        <v>2341</v>
      </c>
      <c r="Q1579" s="13" t="s">
        <v>2342</v>
      </c>
      <c r="R1579" s="13" t="s">
        <v>0</v>
      </c>
      <c r="S1579" s="13" t="s">
        <v>0</v>
      </c>
      <c r="T1579" s="13" t="s">
        <v>9</v>
      </c>
      <c r="U1579" s="13" t="s">
        <v>0</v>
      </c>
      <c r="V1579" s="13" t="s">
        <v>0</v>
      </c>
      <c r="W1579" s="13" t="s">
        <v>0</v>
      </c>
      <c r="X1579" s="13" t="s">
        <v>0</v>
      </c>
      <c r="Y1579" s="13" t="s">
        <v>10</v>
      </c>
      <c r="Z1579" s="13" t="s">
        <v>0</v>
      </c>
      <c r="AA1579" s="14"/>
      <c r="AB1579" s="13" t="s">
        <v>0</v>
      </c>
      <c r="AC1579" s="13" t="s">
        <v>0</v>
      </c>
      <c r="AD1579" s="13" t="s">
        <v>0</v>
      </c>
      <c r="AE1579" s="15">
        <v>0</v>
      </c>
    </row>
    <row r="1580" spans="1:31" ht="14.15" customHeight="1" x14ac:dyDescent="0.25">
      <c r="A1580" s="12" t="s">
        <v>0</v>
      </c>
      <c r="B1580" s="13" t="s">
        <v>1</v>
      </c>
      <c r="C1580" s="13" t="s">
        <v>1517</v>
      </c>
      <c r="D1580" s="14">
        <v>44164</v>
      </c>
      <c r="E1580" s="14">
        <v>44164</v>
      </c>
      <c r="F1580" s="14">
        <v>44166</v>
      </c>
      <c r="G1580" s="13" t="s">
        <v>3</v>
      </c>
      <c r="H1580" s="13" t="s">
        <v>4</v>
      </c>
      <c r="I1580" s="15">
        <v>-10207.4</v>
      </c>
      <c r="J1580" s="13" t="s">
        <v>5</v>
      </c>
      <c r="K1580" s="13" t="s">
        <v>6</v>
      </c>
      <c r="L1580" s="15">
        <v>-856911.23</v>
      </c>
      <c r="M1580" s="15">
        <v>-10207.4</v>
      </c>
      <c r="N1580" s="16" t="str">
        <f>IF(M1580="","",IF(M1580&lt;0,-M1580&amp;"_"&amp;COUNTIF(M$2:M1580,M1580),M1580&amp;"_"&amp;COUNTIF(M$2:M1580,M1580)))</f>
        <v>10207.4_1</v>
      </c>
      <c r="O1580" s="17" t="str">
        <f t="shared" si="24"/>
        <v/>
      </c>
      <c r="P1580" s="13" t="s">
        <v>1518</v>
      </c>
      <c r="Q1580" s="13" t="s">
        <v>1516</v>
      </c>
      <c r="R1580" s="13" t="s">
        <v>0</v>
      </c>
      <c r="S1580" s="13" t="s">
        <v>0</v>
      </c>
      <c r="T1580" s="13" t="s">
        <v>9</v>
      </c>
      <c r="U1580" s="13" t="s">
        <v>0</v>
      </c>
      <c r="V1580" s="13" t="s">
        <v>0</v>
      </c>
      <c r="W1580" s="13" t="s">
        <v>0</v>
      </c>
      <c r="X1580" s="13" t="s">
        <v>0</v>
      </c>
      <c r="Y1580" s="13" t="s">
        <v>10</v>
      </c>
      <c r="Z1580" s="13" t="s">
        <v>0</v>
      </c>
      <c r="AA1580" s="14"/>
      <c r="AB1580" s="13" t="s">
        <v>0</v>
      </c>
      <c r="AC1580" s="13" t="s">
        <v>0</v>
      </c>
      <c r="AD1580" s="13" t="s">
        <v>0</v>
      </c>
      <c r="AE1580" s="15">
        <v>0</v>
      </c>
    </row>
    <row r="1581" spans="1:31" ht="14.15" customHeight="1" x14ac:dyDescent="0.25">
      <c r="A1581" s="12" t="s">
        <v>0</v>
      </c>
      <c r="B1581" s="13" t="s">
        <v>1</v>
      </c>
      <c r="C1581" s="13" t="s">
        <v>3724</v>
      </c>
      <c r="D1581" s="14">
        <v>44337</v>
      </c>
      <c r="E1581" s="14">
        <v>44337</v>
      </c>
      <c r="F1581" s="14">
        <v>44340</v>
      </c>
      <c r="G1581" s="13" t="s">
        <v>3</v>
      </c>
      <c r="H1581" s="13" t="s">
        <v>4</v>
      </c>
      <c r="I1581" s="15">
        <v>-10205.52</v>
      </c>
      <c r="J1581" s="13" t="s">
        <v>5</v>
      </c>
      <c r="K1581" s="13" t="s">
        <v>6</v>
      </c>
      <c r="L1581" s="15">
        <v>-856753.4</v>
      </c>
      <c r="M1581" s="15">
        <v>-10205.52</v>
      </c>
      <c r="N1581" s="16" t="str">
        <f>IF(M1581="","",IF(M1581&lt;0,-M1581&amp;"_"&amp;COUNTIF(M$2:M1581,M1581),M1581&amp;"_"&amp;COUNTIF(M$2:M1581,M1581)))</f>
        <v>10205.52_1</v>
      </c>
      <c r="O1581" s="17" t="str">
        <f t="shared" si="24"/>
        <v/>
      </c>
      <c r="P1581" s="13" t="s">
        <v>3725</v>
      </c>
      <c r="Q1581" s="13" t="s">
        <v>3726</v>
      </c>
      <c r="R1581" s="13" t="s">
        <v>0</v>
      </c>
      <c r="S1581" s="13" t="s">
        <v>0</v>
      </c>
      <c r="T1581" s="13" t="s">
        <v>9</v>
      </c>
      <c r="U1581" s="13" t="s">
        <v>0</v>
      </c>
      <c r="V1581" s="13" t="s">
        <v>0</v>
      </c>
      <c r="W1581" s="13" t="s">
        <v>0</v>
      </c>
      <c r="X1581" s="13" t="s">
        <v>0</v>
      </c>
      <c r="Y1581" s="13" t="s">
        <v>10</v>
      </c>
      <c r="Z1581" s="13" t="s">
        <v>0</v>
      </c>
      <c r="AA1581" s="14"/>
      <c r="AB1581" s="13" t="s">
        <v>0</v>
      </c>
      <c r="AC1581" s="13" t="s">
        <v>0</v>
      </c>
      <c r="AD1581" s="13" t="s">
        <v>0</v>
      </c>
      <c r="AE1581" s="15">
        <v>0</v>
      </c>
    </row>
    <row r="1582" spans="1:31" ht="14.15" customHeight="1" x14ac:dyDescent="0.25">
      <c r="A1582" s="12" t="s">
        <v>0</v>
      </c>
      <c r="B1582" s="13" t="s">
        <v>1</v>
      </c>
      <c r="C1582" s="13" t="s">
        <v>2603</v>
      </c>
      <c r="D1582" s="14">
        <v>44243</v>
      </c>
      <c r="E1582" s="14">
        <v>44243</v>
      </c>
      <c r="F1582" s="14">
        <v>44252</v>
      </c>
      <c r="G1582" s="13" t="s">
        <v>3</v>
      </c>
      <c r="H1582" s="13" t="s">
        <v>4</v>
      </c>
      <c r="I1582" s="15">
        <v>-10170.719999999999</v>
      </c>
      <c r="J1582" s="13" t="s">
        <v>5</v>
      </c>
      <c r="K1582" s="13" t="s">
        <v>6</v>
      </c>
      <c r="L1582" s="15">
        <v>-853831.94</v>
      </c>
      <c r="M1582" s="15">
        <v>-10170.719999999999</v>
      </c>
      <c r="N1582" s="16" t="str">
        <f>IF(M1582="","",IF(M1582&lt;0,-M1582&amp;"_"&amp;COUNTIF(M$2:M1582,M1582),M1582&amp;"_"&amp;COUNTIF(M$2:M1582,M1582)))</f>
        <v>10170.72_1</v>
      </c>
      <c r="O1582" s="17" t="str">
        <f t="shared" si="24"/>
        <v/>
      </c>
      <c r="P1582" s="13" t="s">
        <v>2604</v>
      </c>
      <c r="Q1582" s="13" t="s">
        <v>2574</v>
      </c>
      <c r="R1582" s="13" t="s">
        <v>0</v>
      </c>
      <c r="S1582" s="13" t="s">
        <v>0</v>
      </c>
      <c r="T1582" s="13" t="s">
        <v>9</v>
      </c>
      <c r="U1582" s="13" t="s">
        <v>0</v>
      </c>
      <c r="V1582" s="13" t="s">
        <v>0</v>
      </c>
      <c r="W1582" s="13" t="s">
        <v>0</v>
      </c>
      <c r="X1582" s="13" t="s">
        <v>0</v>
      </c>
      <c r="Y1582" s="13" t="s">
        <v>10</v>
      </c>
      <c r="Z1582" s="13" t="s">
        <v>0</v>
      </c>
      <c r="AA1582" s="14"/>
      <c r="AB1582" s="13" t="s">
        <v>0</v>
      </c>
      <c r="AC1582" s="13" t="s">
        <v>0</v>
      </c>
      <c r="AD1582" s="13" t="s">
        <v>0</v>
      </c>
      <c r="AE1582" s="15">
        <v>0</v>
      </c>
    </row>
    <row r="1583" spans="1:31" ht="14.15" customHeight="1" x14ac:dyDescent="0.25">
      <c r="A1583" s="12" t="s">
        <v>0</v>
      </c>
      <c r="B1583" s="13" t="s">
        <v>1</v>
      </c>
      <c r="C1583" s="13" t="s">
        <v>2609</v>
      </c>
      <c r="D1583" s="14">
        <v>44243</v>
      </c>
      <c r="E1583" s="14">
        <v>44243</v>
      </c>
      <c r="F1583" s="14">
        <v>44252</v>
      </c>
      <c r="G1583" s="13" t="s">
        <v>3</v>
      </c>
      <c r="H1583" s="13" t="s">
        <v>4</v>
      </c>
      <c r="I1583" s="15">
        <v>-10163.93</v>
      </c>
      <c r="J1583" s="13" t="s">
        <v>5</v>
      </c>
      <c r="K1583" s="13" t="s">
        <v>6</v>
      </c>
      <c r="L1583" s="15">
        <v>-853261.92</v>
      </c>
      <c r="M1583" s="15">
        <v>-10163.93</v>
      </c>
      <c r="N1583" s="16" t="str">
        <f>IF(M1583="","",IF(M1583&lt;0,-M1583&amp;"_"&amp;COUNTIF(M$2:M1583,M1583),M1583&amp;"_"&amp;COUNTIF(M$2:M1583,M1583)))</f>
        <v>10163.93_1</v>
      </c>
      <c r="O1583" s="17" t="str">
        <f t="shared" si="24"/>
        <v/>
      </c>
      <c r="P1583" s="13" t="s">
        <v>2610</v>
      </c>
      <c r="Q1583" s="13" t="s">
        <v>2574</v>
      </c>
      <c r="R1583" s="13" t="s">
        <v>0</v>
      </c>
      <c r="S1583" s="13" t="s">
        <v>0</v>
      </c>
      <c r="T1583" s="13" t="s">
        <v>9</v>
      </c>
      <c r="U1583" s="13" t="s">
        <v>0</v>
      </c>
      <c r="V1583" s="13" t="s">
        <v>0</v>
      </c>
      <c r="W1583" s="13" t="s">
        <v>0</v>
      </c>
      <c r="X1583" s="13" t="s">
        <v>0</v>
      </c>
      <c r="Y1583" s="13" t="s">
        <v>10</v>
      </c>
      <c r="Z1583" s="13" t="s">
        <v>0</v>
      </c>
      <c r="AA1583" s="14"/>
      <c r="AB1583" s="13" t="s">
        <v>0</v>
      </c>
      <c r="AC1583" s="13" t="s">
        <v>0</v>
      </c>
      <c r="AD1583" s="13" t="s">
        <v>0</v>
      </c>
      <c r="AE1583" s="15">
        <v>0</v>
      </c>
    </row>
    <row r="1584" spans="1:31" ht="14.15" customHeight="1" x14ac:dyDescent="0.25">
      <c r="A1584" s="12" t="s">
        <v>0</v>
      </c>
      <c r="B1584" s="13" t="s">
        <v>1</v>
      </c>
      <c r="C1584" s="13" t="s">
        <v>4223</v>
      </c>
      <c r="D1584" s="14">
        <v>44366</v>
      </c>
      <c r="E1584" s="14">
        <v>44366</v>
      </c>
      <c r="F1584" s="14">
        <v>44384</v>
      </c>
      <c r="G1584" s="13" t="s">
        <v>3</v>
      </c>
      <c r="H1584" s="13" t="s">
        <v>4</v>
      </c>
      <c r="I1584" s="15">
        <v>-10161.65</v>
      </c>
      <c r="J1584" s="13" t="s">
        <v>5</v>
      </c>
      <c r="K1584" s="13" t="s">
        <v>6</v>
      </c>
      <c r="L1584" s="15">
        <v>-853070.53</v>
      </c>
      <c r="M1584" s="15">
        <v>-10161.65</v>
      </c>
      <c r="N1584" s="16" t="str">
        <f>IF(M1584="","",IF(M1584&lt;0,-M1584&amp;"_"&amp;COUNTIF(M$2:M1584,M1584),M1584&amp;"_"&amp;COUNTIF(M$2:M1584,M1584)))</f>
        <v>10161.65_1</v>
      </c>
      <c r="O1584" s="17" t="str">
        <f t="shared" si="24"/>
        <v/>
      </c>
      <c r="P1584" s="13" t="s">
        <v>4224</v>
      </c>
      <c r="Q1584" s="13" t="s">
        <v>4216</v>
      </c>
      <c r="R1584" s="13" t="s">
        <v>0</v>
      </c>
      <c r="S1584" s="13" t="s">
        <v>0</v>
      </c>
      <c r="T1584" s="13" t="s">
        <v>9</v>
      </c>
      <c r="U1584" s="13" t="s">
        <v>0</v>
      </c>
      <c r="V1584" s="13" t="s">
        <v>0</v>
      </c>
      <c r="W1584" s="13" t="s">
        <v>0</v>
      </c>
      <c r="X1584" s="13" t="s">
        <v>0</v>
      </c>
      <c r="Y1584" s="13" t="s">
        <v>10</v>
      </c>
      <c r="Z1584" s="13" t="s">
        <v>0</v>
      </c>
      <c r="AA1584" s="14"/>
      <c r="AB1584" s="13" t="s">
        <v>0</v>
      </c>
      <c r="AC1584" s="13" t="s">
        <v>0</v>
      </c>
      <c r="AD1584" s="13" t="s">
        <v>0</v>
      </c>
      <c r="AE1584" s="15">
        <v>0</v>
      </c>
    </row>
    <row r="1585" spans="1:31" ht="14.15" customHeight="1" x14ac:dyDescent="0.25">
      <c r="A1585" s="12" t="s">
        <v>0</v>
      </c>
      <c r="B1585" s="13" t="s">
        <v>1</v>
      </c>
      <c r="C1585" s="13" t="s">
        <v>3247</v>
      </c>
      <c r="D1585" s="14">
        <v>44307</v>
      </c>
      <c r="E1585" s="14">
        <v>44307</v>
      </c>
      <c r="F1585" s="14">
        <v>44313</v>
      </c>
      <c r="G1585" s="13" t="s">
        <v>3</v>
      </c>
      <c r="H1585" s="13" t="s">
        <v>4</v>
      </c>
      <c r="I1585" s="15">
        <v>-10141.16</v>
      </c>
      <c r="J1585" s="13" t="s">
        <v>5</v>
      </c>
      <c r="K1585" s="13" t="s">
        <v>6</v>
      </c>
      <c r="L1585" s="15">
        <v>-851350.38</v>
      </c>
      <c r="M1585" s="15">
        <v>-10141.16</v>
      </c>
      <c r="N1585" s="16" t="str">
        <f>IF(M1585="","",IF(M1585&lt;0,-M1585&amp;"_"&amp;COUNTIF(M$2:M1585,M1585),M1585&amp;"_"&amp;COUNTIF(M$2:M1585,M1585)))</f>
        <v>10141.16_1</v>
      </c>
      <c r="O1585" s="17" t="str">
        <f t="shared" si="24"/>
        <v/>
      </c>
      <c r="P1585" s="13" t="s">
        <v>3248</v>
      </c>
      <c r="Q1585" s="13" t="s">
        <v>3244</v>
      </c>
      <c r="R1585" s="13" t="s">
        <v>0</v>
      </c>
      <c r="S1585" s="13" t="s">
        <v>0</v>
      </c>
      <c r="T1585" s="13" t="s">
        <v>9</v>
      </c>
      <c r="U1585" s="13" t="s">
        <v>0</v>
      </c>
      <c r="V1585" s="13" t="s">
        <v>0</v>
      </c>
      <c r="W1585" s="13" t="s">
        <v>0</v>
      </c>
      <c r="X1585" s="13" t="s">
        <v>0</v>
      </c>
      <c r="Y1585" s="13" t="s">
        <v>10</v>
      </c>
      <c r="Z1585" s="13" t="s">
        <v>0</v>
      </c>
      <c r="AA1585" s="14"/>
      <c r="AB1585" s="13" t="s">
        <v>0</v>
      </c>
      <c r="AC1585" s="13" t="s">
        <v>0</v>
      </c>
      <c r="AD1585" s="13" t="s">
        <v>0</v>
      </c>
      <c r="AE1585" s="15">
        <v>0</v>
      </c>
    </row>
    <row r="1586" spans="1:31" ht="14.15" customHeight="1" x14ac:dyDescent="0.25">
      <c r="A1586" s="12" t="s">
        <v>0</v>
      </c>
      <c r="B1586" s="13" t="s">
        <v>1</v>
      </c>
      <c r="C1586" s="13" t="s">
        <v>4183</v>
      </c>
      <c r="D1586" s="14">
        <v>44364</v>
      </c>
      <c r="E1586" s="14">
        <v>44364</v>
      </c>
      <c r="F1586" s="14">
        <v>44370</v>
      </c>
      <c r="G1586" s="13" t="s">
        <v>3</v>
      </c>
      <c r="H1586" s="13" t="s">
        <v>4</v>
      </c>
      <c r="I1586" s="15">
        <v>-10127.030000000001</v>
      </c>
      <c r="J1586" s="13" t="s">
        <v>5</v>
      </c>
      <c r="K1586" s="13" t="s">
        <v>6</v>
      </c>
      <c r="L1586" s="15">
        <v>-850164.17</v>
      </c>
      <c r="M1586" s="15">
        <v>-10127.030000000001</v>
      </c>
      <c r="N1586" s="16" t="str">
        <f>IF(M1586="","",IF(M1586&lt;0,-M1586&amp;"_"&amp;COUNTIF(M$2:M1586,M1586),M1586&amp;"_"&amp;COUNTIF(M$2:M1586,M1586)))</f>
        <v>10127.03_1</v>
      </c>
      <c r="O1586" s="17" t="str">
        <f t="shared" si="24"/>
        <v/>
      </c>
      <c r="P1586" s="13" t="s">
        <v>4184</v>
      </c>
      <c r="Q1586" s="13" t="s">
        <v>4180</v>
      </c>
      <c r="R1586" s="13" t="s">
        <v>0</v>
      </c>
      <c r="S1586" s="13" t="s">
        <v>0</v>
      </c>
      <c r="T1586" s="13" t="s">
        <v>9</v>
      </c>
      <c r="U1586" s="13" t="s">
        <v>0</v>
      </c>
      <c r="V1586" s="13" t="s">
        <v>0</v>
      </c>
      <c r="W1586" s="13" t="s">
        <v>0</v>
      </c>
      <c r="X1586" s="13" t="s">
        <v>0</v>
      </c>
      <c r="Y1586" s="13" t="s">
        <v>10</v>
      </c>
      <c r="Z1586" s="13" t="s">
        <v>0</v>
      </c>
      <c r="AA1586" s="14"/>
      <c r="AB1586" s="13" t="s">
        <v>0</v>
      </c>
      <c r="AC1586" s="13" t="s">
        <v>0</v>
      </c>
      <c r="AD1586" s="13" t="s">
        <v>0</v>
      </c>
      <c r="AE1586" s="15">
        <v>0</v>
      </c>
    </row>
    <row r="1587" spans="1:31" ht="14.15" customHeight="1" x14ac:dyDescent="0.25">
      <c r="A1587" s="12" t="s">
        <v>0</v>
      </c>
      <c r="B1587" s="13" t="s">
        <v>1</v>
      </c>
      <c r="C1587" s="13" t="s">
        <v>1208</v>
      </c>
      <c r="D1587" s="14">
        <v>44140</v>
      </c>
      <c r="E1587" s="14">
        <v>44140</v>
      </c>
      <c r="F1587" s="14">
        <v>44149</v>
      </c>
      <c r="G1587" s="13" t="s">
        <v>3</v>
      </c>
      <c r="H1587" s="13" t="s">
        <v>4</v>
      </c>
      <c r="I1587" s="15">
        <v>-10122.049999999999</v>
      </c>
      <c r="J1587" s="13" t="s">
        <v>5</v>
      </c>
      <c r="K1587" s="13" t="s">
        <v>6</v>
      </c>
      <c r="L1587" s="15">
        <v>-849746.1</v>
      </c>
      <c r="M1587" s="15">
        <v>-10122.049999999999</v>
      </c>
      <c r="N1587" s="16" t="str">
        <f>IF(M1587="","",IF(M1587&lt;0,-M1587&amp;"_"&amp;COUNTIF(M$2:M1587,M1587),M1587&amp;"_"&amp;COUNTIF(M$2:M1587,M1587)))</f>
        <v>10122.05_1</v>
      </c>
      <c r="O1587" s="17" t="str">
        <f t="shared" si="24"/>
        <v/>
      </c>
      <c r="P1587" s="13" t="s">
        <v>1209</v>
      </c>
      <c r="Q1587" s="13" t="s">
        <v>1165</v>
      </c>
      <c r="R1587" s="13" t="s">
        <v>0</v>
      </c>
      <c r="S1587" s="13" t="s">
        <v>0</v>
      </c>
      <c r="T1587" s="13" t="s">
        <v>9</v>
      </c>
      <c r="U1587" s="13" t="s">
        <v>0</v>
      </c>
      <c r="V1587" s="13" t="s">
        <v>0</v>
      </c>
      <c r="W1587" s="13" t="s">
        <v>0</v>
      </c>
      <c r="X1587" s="13" t="s">
        <v>0</v>
      </c>
      <c r="Y1587" s="13" t="s">
        <v>10</v>
      </c>
      <c r="Z1587" s="13" t="s">
        <v>0</v>
      </c>
      <c r="AA1587" s="14"/>
      <c r="AB1587" s="13" t="s">
        <v>0</v>
      </c>
      <c r="AC1587" s="13" t="s">
        <v>0</v>
      </c>
      <c r="AD1587" s="13" t="s">
        <v>0</v>
      </c>
      <c r="AE1587" s="15">
        <v>0</v>
      </c>
    </row>
    <row r="1588" spans="1:31" ht="14.15" customHeight="1" x14ac:dyDescent="0.25">
      <c r="A1588" s="12" t="s">
        <v>0</v>
      </c>
      <c r="B1588" s="13" t="s">
        <v>1</v>
      </c>
      <c r="C1588" s="13" t="s">
        <v>633</v>
      </c>
      <c r="D1588" s="14">
        <v>44083</v>
      </c>
      <c r="E1588" s="14">
        <v>44083</v>
      </c>
      <c r="F1588" s="14">
        <v>44088</v>
      </c>
      <c r="G1588" s="13" t="s">
        <v>3</v>
      </c>
      <c r="H1588" s="13" t="s">
        <v>4</v>
      </c>
      <c r="I1588" s="15">
        <v>-10104.67</v>
      </c>
      <c r="J1588" s="13" t="s">
        <v>5</v>
      </c>
      <c r="K1588" s="13" t="s">
        <v>6</v>
      </c>
      <c r="L1588" s="15">
        <v>-848287.05</v>
      </c>
      <c r="M1588" s="15">
        <v>-10104.67</v>
      </c>
      <c r="N1588" s="16" t="str">
        <f>IF(M1588="","",IF(M1588&lt;0,-M1588&amp;"_"&amp;COUNTIF(M$2:M1588,M1588),M1588&amp;"_"&amp;COUNTIF(M$2:M1588,M1588)))</f>
        <v>10104.67_1</v>
      </c>
      <c r="O1588" s="17" t="str">
        <f t="shared" si="24"/>
        <v/>
      </c>
      <c r="P1588" s="13" t="s">
        <v>634</v>
      </c>
      <c r="Q1588" s="13" t="s">
        <v>624</v>
      </c>
      <c r="R1588" s="13" t="s">
        <v>0</v>
      </c>
      <c r="S1588" s="13" t="s">
        <v>0</v>
      </c>
      <c r="T1588" s="13" t="s">
        <v>9</v>
      </c>
      <c r="U1588" s="13" t="s">
        <v>0</v>
      </c>
      <c r="V1588" s="13" t="s">
        <v>0</v>
      </c>
      <c r="W1588" s="13" t="s">
        <v>0</v>
      </c>
      <c r="X1588" s="13" t="s">
        <v>0</v>
      </c>
      <c r="Y1588" s="13" t="s">
        <v>10</v>
      </c>
      <c r="Z1588" s="13" t="s">
        <v>0</v>
      </c>
      <c r="AA1588" s="14"/>
      <c r="AB1588" s="13" t="s">
        <v>0</v>
      </c>
      <c r="AC1588" s="13" t="s">
        <v>0</v>
      </c>
      <c r="AD1588" s="13" t="s">
        <v>0</v>
      </c>
      <c r="AE1588" s="15">
        <v>0</v>
      </c>
    </row>
    <row r="1589" spans="1:31" ht="14.15" customHeight="1" x14ac:dyDescent="0.25">
      <c r="A1589" s="12" t="s">
        <v>0</v>
      </c>
      <c r="B1589" s="13" t="s">
        <v>1</v>
      </c>
      <c r="C1589" s="13" t="s">
        <v>4207</v>
      </c>
      <c r="D1589" s="14">
        <v>44365</v>
      </c>
      <c r="E1589" s="14">
        <v>44365</v>
      </c>
      <c r="F1589" s="14">
        <v>44368</v>
      </c>
      <c r="G1589" s="13" t="s">
        <v>3</v>
      </c>
      <c r="H1589" s="13" t="s">
        <v>4</v>
      </c>
      <c r="I1589" s="15">
        <v>-10103.379999999999</v>
      </c>
      <c r="J1589" s="13" t="s">
        <v>5</v>
      </c>
      <c r="K1589" s="13" t="s">
        <v>6</v>
      </c>
      <c r="L1589" s="15">
        <v>-848178.75</v>
      </c>
      <c r="M1589" s="15">
        <v>-10103.379999999999</v>
      </c>
      <c r="N1589" s="16" t="str">
        <f>IF(M1589="","",IF(M1589&lt;0,-M1589&amp;"_"&amp;COUNTIF(M$2:M1589,M1589),M1589&amp;"_"&amp;COUNTIF(M$2:M1589,M1589)))</f>
        <v>10103.38_1</v>
      </c>
      <c r="O1589" s="17" t="str">
        <f t="shared" si="24"/>
        <v/>
      </c>
      <c r="P1589" s="13" t="s">
        <v>4208</v>
      </c>
      <c r="Q1589" s="13" t="s">
        <v>4209</v>
      </c>
      <c r="R1589" s="13" t="s">
        <v>0</v>
      </c>
      <c r="S1589" s="13" t="s">
        <v>0</v>
      </c>
      <c r="T1589" s="13" t="s">
        <v>9</v>
      </c>
      <c r="U1589" s="13" t="s">
        <v>0</v>
      </c>
      <c r="V1589" s="13" t="s">
        <v>0</v>
      </c>
      <c r="W1589" s="13" t="s">
        <v>0</v>
      </c>
      <c r="X1589" s="13" t="s">
        <v>0</v>
      </c>
      <c r="Y1589" s="13" t="s">
        <v>10</v>
      </c>
      <c r="Z1589" s="13" t="s">
        <v>0</v>
      </c>
      <c r="AA1589" s="14"/>
      <c r="AB1589" s="13" t="s">
        <v>0</v>
      </c>
      <c r="AC1589" s="13" t="s">
        <v>0</v>
      </c>
      <c r="AD1589" s="13" t="s">
        <v>0</v>
      </c>
      <c r="AE1589" s="15">
        <v>0</v>
      </c>
    </row>
    <row r="1590" spans="1:31" ht="14.15" customHeight="1" x14ac:dyDescent="0.25">
      <c r="A1590" s="12" t="s">
        <v>0</v>
      </c>
      <c r="B1590" s="13" t="s">
        <v>1</v>
      </c>
      <c r="C1590" s="13" t="s">
        <v>1666</v>
      </c>
      <c r="D1590" s="14">
        <v>44171</v>
      </c>
      <c r="E1590" s="14">
        <v>44171</v>
      </c>
      <c r="F1590" s="14">
        <v>44186</v>
      </c>
      <c r="G1590" s="13" t="s">
        <v>3</v>
      </c>
      <c r="H1590" s="13" t="s">
        <v>4</v>
      </c>
      <c r="I1590" s="15">
        <v>-10088.879999999999</v>
      </c>
      <c r="J1590" s="13" t="s">
        <v>5</v>
      </c>
      <c r="K1590" s="13" t="s">
        <v>6</v>
      </c>
      <c r="L1590" s="15">
        <v>-846961.48</v>
      </c>
      <c r="M1590" s="15">
        <v>-10088.879999999999</v>
      </c>
      <c r="N1590" s="16" t="str">
        <f>IF(M1590="","",IF(M1590&lt;0,-M1590&amp;"_"&amp;COUNTIF(M$2:M1590,M1590),M1590&amp;"_"&amp;COUNTIF(M$2:M1590,M1590)))</f>
        <v>10088.88_1</v>
      </c>
      <c r="O1590" s="17" t="str">
        <f t="shared" si="24"/>
        <v/>
      </c>
      <c r="P1590" s="13" t="s">
        <v>1667</v>
      </c>
      <c r="Q1590" s="13" t="s">
        <v>1659</v>
      </c>
      <c r="R1590" s="13" t="s">
        <v>0</v>
      </c>
      <c r="S1590" s="13" t="s">
        <v>0</v>
      </c>
      <c r="T1590" s="13" t="s">
        <v>9</v>
      </c>
      <c r="U1590" s="13" t="s">
        <v>0</v>
      </c>
      <c r="V1590" s="13" t="s">
        <v>0</v>
      </c>
      <c r="W1590" s="13" t="s">
        <v>0</v>
      </c>
      <c r="X1590" s="13" t="s">
        <v>0</v>
      </c>
      <c r="Y1590" s="13" t="s">
        <v>10</v>
      </c>
      <c r="Z1590" s="13" t="s">
        <v>0</v>
      </c>
      <c r="AA1590" s="14"/>
      <c r="AB1590" s="13" t="s">
        <v>0</v>
      </c>
      <c r="AC1590" s="13" t="s">
        <v>0</v>
      </c>
      <c r="AD1590" s="13" t="s">
        <v>0</v>
      </c>
      <c r="AE1590" s="15">
        <v>0</v>
      </c>
    </row>
    <row r="1591" spans="1:31" ht="14.15" customHeight="1" x14ac:dyDescent="0.25">
      <c r="A1591" s="12" t="s">
        <v>0</v>
      </c>
      <c r="B1591" s="13" t="s">
        <v>1</v>
      </c>
      <c r="C1591" s="13" t="s">
        <v>3822</v>
      </c>
      <c r="D1591" s="14">
        <v>44347</v>
      </c>
      <c r="E1591" s="14">
        <v>44347</v>
      </c>
      <c r="F1591" s="14">
        <v>44350</v>
      </c>
      <c r="G1591" s="13" t="s">
        <v>3</v>
      </c>
      <c r="H1591" s="13" t="s">
        <v>4</v>
      </c>
      <c r="I1591" s="15">
        <v>-10086.92</v>
      </c>
      <c r="J1591" s="13" t="s">
        <v>5</v>
      </c>
      <c r="K1591" s="13" t="s">
        <v>6</v>
      </c>
      <c r="L1591" s="15">
        <v>-846796.93</v>
      </c>
      <c r="M1591" s="15">
        <v>-10086.92</v>
      </c>
      <c r="N1591" s="16" t="str">
        <f>IF(M1591="","",IF(M1591&lt;0,-M1591&amp;"_"&amp;COUNTIF(M$2:M1591,M1591),M1591&amp;"_"&amp;COUNTIF(M$2:M1591,M1591)))</f>
        <v>10086.92_1</v>
      </c>
      <c r="O1591" s="17" t="str">
        <f t="shared" si="24"/>
        <v/>
      </c>
      <c r="P1591" s="13" t="s">
        <v>3823</v>
      </c>
      <c r="Q1591" s="13" t="s">
        <v>3824</v>
      </c>
      <c r="R1591" s="13" t="s">
        <v>0</v>
      </c>
      <c r="S1591" s="13" t="s">
        <v>0</v>
      </c>
      <c r="T1591" s="13" t="s">
        <v>9</v>
      </c>
      <c r="U1591" s="13" t="s">
        <v>0</v>
      </c>
      <c r="V1591" s="13" t="s">
        <v>0</v>
      </c>
      <c r="W1591" s="13" t="s">
        <v>0</v>
      </c>
      <c r="X1591" s="13" t="s">
        <v>0</v>
      </c>
      <c r="Y1591" s="13" t="s">
        <v>10</v>
      </c>
      <c r="Z1591" s="13" t="s">
        <v>0</v>
      </c>
      <c r="AA1591" s="14"/>
      <c r="AB1591" s="13" t="s">
        <v>0</v>
      </c>
      <c r="AC1591" s="13" t="s">
        <v>0</v>
      </c>
      <c r="AD1591" s="13" t="s">
        <v>0</v>
      </c>
      <c r="AE1591" s="15">
        <v>0</v>
      </c>
    </row>
    <row r="1592" spans="1:31" ht="14.15" customHeight="1" x14ac:dyDescent="0.25">
      <c r="A1592" s="12" t="s">
        <v>0</v>
      </c>
      <c r="B1592" s="13" t="s">
        <v>1</v>
      </c>
      <c r="C1592" s="13" t="s">
        <v>3285</v>
      </c>
      <c r="D1592" s="14">
        <v>44314</v>
      </c>
      <c r="E1592" s="14">
        <v>44314</v>
      </c>
      <c r="F1592" s="14">
        <v>44319</v>
      </c>
      <c r="G1592" s="13" t="s">
        <v>3</v>
      </c>
      <c r="H1592" s="13" t="s">
        <v>4</v>
      </c>
      <c r="I1592" s="15">
        <v>-10067.93</v>
      </c>
      <c r="J1592" s="13" t="s">
        <v>5</v>
      </c>
      <c r="K1592" s="13" t="s">
        <v>6</v>
      </c>
      <c r="L1592" s="15">
        <v>-845202.72</v>
      </c>
      <c r="M1592" s="15">
        <v>-10067.93</v>
      </c>
      <c r="N1592" s="16" t="str">
        <f>IF(M1592="","",IF(M1592&lt;0,-M1592&amp;"_"&amp;COUNTIF(M$2:M1592,M1592),M1592&amp;"_"&amp;COUNTIF(M$2:M1592,M1592)))</f>
        <v>10067.93_1</v>
      </c>
      <c r="O1592" s="17" t="str">
        <f t="shared" si="24"/>
        <v/>
      </c>
      <c r="P1592" s="13" t="s">
        <v>3286</v>
      </c>
      <c r="Q1592" s="13" t="s">
        <v>3284</v>
      </c>
      <c r="R1592" s="13" t="s">
        <v>0</v>
      </c>
      <c r="S1592" s="13" t="s">
        <v>0</v>
      </c>
      <c r="T1592" s="13" t="s">
        <v>9</v>
      </c>
      <c r="U1592" s="13" t="s">
        <v>0</v>
      </c>
      <c r="V1592" s="13" t="s">
        <v>0</v>
      </c>
      <c r="W1592" s="13" t="s">
        <v>0</v>
      </c>
      <c r="X1592" s="13" t="s">
        <v>0</v>
      </c>
      <c r="Y1592" s="13" t="s">
        <v>10</v>
      </c>
      <c r="Z1592" s="13" t="s">
        <v>0</v>
      </c>
      <c r="AA1592" s="14"/>
      <c r="AB1592" s="13" t="s">
        <v>0</v>
      </c>
      <c r="AC1592" s="13" t="s">
        <v>0</v>
      </c>
      <c r="AD1592" s="13" t="s">
        <v>0</v>
      </c>
      <c r="AE1592" s="15">
        <v>0</v>
      </c>
    </row>
    <row r="1593" spans="1:31" ht="14.15" customHeight="1" x14ac:dyDescent="0.25">
      <c r="A1593" s="12" t="s">
        <v>0</v>
      </c>
      <c r="B1593" s="13" t="s">
        <v>1</v>
      </c>
      <c r="C1593" s="13" t="s">
        <v>993</v>
      </c>
      <c r="D1593" s="14">
        <v>44126</v>
      </c>
      <c r="E1593" s="14">
        <v>44126</v>
      </c>
      <c r="F1593" s="14">
        <v>44133</v>
      </c>
      <c r="G1593" s="13" t="s">
        <v>3</v>
      </c>
      <c r="H1593" s="13" t="s">
        <v>4</v>
      </c>
      <c r="I1593" s="15">
        <v>-10027.950000000001</v>
      </c>
      <c r="J1593" s="13" t="s">
        <v>5</v>
      </c>
      <c r="K1593" s="13" t="s">
        <v>6</v>
      </c>
      <c r="L1593" s="15">
        <v>-841846.4</v>
      </c>
      <c r="M1593" s="15">
        <v>-10027.950000000001</v>
      </c>
      <c r="N1593" s="16" t="str">
        <f>IF(M1593="","",IF(M1593&lt;0,-M1593&amp;"_"&amp;COUNTIF(M$2:M1593,M1593),M1593&amp;"_"&amp;COUNTIF(M$2:M1593,M1593)))</f>
        <v>10027.95_1</v>
      </c>
      <c r="O1593" s="17" t="str">
        <f t="shared" si="24"/>
        <v/>
      </c>
      <c r="P1593" s="13" t="s">
        <v>994</v>
      </c>
      <c r="Q1593" s="13" t="s">
        <v>992</v>
      </c>
      <c r="R1593" s="13" t="s">
        <v>0</v>
      </c>
      <c r="S1593" s="13" t="s">
        <v>0</v>
      </c>
      <c r="T1593" s="13" t="s">
        <v>9</v>
      </c>
      <c r="U1593" s="13" t="s">
        <v>0</v>
      </c>
      <c r="V1593" s="13" t="s">
        <v>0</v>
      </c>
      <c r="W1593" s="13" t="s">
        <v>0</v>
      </c>
      <c r="X1593" s="13" t="s">
        <v>0</v>
      </c>
      <c r="Y1593" s="13" t="s">
        <v>10</v>
      </c>
      <c r="Z1593" s="13" t="s">
        <v>0</v>
      </c>
      <c r="AA1593" s="14"/>
      <c r="AB1593" s="13" t="s">
        <v>0</v>
      </c>
      <c r="AC1593" s="13" t="s">
        <v>0</v>
      </c>
      <c r="AD1593" s="13" t="s">
        <v>0</v>
      </c>
      <c r="AE1593" s="15">
        <v>0</v>
      </c>
    </row>
    <row r="1594" spans="1:31" ht="14.15" customHeight="1" x14ac:dyDescent="0.25">
      <c r="A1594" s="12" t="s">
        <v>0</v>
      </c>
      <c r="B1594" s="13" t="s">
        <v>1</v>
      </c>
      <c r="C1594" s="13" t="s">
        <v>517</v>
      </c>
      <c r="D1594" s="14">
        <v>44070</v>
      </c>
      <c r="E1594" s="14">
        <v>44070</v>
      </c>
      <c r="F1594" s="14">
        <v>44084</v>
      </c>
      <c r="G1594" s="13" t="s">
        <v>3</v>
      </c>
      <c r="H1594" s="13" t="s">
        <v>4</v>
      </c>
      <c r="I1594" s="15">
        <v>-10017.790000000001</v>
      </c>
      <c r="J1594" s="13" t="s">
        <v>5</v>
      </c>
      <c r="K1594" s="13" t="s">
        <v>6</v>
      </c>
      <c r="L1594" s="15">
        <v>-840993.48</v>
      </c>
      <c r="M1594" s="15">
        <v>-10017.790000000001</v>
      </c>
      <c r="N1594" s="16" t="str">
        <f>IF(M1594="","",IF(M1594&lt;0,-M1594&amp;"_"&amp;COUNTIF(M$2:M1594,M1594),M1594&amp;"_"&amp;COUNTIF(M$2:M1594,M1594)))</f>
        <v>10017.79_1</v>
      </c>
      <c r="O1594" s="17" t="str">
        <f t="shared" si="24"/>
        <v/>
      </c>
      <c r="P1594" s="13" t="s">
        <v>518</v>
      </c>
      <c r="Q1594" s="13" t="s">
        <v>519</v>
      </c>
      <c r="R1594" s="13" t="s">
        <v>0</v>
      </c>
      <c r="S1594" s="13" t="s">
        <v>0</v>
      </c>
      <c r="T1594" s="13" t="s">
        <v>9</v>
      </c>
      <c r="U1594" s="13" t="s">
        <v>0</v>
      </c>
      <c r="V1594" s="13" t="s">
        <v>0</v>
      </c>
      <c r="W1594" s="13" t="s">
        <v>0</v>
      </c>
      <c r="X1594" s="13" t="s">
        <v>0</v>
      </c>
      <c r="Y1594" s="13" t="s">
        <v>10</v>
      </c>
      <c r="Z1594" s="13" t="s">
        <v>0</v>
      </c>
      <c r="AA1594" s="14"/>
      <c r="AB1594" s="13" t="s">
        <v>0</v>
      </c>
      <c r="AC1594" s="13" t="s">
        <v>0</v>
      </c>
      <c r="AD1594" s="13" t="s">
        <v>0</v>
      </c>
      <c r="AE1594" s="15">
        <v>0</v>
      </c>
    </row>
    <row r="1595" spans="1:31" ht="14.15" customHeight="1" x14ac:dyDescent="0.25">
      <c r="A1595" s="12" t="s">
        <v>0</v>
      </c>
      <c r="B1595" s="13" t="s">
        <v>1</v>
      </c>
      <c r="C1595" s="13" t="s">
        <v>231</v>
      </c>
      <c r="D1595" s="14">
        <v>44039</v>
      </c>
      <c r="E1595" s="14">
        <v>44039</v>
      </c>
      <c r="F1595" s="14">
        <v>44042</v>
      </c>
      <c r="G1595" s="13" t="s">
        <v>3</v>
      </c>
      <c r="H1595" s="13" t="s">
        <v>4</v>
      </c>
      <c r="I1595" s="15">
        <v>-10016.040000000001</v>
      </c>
      <c r="J1595" s="13" t="s">
        <v>5</v>
      </c>
      <c r="K1595" s="13" t="s">
        <v>6</v>
      </c>
      <c r="L1595" s="15">
        <v>-840846.55</v>
      </c>
      <c r="M1595" s="15">
        <v>-10016.040000000001</v>
      </c>
      <c r="N1595" s="16" t="str">
        <f>IF(M1595="","",IF(M1595&lt;0,-M1595&amp;"_"&amp;COUNTIF(M$2:M1595,M1595),M1595&amp;"_"&amp;COUNTIF(M$2:M1595,M1595)))</f>
        <v>10016.04_1</v>
      </c>
      <c r="O1595" s="17" t="str">
        <f t="shared" si="24"/>
        <v/>
      </c>
      <c r="P1595" s="13" t="s">
        <v>232</v>
      </c>
      <c r="Q1595" s="13" t="s">
        <v>230</v>
      </c>
      <c r="R1595" s="13" t="s">
        <v>0</v>
      </c>
      <c r="S1595" s="13" t="s">
        <v>0</v>
      </c>
      <c r="T1595" s="13" t="s">
        <v>9</v>
      </c>
      <c r="U1595" s="13" t="s">
        <v>0</v>
      </c>
      <c r="V1595" s="13" t="s">
        <v>0</v>
      </c>
      <c r="W1595" s="13" t="s">
        <v>0</v>
      </c>
      <c r="X1595" s="13" t="s">
        <v>0</v>
      </c>
      <c r="Y1595" s="13" t="s">
        <v>10</v>
      </c>
      <c r="Z1595" s="13" t="s">
        <v>0</v>
      </c>
      <c r="AA1595" s="14"/>
      <c r="AB1595" s="13" t="s">
        <v>0</v>
      </c>
      <c r="AC1595" s="13" t="s">
        <v>0</v>
      </c>
      <c r="AD1595" s="13" t="s">
        <v>0</v>
      </c>
      <c r="AE1595" s="15">
        <v>0</v>
      </c>
    </row>
    <row r="1596" spans="1:31" ht="14.15" customHeight="1" x14ac:dyDescent="0.25">
      <c r="A1596" s="12" t="s">
        <v>0</v>
      </c>
      <c r="B1596" s="13" t="s">
        <v>1</v>
      </c>
      <c r="C1596" s="13" t="s">
        <v>1673</v>
      </c>
      <c r="D1596" s="14">
        <v>44172</v>
      </c>
      <c r="E1596" s="14">
        <v>44172</v>
      </c>
      <c r="F1596" s="14">
        <v>44178</v>
      </c>
      <c r="G1596" s="13" t="s">
        <v>3</v>
      </c>
      <c r="H1596" s="13" t="s">
        <v>4</v>
      </c>
      <c r="I1596" s="15">
        <v>-10014.450000000001</v>
      </c>
      <c r="J1596" s="13" t="s">
        <v>5</v>
      </c>
      <c r="K1596" s="13" t="s">
        <v>6</v>
      </c>
      <c r="L1596" s="15">
        <v>-840713.08</v>
      </c>
      <c r="M1596" s="15">
        <v>-10014.450000000001</v>
      </c>
      <c r="N1596" s="16" t="str">
        <f>IF(M1596="","",IF(M1596&lt;0,-M1596&amp;"_"&amp;COUNTIF(M$2:M1596,M1596),M1596&amp;"_"&amp;COUNTIF(M$2:M1596,M1596)))</f>
        <v>10014.45_1</v>
      </c>
      <c r="O1596" s="17" t="str">
        <f t="shared" si="24"/>
        <v/>
      </c>
      <c r="P1596" s="13" t="s">
        <v>1674</v>
      </c>
      <c r="Q1596" s="13" t="s">
        <v>1672</v>
      </c>
      <c r="R1596" s="13" t="s">
        <v>0</v>
      </c>
      <c r="S1596" s="13" t="s">
        <v>0</v>
      </c>
      <c r="T1596" s="13" t="s">
        <v>9</v>
      </c>
      <c r="U1596" s="13" t="s">
        <v>0</v>
      </c>
      <c r="V1596" s="13" t="s">
        <v>0</v>
      </c>
      <c r="W1596" s="13" t="s">
        <v>0</v>
      </c>
      <c r="X1596" s="13" t="s">
        <v>0</v>
      </c>
      <c r="Y1596" s="13" t="s">
        <v>10</v>
      </c>
      <c r="Z1596" s="13" t="s">
        <v>0</v>
      </c>
      <c r="AA1596" s="14"/>
      <c r="AB1596" s="13" t="s">
        <v>0</v>
      </c>
      <c r="AC1596" s="13" t="s">
        <v>0</v>
      </c>
      <c r="AD1596" s="13" t="s">
        <v>0</v>
      </c>
      <c r="AE1596" s="15">
        <v>0</v>
      </c>
    </row>
    <row r="1597" spans="1:31" ht="14.15" customHeight="1" x14ac:dyDescent="0.25">
      <c r="A1597" s="12" t="s">
        <v>0</v>
      </c>
      <c r="B1597" s="13" t="s">
        <v>1</v>
      </c>
      <c r="C1597" s="13" t="s">
        <v>1734</v>
      </c>
      <c r="D1597" s="14">
        <v>44177</v>
      </c>
      <c r="E1597" s="14">
        <v>44177</v>
      </c>
      <c r="F1597" s="14">
        <v>44185</v>
      </c>
      <c r="G1597" s="13" t="s">
        <v>3</v>
      </c>
      <c r="H1597" s="13" t="s">
        <v>4</v>
      </c>
      <c r="I1597" s="15">
        <v>-10014.450000000001</v>
      </c>
      <c r="J1597" s="13" t="s">
        <v>5</v>
      </c>
      <c r="K1597" s="13" t="s">
        <v>6</v>
      </c>
      <c r="L1597" s="15">
        <v>-840713.08</v>
      </c>
      <c r="M1597" s="15">
        <v>-10014.450000000001</v>
      </c>
      <c r="N1597" s="16" t="str">
        <f>IF(M1597="","",IF(M1597&lt;0,-M1597&amp;"_"&amp;COUNTIF(M$2:M1597,M1597),M1597&amp;"_"&amp;COUNTIF(M$2:M1597,M1597)))</f>
        <v>10014.45_2</v>
      </c>
      <c r="O1597" s="17" t="str">
        <f t="shared" si="24"/>
        <v/>
      </c>
      <c r="P1597" s="13" t="s">
        <v>1735</v>
      </c>
      <c r="Q1597" s="13" t="s">
        <v>1729</v>
      </c>
      <c r="R1597" s="13" t="s">
        <v>0</v>
      </c>
      <c r="S1597" s="13" t="s">
        <v>0</v>
      </c>
      <c r="T1597" s="13" t="s">
        <v>9</v>
      </c>
      <c r="U1597" s="13" t="s">
        <v>0</v>
      </c>
      <c r="V1597" s="13" t="s">
        <v>0</v>
      </c>
      <c r="W1597" s="13" t="s">
        <v>0</v>
      </c>
      <c r="X1597" s="13" t="s">
        <v>0</v>
      </c>
      <c r="Y1597" s="13" t="s">
        <v>10</v>
      </c>
      <c r="Z1597" s="13" t="s">
        <v>0</v>
      </c>
      <c r="AA1597" s="14"/>
      <c r="AB1597" s="13" t="s">
        <v>0</v>
      </c>
      <c r="AC1597" s="13" t="s">
        <v>0</v>
      </c>
      <c r="AD1597" s="13" t="s">
        <v>0</v>
      </c>
      <c r="AE1597" s="15">
        <v>0</v>
      </c>
    </row>
    <row r="1598" spans="1:31" ht="14.15" customHeight="1" x14ac:dyDescent="0.25">
      <c r="A1598" s="12" t="s">
        <v>0</v>
      </c>
      <c r="B1598" s="13" t="s">
        <v>1</v>
      </c>
      <c r="C1598" s="13" t="s">
        <v>3066</v>
      </c>
      <c r="D1598" s="14">
        <v>44284</v>
      </c>
      <c r="E1598" s="14">
        <v>44284</v>
      </c>
      <c r="F1598" s="14">
        <v>44290</v>
      </c>
      <c r="G1598" s="13" t="s">
        <v>3</v>
      </c>
      <c r="H1598" s="13" t="s">
        <v>4</v>
      </c>
      <c r="I1598" s="15">
        <v>-10009.58</v>
      </c>
      <c r="J1598" s="13" t="s">
        <v>5</v>
      </c>
      <c r="K1598" s="13" t="s">
        <v>6</v>
      </c>
      <c r="L1598" s="15">
        <v>-840304.24</v>
      </c>
      <c r="M1598" s="15">
        <v>-10009.58</v>
      </c>
      <c r="N1598" s="16" t="str">
        <f>IF(M1598="","",IF(M1598&lt;0,-M1598&amp;"_"&amp;COUNTIF(M$2:M1598,M1598),M1598&amp;"_"&amp;COUNTIF(M$2:M1598,M1598)))</f>
        <v>10009.58_1</v>
      </c>
      <c r="O1598" s="17" t="str">
        <f t="shared" si="24"/>
        <v/>
      </c>
      <c r="P1598" s="13" t="s">
        <v>3067</v>
      </c>
      <c r="Q1598" s="13" t="s">
        <v>3061</v>
      </c>
      <c r="R1598" s="13" t="s">
        <v>0</v>
      </c>
      <c r="S1598" s="13" t="s">
        <v>0</v>
      </c>
      <c r="T1598" s="13" t="s">
        <v>9</v>
      </c>
      <c r="U1598" s="13" t="s">
        <v>0</v>
      </c>
      <c r="V1598" s="13" t="s">
        <v>0</v>
      </c>
      <c r="W1598" s="13" t="s">
        <v>0</v>
      </c>
      <c r="X1598" s="13" t="s">
        <v>0</v>
      </c>
      <c r="Y1598" s="13" t="s">
        <v>10</v>
      </c>
      <c r="Z1598" s="13" t="s">
        <v>0</v>
      </c>
      <c r="AA1598" s="14"/>
      <c r="AB1598" s="13" t="s">
        <v>0</v>
      </c>
      <c r="AC1598" s="13" t="s">
        <v>0</v>
      </c>
      <c r="AD1598" s="13" t="s">
        <v>0</v>
      </c>
      <c r="AE1598" s="15">
        <v>0</v>
      </c>
    </row>
    <row r="1599" spans="1:31" ht="14.15" customHeight="1" x14ac:dyDescent="0.25">
      <c r="A1599" s="12" t="s">
        <v>0</v>
      </c>
      <c r="B1599" s="13" t="s">
        <v>1</v>
      </c>
      <c r="C1599" s="13" t="s">
        <v>2467</v>
      </c>
      <c r="D1599" s="14">
        <v>44234</v>
      </c>
      <c r="E1599" s="14">
        <v>44234</v>
      </c>
      <c r="F1599" s="14">
        <v>44241</v>
      </c>
      <c r="G1599" s="13" t="s">
        <v>3</v>
      </c>
      <c r="H1599" s="13" t="s">
        <v>4</v>
      </c>
      <c r="I1599" s="15">
        <v>-9991.33</v>
      </c>
      <c r="J1599" s="13" t="s">
        <v>5</v>
      </c>
      <c r="K1599" s="13" t="s">
        <v>6</v>
      </c>
      <c r="L1599" s="15">
        <v>-838772.15</v>
      </c>
      <c r="M1599" s="15">
        <v>-9991.33</v>
      </c>
      <c r="N1599" s="16" t="str">
        <f>IF(M1599="","",IF(M1599&lt;0,-M1599&amp;"_"&amp;COUNTIF(M$2:M1599,M1599),M1599&amp;"_"&amp;COUNTIF(M$2:M1599,M1599)))</f>
        <v>9991.33_1</v>
      </c>
      <c r="O1599" s="17" t="str">
        <f t="shared" si="24"/>
        <v/>
      </c>
      <c r="P1599" s="13" t="s">
        <v>2468</v>
      </c>
      <c r="Q1599" s="13" t="s">
        <v>2462</v>
      </c>
      <c r="R1599" s="13" t="s">
        <v>0</v>
      </c>
      <c r="S1599" s="13" t="s">
        <v>0</v>
      </c>
      <c r="T1599" s="13" t="s">
        <v>9</v>
      </c>
      <c r="U1599" s="13" t="s">
        <v>0</v>
      </c>
      <c r="V1599" s="13" t="s">
        <v>0</v>
      </c>
      <c r="W1599" s="13" t="s">
        <v>0</v>
      </c>
      <c r="X1599" s="13" t="s">
        <v>0</v>
      </c>
      <c r="Y1599" s="13" t="s">
        <v>10</v>
      </c>
      <c r="Z1599" s="13" t="s">
        <v>0</v>
      </c>
      <c r="AA1599" s="14"/>
      <c r="AB1599" s="13" t="s">
        <v>0</v>
      </c>
      <c r="AC1599" s="13" t="s">
        <v>0</v>
      </c>
      <c r="AD1599" s="13" t="s">
        <v>0</v>
      </c>
      <c r="AE1599" s="15">
        <v>0</v>
      </c>
    </row>
    <row r="1600" spans="1:31" ht="14.15" customHeight="1" x14ac:dyDescent="0.25">
      <c r="A1600" s="12" t="s">
        <v>0</v>
      </c>
      <c r="B1600" s="13" t="s">
        <v>1</v>
      </c>
      <c r="C1600" s="13" t="s">
        <v>1314</v>
      </c>
      <c r="D1600" s="14">
        <v>44147</v>
      </c>
      <c r="E1600" s="14">
        <v>44147</v>
      </c>
      <c r="F1600" s="14">
        <v>44150</v>
      </c>
      <c r="G1600" s="13" t="s">
        <v>3</v>
      </c>
      <c r="H1600" s="13" t="s">
        <v>4</v>
      </c>
      <c r="I1600" s="15">
        <v>-9978.6200000000008</v>
      </c>
      <c r="J1600" s="13" t="s">
        <v>5</v>
      </c>
      <c r="K1600" s="13" t="s">
        <v>6</v>
      </c>
      <c r="L1600" s="15">
        <v>-837705.15</v>
      </c>
      <c r="M1600" s="15">
        <v>-9978.6200000000008</v>
      </c>
      <c r="N1600" s="16" t="str">
        <f>IF(M1600="","",IF(M1600&lt;0,-M1600&amp;"_"&amp;COUNTIF(M$2:M1600,M1600),M1600&amp;"_"&amp;COUNTIF(M$2:M1600,M1600)))</f>
        <v>9978.62_1</v>
      </c>
      <c r="O1600" s="17" t="str">
        <f t="shared" si="24"/>
        <v/>
      </c>
      <c r="P1600" s="13" t="s">
        <v>1315</v>
      </c>
      <c r="Q1600" s="13" t="s">
        <v>1313</v>
      </c>
      <c r="R1600" s="13" t="s">
        <v>0</v>
      </c>
      <c r="S1600" s="13" t="s">
        <v>0</v>
      </c>
      <c r="T1600" s="13" t="s">
        <v>9</v>
      </c>
      <c r="U1600" s="13" t="s">
        <v>0</v>
      </c>
      <c r="V1600" s="13" t="s">
        <v>0</v>
      </c>
      <c r="W1600" s="13" t="s">
        <v>0</v>
      </c>
      <c r="X1600" s="13" t="s">
        <v>0</v>
      </c>
      <c r="Y1600" s="13" t="s">
        <v>10</v>
      </c>
      <c r="Z1600" s="13" t="s">
        <v>0</v>
      </c>
      <c r="AA1600" s="14"/>
      <c r="AB1600" s="13" t="s">
        <v>0</v>
      </c>
      <c r="AC1600" s="13" t="s">
        <v>0</v>
      </c>
      <c r="AD1600" s="13" t="s">
        <v>0</v>
      </c>
      <c r="AE1600" s="15">
        <v>0</v>
      </c>
    </row>
    <row r="1601" spans="1:31" ht="14.15" customHeight="1" x14ac:dyDescent="0.25">
      <c r="A1601" s="12" t="s">
        <v>0</v>
      </c>
      <c r="B1601" s="13" t="s">
        <v>1</v>
      </c>
      <c r="C1601" s="13" t="s">
        <v>2605</v>
      </c>
      <c r="D1601" s="14">
        <v>44243</v>
      </c>
      <c r="E1601" s="14">
        <v>44243</v>
      </c>
      <c r="F1601" s="14">
        <v>44252</v>
      </c>
      <c r="G1601" s="13" t="s">
        <v>3</v>
      </c>
      <c r="H1601" s="13" t="s">
        <v>4</v>
      </c>
      <c r="I1601" s="15">
        <v>-9969.67</v>
      </c>
      <c r="J1601" s="13" t="s">
        <v>5</v>
      </c>
      <c r="K1601" s="13" t="s">
        <v>6</v>
      </c>
      <c r="L1601" s="15">
        <v>-836953.8</v>
      </c>
      <c r="M1601" s="15">
        <v>-9969.67</v>
      </c>
      <c r="N1601" s="16" t="str">
        <f>IF(M1601="","",IF(M1601&lt;0,-M1601&amp;"_"&amp;COUNTIF(M$2:M1601,M1601),M1601&amp;"_"&amp;COUNTIF(M$2:M1601,M1601)))</f>
        <v>9969.67_1</v>
      </c>
      <c r="O1601" s="17" t="str">
        <f t="shared" si="24"/>
        <v/>
      </c>
      <c r="P1601" s="13" t="s">
        <v>2606</v>
      </c>
      <c r="Q1601" s="13" t="s">
        <v>2574</v>
      </c>
      <c r="R1601" s="13" t="s">
        <v>0</v>
      </c>
      <c r="S1601" s="13" t="s">
        <v>0</v>
      </c>
      <c r="T1601" s="13" t="s">
        <v>9</v>
      </c>
      <c r="U1601" s="13" t="s">
        <v>0</v>
      </c>
      <c r="V1601" s="13" t="s">
        <v>0</v>
      </c>
      <c r="W1601" s="13" t="s">
        <v>0</v>
      </c>
      <c r="X1601" s="13" t="s">
        <v>0</v>
      </c>
      <c r="Y1601" s="13" t="s">
        <v>10</v>
      </c>
      <c r="Z1601" s="13" t="s">
        <v>0</v>
      </c>
      <c r="AA1601" s="14"/>
      <c r="AB1601" s="13" t="s">
        <v>0</v>
      </c>
      <c r="AC1601" s="13" t="s">
        <v>0</v>
      </c>
      <c r="AD1601" s="13" t="s">
        <v>0</v>
      </c>
      <c r="AE1601" s="15">
        <v>0</v>
      </c>
    </row>
    <row r="1602" spans="1:31" ht="14.15" customHeight="1" x14ac:dyDescent="0.25">
      <c r="A1602" s="12" t="s">
        <v>0</v>
      </c>
      <c r="B1602" s="13" t="s">
        <v>1</v>
      </c>
      <c r="C1602" s="13" t="s">
        <v>1778</v>
      </c>
      <c r="D1602" s="14">
        <v>44182</v>
      </c>
      <c r="E1602" s="14">
        <v>44182</v>
      </c>
      <c r="F1602" s="14">
        <v>44188</v>
      </c>
      <c r="G1602" s="13" t="s">
        <v>3</v>
      </c>
      <c r="H1602" s="13" t="s">
        <v>4</v>
      </c>
      <c r="I1602" s="15">
        <v>-9968.2099999999991</v>
      </c>
      <c r="J1602" s="13" t="s">
        <v>5</v>
      </c>
      <c r="K1602" s="13" t="s">
        <v>6</v>
      </c>
      <c r="L1602" s="15">
        <v>-836831.23</v>
      </c>
      <c r="M1602" s="15">
        <v>-9968.2099999999991</v>
      </c>
      <c r="N1602" s="16" t="str">
        <f>IF(M1602="","",IF(M1602&lt;0,-M1602&amp;"_"&amp;COUNTIF(M$2:M1602,M1602),M1602&amp;"_"&amp;COUNTIF(M$2:M1602,M1602)))</f>
        <v>9968.21_1</v>
      </c>
      <c r="O1602" s="17" t="str">
        <f t="shared" ref="O1602:O1665" si="25">IF(COUNTIF(N:N,N1602)=2,"x","")</f>
        <v/>
      </c>
      <c r="P1602" s="13" t="s">
        <v>1779</v>
      </c>
      <c r="Q1602" s="13" t="s">
        <v>1777</v>
      </c>
      <c r="R1602" s="13" t="s">
        <v>0</v>
      </c>
      <c r="S1602" s="13" t="s">
        <v>0</v>
      </c>
      <c r="T1602" s="13" t="s">
        <v>9</v>
      </c>
      <c r="U1602" s="13" t="s">
        <v>0</v>
      </c>
      <c r="V1602" s="13" t="s">
        <v>0</v>
      </c>
      <c r="W1602" s="13" t="s">
        <v>0</v>
      </c>
      <c r="X1602" s="13" t="s">
        <v>0</v>
      </c>
      <c r="Y1602" s="13" t="s">
        <v>10</v>
      </c>
      <c r="Z1602" s="13" t="s">
        <v>0</v>
      </c>
      <c r="AA1602" s="14"/>
      <c r="AB1602" s="13" t="s">
        <v>0</v>
      </c>
      <c r="AC1602" s="13" t="s">
        <v>0</v>
      </c>
      <c r="AD1602" s="13" t="s">
        <v>0</v>
      </c>
      <c r="AE1602" s="15">
        <v>0</v>
      </c>
    </row>
    <row r="1603" spans="1:31" ht="14.15" customHeight="1" x14ac:dyDescent="0.25">
      <c r="A1603" s="12" t="s">
        <v>0</v>
      </c>
      <c r="B1603" s="13" t="s">
        <v>1</v>
      </c>
      <c r="C1603" s="13" t="s">
        <v>3066</v>
      </c>
      <c r="D1603" s="14">
        <v>44284</v>
      </c>
      <c r="E1603" s="14">
        <v>44284</v>
      </c>
      <c r="F1603" s="14">
        <v>44290</v>
      </c>
      <c r="G1603" s="13" t="s">
        <v>3</v>
      </c>
      <c r="H1603" s="13" t="s">
        <v>4</v>
      </c>
      <c r="I1603" s="15">
        <v>-9936.1200000000008</v>
      </c>
      <c r="J1603" s="13" t="s">
        <v>5</v>
      </c>
      <c r="K1603" s="13" t="s">
        <v>6</v>
      </c>
      <c r="L1603" s="15">
        <v>-834137.27</v>
      </c>
      <c r="M1603" s="15">
        <v>-9936.1200000000008</v>
      </c>
      <c r="N1603" s="16" t="str">
        <f>IF(M1603="","",IF(M1603&lt;0,-M1603&amp;"_"&amp;COUNTIF(M$2:M1603,M1603),M1603&amp;"_"&amp;COUNTIF(M$2:M1603,M1603)))</f>
        <v>9936.12_1</v>
      </c>
      <c r="O1603" s="17" t="str">
        <f t="shared" si="25"/>
        <v/>
      </c>
      <c r="P1603" s="13" t="s">
        <v>3067</v>
      </c>
      <c r="Q1603" s="13" t="s">
        <v>3061</v>
      </c>
      <c r="R1603" s="13" t="s">
        <v>0</v>
      </c>
      <c r="S1603" s="13" t="s">
        <v>0</v>
      </c>
      <c r="T1603" s="13" t="s">
        <v>9</v>
      </c>
      <c r="U1603" s="13" t="s">
        <v>0</v>
      </c>
      <c r="V1603" s="13" t="s">
        <v>0</v>
      </c>
      <c r="W1603" s="13" t="s">
        <v>0</v>
      </c>
      <c r="X1603" s="13" t="s">
        <v>0</v>
      </c>
      <c r="Y1603" s="13" t="s">
        <v>10</v>
      </c>
      <c r="Z1603" s="13" t="s">
        <v>0</v>
      </c>
      <c r="AA1603" s="14"/>
      <c r="AB1603" s="13" t="s">
        <v>0</v>
      </c>
      <c r="AC1603" s="13" t="s">
        <v>0</v>
      </c>
      <c r="AD1603" s="13" t="s">
        <v>0</v>
      </c>
      <c r="AE1603" s="15">
        <v>0</v>
      </c>
    </row>
    <row r="1604" spans="1:31" ht="14.15" customHeight="1" x14ac:dyDescent="0.25">
      <c r="A1604" s="12" t="s">
        <v>0</v>
      </c>
      <c r="B1604" s="13" t="s">
        <v>1</v>
      </c>
      <c r="C1604" s="13" t="s">
        <v>2251</v>
      </c>
      <c r="D1604" s="14">
        <v>44215</v>
      </c>
      <c r="E1604" s="14">
        <v>44215</v>
      </c>
      <c r="F1604" s="14">
        <v>44222</v>
      </c>
      <c r="G1604" s="13" t="s">
        <v>3</v>
      </c>
      <c r="H1604" s="13" t="s">
        <v>4</v>
      </c>
      <c r="I1604" s="15">
        <v>-9935.7199999999993</v>
      </c>
      <c r="J1604" s="13" t="s">
        <v>5</v>
      </c>
      <c r="K1604" s="13" t="s">
        <v>6</v>
      </c>
      <c r="L1604" s="15">
        <v>-834103.69</v>
      </c>
      <c r="M1604" s="15">
        <v>-9935.7199999999993</v>
      </c>
      <c r="N1604" s="16" t="str">
        <f>IF(M1604="","",IF(M1604&lt;0,-M1604&amp;"_"&amp;COUNTIF(M$2:M1604,M1604),M1604&amp;"_"&amp;COUNTIF(M$2:M1604,M1604)))</f>
        <v>9935.72_1</v>
      </c>
      <c r="O1604" s="17" t="str">
        <f t="shared" si="25"/>
        <v/>
      </c>
      <c r="P1604" s="13" t="s">
        <v>2252</v>
      </c>
      <c r="Q1604" s="13" t="s">
        <v>2250</v>
      </c>
      <c r="R1604" s="13" t="s">
        <v>0</v>
      </c>
      <c r="S1604" s="13" t="s">
        <v>0</v>
      </c>
      <c r="T1604" s="13" t="s">
        <v>9</v>
      </c>
      <c r="U1604" s="13" t="s">
        <v>0</v>
      </c>
      <c r="V1604" s="13" t="s">
        <v>0</v>
      </c>
      <c r="W1604" s="13" t="s">
        <v>0</v>
      </c>
      <c r="X1604" s="13" t="s">
        <v>0</v>
      </c>
      <c r="Y1604" s="13" t="s">
        <v>10</v>
      </c>
      <c r="Z1604" s="13" t="s">
        <v>0</v>
      </c>
      <c r="AA1604" s="14"/>
      <c r="AB1604" s="13" t="s">
        <v>0</v>
      </c>
      <c r="AC1604" s="13" t="s">
        <v>0</v>
      </c>
      <c r="AD1604" s="13" t="s">
        <v>0</v>
      </c>
      <c r="AE1604" s="15">
        <v>0</v>
      </c>
    </row>
    <row r="1605" spans="1:31" ht="14.15" customHeight="1" x14ac:dyDescent="0.25">
      <c r="A1605" s="12" t="s">
        <v>0</v>
      </c>
      <c r="B1605" s="13" t="s">
        <v>1</v>
      </c>
      <c r="C1605" s="13" t="s">
        <v>3527</v>
      </c>
      <c r="D1605" s="14">
        <v>44324</v>
      </c>
      <c r="E1605" s="14">
        <v>44324</v>
      </c>
      <c r="F1605" s="14">
        <v>44333</v>
      </c>
      <c r="G1605" s="13" t="s">
        <v>3</v>
      </c>
      <c r="H1605" s="13" t="s">
        <v>4</v>
      </c>
      <c r="I1605" s="15">
        <v>-9935.24</v>
      </c>
      <c r="J1605" s="13" t="s">
        <v>5</v>
      </c>
      <c r="K1605" s="13" t="s">
        <v>6</v>
      </c>
      <c r="L1605" s="15">
        <v>-834063.4</v>
      </c>
      <c r="M1605" s="15">
        <v>-9935.24</v>
      </c>
      <c r="N1605" s="16" t="str">
        <f>IF(M1605="","",IF(M1605&lt;0,-M1605&amp;"_"&amp;COUNTIF(M$2:M1605,M1605),M1605&amp;"_"&amp;COUNTIF(M$2:M1605,M1605)))</f>
        <v>9935.24_1</v>
      </c>
      <c r="O1605" s="17" t="str">
        <f t="shared" si="25"/>
        <v/>
      </c>
      <c r="P1605" s="13" t="s">
        <v>3528</v>
      </c>
      <c r="Q1605" s="13" t="s">
        <v>3512</v>
      </c>
      <c r="R1605" s="13" t="s">
        <v>0</v>
      </c>
      <c r="S1605" s="13" t="s">
        <v>0</v>
      </c>
      <c r="T1605" s="13" t="s">
        <v>9</v>
      </c>
      <c r="U1605" s="13" t="s">
        <v>0</v>
      </c>
      <c r="V1605" s="13" t="s">
        <v>0</v>
      </c>
      <c r="W1605" s="13" t="s">
        <v>0</v>
      </c>
      <c r="X1605" s="13" t="s">
        <v>0</v>
      </c>
      <c r="Y1605" s="13" t="s">
        <v>10</v>
      </c>
      <c r="Z1605" s="13" t="s">
        <v>0</v>
      </c>
      <c r="AA1605" s="14"/>
      <c r="AB1605" s="13" t="s">
        <v>0</v>
      </c>
      <c r="AC1605" s="13" t="s">
        <v>0</v>
      </c>
      <c r="AD1605" s="13" t="s">
        <v>0</v>
      </c>
      <c r="AE1605" s="15">
        <v>0</v>
      </c>
    </row>
    <row r="1606" spans="1:31" ht="14.15" customHeight="1" x14ac:dyDescent="0.25">
      <c r="A1606" s="12" t="s">
        <v>0</v>
      </c>
      <c r="B1606" s="13" t="s">
        <v>1</v>
      </c>
      <c r="C1606" s="13" t="s">
        <v>2333</v>
      </c>
      <c r="D1606" s="14">
        <v>44221</v>
      </c>
      <c r="E1606" s="14">
        <v>44221</v>
      </c>
      <c r="F1606" s="14">
        <v>44226</v>
      </c>
      <c r="G1606" s="13" t="s">
        <v>3</v>
      </c>
      <c r="H1606" s="13" t="s">
        <v>4</v>
      </c>
      <c r="I1606" s="15">
        <v>-9934.4500000000007</v>
      </c>
      <c r="J1606" s="13" t="s">
        <v>5</v>
      </c>
      <c r="K1606" s="13" t="s">
        <v>6</v>
      </c>
      <c r="L1606" s="15">
        <v>-833997.08</v>
      </c>
      <c r="M1606" s="15">
        <v>-9934.4500000000007</v>
      </c>
      <c r="N1606" s="16" t="str">
        <f>IF(M1606="","",IF(M1606&lt;0,-M1606&amp;"_"&amp;COUNTIF(M$2:M1606,M1606),M1606&amp;"_"&amp;COUNTIF(M$2:M1606,M1606)))</f>
        <v>9934.45_1</v>
      </c>
      <c r="O1606" s="17" t="str">
        <f t="shared" si="25"/>
        <v/>
      </c>
      <c r="P1606" s="13" t="s">
        <v>2334</v>
      </c>
      <c r="Q1606" s="13" t="s">
        <v>2330</v>
      </c>
      <c r="R1606" s="13" t="s">
        <v>0</v>
      </c>
      <c r="S1606" s="13" t="s">
        <v>0</v>
      </c>
      <c r="T1606" s="13" t="s">
        <v>9</v>
      </c>
      <c r="U1606" s="13" t="s">
        <v>0</v>
      </c>
      <c r="V1606" s="13" t="s">
        <v>0</v>
      </c>
      <c r="W1606" s="13" t="s">
        <v>0</v>
      </c>
      <c r="X1606" s="13" t="s">
        <v>0</v>
      </c>
      <c r="Y1606" s="13" t="s">
        <v>10</v>
      </c>
      <c r="Z1606" s="13" t="s">
        <v>0</v>
      </c>
      <c r="AA1606" s="14"/>
      <c r="AB1606" s="13" t="s">
        <v>0</v>
      </c>
      <c r="AC1606" s="13" t="s">
        <v>0</v>
      </c>
      <c r="AD1606" s="13" t="s">
        <v>0</v>
      </c>
      <c r="AE1606" s="15">
        <v>0</v>
      </c>
    </row>
    <row r="1607" spans="1:31" ht="14.15" customHeight="1" x14ac:dyDescent="0.25">
      <c r="A1607" s="12" t="s">
        <v>0</v>
      </c>
      <c r="B1607" s="13" t="s">
        <v>1</v>
      </c>
      <c r="C1607" s="13" t="s">
        <v>729</v>
      </c>
      <c r="D1607" s="14">
        <v>44095</v>
      </c>
      <c r="E1607" s="14">
        <v>44095</v>
      </c>
      <c r="F1607" s="14">
        <v>44098</v>
      </c>
      <c r="G1607" s="13" t="s">
        <v>3</v>
      </c>
      <c r="H1607" s="13" t="s">
        <v>4</v>
      </c>
      <c r="I1607" s="15">
        <v>-9929.48</v>
      </c>
      <c r="J1607" s="13" t="s">
        <v>5</v>
      </c>
      <c r="K1607" s="13" t="s">
        <v>6</v>
      </c>
      <c r="L1607" s="15">
        <v>-833579.84</v>
      </c>
      <c r="M1607" s="15">
        <v>-9929.48</v>
      </c>
      <c r="N1607" s="16" t="str">
        <f>IF(M1607="","",IF(M1607&lt;0,-M1607&amp;"_"&amp;COUNTIF(M$2:M1607,M1607),M1607&amp;"_"&amp;COUNTIF(M$2:M1607,M1607)))</f>
        <v>9929.48_1</v>
      </c>
      <c r="O1607" s="17" t="str">
        <f t="shared" si="25"/>
        <v/>
      </c>
      <c r="P1607" s="13" t="s">
        <v>730</v>
      </c>
      <c r="Q1607" s="13" t="s">
        <v>726</v>
      </c>
      <c r="R1607" s="13" t="s">
        <v>0</v>
      </c>
      <c r="S1607" s="13" t="s">
        <v>0</v>
      </c>
      <c r="T1607" s="13" t="s">
        <v>9</v>
      </c>
      <c r="U1607" s="13" t="s">
        <v>0</v>
      </c>
      <c r="V1607" s="13" t="s">
        <v>0</v>
      </c>
      <c r="W1607" s="13" t="s">
        <v>0</v>
      </c>
      <c r="X1607" s="13" t="s">
        <v>0</v>
      </c>
      <c r="Y1607" s="13" t="s">
        <v>10</v>
      </c>
      <c r="Z1607" s="13" t="s">
        <v>0</v>
      </c>
      <c r="AA1607" s="14"/>
      <c r="AB1607" s="13" t="s">
        <v>0</v>
      </c>
      <c r="AC1607" s="13" t="s">
        <v>0</v>
      </c>
      <c r="AD1607" s="13" t="s">
        <v>0</v>
      </c>
      <c r="AE1607" s="15">
        <v>0</v>
      </c>
    </row>
    <row r="1608" spans="1:31" ht="14.15" customHeight="1" x14ac:dyDescent="0.25">
      <c r="A1608" s="12" t="s">
        <v>0</v>
      </c>
      <c r="B1608" s="13" t="s">
        <v>1</v>
      </c>
      <c r="C1608" s="13" t="s">
        <v>2360</v>
      </c>
      <c r="D1608" s="14">
        <v>44224</v>
      </c>
      <c r="E1608" s="14">
        <v>44224</v>
      </c>
      <c r="F1608" s="14">
        <v>44231</v>
      </c>
      <c r="G1608" s="13" t="s">
        <v>3</v>
      </c>
      <c r="H1608" s="13" t="s">
        <v>4</v>
      </c>
      <c r="I1608" s="15">
        <v>-9900.76</v>
      </c>
      <c r="J1608" s="13" t="s">
        <v>5</v>
      </c>
      <c r="K1608" s="13" t="s">
        <v>6</v>
      </c>
      <c r="L1608" s="15">
        <v>-831168.8</v>
      </c>
      <c r="M1608" s="15">
        <v>-9900.76</v>
      </c>
      <c r="N1608" s="16" t="str">
        <f>IF(M1608="","",IF(M1608&lt;0,-M1608&amp;"_"&amp;COUNTIF(M$2:M1608,M1608),M1608&amp;"_"&amp;COUNTIF(M$2:M1608,M1608)))</f>
        <v>9900.76_1</v>
      </c>
      <c r="O1608" s="17" t="str">
        <f t="shared" si="25"/>
        <v/>
      </c>
      <c r="P1608" s="13" t="s">
        <v>2361</v>
      </c>
      <c r="Q1608" s="13" t="s">
        <v>2345</v>
      </c>
      <c r="R1608" s="13" t="s">
        <v>0</v>
      </c>
      <c r="S1608" s="13" t="s">
        <v>0</v>
      </c>
      <c r="T1608" s="13" t="s">
        <v>9</v>
      </c>
      <c r="U1608" s="13" t="s">
        <v>0</v>
      </c>
      <c r="V1608" s="13" t="s">
        <v>0</v>
      </c>
      <c r="W1608" s="13" t="s">
        <v>0</v>
      </c>
      <c r="X1608" s="13" t="s">
        <v>0</v>
      </c>
      <c r="Y1608" s="13" t="s">
        <v>10</v>
      </c>
      <c r="Z1608" s="13" t="s">
        <v>0</v>
      </c>
      <c r="AA1608" s="14"/>
      <c r="AB1608" s="13" t="s">
        <v>0</v>
      </c>
      <c r="AC1608" s="13" t="s">
        <v>0</v>
      </c>
      <c r="AD1608" s="13" t="s">
        <v>0</v>
      </c>
      <c r="AE1608" s="15">
        <v>0</v>
      </c>
    </row>
    <row r="1609" spans="1:31" ht="14.15" customHeight="1" x14ac:dyDescent="0.25">
      <c r="A1609" s="12" t="s">
        <v>0</v>
      </c>
      <c r="B1609" s="13" t="s">
        <v>1</v>
      </c>
      <c r="C1609" s="13" t="s">
        <v>506</v>
      </c>
      <c r="D1609" s="14">
        <v>44068</v>
      </c>
      <c r="E1609" s="14">
        <v>44068</v>
      </c>
      <c r="F1609" s="14">
        <v>44081</v>
      </c>
      <c r="G1609" s="13" t="s">
        <v>3</v>
      </c>
      <c r="H1609" s="13" t="s">
        <v>4</v>
      </c>
      <c r="I1609" s="15">
        <v>-9872.69</v>
      </c>
      <c r="J1609" s="13" t="s">
        <v>5</v>
      </c>
      <c r="K1609" s="13" t="s">
        <v>6</v>
      </c>
      <c r="L1609" s="15">
        <v>-828812.33</v>
      </c>
      <c r="M1609" s="15">
        <v>-9872.69</v>
      </c>
      <c r="N1609" s="16" t="str">
        <f>IF(M1609="","",IF(M1609&lt;0,-M1609&amp;"_"&amp;COUNTIF(M$2:M1609,M1609),M1609&amp;"_"&amp;COUNTIF(M$2:M1609,M1609)))</f>
        <v>9872.69_1</v>
      </c>
      <c r="O1609" s="17" t="str">
        <f t="shared" si="25"/>
        <v/>
      </c>
      <c r="P1609" s="13" t="s">
        <v>507</v>
      </c>
      <c r="Q1609" s="13" t="s">
        <v>501</v>
      </c>
      <c r="R1609" s="13" t="s">
        <v>0</v>
      </c>
      <c r="S1609" s="13" t="s">
        <v>0</v>
      </c>
      <c r="T1609" s="13" t="s">
        <v>9</v>
      </c>
      <c r="U1609" s="13" t="s">
        <v>0</v>
      </c>
      <c r="V1609" s="13" t="s">
        <v>0</v>
      </c>
      <c r="W1609" s="13" t="s">
        <v>0</v>
      </c>
      <c r="X1609" s="13" t="s">
        <v>0</v>
      </c>
      <c r="Y1609" s="13" t="s">
        <v>10</v>
      </c>
      <c r="Z1609" s="13" t="s">
        <v>0</v>
      </c>
      <c r="AA1609" s="14"/>
      <c r="AB1609" s="13" t="s">
        <v>0</v>
      </c>
      <c r="AC1609" s="13" t="s">
        <v>0</v>
      </c>
      <c r="AD1609" s="13" t="s">
        <v>0</v>
      </c>
      <c r="AE1609" s="15">
        <v>0</v>
      </c>
    </row>
    <row r="1610" spans="1:31" ht="14.15" customHeight="1" x14ac:dyDescent="0.25">
      <c r="A1610" s="12" t="s">
        <v>0</v>
      </c>
      <c r="B1610" s="13" t="s">
        <v>1</v>
      </c>
      <c r="C1610" s="13" t="s">
        <v>83</v>
      </c>
      <c r="D1610" s="14">
        <v>44021</v>
      </c>
      <c r="E1610" s="14">
        <v>44021</v>
      </c>
      <c r="F1610" s="14">
        <v>44032</v>
      </c>
      <c r="G1610" s="13" t="s">
        <v>3</v>
      </c>
      <c r="H1610" s="13" t="s">
        <v>4</v>
      </c>
      <c r="I1610" s="15">
        <v>-9854.58</v>
      </c>
      <c r="J1610" s="13" t="s">
        <v>5</v>
      </c>
      <c r="K1610" s="13" t="s">
        <v>6</v>
      </c>
      <c r="L1610" s="15">
        <v>-827291.99</v>
      </c>
      <c r="M1610" s="15">
        <v>-9854.58</v>
      </c>
      <c r="N1610" s="16" t="str">
        <f>IF(M1610="","",IF(M1610&lt;0,-M1610&amp;"_"&amp;COUNTIF(M$2:M1610,M1610),M1610&amp;"_"&amp;COUNTIF(M$2:M1610,M1610)))</f>
        <v>9854.58_1</v>
      </c>
      <c r="O1610" s="17" t="str">
        <f t="shared" si="25"/>
        <v/>
      </c>
      <c r="P1610" s="13" t="s">
        <v>84</v>
      </c>
      <c r="Q1610" s="13" t="s">
        <v>85</v>
      </c>
      <c r="R1610" s="13" t="s">
        <v>0</v>
      </c>
      <c r="S1610" s="13" t="s">
        <v>0</v>
      </c>
      <c r="T1610" s="13" t="s">
        <v>9</v>
      </c>
      <c r="U1610" s="13" t="s">
        <v>0</v>
      </c>
      <c r="V1610" s="13" t="s">
        <v>0</v>
      </c>
      <c r="W1610" s="13" t="s">
        <v>0</v>
      </c>
      <c r="X1610" s="13" t="s">
        <v>0</v>
      </c>
      <c r="Y1610" s="13" t="s">
        <v>10</v>
      </c>
      <c r="Z1610" s="13" t="s">
        <v>0</v>
      </c>
      <c r="AA1610" s="14"/>
      <c r="AB1610" s="13" t="s">
        <v>0</v>
      </c>
      <c r="AC1610" s="13" t="s">
        <v>0</v>
      </c>
      <c r="AD1610" s="13" t="s">
        <v>0</v>
      </c>
      <c r="AE1610" s="15">
        <v>0</v>
      </c>
    </row>
    <row r="1611" spans="1:31" ht="14.15" customHeight="1" x14ac:dyDescent="0.25">
      <c r="A1611" s="12" t="s">
        <v>0</v>
      </c>
      <c r="B1611" s="13" t="s">
        <v>1</v>
      </c>
      <c r="C1611" s="13" t="s">
        <v>912</v>
      </c>
      <c r="D1611" s="14">
        <v>44116</v>
      </c>
      <c r="E1611" s="14">
        <v>44116</v>
      </c>
      <c r="F1611" s="14">
        <v>44122</v>
      </c>
      <c r="G1611" s="13" t="s">
        <v>3</v>
      </c>
      <c r="H1611" s="13" t="s">
        <v>4</v>
      </c>
      <c r="I1611" s="15">
        <v>-9854.5</v>
      </c>
      <c r="J1611" s="13" t="s">
        <v>5</v>
      </c>
      <c r="K1611" s="13" t="s">
        <v>6</v>
      </c>
      <c r="L1611" s="15">
        <v>-827285.28</v>
      </c>
      <c r="M1611" s="15">
        <v>-9854.5</v>
      </c>
      <c r="N1611" s="16" t="str">
        <f>IF(M1611="","",IF(M1611&lt;0,-M1611&amp;"_"&amp;COUNTIF(M$2:M1611,M1611),M1611&amp;"_"&amp;COUNTIF(M$2:M1611,M1611)))</f>
        <v>9854.5_1</v>
      </c>
      <c r="O1611" s="17" t="str">
        <f t="shared" si="25"/>
        <v/>
      </c>
      <c r="P1611" s="13" t="s">
        <v>913</v>
      </c>
      <c r="Q1611" s="13" t="s">
        <v>914</v>
      </c>
      <c r="R1611" s="13" t="s">
        <v>0</v>
      </c>
      <c r="S1611" s="13" t="s">
        <v>0</v>
      </c>
      <c r="T1611" s="13" t="s">
        <v>9</v>
      </c>
      <c r="U1611" s="13" t="s">
        <v>0</v>
      </c>
      <c r="V1611" s="13" t="s">
        <v>0</v>
      </c>
      <c r="W1611" s="13" t="s">
        <v>0</v>
      </c>
      <c r="X1611" s="13" t="s">
        <v>0</v>
      </c>
      <c r="Y1611" s="13" t="s">
        <v>10</v>
      </c>
      <c r="Z1611" s="13" t="s">
        <v>0</v>
      </c>
      <c r="AA1611" s="14"/>
      <c r="AB1611" s="13" t="s">
        <v>0</v>
      </c>
      <c r="AC1611" s="13" t="s">
        <v>0</v>
      </c>
      <c r="AD1611" s="13" t="s">
        <v>0</v>
      </c>
      <c r="AE1611" s="15">
        <v>0</v>
      </c>
    </row>
    <row r="1612" spans="1:31" ht="14.15" customHeight="1" x14ac:dyDescent="0.25">
      <c r="A1612" s="12" t="s">
        <v>0</v>
      </c>
      <c r="B1612" s="13" t="s">
        <v>1</v>
      </c>
      <c r="C1612" s="13" t="s">
        <v>2172</v>
      </c>
      <c r="D1612" s="14">
        <v>44209</v>
      </c>
      <c r="E1612" s="14">
        <v>44209</v>
      </c>
      <c r="F1612" s="14">
        <v>44228</v>
      </c>
      <c r="G1612" s="13" t="s">
        <v>3</v>
      </c>
      <c r="H1612" s="13" t="s">
        <v>4</v>
      </c>
      <c r="I1612" s="15">
        <v>-9850.58</v>
      </c>
      <c r="J1612" s="13" t="s">
        <v>5</v>
      </c>
      <c r="K1612" s="13" t="s">
        <v>6</v>
      </c>
      <c r="L1612" s="15">
        <v>-826956.19</v>
      </c>
      <c r="M1612" s="15">
        <v>-9850.58</v>
      </c>
      <c r="N1612" s="16" t="str">
        <f>IF(M1612="","",IF(M1612&lt;0,-M1612&amp;"_"&amp;COUNTIF(M$2:M1612,M1612),M1612&amp;"_"&amp;COUNTIF(M$2:M1612,M1612)))</f>
        <v>9850.58_1</v>
      </c>
      <c r="O1612" s="17" t="str">
        <f t="shared" si="25"/>
        <v/>
      </c>
      <c r="P1612" s="13" t="s">
        <v>2173</v>
      </c>
      <c r="Q1612" s="13" t="s">
        <v>2159</v>
      </c>
      <c r="R1612" s="13" t="s">
        <v>0</v>
      </c>
      <c r="S1612" s="13" t="s">
        <v>0</v>
      </c>
      <c r="T1612" s="13" t="s">
        <v>9</v>
      </c>
      <c r="U1612" s="13" t="s">
        <v>0</v>
      </c>
      <c r="V1612" s="13" t="s">
        <v>0</v>
      </c>
      <c r="W1612" s="13" t="s">
        <v>0</v>
      </c>
      <c r="X1612" s="13" t="s">
        <v>0</v>
      </c>
      <c r="Y1612" s="13" t="s">
        <v>10</v>
      </c>
      <c r="Z1612" s="13" t="s">
        <v>0</v>
      </c>
      <c r="AA1612" s="14"/>
      <c r="AB1612" s="13" t="s">
        <v>0</v>
      </c>
      <c r="AC1612" s="13" t="s">
        <v>0</v>
      </c>
      <c r="AD1612" s="13" t="s">
        <v>0</v>
      </c>
      <c r="AE1612" s="15">
        <v>0</v>
      </c>
    </row>
    <row r="1613" spans="1:31" ht="14.15" customHeight="1" x14ac:dyDescent="0.25">
      <c r="A1613" s="12" t="s">
        <v>0</v>
      </c>
      <c r="B1613" s="13" t="s">
        <v>1</v>
      </c>
      <c r="C1613" s="13" t="s">
        <v>813</v>
      </c>
      <c r="D1613" s="14">
        <v>44104</v>
      </c>
      <c r="E1613" s="14">
        <v>44104</v>
      </c>
      <c r="F1613" s="14">
        <v>44108</v>
      </c>
      <c r="G1613" s="13" t="s">
        <v>3</v>
      </c>
      <c r="H1613" s="13" t="s">
        <v>4</v>
      </c>
      <c r="I1613" s="15">
        <v>-9840.86</v>
      </c>
      <c r="J1613" s="13" t="s">
        <v>5</v>
      </c>
      <c r="K1613" s="13" t="s">
        <v>6</v>
      </c>
      <c r="L1613" s="15">
        <v>-826140.2</v>
      </c>
      <c r="M1613" s="15">
        <v>-9840.86</v>
      </c>
      <c r="N1613" s="16" t="str">
        <f>IF(M1613="","",IF(M1613&lt;0,-M1613&amp;"_"&amp;COUNTIF(M$2:M1613,M1613),M1613&amp;"_"&amp;COUNTIF(M$2:M1613,M1613)))</f>
        <v>9840.86_1</v>
      </c>
      <c r="O1613" s="17" t="str">
        <f t="shared" si="25"/>
        <v/>
      </c>
      <c r="P1613" s="13" t="s">
        <v>814</v>
      </c>
      <c r="Q1613" s="13" t="s">
        <v>812</v>
      </c>
      <c r="R1613" s="13" t="s">
        <v>0</v>
      </c>
      <c r="S1613" s="13" t="s">
        <v>0</v>
      </c>
      <c r="T1613" s="13" t="s">
        <v>9</v>
      </c>
      <c r="U1613" s="13" t="s">
        <v>0</v>
      </c>
      <c r="V1613" s="13" t="s">
        <v>0</v>
      </c>
      <c r="W1613" s="13" t="s">
        <v>0</v>
      </c>
      <c r="X1613" s="13" t="s">
        <v>0</v>
      </c>
      <c r="Y1613" s="13" t="s">
        <v>10</v>
      </c>
      <c r="Z1613" s="13" t="s">
        <v>0</v>
      </c>
      <c r="AA1613" s="14"/>
      <c r="AB1613" s="13" t="s">
        <v>0</v>
      </c>
      <c r="AC1613" s="13" t="s">
        <v>0</v>
      </c>
      <c r="AD1613" s="13" t="s">
        <v>0</v>
      </c>
      <c r="AE1613" s="15">
        <v>0</v>
      </c>
    </row>
    <row r="1614" spans="1:31" ht="14.15" customHeight="1" x14ac:dyDescent="0.25">
      <c r="A1614" s="12" t="s">
        <v>0</v>
      </c>
      <c r="B1614" s="13" t="s">
        <v>1</v>
      </c>
      <c r="C1614" s="13" t="s">
        <v>1865</v>
      </c>
      <c r="D1614" s="14">
        <v>44187</v>
      </c>
      <c r="E1614" s="14">
        <v>44187</v>
      </c>
      <c r="F1614" s="14">
        <v>44198</v>
      </c>
      <c r="G1614" s="13" t="s">
        <v>3</v>
      </c>
      <c r="H1614" s="13" t="s">
        <v>4</v>
      </c>
      <c r="I1614" s="15">
        <v>-9836.8700000000008</v>
      </c>
      <c r="J1614" s="13" t="s">
        <v>5</v>
      </c>
      <c r="K1614" s="13" t="s">
        <v>6</v>
      </c>
      <c r="L1614" s="15">
        <v>-825805.24</v>
      </c>
      <c r="M1614" s="15">
        <v>-9836.8700000000008</v>
      </c>
      <c r="N1614" s="16" t="str">
        <f>IF(M1614="","",IF(M1614&lt;0,-M1614&amp;"_"&amp;COUNTIF(M$2:M1614,M1614),M1614&amp;"_"&amp;COUNTIF(M$2:M1614,M1614)))</f>
        <v>9836.87_1</v>
      </c>
      <c r="O1614" s="17" t="str">
        <f t="shared" si="25"/>
        <v/>
      </c>
      <c r="P1614" s="13" t="s">
        <v>1866</v>
      </c>
      <c r="Q1614" s="13" t="s">
        <v>1862</v>
      </c>
      <c r="R1614" s="13" t="s">
        <v>0</v>
      </c>
      <c r="S1614" s="13" t="s">
        <v>0</v>
      </c>
      <c r="T1614" s="13" t="s">
        <v>9</v>
      </c>
      <c r="U1614" s="13" t="s">
        <v>0</v>
      </c>
      <c r="V1614" s="13" t="s">
        <v>0</v>
      </c>
      <c r="W1614" s="13" t="s">
        <v>0</v>
      </c>
      <c r="X1614" s="13" t="s">
        <v>0</v>
      </c>
      <c r="Y1614" s="13" t="s">
        <v>10</v>
      </c>
      <c r="Z1614" s="13" t="s">
        <v>0</v>
      </c>
      <c r="AA1614" s="14"/>
      <c r="AB1614" s="13" t="s">
        <v>0</v>
      </c>
      <c r="AC1614" s="13" t="s">
        <v>0</v>
      </c>
      <c r="AD1614" s="13" t="s">
        <v>0</v>
      </c>
      <c r="AE1614" s="15">
        <v>0</v>
      </c>
    </row>
    <row r="1615" spans="1:31" ht="14.15" customHeight="1" x14ac:dyDescent="0.25">
      <c r="A1615" s="12" t="s">
        <v>0</v>
      </c>
      <c r="B1615" s="13" t="s">
        <v>1</v>
      </c>
      <c r="C1615" s="13" t="s">
        <v>3027</v>
      </c>
      <c r="D1615" s="14">
        <v>44281</v>
      </c>
      <c r="E1615" s="14">
        <v>44281</v>
      </c>
      <c r="F1615" s="14">
        <v>44290</v>
      </c>
      <c r="G1615" s="13" t="s">
        <v>3</v>
      </c>
      <c r="H1615" s="13" t="s">
        <v>4</v>
      </c>
      <c r="I1615" s="15">
        <v>-9828.43</v>
      </c>
      <c r="J1615" s="13" t="s">
        <v>5</v>
      </c>
      <c r="K1615" s="13" t="s">
        <v>6</v>
      </c>
      <c r="L1615" s="15">
        <v>-825096.7</v>
      </c>
      <c r="M1615" s="15">
        <v>-9828.43</v>
      </c>
      <c r="N1615" s="16" t="str">
        <f>IF(M1615="","",IF(M1615&lt;0,-M1615&amp;"_"&amp;COUNTIF(M$2:M1615,M1615),M1615&amp;"_"&amp;COUNTIF(M$2:M1615,M1615)))</f>
        <v>9828.43_1</v>
      </c>
      <c r="O1615" s="17" t="str">
        <f t="shared" si="25"/>
        <v/>
      </c>
      <c r="P1615" s="13" t="s">
        <v>3028</v>
      </c>
      <c r="Q1615" s="13" t="s">
        <v>3014</v>
      </c>
      <c r="R1615" s="13" t="s">
        <v>0</v>
      </c>
      <c r="S1615" s="13" t="s">
        <v>0</v>
      </c>
      <c r="T1615" s="13" t="s">
        <v>9</v>
      </c>
      <c r="U1615" s="13" t="s">
        <v>0</v>
      </c>
      <c r="V1615" s="13" t="s">
        <v>0</v>
      </c>
      <c r="W1615" s="13" t="s">
        <v>0</v>
      </c>
      <c r="X1615" s="13" t="s">
        <v>0</v>
      </c>
      <c r="Y1615" s="13" t="s">
        <v>10</v>
      </c>
      <c r="Z1615" s="13" t="s">
        <v>0</v>
      </c>
      <c r="AA1615" s="14"/>
      <c r="AB1615" s="13" t="s">
        <v>0</v>
      </c>
      <c r="AC1615" s="13" t="s">
        <v>0</v>
      </c>
      <c r="AD1615" s="13" t="s">
        <v>0</v>
      </c>
      <c r="AE1615" s="15">
        <v>0</v>
      </c>
    </row>
    <row r="1616" spans="1:31" ht="14.15" customHeight="1" x14ac:dyDescent="0.25">
      <c r="A1616" s="12" t="s">
        <v>0</v>
      </c>
      <c r="B1616" s="13" t="s">
        <v>1</v>
      </c>
      <c r="C1616" s="13" t="s">
        <v>2513</v>
      </c>
      <c r="D1616" s="14">
        <v>44236</v>
      </c>
      <c r="E1616" s="14">
        <v>44236</v>
      </c>
      <c r="F1616" s="14">
        <v>44243</v>
      </c>
      <c r="G1616" s="13" t="s">
        <v>3</v>
      </c>
      <c r="H1616" s="13" t="s">
        <v>4</v>
      </c>
      <c r="I1616" s="15">
        <v>-9824.77</v>
      </c>
      <c r="J1616" s="13" t="s">
        <v>5</v>
      </c>
      <c r="K1616" s="13" t="s">
        <v>6</v>
      </c>
      <c r="L1616" s="15">
        <v>-824789.44</v>
      </c>
      <c r="M1616" s="15">
        <v>-9824.77</v>
      </c>
      <c r="N1616" s="16" t="str">
        <f>IF(M1616="","",IF(M1616&lt;0,-M1616&amp;"_"&amp;COUNTIF(M$2:M1616,M1616),M1616&amp;"_"&amp;COUNTIF(M$2:M1616,M1616)))</f>
        <v>9824.77_1</v>
      </c>
      <c r="O1616" s="17" t="str">
        <f t="shared" si="25"/>
        <v/>
      </c>
      <c r="P1616" s="13" t="s">
        <v>2514</v>
      </c>
      <c r="Q1616" s="13" t="s">
        <v>2510</v>
      </c>
      <c r="R1616" s="13" t="s">
        <v>0</v>
      </c>
      <c r="S1616" s="13" t="s">
        <v>0</v>
      </c>
      <c r="T1616" s="13" t="s">
        <v>9</v>
      </c>
      <c r="U1616" s="13" t="s">
        <v>0</v>
      </c>
      <c r="V1616" s="13" t="s">
        <v>0</v>
      </c>
      <c r="W1616" s="13" t="s">
        <v>0</v>
      </c>
      <c r="X1616" s="13" t="s">
        <v>0</v>
      </c>
      <c r="Y1616" s="13" t="s">
        <v>10</v>
      </c>
      <c r="Z1616" s="13" t="s">
        <v>0</v>
      </c>
      <c r="AA1616" s="14"/>
      <c r="AB1616" s="13" t="s">
        <v>0</v>
      </c>
      <c r="AC1616" s="13" t="s">
        <v>0</v>
      </c>
      <c r="AD1616" s="13" t="s">
        <v>0</v>
      </c>
      <c r="AE1616" s="15">
        <v>0</v>
      </c>
    </row>
    <row r="1617" spans="1:31" ht="14.15" customHeight="1" x14ac:dyDescent="0.25">
      <c r="A1617" s="12" t="s">
        <v>0</v>
      </c>
      <c r="B1617" s="13" t="s">
        <v>1</v>
      </c>
      <c r="C1617" s="13" t="s">
        <v>2681</v>
      </c>
      <c r="D1617" s="14">
        <v>44253</v>
      </c>
      <c r="E1617" s="14">
        <v>44253</v>
      </c>
      <c r="F1617" s="14">
        <v>44258</v>
      </c>
      <c r="G1617" s="13" t="s">
        <v>3</v>
      </c>
      <c r="H1617" s="13" t="s">
        <v>4</v>
      </c>
      <c r="I1617" s="15">
        <v>-9820.32</v>
      </c>
      <c r="J1617" s="13" t="s">
        <v>5</v>
      </c>
      <c r="K1617" s="13" t="s">
        <v>6</v>
      </c>
      <c r="L1617" s="15">
        <v>-824415.86</v>
      </c>
      <c r="M1617" s="15">
        <v>-9820.32</v>
      </c>
      <c r="N1617" s="16" t="str">
        <f>IF(M1617="","",IF(M1617&lt;0,-M1617&amp;"_"&amp;COUNTIF(M$2:M1617,M1617),M1617&amp;"_"&amp;COUNTIF(M$2:M1617,M1617)))</f>
        <v>9820.32_1</v>
      </c>
      <c r="O1617" s="17" t="str">
        <f t="shared" si="25"/>
        <v/>
      </c>
      <c r="P1617" s="13" t="s">
        <v>2682</v>
      </c>
      <c r="Q1617" s="13" t="s">
        <v>2660</v>
      </c>
      <c r="R1617" s="13" t="s">
        <v>0</v>
      </c>
      <c r="S1617" s="13" t="s">
        <v>0</v>
      </c>
      <c r="T1617" s="13" t="s">
        <v>9</v>
      </c>
      <c r="U1617" s="13" t="s">
        <v>0</v>
      </c>
      <c r="V1617" s="13" t="s">
        <v>0</v>
      </c>
      <c r="W1617" s="13" t="s">
        <v>0</v>
      </c>
      <c r="X1617" s="13" t="s">
        <v>0</v>
      </c>
      <c r="Y1617" s="13" t="s">
        <v>10</v>
      </c>
      <c r="Z1617" s="13" t="s">
        <v>0</v>
      </c>
      <c r="AA1617" s="14"/>
      <c r="AB1617" s="13" t="s">
        <v>0</v>
      </c>
      <c r="AC1617" s="13" t="s">
        <v>0</v>
      </c>
      <c r="AD1617" s="13" t="s">
        <v>0</v>
      </c>
      <c r="AE1617" s="15">
        <v>0</v>
      </c>
    </row>
    <row r="1618" spans="1:31" ht="14.15" customHeight="1" x14ac:dyDescent="0.25">
      <c r="A1618" s="12" t="s">
        <v>0</v>
      </c>
      <c r="B1618" s="13" t="s">
        <v>1</v>
      </c>
      <c r="C1618" s="13" t="s">
        <v>3143</v>
      </c>
      <c r="D1618" s="14">
        <v>44294</v>
      </c>
      <c r="E1618" s="14">
        <v>44294</v>
      </c>
      <c r="F1618" s="14">
        <v>44298</v>
      </c>
      <c r="G1618" s="13" t="s">
        <v>3</v>
      </c>
      <c r="H1618" s="13" t="s">
        <v>4</v>
      </c>
      <c r="I1618" s="15">
        <v>-9809.52</v>
      </c>
      <c r="J1618" s="13" t="s">
        <v>5</v>
      </c>
      <c r="K1618" s="13" t="s">
        <v>6</v>
      </c>
      <c r="L1618" s="15">
        <v>-823509.2</v>
      </c>
      <c r="M1618" s="15">
        <v>-9809.52</v>
      </c>
      <c r="N1618" s="16" t="str">
        <f>IF(M1618="","",IF(M1618&lt;0,-M1618&amp;"_"&amp;COUNTIF(M$2:M1618,M1618),M1618&amp;"_"&amp;COUNTIF(M$2:M1618,M1618)))</f>
        <v>9809.52_1</v>
      </c>
      <c r="O1618" s="17" t="str">
        <f t="shared" si="25"/>
        <v/>
      </c>
      <c r="P1618" s="13" t="s">
        <v>3144</v>
      </c>
      <c r="Q1618" s="13" t="s">
        <v>3138</v>
      </c>
      <c r="R1618" s="13" t="s">
        <v>0</v>
      </c>
      <c r="S1618" s="13" t="s">
        <v>0</v>
      </c>
      <c r="T1618" s="13" t="s">
        <v>9</v>
      </c>
      <c r="U1618" s="13" t="s">
        <v>0</v>
      </c>
      <c r="V1618" s="13" t="s">
        <v>0</v>
      </c>
      <c r="W1618" s="13" t="s">
        <v>0</v>
      </c>
      <c r="X1618" s="13" t="s">
        <v>0</v>
      </c>
      <c r="Y1618" s="13" t="s">
        <v>10</v>
      </c>
      <c r="Z1618" s="13" t="s">
        <v>0</v>
      </c>
      <c r="AA1618" s="14"/>
      <c r="AB1618" s="13" t="s">
        <v>0</v>
      </c>
      <c r="AC1618" s="13" t="s">
        <v>0</v>
      </c>
      <c r="AD1618" s="13" t="s">
        <v>0</v>
      </c>
      <c r="AE1618" s="15">
        <v>0</v>
      </c>
    </row>
    <row r="1619" spans="1:31" ht="14.15" customHeight="1" x14ac:dyDescent="0.25">
      <c r="A1619" s="12" t="s">
        <v>0</v>
      </c>
      <c r="B1619" s="13" t="s">
        <v>1</v>
      </c>
      <c r="C1619" s="13" t="s">
        <v>1523</v>
      </c>
      <c r="D1619" s="14">
        <v>44164</v>
      </c>
      <c r="E1619" s="14">
        <v>44164</v>
      </c>
      <c r="F1619" s="14">
        <v>44166</v>
      </c>
      <c r="G1619" s="13" t="s">
        <v>3</v>
      </c>
      <c r="H1619" s="13" t="s">
        <v>4</v>
      </c>
      <c r="I1619" s="15">
        <v>-9807.5</v>
      </c>
      <c r="J1619" s="13" t="s">
        <v>5</v>
      </c>
      <c r="K1619" s="13" t="s">
        <v>6</v>
      </c>
      <c r="L1619" s="15">
        <v>-823339.63</v>
      </c>
      <c r="M1619" s="15">
        <v>-9807.5</v>
      </c>
      <c r="N1619" s="16" t="str">
        <f>IF(M1619="","",IF(M1619&lt;0,-M1619&amp;"_"&amp;COUNTIF(M$2:M1619,M1619),M1619&amp;"_"&amp;COUNTIF(M$2:M1619,M1619)))</f>
        <v>9807.5_1</v>
      </c>
      <c r="O1619" s="17" t="str">
        <f t="shared" si="25"/>
        <v/>
      </c>
      <c r="P1619" s="13" t="s">
        <v>1524</v>
      </c>
      <c r="Q1619" s="13" t="s">
        <v>1516</v>
      </c>
      <c r="R1619" s="13" t="s">
        <v>0</v>
      </c>
      <c r="S1619" s="13" t="s">
        <v>0</v>
      </c>
      <c r="T1619" s="13" t="s">
        <v>9</v>
      </c>
      <c r="U1619" s="13" t="s">
        <v>0</v>
      </c>
      <c r="V1619" s="13" t="s">
        <v>0</v>
      </c>
      <c r="W1619" s="13" t="s">
        <v>0</v>
      </c>
      <c r="X1619" s="13" t="s">
        <v>0</v>
      </c>
      <c r="Y1619" s="13" t="s">
        <v>10</v>
      </c>
      <c r="Z1619" s="13" t="s">
        <v>0</v>
      </c>
      <c r="AA1619" s="14"/>
      <c r="AB1619" s="13" t="s">
        <v>0</v>
      </c>
      <c r="AC1619" s="13" t="s">
        <v>0</v>
      </c>
      <c r="AD1619" s="13" t="s">
        <v>0</v>
      </c>
      <c r="AE1619" s="15">
        <v>0</v>
      </c>
    </row>
    <row r="1620" spans="1:31" ht="14.15" customHeight="1" x14ac:dyDescent="0.25">
      <c r="A1620" s="12" t="s">
        <v>0</v>
      </c>
      <c r="B1620" s="13" t="s">
        <v>1</v>
      </c>
      <c r="C1620" s="13" t="s">
        <v>1427</v>
      </c>
      <c r="D1620" s="14">
        <v>44156</v>
      </c>
      <c r="E1620" s="14">
        <v>44156</v>
      </c>
      <c r="F1620" s="14">
        <v>44163</v>
      </c>
      <c r="G1620" s="13" t="s">
        <v>3</v>
      </c>
      <c r="H1620" s="13" t="s">
        <v>4</v>
      </c>
      <c r="I1620" s="15">
        <v>-9798.9</v>
      </c>
      <c r="J1620" s="13" t="s">
        <v>5</v>
      </c>
      <c r="K1620" s="13" t="s">
        <v>6</v>
      </c>
      <c r="L1620" s="15">
        <v>-822617.66</v>
      </c>
      <c r="M1620" s="15">
        <v>-9798.9</v>
      </c>
      <c r="N1620" s="16" t="str">
        <f>IF(M1620="","",IF(M1620&lt;0,-M1620&amp;"_"&amp;COUNTIF(M$2:M1620,M1620),M1620&amp;"_"&amp;COUNTIF(M$2:M1620,M1620)))</f>
        <v>9798.9_1</v>
      </c>
      <c r="O1620" s="17" t="str">
        <f t="shared" si="25"/>
        <v/>
      </c>
      <c r="P1620" s="13" t="s">
        <v>1428</v>
      </c>
      <c r="Q1620" s="13" t="s">
        <v>1426</v>
      </c>
      <c r="R1620" s="13" t="s">
        <v>0</v>
      </c>
      <c r="S1620" s="13" t="s">
        <v>0</v>
      </c>
      <c r="T1620" s="13" t="s">
        <v>9</v>
      </c>
      <c r="U1620" s="13" t="s">
        <v>0</v>
      </c>
      <c r="V1620" s="13" t="s">
        <v>0</v>
      </c>
      <c r="W1620" s="13" t="s">
        <v>0</v>
      </c>
      <c r="X1620" s="13" t="s">
        <v>0</v>
      </c>
      <c r="Y1620" s="13" t="s">
        <v>10</v>
      </c>
      <c r="Z1620" s="13" t="s">
        <v>0</v>
      </c>
      <c r="AA1620" s="14"/>
      <c r="AB1620" s="13" t="s">
        <v>0</v>
      </c>
      <c r="AC1620" s="13" t="s">
        <v>0</v>
      </c>
      <c r="AD1620" s="13" t="s">
        <v>0</v>
      </c>
      <c r="AE1620" s="15">
        <v>0</v>
      </c>
    </row>
    <row r="1621" spans="1:31" ht="14.15" customHeight="1" x14ac:dyDescent="0.25">
      <c r="A1621" s="12" t="s">
        <v>0</v>
      </c>
      <c r="B1621" s="13" t="s">
        <v>1</v>
      </c>
      <c r="C1621" s="13" t="s">
        <v>592</v>
      </c>
      <c r="D1621" s="14">
        <v>44080</v>
      </c>
      <c r="E1621" s="14">
        <v>44080</v>
      </c>
      <c r="F1621" s="14">
        <v>44089</v>
      </c>
      <c r="G1621" s="13" t="s">
        <v>3</v>
      </c>
      <c r="H1621" s="13" t="s">
        <v>4</v>
      </c>
      <c r="I1621" s="15">
        <v>-9798.1299999999992</v>
      </c>
      <c r="J1621" s="13" t="s">
        <v>5</v>
      </c>
      <c r="K1621" s="13" t="s">
        <v>6</v>
      </c>
      <c r="L1621" s="15">
        <v>-822553.01</v>
      </c>
      <c r="M1621" s="15">
        <v>-9798.1299999999992</v>
      </c>
      <c r="N1621" s="16" t="str">
        <f>IF(M1621="","",IF(M1621&lt;0,-M1621&amp;"_"&amp;COUNTIF(M$2:M1621,M1621),M1621&amp;"_"&amp;COUNTIF(M$2:M1621,M1621)))</f>
        <v>9798.13_1</v>
      </c>
      <c r="O1621" s="17" t="str">
        <f t="shared" si="25"/>
        <v/>
      </c>
      <c r="P1621" s="13" t="s">
        <v>593</v>
      </c>
      <c r="Q1621" s="13" t="s">
        <v>594</v>
      </c>
      <c r="R1621" s="13" t="s">
        <v>0</v>
      </c>
      <c r="S1621" s="13" t="s">
        <v>0</v>
      </c>
      <c r="T1621" s="13" t="s">
        <v>9</v>
      </c>
      <c r="U1621" s="13" t="s">
        <v>0</v>
      </c>
      <c r="V1621" s="13" t="s">
        <v>0</v>
      </c>
      <c r="W1621" s="13" t="s">
        <v>0</v>
      </c>
      <c r="X1621" s="13" t="s">
        <v>0</v>
      </c>
      <c r="Y1621" s="13" t="s">
        <v>10</v>
      </c>
      <c r="Z1621" s="13" t="s">
        <v>0</v>
      </c>
      <c r="AA1621" s="14"/>
      <c r="AB1621" s="13" t="s">
        <v>0</v>
      </c>
      <c r="AC1621" s="13" t="s">
        <v>0</v>
      </c>
      <c r="AD1621" s="13" t="s">
        <v>0</v>
      </c>
      <c r="AE1621" s="15">
        <v>0</v>
      </c>
    </row>
    <row r="1622" spans="1:31" ht="14.15" customHeight="1" x14ac:dyDescent="0.25">
      <c r="A1622" s="12" t="s">
        <v>0</v>
      </c>
      <c r="B1622" s="13" t="s">
        <v>1</v>
      </c>
      <c r="C1622" s="13" t="s">
        <v>2324</v>
      </c>
      <c r="D1622" s="14">
        <v>44220</v>
      </c>
      <c r="E1622" s="14">
        <v>44220</v>
      </c>
      <c r="F1622" s="14">
        <v>44229</v>
      </c>
      <c r="G1622" s="13" t="s">
        <v>3</v>
      </c>
      <c r="H1622" s="13" t="s">
        <v>4</v>
      </c>
      <c r="I1622" s="15">
        <v>-9790.2099999999991</v>
      </c>
      <c r="J1622" s="13" t="s">
        <v>5</v>
      </c>
      <c r="K1622" s="13" t="s">
        <v>6</v>
      </c>
      <c r="L1622" s="15">
        <v>-821888.13</v>
      </c>
      <c r="M1622" s="15">
        <v>-9790.2099999999991</v>
      </c>
      <c r="N1622" s="16" t="str">
        <f>IF(M1622="","",IF(M1622&lt;0,-M1622&amp;"_"&amp;COUNTIF(M$2:M1622,M1622),M1622&amp;"_"&amp;COUNTIF(M$2:M1622,M1622)))</f>
        <v>9790.21_1</v>
      </c>
      <c r="O1622" s="17" t="str">
        <f t="shared" si="25"/>
        <v/>
      </c>
      <c r="P1622" s="13" t="s">
        <v>2325</v>
      </c>
      <c r="Q1622" s="13" t="s">
        <v>2317</v>
      </c>
      <c r="R1622" s="13" t="s">
        <v>0</v>
      </c>
      <c r="S1622" s="13" t="s">
        <v>0</v>
      </c>
      <c r="T1622" s="13" t="s">
        <v>9</v>
      </c>
      <c r="U1622" s="13" t="s">
        <v>0</v>
      </c>
      <c r="V1622" s="13" t="s">
        <v>0</v>
      </c>
      <c r="W1622" s="13" t="s">
        <v>0</v>
      </c>
      <c r="X1622" s="13" t="s">
        <v>0</v>
      </c>
      <c r="Y1622" s="13" t="s">
        <v>10</v>
      </c>
      <c r="Z1622" s="13" t="s">
        <v>0</v>
      </c>
      <c r="AA1622" s="14"/>
      <c r="AB1622" s="13" t="s">
        <v>0</v>
      </c>
      <c r="AC1622" s="13" t="s">
        <v>0</v>
      </c>
      <c r="AD1622" s="13" t="s">
        <v>0</v>
      </c>
      <c r="AE1622" s="15">
        <v>0</v>
      </c>
    </row>
    <row r="1623" spans="1:31" ht="14.15" customHeight="1" x14ac:dyDescent="0.25">
      <c r="A1623" s="12" t="s">
        <v>0</v>
      </c>
      <c r="B1623" s="13" t="s">
        <v>1</v>
      </c>
      <c r="C1623" s="13" t="s">
        <v>1005</v>
      </c>
      <c r="D1623" s="14">
        <v>44126</v>
      </c>
      <c r="E1623" s="14">
        <v>44126</v>
      </c>
      <c r="F1623" s="14">
        <v>44136</v>
      </c>
      <c r="G1623" s="13" t="s">
        <v>3</v>
      </c>
      <c r="H1623" s="13" t="s">
        <v>4</v>
      </c>
      <c r="I1623" s="15">
        <v>-9790.2000000000007</v>
      </c>
      <c r="J1623" s="13" t="s">
        <v>5</v>
      </c>
      <c r="K1623" s="13" t="s">
        <v>6</v>
      </c>
      <c r="L1623" s="15">
        <v>-821887.29</v>
      </c>
      <c r="M1623" s="15">
        <v>-9790.2000000000007</v>
      </c>
      <c r="N1623" s="16" t="str">
        <f>IF(M1623="","",IF(M1623&lt;0,-M1623&amp;"_"&amp;COUNTIF(M$2:M1623,M1623),M1623&amp;"_"&amp;COUNTIF(M$2:M1623,M1623)))</f>
        <v>9790.2_1</v>
      </c>
      <c r="O1623" s="17" t="str">
        <f t="shared" si="25"/>
        <v/>
      </c>
      <c r="P1623" s="13" t="s">
        <v>1006</v>
      </c>
      <c r="Q1623" s="13" t="s">
        <v>992</v>
      </c>
      <c r="R1623" s="13" t="s">
        <v>0</v>
      </c>
      <c r="S1623" s="13" t="s">
        <v>0</v>
      </c>
      <c r="T1623" s="13" t="s">
        <v>9</v>
      </c>
      <c r="U1623" s="13" t="s">
        <v>0</v>
      </c>
      <c r="V1623" s="13" t="s">
        <v>0</v>
      </c>
      <c r="W1623" s="13" t="s">
        <v>0</v>
      </c>
      <c r="X1623" s="13" t="s">
        <v>0</v>
      </c>
      <c r="Y1623" s="13" t="s">
        <v>10</v>
      </c>
      <c r="Z1623" s="13" t="s">
        <v>0</v>
      </c>
      <c r="AA1623" s="14"/>
      <c r="AB1623" s="13" t="s">
        <v>0</v>
      </c>
      <c r="AC1623" s="13" t="s">
        <v>0</v>
      </c>
      <c r="AD1623" s="13" t="s">
        <v>0</v>
      </c>
      <c r="AE1623" s="15">
        <v>0</v>
      </c>
    </row>
    <row r="1624" spans="1:31" ht="14.15" customHeight="1" x14ac:dyDescent="0.25">
      <c r="A1624" s="12" t="s">
        <v>0</v>
      </c>
      <c r="B1624" s="13" t="s">
        <v>1</v>
      </c>
      <c r="C1624" s="13" t="s">
        <v>4308</v>
      </c>
      <c r="D1624" s="14">
        <v>44371</v>
      </c>
      <c r="E1624" s="14">
        <v>44371</v>
      </c>
      <c r="F1624" s="14">
        <v>44377</v>
      </c>
      <c r="G1624" s="13" t="s">
        <v>3</v>
      </c>
      <c r="H1624" s="13" t="s">
        <v>4</v>
      </c>
      <c r="I1624" s="15">
        <v>-9784.2000000000007</v>
      </c>
      <c r="J1624" s="13" t="s">
        <v>5</v>
      </c>
      <c r="K1624" s="13" t="s">
        <v>6</v>
      </c>
      <c r="L1624" s="15">
        <v>-821383.59</v>
      </c>
      <c r="M1624" s="15">
        <v>-9784.2000000000007</v>
      </c>
      <c r="N1624" s="16" t="str">
        <f>IF(M1624="","",IF(M1624&lt;0,-M1624&amp;"_"&amp;COUNTIF(M$2:M1624,M1624),M1624&amp;"_"&amp;COUNTIF(M$2:M1624,M1624)))</f>
        <v>9784.2_1</v>
      </c>
      <c r="O1624" s="17" t="str">
        <f t="shared" si="25"/>
        <v/>
      </c>
      <c r="P1624" s="13" t="s">
        <v>4309</v>
      </c>
      <c r="Q1624" s="13" t="s">
        <v>4307</v>
      </c>
      <c r="R1624" s="13" t="s">
        <v>0</v>
      </c>
      <c r="S1624" s="13" t="s">
        <v>0</v>
      </c>
      <c r="T1624" s="13" t="s">
        <v>9</v>
      </c>
      <c r="U1624" s="13" t="s">
        <v>0</v>
      </c>
      <c r="V1624" s="13" t="s">
        <v>0</v>
      </c>
      <c r="W1624" s="13" t="s">
        <v>0</v>
      </c>
      <c r="X1624" s="13" t="s">
        <v>0</v>
      </c>
      <c r="Y1624" s="13" t="s">
        <v>10</v>
      </c>
      <c r="Z1624" s="13" t="s">
        <v>0</v>
      </c>
      <c r="AA1624" s="14"/>
      <c r="AB1624" s="13" t="s">
        <v>0</v>
      </c>
      <c r="AC1624" s="13" t="s">
        <v>0</v>
      </c>
      <c r="AD1624" s="13" t="s">
        <v>0</v>
      </c>
      <c r="AE1624" s="15">
        <v>0</v>
      </c>
    </row>
    <row r="1625" spans="1:31" ht="14.15" customHeight="1" x14ac:dyDescent="0.25">
      <c r="A1625" s="12" t="s">
        <v>0</v>
      </c>
      <c r="B1625" s="13" t="s">
        <v>1</v>
      </c>
      <c r="C1625" s="13" t="s">
        <v>86</v>
      </c>
      <c r="D1625" s="14">
        <v>44021</v>
      </c>
      <c r="E1625" s="14">
        <v>44021</v>
      </c>
      <c r="F1625" s="14">
        <v>44032</v>
      </c>
      <c r="G1625" s="13" t="s">
        <v>3</v>
      </c>
      <c r="H1625" s="13" t="s">
        <v>4</v>
      </c>
      <c r="I1625" s="15">
        <v>-9773.02</v>
      </c>
      <c r="J1625" s="13" t="s">
        <v>5</v>
      </c>
      <c r="K1625" s="13" t="s">
        <v>6</v>
      </c>
      <c r="L1625" s="15">
        <v>-820445.03</v>
      </c>
      <c r="M1625" s="15">
        <v>-9773.02</v>
      </c>
      <c r="N1625" s="16" t="str">
        <f>IF(M1625="","",IF(M1625&lt;0,-M1625&amp;"_"&amp;COUNTIF(M$2:M1625,M1625),M1625&amp;"_"&amp;COUNTIF(M$2:M1625,M1625)))</f>
        <v>9773.02_1</v>
      </c>
      <c r="O1625" s="17" t="str">
        <f t="shared" si="25"/>
        <v/>
      </c>
      <c r="P1625" s="13" t="s">
        <v>87</v>
      </c>
      <c r="Q1625" s="13" t="s">
        <v>85</v>
      </c>
      <c r="R1625" s="13" t="s">
        <v>0</v>
      </c>
      <c r="S1625" s="13" t="s">
        <v>0</v>
      </c>
      <c r="T1625" s="13" t="s">
        <v>9</v>
      </c>
      <c r="U1625" s="13" t="s">
        <v>0</v>
      </c>
      <c r="V1625" s="13" t="s">
        <v>0</v>
      </c>
      <c r="W1625" s="13" t="s">
        <v>0</v>
      </c>
      <c r="X1625" s="13" t="s">
        <v>0</v>
      </c>
      <c r="Y1625" s="13" t="s">
        <v>10</v>
      </c>
      <c r="Z1625" s="13" t="s">
        <v>0</v>
      </c>
      <c r="AA1625" s="14"/>
      <c r="AB1625" s="13" t="s">
        <v>0</v>
      </c>
      <c r="AC1625" s="13" t="s">
        <v>0</v>
      </c>
      <c r="AD1625" s="13" t="s">
        <v>0</v>
      </c>
      <c r="AE1625" s="15">
        <v>0</v>
      </c>
    </row>
    <row r="1626" spans="1:31" ht="14.15" customHeight="1" x14ac:dyDescent="0.25">
      <c r="A1626" s="12" t="s">
        <v>0</v>
      </c>
      <c r="B1626" s="13" t="s">
        <v>1</v>
      </c>
      <c r="C1626" s="13" t="s">
        <v>2925</v>
      </c>
      <c r="D1626" s="14">
        <v>44276</v>
      </c>
      <c r="E1626" s="14">
        <v>44276</v>
      </c>
      <c r="F1626" s="14">
        <v>44280</v>
      </c>
      <c r="G1626" s="13" t="s">
        <v>3</v>
      </c>
      <c r="H1626" s="13" t="s">
        <v>4</v>
      </c>
      <c r="I1626" s="15">
        <v>-9766.7999999999993</v>
      </c>
      <c r="J1626" s="13" t="s">
        <v>5</v>
      </c>
      <c r="K1626" s="13" t="s">
        <v>6</v>
      </c>
      <c r="L1626" s="15">
        <v>-819922.86</v>
      </c>
      <c r="M1626" s="15">
        <v>-9766.7999999999993</v>
      </c>
      <c r="N1626" s="16" t="str">
        <f>IF(M1626="","",IF(M1626&lt;0,-M1626&amp;"_"&amp;COUNTIF(M$2:M1626,M1626),M1626&amp;"_"&amp;COUNTIF(M$2:M1626,M1626)))</f>
        <v>9766.8_1</v>
      </c>
      <c r="O1626" s="17" t="str">
        <f t="shared" si="25"/>
        <v/>
      </c>
      <c r="P1626" s="13" t="s">
        <v>2926</v>
      </c>
      <c r="Q1626" s="13" t="s">
        <v>2922</v>
      </c>
      <c r="R1626" s="13" t="s">
        <v>0</v>
      </c>
      <c r="S1626" s="13" t="s">
        <v>0</v>
      </c>
      <c r="T1626" s="13" t="s">
        <v>9</v>
      </c>
      <c r="U1626" s="13" t="s">
        <v>0</v>
      </c>
      <c r="V1626" s="13" t="s">
        <v>0</v>
      </c>
      <c r="W1626" s="13" t="s">
        <v>0</v>
      </c>
      <c r="X1626" s="13" t="s">
        <v>0</v>
      </c>
      <c r="Y1626" s="13" t="s">
        <v>10</v>
      </c>
      <c r="Z1626" s="13" t="s">
        <v>0</v>
      </c>
      <c r="AA1626" s="14"/>
      <c r="AB1626" s="13" t="s">
        <v>0</v>
      </c>
      <c r="AC1626" s="13" t="s">
        <v>0</v>
      </c>
      <c r="AD1626" s="13" t="s">
        <v>0</v>
      </c>
      <c r="AE1626" s="15">
        <v>0</v>
      </c>
    </row>
    <row r="1627" spans="1:31" ht="14.15" customHeight="1" x14ac:dyDescent="0.25">
      <c r="A1627" s="12" t="s">
        <v>0</v>
      </c>
      <c r="B1627" s="13" t="s">
        <v>1</v>
      </c>
      <c r="C1627" s="13" t="s">
        <v>1698</v>
      </c>
      <c r="D1627" s="14">
        <v>44173</v>
      </c>
      <c r="E1627" s="14">
        <v>44173</v>
      </c>
      <c r="F1627" s="14">
        <v>44185</v>
      </c>
      <c r="G1627" s="13" t="s">
        <v>3</v>
      </c>
      <c r="H1627" s="13" t="s">
        <v>4</v>
      </c>
      <c r="I1627" s="15">
        <v>-9760.8799999999992</v>
      </c>
      <c r="J1627" s="13" t="s">
        <v>5</v>
      </c>
      <c r="K1627" s="13" t="s">
        <v>6</v>
      </c>
      <c r="L1627" s="15">
        <v>-819425.88</v>
      </c>
      <c r="M1627" s="15">
        <v>-9760.8799999999992</v>
      </c>
      <c r="N1627" s="16" t="str">
        <f>IF(M1627="","",IF(M1627&lt;0,-M1627&amp;"_"&amp;COUNTIF(M$2:M1627,M1627),M1627&amp;"_"&amp;COUNTIF(M$2:M1627,M1627)))</f>
        <v>9760.88_1</v>
      </c>
      <c r="O1627" s="17" t="str">
        <f t="shared" si="25"/>
        <v/>
      </c>
      <c r="P1627" s="13" t="s">
        <v>1699</v>
      </c>
      <c r="Q1627" s="13" t="s">
        <v>1687</v>
      </c>
      <c r="R1627" s="13" t="s">
        <v>0</v>
      </c>
      <c r="S1627" s="13" t="s">
        <v>0</v>
      </c>
      <c r="T1627" s="13" t="s">
        <v>9</v>
      </c>
      <c r="U1627" s="13" t="s">
        <v>0</v>
      </c>
      <c r="V1627" s="13" t="s">
        <v>0</v>
      </c>
      <c r="W1627" s="13" t="s">
        <v>0</v>
      </c>
      <c r="X1627" s="13" t="s">
        <v>0</v>
      </c>
      <c r="Y1627" s="13" t="s">
        <v>10</v>
      </c>
      <c r="Z1627" s="13" t="s">
        <v>0</v>
      </c>
      <c r="AA1627" s="14"/>
      <c r="AB1627" s="13" t="s">
        <v>0</v>
      </c>
      <c r="AC1627" s="13" t="s">
        <v>0</v>
      </c>
      <c r="AD1627" s="13" t="s">
        <v>0</v>
      </c>
      <c r="AE1627" s="15">
        <v>0</v>
      </c>
    </row>
    <row r="1628" spans="1:31" ht="14.15" customHeight="1" x14ac:dyDescent="0.25">
      <c r="A1628" s="12" t="s">
        <v>0</v>
      </c>
      <c r="B1628" s="13" t="s">
        <v>1</v>
      </c>
      <c r="C1628" s="13" t="s">
        <v>2340</v>
      </c>
      <c r="D1628" s="14">
        <v>44223</v>
      </c>
      <c r="E1628" s="14">
        <v>44223</v>
      </c>
      <c r="F1628" s="14">
        <v>44231</v>
      </c>
      <c r="G1628" s="13" t="s">
        <v>3</v>
      </c>
      <c r="H1628" s="13" t="s">
        <v>4</v>
      </c>
      <c r="I1628" s="15">
        <v>-9732.66</v>
      </c>
      <c r="J1628" s="13" t="s">
        <v>5</v>
      </c>
      <c r="K1628" s="13" t="s">
        <v>6</v>
      </c>
      <c r="L1628" s="15">
        <v>-817056.8</v>
      </c>
      <c r="M1628" s="15">
        <v>-9732.66</v>
      </c>
      <c r="N1628" s="16" t="str">
        <f>IF(M1628="","",IF(M1628&lt;0,-M1628&amp;"_"&amp;COUNTIF(M$2:M1628,M1628),M1628&amp;"_"&amp;COUNTIF(M$2:M1628,M1628)))</f>
        <v>9732.66_1</v>
      </c>
      <c r="O1628" s="17" t="str">
        <f t="shared" si="25"/>
        <v/>
      </c>
      <c r="P1628" s="13" t="s">
        <v>2341</v>
      </c>
      <c r="Q1628" s="13" t="s">
        <v>2342</v>
      </c>
      <c r="R1628" s="13" t="s">
        <v>0</v>
      </c>
      <c r="S1628" s="13" t="s">
        <v>0</v>
      </c>
      <c r="T1628" s="13" t="s">
        <v>9</v>
      </c>
      <c r="U1628" s="13" t="s">
        <v>0</v>
      </c>
      <c r="V1628" s="13" t="s">
        <v>0</v>
      </c>
      <c r="W1628" s="13" t="s">
        <v>0</v>
      </c>
      <c r="X1628" s="13" t="s">
        <v>0</v>
      </c>
      <c r="Y1628" s="13" t="s">
        <v>10</v>
      </c>
      <c r="Z1628" s="13" t="s">
        <v>0</v>
      </c>
      <c r="AA1628" s="14"/>
      <c r="AB1628" s="13" t="s">
        <v>0</v>
      </c>
      <c r="AC1628" s="13" t="s">
        <v>0</v>
      </c>
      <c r="AD1628" s="13" t="s">
        <v>0</v>
      </c>
      <c r="AE1628" s="15">
        <v>0</v>
      </c>
    </row>
    <row r="1629" spans="1:31" ht="14.15" customHeight="1" x14ac:dyDescent="0.25">
      <c r="A1629" s="12" t="s">
        <v>0</v>
      </c>
      <c r="B1629" s="13" t="s">
        <v>1</v>
      </c>
      <c r="C1629" s="13" t="s">
        <v>259</v>
      </c>
      <c r="D1629" s="14">
        <v>44041</v>
      </c>
      <c r="E1629" s="14">
        <v>44041</v>
      </c>
      <c r="F1629" s="14">
        <v>44057</v>
      </c>
      <c r="G1629" s="13" t="s">
        <v>3</v>
      </c>
      <c r="H1629" s="13" t="s">
        <v>4</v>
      </c>
      <c r="I1629" s="15">
        <v>-9730.08</v>
      </c>
      <c r="J1629" s="13" t="s">
        <v>5</v>
      </c>
      <c r="K1629" s="13" t="s">
        <v>6</v>
      </c>
      <c r="L1629" s="15">
        <v>-816840.22</v>
      </c>
      <c r="M1629" s="15">
        <v>-9730.08</v>
      </c>
      <c r="N1629" s="16" t="str">
        <f>IF(M1629="","",IF(M1629&lt;0,-M1629&amp;"_"&amp;COUNTIF(M$2:M1629,M1629),M1629&amp;"_"&amp;COUNTIF(M$2:M1629,M1629)))</f>
        <v>9730.08_1</v>
      </c>
      <c r="O1629" s="17" t="str">
        <f t="shared" si="25"/>
        <v/>
      </c>
      <c r="P1629" s="13" t="s">
        <v>260</v>
      </c>
      <c r="Q1629" s="13" t="s">
        <v>250</v>
      </c>
      <c r="R1629" s="13" t="s">
        <v>0</v>
      </c>
      <c r="S1629" s="13" t="s">
        <v>0</v>
      </c>
      <c r="T1629" s="13" t="s">
        <v>9</v>
      </c>
      <c r="U1629" s="13" t="s">
        <v>0</v>
      </c>
      <c r="V1629" s="13" t="s">
        <v>0</v>
      </c>
      <c r="W1629" s="13" t="s">
        <v>0</v>
      </c>
      <c r="X1629" s="13" t="s">
        <v>0</v>
      </c>
      <c r="Y1629" s="13" t="s">
        <v>10</v>
      </c>
      <c r="Z1629" s="13" t="s">
        <v>0</v>
      </c>
      <c r="AA1629" s="14"/>
      <c r="AB1629" s="13" t="s">
        <v>0</v>
      </c>
      <c r="AC1629" s="13" t="s">
        <v>0</v>
      </c>
      <c r="AD1629" s="13" t="s">
        <v>0</v>
      </c>
      <c r="AE1629" s="15">
        <v>0</v>
      </c>
    </row>
    <row r="1630" spans="1:31" ht="14.15" customHeight="1" x14ac:dyDescent="0.25">
      <c r="A1630" s="12" t="s">
        <v>0</v>
      </c>
      <c r="B1630" s="13" t="s">
        <v>1</v>
      </c>
      <c r="C1630" s="13" t="s">
        <v>1523</v>
      </c>
      <c r="D1630" s="14">
        <v>44164</v>
      </c>
      <c r="E1630" s="14">
        <v>44164</v>
      </c>
      <c r="F1630" s="14">
        <v>44166</v>
      </c>
      <c r="G1630" s="13" t="s">
        <v>3</v>
      </c>
      <c r="H1630" s="13" t="s">
        <v>4</v>
      </c>
      <c r="I1630" s="15">
        <v>-9716.8700000000008</v>
      </c>
      <c r="J1630" s="13" t="s">
        <v>5</v>
      </c>
      <c r="K1630" s="13" t="s">
        <v>6</v>
      </c>
      <c r="L1630" s="15">
        <v>-815731.24</v>
      </c>
      <c r="M1630" s="15">
        <v>-9716.8700000000008</v>
      </c>
      <c r="N1630" s="16" t="str">
        <f>IF(M1630="","",IF(M1630&lt;0,-M1630&amp;"_"&amp;COUNTIF(M$2:M1630,M1630),M1630&amp;"_"&amp;COUNTIF(M$2:M1630,M1630)))</f>
        <v>9716.87_1</v>
      </c>
      <c r="O1630" s="17" t="str">
        <f t="shared" si="25"/>
        <v/>
      </c>
      <c r="P1630" s="13" t="s">
        <v>1524</v>
      </c>
      <c r="Q1630" s="13" t="s">
        <v>1516</v>
      </c>
      <c r="R1630" s="13" t="s">
        <v>0</v>
      </c>
      <c r="S1630" s="13" t="s">
        <v>0</v>
      </c>
      <c r="T1630" s="13" t="s">
        <v>9</v>
      </c>
      <c r="U1630" s="13" t="s">
        <v>0</v>
      </c>
      <c r="V1630" s="13" t="s">
        <v>0</v>
      </c>
      <c r="W1630" s="13" t="s">
        <v>0</v>
      </c>
      <c r="X1630" s="13" t="s">
        <v>0</v>
      </c>
      <c r="Y1630" s="13" t="s">
        <v>10</v>
      </c>
      <c r="Z1630" s="13" t="s">
        <v>0</v>
      </c>
      <c r="AA1630" s="14"/>
      <c r="AB1630" s="13" t="s">
        <v>0</v>
      </c>
      <c r="AC1630" s="13" t="s">
        <v>0</v>
      </c>
      <c r="AD1630" s="13" t="s">
        <v>0</v>
      </c>
      <c r="AE1630" s="15">
        <v>0</v>
      </c>
    </row>
    <row r="1631" spans="1:31" ht="14.15" customHeight="1" x14ac:dyDescent="0.25">
      <c r="A1631" s="12" t="s">
        <v>0</v>
      </c>
      <c r="B1631" s="13" t="s">
        <v>1</v>
      </c>
      <c r="C1631" s="13" t="s">
        <v>1118</v>
      </c>
      <c r="D1631" s="14">
        <v>44137</v>
      </c>
      <c r="E1631" s="14">
        <v>44137</v>
      </c>
      <c r="F1631" s="14">
        <v>44139</v>
      </c>
      <c r="G1631" s="13" t="s">
        <v>3</v>
      </c>
      <c r="H1631" s="13" t="s">
        <v>4</v>
      </c>
      <c r="I1631" s="15">
        <v>-9716.82</v>
      </c>
      <c r="J1631" s="13" t="s">
        <v>5</v>
      </c>
      <c r="K1631" s="13" t="s">
        <v>6</v>
      </c>
      <c r="L1631" s="15">
        <v>-815727.04</v>
      </c>
      <c r="M1631" s="15">
        <v>-9716.82</v>
      </c>
      <c r="N1631" s="16" t="str">
        <f>IF(M1631="","",IF(M1631&lt;0,-M1631&amp;"_"&amp;COUNTIF(M$2:M1631,M1631),M1631&amp;"_"&amp;COUNTIF(M$2:M1631,M1631)))</f>
        <v>9716.82_1</v>
      </c>
      <c r="O1631" s="17" t="str">
        <f t="shared" si="25"/>
        <v/>
      </c>
      <c r="P1631" s="13" t="s">
        <v>1119</v>
      </c>
      <c r="Q1631" s="13" t="s">
        <v>1120</v>
      </c>
      <c r="R1631" s="13" t="s">
        <v>0</v>
      </c>
      <c r="S1631" s="13" t="s">
        <v>0</v>
      </c>
      <c r="T1631" s="13" t="s">
        <v>9</v>
      </c>
      <c r="U1631" s="13" t="s">
        <v>0</v>
      </c>
      <c r="V1631" s="13" t="s">
        <v>0</v>
      </c>
      <c r="W1631" s="13" t="s">
        <v>0</v>
      </c>
      <c r="X1631" s="13" t="s">
        <v>0</v>
      </c>
      <c r="Y1631" s="13" t="s">
        <v>10</v>
      </c>
      <c r="Z1631" s="13" t="s">
        <v>0</v>
      </c>
      <c r="AA1631" s="14"/>
      <c r="AB1631" s="13" t="s">
        <v>0</v>
      </c>
      <c r="AC1631" s="13" t="s">
        <v>0</v>
      </c>
      <c r="AD1631" s="13" t="s">
        <v>0</v>
      </c>
      <c r="AE1631" s="15">
        <v>0</v>
      </c>
    </row>
    <row r="1632" spans="1:31" ht="14.15" customHeight="1" x14ac:dyDescent="0.25">
      <c r="A1632" s="12" t="s">
        <v>0</v>
      </c>
      <c r="B1632" s="13" t="s">
        <v>1</v>
      </c>
      <c r="C1632" s="13" t="s">
        <v>4319</v>
      </c>
      <c r="D1632" s="14">
        <v>44372</v>
      </c>
      <c r="E1632" s="14">
        <v>44372</v>
      </c>
      <c r="F1632" s="14">
        <v>44376</v>
      </c>
      <c r="G1632" s="13" t="s">
        <v>3</v>
      </c>
      <c r="H1632" s="13" t="s">
        <v>4</v>
      </c>
      <c r="I1632" s="15">
        <v>-9702.0400000000009</v>
      </c>
      <c r="J1632" s="13" t="s">
        <v>5</v>
      </c>
      <c r="K1632" s="13" t="s">
        <v>6</v>
      </c>
      <c r="L1632" s="15">
        <v>-814486.26</v>
      </c>
      <c r="M1632" s="15">
        <v>-9702.0400000000009</v>
      </c>
      <c r="N1632" s="16" t="str">
        <f>IF(M1632="","",IF(M1632&lt;0,-M1632&amp;"_"&amp;COUNTIF(M$2:M1632,M1632),M1632&amp;"_"&amp;COUNTIF(M$2:M1632,M1632)))</f>
        <v>9702.04_1</v>
      </c>
      <c r="O1632" s="17" t="str">
        <f t="shared" si="25"/>
        <v/>
      </c>
      <c r="P1632" s="13" t="s">
        <v>4320</v>
      </c>
      <c r="Q1632" s="13" t="s">
        <v>4312</v>
      </c>
      <c r="R1632" s="13" t="s">
        <v>0</v>
      </c>
      <c r="S1632" s="13" t="s">
        <v>0</v>
      </c>
      <c r="T1632" s="13" t="s">
        <v>9</v>
      </c>
      <c r="U1632" s="13" t="s">
        <v>0</v>
      </c>
      <c r="V1632" s="13" t="s">
        <v>0</v>
      </c>
      <c r="W1632" s="13" t="s">
        <v>0</v>
      </c>
      <c r="X1632" s="13" t="s">
        <v>0</v>
      </c>
      <c r="Y1632" s="13" t="s">
        <v>10</v>
      </c>
      <c r="Z1632" s="13" t="s">
        <v>0</v>
      </c>
      <c r="AA1632" s="14"/>
      <c r="AB1632" s="13" t="s">
        <v>0</v>
      </c>
      <c r="AC1632" s="13" t="s">
        <v>0</v>
      </c>
      <c r="AD1632" s="13" t="s">
        <v>0</v>
      </c>
      <c r="AE1632" s="15">
        <v>0</v>
      </c>
    </row>
    <row r="1633" spans="1:31" ht="14.15" customHeight="1" x14ac:dyDescent="0.25">
      <c r="A1633" s="12" t="s">
        <v>0</v>
      </c>
      <c r="B1633" s="13" t="s">
        <v>1</v>
      </c>
      <c r="C1633" s="13" t="s">
        <v>2624</v>
      </c>
      <c r="D1633" s="14">
        <v>44247</v>
      </c>
      <c r="E1633" s="14">
        <v>44247</v>
      </c>
      <c r="F1633" s="14">
        <v>44257</v>
      </c>
      <c r="G1633" s="13" t="s">
        <v>3</v>
      </c>
      <c r="H1633" s="13" t="s">
        <v>4</v>
      </c>
      <c r="I1633" s="15">
        <v>-9702.02</v>
      </c>
      <c r="J1633" s="13" t="s">
        <v>5</v>
      </c>
      <c r="K1633" s="13" t="s">
        <v>6</v>
      </c>
      <c r="L1633" s="15">
        <v>-814484.58</v>
      </c>
      <c r="M1633" s="15">
        <v>-9702.02</v>
      </c>
      <c r="N1633" s="16" t="str">
        <f>IF(M1633="","",IF(M1633&lt;0,-M1633&amp;"_"&amp;COUNTIF(M$2:M1633,M1633),M1633&amp;"_"&amp;COUNTIF(M$2:M1633,M1633)))</f>
        <v>9702.02_1</v>
      </c>
      <c r="O1633" s="17" t="str">
        <f t="shared" si="25"/>
        <v/>
      </c>
      <c r="P1633" s="13" t="s">
        <v>2625</v>
      </c>
      <c r="Q1633" s="13" t="s">
        <v>2626</v>
      </c>
      <c r="R1633" s="13" t="s">
        <v>0</v>
      </c>
      <c r="S1633" s="13" t="s">
        <v>0</v>
      </c>
      <c r="T1633" s="13" t="s">
        <v>9</v>
      </c>
      <c r="U1633" s="13" t="s">
        <v>0</v>
      </c>
      <c r="V1633" s="13" t="s">
        <v>0</v>
      </c>
      <c r="W1633" s="13" t="s">
        <v>0</v>
      </c>
      <c r="X1633" s="13" t="s">
        <v>0</v>
      </c>
      <c r="Y1633" s="13" t="s">
        <v>10</v>
      </c>
      <c r="Z1633" s="13" t="s">
        <v>0</v>
      </c>
      <c r="AA1633" s="14"/>
      <c r="AB1633" s="13" t="s">
        <v>0</v>
      </c>
      <c r="AC1633" s="13" t="s">
        <v>0</v>
      </c>
      <c r="AD1633" s="13" t="s">
        <v>0</v>
      </c>
      <c r="AE1633" s="15">
        <v>0</v>
      </c>
    </row>
    <row r="1634" spans="1:31" ht="14.15" customHeight="1" x14ac:dyDescent="0.25">
      <c r="A1634" s="12" t="s">
        <v>0</v>
      </c>
      <c r="B1634" s="13" t="s">
        <v>1</v>
      </c>
      <c r="C1634" s="13" t="s">
        <v>1074</v>
      </c>
      <c r="D1634" s="14">
        <v>44134</v>
      </c>
      <c r="E1634" s="14">
        <v>44134</v>
      </c>
      <c r="F1634" s="14">
        <v>44138</v>
      </c>
      <c r="G1634" s="13" t="s">
        <v>3</v>
      </c>
      <c r="H1634" s="13" t="s">
        <v>4</v>
      </c>
      <c r="I1634" s="15">
        <v>-9699.84</v>
      </c>
      <c r="J1634" s="13" t="s">
        <v>5</v>
      </c>
      <c r="K1634" s="13" t="s">
        <v>6</v>
      </c>
      <c r="L1634" s="15">
        <v>-814301.57</v>
      </c>
      <c r="M1634" s="15">
        <v>-9699.84</v>
      </c>
      <c r="N1634" s="16" t="str">
        <f>IF(M1634="","",IF(M1634&lt;0,-M1634&amp;"_"&amp;COUNTIF(M$2:M1634,M1634),M1634&amp;"_"&amp;COUNTIF(M$2:M1634,M1634)))</f>
        <v>9699.84_1</v>
      </c>
      <c r="O1634" s="17" t="str">
        <f t="shared" si="25"/>
        <v/>
      </c>
      <c r="P1634" s="13" t="s">
        <v>1075</v>
      </c>
      <c r="Q1634" s="13" t="s">
        <v>1076</v>
      </c>
      <c r="R1634" s="13" t="s">
        <v>0</v>
      </c>
      <c r="S1634" s="13" t="s">
        <v>0</v>
      </c>
      <c r="T1634" s="13" t="s">
        <v>9</v>
      </c>
      <c r="U1634" s="13" t="s">
        <v>0</v>
      </c>
      <c r="V1634" s="13" t="s">
        <v>0</v>
      </c>
      <c r="W1634" s="13" t="s">
        <v>0</v>
      </c>
      <c r="X1634" s="13" t="s">
        <v>0</v>
      </c>
      <c r="Y1634" s="13" t="s">
        <v>10</v>
      </c>
      <c r="Z1634" s="13" t="s">
        <v>0</v>
      </c>
      <c r="AA1634" s="14"/>
      <c r="AB1634" s="13" t="s">
        <v>0</v>
      </c>
      <c r="AC1634" s="13" t="s">
        <v>0</v>
      </c>
      <c r="AD1634" s="13" t="s">
        <v>0</v>
      </c>
      <c r="AE1634" s="15">
        <v>0</v>
      </c>
    </row>
    <row r="1635" spans="1:31" ht="14.15" customHeight="1" x14ac:dyDescent="0.25">
      <c r="A1635" s="12" t="s">
        <v>0</v>
      </c>
      <c r="B1635" s="13" t="s">
        <v>1</v>
      </c>
      <c r="C1635" s="13" t="s">
        <v>2251</v>
      </c>
      <c r="D1635" s="14">
        <v>44215</v>
      </c>
      <c r="E1635" s="14">
        <v>44215</v>
      </c>
      <c r="F1635" s="14">
        <v>44222</v>
      </c>
      <c r="G1635" s="13" t="s">
        <v>3</v>
      </c>
      <c r="H1635" s="13" t="s">
        <v>4</v>
      </c>
      <c r="I1635" s="15">
        <v>-9695.18</v>
      </c>
      <c r="J1635" s="13" t="s">
        <v>5</v>
      </c>
      <c r="K1635" s="13" t="s">
        <v>6</v>
      </c>
      <c r="L1635" s="15">
        <v>-813910.36</v>
      </c>
      <c r="M1635" s="15">
        <v>-9695.18</v>
      </c>
      <c r="N1635" s="16" t="str">
        <f>IF(M1635="","",IF(M1635&lt;0,-M1635&amp;"_"&amp;COUNTIF(M$2:M1635,M1635),M1635&amp;"_"&amp;COUNTIF(M$2:M1635,M1635)))</f>
        <v>9695.18_1</v>
      </c>
      <c r="O1635" s="17" t="str">
        <f t="shared" si="25"/>
        <v/>
      </c>
      <c r="P1635" s="13" t="s">
        <v>2252</v>
      </c>
      <c r="Q1635" s="13" t="s">
        <v>2250</v>
      </c>
      <c r="R1635" s="13" t="s">
        <v>0</v>
      </c>
      <c r="S1635" s="13" t="s">
        <v>0</v>
      </c>
      <c r="T1635" s="13" t="s">
        <v>9</v>
      </c>
      <c r="U1635" s="13" t="s">
        <v>0</v>
      </c>
      <c r="V1635" s="13" t="s">
        <v>0</v>
      </c>
      <c r="W1635" s="13" t="s">
        <v>0</v>
      </c>
      <c r="X1635" s="13" t="s">
        <v>0</v>
      </c>
      <c r="Y1635" s="13" t="s">
        <v>10</v>
      </c>
      <c r="Z1635" s="13" t="s">
        <v>0</v>
      </c>
      <c r="AA1635" s="14"/>
      <c r="AB1635" s="13" t="s">
        <v>0</v>
      </c>
      <c r="AC1635" s="13" t="s">
        <v>0</v>
      </c>
      <c r="AD1635" s="13" t="s">
        <v>0</v>
      </c>
      <c r="AE1635" s="15">
        <v>0</v>
      </c>
    </row>
    <row r="1636" spans="1:31" ht="14.15" customHeight="1" x14ac:dyDescent="0.25">
      <c r="A1636" s="12" t="s">
        <v>0</v>
      </c>
      <c r="B1636" s="13" t="s">
        <v>1</v>
      </c>
      <c r="C1636" s="13" t="s">
        <v>188</v>
      </c>
      <c r="D1636" s="14">
        <v>44034</v>
      </c>
      <c r="E1636" s="14">
        <v>44034</v>
      </c>
      <c r="F1636" s="14">
        <v>44040</v>
      </c>
      <c r="G1636" s="13" t="s">
        <v>3</v>
      </c>
      <c r="H1636" s="13" t="s">
        <v>4</v>
      </c>
      <c r="I1636" s="15">
        <v>-9690.64</v>
      </c>
      <c r="J1636" s="13" t="s">
        <v>5</v>
      </c>
      <c r="K1636" s="13" t="s">
        <v>6</v>
      </c>
      <c r="L1636" s="15">
        <v>-813529.23</v>
      </c>
      <c r="M1636" s="15">
        <v>-9690.64</v>
      </c>
      <c r="N1636" s="16" t="str">
        <f>IF(M1636="","",IF(M1636&lt;0,-M1636&amp;"_"&amp;COUNTIF(M$2:M1636,M1636),M1636&amp;"_"&amp;COUNTIF(M$2:M1636,M1636)))</f>
        <v>9690.64_1</v>
      </c>
      <c r="O1636" s="17" t="str">
        <f t="shared" si="25"/>
        <v/>
      </c>
      <c r="P1636" s="13" t="s">
        <v>189</v>
      </c>
      <c r="Q1636" s="13" t="s">
        <v>175</v>
      </c>
      <c r="R1636" s="13" t="s">
        <v>0</v>
      </c>
      <c r="S1636" s="13" t="s">
        <v>0</v>
      </c>
      <c r="T1636" s="13" t="s">
        <v>9</v>
      </c>
      <c r="U1636" s="13" t="s">
        <v>0</v>
      </c>
      <c r="V1636" s="13" t="s">
        <v>0</v>
      </c>
      <c r="W1636" s="13" t="s">
        <v>0</v>
      </c>
      <c r="X1636" s="13" t="s">
        <v>0</v>
      </c>
      <c r="Y1636" s="13" t="s">
        <v>10</v>
      </c>
      <c r="Z1636" s="13" t="s">
        <v>0</v>
      </c>
      <c r="AA1636" s="14"/>
      <c r="AB1636" s="13" t="s">
        <v>0</v>
      </c>
      <c r="AC1636" s="13" t="s">
        <v>0</v>
      </c>
      <c r="AD1636" s="13" t="s">
        <v>0</v>
      </c>
      <c r="AE1636" s="15">
        <v>0</v>
      </c>
    </row>
    <row r="1637" spans="1:31" ht="14.15" customHeight="1" x14ac:dyDescent="0.25">
      <c r="A1637" s="12" t="s">
        <v>0</v>
      </c>
      <c r="B1637" s="13" t="s">
        <v>1</v>
      </c>
      <c r="C1637" s="13" t="s">
        <v>1786</v>
      </c>
      <c r="D1637" s="14">
        <v>44182</v>
      </c>
      <c r="E1637" s="14">
        <v>44182</v>
      </c>
      <c r="F1637" s="14">
        <v>44199</v>
      </c>
      <c r="G1637" s="13" t="s">
        <v>3</v>
      </c>
      <c r="H1637" s="13" t="s">
        <v>4</v>
      </c>
      <c r="I1637" s="15">
        <v>-9688.82</v>
      </c>
      <c r="J1637" s="13" t="s">
        <v>5</v>
      </c>
      <c r="K1637" s="13" t="s">
        <v>6</v>
      </c>
      <c r="L1637" s="15">
        <v>-813376.43</v>
      </c>
      <c r="M1637" s="15">
        <v>-9688.82</v>
      </c>
      <c r="N1637" s="16" t="str">
        <f>IF(M1637="","",IF(M1637&lt;0,-M1637&amp;"_"&amp;COUNTIF(M$2:M1637,M1637),M1637&amp;"_"&amp;COUNTIF(M$2:M1637,M1637)))</f>
        <v>9688.82_1</v>
      </c>
      <c r="O1637" s="17" t="str">
        <f t="shared" si="25"/>
        <v/>
      </c>
      <c r="P1637" s="13" t="s">
        <v>1787</v>
      </c>
      <c r="Q1637" s="13" t="s">
        <v>1777</v>
      </c>
      <c r="R1637" s="13" t="s">
        <v>0</v>
      </c>
      <c r="S1637" s="13" t="s">
        <v>0</v>
      </c>
      <c r="T1637" s="13" t="s">
        <v>9</v>
      </c>
      <c r="U1637" s="13" t="s">
        <v>0</v>
      </c>
      <c r="V1637" s="13" t="s">
        <v>0</v>
      </c>
      <c r="W1637" s="13" t="s">
        <v>0</v>
      </c>
      <c r="X1637" s="13" t="s">
        <v>0</v>
      </c>
      <c r="Y1637" s="13" t="s">
        <v>10</v>
      </c>
      <c r="Z1637" s="13" t="s">
        <v>0</v>
      </c>
      <c r="AA1637" s="14"/>
      <c r="AB1637" s="13" t="s">
        <v>0</v>
      </c>
      <c r="AC1637" s="13" t="s">
        <v>0</v>
      </c>
      <c r="AD1637" s="13" t="s">
        <v>0</v>
      </c>
      <c r="AE1637" s="15">
        <v>0</v>
      </c>
    </row>
    <row r="1638" spans="1:31" ht="14.15" customHeight="1" x14ac:dyDescent="0.25">
      <c r="A1638" s="12" t="s">
        <v>0</v>
      </c>
      <c r="B1638" s="13" t="s">
        <v>1</v>
      </c>
      <c r="C1638" s="13" t="s">
        <v>3616</v>
      </c>
      <c r="D1638" s="14">
        <v>44329</v>
      </c>
      <c r="E1638" s="14">
        <v>44329</v>
      </c>
      <c r="F1638" s="14">
        <v>44336</v>
      </c>
      <c r="G1638" s="13" t="s">
        <v>3</v>
      </c>
      <c r="H1638" s="13" t="s">
        <v>4</v>
      </c>
      <c r="I1638" s="15">
        <v>-9682.68</v>
      </c>
      <c r="J1638" s="13" t="s">
        <v>5</v>
      </c>
      <c r="K1638" s="13" t="s">
        <v>6</v>
      </c>
      <c r="L1638" s="15">
        <v>-812860.99</v>
      </c>
      <c r="M1638" s="15">
        <v>-9682.68</v>
      </c>
      <c r="N1638" s="16" t="str">
        <f>IF(M1638="","",IF(M1638&lt;0,-M1638&amp;"_"&amp;COUNTIF(M$2:M1638,M1638),M1638&amp;"_"&amp;COUNTIF(M$2:M1638,M1638)))</f>
        <v>9682.68_1</v>
      </c>
      <c r="O1638" s="17" t="str">
        <f t="shared" si="25"/>
        <v/>
      </c>
      <c r="P1638" s="13" t="s">
        <v>3617</v>
      </c>
      <c r="Q1638" s="13" t="s">
        <v>3603</v>
      </c>
      <c r="R1638" s="13" t="s">
        <v>0</v>
      </c>
      <c r="S1638" s="13" t="s">
        <v>0</v>
      </c>
      <c r="T1638" s="13" t="s">
        <v>9</v>
      </c>
      <c r="U1638" s="13" t="s">
        <v>0</v>
      </c>
      <c r="V1638" s="13" t="s">
        <v>0</v>
      </c>
      <c r="W1638" s="13" t="s">
        <v>0</v>
      </c>
      <c r="X1638" s="13" t="s">
        <v>0</v>
      </c>
      <c r="Y1638" s="13" t="s">
        <v>10</v>
      </c>
      <c r="Z1638" s="13" t="s">
        <v>0</v>
      </c>
      <c r="AA1638" s="14"/>
      <c r="AB1638" s="13" t="s">
        <v>0</v>
      </c>
      <c r="AC1638" s="13" t="s">
        <v>0</v>
      </c>
      <c r="AD1638" s="13" t="s">
        <v>0</v>
      </c>
      <c r="AE1638" s="15">
        <v>0</v>
      </c>
    </row>
    <row r="1639" spans="1:31" ht="14.15" customHeight="1" x14ac:dyDescent="0.25">
      <c r="A1639" s="12" t="s">
        <v>0</v>
      </c>
      <c r="B1639" s="13" t="s">
        <v>1</v>
      </c>
      <c r="C1639" s="13" t="s">
        <v>1521</v>
      </c>
      <c r="D1639" s="14">
        <v>44164</v>
      </c>
      <c r="E1639" s="14">
        <v>44164</v>
      </c>
      <c r="F1639" s="14">
        <v>44166</v>
      </c>
      <c r="G1639" s="13" t="s">
        <v>3</v>
      </c>
      <c r="H1639" s="13" t="s">
        <v>4</v>
      </c>
      <c r="I1639" s="15">
        <v>-9666.5300000000007</v>
      </c>
      <c r="J1639" s="13" t="s">
        <v>5</v>
      </c>
      <c r="K1639" s="13" t="s">
        <v>6</v>
      </c>
      <c r="L1639" s="15">
        <v>-811505.2</v>
      </c>
      <c r="M1639" s="15">
        <v>-9666.5300000000007</v>
      </c>
      <c r="N1639" s="16" t="str">
        <f>IF(M1639="","",IF(M1639&lt;0,-M1639&amp;"_"&amp;COUNTIF(M$2:M1639,M1639),M1639&amp;"_"&amp;COUNTIF(M$2:M1639,M1639)))</f>
        <v>9666.53_1</v>
      </c>
      <c r="O1639" s="17" t="str">
        <f t="shared" si="25"/>
        <v/>
      </c>
      <c r="P1639" s="13" t="s">
        <v>1522</v>
      </c>
      <c r="Q1639" s="13" t="s">
        <v>1516</v>
      </c>
      <c r="R1639" s="13" t="s">
        <v>0</v>
      </c>
      <c r="S1639" s="13" t="s">
        <v>0</v>
      </c>
      <c r="T1639" s="13" t="s">
        <v>9</v>
      </c>
      <c r="U1639" s="13" t="s">
        <v>0</v>
      </c>
      <c r="V1639" s="13" t="s">
        <v>0</v>
      </c>
      <c r="W1639" s="13" t="s">
        <v>0</v>
      </c>
      <c r="X1639" s="13" t="s">
        <v>0</v>
      </c>
      <c r="Y1639" s="13" t="s">
        <v>10</v>
      </c>
      <c r="Z1639" s="13" t="s">
        <v>0</v>
      </c>
      <c r="AA1639" s="14"/>
      <c r="AB1639" s="13" t="s">
        <v>0</v>
      </c>
      <c r="AC1639" s="13" t="s">
        <v>0</v>
      </c>
      <c r="AD1639" s="13" t="s">
        <v>0</v>
      </c>
      <c r="AE1639" s="15">
        <v>0</v>
      </c>
    </row>
    <row r="1640" spans="1:31" ht="14.15" customHeight="1" x14ac:dyDescent="0.25">
      <c r="A1640" s="12" t="s">
        <v>0</v>
      </c>
      <c r="B1640" s="13" t="s">
        <v>1</v>
      </c>
      <c r="C1640" s="13" t="s">
        <v>2387</v>
      </c>
      <c r="D1640" s="14">
        <v>44227</v>
      </c>
      <c r="E1640" s="14">
        <v>44227</v>
      </c>
      <c r="F1640" s="14">
        <v>44231</v>
      </c>
      <c r="G1640" s="13" t="s">
        <v>3</v>
      </c>
      <c r="H1640" s="13" t="s">
        <v>4</v>
      </c>
      <c r="I1640" s="15">
        <v>-9663.51</v>
      </c>
      <c r="J1640" s="13" t="s">
        <v>5</v>
      </c>
      <c r="K1640" s="13" t="s">
        <v>6</v>
      </c>
      <c r="L1640" s="15">
        <v>-811251.66</v>
      </c>
      <c r="M1640" s="15">
        <v>-9663.51</v>
      </c>
      <c r="N1640" s="16" t="str">
        <f>IF(M1640="","",IF(M1640&lt;0,-M1640&amp;"_"&amp;COUNTIF(M$2:M1640,M1640),M1640&amp;"_"&amp;COUNTIF(M$2:M1640,M1640)))</f>
        <v>9663.51_1</v>
      </c>
      <c r="O1640" s="17" t="str">
        <f t="shared" si="25"/>
        <v/>
      </c>
      <c r="P1640" s="13" t="s">
        <v>2388</v>
      </c>
      <c r="Q1640" s="13" t="s">
        <v>2378</v>
      </c>
      <c r="R1640" s="13" t="s">
        <v>0</v>
      </c>
      <c r="S1640" s="13" t="s">
        <v>0</v>
      </c>
      <c r="T1640" s="13" t="s">
        <v>9</v>
      </c>
      <c r="U1640" s="13" t="s">
        <v>0</v>
      </c>
      <c r="V1640" s="13" t="s">
        <v>0</v>
      </c>
      <c r="W1640" s="13" t="s">
        <v>0</v>
      </c>
      <c r="X1640" s="13" t="s">
        <v>0</v>
      </c>
      <c r="Y1640" s="13" t="s">
        <v>10</v>
      </c>
      <c r="Z1640" s="13" t="s">
        <v>0</v>
      </c>
      <c r="AA1640" s="14"/>
      <c r="AB1640" s="13" t="s">
        <v>0</v>
      </c>
      <c r="AC1640" s="13" t="s">
        <v>0</v>
      </c>
      <c r="AD1640" s="13" t="s">
        <v>0</v>
      </c>
      <c r="AE1640" s="15">
        <v>0</v>
      </c>
    </row>
    <row r="1641" spans="1:31" ht="14.15" customHeight="1" x14ac:dyDescent="0.25">
      <c r="A1641" s="12" t="s">
        <v>0</v>
      </c>
      <c r="B1641" s="13" t="s">
        <v>1</v>
      </c>
      <c r="C1641" s="13" t="s">
        <v>663</v>
      </c>
      <c r="D1641" s="14">
        <v>44087</v>
      </c>
      <c r="E1641" s="14">
        <v>44087</v>
      </c>
      <c r="F1641" s="14">
        <v>44110</v>
      </c>
      <c r="G1641" s="13" t="s">
        <v>3</v>
      </c>
      <c r="H1641" s="13" t="s">
        <v>4</v>
      </c>
      <c r="I1641" s="15">
        <v>-9659.1200000000008</v>
      </c>
      <c r="J1641" s="13" t="s">
        <v>5</v>
      </c>
      <c r="K1641" s="13" t="s">
        <v>6</v>
      </c>
      <c r="L1641" s="15">
        <v>-810883.12</v>
      </c>
      <c r="M1641" s="15">
        <v>-9659.1200000000008</v>
      </c>
      <c r="N1641" s="16" t="str">
        <f>IF(M1641="","",IF(M1641&lt;0,-M1641&amp;"_"&amp;COUNTIF(M$2:M1641,M1641),M1641&amp;"_"&amp;COUNTIF(M$2:M1641,M1641)))</f>
        <v>9659.12_1</v>
      </c>
      <c r="O1641" s="17" t="str">
        <f t="shared" si="25"/>
        <v/>
      </c>
      <c r="P1641" s="13" t="s">
        <v>664</v>
      </c>
      <c r="Q1641" s="13" t="s">
        <v>662</v>
      </c>
      <c r="R1641" s="13" t="s">
        <v>0</v>
      </c>
      <c r="S1641" s="13" t="s">
        <v>0</v>
      </c>
      <c r="T1641" s="13" t="s">
        <v>9</v>
      </c>
      <c r="U1641" s="13" t="s">
        <v>0</v>
      </c>
      <c r="V1641" s="13" t="s">
        <v>0</v>
      </c>
      <c r="W1641" s="13" t="s">
        <v>0</v>
      </c>
      <c r="X1641" s="13" t="s">
        <v>0</v>
      </c>
      <c r="Y1641" s="13" t="s">
        <v>10</v>
      </c>
      <c r="Z1641" s="13" t="s">
        <v>0</v>
      </c>
      <c r="AA1641" s="14"/>
      <c r="AB1641" s="13" t="s">
        <v>0</v>
      </c>
      <c r="AC1641" s="13" t="s">
        <v>0</v>
      </c>
      <c r="AD1641" s="13" t="s">
        <v>0</v>
      </c>
      <c r="AE1641" s="15">
        <v>0</v>
      </c>
    </row>
    <row r="1642" spans="1:31" ht="14.15" customHeight="1" x14ac:dyDescent="0.25">
      <c r="A1642" s="12" t="s">
        <v>0</v>
      </c>
      <c r="B1642" s="13" t="s">
        <v>1</v>
      </c>
      <c r="C1642" s="13" t="s">
        <v>1293</v>
      </c>
      <c r="D1642" s="14">
        <v>44146</v>
      </c>
      <c r="E1642" s="14">
        <v>44146</v>
      </c>
      <c r="F1642" s="14">
        <v>44152</v>
      </c>
      <c r="G1642" s="13" t="s">
        <v>3</v>
      </c>
      <c r="H1642" s="13" t="s">
        <v>4</v>
      </c>
      <c r="I1642" s="15">
        <v>-9650.98</v>
      </c>
      <c r="J1642" s="13" t="s">
        <v>5</v>
      </c>
      <c r="K1642" s="13" t="s">
        <v>6</v>
      </c>
      <c r="L1642" s="15">
        <v>-810199.77</v>
      </c>
      <c r="M1642" s="15">
        <v>-9650.98</v>
      </c>
      <c r="N1642" s="16" t="str">
        <f>IF(M1642="","",IF(M1642&lt;0,-M1642&amp;"_"&amp;COUNTIF(M$2:M1642,M1642),M1642&amp;"_"&amp;COUNTIF(M$2:M1642,M1642)))</f>
        <v>9650.98_1</v>
      </c>
      <c r="O1642" s="17" t="str">
        <f t="shared" si="25"/>
        <v/>
      </c>
      <c r="P1642" s="13" t="s">
        <v>1294</v>
      </c>
      <c r="Q1642" s="13" t="s">
        <v>1282</v>
      </c>
      <c r="R1642" s="13" t="s">
        <v>0</v>
      </c>
      <c r="S1642" s="13" t="s">
        <v>0</v>
      </c>
      <c r="T1642" s="13" t="s">
        <v>9</v>
      </c>
      <c r="U1642" s="13" t="s">
        <v>0</v>
      </c>
      <c r="V1642" s="13" t="s">
        <v>0</v>
      </c>
      <c r="W1642" s="13" t="s">
        <v>0</v>
      </c>
      <c r="X1642" s="13" t="s">
        <v>0</v>
      </c>
      <c r="Y1642" s="13" t="s">
        <v>10</v>
      </c>
      <c r="Z1642" s="13" t="s">
        <v>0</v>
      </c>
      <c r="AA1642" s="14"/>
      <c r="AB1642" s="13" t="s">
        <v>0</v>
      </c>
      <c r="AC1642" s="13" t="s">
        <v>0</v>
      </c>
      <c r="AD1642" s="13" t="s">
        <v>0</v>
      </c>
      <c r="AE1642" s="15">
        <v>0</v>
      </c>
    </row>
    <row r="1643" spans="1:31" ht="14.15" customHeight="1" x14ac:dyDescent="0.25">
      <c r="A1643" s="12" t="s">
        <v>0</v>
      </c>
      <c r="B1643" s="13" t="s">
        <v>1</v>
      </c>
      <c r="C1643" s="13" t="s">
        <v>2418</v>
      </c>
      <c r="D1643" s="14">
        <v>44229</v>
      </c>
      <c r="E1643" s="14">
        <v>44229</v>
      </c>
      <c r="F1643" s="14">
        <v>44241</v>
      </c>
      <c r="G1643" s="13" t="s">
        <v>3</v>
      </c>
      <c r="H1643" s="13" t="s">
        <v>4</v>
      </c>
      <c r="I1643" s="15">
        <v>-9647.27</v>
      </c>
      <c r="J1643" s="13" t="s">
        <v>5</v>
      </c>
      <c r="K1643" s="13" t="s">
        <v>6</v>
      </c>
      <c r="L1643" s="15">
        <v>-809888.32</v>
      </c>
      <c r="M1643" s="15">
        <v>-9647.27</v>
      </c>
      <c r="N1643" s="16" t="str">
        <f>IF(M1643="","",IF(M1643&lt;0,-M1643&amp;"_"&amp;COUNTIF(M$2:M1643,M1643),M1643&amp;"_"&amp;COUNTIF(M$2:M1643,M1643)))</f>
        <v>9647.27_1</v>
      </c>
      <c r="O1643" s="17" t="str">
        <f t="shared" si="25"/>
        <v/>
      </c>
      <c r="P1643" s="13" t="s">
        <v>2419</v>
      </c>
      <c r="Q1643" s="13" t="s">
        <v>2415</v>
      </c>
      <c r="R1643" s="13" t="s">
        <v>0</v>
      </c>
      <c r="S1643" s="13" t="s">
        <v>0</v>
      </c>
      <c r="T1643" s="13" t="s">
        <v>9</v>
      </c>
      <c r="U1643" s="13" t="s">
        <v>0</v>
      </c>
      <c r="V1643" s="13" t="s">
        <v>0</v>
      </c>
      <c r="W1643" s="13" t="s">
        <v>0</v>
      </c>
      <c r="X1643" s="13" t="s">
        <v>0</v>
      </c>
      <c r="Y1643" s="13" t="s">
        <v>10</v>
      </c>
      <c r="Z1643" s="13" t="s">
        <v>0</v>
      </c>
      <c r="AA1643" s="14"/>
      <c r="AB1643" s="13" t="s">
        <v>0</v>
      </c>
      <c r="AC1643" s="13" t="s">
        <v>0</v>
      </c>
      <c r="AD1643" s="13" t="s">
        <v>0</v>
      </c>
      <c r="AE1643" s="15">
        <v>0</v>
      </c>
    </row>
    <row r="1644" spans="1:31" ht="14.15" customHeight="1" x14ac:dyDescent="0.25">
      <c r="A1644" s="12" t="s">
        <v>0</v>
      </c>
      <c r="B1644" s="13" t="s">
        <v>1</v>
      </c>
      <c r="C1644" s="13" t="s">
        <v>2166</v>
      </c>
      <c r="D1644" s="14">
        <v>44209</v>
      </c>
      <c r="E1644" s="14">
        <v>44209</v>
      </c>
      <c r="F1644" s="14">
        <v>44219</v>
      </c>
      <c r="G1644" s="13" t="s">
        <v>3</v>
      </c>
      <c r="H1644" s="13" t="s">
        <v>4</v>
      </c>
      <c r="I1644" s="15">
        <v>-9646.56</v>
      </c>
      <c r="J1644" s="13" t="s">
        <v>5</v>
      </c>
      <c r="K1644" s="13" t="s">
        <v>6</v>
      </c>
      <c r="L1644" s="15">
        <v>-809828.71</v>
      </c>
      <c r="M1644" s="15">
        <v>-9646.56</v>
      </c>
      <c r="N1644" s="16" t="str">
        <f>IF(M1644="","",IF(M1644&lt;0,-M1644&amp;"_"&amp;COUNTIF(M$2:M1644,M1644),M1644&amp;"_"&amp;COUNTIF(M$2:M1644,M1644)))</f>
        <v>9646.56_1</v>
      </c>
      <c r="O1644" s="17" t="str">
        <f t="shared" si="25"/>
        <v/>
      </c>
      <c r="P1644" s="13" t="s">
        <v>2167</v>
      </c>
      <c r="Q1644" s="13" t="s">
        <v>2159</v>
      </c>
      <c r="R1644" s="13" t="s">
        <v>0</v>
      </c>
      <c r="S1644" s="13" t="s">
        <v>0</v>
      </c>
      <c r="T1644" s="13" t="s">
        <v>9</v>
      </c>
      <c r="U1644" s="13" t="s">
        <v>0</v>
      </c>
      <c r="V1644" s="13" t="s">
        <v>0</v>
      </c>
      <c r="W1644" s="13" t="s">
        <v>0</v>
      </c>
      <c r="X1644" s="13" t="s">
        <v>0</v>
      </c>
      <c r="Y1644" s="13" t="s">
        <v>10</v>
      </c>
      <c r="Z1644" s="13" t="s">
        <v>0</v>
      </c>
      <c r="AA1644" s="14"/>
      <c r="AB1644" s="13" t="s">
        <v>0</v>
      </c>
      <c r="AC1644" s="13" t="s">
        <v>0</v>
      </c>
      <c r="AD1644" s="13" t="s">
        <v>0</v>
      </c>
      <c r="AE1644" s="15">
        <v>0</v>
      </c>
    </row>
    <row r="1645" spans="1:31" ht="14.15" customHeight="1" x14ac:dyDescent="0.25">
      <c r="A1645" s="12" t="s">
        <v>0</v>
      </c>
      <c r="B1645" s="13" t="s">
        <v>1</v>
      </c>
      <c r="C1645" s="13" t="s">
        <v>2360</v>
      </c>
      <c r="D1645" s="14">
        <v>44224</v>
      </c>
      <c r="E1645" s="14">
        <v>44224</v>
      </c>
      <c r="F1645" s="14">
        <v>44231</v>
      </c>
      <c r="G1645" s="13" t="s">
        <v>3</v>
      </c>
      <c r="H1645" s="13" t="s">
        <v>4</v>
      </c>
      <c r="I1645" s="15">
        <v>-9640.19</v>
      </c>
      <c r="J1645" s="13" t="s">
        <v>5</v>
      </c>
      <c r="K1645" s="13" t="s">
        <v>6</v>
      </c>
      <c r="L1645" s="15">
        <v>-809293.95</v>
      </c>
      <c r="M1645" s="15">
        <v>-9640.19</v>
      </c>
      <c r="N1645" s="16" t="str">
        <f>IF(M1645="","",IF(M1645&lt;0,-M1645&amp;"_"&amp;COUNTIF(M$2:M1645,M1645),M1645&amp;"_"&amp;COUNTIF(M$2:M1645,M1645)))</f>
        <v>9640.19_1</v>
      </c>
      <c r="O1645" s="17" t="str">
        <f t="shared" si="25"/>
        <v/>
      </c>
      <c r="P1645" s="13" t="s">
        <v>2361</v>
      </c>
      <c r="Q1645" s="13" t="s">
        <v>2345</v>
      </c>
      <c r="R1645" s="13" t="s">
        <v>0</v>
      </c>
      <c r="S1645" s="13" t="s">
        <v>0</v>
      </c>
      <c r="T1645" s="13" t="s">
        <v>9</v>
      </c>
      <c r="U1645" s="13" t="s">
        <v>0</v>
      </c>
      <c r="V1645" s="13" t="s">
        <v>0</v>
      </c>
      <c r="W1645" s="13" t="s">
        <v>0</v>
      </c>
      <c r="X1645" s="13" t="s">
        <v>0</v>
      </c>
      <c r="Y1645" s="13" t="s">
        <v>10</v>
      </c>
      <c r="Z1645" s="13" t="s">
        <v>0</v>
      </c>
      <c r="AA1645" s="14"/>
      <c r="AB1645" s="13" t="s">
        <v>0</v>
      </c>
      <c r="AC1645" s="13" t="s">
        <v>0</v>
      </c>
      <c r="AD1645" s="13" t="s">
        <v>0</v>
      </c>
      <c r="AE1645" s="15">
        <v>0</v>
      </c>
    </row>
    <row r="1646" spans="1:31" ht="14.15" customHeight="1" x14ac:dyDescent="0.25">
      <c r="A1646" s="12" t="s">
        <v>0</v>
      </c>
      <c r="B1646" s="13" t="s">
        <v>1</v>
      </c>
      <c r="C1646" s="13" t="s">
        <v>2360</v>
      </c>
      <c r="D1646" s="14">
        <v>44224</v>
      </c>
      <c r="E1646" s="14">
        <v>44224</v>
      </c>
      <c r="F1646" s="14">
        <v>44231</v>
      </c>
      <c r="G1646" s="13" t="s">
        <v>3</v>
      </c>
      <c r="H1646" s="13" t="s">
        <v>4</v>
      </c>
      <c r="I1646" s="15">
        <v>-9639.09</v>
      </c>
      <c r="J1646" s="13" t="s">
        <v>5</v>
      </c>
      <c r="K1646" s="13" t="s">
        <v>6</v>
      </c>
      <c r="L1646" s="15">
        <v>-809201.61</v>
      </c>
      <c r="M1646" s="15">
        <v>-9639.09</v>
      </c>
      <c r="N1646" s="16" t="str">
        <f>IF(M1646="","",IF(M1646&lt;0,-M1646&amp;"_"&amp;COUNTIF(M$2:M1646,M1646),M1646&amp;"_"&amp;COUNTIF(M$2:M1646,M1646)))</f>
        <v>9639.09_1</v>
      </c>
      <c r="O1646" s="17" t="str">
        <f t="shared" si="25"/>
        <v/>
      </c>
      <c r="P1646" s="13" t="s">
        <v>2361</v>
      </c>
      <c r="Q1646" s="13" t="s">
        <v>2345</v>
      </c>
      <c r="R1646" s="13" t="s">
        <v>0</v>
      </c>
      <c r="S1646" s="13" t="s">
        <v>0</v>
      </c>
      <c r="T1646" s="13" t="s">
        <v>9</v>
      </c>
      <c r="U1646" s="13" t="s">
        <v>0</v>
      </c>
      <c r="V1646" s="13" t="s">
        <v>0</v>
      </c>
      <c r="W1646" s="13" t="s">
        <v>0</v>
      </c>
      <c r="X1646" s="13" t="s">
        <v>0</v>
      </c>
      <c r="Y1646" s="13" t="s">
        <v>10</v>
      </c>
      <c r="Z1646" s="13" t="s">
        <v>0</v>
      </c>
      <c r="AA1646" s="14"/>
      <c r="AB1646" s="13" t="s">
        <v>0</v>
      </c>
      <c r="AC1646" s="13" t="s">
        <v>0</v>
      </c>
      <c r="AD1646" s="13" t="s">
        <v>0</v>
      </c>
      <c r="AE1646" s="15">
        <v>0</v>
      </c>
    </row>
    <row r="1647" spans="1:31" ht="14.15" customHeight="1" x14ac:dyDescent="0.25">
      <c r="A1647" s="12" t="s">
        <v>0</v>
      </c>
      <c r="B1647" s="13" t="s">
        <v>1</v>
      </c>
      <c r="C1647" s="13" t="s">
        <v>3303</v>
      </c>
      <c r="D1647" s="14">
        <v>44314</v>
      </c>
      <c r="E1647" s="14">
        <v>44314</v>
      </c>
      <c r="F1647" s="14">
        <v>44323</v>
      </c>
      <c r="G1647" s="13" t="s">
        <v>3</v>
      </c>
      <c r="H1647" s="13" t="s">
        <v>4</v>
      </c>
      <c r="I1647" s="15">
        <v>-9625.23</v>
      </c>
      <c r="J1647" s="13" t="s">
        <v>5</v>
      </c>
      <c r="K1647" s="13" t="s">
        <v>6</v>
      </c>
      <c r="L1647" s="15">
        <v>-808038.06</v>
      </c>
      <c r="M1647" s="15">
        <v>-9625.23</v>
      </c>
      <c r="N1647" s="16" t="str">
        <f>IF(M1647="","",IF(M1647&lt;0,-M1647&amp;"_"&amp;COUNTIF(M$2:M1647,M1647),M1647&amp;"_"&amp;COUNTIF(M$2:M1647,M1647)))</f>
        <v>9625.23_1</v>
      </c>
      <c r="O1647" s="17" t="str">
        <f t="shared" si="25"/>
        <v/>
      </c>
      <c r="P1647" s="13" t="s">
        <v>3304</v>
      </c>
      <c r="Q1647" s="13" t="s">
        <v>3284</v>
      </c>
      <c r="R1647" s="13" t="s">
        <v>0</v>
      </c>
      <c r="S1647" s="13" t="s">
        <v>0</v>
      </c>
      <c r="T1647" s="13" t="s">
        <v>9</v>
      </c>
      <c r="U1647" s="13" t="s">
        <v>0</v>
      </c>
      <c r="V1647" s="13" t="s">
        <v>0</v>
      </c>
      <c r="W1647" s="13" t="s">
        <v>0</v>
      </c>
      <c r="X1647" s="13" t="s">
        <v>0</v>
      </c>
      <c r="Y1647" s="13" t="s">
        <v>10</v>
      </c>
      <c r="Z1647" s="13" t="s">
        <v>0</v>
      </c>
      <c r="AA1647" s="14"/>
      <c r="AB1647" s="13" t="s">
        <v>0</v>
      </c>
      <c r="AC1647" s="13" t="s">
        <v>0</v>
      </c>
      <c r="AD1647" s="13" t="s">
        <v>0</v>
      </c>
      <c r="AE1647" s="15">
        <v>0</v>
      </c>
    </row>
    <row r="1648" spans="1:31" ht="14.15" customHeight="1" x14ac:dyDescent="0.25">
      <c r="A1648" s="12" t="s">
        <v>0</v>
      </c>
      <c r="B1648" s="13" t="s">
        <v>1</v>
      </c>
      <c r="C1648" s="13" t="s">
        <v>401</v>
      </c>
      <c r="D1648" s="14">
        <v>44062</v>
      </c>
      <c r="E1648" s="14">
        <v>44062</v>
      </c>
      <c r="F1648" s="14">
        <v>44065</v>
      </c>
      <c r="G1648" s="13" t="s">
        <v>3</v>
      </c>
      <c r="H1648" s="13" t="s">
        <v>4</v>
      </c>
      <c r="I1648" s="15">
        <v>-9624.18</v>
      </c>
      <c r="J1648" s="13" t="s">
        <v>5</v>
      </c>
      <c r="K1648" s="13" t="s">
        <v>6</v>
      </c>
      <c r="L1648" s="15">
        <v>-807949.92</v>
      </c>
      <c r="M1648" s="15">
        <v>-9624.18</v>
      </c>
      <c r="N1648" s="16" t="str">
        <f>IF(M1648="","",IF(M1648&lt;0,-M1648&amp;"_"&amp;COUNTIF(M$2:M1648,M1648),M1648&amp;"_"&amp;COUNTIF(M$2:M1648,M1648)))</f>
        <v>9624.18_1</v>
      </c>
      <c r="O1648" s="17" t="str">
        <f t="shared" si="25"/>
        <v/>
      </c>
      <c r="P1648" s="13" t="s">
        <v>402</v>
      </c>
      <c r="Q1648" s="13" t="s">
        <v>403</v>
      </c>
      <c r="R1648" s="13" t="s">
        <v>0</v>
      </c>
      <c r="S1648" s="13" t="s">
        <v>0</v>
      </c>
      <c r="T1648" s="13" t="s">
        <v>9</v>
      </c>
      <c r="U1648" s="13" t="s">
        <v>0</v>
      </c>
      <c r="V1648" s="13" t="s">
        <v>0</v>
      </c>
      <c r="W1648" s="13" t="s">
        <v>0</v>
      </c>
      <c r="X1648" s="13" t="s">
        <v>0</v>
      </c>
      <c r="Y1648" s="13" t="s">
        <v>10</v>
      </c>
      <c r="Z1648" s="13" t="s">
        <v>0</v>
      </c>
      <c r="AA1648" s="14"/>
      <c r="AB1648" s="13" t="s">
        <v>0</v>
      </c>
      <c r="AC1648" s="13" t="s">
        <v>0</v>
      </c>
      <c r="AD1648" s="13" t="s">
        <v>0</v>
      </c>
      <c r="AE1648" s="15">
        <v>0</v>
      </c>
    </row>
    <row r="1649" spans="1:31" ht="14.15" customHeight="1" x14ac:dyDescent="0.25">
      <c r="A1649" s="12" t="s">
        <v>0</v>
      </c>
      <c r="B1649" s="13" t="s">
        <v>1</v>
      </c>
      <c r="C1649" s="13" t="s">
        <v>3272</v>
      </c>
      <c r="D1649" s="14">
        <v>44311</v>
      </c>
      <c r="E1649" s="14">
        <v>44311</v>
      </c>
      <c r="F1649" s="14">
        <v>44315</v>
      </c>
      <c r="G1649" s="13" t="s">
        <v>3</v>
      </c>
      <c r="H1649" s="13" t="s">
        <v>4</v>
      </c>
      <c r="I1649" s="15">
        <v>-9600.5</v>
      </c>
      <c r="J1649" s="13" t="s">
        <v>5</v>
      </c>
      <c r="K1649" s="13" t="s">
        <v>6</v>
      </c>
      <c r="L1649" s="15">
        <v>-805961.98</v>
      </c>
      <c r="M1649" s="15">
        <v>-9600.5</v>
      </c>
      <c r="N1649" s="16" t="str">
        <f>IF(M1649="","",IF(M1649&lt;0,-M1649&amp;"_"&amp;COUNTIF(M$2:M1649,M1649),M1649&amp;"_"&amp;COUNTIF(M$2:M1649,M1649)))</f>
        <v>9600.5_1</v>
      </c>
      <c r="O1649" s="17" t="str">
        <f t="shared" si="25"/>
        <v/>
      </c>
      <c r="P1649" s="13" t="s">
        <v>3273</v>
      </c>
      <c r="Q1649" s="13" t="s">
        <v>3269</v>
      </c>
      <c r="R1649" s="13" t="s">
        <v>0</v>
      </c>
      <c r="S1649" s="13" t="s">
        <v>0</v>
      </c>
      <c r="T1649" s="13" t="s">
        <v>9</v>
      </c>
      <c r="U1649" s="13" t="s">
        <v>0</v>
      </c>
      <c r="V1649" s="13" t="s">
        <v>0</v>
      </c>
      <c r="W1649" s="13" t="s">
        <v>0</v>
      </c>
      <c r="X1649" s="13" t="s">
        <v>0</v>
      </c>
      <c r="Y1649" s="13" t="s">
        <v>10</v>
      </c>
      <c r="Z1649" s="13" t="s">
        <v>0</v>
      </c>
      <c r="AA1649" s="14"/>
      <c r="AB1649" s="13" t="s">
        <v>0</v>
      </c>
      <c r="AC1649" s="13" t="s">
        <v>0</v>
      </c>
      <c r="AD1649" s="13" t="s">
        <v>0</v>
      </c>
      <c r="AE1649" s="15">
        <v>0</v>
      </c>
    </row>
    <row r="1650" spans="1:31" ht="14.15" customHeight="1" x14ac:dyDescent="0.25">
      <c r="A1650" s="12" t="s">
        <v>0</v>
      </c>
      <c r="B1650" s="13" t="s">
        <v>1</v>
      </c>
      <c r="C1650" s="13" t="s">
        <v>326</v>
      </c>
      <c r="D1650" s="14">
        <v>44043</v>
      </c>
      <c r="E1650" s="14">
        <v>44043</v>
      </c>
      <c r="F1650" s="14">
        <v>44057</v>
      </c>
      <c r="G1650" s="13" t="s">
        <v>3</v>
      </c>
      <c r="H1650" s="13" t="s">
        <v>4</v>
      </c>
      <c r="I1650" s="15">
        <v>-9589.06</v>
      </c>
      <c r="J1650" s="13" t="s">
        <v>5</v>
      </c>
      <c r="K1650" s="13" t="s">
        <v>6</v>
      </c>
      <c r="L1650" s="15">
        <v>-805001.59</v>
      </c>
      <c r="M1650" s="15">
        <v>-9589.06</v>
      </c>
      <c r="N1650" s="16" t="str">
        <f>IF(M1650="","",IF(M1650&lt;0,-M1650&amp;"_"&amp;COUNTIF(M$2:M1650,M1650),M1650&amp;"_"&amp;COUNTIF(M$2:M1650,M1650)))</f>
        <v>9589.06_1</v>
      </c>
      <c r="O1650" s="17" t="str">
        <f t="shared" si="25"/>
        <v/>
      </c>
      <c r="P1650" s="13" t="s">
        <v>327</v>
      </c>
      <c r="Q1650" s="13" t="s">
        <v>316</v>
      </c>
      <c r="R1650" s="13" t="s">
        <v>0</v>
      </c>
      <c r="S1650" s="13" t="s">
        <v>0</v>
      </c>
      <c r="T1650" s="13" t="s">
        <v>9</v>
      </c>
      <c r="U1650" s="13" t="s">
        <v>0</v>
      </c>
      <c r="V1650" s="13" t="s">
        <v>0</v>
      </c>
      <c r="W1650" s="13" t="s">
        <v>0</v>
      </c>
      <c r="X1650" s="13" t="s">
        <v>0</v>
      </c>
      <c r="Y1650" s="13" t="s">
        <v>10</v>
      </c>
      <c r="Z1650" s="13" t="s">
        <v>0</v>
      </c>
      <c r="AA1650" s="14"/>
      <c r="AB1650" s="13" t="s">
        <v>0</v>
      </c>
      <c r="AC1650" s="13" t="s">
        <v>0</v>
      </c>
      <c r="AD1650" s="13" t="s">
        <v>0</v>
      </c>
      <c r="AE1650" s="15">
        <v>0</v>
      </c>
    </row>
    <row r="1651" spans="1:31" ht="14.15" customHeight="1" x14ac:dyDescent="0.25">
      <c r="A1651" s="12" t="s">
        <v>0</v>
      </c>
      <c r="B1651" s="13" t="s">
        <v>1</v>
      </c>
      <c r="C1651" s="13" t="s">
        <v>3658</v>
      </c>
      <c r="D1651" s="14">
        <v>44334</v>
      </c>
      <c r="E1651" s="14">
        <v>44334</v>
      </c>
      <c r="F1651" s="14">
        <v>44336</v>
      </c>
      <c r="G1651" s="13" t="s">
        <v>3</v>
      </c>
      <c r="H1651" s="13" t="s">
        <v>4</v>
      </c>
      <c r="I1651" s="15">
        <v>-9576.0400000000009</v>
      </c>
      <c r="J1651" s="13" t="s">
        <v>5</v>
      </c>
      <c r="K1651" s="13" t="s">
        <v>6</v>
      </c>
      <c r="L1651" s="15">
        <v>-803908.56</v>
      </c>
      <c r="M1651" s="15">
        <v>-9576.0400000000009</v>
      </c>
      <c r="N1651" s="16" t="str">
        <f>IF(M1651="","",IF(M1651&lt;0,-M1651&amp;"_"&amp;COUNTIF(M$2:M1651,M1651),M1651&amp;"_"&amp;COUNTIF(M$2:M1651,M1651)))</f>
        <v>9576.04_1</v>
      </c>
      <c r="O1651" s="17" t="str">
        <f t="shared" si="25"/>
        <v/>
      </c>
      <c r="P1651" s="13" t="s">
        <v>3659</v>
      </c>
      <c r="Q1651" s="13" t="s">
        <v>3660</v>
      </c>
      <c r="R1651" s="13" t="s">
        <v>0</v>
      </c>
      <c r="S1651" s="13" t="s">
        <v>0</v>
      </c>
      <c r="T1651" s="13" t="s">
        <v>9</v>
      </c>
      <c r="U1651" s="13" t="s">
        <v>0</v>
      </c>
      <c r="V1651" s="13" t="s">
        <v>0</v>
      </c>
      <c r="W1651" s="13" t="s">
        <v>0</v>
      </c>
      <c r="X1651" s="13" t="s">
        <v>0</v>
      </c>
      <c r="Y1651" s="13" t="s">
        <v>10</v>
      </c>
      <c r="Z1651" s="13" t="s">
        <v>0</v>
      </c>
      <c r="AA1651" s="14"/>
      <c r="AB1651" s="13" t="s">
        <v>0</v>
      </c>
      <c r="AC1651" s="13" t="s">
        <v>0</v>
      </c>
      <c r="AD1651" s="13" t="s">
        <v>0</v>
      </c>
      <c r="AE1651" s="15">
        <v>0</v>
      </c>
    </row>
    <row r="1652" spans="1:31" ht="14.15" customHeight="1" x14ac:dyDescent="0.25">
      <c r="A1652" s="12" t="s">
        <v>0</v>
      </c>
      <c r="B1652" s="13" t="s">
        <v>1</v>
      </c>
      <c r="C1652" s="13" t="s">
        <v>627</v>
      </c>
      <c r="D1652" s="14">
        <v>44083</v>
      </c>
      <c r="E1652" s="14">
        <v>44083</v>
      </c>
      <c r="F1652" s="14">
        <v>44088</v>
      </c>
      <c r="G1652" s="13" t="s">
        <v>3</v>
      </c>
      <c r="H1652" s="13" t="s">
        <v>4</v>
      </c>
      <c r="I1652" s="15">
        <v>-9557.35</v>
      </c>
      <c r="J1652" s="13" t="s">
        <v>5</v>
      </c>
      <c r="K1652" s="13" t="s">
        <v>6</v>
      </c>
      <c r="L1652" s="15">
        <v>-802339.53</v>
      </c>
      <c r="M1652" s="15">
        <v>-9557.35</v>
      </c>
      <c r="N1652" s="16" t="str">
        <f>IF(M1652="","",IF(M1652&lt;0,-M1652&amp;"_"&amp;COUNTIF(M$2:M1652,M1652),M1652&amp;"_"&amp;COUNTIF(M$2:M1652,M1652)))</f>
        <v>9557.35_1</v>
      </c>
      <c r="O1652" s="17" t="str">
        <f t="shared" si="25"/>
        <v/>
      </c>
      <c r="P1652" s="13" t="s">
        <v>628</v>
      </c>
      <c r="Q1652" s="13" t="s">
        <v>624</v>
      </c>
      <c r="R1652" s="13" t="s">
        <v>0</v>
      </c>
      <c r="S1652" s="13" t="s">
        <v>0</v>
      </c>
      <c r="T1652" s="13" t="s">
        <v>9</v>
      </c>
      <c r="U1652" s="13" t="s">
        <v>0</v>
      </c>
      <c r="V1652" s="13" t="s">
        <v>0</v>
      </c>
      <c r="W1652" s="13" t="s">
        <v>0</v>
      </c>
      <c r="X1652" s="13" t="s">
        <v>0</v>
      </c>
      <c r="Y1652" s="13" t="s">
        <v>10</v>
      </c>
      <c r="Z1652" s="13" t="s">
        <v>0</v>
      </c>
      <c r="AA1652" s="14"/>
      <c r="AB1652" s="13" t="s">
        <v>0</v>
      </c>
      <c r="AC1652" s="13" t="s">
        <v>0</v>
      </c>
      <c r="AD1652" s="13" t="s">
        <v>0</v>
      </c>
      <c r="AE1652" s="15">
        <v>0</v>
      </c>
    </row>
    <row r="1653" spans="1:31" ht="14.15" customHeight="1" x14ac:dyDescent="0.25">
      <c r="A1653" s="12" t="s">
        <v>0</v>
      </c>
      <c r="B1653" s="13" t="s">
        <v>1</v>
      </c>
      <c r="C1653" s="13" t="s">
        <v>1548</v>
      </c>
      <c r="D1653" s="14">
        <v>44165</v>
      </c>
      <c r="E1653" s="14">
        <v>44165</v>
      </c>
      <c r="F1653" s="14">
        <v>44172</v>
      </c>
      <c r="G1653" s="13" t="s">
        <v>3</v>
      </c>
      <c r="H1653" s="13" t="s">
        <v>4</v>
      </c>
      <c r="I1653" s="15">
        <v>-9554.4699999999993</v>
      </c>
      <c r="J1653" s="13" t="s">
        <v>5</v>
      </c>
      <c r="K1653" s="13" t="s">
        <v>6</v>
      </c>
      <c r="L1653" s="15">
        <v>-802097.75</v>
      </c>
      <c r="M1653" s="15">
        <v>-9554.4699999999993</v>
      </c>
      <c r="N1653" s="16" t="str">
        <f>IF(M1653="","",IF(M1653&lt;0,-M1653&amp;"_"&amp;COUNTIF(M$2:M1653,M1653),M1653&amp;"_"&amp;COUNTIF(M$2:M1653,M1653)))</f>
        <v>9554.47_1</v>
      </c>
      <c r="O1653" s="17" t="str">
        <f t="shared" si="25"/>
        <v/>
      </c>
      <c r="P1653" s="13" t="s">
        <v>1549</v>
      </c>
      <c r="Q1653" s="13" t="s">
        <v>1541</v>
      </c>
      <c r="R1653" s="13" t="s">
        <v>0</v>
      </c>
      <c r="S1653" s="13" t="s">
        <v>0</v>
      </c>
      <c r="T1653" s="13" t="s">
        <v>9</v>
      </c>
      <c r="U1653" s="13" t="s">
        <v>0</v>
      </c>
      <c r="V1653" s="13" t="s">
        <v>0</v>
      </c>
      <c r="W1653" s="13" t="s">
        <v>0</v>
      </c>
      <c r="X1653" s="13" t="s">
        <v>0</v>
      </c>
      <c r="Y1653" s="13" t="s">
        <v>10</v>
      </c>
      <c r="Z1653" s="13" t="s">
        <v>0</v>
      </c>
      <c r="AA1653" s="14"/>
      <c r="AB1653" s="13" t="s">
        <v>0</v>
      </c>
      <c r="AC1653" s="13" t="s">
        <v>0</v>
      </c>
      <c r="AD1653" s="13" t="s">
        <v>0</v>
      </c>
      <c r="AE1653" s="15">
        <v>0</v>
      </c>
    </row>
    <row r="1654" spans="1:31" ht="14.15" customHeight="1" x14ac:dyDescent="0.25">
      <c r="A1654" s="12" t="s">
        <v>0</v>
      </c>
      <c r="B1654" s="13" t="s">
        <v>1</v>
      </c>
      <c r="C1654" s="13" t="s">
        <v>969</v>
      </c>
      <c r="D1654" s="14">
        <v>44123</v>
      </c>
      <c r="E1654" s="14">
        <v>44123</v>
      </c>
      <c r="F1654" s="14">
        <v>44136</v>
      </c>
      <c r="G1654" s="13" t="s">
        <v>3</v>
      </c>
      <c r="H1654" s="13" t="s">
        <v>4</v>
      </c>
      <c r="I1654" s="15">
        <v>-9540.27</v>
      </c>
      <c r="J1654" s="13" t="s">
        <v>5</v>
      </c>
      <c r="K1654" s="13" t="s">
        <v>6</v>
      </c>
      <c r="L1654" s="15">
        <v>-800905.67</v>
      </c>
      <c r="M1654" s="15">
        <v>-9540.27</v>
      </c>
      <c r="N1654" s="16" t="str">
        <f>IF(M1654="","",IF(M1654&lt;0,-M1654&amp;"_"&amp;COUNTIF(M$2:M1654,M1654),M1654&amp;"_"&amp;COUNTIF(M$2:M1654,M1654)))</f>
        <v>9540.27_1</v>
      </c>
      <c r="O1654" s="17" t="str">
        <f t="shared" si="25"/>
        <v/>
      </c>
      <c r="P1654" s="13" t="s">
        <v>970</v>
      </c>
      <c r="Q1654" s="13" t="s">
        <v>958</v>
      </c>
      <c r="R1654" s="13" t="s">
        <v>0</v>
      </c>
      <c r="S1654" s="13" t="s">
        <v>0</v>
      </c>
      <c r="T1654" s="13" t="s">
        <v>9</v>
      </c>
      <c r="U1654" s="13" t="s">
        <v>0</v>
      </c>
      <c r="V1654" s="13" t="s">
        <v>0</v>
      </c>
      <c r="W1654" s="13" t="s">
        <v>0</v>
      </c>
      <c r="X1654" s="13" t="s">
        <v>0</v>
      </c>
      <c r="Y1654" s="13" t="s">
        <v>10</v>
      </c>
      <c r="Z1654" s="13" t="s">
        <v>0</v>
      </c>
      <c r="AA1654" s="14"/>
      <c r="AB1654" s="13" t="s">
        <v>0</v>
      </c>
      <c r="AC1654" s="13" t="s">
        <v>0</v>
      </c>
      <c r="AD1654" s="13" t="s">
        <v>0</v>
      </c>
      <c r="AE1654" s="15">
        <v>0</v>
      </c>
    </row>
    <row r="1655" spans="1:31" ht="14.15" customHeight="1" x14ac:dyDescent="0.25">
      <c r="A1655" s="12" t="s">
        <v>0</v>
      </c>
      <c r="B1655" s="13" t="s">
        <v>1</v>
      </c>
      <c r="C1655" s="13" t="s">
        <v>1194</v>
      </c>
      <c r="D1655" s="14">
        <v>44140</v>
      </c>
      <c r="E1655" s="14">
        <v>44140</v>
      </c>
      <c r="F1655" s="14">
        <v>44146</v>
      </c>
      <c r="G1655" s="13" t="s">
        <v>3</v>
      </c>
      <c r="H1655" s="13" t="s">
        <v>4</v>
      </c>
      <c r="I1655" s="15">
        <v>-9537.48</v>
      </c>
      <c r="J1655" s="13" t="s">
        <v>5</v>
      </c>
      <c r="K1655" s="13" t="s">
        <v>6</v>
      </c>
      <c r="L1655" s="15">
        <v>-800671.45</v>
      </c>
      <c r="M1655" s="15">
        <v>-9537.48</v>
      </c>
      <c r="N1655" s="16" t="str">
        <f>IF(M1655="","",IF(M1655&lt;0,-M1655&amp;"_"&amp;COUNTIF(M$2:M1655,M1655),M1655&amp;"_"&amp;COUNTIF(M$2:M1655,M1655)))</f>
        <v>9537.48_1</v>
      </c>
      <c r="O1655" s="17" t="str">
        <f t="shared" si="25"/>
        <v/>
      </c>
      <c r="P1655" s="13" t="s">
        <v>1195</v>
      </c>
      <c r="Q1655" s="13" t="s">
        <v>1165</v>
      </c>
      <c r="R1655" s="13" t="s">
        <v>0</v>
      </c>
      <c r="S1655" s="13" t="s">
        <v>0</v>
      </c>
      <c r="T1655" s="13" t="s">
        <v>9</v>
      </c>
      <c r="U1655" s="13" t="s">
        <v>0</v>
      </c>
      <c r="V1655" s="13" t="s">
        <v>0</v>
      </c>
      <c r="W1655" s="13" t="s">
        <v>0</v>
      </c>
      <c r="X1655" s="13" t="s">
        <v>0</v>
      </c>
      <c r="Y1655" s="13" t="s">
        <v>10</v>
      </c>
      <c r="Z1655" s="13" t="s">
        <v>0</v>
      </c>
      <c r="AA1655" s="14"/>
      <c r="AB1655" s="13" t="s">
        <v>0</v>
      </c>
      <c r="AC1655" s="13" t="s">
        <v>0</v>
      </c>
      <c r="AD1655" s="13" t="s">
        <v>0</v>
      </c>
      <c r="AE1655" s="15">
        <v>0</v>
      </c>
    </row>
    <row r="1656" spans="1:31" ht="14.15" customHeight="1" x14ac:dyDescent="0.25">
      <c r="A1656" s="12" t="s">
        <v>0</v>
      </c>
      <c r="B1656" s="13" t="s">
        <v>1</v>
      </c>
      <c r="C1656" s="13" t="s">
        <v>86</v>
      </c>
      <c r="D1656" s="14">
        <v>44021</v>
      </c>
      <c r="E1656" s="14">
        <v>44021</v>
      </c>
      <c r="F1656" s="14">
        <v>44032</v>
      </c>
      <c r="G1656" s="13" t="s">
        <v>3</v>
      </c>
      <c r="H1656" s="13" t="s">
        <v>4</v>
      </c>
      <c r="I1656" s="15">
        <v>-9534.7099999999991</v>
      </c>
      <c r="J1656" s="13" t="s">
        <v>5</v>
      </c>
      <c r="K1656" s="13" t="s">
        <v>6</v>
      </c>
      <c r="L1656" s="15">
        <v>-800438.9</v>
      </c>
      <c r="M1656" s="15">
        <v>-9534.7099999999991</v>
      </c>
      <c r="N1656" s="16" t="str">
        <f>IF(M1656="","",IF(M1656&lt;0,-M1656&amp;"_"&amp;COUNTIF(M$2:M1656,M1656),M1656&amp;"_"&amp;COUNTIF(M$2:M1656,M1656)))</f>
        <v>9534.71_1</v>
      </c>
      <c r="O1656" s="17" t="str">
        <f t="shared" si="25"/>
        <v/>
      </c>
      <c r="P1656" s="13" t="s">
        <v>87</v>
      </c>
      <c r="Q1656" s="13" t="s">
        <v>85</v>
      </c>
      <c r="R1656" s="13" t="s">
        <v>0</v>
      </c>
      <c r="S1656" s="13" t="s">
        <v>0</v>
      </c>
      <c r="T1656" s="13" t="s">
        <v>9</v>
      </c>
      <c r="U1656" s="13" t="s">
        <v>0</v>
      </c>
      <c r="V1656" s="13" t="s">
        <v>0</v>
      </c>
      <c r="W1656" s="13" t="s">
        <v>0</v>
      </c>
      <c r="X1656" s="13" t="s">
        <v>0</v>
      </c>
      <c r="Y1656" s="13" t="s">
        <v>10</v>
      </c>
      <c r="Z1656" s="13" t="s">
        <v>0</v>
      </c>
      <c r="AA1656" s="14"/>
      <c r="AB1656" s="13" t="s">
        <v>0</v>
      </c>
      <c r="AC1656" s="13" t="s">
        <v>0</v>
      </c>
      <c r="AD1656" s="13" t="s">
        <v>0</v>
      </c>
      <c r="AE1656" s="15">
        <v>0</v>
      </c>
    </row>
    <row r="1657" spans="1:31" ht="14.15" customHeight="1" x14ac:dyDescent="0.25">
      <c r="A1657" s="12" t="s">
        <v>0</v>
      </c>
      <c r="B1657" s="13" t="s">
        <v>1</v>
      </c>
      <c r="C1657" s="13" t="s">
        <v>1287</v>
      </c>
      <c r="D1657" s="14">
        <v>44146</v>
      </c>
      <c r="E1657" s="14">
        <v>44146</v>
      </c>
      <c r="F1657" s="14">
        <v>44151</v>
      </c>
      <c r="G1657" s="13" t="s">
        <v>3</v>
      </c>
      <c r="H1657" s="13" t="s">
        <v>4</v>
      </c>
      <c r="I1657" s="15">
        <v>-9525.6</v>
      </c>
      <c r="J1657" s="13" t="s">
        <v>5</v>
      </c>
      <c r="K1657" s="13" t="s">
        <v>6</v>
      </c>
      <c r="L1657" s="15">
        <v>-799674.12</v>
      </c>
      <c r="M1657" s="15">
        <v>-9525.6</v>
      </c>
      <c r="N1657" s="16" t="str">
        <f>IF(M1657="","",IF(M1657&lt;0,-M1657&amp;"_"&amp;COUNTIF(M$2:M1657,M1657),M1657&amp;"_"&amp;COUNTIF(M$2:M1657,M1657)))</f>
        <v>9525.6_1</v>
      </c>
      <c r="O1657" s="17" t="str">
        <f t="shared" si="25"/>
        <v/>
      </c>
      <c r="P1657" s="13" t="s">
        <v>1288</v>
      </c>
      <c r="Q1657" s="13" t="s">
        <v>1282</v>
      </c>
      <c r="R1657" s="13" t="s">
        <v>0</v>
      </c>
      <c r="S1657" s="13" t="s">
        <v>0</v>
      </c>
      <c r="T1657" s="13" t="s">
        <v>9</v>
      </c>
      <c r="U1657" s="13" t="s">
        <v>0</v>
      </c>
      <c r="V1657" s="13" t="s">
        <v>0</v>
      </c>
      <c r="W1657" s="13" t="s">
        <v>0</v>
      </c>
      <c r="X1657" s="13" t="s">
        <v>0</v>
      </c>
      <c r="Y1657" s="13" t="s">
        <v>10</v>
      </c>
      <c r="Z1657" s="13" t="s">
        <v>0</v>
      </c>
      <c r="AA1657" s="14"/>
      <c r="AB1657" s="13" t="s">
        <v>0</v>
      </c>
      <c r="AC1657" s="13" t="s">
        <v>0</v>
      </c>
      <c r="AD1657" s="13" t="s">
        <v>0</v>
      </c>
      <c r="AE1657" s="15">
        <v>0</v>
      </c>
    </row>
    <row r="1658" spans="1:31" ht="14.15" customHeight="1" x14ac:dyDescent="0.25">
      <c r="A1658" s="12" t="s">
        <v>0</v>
      </c>
      <c r="B1658" s="13" t="s">
        <v>1</v>
      </c>
      <c r="C1658" s="13" t="s">
        <v>3462</v>
      </c>
      <c r="D1658" s="14">
        <v>44320</v>
      </c>
      <c r="E1658" s="14">
        <v>44320</v>
      </c>
      <c r="F1658" s="14">
        <v>44328</v>
      </c>
      <c r="G1658" s="13" t="s">
        <v>3</v>
      </c>
      <c r="H1658" s="13" t="s">
        <v>4</v>
      </c>
      <c r="I1658" s="15">
        <v>-9507.1</v>
      </c>
      <c r="J1658" s="13" t="s">
        <v>5</v>
      </c>
      <c r="K1658" s="13" t="s">
        <v>6</v>
      </c>
      <c r="L1658" s="15">
        <v>-798121.05</v>
      </c>
      <c r="M1658" s="15">
        <v>-9507.1</v>
      </c>
      <c r="N1658" s="16" t="str">
        <f>IF(M1658="","",IF(M1658&lt;0,-M1658&amp;"_"&amp;COUNTIF(M$2:M1658,M1658),M1658&amp;"_"&amp;COUNTIF(M$2:M1658,M1658)))</f>
        <v>9507.1_1</v>
      </c>
      <c r="O1658" s="17" t="str">
        <f t="shared" si="25"/>
        <v/>
      </c>
      <c r="P1658" s="13" t="s">
        <v>3463</v>
      </c>
      <c r="Q1658" s="13" t="s">
        <v>3453</v>
      </c>
      <c r="R1658" s="13" t="s">
        <v>0</v>
      </c>
      <c r="S1658" s="13" t="s">
        <v>0</v>
      </c>
      <c r="T1658" s="13" t="s">
        <v>9</v>
      </c>
      <c r="U1658" s="13" t="s">
        <v>0</v>
      </c>
      <c r="V1658" s="13" t="s">
        <v>0</v>
      </c>
      <c r="W1658" s="13" t="s">
        <v>0</v>
      </c>
      <c r="X1658" s="13" t="s">
        <v>0</v>
      </c>
      <c r="Y1658" s="13" t="s">
        <v>10</v>
      </c>
      <c r="Z1658" s="13" t="s">
        <v>0</v>
      </c>
      <c r="AA1658" s="14"/>
      <c r="AB1658" s="13" t="s">
        <v>0</v>
      </c>
      <c r="AC1658" s="13" t="s">
        <v>0</v>
      </c>
      <c r="AD1658" s="13" t="s">
        <v>0</v>
      </c>
      <c r="AE1658" s="15">
        <v>0</v>
      </c>
    </row>
    <row r="1659" spans="1:31" ht="14.15" customHeight="1" x14ac:dyDescent="0.25">
      <c r="A1659" s="12" t="s">
        <v>0</v>
      </c>
      <c r="B1659" s="13" t="s">
        <v>1</v>
      </c>
      <c r="C1659" s="13" t="s">
        <v>2609</v>
      </c>
      <c r="D1659" s="14">
        <v>44243</v>
      </c>
      <c r="E1659" s="14">
        <v>44243</v>
      </c>
      <c r="F1659" s="14">
        <v>44252</v>
      </c>
      <c r="G1659" s="13" t="s">
        <v>3</v>
      </c>
      <c r="H1659" s="13" t="s">
        <v>4</v>
      </c>
      <c r="I1659" s="15">
        <v>-9504.08</v>
      </c>
      <c r="J1659" s="13" t="s">
        <v>5</v>
      </c>
      <c r="K1659" s="13" t="s">
        <v>6</v>
      </c>
      <c r="L1659" s="15">
        <v>-797867.52000000002</v>
      </c>
      <c r="M1659" s="15">
        <v>-9504.08</v>
      </c>
      <c r="N1659" s="16" t="str">
        <f>IF(M1659="","",IF(M1659&lt;0,-M1659&amp;"_"&amp;COUNTIF(M$2:M1659,M1659),M1659&amp;"_"&amp;COUNTIF(M$2:M1659,M1659)))</f>
        <v>9504.08_1</v>
      </c>
      <c r="O1659" s="17" t="str">
        <f t="shared" si="25"/>
        <v/>
      </c>
      <c r="P1659" s="13" t="s">
        <v>2610</v>
      </c>
      <c r="Q1659" s="13" t="s">
        <v>2574</v>
      </c>
      <c r="R1659" s="13" t="s">
        <v>0</v>
      </c>
      <c r="S1659" s="13" t="s">
        <v>0</v>
      </c>
      <c r="T1659" s="13" t="s">
        <v>9</v>
      </c>
      <c r="U1659" s="13" t="s">
        <v>0</v>
      </c>
      <c r="V1659" s="13" t="s">
        <v>0</v>
      </c>
      <c r="W1659" s="13" t="s">
        <v>0</v>
      </c>
      <c r="X1659" s="13" t="s">
        <v>0</v>
      </c>
      <c r="Y1659" s="13" t="s">
        <v>10</v>
      </c>
      <c r="Z1659" s="13" t="s">
        <v>0</v>
      </c>
      <c r="AA1659" s="14"/>
      <c r="AB1659" s="13" t="s">
        <v>0</v>
      </c>
      <c r="AC1659" s="13" t="s">
        <v>0</v>
      </c>
      <c r="AD1659" s="13" t="s">
        <v>0</v>
      </c>
      <c r="AE1659" s="15">
        <v>0</v>
      </c>
    </row>
    <row r="1660" spans="1:31" ht="14.15" customHeight="1" x14ac:dyDescent="0.25">
      <c r="A1660" s="12" t="s">
        <v>0</v>
      </c>
      <c r="B1660" s="13" t="s">
        <v>1</v>
      </c>
      <c r="C1660" s="13" t="s">
        <v>2925</v>
      </c>
      <c r="D1660" s="14">
        <v>44276</v>
      </c>
      <c r="E1660" s="14">
        <v>44276</v>
      </c>
      <c r="F1660" s="14">
        <v>44280</v>
      </c>
      <c r="G1660" s="13" t="s">
        <v>3</v>
      </c>
      <c r="H1660" s="13" t="s">
        <v>4</v>
      </c>
      <c r="I1660" s="15">
        <v>-9504.08</v>
      </c>
      <c r="J1660" s="13" t="s">
        <v>5</v>
      </c>
      <c r="K1660" s="13" t="s">
        <v>6</v>
      </c>
      <c r="L1660" s="15">
        <v>-797867.52000000002</v>
      </c>
      <c r="M1660" s="15">
        <v>-9504.08</v>
      </c>
      <c r="N1660" s="16" t="str">
        <f>IF(M1660="","",IF(M1660&lt;0,-M1660&amp;"_"&amp;COUNTIF(M$2:M1660,M1660),M1660&amp;"_"&amp;COUNTIF(M$2:M1660,M1660)))</f>
        <v>9504.08_2</v>
      </c>
      <c r="O1660" s="17" t="str">
        <f t="shared" si="25"/>
        <v/>
      </c>
      <c r="P1660" s="13" t="s">
        <v>2926</v>
      </c>
      <c r="Q1660" s="13" t="s">
        <v>2922</v>
      </c>
      <c r="R1660" s="13" t="s">
        <v>0</v>
      </c>
      <c r="S1660" s="13" t="s">
        <v>0</v>
      </c>
      <c r="T1660" s="13" t="s">
        <v>9</v>
      </c>
      <c r="U1660" s="13" t="s">
        <v>0</v>
      </c>
      <c r="V1660" s="13" t="s">
        <v>0</v>
      </c>
      <c r="W1660" s="13" t="s">
        <v>0</v>
      </c>
      <c r="X1660" s="13" t="s">
        <v>0</v>
      </c>
      <c r="Y1660" s="13" t="s">
        <v>10</v>
      </c>
      <c r="Z1660" s="13" t="s">
        <v>0</v>
      </c>
      <c r="AA1660" s="14"/>
      <c r="AB1660" s="13" t="s">
        <v>0</v>
      </c>
      <c r="AC1660" s="13" t="s">
        <v>0</v>
      </c>
      <c r="AD1660" s="13" t="s">
        <v>0</v>
      </c>
      <c r="AE1660" s="15">
        <v>0</v>
      </c>
    </row>
    <row r="1661" spans="1:31" ht="14.15" customHeight="1" x14ac:dyDescent="0.25">
      <c r="A1661" s="12" t="s">
        <v>0</v>
      </c>
      <c r="B1661" s="13" t="s">
        <v>1</v>
      </c>
      <c r="C1661" s="13" t="s">
        <v>4276</v>
      </c>
      <c r="D1661" s="14">
        <v>44370</v>
      </c>
      <c r="E1661" s="14">
        <v>44370</v>
      </c>
      <c r="F1661" s="14">
        <v>44375</v>
      </c>
      <c r="G1661" s="13" t="s">
        <v>3</v>
      </c>
      <c r="H1661" s="13" t="s">
        <v>4</v>
      </c>
      <c r="I1661" s="15">
        <v>-9479.09</v>
      </c>
      <c r="J1661" s="13" t="s">
        <v>5</v>
      </c>
      <c r="K1661" s="13" t="s">
        <v>6</v>
      </c>
      <c r="L1661" s="15">
        <v>-795769.61</v>
      </c>
      <c r="M1661" s="15">
        <v>-9479.09</v>
      </c>
      <c r="N1661" s="16" t="str">
        <f>IF(M1661="","",IF(M1661&lt;0,-M1661&amp;"_"&amp;COUNTIF(M$2:M1661,M1661),M1661&amp;"_"&amp;COUNTIF(M$2:M1661,M1661)))</f>
        <v>9479.09_1</v>
      </c>
      <c r="O1661" s="17" t="str">
        <f t="shared" si="25"/>
        <v/>
      </c>
      <c r="P1661" s="13" t="s">
        <v>4277</v>
      </c>
      <c r="Q1661" s="13" t="s">
        <v>4269</v>
      </c>
      <c r="R1661" s="13" t="s">
        <v>0</v>
      </c>
      <c r="S1661" s="13" t="s">
        <v>0</v>
      </c>
      <c r="T1661" s="13" t="s">
        <v>9</v>
      </c>
      <c r="U1661" s="13" t="s">
        <v>0</v>
      </c>
      <c r="V1661" s="13" t="s">
        <v>0</v>
      </c>
      <c r="W1661" s="13" t="s">
        <v>0</v>
      </c>
      <c r="X1661" s="13" t="s">
        <v>0</v>
      </c>
      <c r="Y1661" s="13" t="s">
        <v>10</v>
      </c>
      <c r="Z1661" s="13" t="s">
        <v>0</v>
      </c>
      <c r="AA1661" s="14"/>
      <c r="AB1661" s="13" t="s">
        <v>0</v>
      </c>
      <c r="AC1661" s="13" t="s">
        <v>0</v>
      </c>
      <c r="AD1661" s="13" t="s">
        <v>0</v>
      </c>
      <c r="AE1661" s="15">
        <v>0</v>
      </c>
    </row>
    <row r="1662" spans="1:31" ht="14.15" customHeight="1" x14ac:dyDescent="0.25">
      <c r="A1662" s="12" t="s">
        <v>0</v>
      </c>
      <c r="B1662" s="13" t="s">
        <v>1</v>
      </c>
      <c r="C1662" s="13" t="s">
        <v>86</v>
      </c>
      <c r="D1662" s="14">
        <v>44021</v>
      </c>
      <c r="E1662" s="14">
        <v>44021</v>
      </c>
      <c r="F1662" s="14">
        <v>44032</v>
      </c>
      <c r="G1662" s="13" t="s">
        <v>3</v>
      </c>
      <c r="H1662" s="13" t="s">
        <v>4</v>
      </c>
      <c r="I1662" s="15">
        <v>-9471.61</v>
      </c>
      <c r="J1662" s="13" t="s">
        <v>5</v>
      </c>
      <c r="K1662" s="13" t="s">
        <v>6</v>
      </c>
      <c r="L1662" s="15">
        <v>-795141.67</v>
      </c>
      <c r="M1662" s="15">
        <v>-9471.61</v>
      </c>
      <c r="N1662" s="16" t="str">
        <f>IF(M1662="","",IF(M1662&lt;0,-M1662&amp;"_"&amp;COUNTIF(M$2:M1662,M1662),M1662&amp;"_"&amp;COUNTIF(M$2:M1662,M1662)))</f>
        <v>9471.61_1</v>
      </c>
      <c r="O1662" s="17" t="str">
        <f t="shared" si="25"/>
        <v/>
      </c>
      <c r="P1662" s="13" t="s">
        <v>87</v>
      </c>
      <c r="Q1662" s="13" t="s">
        <v>85</v>
      </c>
      <c r="R1662" s="13" t="s">
        <v>0</v>
      </c>
      <c r="S1662" s="13" t="s">
        <v>0</v>
      </c>
      <c r="T1662" s="13" t="s">
        <v>9</v>
      </c>
      <c r="U1662" s="13" t="s">
        <v>0</v>
      </c>
      <c r="V1662" s="13" t="s">
        <v>0</v>
      </c>
      <c r="W1662" s="13" t="s">
        <v>0</v>
      </c>
      <c r="X1662" s="13" t="s">
        <v>0</v>
      </c>
      <c r="Y1662" s="13" t="s">
        <v>10</v>
      </c>
      <c r="Z1662" s="13" t="s">
        <v>0</v>
      </c>
      <c r="AA1662" s="14"/>
      <c r="AB1662" s="13" t="s">
        <v>0</v>
      </c>
      <c r="AC1662" s="13" t="s">
        <v>0</v>
      </c>
      <c r="AD1662" s="13" t="s">
        <v>0</v>
      </c>
      <c r="AE1662" s="15">
        <v>0</v>
      </c>
    </row>
    <row r="1663" spans="1:31" ht="14.15" customHeight="1" x14ac:dyDescent="0.25">
      <c r="A1663" s="12" t="s">
        <v>0</v>
      </c>
      <c r="B1663" s="13" t="s">
        <v>1</v>
      </c>
      <c r="C1663" s="13" t="s">
        <v>3010</v>
      </c>
      <c r="D1663" s="14">
        <v>44280</v>
      </c>
      <c r="E1663" s="14">
        <v>44280</v>
      </c>
      <c r="F1663" s="14">
        <v>44287</v>
      </c>
      <c r="G1663" s="13" t="s">
        <v>3</v>
      </c>
      <c r="H1663" s="13" t="s">
        <v>4</v>
      </c>
      <c r="I1663" s="15">
        <v>-9468.69</v>
      </c>
      <c r="J1663" s="13" t="s">
        <v>5</v>
      </c>
      <c r="K1663" s="13" t="s">
        <v>6</v>
      </c>
      <c r="L1663" s="15">
        <v>-794896.52</v>
      </c>
      <c r="M1663" s="15">
        <v>-9468.69</v>
      </c>
      <c r="N1663" s="16" t="str">
        <f>IF(M1663="","",IF(M1663&lt;0,-M1663&amp;"_"&amp;COUNTIF(M$2:M1663,M1663),M1663&amp;"_"&amp;COUNTIF(M$2:M1663,M1663)))</f>
        <v>9468.69_1</v>
      </c>
      <c r="O1663" s="17" t="str">
        <f t="shared" si="25"/>
        <v/>
      </c>
      <c r="P1663" s="13" t="s">
        <v>3011</v>
      </c>
      <c r="Q1663" s="13" t="s">
        <v>2989</v>
      </c>
      <c r="R1663" s="13" t="s">
        <v>0</v>
      </c>
      <c r="S1663" s="13" t="s">
        <v>0</v>
      </c>
      <c r="T1663" s="13" t="s">
        <v>9</v>
      </c>
      <c r="U1663" s="13" t="s">
        <v>0</v>
      </c>
      <c r="V1663" s="13" t="s">
        <v>0</v>
      </c>
      <c r="W1663" s="13" t="s">
        <v>0</v>
      </c>
      <c r="X1663" s="13" t="s">
        <v>0</v>
      </c>
      <c r="Y1663" s="13" t="s">
        <v>10</v>
      </c>
      <c r="Z1663" s="13" t="s">
        <v>0</v>
      </c>
      <c r="AA1663" s="14"/>
      <c r="AB1663" s="13" t="s">
        <v>0</v>
      </c>
      <c r="AC1663" s="13" t="s">
        <v>0</v>
      </c>
      <c r="AD1663" s="13" t="s">
        <v>0</v>
      </c>
      <c r="AE1663" s="15">
        <v>0</v>
      </c>
    </row>
    <row r="1664" spans="1:31" ht="14.15" customHeight="1" x14ac:dyDescent="0.25">
      <c r="A1664" s="12" t="s">
        <v>0</v>
      </c>
      <c r="B1664" s="13" t="s">
        <v>1</v>
      </c>
      <c r="C1664" s="13" t="s">
        <v>3010</v>
      </c>
      <c r="D1664" s="14">
        <v>44280</v>
      </c>
      <c r="E1664" s="14">
        <v>44280</v>
      </c>
      <c r="F1664" s="14">
        <v>44287</v>
      </c>
      <c r="G1664" s="13" t="s">
        <v>3</v>
      </c>
      <c r="H1664" s="13" t="s">
        <v>4</v>
      </c>
      <c r="I1664" s="15">
        <v>-9468.69</v>
      </c>
      <c r="J1664" s="13" t="s">
        <v>5</v>
      </c>
      <c r="K1664" s="13" t="s">
        <v>6</v>
      </c>
      <c r="L1664" s="15">
        <v>-794896.53</v>
      </c>
      <c r="M1664" s="15">
        <v>-9468.69</v>
      </c>
      <c r="N1664" s="16" t="str">
        <f>IF(M1664="","",IF(M1664&lt;0,-M1664&amp;"_"&amp;COUNTIF(M$2:M1664,M1664),M1664&amp;"_"&amp;COUNTIF(M$2:M1664,M1664)))</f>
        <v>9468.69_2</v>
      </c>
      <c r="O1664" s="17" t="str">
        <f t="shared" si="25"/>
        <v/>
      </c>
      <c r="P1664" s="13" t="s">
        <v>3011</v>
      </c>
      <c r="Q1664" s="13" t="s">
        <v>2989</v>
      </c>
      <c r="R1664" s="13" t="s">
        <v>0</v>
      </c>
      <c r="S1664" s="13" t="s">
        <v>0</v>
      </c>
      <c r="T1664" s="13" t="s">
        <v>9</v>
      </c>
      <c r="U1664" s="13" t="s">
        <v>0</v>
      </c>
      <c r="V1664" s="13" t="s">
        <v>0</v>
      </c>
      <c r="W1664" s="13" t="s">
        <v>0</v>
      </c>
      <c r="X1664" s="13" t="s">
        <v>0</v>
      </c>
      <c r="Y1664" s="13" t="s">
        <v>10</v>
      </c>
      <c r="Z1664" s="13" t="s">
        <v>0</v>
      </c>
      <c r="AA1664" s="14"/>
      <c r="AB1664" s="13" t="s">
        <v>0</v>
      </c>
      <c r="AC1664" s="13" t="s">
        <v>0</v>
      </c>
      <c r="AD1664" s="13" t="s">
        <v>0</v>
      </c>
      <c r="AE1664" s="15">
        <v>0</v>
      </c>
    </row>
    <row r="1665" spans="1:31" ht="14.15" customHeight="1" x14ac:dyDescent="0.25">
      <c r="A1665" s="12" t="s">
        <v>0</v>
      </c>
      <c r="B1665" s="13" t="s">
        <v>1</v>
      </c>
      <c r="C1665" s="13" t="s">
        <v>1258</v>
      </c>
      <c r="D1665" s="14">
        <v>44143</v>
      </c>
      <c r="E1665" s="14">
        <v>44143</v>
      </c>
      <c r="F1665" s="14">
        <v>44149</v>
      </c>
      <c r="G1665" s="13" t="s">
        <v>3</v>
      </c>
      <c r="H1665" s="13" t="s">
        <v>4</v>
      </c>
      <c r="I1665" s="15">
        <v>-9460.39</v>
      </c>
      <c r="J1665" s="13" t="s">
        <v>5</v>
      </c>
      <c r="K1665" s="13" t="s">
        <v>6</v>
      </c>
      <c r="L1665" s="15">
        <v>-794199.74</v>
      </c>
      <c r="M1665" s="15">
        <v>-9460.39</v>
      </c>
      <c r="N1665" s="16" t="str">
        <f>IF(M1665="","",IF(M1665&lt;0,-M1665&amp;"_"&amp;COUNTIF(M$2:M1665,M1665),M1665&amp;"_"&amp;COUNTIF(M$2:M1665,M1665)))</f>
        <v>9460.39_1</v>
      </c>
      <c r="O1665" s="17" t="str">
        <f t="shared" si="25"/>
        <v/>
      </c>
      <c r="P1665" s="13" t="s">
        <v>1259</v>
      </c>
      <c r="Q1665" s="13" t="s">
        <v>1245</v>
      </c>
      <c r="R1665" s="13" t="s">
        <v>0</v>
      </c>
      <c r="S1665" s="13" t="s">
        <v>0</v>
      </c>
      <c r="T1665" s="13" t="s">
        <v>9</v>
      </c>
      <c r="U1665" s="13" t="s">
        <v>0</v>
      </c>
      <c r="V1665" s="13" t="s">
        <v>0</v>
      </c>
      <c r="W1665" s="13" t="s">
        <v>0</v>
      </c>
      <c r="X1665" s="13" t="s">
        <v>0</v>
      </c>
      <c r="Y1665" s="13" t="s">
        <v>10</v>
      </c>
      <c r="Z1665" s="13" t="s">
        <v>0</v>
      </c>
      <c r="AA1665" s="14"/>
      <c r="AB1665" s="13" t="s">
        <v>0</v>
      </c>
      <c r="AC1665" s="13" t="s">
        <v>0</v>
      </c>
      <c r="AD1665" s="13" t="s">
        <v>0</v>
      </c>
      <c r="AE1665" s="15">
        <v>0</v>
      </c>
    </row>
    <row r="1666" spans="1:31" ht="14.15" customHeight="1" x14ac:dyDescent="0.25">
      <c r="A1666" s="12" t="s">
        <v>0</v>
      </c>
      <c r="B1666" s="13" t="s">
        <v>1</v>
      </c>
      <c r="C1666" s="13" t="s">
        <v>3749</v>
      </c>
      <c r="D1666" s="14">
        <v>44339</v>
      </c>
      <c r="E1666" s="14">
        <v>44339</v>
      </c>
      <c r="F1666" s="14">
        <v>44345</v>
      </c>
      <c r="G1666" s="13" t="s">
        <v>3</v>
      </c>
      <c r="H1666" s="13" t="s">
        <v>4</v>
      </c>
      <c r="I1666" s="15">
        <v>-9456.2199999999993</v>
      </c>
      <c r="J1666" s="13" t="s">
        <v>5</v>
      </c>
      <c r="K1666" s="13" t="s">
        <v>6</v>
      </c>
      <c r="L1666" s="15">
        <v>-793849.67</v>
      </c>
      <c r="M1666" s="15">
        <v>-9456.2199999999993</v>
      </c>
      <c r="N1666" s="16" t="str">
        <f>IF(M1666="","",IF(M1666&lt;0,-M1666&amp;"_"&amp;COUNTIF(M$2:M1666,M1666),M1666&amp;"_"&amp;COUNTIF(M$2:M1666,M1666)))</f>
        <v>9456.22_1</v>
      </c>
      <c r="O1666" s="17" t="str">
        <f t="shared" ref="O1666:O1729" si="26">IF(COUNTIF(N:N,N1666)=2,"x","")</f>
        <v/>
      </c>
      <c r="P1666" s="13" t="s">
        <v>3750</v>
      </c>
      <c r="Q1666" s="13" t="s">
        <v>3746</v>
      </c>
      <c r="R1666" s="13" t="s">
        <v>0</v>
      </c>
      <c r="S1666" s="13" t="s">
        <v>0</v>
      </c>
      <c r="T1666" s="13" t="s">
        <v>9</v>
      </c>
      <c r="U1666" s="13" t="s">
        <v>0</v>
      </c>
      <c r="V1666" s="13" t="s">
        <v>0</v>
      </c>
      <c r="W1666" s="13" t="s">
        <v>0</v>
      </c>
      <c r="X1666" s="13" t="s">
        <v>0</v>
      </c>
      <c r="Y1666" s="13" t="s">
        <v>10</v>
      </c>
      <c r="Z1666" s="13" t="s">
        <v>0</v>
      </c>
      <c r="AA1666" s="14"/>
      <c r="AB1666" s="13" t="s">
        <v>0</v>
      </c>
      <c r="AC1666" s="13" t="s">
        <v>0</v>
      </c>
      <c r="AD1666" s="13" t="s">
        <v>0</v>
      </c>
      <c r="AE1666" s="15">
        <v>0</v>
      </c>
    </row>
    <row r="1667" spans="1:31" ht="14.15" customHeight="1" x14ac:dyDescent="0.25">
      <c r="A1667" s="12" t="s">
        <v>0</v>
      </c>
      <c r="B1667" s="13" t="s">
        <v>1</v>
      </c>
      <c r="C1667" s="13" t="s">
        <v>3064</v>
      </c>
      <c r="D1667" s="14">
        <v>44284</v>
      </c>
      <c r="E1667" s="14">
        <v>44284</v>
      </c>
      <c r="F1667" s="14">
        <v>44290</v>
      </c>
      <c r="G1667" s="13" t="s">
        <v>3</v>
      </c>
      <c r="H1667" s="13" t="s">
        <v>4</v>
      </c>
      <c r="I1667" s="15">
        <v>-9431.77</v>
      </c>
      <c r="J1667" s="13" t="s">
        <v>5</v>
      </c>
      <c r="K1667" s="13" t="s">
        <v>6</v>
      </c>
      <c r="L1667" s="15">
        <v>-791797.09</v>
      </c>
      <c r="M1667" s="15">
        <v>-9431.77</v>
      </c>
      <c r="N1667" s="16" t="str">
        <f>IF(M1667="","",IF(M1667&lt;0,-M1667&amp;"_"&amp;COUNTIF(M$2:M1667,M1667),M1667&amp;"_"&amp;COUNTIF(M$2:M1667,M1667)))</f>
        <v>9431.77_1</v>
      </c>
      <c r="O1667" s="17" t="str">
        <f t="shared" si="26"/>
        <v/>
      </c>
      <c r="P1667" s="13" t="s">
        <v>3065</v>
      </c>
      <c r="Q1667" s="13" t="s">
        <v>3061</v>
      </c>
      <c r="R1667" s="13" t="s">
        <v>0</v>
      </c>
      <c r="S1667" s="13" t="s">
        <v>0</v>
      </c>
      <c r="T1667" s="13" t="s">
        <v>9</v>
      </c>
      <c r="U1667" s="13" t="s">
        <v>0</v>
      </c>
      <c r="V1667" s="13" t="s">
        <v>0</v>
      </c>
      <c r="W1667" s="13" t="s">
        <v>0</v>
      </c>
      <c r="X1667" s="13" t="s">
        <v>0</v>
      </c>
      <c r="Y1667" s="13" t="s">
        <v>10</v>
      </c>
      <c r="Z1667" s="13" t="s">
        <v>0</v>
      </c>
      <c r="AA1667" s="14"/>
      <c r="AB1667" s="13" t="s">
        <v>0</v>
      </c>
      <c r="AC1667" s="13" t="s">
        <v>0</v>
      </c>
      <c r="AD1667" s="13" t="s">
        <v>0</v>
      </c>
      <c r="AE1667" s="15">
        <v>0</v>
      </c>
    </row>
    <row r="1668" spans="1:31" ht="14.15" customHeight="1" x14ac:dyDescent="0.25">
      <c r="A1668" s="12" t="s">
        <v>0</v>
      </c>
      <c r="B1668" s="13" t="s">
        <v>1</v>
      </c>
      <c r="C1668" s="13" t="s">
        <v>1531</v>
      </c>
      <c r="D1668" s="14">
        <v>44164</v>
      </c>
      <c r="E1668" s="14">
        <v>44164</v>
      </c>
      <c r="F1668" s="14">
        <v>44174</v>
      </c>
      <c r="G1668" s="13" t="s">
        <v>3</v>
      </c>
      <c r="H1668" s="13" t="s">
        <v>4</v>
      </c>
      <c r="I1668" s="15">
        <v>-9394.32</v>
      </c>
      <c r="J1668" s="13" t="s">
        <v>5</v>
      </c>
      <c r="K1668" s="13" t="s">
        <v>6</v>
      </c>
      <c r="L1668" s="15">
        <v>-788653.16</v>
      </c>
      <c r="M1668" s="15">
        <v>-9394.32</v>
      </c>
      <c r="N1668" s="16" t="str">
        <f>IF(M1668="","",IF(M1668&lt;0,-M1668&amp;"_"&amp;COUNTIF(M$2:M1668,M1668),M1668&amp;"_"&amp;COUNTIF(M$2:M1668,M1668)))</f>
        <v>9394.32_1</v>
      </c>
      <c r="O1668" s="17" t="str">
        <f t="shared" si="26"/>
        <v/>
      </c>
      <c r="P1668" s="13" t="s">
        <v>1532</v>
      </c>
      <c r="Q1668" s="13" t="s">
        <v>1516</v>
      </c>
      <c r="R1668" s="13" t="s">
        <v>0</v>
      </c>
      <c r="S1668" s="13" t="s">
        <v>0</v>
      </c>
      <c r="T1668" s="13" t="s">
        <v>9</v>
      </c>
      <c r="U1668" s="13" t="s">
        <v>0</v>
      </c>
      <c r="V1668" s="13" t="s">
        <v>0</v>
      </c>
      <c r="W1668" s="13" t="s">
        <v>0</v>
      </c>
      <c r="X1668" s="13" t="s">
        <v>0</v>
      </c>
      <c r="Y1668" s="13" t="s">
        <v>10</v>
      </c>
      <c r="Z1668" s="13" t="s">
        <v>0</v>
      </c>
      <c r="AA1668" s="14"/>
      <c r="AB1668" s="13" t="s">
        <v>0</v>
      </c>
      <c r="AC1668" s="13" t="s">
        <v>0</v>
      </c>
      <c r="AD1668" s="13" t="s">
        <v>0</v>
      </c>
      <c r="AE1668" s="15">
        <v>0</v>
      </c>
    </row>
    <row r="1669" spans="1:31" ht="14.15" customHeight="1" x14ac:dyDescent="0.25">
      <c r="A1669" s="12" t="s">
        <v>0</v>
      </c>
      <c r="B1669" s="13" t="s">
        <v>1</v>
      </c>
      <c r="C1669" s="13" t="s">
        <v>1954</v>
      </c>
      <c r="D1669" s="14">
        <v>44195</v>
      </c>
      <c r="E1669" s="14">
        <v>44195</v>
      </c>
      <c r="F1669" s="14">
        <v>44199</v>
      </c>
      <c r="G1669" s="13" t="s">
        <v>3</v>
      </c>
      <c r="H1669" s="13" t="s">
        <v>4</v>
      </c>
      <c r="I1669" s="15">
        <v>-9381.4500000000007</v>
      </c>
      <c r="J1669" s="13" t="s">
        <v>5</v>
      </c>
      <c r="K1669" s="13" t="s">
        <v>6</v>
      </c>
      <c r="L1669" s="15">
        <v>-787572.73</v>
      </c>
      <c r="M1669" s="15">
        <v>-9381.4500000000007</v>
      </c>
      <c r="N1669" s="16" t="str">
        <f>IF(M1669="","",IF(M1669&lt;0,-M1669&amp;"_"&amp;COUNTIF(M$2:M1669,M1669),M1669&amp;"_"&amp;COUNTIF(M$2:M1669,M1669)))</f>
        <v>9381.45_1</v>
      </c>
      <c r="O1669" s="17" t="str">
        <f t="shared" si="26"/>
        <v/>
      </c>
      <c r="P1669" s="13" t="s">
        <v>1955</v>
      </c>
      <c r="Q1669" s="13" t="s">
        <v>1956</v>
      </c>
      <c r="R1669" s="13" t="s">
        <v>0</v>
      </c>
      <c r="S1669" s="13" t="s">
        <v>0</v>
      </c>
      <c r="T1669" s="13" t="s">
        <v>9</v>
      </c>
      <c r="U1669" s="13" t="s">
        <v>0</v>
      </c>
      <c r="V1669" s="13" t="s">
        <v>0</v>
      </c>
      <c r="W1669" s="13" t="s">
        <v>0</v>
      </c>
      <c r="X1669" s="13" t="s">
        <v>0</v>
      </c>
      <c r="Y1669" s="13" t="s">
        <v>10</v>
      </c>
      <c r="Z1669" s="13" t="s">
        <v>0</v>
      </c>
      <c r="AA1669" s="14"/>
      <c r="AB1669" s="13" t="s">
        <v>0</v>
      </c>
      <c r="AC1669" s="13" t="s">
        <v>0</v>
      </c>
      <c r="AD1669" s="13" t="s">
        <v>0</v>
      </c>
      <c r="AE1669" s="15">
        <v>0</v>
      </c>
    </row>
    <row r="1670" spans="1:31" ht="14.15" customHeight="1" x14ac:dyDescent="0.25">
      <c r="A1670" s="12" t="s">
        <v>0</v>
      </c>
      <c r="B1670" s="13" t="s">
        <v>1</v>
      </c>
      <c r="C1670" s="13" t="s">
        <v>328</v>
      </c>
      <c r="D1670" s="14">
        <v>44043</v>
      </c>
      <c r="E1670" s="14">
        <v>44043</v>
      </c>
      <c r="F1670" s="14">
        <v>44057</v>
      </c>
      <c r="G1670" s="13" t="s">
        <v>3</v>
      </c>
      <c r="H1670" s="13" t="s">
        <v>4</v>
      </c>
      <c r="I1670" s="15">
        <v>-9377.5400000000009</v>
      </c>
      <c r="J1670" s="13" t="s">
        <v>5</v>
      </c>
      <c r="K1670" s="13" t="s">
        <v>6</v>
      </c>
      <c r="L1670" s="15">
        <v>-787244.49</v>
      </c>
      <c r="M1670" s="15">
        <v>-9377.5400000000009</v>
      </c>
      <c r="N1670" s="16" t="str">
        <f>IF(M1670="","",IF(M1670&lt;0,-M1670&amp;"_"&amp;COUNTIF(M$2:M1670,M1670),M1670&amp;"_"&amp;COUNTIF(M$2:M1670,M1670)))</f>
        <v>9377.54_1</v>
      </c>
      <c r="O1670" s="17" t="str">
        <f t="shared" si="26"/>
        <v/>
      </c>
      <c r="P1670" s="13" t="s">
        <v>329</v>
      </c>
      <c r="Q1670" s="13" t="s">
        <v>316</v>
      </c>
      <c r="R1670" s="13" t="s">
        <v>0</v>
      </c>
      <c r="S1670" s="13" t="s">
        <v>0</v>
      </c>
      <c r="T1670" s="13" t="s">
        <v>9</v>
      </c>
      <c r="U1670" s="13" t="s">
        <v>0</v>
      </c>
      <c r="V1670" s="13" t="s">
        <v>0</v>
      </c>
      <c r="W1670" s="13" t="s">
        <v>0</v>
      </c>
      <c r="X1670" s="13" t="s">
        <v>0</v>
      </c>
      <c r="Y1670" s="13" t="s">
        <v>10</v>
      </c>
      <c r="Z1670" s="13" t="s">
        <v>0</v>
      </c>
      <c r="AA1670" s="14"/>
      <c r="AB1670" s="13" t="s">
        <v>0</v>
      </c>
      <c r="AC1670" s="13" t="s">
        <v>0</v>
      </c>
      <c r="AD1670" s="13" t="s">
        <v>0</v>
      </c>
      <c r="AE1670" s="15">
        <v>0</v>
      </c>
    </row>
    <row r="1671" spans="1:31" ht="14.15" customHeight="1" x14ac:dyDescent="0.25">
      <c r="A1671" s="12" t="s">
        <v>0</v>
      </c>
      <c r="B1671" s="13" t="s">
        <v>1</v>
      </c>
      <c r="C1671" s="13" t="s">
        <v>2166</v>
      </c>
      <c r="D1671" s="14">
        <v>44209</v>
      </c>
      <c r="E1671" s="14">
        <v>44209</v>
      </c>
      <c r="F1671" s="14">
        <v>44219</v>
      </c>
      <c r="G1671" s="13" t="s">
        <v>3</v>
      </c>
      <c r="H1671" s="13" t="s">
        <v>4</v>
      </c>
      <c r="I1671" s="15">
        <v>-9369.17</v>
      </c>
      <c r="J1671" s="13" t="s">
        <v>5</v>
      </c>
      <c r="K1671" s="13" t="s">
        <v>6</v>
      </c>
      <c r="L1671" s="15">
        <v>-786541.82</v>
      </c>
      <c r="M1671" s="15">
        <v>-9369.17</v>
      </c>
      <c r="N1671" s="16" t="str">
        <f>IF(M1671="","",IF(M1671&lt;0,-M1671&amp;"_"&amp;COUNTIF(M$2:M1671,M1671),M1671&amp;"_"&amp;COUNTIF(M$2:M1671,M1671)))</f>
        <v>9369.17_1</v>
      </c>
      <c r="O1671" s="17" t="str">
        <f t="shared" si="26"/>
        <v/>
      </c>
      <c r="P1671" s="13" t="s">
        <v>2167</v>
      </c>
      <c r="Q1671" s="13" t="s">
        <v>2159</v>
      </c>
      <c r="R1671" s="13" t="s">
        <v>0</v>
      </c>
      <c r="S1671" s="13" t="s">
        <v>0</v>
      </c>
      <c r="T1671" s="13" t="s">
        <v>9</v>
      </c>
      <c r="U1671" s="13" t="s">
        <v>0</v>
      </c>
      <c r="V1671" s="13" t="s">
        <v>0</v>
      </c>
      <c r="W1671" s="13" t="s">
        <v>0</v>
      </c>
      <c r="X1671" s="13" t="s">
        <v>0</v>
      </c>
      <c r="Y1671" s="13" t="s">
        <v>10</v>
      </c>
      <c r="Z1671" s="13" t="s">
        <v>0</v>
      </c>
      <c r="AA1671" s="14"/>
      <c r="AB1671" s="13" t="s">
        <v>0</v>
      </c>
      <c r="AC1671" s="13" t="s">
        <v>0</v>
      </c>
      <c r="AD1671" s="13" t="s">
        <v>0</v>
      </c>
      <c r="AE1671" s="15">
        <v>0</v>
      </c>
    </row>
    <row r="1672" spans="1:31" ht="14.15" customHeight="1" x14ac:dyDescent="0.25">
      <c r="A1672" s="12" t="s">
        <v>0</v>
      </c>
      <c r="B1672" s="13" t="s">
        <v>1</v>
      </c>
      <c r="C1672" s="13" t="s">
        <v>4178</v>
      </c>
      <c r="D1672" s="14">
        <v>44364</v>
      </c>
      <c r="E1672" s="14">
        <v>44364</v>
      </c>
      <c r="F1672" s="14">
        <v>44368</v>
      </c>
      <c r="G1672" s="13" t="s">
        <v>3</v>
      </c>
      <c r="H1672" s="13" t="s">
        <v>4</v>
      </c>
      <c r="I1672" s="15">
        <v>-9364.25</v>
      </c>
      <c r="J1672" s="13" t="s">
        <v>5</v>
      </c>
      <c r="K1672" s="13" t="s">
        <v>6</v>
      </c>
      <c r="L1672" s="15">
        <v>-786128.79</v>
      </c>
      <c r="M1672" s="15">
        <v>-9364.25</v>
      </c>
      <c r="N1672" s="16" t="str">
        <f>IF(M1672="","",IF(M1672&lt;0,-M1672&amp;"_"&amp;COUNTIF(M$2:M1672,M1672),M1672&amp;"_"&amp;COUNTIF(M$2:M1672,M1672)))</f>
        <v>9364.25_1</v>
      </c>
      <c r="O1672" s="17" t="str">
        <f t="shared" si="26"/>
        <v/>
      </c>
      <c r="P1672" s="13" t="s">
        <v>4179</v>
      </c>
      <c r="Q1672" s="13" t="s">
        <v>4180</v>
      </c>
      <c r="R1672" s="13" t="s">
        <v>0</v>
      </c>
      <c r="S1672" s="13" t="s">
        <v>0</v>
      </c>
      <c r="T1672" s="13" t="s">
        <v>9</v>
      </c>
      <c r="U1672" s="13" t="s">
        <v>0</v>
      </c>
      <c r="V1672" s="13" t="s">
        <v>0</v>
      </c>
      <c r="W1672" s="13" t="s">
        <v>0</v>
      </c>
      <c r="X1672" s="13" t="s">
        <v>0</v>
      </c>
      <c r="Y1672" s="13" t="s">
        <v>10</v>
      </c>
      <c r="Z1672" s="13" t="s">
        <v>0</v>
      </c>
      <c r="AA1672" s="14"/>
      <c r="AB1672" s="13" t="s">
        <v>0</v>
      </c>
      <c r="AC1672" s="13" t="s">
        <v>0</v>
      </c>
      <c r="AD1672" s="13" t="s">
        <v>0</v>
      </c>
      <c r="AE1672" s="15">
        <v>0</v>
      </c>
    </row>
    <row r="1673" spans="1:31" ht="14.15" customHeight="1" x14ac:dyDescent="0.25">
      <c r="A1673" s="12" t="s">
        <v>0</v>
      </c>
      <c r="B1673" s="13" t="s">
        <v>1</v>
      </c>
      <c r="C1673" s="13" t="s">
        <v>1406</v>
      </c>
      <c r="D1673" s="14">
        <v>44154</v>
      </c>
      <c r="E1673" s="14">
        <v>44154</v>
      </c>
      <c r="F1673" s="14">
        <v>44159</v>
      </c>
      <c r="G1673" s="13" t="s">
        <v>3</v>
      </c>
      <c r="H1673" s="13" t="s">
        <v>4</v>
      </c>
      <c r="I1673" s="15">
        <v>-9356.1299999999992</v>
      </c>
      <c r="J1673" s="13" t="s">
        <v>5</v>
      </c>
      <c r="K1673" s="13" t="s">
        <v>6</v>
      </c>
      <c r="L1673" s="15">
        <v>-785447.11</v>
      </c>
      <c r="M1673" s="15">
        <v>-9356.1299999999992</v>
      </c>
      <c r="N1673" s="16" t="str">
        <f>IF(M1673="","",IF(M1673&lt;0,-M1673&amp;"_"&amp;COUNTIF(M$2:M1673,M1673),M1673&amp;"_"&amp;COUNTIF(M$2:M1673,M1673)))</f>
        <v>9356.13_1</v>
      </c>
      <c r="O1673" s="17" t="str">
        <f t="shared" si="26"/>
        <v/>
      </c>
      <c r="P1673" s="13" t="s">
        <v>1407</v>
      </c>
      <c r="Q1673" s="13" t="s">
        <v>1408</v>
      </c>
      <c r="R1673" s="13" t="s">
        <v>0</v>
      </c>
      <c r="S1673" s="13" t="s">
        <v>0</v>
      </c>
      <c r="T1673" s="13" t="s">
        <v>9</v>
      </c>
      <c r="U1673" s="13" t="s">
        <v>0</v>
      </c>
      <c r="V1673" s="13" t="s">
        <v>0</v>
      </c>
      <c r="W1673" s="13" t="s">
        <v>0</v>
      </c>
      <c r="X1673" s="13" t="s">
        <v>0</v>
      </c>
      <c r="Y1673" s="13" t="s">
        <v>10</v>
      </c>
      <c r="Z1673" s="13" t="s">
        <v>0</v>
      </c>
      <c r="AA1673" s="14"/>
      <c r="AB1673" s="13" t="s">
        <v>0</v>
      </c>
      <c r="AC1673" s="13" t="s">
        <v>0</v>
      </c>
      <c r="AD1673" s="13" t="s">
        <v>0</v>
      </c>
      <c r="AE1673" s="15">
        <v>0</v>
      </c>
    </row>
    <row r="1674" spans="1:31" ht="14.15" customHeight="1" x14ac:dyDescent="0.25">
      <c r="A1674" s="12" t="s">
        <v>0</v>
      </c>
      <c r="B1674" s="13" t="s">
        <v>1</v>
      </c>
      <c r="C1674" s="13" t="s">
        <v>1606</v>
      </c>
      <c r="D1674" s="14">
        <v>44168</v>
      </c>
      <c r="E1674" s="14">
        <v>44168</v>
      </c>
      <c r="F1674" s="14">
        <v>44174</v>
      </c>
      <c r="G1674" s="13" t="s">
        <v>3</v>
      </c>
      <c r="H1674" s="13" t="s">
        <v>4</v>
      </c>
      <c r="I1674" s="15">
        <v>-9352.66</v>
      </c>
      <c r="J1674" s="13" t="s">
        <v>5</v>
      </c>
      <c r="K1674" s="13" t="s">
        <v>6</v>
      </c>
      <c r="L1674" s="15">
        <v>-785155.81</v>
      </c>
      <c r="M1674" s="15">
        <v>-9352.66</v>
      </c>
      <c r="N1674" s="16" t="str">
        <f>IF(M1674="","",IF(M1674&lt;0,-M1674&amp;"_"&amp;COUNTIF(M$2:M1674,M1674),M1674&amp;"_"&amp;COUNTIF(M$2:M1674,M1674)))</f>
        <v>9352.66_1</v>
      </c>
      <c r="O1674" s="17" t="str">
        <f t="shared" si="26"/>
        <v/>
      </c>
      <c r="P1674" s="13" t="s">
        <v>1607</v>
      </c>
      <c r="Q1674" s="13" t="s">
        <v>1605</v>
      </c>
      <c r="R1674" s="13" t="s">
        <v>0</v>
      </c>
      <c r="S1674" s="13" t="s">
        <v>0</v>
      </c>
      <c r="T1674" s="13" t="s">
        <v>9</v>
      </c>
      <c r="U1674" s="13" t="s">
        <v>0</v>
      </c>
      <c r="V1674" s="13" t="s">
        <v>0</v>
      </c>
      <c r="W1674" s="13" t="s">
        <v>0</v>
      </c>
      <c r="X1674" s="13" t="s">
        <v>0</v>
      </c>
      <c r="Y1674" s="13" t="s">
        <v>10</v>
      </c>
      <c r="Z1674" s="13" t="s">
        <v>0</v>
      </c>
      <c r="AA1674" s="14"/>
      <c r="AB1674" s="13" t="s">
        <v>0</v>
      </c>
      <c r="AC1674" s="13" t="s">
        <v>0</v>
      </c>
      <c r="AD1674" s="13" t="s">
        <v>0</v>
      </c>
      <c r="AE1674" s="15">
        <v>0</v>
      </c>
    </row>
    <row r="1675" spans="1:31" ht="14.15" customHeight="1" x14ac:dyDescent="0.25">
      <c r="A1675" s="12" t="s">
        <v>0</v>
      </c>
      <c r="B1675" s="13" t="s">
        <v>1</v>
      </c>
      <c r="C1675" s="13" t="s">
        <v>81</v>
      </c>
      <c r="D1675" s="14">
        <v>44020</v>
      </c>
      <c r="E1675" s="14">
        <v>44020</v>
      </c>
      <c r="F1675" s="14">
        <v>44037</v>
      </c>
      <c r="G1675" s="13" t="s">
        <v>3</v>
      </c>
      <c r="H1675" s="13" t="s">
        <v>4</v>
      </c>
      <c r="I1675" s="15">
        <v>-9350.34</v>
      </c>
      <c r="J1675" s="13" t="s">
        <v>5</v>
      </c>
      <c r="K1675" s="13" t="s">
        <v>6</v>
      </c>
      <c r="L1675" s="15">
        <v>-784961.04</v>
      </c>
      <c r="M1675" s="15">
        <v>-9350.34</v>
      </c>
      <c r="N1675" s="16" t="str">
        <f>IF(M1675="","",IF(M1675&lt;0,-M1675&amp;"_"&amp;COUNTIF(M$2:M1675,M1675),M1675&amp;"_"&amp;COUNTIF(M$2:M1675,M1675)))</f>
        <v>9350.34_1</v>
      </c>
      <c r="O1675" s="17" t="str">
        <f t="shared" si="26"/>
        <v/>
      </c>
      <c r="P1675" s="13" t="s">
        <v>82</v>
      </c>
      <c r="Q1675" s="13" t="s">
        <v>70</v>
      </c>
      <c r="R1675" s="13" t="s">
        <v>0</v>
      </c>
      <c r="S1675" s="13" t="s">
        <v>0</v>
      </c>
      <c r="T1675" s="13" t="s">
        <v>9</v>
      </c>
      <c r="U1675" s="13" t="s">
        <v>0</v>
      </c>
      <c r="V1675" s="13" t="s">
        <v>0</v>
      </c>
      <c r="W1675" s="13" t="s">
        <v>0</v>
      </c>
      <c r="X1675" s="13" t="s">
        <v>0</v>
      </c>
      <c r="Y1675" s="13" t="s">
        <v>10</v>
      </c>
      <c r="Z1675" s="13" t="s">
        <v>0</v>
      </c>
      <c r="AA1675" s="14"/>
      <c r="AB1675" s="13" t="s">
        <v>0</v>
      </c>
      <c r="AC1675" s="13" t="s">
        <v>0</v>
      </c>
      <c r="AD1675" s="13" t="s">
        <v>0</v>
      </c>
      <c r="AE1675" s="15">
        <v>0</v>
      </c>
    </row>
    <row r="1676" spans="1:31" ht="14.15" customHeight="1" x14ac:dyDescent="0.25">
      <c r="A1676" s="12" t="s">
        <v>0</v>
      </c>
      <c r="B1676" s="13" t="s">
        <v>1</v>
      </c>
      <c r="C1676" s="13" t="s">
        <v>1819</v>
      </c>
      <c r="D1676" s="14">
        <v>44183</v>
      </c>
      <c r="E1676" s="14">
        <v>44183</v>
      </c>
      <c r="F1676" s="14">
        <v>44188</v>
      </c>
      <c r="G1676" s="13" t="s">
        <v>3</v>
      </c>
      <c r="H1676" s="13" t="s">
        <v>4</v>
      </c>
      <c r="I1676" s="15">
        <v>-9341.84</v>
      </c>
      <c r="J1676" s="13" t="s">
        <v>5</v>
      </c>
      <c r="K1676" s="13" t="s">
        <v>6</v>
      </c>
      <c r="L1676" s="15">
        <v>-784247.47</v>
      </c>
      <c r="M1676" s="15">
        <v>-9341.84</v>
      </c>
      <c r="N1676" s="16" t="str">
        <f>IF(M1676="","",IF(M1676&lt;0,-M1676&amp;"_"&amp;COUNTIF(M$2:M1676,M1676),M1676&amp;"_"&amp;COUNTIF(M$2:M1676,M1676)))</f>
        <v>9341.84_1</v>
      </c>
      <c r="O1676" s="17" t="str">
        <f t="shared" si="26"/>
        <v/>
      </c>
      <c r="P1676" s="13" t="s">
        <v>1820</v>
      </c>
      <c r="Q1676" s="13" t="s">
        <v>1792</v>
      </c>
      <c r="R1676" s="13" t="s">
        <v>0</v>
      </c>
      <c r="S1676" s="13" t="s">
        <v>0</v>
      </c>
      <c r="T1676" s="13" t="s">
        <v>9</v>
      </c>
      <c r="U1676" s="13" t="s">
        <v>0</v>
      </c>
      <c r="V1676" s="13" t="s">
        <v>0</v>
      </c>
      <c r="W1676" s="13" t="s">
        <v>0</v>
      </c>
      <c r="X1676" s="13" t="s">
        <v>0</v>
      </c>
      <c r="Y1676" s="13" t="s">
        <v>10</v>
      </c>
      <c r="Z1676" s="13" t="s">
        <v>0</v>
      </c>
      <c r="AA1676" s="14"/>
      <c r="AB1676" s="13" t="s">
        <v>0</v>
      </c>
      <c r="AC1676" s="13" t="s">
        <v>0</v>
      </c>
      <c r="AD1676" s="13" t="s">
        <v>0</v>
      </c>
      <c r="AE1676" s="15">
        <v>0</v>
      </c>
    </row>
    <row r="1677" spans="1:31" ht="14.15" customHeight="1" x14ac:dyDescent="0.25">
      <c r="A1677" s="12" t="s">
        <v>0</v>
      </c>
      <c r="B1677" s="13" t="s">
        <v>1</v>
      </c>
      <c r="C1677" s="13" t="s">
        <v>1977</v>
      </c>
      <c r="D1677" s="14">
        <v>44196</v>
      </c>
      <c r="E1677" s="14">
        <v>44196</v>
      </c>
      <c r="F1677" s="14">
        <v>44201</v>
      </c>
      <c r="G1677" s="13" t="s">
        <v>3</v>
      </c>
      <c r="H1677" s="13" t="s">
        <v>4</v>
      </c>
      <c r="I1677" s="15">
        <v>-9328.99</v>
      </c>
      <c r="J1677" s="13" t="s">
        <v>5</v>
      </c>
      <c r="K1677" s="13" t="s">
        <v>6</v>
      </c>
      <c r="L1677" s="15">
        <v>-783168.71</v>
      </c>
      <c r="M1677" s="15">
        <v>-9328.99</v>
      </c>
      <c r="N1677" s="16" t="str">
        <f>IF(M1677="","",IF(M1677&lt;0,-M1677&amp;"_"&amp;COUNTIF(M$2:M1677,M1677),M1677&amp;"_"&amp;COUNTIF(M$2:M1677,M1677)))</f>
        <v>9328.99_1</v>
      </c>
      <c r="O1677" s="17" t="str">
        <f t="shared" si="26"/>
        <v/>
      </c>
      <c r="P1677" s="13" t="s">
        <v>1978</v>
      </c>
      <c r="Q1677" s="13" t="s">
        <v>1976</v>
      </c>
      <c r="R1677" s="13" t="s">
        <v>0</v>
      </c>
      <c r="S1677" s="13" t="s">
        <v>0</v>
      </c>
      <c r="T1677" s="13" t="s">
        <v>9</v>
      </c>
      <c r="U1677" s="13" t="s">
        <v>0</v>
      </c>
      <c r="V1677" s="13" t="s">
        <v>0</v>
      </c>
      <c r="W1677" s="13" t="s">
        <v>0</v>
      </c>
      <c r="X1677" s="13" t="s">
        <v>0</v>
      </c>
      <c r="Y1677" s="13" t="s">
        <v>10</v>
      </c>
      <c r="Z1677" s="13" t="s">
        <v>0</v>
      </c>
      <c r="AA1677" s="14"/>
      <c r="AB1677" s="13" t="s">
        <v>0</v>
      </c>
      <c r="AC1677" s="13" t="s">
        <v>0</v>
      </c>
      <c r="AD1677" s="13" t="s">
        <v>0</v>
      </c>
      <c r="AE1677" s="15">
        <v>0</v>
      </c>
    </row>
    <row r="1678" spans="1:31" ht="14.15" customHeight="1" x14ac:dyDescent="0.25">
      <c r="A1678" s="12" t="s">
        <v>0</v>
      </c>
      <c r="B1678" s="13" t="s">
        <v>1</v>
      </c>
      <c r="C1678" s="13" t="s">
        <v>2631</v>
      </c>
      <c r="D1678" s="14">
        <v>44247</v>
      </c>
      <c r="E1678" s="14">
        <v>44247</v>
      </c>
      <c r="F1678" s="14">
        <v>44257</v>
      </c>
      <c r="G1678" s="13" t="s">
        <v>3</v>
      </c>
      <c r="H1678" s="13" t="s">
        <v>4</v>
      </c>
      <c r="I1678" s="15">
        <v>-9313.7999999999993</v>
      </c>
      <c r="J1678" s="13" t="s">
        <v>5</v>
      </c>
      <c r="K1678" s="13" t="s">
        <v>6</v>
      </c>
      <c r="L1678" s="15">
        <v>-781893.51</v>
      </c>
      <c r="M1678" s="15">
        <v>-9313.7999999999993</v>
      </c>
      <c r="N1678" s="16" t="str">
        <f>IF(M1678="","",IF(M1678&lt;0,-M1678&amp;"_"&amp;COUNTIF(M$2:M1678,M1678),M1678&amp;"_"&amp;COUNTIF(M$2:M1678,M1678)))</f>
        <v>9313.8_1</v>
      </c>
      <c r="O1678" s="17" t="str">
        <f t="shared" si="26"/>
        <v/>
      </c>
      <c r="P1678" s="13" t="s">
        <v>2632</v>
      </c>
      <c r="Q1678" s="13" t="s">
        <v>2626</v>
      </c>
      <c r="R1678" s="13" t="s">
        <v>0</v>
      </c>
      <c r="S1678" s="13" t="s">
        <v>0</v>
      </c>
      <c r="T1678" s="13" t="s">
        <v>9</v>
      </c>
      <c r="U1678" s="13" t="s">
        <v>0</v>
      </c>
      <c r="V1678" s="13" t="s">
        <v>0</v>
      </c>
      <c r="W1678" s="13" t="s">
        <v>0</v>
      </c>
      <c r="X1678" s="13" t="s">
        <v>0</v>
      </c>
      <c r="Y1678" s="13" t="s">
        <v>10</v>
      </c>
      <c r="Z1678" s="13" t="s">
        <v>0</v>
      </c>
      <c r="AA1678" s="14"/>
      <c r="AB1678" s="13" t="s">
        <v>0</v>
      </c>
      <c r="AC1678" s="13" t="s">
        <v>0</v>
      </c>
      <c r="AD1678" s="13" t="s">
        <v>0</v>
      </c>
      <c r="AE1678" s="15">
        <v>0</v>
      </c>
    </row>
    <row r="1679" spans="1:31" ht="14.15" customHeight="1" x14ac:dyDescent="0.25">
      <c r="A1679" s="12" t="s">
        <v>0</v>
      </c>
      <c r="B1679" s="13" t="s">
        <v>1</v>
      </c>
      <c r="C1679" s="13" t="s">
        <v>3031</v>
      </c>
      <c r="D1679" s="14">
        <v>44281</v>
      </c>
      <c r="E1679" s="14">
        <v>44281</v>
      </c>
      <c r="F1679" s="14">
        <v>44290</v>
      </c>
      <c r="G1679" s="13" t="s">
        <v>3</v>
      </c>
      <c r="H1679" s="13" t="s">
        <v>4</v>
      </c>
      <c r="I1679" s="15">
        <v>-9311.15</v>
      </c>
      <c r="J1679" s="13" t="s">
        <v>5</v>
      </c>
      <c r="K1679" s="13" t="s">
        <v>6</v>
      </c>
      <c r="L1679" s="15">
        <v>-781671.06</v>
      </c>
      <c r="M1679" s="15">
        <v>-9311.15</v>
      </c>
      <c r="N1679" s="16" t="str">
        <f>IF(M1679="","",IF(M1679&lt;0,-M1679&amp;"_"&amp;COUNTIF(M$2:M1679,M1679),M1679&amp;"_"&amp;COUNTIF(M$2:M1679,M1679)))</f>
        <v>9311.15_1</v>
      </c>
      <c r="O1679" s="17" t="str">
        <f t="shared" si="26"/>
        <v/>
      </c>
      <c r="P1679" s="13" t="s">
        <v>3032</v>
      </c>
      <c r="Q1679" s="13" t="s">
        <v>3014</v>
      </c>
      <c r="R1679" s="13" t="s">
        <v>0</v>
      </c>
      <c r="S1679" s="13" t="s">
        <v>0</v>
      </c>
      <c r="T1679" s="13" t="s">
        <v>9</v>
      </c>
      <c r="U1679" s="13" t="s">
        <v>0</v>
      </c>
      <c r="V1679" s="13" t="s">
        <v>0</v>
      </c>
      <c r="W1679" s="13" t="s">
        <v>0</v>
      </c>
      <c r="X1679" s="13" t="s">
        <v>0</v>
      </c>
      <c r="Y1679" s="13" t="s">
        <v>10</v>
      </c>
      <c r="Z1679" s="13" t="s">
        <v>0</v>
      </c>
      <c r="AA1679" s="14"/>
      <c r="AB1679" s="13" t="s">
        <v>0</v>
      </c>
      <c r="AC1679" s="13" t="s">
        <v>0</v>
      </c>
      <c r="AD1679" s="13" t="s">
        <v>0</v>
      </c>
      <c r="AE1679" s="15">
        <v>0</v>
      </c>
    </row>
    <row r="1680" spans="1:31" ht="14.15" customHeight="1" x14ac:dyDescent="0.25">
      <c r="A1680" s="12" t="s">
        <v>0</v>
      </c>
      <c r="B1680" s="13" t="s">
        <v>1</v>
      </c>
      <c r="C1680" s="13" t="s">
        <v>4108</v>
      </c>
      <c r="D1680" s="14">
        <v>44363</v>
      </c>
      <c r="E1680" s="14">
        <v>44363</v>
      </c>
      <c r="F1680" s="14">
        <v>44367</v>
      </c>
      <c r="G1680" s="13" t="s">
        <v>3</v>
      </c>
      <c r="H1680" s="13" t="s">
        <v>4</v>
      </c>
      <c r="I1680" s="15">
        <v>-9306.3799999999992</v>
      </c>
      <c r="J1680" s="13" t="s">
        <v>5</v>
      </c>
      <c r="K1680" s="13" t="s">
        <v>6</v>
      </c>
      <c r="L1680" s="15">
        <v>-781270.6</v>
      </c>
      <c r="M1680" s="15">
        <v>-9306.3799999999992</v>
      </c>
      <c r="N1680" s="16" t="str">
        <f>IF(M1680="","",IF(M1680&lt;0,-M1680&amp;"_"&amp;COUNTIF(M$2:M1680,M1680),M1680&amp;"_"&amp;COUNTIF(M$2:M1680,M1680)))</f>
        <v>9306.38_1</v>
      </c>
      <c r="O1680" s="17" t="str">
        <f t="shared" si="26"/>
        <v/>
      </c>
      <c r="P1680" s="13" t="s">
        <v>4109</v>
      </c>
      <c r="Q1680" s="13" t="s">
        <v>4107</v>
      </c>
      <c r="R1680" s="13" t="s">
        <v>0</v>
      </c>
      <c r="S1680" s="13" t="s">
        <v>0</v>
      </c>
      <c r="T1680" s="13" t="s">
        <v>9</v>
      </c>
      <c r="U1680" s="13" t="s">
        <v>0</v>
      </c>
      <c r="V1680" s="13" t="s">
        <v>0</v>
      </c>
      <c r="W1680" s="13" t="s">
        <v>0</v>
      </c>
      <c r="X1680" s="13" t="s">
        <v>0</v>
      </c>
      <c r="Y1680" s="13" t="s">
        <v>10</v>
      </c>
      <c r="Z1680" s="13" t="s">
        <v>0</v>
      </c>
      <c r="AA1680" s="14"/>
      <c r="AB1680" s="13" t="s">
        <v>0</v>
      </c>
      <c r="AC1680" s="13" t="s">
        <v>0</v>
      </c>
      <c r="AD1680" s="13" t="s">
        <v>0</v>
      </c>
      <c r="AE1680" s="15">
        <v>0</v>
      </c>
    </row>
    <row r="1681" spans="1:31" ht="14.15" customHeight="1" x14ac:dyDescent="0.25">
      <c r="A1681" s="12" t="s">
        <v>0</v>
      </c>
      <c r="B1681" s="13" t="s">
        <v>1</v>
      </c>
      <c r="C1681" s="13" t="s">
        <v>800</v>
      </c>
      <c r="D1681" s="14">
        <v>44103</v>
      </c>
      <c r="E1681" s="14">
        <v>44103</v>
      </c>
      <c r="F1681" s="14">
        <v>44107</v>
      </c>
      <c r="G1681" s="13" t="s">
        <v>3</v>
      </c>
      <c r="H1681" s="13" t="s">
        <v>4</v>
      </c>
      <c r="I1681" s="15">
        <v>-9289.32</v>
      </c>
      <c r="J1681" s="13" t="s">
        <v>5</v>
      </c>
      <c r="K1681" s="13" t="s">
        <v>6</v>
      </c>
      <c r="L1681" s="15">
        <v>-779838.41</v>
      </c>
      <c r="M1681" s="15">
        <v>-9289.32</v>
      </c>
      <c r="N1681" s="16" t="str">
        <f>IF(M1681="","",IF(M1681&lt;0,-M1681&amp;"_"&amp;COUNTIF(M$2:M1681,M1681),M1681&amp;"_"&amp;COUNTIF(M$2:M1681,M1681)))</f>
        <v>9289.32_1</v>
      </c>
      <c r="O1681" s="17" t="str">
        <f t="shared" si="26"/>
        <v/>
      </c>
      <c r="P1681" s="13" t="s">
        <v>801</v>
      </c>
      <c r="Q1681" s="13" t="s">
        <v>802</v>
      </c>
      <c r="R1681" s="13" t="s">
        <v>0</v>
      </c>
      <c r="S1681" s="13" t="s">
        <v>0</v>
      </c>
      <c r="T1681" s="13" t="s">
        <v>9</v>
      </c>
      <c r="U1681" s="13" t="s">
        <v>0</v>
      </c>
      <c r="V1681" s="13" t="s">
        <v>0</v>
      </c>
      <c r="W1681" s="13" t="s">
        <v>0</v>
      </c>
      <c r="X1681" s="13" t="s">
        <v>0</v>
      </c>
      <c r="Y1681" s="13" t="s">
        <v>10</v>
      </c>
      <c r="Z1681" s="13" t="s">
        <v>0</v>
      </c>
      <c r="AA1681" s="14"/>
      <c r="AB1681" s="13" t="s">
        <v>0</v>
      </c>
      <c r="AC1681" s="13" t="s">
        <v>0</v>
      </c>
      <c r="AD1681" s="13" t="s">
        <v>0</v>
      </c>
      <c r="AE1681" s="15">
        <v>0</v>
      </c>
    </row>
    <row r="1682" spans="1:31" ht="14.15" customHeight="1" x14ac:dyDescent="0.25">
      <c r="A1682" s="12" t="s">
        <v>0</v>
      </c>
      <c r="B1682" s="13" t="s">
        <v>1</v>
      </c>
      <c r="C1682" s="13" t="s">
        <v>1507</v>
      </c>
      <c r="D1682" s="14">
        <v>44163</v>
      </c>
      <c r="E1682" s="14">
        <v>44163</v>
      </c>
      <c r="F1682" s="14">
        <v>44165</v>
      </c>
      <c r="G1682" s="13" t="s">
        <v>3</v>
      </c>
      <c r="H1682" s="13" t="s">
        <v>4</v>
      </c>
      <c r="I1682" s="15">
        <v>-9274.3700000000008</v>
      </c>
      <c r="J1682" s="13" t="s">
        <v>5</v>
      </c>
      <c r="K1682" s="13" t="s">
        <v>6</v>
      </c>
      <c r="L1682" s="15">
        <v>-778583.36</v>
      </c>
      <c r="M1682" s="15">
        <v>-9274.3700000000008</v>
      </c>
      <c r="N1682" s="16" t="str">
        <f>IF(M1682="","",IF(M1682&lt;0,-M1682&amp;"_"&amp;COUNTIF(M$2:M1682,M1682),M1682&amp;"_"&amp;COUNTIF(M$2:M1682,M1682)))</f>
        <v>9274.37_1</v>
      </c>
      <c r="O1682" s="17" t="str">
        <f t="shared" si="26"/>
        <v/>
      </c>
      <c r="P1682" s="13" t="s">
        <v>1508</v>
      </c>
      <c r="Q1682" s="13" t="s">
        <v>1509</v>
      </c>
      <c r="R1682" s="13" t="s">
        <v>0</v>
      </c>
      <c r="S1682" s="13" t="s">
        <v>0</v>
      </c>
      <c r="T1682" s="13" t="s">
        <v>9</v>
      </c>
      <c r="U1682" s="13" t="s">
        <v>0</v>
      </c>
      <c r="V1682" s="13" t="s">
        <v>0</v>
      </c>
      <c r="W1682" s="13" t="s">
        <v>0</v>
      </c>
      <c r="X1682" s="13" t="s">
        <v>0</v>
      </c>
      <c r="Y1682" s="13" t="s">
        <v>10</v>
      </c>
      <c r="Z1682" s="13" t="s">
        <v>0</v>
      </c>
      <c r="AA1682" s="14"/>
      <c r="AB1682" s="13" t="s">
        <v>0</v>
      </c>
      <c r="AC1682" s="13" t="s">
        <v>0</v>
      </c>
      <c r="AD1682" s="13" t="s">
        <v>0</v>
      </c>
      <c r="AE1682" s="15">
        <v>0</v>
      </c>
    </row>
    <row r="1683" spans="1:31" ht="14.15" customHeight="1" x14ac:dyDescent="0.25">
      <c r="A1683" s="12" t="s">
        <v>0</v>
      </c>
      <c r="B1683" s="13" t="s">
        <v>1</v>
      </c>
      <c r="C1683" s="13" t="s">
        <v>2251</v>
      </c>
      <c r="D1683" s="14">
        <v>44215</v>
      </c>
      <c r="E1683" s="14">
        <v>44215</v>
      </c>
      <c r="F1683" s="14">
        <v>44222</v>
      </c>
      <c r="G1683" s="13" t="s">
        <v>3</v>
      </c>
      <c r="H1683" s="13" t="s">
        <v>4</v>
      </c>
      <c r="I1683" s="15">
        <v>-9263.57</v>
      </c>
      <c r="J1683" s="13" t="s">
        <v>5</v>
      </c>
      <c r="K1683" s="13" t="s">
        <v>6</v>
      </c>
      <c r="L1683" s="15">
        <v>-777676.7</v>
      </c>
      <c r="M1683" s="15">
        <v>-9263.57</v>
      </c>
      <c r="N1683" s="16" t="str">
        <f>IF(M1683="","",IF(M1683&lt;0,-M1683&amp;"_"&amp;COUNTIF(M$2:M1683,M1683),M1683&amp;"_"&amp;COUNTIF(M$2:M1683,M1683)))</f>
        <v>9263.57_1</v>
      </c>
      <c r="O1683" s="17" t="str">
        <f t="shared" si="26"/>
        <v/>
      </c>
      <c r="P1683" s="13" t="s">
        <v>2252</v>
      </c>
      <c r="Q1683" s="13" t="s">
        <v>2250</v>
      </c>
      <c r="R1683" s="13" t="s">
        <v>0</v>
      </c>
      <c r="S1683" s="13" t="s">
        <v>0</v>
      </c>
      <c r="T1683" s="13" t="s">
        <v>9</v>
      </c>
      <c r="U1683" s="13" t="s">
        <v>0</v>
      </c>
      <c r="V1683" s="13" t="s">
        <v>0</v>
      </c>
      <c r="W1683" s="13" t="s">
        <v>0</v>
      </c>
      <c r="X1683" s="13" t="s">
        <v>0</v>
      </c>
      <c r="Y1683" s="13" t="s">
        <v>10</v>
      </c>
      <c r="Z1683" s="13" t="s">
        <v>0</v>
      </c>
      <c r="AA1683" s="14"/>
      <c r="AB1683" s="13" t="s">
        <v>0</v>
      </c>
      <c r="AC1683" s="13" t="s">
        <v>0</v>
      </c>
      <c r="AD1683" s="13" t="s">
        <v>0</v>
      </c>
      <c r="AE1683" s="15">
        <v>0</v>
      </c>
    </row>
    <row r="1684" spans="1:31" ht="14.15" customHeight="1" x14ac:dyDescent="0.25">
      <c r="A1684" s="12" t="s">
        <v>0</v>
      </c>
      <c r="B1684" s="13" t="s">
        <v>1</v>
      </c>
      <c r="C1684" s="13" t="s">
        <v>2047</v>
      </c>
      <c r="D1684" s="14">
        <v>44197</v>
      </c>
      <c r="E1684" s="14">
        <v>44197</v>
      </c>
      <c r="F1684" s="14">
        <v>44203</v>
      </c>
      <c r="G1684" s="13" t="s">
        <v>3</v>
      </c>
      <c r="H1684" s="13" t="s">
        <v>4</v>
      </c>
      <c r="I1684" s="15">
        <v>-9225.52</v>
      </c>
      <c r="J1684" s="13" t="s">
        <v>5</v>
      </c>
      <c r="K1684" s="13" t="s">
        <v>6</v>
      </c>
      <c r="L1684" s="15">
        <v>-774482.4</v>
      </c>
      <c r="M1684" s="15">
        <v>-9225.52</v>
      </c>
      <c r="N1684" s="16" t="str">
        <f>IF(M1684="","",IF(M1684&lt;0,-M1684&amp;"_"&amp;COUNTIF(M$2:M1684,M1684),M1684&amp;"_"&amp;COUNTIF(M$2:M1684,M1684)))</f>
        <v>9225.52_1</v>
      </c>
      <c r="O1684" s="17" t="str">
        <f t="shared" si="26"/>
        <v/>
      </c>
      <c r="P1684" s="13" t="s">
        <v>2048</v>
      </c>
      <c r="Q1684" s="13" t="s">
        <v>2034</v>
      </c>
      <c r="R1684" s="13" t="s">
        <v>0</v>
      </c>
      <c r="S1684" s="13" t="s">
        <v>0</v>
      </c>
      <c r="T1684" s="13" t="s">
        <v>9</v>
      </c>
      <c r="U1684" s="13" t="s">
        <v>0</v>
      </c>
      <c r="V1684" s="13" t="s">
        <v>0</v>
      </c>
      <c r="W1684" s="13" t="s">
        <v>0</v>
      </c>
      <c r="X1684" s="13" t="s">
        <v>0</v>
      </c>
      <c r="Y1684" s="13" t="s">
        <v>10</v>
      </c>
      <c r="Z1684" s="13" t="s">
        <v>0</v>
      </c>
      <c r="AA1684" s="14"/>
      <c r="AB1684" s="13" t="s">
        <v>0</v>
      </c>
      <c r="AC1684" s="13" t="s">
        <v>0</v>
      </c>
      <c r="AD1684" s="13" t="s">
        <v>0</v>
      </c>
      <c r="AE1684" s="15">
        <v>0</v>
      </c>
    </row>
    <row r="1685" spans="1:31" ht="14.15" customHeight="1" x14ac:dyDescent="0.25">
      <c r="A1685" s="12" t="s">
        <v>0</v>
      </c>
      <c r="B1685" s="13" t="s">
        <v>1</v>
      </c>
      <c r="C1685" s="13" t="s">
        <v>1172</v>
      </c>
      <c r="D1685" s="14">
        <v>44140</v>
      </c>
      <c r="E1685" s="14">
        <v>44140</v>
      </c>
      <c r="F1685" s="14">
        <v>44145</v>
      </c>
      <c r="G1685" s="13" t="s">
        <v>3</v>
      </c>
      <c r="H1685" s="13" t="s">
        <v>4</v>
      </c>
      <c r="I1685" s="15">
        <v>-9202.7999999999993</v>
      </c>
      <c r="J1685" s="13" t="s">
        <v>5</v>
      </c>
      <c r="K1685" s="13" t="s">
        <v>6</v>
      </c>
      <c r="L1685" s="15">
        <v>-772575.06</v>
      </c>
      <c r="M1685" s="15">
        <v>-9202.7999999999993</v>
      </c>
      <c r="N1685" s="16" t="str">
        <f>IF(M1685="","",IF(M1685&lt;0,-M1685&amp;"_"&amp;COUNTIF(M$2:M1685,M1685),M1685&amp;"_"&amp;COUNTIF(M$2:M1685,M1685)))</f>
        <v>9202.8_1</v>
      </c>
      <c r="O1685" s="17" t="str">
        <f t="shared" si="26"/>
        <v/>
      </c>
      <c r="P1685" s="13" t="s">
        <v>1173</v>
      </c>
      <c r="Q1685" s="13" t="s">
        <v>1165</v>
      </c>
      <c r="R1685" s="13" t="s">
        <v>0</v>
      </c>
      <c r="S1685" s="13" t="s">
        <v>0</v>
      </c>
      <c r="T1685" s="13" t="s">
        <v>9</v>
      </c>
      <c r="U1685" s="13" t="s">
        <v>0</v>
      </c>
      <c r="V1685" s="13" t="s">
        <v>0</v>
      </c>
      <c r="W1685" s="13" t="s">
        <v>0</v>
      </c>
      <c r="X1685" s="13" t="s">
        <v>0</v>
      </c>
      <c r="Y1685" s="13" t="s">
        <v>10</v>
      </c>
      <c r="Z1685" s="13" t="s">
        <v>0</v>
      </c>
      <c r="AA1685" s="14"/>
      <c r="AB1685" s="13" t="s">
        <v>0</v>
      </c>
      <c r="AC1685" s="13" t="s">
        <v>0</v>
      </c>
      <c r="AD1685" s="13" t="s">
        <v>0</v>
      </c>
      <c r="AE1685" s="15">
        <v>0</v>
      </c>
    </row>
    <row r="1686" spans="1:31" ht="14.15" customHeight="1" x14ac:dyDescent="0.25">
      <c r="A1686" s="12" t="s">
        <v>0</v>
      </c>
      <c r="B1686" s="13" t="s">
        <v>1</v>
      </c>
      <c r="C1686" s="13" t="s">
        <v>3529</v>
      </c>
      <c r="D1686" s="14">
        <v>44324</v>
      </c>
      <c r="E1686" s="14">
        <v>44324</v>
      </c>
      <c r="F1686" s="14">
        <v>44333</v>
      </c>
      <c r="G1686" s="13" t="s">
        <v>3</v>
      </c>
      <c r="H1686" s="13" t="s">
        <v>4</v>
      </c>
      <c r="I1686" s="15">
        <v>-9198.33</v>
      </c>
      <c r="J1686" s="13" t="s">
        <v>5</v>
      </c>
      <c r="K1686" s="13" t="s">
        <v>6</v>
      </c>
      <c r="L1686" s="15">
        <v>-772199.81</v>
      </c>
      <c r="M1686" s="15">
        <v>-9198.33</v>
      </c>
      <c r="N1686" s="16" t="str">
        <f>IF(M1686="","",IF(M1686&lt;0,-M1686&amp;"_"&amp;COUNTIF(M$2:M1686,M1686),M1686&amp;"_"&amp;COUNTIF(M$2:M1686,M1686)))</f>
        <v>9198.33_1</v>
      </c>
      <c r="O1686" s="17" t="str">
        <f t="shared" si="26"/>
        <v/>
      </c>
      <c r="P1686" s="13" t="s">
        <v>3530</v>
      </c>
      <c r="Q1686" s="13" t="s">
        <v>3512</v>
      </c>
      <c r="R1686" s="13" t="s">
        <v>0</v>
      </c>
      <c r="S1686" s="13" t="s">
        <v>0</v>
      </c>
      <c r="T1686" s="13" t="s">
        <v>9</v>
      </c>
      <c r="U1686" s="13" t="s">
        <v>0</v>
      </c>
      <c r="V1686" s="13" t="s">
        <v>0</v>
      </c>
      <c r="W1686" s="13" t="s">
        <v>0</v>
      </c>
      <c r="X1686" s="13" t="s">
        <v>0</v>
      </c>
      <c r="Y1686" s="13" t="s">
        <v>10</v>
      </c>
      <c r="Z1686" s="13" t="s">
        <v>0</v>
      </c>
      <c r="AA1686" s="14"/>
      <c r="AB1686" s="13" t="s">
        <v>0</v>
      </c>
      <c r="AC1686" s="13" t="s">
        <v>0</v>
      </c>
      <c r="AD1686" s="13" t="s">
        <v>0</v>
      </c>
      <c r="AE1686" s="15">
        <v>0</v>
      </c>
    </row>
    <row r="1687" spans="1:31" ht="14.15" customHeight="1" x14ac:dyDescent="0.25">
      <c r="A1687" s="12" t="s">
        <v>0</v>
      </c>
      <c r="B1687" s="13" t="s">
        <v>1</v>
      </c>
      <c r="C1687" s="13" t="s">
        <v>1462</v>
      </c>
      <c r="D1687" s="14">
        <v>44159</v>
      </c>
      <c r="E1687" s="14">
        <v>44159</v>
      </c>
      <c r="F1687" s="14">
        <v>44163</v>
      </c>
      <c r="G1687" s="13" t="s">
        <v>3</v>
      </c>
      <c r="H1687" s="13" t="s">
        <v>4</v>
      </c>
      <c r="I1687" s="15">
        <v>-9195.85</v>
      </c>
      <c r="J1687" s="13" t="s">
        <v>5</v>
      </c>
      <c r="K1687" s="13" t="s">
        <v>6</v>
      </c>
      <c r="L1687" s="15">
        <v>-771991.61</v>
      </c>
      <c r="M1687" s="15">
        <v>-9195.85</v>
      </c>
      <c r="N1687" s="16" t="str">
        <f>IF(M1687="","",IF(M1687&lt;0,-M1687&amp;"_"&amp;COUNTIF(M$2:M1687,M1687),M1687&amp;"_"&amp;COUNTIF(M$2:M1687,M1687)))</f>
        <v>9195.85_1</v>
      </c>
      <c r="O1687" s="17" t="str">
        <f t="shared" si="26"/>
        <v/>
      </c>
      <c r="P1687" s="13" t="s">
        <v>1463</v>
      </c>
      <c r="Q1687" s="13" t="s">
        <v>1455</v>
      </c>
      <c r="R1687" s="13" t="s">
        <v>0</v>
      </c>
      <c r="S1687" s="13" t="s">
        <v>0</v>
      </c>
      <c r="T1687" s="13" t="s">
        <v>9</v>
      </c>
      <c r="U1687" s="13" t="s">
        <v>0</v>
      </c>
      <c r="V1687" s="13" t="s">
        <v>0</v>
      </c>
      <c r="W1687" s="13" t="s">
        <v>0</v>
      </c>
      <c r="X1687" s="13" t="s">
        <v>0</v>
      </c>
      <c r="Y1687" s="13" t="s">
        <v>10</v>
      </c>
      <c r="Z1687" s="13" t="s">
        <v>0</v>
      </c>
      <c r="AA1687" s="14"/>
      <c r="AB1687" s="13" t="s">
        <v>0</v>
      </c>
      <c r="AC1687" s="13" t="s">
        <v>0</v>
      </c>
      <c r="AD1687" s="13" t="s">
        <v>0</v>
      </c>
      <c r="AE1687" s="15">
        <v>0</v>
      </c>
    </row>
    <row r="1688" spans="1:31" ht="14.15" customHeight="1" x14ac:dyDescent="0.25">
      <c r="A1688" s="12" t="s">
        <v>0</v>
      </c>
      <c r="B1688" s="13" t="s">
        <v>1</v>
      </c>
      <c r="C1688" s="13" t="s">
        <v>13</v>
      </c>
      <c r="D1688" s="14">
        <v>44014</v>
      </c>
      <c r="E1688" s="14">
        <v>44014</v>
      </c>
      <c r="F1688" s="14">
        <v>44028</v>
      </c>
      <c r="G1688" s="13" t="s">
        <v>3</v>
      </c>
      <c r="H1688" s="13" t="s">
        <v>4</v>
      </c>
      <c r="I1688" s="15">
        <v>-9193.58</v>
      </c>
      <c r="J1688" s="13" t="s">
        <v>5</v>
      </c>
      <c r="K1688" s="13" t="s">
        <v>6</v>
      </c>
      <c r="L1688" s="15">
        <v>-771801.04</v>
      </c>
      <c r="M1688" s="15">
        <v>-9193.58</v>
      </c>
      <c r="N1688" s="16" t="str">
        <f>IF(M1688="","",IF(M1688&lt;0,-M1688&amp;"_"&amp;COUNTIF(M$2:M1688,M1688),M1688&amp;"_"&amp;COUNTIF(M$2:M1688,M1688)))</f>
        <v>9193.58_1</v>
      </c>
      <c r="O1688" s="17" t="str">
        <f t="shared" si="26"/>
        <v/>
      </c>
      <c r="P1688" s="13" t="s">
        <v>14</v>
      </c>
      <c r="Q1688" s="13" t="s">
        <v>8</v>
      </c>
      <c r="R1688" s="13" t="s">
        <v>0</v>
      </c>
      <c r="S1688" s="13" t="s">
        <v>0</v>
      </c>
      <c r="T1688" s="13" t="s">
        <v>9</v>
      </c>
      <c r="U1688" s="13" t="s">
        <v>0</v>
      </c>
      <c r="V1688" s="13" t="s">
        <v>0</v>
      </c>
      <c r="W1688" s="13" t="s">
        <v>0</v>
      </c>
      <c r="X1688" s="13" t="s">
        <v>0</v>
      </c>
      <c r="Y1688" s="13" t="s">
        <v>10</v>
      </c>
      <c r="Z1688" s="13" t="s">
        <v>0</v>
      </c>
      <c r="AA1688" s="14"/>
      <c r="AB1688" s="13" t="s">
        <v>0</v>
      </c>
      <c r="AC1688" s="13" t="s">
        <v>0</v>
      </c>
      <c r="AD1688" s="13" t="s">
        <v>0</v>
      </c>
      <c r="AE1688" s="15">
        <v>0</v>
      </c>
    </row>
    <row r="1689" spans="1:31" ht="14.15" customHeight="1" x14ac:dyDescent="0.25">
      <c r="A1689" s="12" t="s">
        <v>0</v>
      </c>
      <c r="B1689" s="13" t="s">
        <v>1</v>
      </c>
      <c r="C1689" s="13" t="s">
        <v>4223</v>
      </c>
      <c r="D1689" s="14">
        <v>44366</v>
      </c>
      <c r="E1689" s="14">
        <v>44366</v>
      </c>
      <c r="F1689" s="14">
        <v>44384</v>
      </c>
      <c r="G1689" s="13" t="s">
        <v>3</v>
      </c>
      <c r="H1689" s="13" t="s">
        <v>4</v>
      </c>
      <c r="I1689" s="15">
        <v>-9176.39</v>
      </c>
      <c r="J1689" s="13" t="s">
        <v>5</v>
      </c>
      <c r="K1689" s="13" t="s">
        <v>6</v>
      </c>
      <c r="L1689" s="15">
        <v>-770357.94</v>
      </c>
      <c r="M1689" s="15">
        <v>-9176.39</v>
      </c>
      <c r="N1689" s="16" t="str">
        <f>IF(M1689="","",IF(M1689&lt;0,-M1689&amp;"_"&amp;COUNTIF(M$2:M1689,M1689),M1689&amp;"_"&amp;COUNTIF(M$2:M1689,M1689)))</f>
        <v>9176.39_1</v>
      </c>
      <c r="O1689" s="17" t="str">
        <f t="shared" si="26"/>
        <v/>
      </c>
      <c r="P1689" s="13" t="s">
        <v>4224</v>
      </c>
      <c r="Q1689" s="13" t="s">
        <v>4216</v>
      </c>
      <c r="R1689" s="13" t="s">
        <v>0</v>
      </c>
      <c r="S1689" s="13" t="s">
        <v>0</v>
      </c>
      <c r="T1689" s="13" t="s">
        <v>9</v>
      </c>
      <c r="U1689" s="13" t="s">
        <v>0</v>
      </c>
      <c r="V1689" s="13" t="s">
        <v>0</v>
      </c>
      <c r="W1689" s="13" t="s">
        <v>0</v>
      </c>
      <c r="X1689" s="13" t="s">
        <v>0</v>
      </c>
      <c r="Y1689" s="13" t="s">
        <v>10</v>
      </c>
      <c r="Z1689" s="13" t="s">
        <v>0</v>
      </c>
      <c r="AA1689" s="14"/>
      <c r="AB1689" s="13" t="s">
        <v>0</v>
      </c>
      <c r="AC1689" s="13" t="s">
        <v>0</v>
      </c>
      <c r="AD1689" s="13" t="s">
        <v>0</v>
      </c>
      <c r="AE1689" s="15">
        <v>0</v>
      </c>
    </row>
    <row r="1690" spans="1:31" ht="14.15" customHeight="1" x14ac:dyDescent="0.25">
      <c r="A1690" s="12" t="s">
        <v>0</v>
      </c>
      <c r="B1690" s="13" t="s">
        <v>1</v>
      </c>
      <c r="C1690" s="13" t="s">
        <v>1307</v>
      </c>
      <c r="D1690" s="14">
        <v>44146</v>
      </c>
      <c r="E1690" s="14">
        <v>44146</v>
      </c>
      <c r="F1690" s="14">
        <v>44174</v>
      </c>
      <c r="G1690" s="13" t="s">
        <v>3</v>
      </c>
      <c r="H1690" s="13" t="s">
        <v>4</v>
      </c>
      <c r="I1690" s="15">
        <v>-9175.66</v>
      </c>
      <c r="J1690" s="13" t="s">
        <v>5</v>
      </c>
      <c r="K1690" s="13" t="s">
        <v>6</v>
      </c>
      <c r="L1690" s="15">
        <v>-770296.66</v>
      </c>
      <c r="M1690" s="15">
        <v>-9175.66</v>
      </c>
      <c r="N1690" s="16" t="str">
        <f>IF(M1690="","",IF(M1690&lt;0,-M1690&amp;"_"&amp;COUNTIF(M$2:M1690,M1690),M1690&amp;"_"&amp;COUNTIF(M$2:M1690,M1690)))</f>
        <v>9175.66_1</v>
      </c>
      <c r="O1690" s="17" t="str">
        <f t="shared" si="26"/>
        <v/>
      </c>
      <c r="P1690" s="13" t="s">
        <v>1308</v>
      </c>
      <c r="Q1690" s="13" t="s">
        <v>1282</v>
      </c>
      <c r="R1690" s="13" t="s">
        <v>0</v>
      </c>
      <c r="S1690" s="13" t="s">
        <v>0</v>
      </c>
      <c r="T1690" s="13" t="s">
        <v>9</v>
      </c>
      <c r="U1690" s="13" t="s">
        <v>0</v>
      </c>
      <c r="V1690" s="13" t="s">
        <v>0</v>
      </c>
      <c r="W1690" s="13" t="s">
        <v>0</v>
      </c>
      <c r="X1690" s="13" t="s">
        <v>0</v>
      </c>
      <c r="Y1690" s="13" t="s">
        <v>10</v>
      </c>
      <c r="Z1690" s="13" t="s">
        <v>0</v>
      </c>
      <c r="AA1690" s="14"/>
      <c r="AB1690" s="13" t="s">
        <v>0</v>
      </c>
      <c r="AC1690" s="13" t="s">
        <v>0</v>
      </c>
      <c r="AD1690" s="13" t="s">
        <v>0</v>
      </c>
      <c r="AE1690" s="15">
        <v>0</v>
      </c>
    </row>
    <row r="1691" spans="1:31" ht="14.15" customHeight="1" x14ac:dyDescent="0.25">
      <c r="A1691" s="12" t="s">
        <v>0</v>
      </c>
      <c r="B1691" s="13" t="s">
        <v>1</v>
      </c>
      <c r="C1691" s="13" t="s">
        <v>3036</v>
      </c>
      <c r="D1691" s="14">
        <v>44282</v>
      </c>
      <c r="E1691" s="14">
        <v>44282</v>
      </c>
      <c r="F1691" s="14">
        <v>44287</v>
      </c>
      <c r="G1691" s="13" t="s">
        <v>3</v>
      </c>
      <c r="H1691" s="13" t="s">
        <v>4</v>
      </c>
      <c r="I1691" s="15">
        <v>-9139.68</v>
      </c>
      <c r="J1691" s="13" t="s">
        <v>5</v>
      </c>
      <c r="K1691" s="13" t="s">
        <v>6</v>
      </c>
      <c r="L1691" s="15">
        <v>-767276.14</v>
      </c>
      <c r="M1691" s="15">
        <v>-9139.68</v>
      </c>
      <c r="N1691" s="16" t="str">
        <f>IF(M1691="","",IF(M1691&lt;0,-M1691&amp;"_"&amp;COUNTIF(M$2:M1691,M1691),M1691&amp;"_"&amp;COUNTIF(M$2:M1691,M1691)))</f>
        <v>9139.68_1</v>
      </c>
      <c r="O1691" s="17" t="str">
        <f t="shared" si="26"/>
        <v/>
      </c>
      <c r="P1691" s="13" t="s">
        <v>3037</v>
      </c>
      <c r="Q1691" s="13" t="s">
        <v>3035</v>
      </c>
      <c r="R1691" s="13" t="s">
        <v>0</v>
      </c>
      <c r="S1691" s="13" t="s">
        <v>0</v>
      </c>
      <c r="T1691" s="13" t="s">
        <v>9</v>
      </c>
      <c r="U1691" s="13" t="s">
        <v>0</v>
      </c>
      <c r="V1691" s="13" t="s">
        <v>0</v>
      </c>
      <c r="W1691" s="13" t="s">
        <v>0</v>
      </c>
      <c r="X1691" s="13" t="s">
        <v>0</v>
      </c>
      <c r="Y1691" s="13" t="s">
        <v>10</v>
      </c>
      <c r="Z1691" s="13" t="s">
        <v>0</v>
      </c>
      <c r="AA1691" s="14"/>
      <c r="AB1691" s="13" t="s">
        <v>0</v>
      </c>
      <c r="AC1691" s="13" t="s">
        <v>0</v>
      </c>
      <c r="AD1691" s="13" t="s">
        <v>0</v>
      </c>
      <c r="AE1691" s="15">
        <v>0</v>
      </c>
    </row>
    <row r="1692" spans="1:31" ht="14.15" customHeight="1" x14ac:dyDescent="0.25">
      <c r="A1692" s="12" t="s">
        <v>0</v>
      </c>
      <c r="B1692" s="13" t="s">
        <v>1</v>
      </c>
      <c r="C1692" s="13" t="s">
        <v>1058</v>
      </c>
      <c r="D1692" s="14">
        <v>44132</v>
      </c>
      <c r="E1692" s="14">
        <v>44132</v>
      </c>
      <c r="F1692" s="14">
        <v>44137</v>
      </c>
      <c r="G1692" s="13" t="s">
        <v>3</v>
      </c>
      <c r="H1692" s="13" t="s">
        <v>4</v>
      </c>
      <c r="I1692" s="15">
        <v>-9126.66</v>
      </c>
      <c r="J1692" s="13" t="s">
        <v>5</v>
      </c>
      <c r="K1692" s="13" t="s">
        <v>6</v>
      </c>
      <c r="L1692" s="15">
        <v>-766183.11</v>
      </c>
      <c r="M1692" s="15">
        <v>-9126.66</v>
      </c>
      <c r="N1692" s="16" t="str">
        <f>IF(M1692="","",IF(M1692&lt;0,-M1692&amp;"_"&amp;COUNTIF(M$2:M1692,M1692),M1692&amp;"_"&amp;COUNTIF(M$2:M1692,M1692)))</f>
        <v>9126.66_1</v>
      </c>
      <c r="O1692" s="17" t="str">
        <f t="shared" si="26"/>
        <v/>
      </c>
      <c r="P1692" s="13" t="s">
        <v>1059</v>
      </c>
      <c r="Q1692" s="13" t="s">
        <v>1060</v>
      </c>
      <c r="R1692" s="13" t="s">
        <v>0</v>
      </c>
      <c r="S1692" s="13" t="s">
        <v>0</v>
      </c>
      <c r="T1692" s="13" t="s">
        <v>9</v>
      </c>
      <c r="U1692" s="13" t="s">
        <v>0</v>
      </c>
      <c r="V1692" s="13" t="s">
        <v>0</v>
      </c>
      <c r="W1692" s="13" t="s">
        <v>0</v>
      </c>
      <c r="X1692" s="13" t="s">
        <v>0</v>
      </c>
      <c r="Y1692" s="13" t="s">
        <v>10</v>
      </c>
      <c r="Z1692" s="13" t="s">
        <v>0</v>
      </c>
      <c r="AA1692" s="14"/>
      <c r="AB1692" s="13" t="s">
        <v>0</v>
      </c>
      <c r="AC1692" s="13" t="s">
        <v>0</v>
      </c>
      <c r="AD1692" s="13" t="s">
        <v>0</v>
      </c>
      <c r="AE1692" s="15">
        <v>0</v>
      </c>
    </row>
    <row r="1693" spans="1:31" ht="14.15" customHeight="1" x14ac:dyDescent="0.25">
      <c r="A1693" s="12" t="s">
        <v>0</v>
      </c>
      <c r="B1693" s="13" t="s">
        <v>1</v>
      </c>
      <c r="C1693" s="13" t="s">
        <v>1123</v>
      </c>
      <c r="D1693" s="14">
        <v>44137</v>
      </c>
      <c r="E1693" s="14">
        <v>44137</v>
      </c>
      <c r="F1693" s="14">
        <v>44139</v>
      </c>
      <c r="G1693" s="13" t="s">
        <v>3</v>
      </c>
      <c r="H1693" s="13" t="s">
        <v>4</v>
      </c>
      <c r="I1693" s="15">
        <v>-9099.85</v>
      </c>
      <c r="J1693" s="13" t="s">
        <v>5</v>
      </c>
      <c r="K1693" s="13" t="s">
        <v>6</v>
      </c>
      <c r="L1693" s="15">
        <v>-763932.41</v>
      </c>
      <c r="M1693" s="15">
        <v>-9099.85</v>
      </c>
      <c r="N1693" s="16" t="str">
        <f>IF(M1693="","",IF(M1693&lt;0,-M1693&amp;"_"&amp;COUNTIF(M$2:M1693,M1693),M1693&amp;"_"&amp;COUNTIF(M$2:M1693,M1693)))</f>
        <v>9099.85_1</v>
      </c>
      <c r="O1693" s="17" t="str">
        <f t="shared" si="26"/>
        <v/>
      </c>
      <c r="P1693" s="13" t="s">
        <v>1124</v>
      </c>
      <c r="Q1693" s="13" t="s">
        <v>1120</v>
      </c>
      <c r="R1693" s="13" t="s">
        <v>0</v>
      </c>
      <c r="S1693" s="13" t="s">
        <v>0</v>
      </c>
      <c r="T1693" s="13" t="s">
        <v>9</v>
      </c>
      <c r="U1693" s="13" t="s">
        <v>0</v>
      </c>
      <c r="V1693" s="13" t="s">
        <v>0</v>
      </c>
      <c r="W1693" s="13" t="s">
        <v>0</v>
      </c>
      <c r="X1693" s="13" t="s">
        <v>0</v>
      </c>
      <c r="Y1693" s="13" t="s">
        <v>10</v>
      </c>
      <c r="Z1693" s="13" t="s">
        <v>0</v>
      </c>
      <c r="AA1693" s="14"/>
      <c r="AB1693" s="13" t="s">
        <v>0</v>
      </c>
      <c r="AC1693" s="13" t="s">
        <v>0</v>
      </c>
      <c r="AD1693" s="13" t="s">
        <v>0</v>
      </c>
      <c r="AE1693" s="15">
        <v>0</v>
      </c>
    </row>
    <row r="1694" spans="1:31" ht="14.15" customHeight="1" x14ac:dyDescent="0.25">
      <c r="A1694" s="12" t="s">
        <v>0</v>
      </c>
      <c r="B1694" s="13" t="s">
        <v>1</v>
      </c>
      <c r="C1694" s="13" t="s">
        <v>978</v>
      </c>
      <c r="D1694" s="14">
        <v>44125</v>
      </c>
      <c r="E1694" s="14">
        <v>44125</v>
      </c>
      <c r="F1694" s="14">
        <v>44132</v>
      </c>
      <c r="G1694" s="13" t="s">
        <v>3</v>
      </c>
      <c r="H1694" s="13" t="s">
        <v>4</v>
      </c>
      <c r="I1694" s="15">
        <v>-9076.99</v>
      </c>
      <c r="J1694" s="13" t="s">
        <v>5</v>
      </c>
      <c r="K1694" s="13" t="s">
        <v>6</v>
      </c>
      <c r="L1694" s="15">
        <v>-762013.31</v>
      </c>
      <c r="M1694" s="15">
        <v>-9076.99</v>
      </c>
      <c r="N1694" s="16" t="str">
        <f>IF(M1694="","",IF(M1694&lt;0,-M1694&amp;"_"&amp;COUNTIF(M$2:M1694,M1694),M1694&amp;"_"&amp;COUNTIF(M$2:M1694,M1694)))</f>
        <v>9076.99_1</v>
      </c>
      <c r="O1694" s="17" t="str">
        <f t="shared" si="26"/>
        <v/>
      </c>
      <c r="P1694" s="13" t="s">
        <v>979</v>
      </c>
      <c r="Q1694" s="13" t="s">
        <v>977</v>
      </c>
      <c r="R1694" s="13" t="s">
        <v>0</v>
      </c>
      <c r="S1694" s="13" t="s">
        <v>0</v>
      </c>
      <c r="T1694" s="13" t="s">
        <v>9</v>
      </c>
      <c r="U1694" s="13" t="s">
        <v>0</v>
      </c>
      <c r="V1694" s="13" t="s">
        <v>0</v>
      </c>
      <c r="W1694" s="13" t="s">
        <v>0</v>
      </c>
      <c r="X1694" s="13" t="s">
        <v>0</v>
      </c>
      <c r="Y1694" s="13" t="s">
        <v>10</v>
      </c>
      <c r="Z1694" s="13" t="s">
        <v>0</v>
      </c>
      <c r="AA1694" s="14"/>
      <c r="AB1694" s="13" t="s">
        <v>0</v>
      </c>
      <c r="AC1694" s="13" t="s">
        <v>0</v>
      </c>
      <c r="AD1694" s="13" t="s">
        <v>0</v>
      </c>
      <c r="AE1694" s="15">
        <v>0</v>
      </c>
    </row>
    <row r="1695" spans="1:31" ht="14.15" customHeight="1" x14ac:dyDescent="0.25">
      <c r="A1695" s="12" t="s">
        <v>0</v>
      </c>
      <c r="B1695" s="13" t="s">
        <v>1</v>
      </c>
      <c r="C1695" s="13" t="s">
        <v>1606</v>
      </c>
      <c r="D1695" s="14">
        <v>44168</v>
      </c>
      <c r="E1695" s="14">
        <v>44168</v>
      </c>
      <c r="F1695" s="14">
        <v>44174</v>
      </c>
      <c r="G1695" s="13" t="s">
        <v>3</v>
      </c>
      <c r="H1695" s="13" t="s">
        <v>4</v>
      </c>
      <c r="I1695" s="15">
        <v>-9074.3799999999992</v>
      </c>
      <c r="J1695" s="13" t="s">
        <v>5</v>
      </c>
      <c r="K1695" s="13" t="s">
        <v>6</v>
      </c>
      <c r="L1695" s="15">
        <v>-761794.2</v>
      </c>
      <c r="M1695" s="15">
        <v>-9074.3799999999992</v>
      </c>
      <c r="N1695" s="16" t="str">
        <f>IF(M1695="","",IF(M1695&lt;0,-M1695&amp;"_"&amp;COUNTIF(M$2:M1695,M1695),M1695&amp;"_"&amp;COUNTIF(M$2:M1695,M1695)))</f>
        <v>9074.38_1</v>
      </c>
      <c r="O1695" s="17" t="str">
        <f t="shared" si="26"/>
        <v/>
      </c>
      <c r="P1695" s="13" t="s">
        <v>1607</v>
      </c>
      <c r="Q1695" s="13" t="s">
        <v>1605</v>
      </c>
      <c r="R1695" s="13" t="s">
        <v>0</v>
      </c>
      <c r="S1695" s="13" t="s">
        <v>0</v>
      </c>
      <c r="T1695" s="13" t="s">
        <v>9</v>
      </c>
      <c r="U1695" s="13" t="s">
        <v>0</v>
      </c>
      <c r="V1695" s="13" t="s">
        <v>0</v>
      </c>
      <c r="W1695" s="13" t="s">
        <v>0</v>
      </c>
      <c r="X1695" s="13" t="s">
        <v>0</v>
      </c>
      <c r="Y1695" s="13" t="s">
        <v>10</v>
      </c>
      <c r="Z1695" s="13" t="s">
        <v>0</v>
      </c>
      <c r="AA1695" s="14"/>
      <c r="AB1695" s="13" t="s">
        <v>0</v>
      </c>
      <c r="AC1695" s="13" t="s">
        <v>0</v>
      </c>
      <c r="AD1695" s="13" t="s">
        <v>0</v>
      </c>
      <c r="AE1695" s="15">
        <v>0</v>
      </c>
    </row>
    <row r="1696" spans="1:31" ht="14.15" customHeight="1" x14ac:dyDescent="0.25">
      <c r="A1696" s="12" t="s">
        <v>0</v>
      </c>
      <c r="B1696" s="13" t="s">
        <v>1</v>
      </c>
      <c r="C1696" s="13" t="s">
        <v>1072</v>
      </c>
      <c r="D1696" s="14">
        <v>44133</v>
      </c>
      <c r="E1696" s="14">
        <v>44133</v>
      </c>
      <c r="F1696" s="14">
        <v>44142</v>
      </c>
      <c r="G1696" s="13" t="s">
        <v>3</v>
      </c>
      <c r="H1696" s="13" t="s">
        <v>4</v>
      </c>
      <c r="I1696" s="15">
        <v>-9050.81</v>
      </c>
      <c r="J1696" s="13" t="s">
        <v>5</v>
      </c>
      <c r="K1696" s="13" t="s">
        <v>6</v>
      </c>
      <c r="L1696" s="15">
        <v>-759815.5</v>
      </c>
      <c r="M1696" s="15">
        <v>-9050.81</v>
      </c>
      <c r="N1696" s="16" t="str">
        <f>IF(M1696="","",IF(M1696&lt;0,-M1696&amp;"_"&amp;COUNTIF(M$2:M1696,M1696),M1696&amp;"_"&amp;COUNTIF(M$2:M1696,M1696)))</f>
        <v>9050.81_1</v>
      </c>
      <c r="O1696" s="17" t="str">
        <f t="shared" si="26"/>
        <v/>
      </c>
      <c r="P1696" s="13" t="s">
        <v>1073</v>
      </c>
      <c r="Q1696" s="13" t="s">
        <v>1065</v>
      </c>
      <c r="R1696" s="13" t="s">
        <v>0</v>
      </c>
      <c r="S1696" s="13" t="s">
        <v>0</v>
      </c>
      <c r="T1696" s="13" t="s">
        <v>9</v>
      </c>
      <c r="U1696" s="13" t="s">
        <v>0</v>
      </c>
      <c r="V1696" s="13" t="s">
        <v>0</v>
      </c>
      <c r="W1696" s="13" t="s">
        <v>0</v>
      </c>
      <c r="X1696" s="13" t="s">
        <v>0</v>
      </c>
      <c r="Y1696" s="13" t="s">
        <v>10</v>
      </c>
      <c r="Z1696" s="13" t="s">
        <v>0</v>
      </c>
      <c r="AA1696" s="14"/>
      <c r="AB1696" s="13" t="s">
        <v>0</v>
      </c>
      <c r="AC1696" s="13" t="s">
        <v>0</v>
      </c>
      <c r="AD1696" s="13" t="s">
        <v>0</v>
      </c>
      <c r="AE1696" s="15">
        <v>0</v>
      </c>
    </row>
    <row r="1697" spans="1:31" ht="14.15" customHeight="1" x14ac:dyDescent="0.25">
      <c r="A1697" s="12" t="s">
        <v>0</v>
      </c>
      <c r="B1697" s="13" t="s">
        <v>1</v>
      </c>
      <c r="C1697" s="13" t="s">
        <v>2567</v>
      </c>
      <c r="D1697" s="14">
        <v>44242</v>
      </c>
      <c r="E1697" s="14">
        <v>44242</v>
      </c>
      <c r="F1697" s="14">
        <v>44249</v>
      </c>
      <c r="G1697" s="13" t="s">
        <v>3</v>
      </c>
      <c r="H1697" s="13" t="s">
        <v>4</v>
      </c>
      <c r="I1697" s="15">
        <v>-9013.39</v>
      </c>
      <c r="J1697" s="13" t="s">
        <v>5</v>
      </c>
      <c r="K1697" s="13" t="s">
        <v>6</v>
      </c>
      <c r="L1697" s="15">
        <v>-756674.09</v>
      </c>
      <c r="M1697" s="15">
        <v>-9013.39</v>
      </c>
      <c r="N1697" s="16" t="str">
        <f>IF(M1697="","",IF(M1697&lt;0,-M1697&amp;"_"&amp;COUNTIF(M$2:M1697,M1697),M1697&amp;"_"&amp;COUNTIF(M$2:M1697,M1697)))</f>
        <v>9013.39_1</v>
      </c>
      <c r="O1697" s="17" t="str">
        <f t="shared" si="26"/>
        <v/>
      </c>
      <c r="P1697" s="13" t="s">
        <v>2568</v>
      </c>
      <c r="Q1697" s="13" t="s">
        <v>2569</v>
      </c>
      <c r="R1697" s="13" t="s">
        <v>0</v>
      </c>
      <c r="S1697" s="13" t="s">
        <v>0</v>
      </c>
      <c r="T1697" s="13" t="s">
        <v>9</v>
      </c>
      <c r="U1697" s="13" t="s">
        <v>0</v>
      </c>
      <c r="V1697" s="13" t="s">
        <v>0</v>
      </c>
      <c r="W1697" s="13" t="s">
        <v>0</v>
      </c>
      <c r="X1697" s="13" t="s">
        <v>0</v>
      </c>
      <c r="Y1697" s="13" t="s">
        <v>10</v>
      </c>
      <c r="Z1697" s="13" t="s">
        <v>0</v>
      </c>
      <c r="AA1697" s="14"/>
      <c r="AB1697" s="13" t="s">
        <v>0</v>
      </c>
      <c r="AC1697" s="13" t="s">
        <v>0</v>
      </c>
      <c r="AD1697" s="13" t="s">
        <v>0</v>
      </c>
      <c r="AE1697" s="15">
        <v>0</v>
      </c>
    </row>
    <row r="1698" spans="1:31" ht="14.15" customHeight="1" x14ac:dyDescent="0.25">
      <c r="A1698" s="12" t="s">
        <v>0</v>
      </c>
      <c r="B1698" s="13" t="s">
        <v>1</v>
      </c>
      <c r="C1698" s="13" t="s">
        <v>2941</v>
      </c>
      <c r="D1698" s="14">
        <v>44276</v>
      </c>
      <c r="E1698" s="14">
        <v>44276</v>
      </c>
      <c r="F1698" s="14">
        <v>44286</v>
      </c>
      <c r="G1698" s="13" t="s">
        <v>3</v>
      </c>
      <c r="H1698" s="13" t="s">
        <v>4</v>
      </c>
      <c r="I1698" s="15">
        <v>-9012.56</v>
      </c>
      <c r="J1698" s="13" t="s">
        <v>5</v>
      </c>
      <c r="K1698" s="13" t="s">
        <v>6</v>
      </c>
      <c r="L1698" s="15">
        <v>-756604.41</v>
      </c>
      <c r="M1698" s="15">
        <v>-9012.56</v>
      </c>
      <c r="N1698" s="16" t="str">
        <f>IF(M1698="","",IF(M1698&lt;0,-M1698&amp;"_"&amp;COUNTIF(M$2:M1698,M1698),M1698&amp;"_"&amp;COUNTIF(M$2:M1698,M1698)))</f>
        <v>9012.56_1</v>
      </c>
      <c r="O1698" s="17" t="str">
        <f t="shared" si="26"/>
        <v/>
      </c>
      <c r="P1698" s="13" t="s">
        <v>2942</v>
      </c>
      <c r="Q1698" s="13" t="s">
        <v>2922</v>
      </c>
      <c r="R1698" s="13" t="s">
        <v>0</v>
      </c>
      <c r="S1698" s="13" t="s">
        <v>0</v>
      </c>
      <c r="T1698" s="13" t="s">
        <v>9</v>
      </c>
      <c r="U1698" s="13" t="s">
        <v>0</v>
      </c>
      <c r="V1698" s="13" t="s">
        <v>0</v>
      </c>
      <c r="W1698" s="13" t="s">
        <v>0</v>
      </c>
      <c r="X1698" s="13" t="s">
        <v>0</v>
      </c>
      <c r="Y1698" s="13" t="s">
        <v>10</v>
      </c>
      <c r="Z1698" s="13" t="s">
        <v>0</v>
      </c>
      <c r="AA1698" s="14"/>
      <c r="AB1698" s="13" t="s">
        <v>0</v>
      </c>
      <c r="AC1698" s="13" t="s">
        <v>0</v>
      </c>
      <c r="AD1698" s="13" t="s">
        <v>0</v>
      </c>
      <c r="AE1698" s="15">
        <v>0</v>
      </c>
    </row>
    <row r="1699" spans="1:31" ht="14.15" customHeight="1" x14ac:dyDescent="0.25">
      <c r="A1699" s="12" t="s">
        <v>0</v>
      </c>
      <c r="B1699" s="13" t="s">
        <v>1</v>
      </c>
      <c r="C1699" s="13" t="s">
        <v>2049</v>
      </c>
      <c r="D1699" s="14">
        <v>44198</v>
      </c>
      <c r="E1699" s="14">
        <v>44198</v>
      </c>
      <c r="F1699" s="14">
        <v>44201</v>
      </c>
      <c r="G1699" s="13" t="s">
        <v>3</v>
      </c>
      <c r="H1699" s="13" t="s">
        <v>4</v>
      </c>
      <c r="I1699" s="15">
        <v>-9008.11</v>
      </c>
      <c r="J1699" s="13" t="s">
        <v>5</v>
      </c>
      <c r="K1699" s="13" t="s">
        <v>6</v>
      </c>
      <c r="L1699" s="15">
        <v>-756230.84</v>
      </c>
      <c r="M1699" s="15">
        <v>-9008.11</v>
      </c>
      <c r="N1699" s="16" t="str">
        <f>IF(M1699="","",IF(M1699&lt;0,-M1699&amp;"_"&amp;COUNTIF(M$2:M1699,M1699),M1699&amp;"_"&amp;COUNTIF(M$2:M1699,M1699)))</f>
        <v>9008.11_1</v>
      </c>
      <c r="O1699" s="17" t="str">
        <f t="shared" si="26"/>
        <v/>
      </c>
      <c r="P1699" s="13" t="s">
        <v>2050</v>
      </c>
      <c r="Q1699" s="13" t="s">
        <v>2051</v>
      </c>
      <c r="R1699" s="13" t="s">
        <v>0</v>
      </c>
      <c r="S1699" s="13" t="s">
        <v>0</v>
      </c>
      <c r="T1699" s="13" t="s">
        <v>9</v>
      </c>
      <c r="U1699" s="13" t="s">
        <v>0</v>
      </c>
      <c r="V1699" s="13" t="s">
        <v>0</v>
      </c>
      <c r="W1699" s="13" t="s">
        <v>0</v>
      </c>
      <c r="X1699" s="13" t="s">
        <v>0</v>
      </c>
      <c r="Y1699" s="13" t="s">
        <v>10</v>
      </c>
      <c r="Z1699" s="13" t="s">
        <v>0</v>
      </c>
      <c r="AA1699" s="14"/>
      <c r="AB1699" s="13" t="s">
        <v>0</v>
      </c>
      <c r="AC1699" s="13" t="s">
        <v>0</v>
      </c>
      <c r="AD1699" s="13" t="s">
        <v>0</v>
      </c>
      <c r="AE1699" s="15">
        <v>0</v>
      </c>
    </row>
    <row r="1700" spans="1:31" ht="14.15" customHeight="1" x14ac:dyDescent="0.25">
      <c r="A1700" s="12" t="s">
        <v>0</v>
      </c>
      <c r="B1700" s="13" t="s">
        <v>1</v>
      </c>
      <c r="C1700" s="13" t="s">
        <v>3285</v>
      </c>
      <c r="D1700" s="14">
        <v>44314</v>
      </c>
      <c r="E1700" s="14">
        <v>44314</v>
      </c>
      <c r="F1700" s="14">
        <v>44319</v>
      </c>
      <c r="G1700" s="13" t="s">
        <v>3</v>
      </c>
      <c r="H1700" s="13" t="s">
        <v>4</v>
      </c>
      <c r="I1700" s="15">
        <v>-8993.07</v>
      </c>
      <c r="J1700" s="13" t="s">
        <v>5</v>
      </c>
      <c r="K1700" s="13" t="s">
        <v>6</v>
      </c>
      <c r="L1700" s="15">
        <v>-754968.23</v>
      </c>
      <c r="M1700" s="15">
        <v>-8993.07</v>
      </c>
      <c r="N1700" s="16" t="str">
        <f>IF(M1700="","",IF(M1700&lt;0,-M1700&amp;"_"&amp;COUNTIF(M$2:M1700,M1700),M1700&amp;"_"&amp;COUNTIF(M$2:M1700,M1700)))</f>
        <v>8993.07_1</v>
      </c>
      <c r="O1700" s="17" t="str">
        <f t="shared" si="26"/>
        <v/>
      </c>
      <c r="P1700" s="13" t="s">
        <v>3286</v>
      </c>
      <c r="Q1700" s="13" t="s">
        <v>3284</v>
      </c>
      <c r="R1700" s="13" t="s">
        <v>0</v>
      </c>
      <c r="S1700" s="13" t="s">
        <v>0</v>
      </c>
      <c r="T1700" s="13" t="s">
        <v>9</v>
      </c>
      <c r="U1700" s="13" t="s">
        <v>0</v>
      </c>
      <c r="V1700" s="13" t="s">
        <v>0</v>
      </c>
      <c r="W1700" s="13" t="s">
        <v>0</v>
      </c>
      <c r="X1700" s="13" t="s">
        <v>0</v>
      </c>
      <c r="Y1700" s="13" t="s">
        <v>10</v>
      </c>
      <c r="Z1700" s="13" t="s">
        <v>0</v>
      </c>
      <c r="AA1700" s="14"/>
      <c r="AB1700" s="13" t="s">
        <v>0</v>
      </c>
      <c r="AC1700" s="13" t="s">
        <v>0</v>
      </c>
      <c r="AD1700" s="13" t="s">
        <v>0</v>
      </c>
      <c r="AE1700" s="15">
        <v>0</v>
      </c>
    </row>
    <row r="1701" spans="1:31" ht="14.15" customHeight="1" x14ac:dyDescent="0.25">
      <c r="A1701" s="12" t="s">
        <v>0</v>
      </c>
      <c r="B1701" s="13" t="s">
        <v>1</v>
      </c>
      <c r="C1701" s="13" t="s">
        <v>242</v>
      </c>
      <c r="D1701" s="14">
        <v>44040</v>
      </c>
      <c r="E1701" s="14">
        <v>44040</v>
      </c>
      <c r="F1701" s="14">
        <v>44049</v>
      </c>
      <c r="G1701" s="13" t="s">
        <v>3</v>
      </c>
      <c r="H1701" s="13" t="s">
        <v>4</v>
      </c>
      <c r="I1701" s="15">
        <v>-8977.18</v>
      </c>
      <c r="J1701" s="13" t="s">
        <v>5</v>
      </c>
      <c r="K1701" s="13" t="s">
        <v>6</v>
      </c>
      <c r="L1701" s="15">
        <v>-753634.26</v>
      </c>
      <c r="M1701" s="15">
        <v>-8977.18</v>
      </c>
      <c r="N1701" s="16" t="str">
        <f>IF(M1701="","",IF(M1701&lt;0,-M1701&amp;"_"&amp;COUNTIF(M$2:M1701,M1701),M1701&amp;"_"&amp;COUNTIF(M$2:M1701,M1701)))</f>
        <v>8977.18_1</v>
      </c>
      <c r="O1701" s="17" t="str">
        <f t="shared" si="26"/>
        <v/>
      </c>
      <c r="P1701" s="13" t="s">
        <v>243</v>
      </c>
      <c r="Q1701" s="13" t="s">
        <v>241</v>
      </c>
      <c r="R1701" s="13" t="s">
        <v>0</v>
      </c>
      <c r="S1701" s="13" t="s">
        <v>0</v>
      </c>
      <c r="T1701" s="13" t="s">
        <v>9</v>
      </c>
      <c r="U1701" s="13" t="s">
        <v>0</v>
      </c>
      <c r="V1701" s="13" t="s">
        <v>0</v>
      </c>
      <c r="W1701" s="13" t="s">
        <v>0</v>
      </c>
      <c r="X1701" s="13" t="s">
        <v>0</v>
      </c>
      <c r="Y1701" s="13" t="s">
        <v>10</v>
      </c>
      <c r="Z1701" s="13" t="s">
        <v>0</v>
      </c>
      <c r="AA1701" s="14"/>
      <c r="AB1701" s="13" t="s">
        <v>0</v>
      </c>
      <c r="AC1701" s="13" t="s">
        <v>0</v>
      </c>
      <c r="AD1701" s="13" t="s">
        <v>0</v>
      </c>
      <c r="AE1701" s="15">
        <v>0</v>
      </c>
    </row>
    <row r="1702" spans="1:31" ht="14.15" customHeight="1" x14ac:dyDescent="0.25">
      <c r="A1702" s="12" t="s">
        <v>0</v>
      </c>
      <c r="B1702" s="13" t="s">
        <v>1</v>
      </c>
      <c r="C1702" s="13" t="s">
        <v>2806</v>
      </c>
      <c r="D1702" s="14">
        <v>44265</v>
      </c>
      <c r="E1702" s="14">
        <v>44265</v>
      </c>
      <c r="F1702" s="14">
        <v>44272</v>
      </c>
      <c r="G1702" s="13" t="s">
        <v>3</v>
      </c>
      <c r="H1702" s="13" t="s">
        <v>4</v>
      </c>
      <c r="I1702" s="15">
        <v>-8972.91</v>
      </c>
      <c r="J1702" s="13" t="s">
        <v>5</v>
      </c>
      <c r="K1702" s="13" t="s">
        <v>6</v>
      </c>
      <c r="L1702" s="15">
        <v>-753275.79</v>
      </c>
      <c r="M1702" s="15">
        <v>-8972.91</v>
      </c>
      <c r="N1702" s="16" t="str">
        <f>IF(M1702="","",IF(M1702&lt;0,-M1702&amp;"_"&amp;COUNTIF(M$2:M1702,M1702),M1702&amp;"_"&amp;COUNTIF(M$2:M1702,M1702)))</f>
        <v>8972.91_1</v>
      </c>
      <c r="O1702" s="17" t="str">
        <f t="shared" si="26"/>
        <v/>
      </c>
      <c r="P1702" s="13" t="s">
        <v>2807</v>
      </c>
      <c r="Q1702" s="13" t="s">
        <v>2801</v>
      </c>
      <c r="R1702" s="13" t="s">
        <v>0</v>
      </c>
      <c r="S1702" s="13" t="s">
        <v>0</v>
      </c>
      <c r="T1702" s="13" t="s">
        <v>9</v>
      </c>
      <c r="U1702" s="13" t="s">
        <v>0</v>
      </c>
      <c r="V1702" s="13" t="s">
        <v>0</v>
      </c>
      <c r="W1702" s="13" t="s">
        <v>0</v>
      </c>
      <c r="X1702" s="13" t="s">
        <v>0</v>
      </c>
      <c r="Y1702" s="13" t="s">
        <v>10</v>
      </c>
      <c r="Z1702" s="13" t="s">
        <v>0</v>
      </c>
      <c r="AA1702" s="14"/>
      <c r="AB1702" s="13" t="s">
        <v>0</v>
      </c>
      <c r="AC1702" s="13" t="s">
        <v>0</v>
      </c>
      <c r="AD1702" s="13" t="s">
        <v>0</v>
      </c>
      <c r="AE1702" s="15">
        <v>0</v>
      </c>
    </row>
    <row r="1703" spans="1:31" ht="14.15" customHeight="1" x14ac:dyDescent="0.25">
      <c r="A1703" s="12" t="s">
        <v>0</v>
      </c>
      <c r="B1703" s="13" t="s">
        <v>1</v>
      </c>
      <c r="C1703" s="13" t="s">
        <v>2945</v>
      </c>
      <c r="D1703" s="14">
        <v>44276</v>
      </c>
      <c r="E1703" s="14">
        <v>44276</v>
      </c>
      <c r="F1703" s="14">
        <v>44286</v>
      </c>
      <c r="G1703" s="13" t="s">
        <v>3</v>
      </c>
      <c r="H1703" s="13" t="s">
        <v>4</v>
      </c>
      <c r="I1703" s="15">
        <v>-8972.89</v>
      </c>
      <c r="J1703" s="13" t="s">
        <v>5</v>
      </c>
      <c r="K1703" s="13" t="s">
        <v>6</v>
      </c>
      <c r="L1703" s="15">
        <v>-753274.12</v>
      </c>
      <c r="M1703" s="15">
        <v>-8972.89</v>
      </c>
      <c r="N1703" s="16" t="str">
        <f>IF(M1703="","",IF(M1703&lt;0,-M1703&amp;"_"&amp;COUNTIF(M$2:M1703,M1703),M1703&amp;"_"&amp;COUNTIF(M$2:M1703,M1703)))</f>
        <v>8972.89_1</v>
      </c>
      <c r="O1703" s="17" t="str">
        <f t="shared" si="26"/>
        <v/>
      </c>
      <c r="P1703" s="13" t="s">
        <v>2946</v>
      </c>
      <c r="Q1703" s="13" t="s">
        <v>2922</v>
      </c>
      <c r="R1703" s="13" t="s">
        <v>0</v>
      </c>
      <c r="S1703" s="13" t="s">
        <v>0</v>
      </c>
      <c r="T1703" s="13" t="s">
        <v>9</v>
      </c>
      <c r="U1703" s="13" t="s">
        <v>0</v>
      </c>
      <c r="V1703" s="13" t="s">
        <v>0</v>
      </c>
      <c r="W1703" s="13" t="s">
        <v>0</v>
      </c>
      <c r="X1703" s="13" t="s">
        <v>0</v>
      </c>
      <c r="Y1703" s="13" t="s">
        <v>10</v>
      </c>
      <c r="Z1703" s="13" t="s">
        <v>0</v>
      </c>
      <c r="AA1703" s="14"/>
      <c r="AB1703" s="13" t="s">
        <v>0</v>
      </c>
      <c r="AC1703" s="13" t="s">
        <v>0</v>
      </c>
      <c r="AD1703" s="13" t="s">
        <v>0</v>
      </c>
      <c r="AE1703" s="15">
        <v>0</v>
      </c>
    </row>
    <row r="1704" spans="1:31" ht="14.15" customHeight="1" x14ac:dyDescent="0.25">
      <c r="A1704" s="12" t="s">
        <v>0</v>
      </c>
      <c r="B1704" s="13" t="s">
        <v>1</v>
      </c>
      <c r="C1704" s="13" t="s">
        <v>351</v>
      </c>
      <c r="D1704" s="14">
        <v>44046</v>
      </c>
      <c r="E1704" s="14">
        <v>44046</v>
      </c>
      <c r="F1704" s="14">
        <v>44053</v>
      </c>
      <c r="G1704" s="13" t="s">
        <v>3</v>
      </c>
      <c r="H1704" s="13" t="s">
        <v>4</v>
      </c>
      <c r="I1704" s="15">
        <v>-8957.67</v>
      </c>
      <c r="J1704" s="13" t="s">
        <v>5</v>
      </c>
      <c r="K1704" s="13" t="s">
        <v>6</v>
      </c>
      <c r="L1704" s="15">
        <v>-751996.4</v>
      </c>
      <c r="M1704" s="15">
        <v>-8957.67</v>
      </c>
      <c r="N1704" s="16" t="str">
        <f>IF(M1704="","",IF(M1704&lt;0,-M1704&amp;"_"&amp;COUNTIF(M$2:M1704,M1704),M1704&amp;"_"&amp;COUNTIF(M$2:M1704,M1704)))</f>
        <v>8957.67_1</v>
      </c>
      <c r="O1704" s="17" t="str">
        <f t="shared" si="26"/>
        <v/>
      </c>
      <c r="P1704" s="13" t="s">
        <v>352</v>
      </c>
      <c r="Q1704" s="13" t="s">
        <v>338</v>
      </c>
      <c r="R1704" s="13" t="s">
        <v>0</v>
      </c>
      <c r="S1704" s="13" t="s">
        <v>0</v>
      </c>
      <c r="T1704" s="13" t="s">
        <v>9</v>
      </c>
      <c r="U1704" s="13" t="s">
        <v>0</v>
      </c>
      <c r="V1704" s="13" t="s">
        <v>0</v>
      </c>
      <c r="W1704" s="13" t="s">
        <v>0</v>
      </c>
      <c r="X1704" s="13" t="s">
        <v>0</v>
      </c>
      <c r="Y1704" s="13" t="s">
        <v>10</v>
      </c>
      <c r="Z1704" s="13" t="s">
        <v>0</v>
      </c>
      <c r="AA1704" s="14"/>
      <c r="AB1704" s="13" t="s">
        <v>0</v>
      </c>
      <c r="AC1704" s="13" t="s">
        <v>0</v>
      </c>
      <c r="AD1704" s="13" t="s">
        <v>0</v>
      </c>
      <c r="AE1704" s="15">
        <v>0</v>
      </c>
    </row>
    <row r="1705" spans="1:31" ht="14.15" customHeight="1" x14ac:dyDescent="0.25">
      <c r="A1705" s="12" t="s">
        <v>0</v>
      </c>
      <c r="B1705" s="13" t="s">
        <v>1</v>
      </c>
      <c r="C1705" s="13" t="s">
        <v>3867</v>
      </c>
      <c r="D1705" s="14">
        <v>44351</v>
      </c>
      <c r="E1705" s="14">
        <v>44351</v>
      </c>
      <c r="F1705" s="14">
        <v>44364</v>
      </c>
      <c r="G1705" s="13" t="s">
        <v>3</v>
      </c>
      <c r="H1705" s="13" t="s">
        <v>4</v>
      </c>
      <c r="I1705" s="15">
        <v>-8957.39</v>
      </c>
      <c r="J1705" s="13" t="s">
        <v>5</v>
      </c>
      <c r="K1705" s="13" t="s">
        <v>6</v>
      </c>
      <c r="L1705" s="15">
        <v>-751972.89</v>
      </c>
      <c r="M1705" s="15">
        <v>-8957.39</v>
      </c>
      <c r="N1705" s="16" t="str">
        <f>IF(M1705="","",IF(M1705&lt;0,-M1705&amp;"_"&amp;COUNTIF(M$2:M1705,M1705),M1705&amp;"_"&amp;COUNTIF(M$2:M1705,M1705)))</f>
        <v>8957.39_1</v>
      </c>
      <c r="O1705" s="17" t="str">
        <f t="shared" si="26"/>
        <v/>
      </c>
      <c r="P1705" s="13" t="s">
        <v>3868</v>
      </c>
      <c r="Q1705" s="13" t="s">
        <v>3857</v>
      </c>
      <c r="R1705" s="13" t="s">
        <v>0</v>
      </c>
      <c r="S1705" s="13" t="s">
        <v>0</v>
      </c>
      <c r="T1705" s="13" t="s">
        <v>9</v>
      </c>
      <c r="U1705" s="13" t="s">
        <v>0</v>
      </c>
      <c r="V1705" s="13" t="s">
        <v>0</v>
      </c>
      <c r="W1705" s="13" t="s">
        <v>0</v>
      </c>
      <c r="X1705" s="13" t="s">
        <v>0</v>
      </c>
      <c r="Y1705" s="13" t="s">
        <v>10</v>
      </c>
      <c r="Z1705" s="13" t="s">
        <v>0</v>
      </c>
      <c r="AA1705" s="14"/>
      <c r="AB1705" s="13" t="s">
        <v>0</v>
      </c>
      <c r="AC1705" s="13" t="s">
        <v>0</v>
      </c>
      <c r="AD1705" s="13" t="s">
        <v>0</v>
      </c>
      <c r="AE1705" s="15">
        <v>0</v>
      </c>
    </row>
    <row r="1706" spans="1:31" ht="14.15" customHeight="1" x14ac:dyDescent="0.25">
      <c r="A1706" s="12" t="s">
        <v>0</v>
      </c>
      <c r="B1706" s="13" t="s">
        <v>1</v>
      </c>
      <c r="C1706" s="13" t="s">
        <v>903</v>
      </c>
      <c r="D1706" s="14">
        <v>44114</v>
      </c>
      <c r="E1706" s="14">
        <v>44114</v>
      </c>
      <c r="F1706" s="14">
        <v>44136</v>
      </c>
      <c r="G1706" s="13" t="s">
        <v>3</v>
      </c>
      <c r="H1706" s="13" t="s">
        <v>4</v>
      </c>
      <c r="I1706" s="15">
        <v>-8953.42</v>
      </c>
      <c r="J1706" s="13" t="s">
        <v>5</v>
      </c>
      <c r="K1706" s="13" t="s">
        <v>6</v>
      </c>
      <c r="L1706" s="15">
        <v>-751639.61</v>
      </c>
      <c r="M1706" s="15">
        <v>-8953.42</v>
      </c>
      <c r="N1706" s="16" t="str">
        <f>IF(M1706="","",IF(M1706&lt;0,-M1706&amp;"_"&amp;COUNTIF(M$2:M1706,M1706),M1706&amp;"_"&amp;COUNTIF(M$2:M1706,M1706)))</f>
        <v>8953.42_1</v>
      </c>
      <c r="O1706" s="17" t="str">
        <f t="shared" si="26"/>
        <v/>
      </c>
      <c r="P1706" s="13" t="s">
        <v>904</v>
      </c>
      <c r="Q1706" s="13" t="s">
        <v>900</v>
      </c>
      <c r="R1706" s="13" t="s">
        <v>0</v>
      </c>
      <c r="S1706" s="13" t="s">
        <v>0</v>
      </c>
      <c r="T1706" s="13" t="s">
        <v>9</v>
      </c>
      <c r="U1706" s="13" t="s">
        <v>0</v>
      </c>
      <c r="V1706" s="13" t="s">
        <v>0</v>
      </c>
      <c r="W1706" s="13" t="s">
        <v>0</v>
      </c>
      <c r="X1706" s="13" t="s">
        <v>0</v>
      </c>
      <c r="Y1706" s="13" t="s">
        <v>10</v>
      </c>
      <c r="Z1706" s="13" t="s">
        <v>0</v>
      </c>
      <c r="AA1706" s="14"/>
      <c r="AB1706" s="13" t="s">
        <v>0</v>
      </c>
      <c r="AC1706" s="13" t="s">
        <v>0</v>
      </c>
      <c r="AD1706" s="13" t="s">
        <v>0</v>
      </c>
      <c r="AE1706" s="15">
        <v>0</v>
      </c>
    </row>
    <row r="1707" spans="1:31" ht="14.15" customHeight="1" x14ac:dyDescent="0.25">
      <c r="A1707" s="12" t="s">
        <v>0</v>
      </c>
      <c r="B1707" s="13" t="s">
        <v>1</v>
      </c>
      <c r="C1707" s="13" t="s">
        <v>2318</v>
      </c>
      <c r="D1707" s="14">
        <v>44220</v>
      </c>
      <c r="E1707" s="14">
        <v>44220</v>
      </c>
      <c r="F1707" s="14">
        <v>44224</v>
      </c>
      <c r="G1707" s="13" t="s">
        <v>3</v>
      </c>
      <c r="H1707" s="13" t="s">
        <v>4</v>
      </c>
      <c r="I1707" s="15">
        <v>-8951.61</v>
      </c>
      <c r="J1707" s="13" t="s">
        <v>5</v>
      </c>
      <c r="K1707" s="13" t="s">
        <v>6</v>
      </c>
      <c r="L1707" s="15">
        <v>-751487.66</v>
      </c>
      <c r="M1707" s="15">
        <v>-8951.61</v>
      </c>
      <c r="N1707" s="16" t="str">
        <f>IF(M1707="","",IF(M1707&lt;0,-M1707&amp;"_"&amp;COUNTIF(M$2:M1707,M1707),M1707&amp;"_"&amp;COUNTIF(M$2:M1707,M1707)))</f>
        <v>8951.61_1</v>
      </c>
      <c r="O1707" s="17" t="str">
        <f t="shared" si="26"/>
        <v/>
      </c>
      <c r="P1707" s="13" t="s">
        <v>2319</v>
      </c>
      <c r="Q1707" s="13" t="s">
        <v>2317</v>
      </c>
      <c r="R1707" s="13" t="s">
        <v>0</v>
      </c>
      <c r="S1707" s="13" t="s">
        <v>0</v>
      </c>
      <c r="T1707" s="13" t="s">
        <v>9</v>
      </c>
      <c r="U1707" s="13" t="s">
        <v>0</v>
      </c>
      <c r="V1707" s="13" t="s">
        <v>0</v>
      </c>
      <c r="W1707" s="13" t="s">
        <v>0</v>
      </c>
      <c r="X1707" s="13" t="s">
        <v>0</v>
      </c>
      <c r="Y1707" s="13" t="s">
        <v>10</v>
      </c>
      <c r="Z1707" s="13" t="s">
        <v>0</v>
      </c>
      <c r="AA1707" s="14"/>
      <c r="AB1707" s="13" t="s">
        <v>0</v>
      </c>
      <c r="AC1707" s="13" t="s">
        <v>0</v>
      </c>
      <c r="AD1707" s="13" t="s">
        <v>0</v>
      </c>
      <c r="AE1707" s="15">
        <v>0</v>
      </c>
    </row>
    <row r="1708" spans="1:31" ht="14.15" customHeight="1" x14ac:dyDescent="0.25">
      <c r="A1708" s="12" t="s">
        <v>0</v>
      </c>
      <c r="B1708" s="13" t="s">
        <v>1</v>
      </c>
      <c r="C1708" s="13" t="s">
        <v>4205</v>
      </c>
      <c r="D1708" s="14">
        <v>44364</v>
      </c>
      <c r="E1708" s="14">
        <v>44364</v>
      </c>
      <c r="F1708" s="14">
        <v>44371</v>
      </c>
      <c r="G1708" s="13" t="s">
        <v>3</v>
      </c>
      <c r="H1708" s="13" t="s">
        <v>4</v>
      </c>
      <c r="I1708" s="15">
        <v>-8946.18</v>
      </c>
      <c r="J1708" s="13" t="s">
        <v>5</v>
      </c>
      <c r="K1708" s="13" t="s">
        <v>6</v>
      </c>
      <c r="L1708" s="15">
        <v>-751031.81</v>
      </c>
      <c r="M1708" s="15">
        <v>-8946.18</v>
      </c>
      <c r="N1708" s="16" t="str">
        <f>IF(M1708="","",IF(M1708&lt;0,-M1708&amp;"_"&amp;COUNTIF(M$2:M1708,M1708),M1708&amp;"_"&amp;COUNTIF(M$2:M1708,M1708)))</f>
        <v>8946.18_1</v>
      </c>
      <c r="O1708" s="17" t="str">
        <f t="shared" si="26"/>
        <v/>
      </c>
      <c r="P1708" s="13" t="s">
        <v>4206</v>
      </c>
      <c r="Q1708" s="13" t="s">
        <v>4180</v>
      </c>
      <c r="R1708" s="13" t="s">
        <v>0</v>
      </c>
      <c r="S1708" s="13" t="s">
        <v>0</v>
      </c>
      <c r="T1708" s="13" t="s">
        <v>9</v>
      </c>
      <c r="U1708" s="13" t="s">
        <v>0</v>
      </c>
      <c r="V1708" s="13" t="s">
        <v>0</v>
      </c>
      <c r="W1708" s="13" t="s">
        <v>0</v>
      </c>
      <c r="X1708" s="13" t="s">
        <v>0</v>
      </c>
      <c r="Y1708" s="13" t="s">
        <v>10</v>
      </c>
      <c r="Z1708" s="13" t="s">
        <v>0</v>
      </c>
      <c r="AA1708" s="14"/>
      <c r="AB1708" s="13" t="s">
        <v>0</v>
      </c>
      <c r="AC1708" s="13" t="s">
        <v>0</v>
      </c>
      <c r="AD1708" s="13" t="s">
        <v>0</v>
      </c>
      <c r="AE1708" s="15">
        <v>0</v>
      </c>
    </row>
    <row r="1709" spans="1:31" ht="14.15" customHeight="1" x14ac:dyDescent="0.25">
      <c r="A1709" s="12" t="s">
        <v>0</v>
      </c>
      <c r="B1709" s="13" t="s">
        <v>1</v>
      </c>
      <c r="C1709" s="13" t="s">
        <v>2943</v>
      </c>
      <c r="D1709" s="14">
        <v>44276</v>
      </c>
      <c r="E1709" s="14">
        <v>44276</v>
      </c>
      <c r="F1709" s="14">
        <v>44286</v>
      </c>
      <c r="G1709" s="13" t="s">
        <v>3</v>
      </c>
      <c r="H1709" s="13" t="s">
        <v>4</v>
      </c>
      <c r="I1709" s="15">
        <v>-8933.2199999999993</v>
      </c>
      <c r="J1709" s="13" t="s">
        <v>5</v>
      </c>
      <c r="K1709" s="13" t="s">
        <v>6</v>
      </c>
      <c r="L1709" s="15">
        <v>-749943.82</v>
      </c>
      <c r="M1709" s="15">
        <v>-8933.2199999999993</v>
      </c>
      <c r="N1709" s="16" t="str">
        <f>IF(M1709="","",IF(M1709&lt;0,-M1709&amp;"_"&amp;COUNTIF(M$2:M1709,M1709),M1709&amp;"_"&amp;COUNTIF(M$2:M1709,M1709)))</f>
        <v>8933.22_1</v>
      </c>
      <c r="O1709" s="17" t="str">
        <f t="shared" si="26"/>
        <v/>
      </c>
      <c r="P1709" s="13" t="s">
        <v>2944</v>
      </c>
      <c r="Q1709" s="13" t="s">
        <v>2922</v>
      </c>
      <c r="R1709" s="13" t="s">
        <v>0</v>
      </c>
      <c r="S1709" s="13" t="s">
        <v>0</v>
      </c>
      <c r="T1709" s="13" t="s">
        <v>9</v>
      </c>
      <c r="U1709" s="13" t="s">
        <v>0</v>
      </c>
      <c r="V1709" s="13" t="s">
        <v>0</v>
      </c>
      <c r="W1709" s="13" t="s">
        <v>0</v>
      </c>
      <c r="X1709" s="13" t="s">
        <v>0</v>
      </c>
      <c r="Y1709" s="13" t="s">
        <v>10</v>
      </c>
      <c r="Z1709" s="13" t="s">
        <v>0</v>
      </c>
      <c r="AA1709" s="14"/>
      <c r="AB1709" s="13" t="s">
        <v>0</v>
      </c>
      <c r="AC1709" s="13" t="s">
        <v>0</v>
      </c>
      <c r="AD1709" s="13" t="s">
        <v>0</v>
      </c>
      <c r="AE1709" s="15">
        <v>0</v>
      </c>
    </row>
    <row r="1710" spans="1:31" ht="14.15" customHeight="1" x14ac:dyDescent="0.25">
      <c r="A1710" s="12" t="s">
        <v>0</v>
      </c>
      <c r="B1710" s="13" t="s">
        <v>1</v>
      </c>
      <c r="C1710" s="13" t="s">
        <v>520</v>
      </c>
      <c r="D1710" s="14">
        <v>44072</v>
      </c>
      <c r="E1710" s="14">
        <v>44072</v>
      </c>
      <c r="F1710" s="14">
        <v>44082</v>
      </c>
      <c r="G1710" s="13" t="s">
        <v>3</v>
      </c>
      <c r="H1710" s="13" t="s">
        <v>4</v>
      </c>
      <c r="I1710" s="15">
        <v>-8917.83</v>
      </c>
      <c r="J1710" s="13" t="s">
        <v>5</v>
      </c>
      <c r="K1710" s="13" t="s">
        <v>6</v>
      </c>
      <c r="L1710" s="15">
        <v>-748651.83</v>
      </c>
      <c r="M1710" s="15">
        <v>-8917.83</v>
      </c>
      <c r="N1710" s="16" t="str">
        <f>IF(M1710="","",IF(M1710&lt;0,-M1710&amp;"_"&amp;COUNTIF(M$2:M1710,M1710),M1710&amp;"_"&amp;COUNTIF(M$2:M1710,M1710)))</f>
        <v>8917.83_1</v>
      </c>
      <c r="O1710" s="17" t="str">
        <f t="shared" si="26"/>
        <v/>
      </c>
      <c r="P1710" s="13" t="s">
        <v>521</v>
      </c>
      <c r="Q1710" s="13" t="s">
        <v>522</v>
      </c>
      <c r="R1710" s="13" t="s">
        <v>0</v>
      </c>
      <c r="S1710" s="13" t="s">
        <v>0</v>
      </c>
      <c r="T1710" s="13" t="s">
        <v>9</v>
      </c>
      <c r="U1710" s="13" t="s">
        <v>0</v>
      </c>
      <c r="V1710" s="13" t="s">
        <v>0</v>
      </c>
      <c r="W1710" s="13" t="s">
        <v>0</v>
      </c>
      <c r="X1710" s="13" t="s">
        <v>0</v>
      </c>
      <c r="Y1710" s="13" t="s">
        <v>10</v>
      </c>
      <c r="Z1710" s="13" t="s">
        <v>0</v>
      </c>
      <c r="AA1710" s="14"/>
      <c r="AB1710" s="13" t="s">
        <v>0</v>
      </c>
      <c r="AC1710" s="13" t="s">
        <v>0</v>
      </c>
      <c r="AD1710" s="13" t="s">
        <v>0</v>
      </c>
      <c r="AE1710" s="15">
        <v>0</v>
      </c>
    </row>
    <row r="1711" spans="1:31" ht="14.15" customHeight="1" x14ac:dyDescent="0.25">
      <c r="A1711" s="12" t="s">
        <v>0</v>
      </c>
      <c r="B1711" s="13" t="s">
        <v>1</v>
      </c>
      <c r="C1711" s="13" t="s">
        <v>4056</v>
      </c>
      <c r="D1711" s="14">
        <v>44359</v>
      </c>
      <c r="E1711" s="14">
        <v>44359</v>
      </c>
      <c r="F1711" s="14">
        <v>44366</v>
      </c>
      <c r="G1711" s="13" t="s">
        <v>3</v>
      </c>
      <c r="H1711" s="13" t="s">
        <v>4</v>
      </c>
      <c r="I1711" s="15">
        <v>-8908.5</v>
      </c>
      <c r="J1711" s="13" t="s">
        <v>5</v>
      </c>
      <c r="K1711" s="13" t="s">
        <v>6</v>
      </c>
      <c r="L1711" s="15">
        <v>-747868.58</v>
      </c>
      <c r="M1711" s="15">
        <v>-8908.5</v>
      </c>
      <c r="N1711" s="16" t="str">
        <f>IF(M1711="","",IF(M1711&lt;0,-M1711&amp;"_"&amp;COUNTIF(M$2:M1711,M1711),M1711&amp;"_"&amp;COUNTIF(M$2:M1711,M1711)))</f>
        <v>8908.5_1</v>
      </c>
      <c r="O1711" s="17" t="str">
        <f t="shared" si="26"/>
        <v/>
      </c>
      <c r="P1711" s="13" t="s">
        <v>4057</v>
      </c>
      <c r="Q1711" s="13" t="s">
        <v>4055</v>
      </c>
      <c r="R1711" s="13" t="s">
        <v>0</v>
      </c>
      <c r="S1711" s="13" t="s">
        <v>0</v>
      </c>
      <c r="T1711" s="13" t="s">
        <v>9</v>
      </c>
      <c r="U1711" s="13" t="s">
        <v>0</v>
      </c>
      <c r="V1711" s="13" t="s">
        <v>0</v>
      </c>
      <c r="W1711" s="13" t="s">
        <v>0</v>
      </c>
      <c r="X1711" s="13" t="s">
        <v>0</v>
      </c>
      <c r="Y1711" s="13" t="s">
        <v>10</v>
      </c>
      <c r="Z1711" s="13" t="s">
        <v>0</v>
      </c>
      <c r="AA1711" s="14"/>
      <c r="AB1711" s="13" t="s">
        <v>0</v>
      </c>
      <c r="AC1711" s="13" t="s">
        <v>0</v>
      </c>
      <c r="AD1711" s="13" t="s">
        <v>0</v>
      </c>
      <c r="AE1711" s="15">
        <v>0</v>
      </c>
    </row>
    <row r="1712" spans="1:31" ht="14.15" customHeight="1" x14ac:dyDescent="0.25">
      <c r="A1712" s="12" t="s">
        <v>0</v>
      </c>
      <c r="B1712" s="13" t="s">
        <v>1</v>
      </c>
      <c r="C1712" s="13" t="s">
        <v>1880</v>
      </c>
      <c r="D1712" s="14">
        <v>44188</v>
      </c>
      <c r="E1712" s="14">
        <v>44188</v>
      </c>
      <c r="F1712" s="14">
        <v>44199</v>
      </c>
      <c r="G1712" s="13" t="s">
        <v>3</v>
      </c>
      <c r="H1712" s="13" t="s">
        <v>4</v>
      </c>
      <c r="I1712" s="15">
        <v>-8908.0400000000009</v>
      </c>
      <c r="J1712" s="13" t="s">
        <v>5</v>
      </c>
      <c r="K1712" s="13" t="s">
        <v>6</v>
      </c>
      <c r="L1712" s="15">
        <v>-747829.96</v>
      </c>
      <c r="M1712" s="15">
        <v>-8908.0400000000009</v>
      </c>
      <c r="N1712" s="16" t="str">
        <f>IF(M1712="","",IF(M1712&lt;0,-M1712&amp;"_"&amp;COUNTIF(M$2:M1712,M1712),M1712&amp;"_"&amp;COUNTIF(M$2:M1712,M1712)))</f>
        <v>8908.04_1</v>
      </c>
      <c r="O1712" s="17" t="str">
        <f t="shared" si="26"/>
        <v/>
      </c>
      <c r="P1712" s="13" t="s">
        <v>1881</v>
      </c>
      <c r="Q1712" s="13" t="s">
        <v>1869</v>
      </c>
      <c r="R1712" s="13" t="s">
        <v>0</v>
      </c>
      <c r="S1712" s="13" t="s">
        <v>0</v>
      </c>
      <c r="T1712" s="13" t="s">
        <v>9</v>
      </c>
      <c r="U1712" s="13" t="s">
        <v>0</v>
      </c>
      <c r="V1712" s="13" t="s">
        <v>0</v>
      </c>
      <c r="W1712" s="13" t="s">
        <v>0</v>
      </c>
      <c r="X1712" s="13" t="s">
        <v>0</v>
      </c>
      <c r="Y1712" s="13" t="s">
        <v>10</v>
      </c>
      <c r="Z1712" s="13" t="s">
        <v>0</v>
      </c>
      <c r="AA1712" s="14"/>
      <c r="AB1712" s="13" t="s">
        <v>0</v>
      </c>
      <c r="AC1712" s="13" t="s">
        <v>0</v>
      </c>
      <c r="AD1712" s="13" t="s">
        <v>0</v>
      </c>
      <c r="AE1712" s="15">
        <v>0</v>
      </c>
    </row>
    <row r="1713" spans="1:31" ht="14.15" customHeight="1" x14ac:dyDescent="0.25">
      <c r="A1713" s="12" t="s">
        <v>0</v>
      </c>
      <c r="B1713" s="13" t="s">
        <v>1</v>
      </c>
      <c r="C1713" s="13" t="s">
        <v>1595</v>
      </c>
      <c r="D1713" s="14">
        <v>44167</v>
      </c>
      <c r="E1713" s="14">
        <v>44167</v>
      </c>
      <c r="F1713" s="14">
        <v>44174</v>
      </c>
      <c r="G1713" s="13" t="s">
        <v>3</v>
      </c>
      <c r="H1713" s="13" t="s">
        <v>4</v>
      </c>
      <c r="I1713" s="15">
        <v>-8901.52</v>
      </c>
      <c r="J1713" s="13" t="s">
        <v>5</v>
      </c>
      <c r="K1713" s="13" t="s">
        <v>6</v>
      </c>
      <c r="L1713" s="15">
        <v>-747282.6</v>
      </c>
      <c r="M1713" s="15">
        <v>-8901.52</v>
      </c>
      <c r="N1713" s="16" t="str">
        <f>IF(M1713="","",IF(M1713&lt;0,-M1713&amp;"_"&amp;COUNTIF(M$2:M1713,M1713),M1713&amp;"_"&amp;COUNTIF(M$2:M1713,M1713)))</f>
        <v>8901.52_1</v>
      </c>
      <c r="O1713" s="17" t="str">
        <f t="shared" si="26"/>
        <v/>
      </c>
      <c r="P1713" s="13" t="s">
        <v>1596</v>
      </c>
      <c r="Q1713" s="13" t="s">
        <v>1592</v>
      </c>
      <c r="R1713" s="13" t="s">
        <v>0</v>
      </c>
      <c r="S1713" s="13" t="s">
        <v>0</v>
      </c>
      <c r="T1713" s="13" t="s">
        <v>9</v>
      </c>
      <c r="U1713" s="13" t="s">
        <v>0</v>
      </c>
      <c r="V1713" s="13" t="s">
        <v>0</v>
      </c>
      <c r="W1713" s="13" t="s">
        <v>0</v>
      </c>
      <c r="X1713" s="13" t="s">
        <v>0</v>
      </c>
      <c r="Y1713" s="13" t="s">
        <v>10</v>
      </c>
      <c r="Z1713" s="13" t="s">
        <v>0</v>
      </c>
      <c r="AA1713" s="14"/>
      <c r="AB1713" s="13" t="s">
        <v>0</v>
      </c>
      <c r="AC1713" s="13" t="s">
        <v>0</v>
      </c>
      <c r="AD1713" s="13" t="s">
        <v>0</v>
      </c>
      <c r="AE1713" s="15">
        <v>0</v>
      </c>
    </row>
    <row r="1714" spans="1:31" ht="14.15" customHeight="1" x14ac:dyDescent="0.25">
      <c r="A1714" s="12" t="s">
        <v>0</v>
      </c>
      <c r="B1714" s="13" t="s">
        <v>1</v>
      </c>
      <c r="C1714" s="13" t="s">
        <v>564</v>
      </c>
      <c r="D1714" s="14">
        <v>44076</v>
      </c>
      <c r="E1714" s="14">
        <v>44076</v>
      </c>
      <c r="F1714" s="14">
        <v>44082</v>
      </c>
      <c r="G1714" s="13" t="s">
        <v>3</v>
      </c>
      <c r="H1714" s="13" t="s">
        <v>4</v>
      </c>
      <c r="I1714" s="15">
        <v>-8895.06</v>
      </c>
      <c r="J1714" s="13" t="s">
        <v>5</v>
      </c>
      <c r="K1714" s="13" t="s">
        <v>6</v>
      </c>
      <c r="L1714" s="15">
        <v>-746740.29</v>
      </c>
      <c r="M1714" s="15">
        <v>-8895.06</v>
      </c>
      <c r="N1714" s="16" t="str">
        <f>IF(M1714="","",IF(M1714&lt;0,-M1714&amp;"_"&amp;COUNTIF(M$2:M1714,M1714),M1714&amp;"_"&amp;COUNTIF(M$2:M1714,M1714)))</f>
        <v>8895.06_1</v>
      </c>
      <c r="O1714" s="17" t="str">
        <f t="shared" si="26"/>
        <v/>
      </c>
      <c r="P1714" s="13" t="s">
        <v>565</v>
      </c>
      <c r="Q1714" s="13" t="s">
        <v>563</v>
      </c>
      <c r="R1714" s="13" t="s">
        <v>0</v>
      </c>
      <c r="S1714" s="13" t="s">
        <v>0</v>
      </c>
      <c r="T1714" s="13" t="s">
        <v>9</v>
      </c>
      <c r="U1714" s="13" t="s">
        <v>0</v>
      </c>
      <c r="V1714" s="13" t="s">
        <v>0</v>
      </c>
      <c r="W1714" s="13" t="s">
        <v>0</v>
      </c>
      <c r="X1714" s="13" t="s">
        <v>0</v>
      </c>
      <c r="Y1714" s="13" t="s">
        <v>10</v>
      </c>
      <c r="Z1714" s="13" t="s">
        <v>0</v>
      </c>
      <c r="AA1714" s="14"/>
      <c r="AB1714" s="13" t="s">
        <v>0</v>
      </c>
      <c r="AC1714" s="13" t="s">
        <v>0</v>
      </c>
      <c r="AD1714" s="13" t="s">
        <v>0</v>
      </c>
      <c r="AE1714" s="15">
        <v>0</v>
      </c>
    </row>
    <row r="1715" spans="1:31" ht="14.15" customHeight="1" x14ac:dyDescent="0.25">
      <c r="A1715" s="12" t="s">
        <v>0</v>
      </c>
      <c r="B1715" s="13" t="s">
        <v>1</v>
      </c>
      <c r="C1715" s="13" t="s">
        <v>1377</v>
      </c>
      <c r="D1715" s="14">
        <v>44152</v>
      </c>
      <c r="E1715" s="14">
        <v>44152</v>
      </c>
      <c r="F1715" s="14">
        <v>44159</v>
      </c>
      <c r="G1715" s="13" t="s">
        <v>3</v>
      </c>
      <c r="H1715" s="13" t="s">
        <v>4</v>
      </c>
      <c r="I1715" s="15">
        <v>-8890.61</v>
      </c>
      <c r="J1715" s="13" t="s">
        <v>5</v>
      </c>
      <c r="K1715" s="13" t="s">
        <v>6</v>
      </c>
      <c r="L1715" s="15">
        <v>-746366.71</v>
      </c>
      <c r="M1715" s="15">
        <v>-8890.61</v>
      </c>
      <c r="N1715" s="16" t="str">
        <f>IF(M1715="","",IF(M1715&lt;0,-M1715&amp;"_"&amp;COUNTIF(M$2:M1715,M1715),M1715&amp;"_"&amp;COUNTIF(M$2:M1715,M1715)))</f>
        <v>8890.61_1</v>
      </c>
      <c r="O1715" s="17" t="str">
        <f t="shared" si="26"/>
        <v/>
      </c>
      <c r="P1715" s="13" t="s">
        <v>1378</v>
      </c>
      <c r="Q1715" s="13" t="s">
        <v>1376</v>
      </c>
      <c r="R1715" s="13" t="s">
        <v>0</v>
      </c>
      <c r="S1715" s="13" t="s">
        <v>0</v>
      </c>
      <c r="T1715" s="13" t="s">
        <v>9</v>
      </c>
      <c r="U1715" s="13" t="s">
        <v>0</v>
      </c>
      <c r="V1715" s="13" t="s">
        <v>0</v>
      </c>
      <c r="W1715" s="13" t="s">
        <v>0</v>
      </c>
      <c r="X1715" s="13" t="s">
        <v>0</v>
      </c>
      <c r="Y1715" s="13" t="s">
        <v>10</v>
      </c>
      <c r="Z1715" s="13" t="s">
        <v>0</v>
      </c>
      <c r="AA1715" s="14"/>
      <c r="AB1715" s="13" t="s">
        <v>0</v>
      </c>
      <c r="AC1715" s="13" t="s">
        <v>0</v>
      </c>
      <c r="AD1715" s="13" t="s">
        <v>0</v>
      </c>
      <c r="AE1715" s="15">
        <v>0</v>
      </c>
    </row>
    <row r="1716" spans="1:31" ht="14.15" customHeight="1" x14ac:dyDescent="0.25">
      <c r="A1716" s="12" t="s">
        <v>0</v>
      </c>
      <c r="B1716" s="13" t="s">
        <v>1</v>
      </c>
      <c r="C1716" s="13" t="s">
        <v>1216</v>
      </c>
      <c r="D1716" s="14">
        <v>44140</v>
      </c>
      <c r="E1716" s="14">
        <v>44140</v>
      </c>
      <c r="F1716" s="14">
        <v>44151</v>
      </c>
      <c r="G1716" s="13" t="s">
        <v>3</v>
      </c>
      <c r="H1716" s="13" t="s">
        <v>4</v>
      </c>
      <c r="I1716" s="15">
        <v>-8889.16</v>
      </c>
      <c r="J1716" s="13" t="s">
        <v>5</v>
      </c>
      <c r="K1716" s="13" t="s">
        <v>6</v>
      </c>
      <c r="L1716" s="15">
        <v>-746244.98</v>
      </c>
      <c r="M1716" s="15">
        <v>-8889.16</v>
      </c>
      <c r="N1716" s="16" t="str">
        <f>IF(M1716="","",IF(M1716&lt;0,-M1716&amp;"_"&amp;COUNTIF(M$2:M1716,M1716),M1716&amp;"_"&amp;COUNTIF(M$2:M1716,M1716)))</f>
        <v>8889.16_1</v>
      </c>
      <c r="O1716" s="17" t="str">
        <f t="shared" si="26"/>
        <v/>
      </c>
      <c r="P1716" s="13" t="s">
        <v>1217</v>
      </c>
      <c r="Q1716" s="13" t="s">
        <v>1165</v>
      </c>
      <c r="R1716" s="13" t="s">
        <v>0</v>
      </c>
      <c r="S1716" s="13" t="s">
        <v>0</v>
      </c>
      <c r="T1716" s="13" t="s">
        <v>9</v>
      </c>
      <c r="U1716" s="13" t="s">
        <v>0</v>
      </c>
      <c r="V1716" s="13" t="s">
        <v>0</v>
      </c>
      <c r="W1716" s="13" t="s">
        <v>0</v>
      </c>
      <c r="X1716" s="13" t="s">
        <v>0</v>
      </c>
      <c r="Y1716" s="13" t="s">
        <v>10</v>
      </c>
      <c r="Z1716" s="13" t="s">
        <v>0</v>
      </c>
      <c r="AA1716" s="14"/>
      <c r="AB1716" s="13" t="s">
        <v>0</v>
      </c>
      <c r="AC1716" s="13" t="s">
        <v>0</v>
      </c>
      <c r="AD1716" s="13" t="s">
        <v>0</v>
      </c>
      <c r="AE1716" s="15">
        <v>0</v>
      </c>
    </row>
    <row r="1717" spans="1:31" ht="14.15" customHeight="1" x14ac:dyDescent="0.25">
      <c r="A1717" s="12" t="s">
        <v>0</v>
      </c>
      <c r="B1717" s="13" t="s">
        <v>1</v>
      </c>
      <c r="C1717" s="13" t="s">
        <v>124</v>
      </c>
      <c r="D1717" s="14">
        <v>44027</v>
      </c>
      <c r="E1717" s="14">
        <v>44027</v>
      </c>
      <c r="F1717" s="14">
        <v>44033</v>
      </c>
      <c r="G1717" s="13" t="s">
        <v>3</v>
      </c>
      <c r="H1717" s="13" t="s">
        <v>4</v>
      </c>
      <c r="I1717" s="15">
        <v>-8885.6</v>
      </c>
      <c r="J1717" s="13" t="s">
        <v>5</v>
      </c>
      <c r="K1717" s="13" t="s">
        <v>6</v>
      </c>
      <c r="L1717" s="15">
        <v>-745946.12</v>
      </c>
      <c r="M1717" s="15">
        <v>-8885.6</v>
      </c>
      <c r="N1717" s="16" t="str">
        <f>IF(M1717="","",IF(M1717&lt;0,-M1717&amp;"_"&amp;COUNTIF(M$2:M1717,M1717),M1717&amp;"_"&amp;COUNTIF(M$2:M1717,M1717)))</f>
        <v>8885.6_1</v>
      </c>
      <c r="O1717" s="17" t="str">
        <f t="shared" si="26"/>
        <v/>
      </c>
      <c r="P1717" s="13" t="s">
        <v>125</v>
      </c>
      <c r="Q1717" s="13" t="s">
        <v>126</v>
      </c>
      <c r="R1717" s="13" t="s">
        <v>0</v>
      </c>
      <c r="S1717" s="13" t="s">
        <v>0</v>
      </c>
      <c r="T1717" s="13" t="s">
        <v>9</v>
      </c>
      <c r="U1717" s="13" t="s">
        <v>0</v>
      </c>
      <c r="V1717" s="13" t="s">
        <v>0</v>
      </c>
      <c r="W1717" s="13" t="s">
        <v>0</v>
      </c>
      <c r="X1717" s="13" t="s">
        <v>0</v>
      </c>
      <c r="Y1717" s="13" t="s">
        <v>10</v>
      </c>
      <c r="Z1717" s="13" t="s">
        <v>0</v>
      </c>
      <c r="AA1717" s="14"/>
      <c r="AB1717" s="13" t="s">
        <v>0</v>
      </c>
      <c r="AC1717" s="13" t="s">
        <v>0</v>
      </c>
      <c r="AD1717" s="13" t="s">
        <v>0</v>
      </c>
      <c r="AE1717" s="15">
        <v>0</v>
      </c>
    </row>
    <row r="1718" spans="1:31" ht="14.15" customHeight="1" x14ac:dyDescent="0.25">
      <c r="A1718" s="12" t="s">
        <v>0</v>
      </c>
      <c r="B1718" s="13" t="s">
        <v>1</v>
      </c>
      <c r="C1718" s="13" t="s">
        <v>3285</v>
      </c>
      <c r="D1718" s="14">
        <v>44314</v>
      </c>
      <c r="E1718" s="14">
        <v>44314</v>
      </c>
      <c r="F1718" s="14">
        <v>44319</v>
      </c>
      <c r="G1718" s="13" t="s">
        <v>3</v>
      </c>
      <c r="H1718" s="13" t="s">
        <v>4</v>
      </c>
      <c r="I1718" s="15">
        <v>-8881.7900000000009</v>
      </c>
      <c r="J1718" s="13" t="s">
        <v>5</v>
      </c>
      <c r="K1718" s="13" t="s">
        <v>6</v>
      </c>
      <c r="L1718" s="15">
        <v>-745626.27</v>
      </c>
      <c r="M1718" s="15">
        <v>-8881.7900000000009</v>
      </c>
      <c r="N1718" s="16" t="str">
        <f>IF(M1718="","",IF(M1718&lt;0,-M1718&amp;"_"&amp;COUNTIF(M$2:M1718,M1718),M1718&amp;"_"&amp;COUNTIF(M$2:M1718,M1718)))</f>
        <v>8881.79_1</v>
      </c>
      <c r="O1718" s="17" t="str">
        <f t="shared" si="26"/>
        <v/>
      </c>
      <c r="P1718" s="13" t="s">
        <v>3286</v>
      </c>
      <c r="Q1718" s="13" t="s">
        <v>3284</v>
      </c>
      <c r="R1718" s="13" t="s">
        <v>0</v>
      </c>
      <c r="S1718" s="13" t="s">
        <v>0</v>
      </c>
      <c r="T1718" s="13" t="s">
        <v>9</v>
      </c>
      <c r="U1718" s="13" t="s">
        <v>0</v>
      </c>
      <c r="V1718" s="13" t="s">
        <v>0</v>
      </c>
      <c r="W1718" s="13" t="s">
        <v>0</v>
      </c>
      <c r="X1718" s="13" t="s">
        <v>0</v>
      </c>
      <c r="Y1718" s="13" t="s">
        <v>10</v>
      </c>
      <c r="Z1718" s="13" t="s">
        <v>0</v>
      </c>
      <c r="AA1718" s="14"/>
      <c r="AB1718" s="13" t="s">
        <v>0</v>
      </c>
      <c r="AC1718" s="13" t="s">
        <v>0</v>
      </c>
      <c r="AD1718" s="13" t="s">
        <v>0</v>
      </c>
      <c r="AE1718" s="15">
        <v>0</v>
      </c>
    </row>
    <row r="1719" spans="1:31" ht="14.15" customHeight="1" x14ac:dyDescent="0.25">
      <c r="A1719" s="12" t="s">
        <v>0</v>
      </c>
      <c r="B1719" s="13" t="s">
        <v>1</v>
      </c>
      <c r="C1719" s="13" t="s">
        <v>2947</v>
      </c>
      <c r="D1719" s="14">
        <v>44276</v>
      </c>
      <c r="E1719" s="14">
        <v>44276</v>
      </c>
      <c r="F1719" s="14">
        <v>44286</v>
      </c>
      <c r="G1719" s="13" t="s">
        <v>3</v>
      </c>
      <c r="H1719" s="13" t="s">
        <v>4</v>
      </c>
      <c r="I1719" s="15">
        <v>-8867.09</v>
      </c>
      <c r="J1719" s="13" t="s">
        <v>5</v>
      </c>
      <c r="K1719" s="13" t="s">
        <v>6</v>
      </c>
      <c r="L1719" s="15">
        <v>-744392.21</v>
      </c>
      <c r="M1719" s="15">
        <v>-8867.09</v>
      </c>
      <c r="N1719" s="16" t="str">
        <f>IF(M1719="","",IF(M1719&lt;0,-M1719&amp;"_"&amp;COUNTIF(M$2:M1719,M1719),M1719&amp;"_"&amp;COUNTIF(M$2:M1719,M1719)))</f>
        <v>8867.09_1</v>
      </c>
      <c r="O1719" s="17" t="str">
        <f t="shared" si="26"/>
        <v/>
      </c>
      <c r="P1719" s="13" t="s">
        <v>2948</v>
      </c>
      <c r="Q1719" s="13" t="s">
        <v>2922</v>
      </c>
      <c r="R1719" s="13" t="s">
        <v>0</v>
      </c>
      <c r="S1719" s="13" t="s">
        <v>0</v>
      </c>
      <c r="T1719" s="13" t="s">
        <v>9</v>
      </c>
      <c r="U1719" s="13" t="s">
        <v>0</v>
      </c>
      <c r="V1719" s="13" t="s">
        <v>0</v>
      </c>
      <c r="W1719" s="13" t="s">
        <v>0</v>
      </c>
      <c r="X1719" s="13" t="s">
        <v>0</v>
      </c>
      <c r="Y1719" s="13" t="s">
        <v>10</v>
      </c>
      <c r="Z1719" s="13" t="s">
        <v>0</v>
      </c>
      <c r="AA1719" s="14"/>
      <c r="AB1719" s="13" t="s">
        <v>0</v>
      </c>
      <c r="AC1719" s="13" t="s">
        <v>0</v>
      </c>
      <c r="AD1719" s="13" t="s">
        <v>0</v>
      </c>
      <c r="AE1719" s="15">
        <v>0</v>
      </c>
    </row>
    <row r="1720" spans="1:31" ht="14.15" customHeight="1" x14ac:dyDescent="0.25">
      <c r="A1720" s="12" t="s">
        <v>0</v>
      </c>
      <c r="B1720" s="13" t="s">
        <v>1</v>
      </c>
      <c r="C1720" s="13" t="s">
        <v>1679</v>
      </c>
      <c r="D1720" s="14">
        <v>44172</v>
      </c>
      <c r="E1720" s="14">
        <v>44172</v>
      </c>
      <c r="F1720" s="14">
        <v>44178</v>
      </c>
      <c r="G1720" s="13" t="s">
        <v>3</v>
      </c>
      <c r="H1720" s="13" t="s">
        <v>4</v>
      </c>
      <c r="I1720" s="15">
        <v>-8866.76</v>
      </c>
      <c r="J1720" s="13" t="s">
        <v>5</v>
      </c>
      <c r="K1720" s="13" t="s">
        <v>6</v>
      </c>
      <c r="L1720" s="15">
        <v>-744364.5</v>
      </c>
      <c r="M1720" s="15">
        <v>-8866.76</v>
      </c>
      <c r="N1720" s="16" t="str">
        <f>IF(M1720="","",IF(M1720&lt;0,-M1720&amp;"_"&amp;COUNTIF(M$2:M1720,M1720),M1720&amp;"_"&amp;COUNTIF(M$2:M1720,M1720)))</f>
        <v>8866.76_1</v>
      </c>
      <c r="O1720" s="17" t="str">
        <f t="shared" si="26"/>
        <v/>
      </c>
      <c r="P1720" s="13" t="s">
        <v>1680</v>
      </c>
      <c r="Q1720" s="13" t="s">
        <v>1672</v>
      </c>
      <c r="R1720" s="13" t="s">
        <v>0</v>
      </c>
      <c r="S1720" s="13" t="s">
        <v>0</v>
      </c>
      <c r="T1720" s="13" t="s">
        <v>9</v>
      </c>
      <c r="U1720" s="13" t="s">
        <v>0</v>
      </c>
      <c r="V1720" s="13" t="s">
        <v>0</v>
      </c>
      <c r="W1720" s="13" t="s">
        <v>0</v>
      </c>
      <c r="X1720" s="13" t="s">
        <v>0</v>
      </c>
      <c r="Y1720" s="13" t="s">
        <v>10</v>
      </c>
      <c r="Z1720" s="13" t="s">
        <v>0</v>
      </c>
      <c r="AA1720" s="14"/>
      <c r="AB1720" s="13" t="s">
        <v>0</v>
      </c>
      <c r="AC1720" s="13" t="s">
        <v>0</v>
      </c>
      <c r="AD1720" s="13" t="s">
        <v>0</v>
      </c>
      <c r="AE1720" s="15">
        <v>0</v>
      </c>
    </row>
    <row r="1721" spans="1:31" ht="14.15" customHeight="1" x14ac:dyDescent="0.25">
      <c r="A1721" s="12" t="s">
        <v>0</v>
      </c>
      <c r="B1721" s="13" t="s">
        <v>1</v>
      </c>
      <c r="C1721" s="13" t="s">
        <v>700</v>
      </c>
      <c r="D1721" s="14">
        <v>44090</v>
      </c>
      <c r="E1721" s="14">
        <v>44090</v>
      </c>
      <c r="F1721" s="14">
        <v>44112</v>
      </c>
      <c r="G1721" s="13" t="s">
        <v>3</v>
      </c>
      <c r="H1721" s="13" t="s">
        <v>4</v>
      </c>
      <c r="I1721" s="15">
        <v>-8860.67</v>
      </c>
      <c r="J1721" s="13" t="s">
        <v>5</v>
      </c>
      <c r="K1721" s="13" t="s">
        <v>6</v>
      </c>
      <c r="L1721" s="15">
        <v>-743853.25</v>
      </c>
      <c r="M1721" s="15">
        <v>-8860.67</v>
      </c>
      <c r="N1721" s="16" t="str">
        <f>IF(M1721="","",IF(M1721&lt;0,-M1721&amp;"_"&amp;COUNTIF(M$2:M1721,M1721),M1721&amp;"_"&amp;COUNTIF(M$2:M1721,M1721)))</f>
        <v>8860.67_1</v>
      </c>
      <c r="O1721" s="17" t="str">
        <f t="shared" si="26"/>
        <v/>
      </c>
      <c r="P1721" s="13" t="s">
        <v>701</v>
      </c>
      <c r="Q1721" s="13" t="s">
        <v>687</v>
      </c>
      <c r="R1721" s="13" t="s">
        <v>0</v>
      </c>
      <c r="S1721" s="13" t="s">
        <v>0</v>
      </c>
      <c r="T1721" s="13" t="s">
        <v>9</v>
      </c>
      <c r="U1721" s="13" t="s">
        <v>0</v>
      </c>
      <c r="V1721" s="13" t="s">
        <v>0</v>
      </c>
      <c r="W1721" s="13" t="s">
        <v>0</v>
      </c>
      <c r="X1721" s="13" t="s">
        <v>0</v>
      </c>
      <c r="Y1721" s="13" t="s">
        <v>10</v>
      </c>
      <c r="Z1721" s="13" t="s">
        <v>0</v>
      </c>
      <c r="AA1721" s="14"/>
      <c r="AB1721" s="13" t="s">
        <v>0</v>
      </c>
      <c r="AC1721" s="13" t="s">
        <v>0</v>
      </c>
      <c r="AD1721" s="13" t="s">
        <v>0</v>
      </c>
      <c r="AE1721" s="15">
        <v>0</v>
      </c>
    </row>
    <row r="1722" spans="1:31" ht="14.15" customHeight="1" x14ac:dyDescent="0.25">
      <c r="A1722" s="12" t="s">
        <v>0</v>
      </c>
      <c r="B1722" s="13" t="s">
        <v>1</v>
      </c>
      <c r="C1722" s="13" t="s">
        <v>1985</v>
      </c>
      <c r="D1722" s="14">
        <v>44196</v>
      </c>
      <c r="E1722" s="14">
        <v>44196</v>
      </c>
      <c r="F1722" s="14">
        <v>44201</v>
      </c>
      <c r="G1722" s="13" t="s">
        <v>3</v>
      </c>
      <c r="H1722" s="13" t="s">
        <v>4</v>
      </c>
      <c r="I1722" s="15">
        <v>-8856.6299999999992</v>
      </c>
      <c r="J1722" s="13" t="s">
        <v>5</v>
      </c>
      <c r="K1722" s="13" t="s">
        <v>6</v>
      </c>
      <c r="L1722" s="15">
        <v>-743514.09</v>
      </c>
      <c r="M1722" s="15">
        <v>-8856.6299999999992</v>
      </c>
      <c r="N1722" s="16" t="str">
        <f>IF(M1722="","",IF(M1722&lt;0,-M1722&amp;"_"&amp;COUNTIF(M$2:M1722,M1722),M1722&amp;"_"&amp;COUNTIF(M$2:M1722,M1722)))</f>
        <v>8856.63_1</v>
      </c>
      <c r="O1722" s="17" t="str">
        <f t="shared" si="26"/>
        <v/>
      </c>
      <c r="P1722" s="13" t="s">
        <v>1986</v>
      </c>
      <c r="Q1722" s="13" t="s">
        <v>1976</v>
      </c>
      <c r="R1722" s="13" t="s">
        <v>0</v>
      </c>
      <c r="S1722" s="13" t="s">
        <v>0</v>
      </c>
      <c r="T1722" s="13" t="s">
        <v>9</v>
      </c>
      <c r="U1722" s="13" t="s">
        <v>0</v>
      </c>
      <c r="V1722" s="13" t="s">
        <v>0</v>
      </c>
      <c r="W1722" s="13" t="s">
        <v>0</v>
      </c>
      <c r="X1722" s="13" t="s">
        <v>0</v>
      </c>
      <c r="Y1722" s="13" t="s">
        <v>10</v>
      </c>
      <c r="Z1722" s="13" t="s">
        <v>0</v>
      </c>
      <c r="AA1722" s="14"/>
      <c r="AB1722" s="13" t="s">
        <v>0</v>
      </c>
      <c r="AC1722" s="13" t="s">
        <v>0</v>
      </c>
      <c r="AD1722" s="13" t="s">
        <v>0</v>
      </c>
      <c r="AE1722" s="15">
        <v>0</v>
      </c>
    </row>
    <row r="1723" spans="1:31" ht="14.15" customHeight="1" x14ac:dyDescent="0.25">
      <c r="A1723" s="12" t="s">
        <v>0</v>
      </c>
      <c r="B1723" s="13" t="s">
        <v>1</v>
      </c>
      <c r="C1723" s="13" t="s">
        <v>517</v>
      </c>
      <c r="D1723" s="14">
        <v>44070</v>
      </c>
      <c r="E1723" s="14">
        <v>44070</v>
      </c>
      <c r="F1723" s="14">
        <v>44084</v>
      </c>
      <c r="G1723" s="13" t="s">
        <v>3</v>
      </c>
      <c r="H1723" s="13" t="s">
        <v>4</v>
      </c>
      <c r="I1723" s="15">
        <v>-8843.83</v>
      </c>
      <c r="J1723" s="13" t="s">
        <v>5</v>
      </c>
      <c r="K1723" s="13" t="s">
        <v>6</v>
      </c>
      <c r="L1723" s="15">
        <v>-742439.53</v>
      </c>
      <c r="M1723" s="15">
        <v>-8843.83</v>
      </c>
      <c r="N1723" s="16" t="str">
        <f>IF(M1723="","",IF(M1723&lt;0,-M1723&amp;"_"&amp;COUNTIF(M$2:M1723,M1723),M1723&amp;"_"&amp;COUNTIF(M$2:M1723,M1723)))</f>
        <v>8843.83_1</v>
      </c>
      <c r="O1723" s="17" t="str">
        <f t="shared" si="26"/>
        <v/>
      </c>
      <c r="P1723" s="13" t="s">
        <v>518</v>
      </c>
      <c r="Q1723" s="13" t="s">
        <v>519</v>
      </c>
      <c r="R1723" s="13" t="s">
        <v>0</v>
      </c>
      <c r="S1723" s="13" t="s">
        <v>0</v>
      </c>
      <c r="T1723" s="13" t="s">
        <v>9</v>
      </c>
      <c r="U1723" s="13" t="s">
        <v>0</v>
      </c>
      <c r="V1723" s="13" t="s">
        <v>0</v>
      </c>
      <c r="W1723" s="13" t="s">
        <v>0</v>
      </c>
      <c r="X1723" s="13" t="s">
        <v>0</v>
      </c>
      <c r="Y1723" s="13" t="s">
        <v>10</v>
      </c>
      <c r="Z1723" s="13" t="s">
        <v>0</v>
      </c>
      <c r="AA1723" s="14"/>
      <c r="AB1723" s="13" t="s">
        <v>0</v>
      </c>
      <c r="AC1723" s="13" t="s">
        <v>0</v>
      </c>
      <c r="AD1723" s="13" t="s">
        <v>0</v>
      </c>
      <c r="AE1723" s="15">
        <v>0</v>
      </c>
    </row>
    <row r="1724" spans="1:31" ht="14.15" customHeight="1" x14ac:dyDescent="0.25">
      <c r="A1724" s="12" t="s">
        <v>0</v>
      </c>
      <c r="B1724" s="13" t="s">
        <v>1</v>
      </c>
      <c r="C1724" s="13" t="s">
        <v>2513</v>
      </c>
      <c r="D1724" s="14">
        <v>44236</v>
      </c>
      <c r="E1724" s="14">
        <v>44236</v>
      </c>
      <c r="F1724" s="14">
        <v>44243</v>
      </c>
      <c r="G1724" s="13" t="s">
        <v>3</v>
      </c>
      <c r="H1724" s="13" t="s">
        <v>4</v>
      </c>
      <c r="I1724" s="15">
        <v>-8839.67</v>
      </c>
      <c r="J1724" s="13" t="s">
        <v>5</v>
      </c>
      <c r="K1724" s="13" t="s">
        <v>6</v>
      </c>
      <c r="L1724" s="15">
        <v>-742090.29</v>
      </c>
      <c r="M1724" s="15">
        <v>-8839.67</v>
      </c>
      <c r="N1724" s="16" t="str">
        <f>IF(M1724="","",IF(M1724&lt;0,-M1724&amp;"_"&amp;COUNTIF(M$2:M1724,M1724),M1724&amp;"_"&amp;COUNTIF(M$2:M1724,M1724)))</f>
        <v>8839.67_1</v>
      </c>
      <c r="O1724" s="17" t="str">
        <f t="shared" si="26"/>
        <v/>
      </c>
      <c r="P1724" s="13" t="s">
        <v>2514</v>
      </c>
      <c r="Q1724" s="13" t="s">
        <v>2510</v>
      </c>
      <c r="R1724" s="13" t="s">
        <v>0</v>
      </c>
      <c r="S1724" s="13" t="s">
        <v>0</v>
      </c>
      <c r="T1724" s="13" t="s">
        <v>9</v>
      </c>
      <c r="U1724" s="13" t="s">
        <v>0</v>
      </c>
      <c r="V1724" s="13" t="s">
        <v>0</v>
      </c>
      <c r="W1724" s="13" t="s">
        <v>0</v>
      </c>
      <c r="X1724" s="13" t="s">
        <v>0</v>
      </c>
      <c r="Y1724" s="13" t="s">
        <v>10</v>
      </c>
      <c r="Z1724" s="13" t="s">
        <v>0</v>
      </c>
      <c r="AA1724" s="14"/>
      <c r="AB1724" s="13" t="s">
        <v>0</v>
      </c>
      <c r="AC1724" s="13" t="s">
        <v>0</v>
      </c>
      <c r="AD1724" s="13" t="s">
        <v>0</v>
      </c>
      <c r="AE1724" s="15">
        <v>0</v>
      </c>
    </row>
    <row r="1725" spans="1:31" ht="14.15" customHeight="1" x14ac:dyDescent="0.25">
      <c r="A1725" s="12" t="s">
        <v>0</v>
      </c>
      <c r="B1725" s="13" t="s">
        <v>1</v>
      </c>
      <c r="C1725" s="13" t="s">
        <v>3285</v>
      </c>
      <c r="D1725" s="14">
        <v>44314</v>
      </c>
      <c r="E1725" s="14">
        <v>44314</v>
      </c>
      <c r="F1725" s="14">
        <v>44319</v>
      </c>
      <c r="G1725" s="13" t="s">
        <v>3</v>
      </c>
      <c r="H1725" s="13" t="s">
        <v>4</v>
      </c>
      <c r="I1725" s="15">
        <v>-8828.89</v>
      </c>
      <c r="J1725" s="13" t="s">
        <v>5</v>
      </c>
      <c r="K1725" s="13" t="s">
        <v>6</v>
      </c>
      <c r="L1725" s="15">
        <v>-741185.32</v>
      </c>
      <c r="M1725" s="15">
        <v>-8828.89</v>
      </c>
      <c r="N1725" s="16" t="str">
        <f>IF(M1725="","",IF(M1725&lt;0,-M1725&amp;"_"&amp;COUNTIF(M$2:M1725,M1725),M1725&amp;"_"&amp;COUNTIF(M$2:M1725,M1725)))</f>
        <v>8828.89_1</v>
      </c>
      <c r="O1725" s="17" t="str">
        <f t="shared" si="26"/>
        <v/>
      </c>
      <c r="P1725" s="13" t="s">
        <v>3286</v>
      </c>
      <c r="Q1725" s="13" t="s">
        <v>3284</v>
      </c>
      <c r="R1725" s="13" t="s">
        <v>0</v>
      </c>
      <c r="S1725" s="13" t="s">
        <v>0</v>
      </c>
      <c r="T1725" s="13" t="s">
        <v>9</v>
      </c>
      <c r="U1725" s="13" t="s">
        <v>0</v>
      </c>
      <c r="V1725" s="13" t="s">
        <v>0</v>
      </c>
      <c r="W1725" s="13" t="s">
        <v>0</v>
      </c>
      <c r="X1725" s="13" t="s">
        <v>0</v>
      </c>
      <c r="Y1725" s="13" t="s">
        <v>10</v>
      </c>
      <c r="Z1725" s="13" t="s">
        <v>0</v>
      </c>
      <c r="AA1725" s="14"/>
      <c r="AB1725" s="13" t="s">
        <v>0</v>
      </c>
      <c r="AC1725" s="13" t="s">
        <v>0</v>
      </c>
      <c r="AD1725" s="13" t="s">
        <v>0</v>
      </c>
      <c r="AE1725" s="15">
        <v>0</v>
      </c>
    </row>
    <row r="1726" spans="1:31" ht="14.15" customHeight="1" x14ac:dyDescent="0.25">
      <c r="A1726" s="12" t="s">
        <v>0</v>
      </c>
      <c r="B1726" s="13" t="s">
        <v>1</v>
      </c>
      <c r="C1726" s="13" t="s">
        <v>326</v>
      </c>
      <c r="D1726" s="14">
        <v>44043</v>
      </c>
      <c r="E1726" s="14">
        <v>44043</v>
      </c>
      <c r="F1726" s="14">
        <v>44057</v>
      </c>
      <c r="G1726" s="13" t="s">
        <v>3</v>
      </c>
      <c r="H1726" s="13" t="s">
        <v>4</v>
      </c>
      <c r="I1726" s="15">
        <v>-8813.48</v>
      </c>
      <c r="J1726" s="13" t="s">
        <v>5</v>
      </c>
      <c r="K1726" s="13" t="s">
        <v>6</v>
      </c>
      <c r="L1726" s="15">
        <v>-739891.64</v>
      </c>
      <c r="M1726" s="15">
        <v>-8813.48</v>
      </c>
      <c r="N1726" s="16" t="str">
        <f>IF(M1726="","",IF(M1726&lt;0,-M1726&amp;"_"&amp;COUNTIF(M$2:M1726,M1726),M1726&amp;"_"&amp;COUNTIF(M$2:M1726,M1726)))</f>
        <v>8813.48_1</v>
      </c>
      <c r="O1726" s="17" t="str">
        <f t="shared" si="26"/>
        <v/>
      </c>
      <c r="P1726" s="13" t="s">
        <v>327</v>
      </c>
      <c r="Q1726" s="13" t="s">
        <v>316</v>
      </c>
      <c r="R1726" s="13" t="s">
        <v>0</v>
      </c>
      <c r="S1726" s="13" t="s">
        <v>0</v>
      </c>
      <c r="T1726" s="13" t="s">
        <v>9</v>
      </c>
      <c r="U1726" s="13" t="s">
        <v>0</v>
      </c>
      <c r="V1726" s="13" t="s">
        <v>0</v>
      </c>
      <c r="W1726" s="13" t="s">
        <v>0</v>
      </c>
      <c r="X1726" s="13" t="s">
        <v>0</v>
      </c>
      <c r="Y1726" s="13" t="s">
        <v>10</v>
      </c>
      <c r="Z1726" s="13" t="s">
        <v>0</v>
      </c>
      <c r="AA1726" s="14"/>
      <c r="AB1726" s="13" t="s">
        <v>0</v>
      </c>
      <c r="AC1726" s="13" t="s">
        <v>0</v>
      </c>
      <c r="AD1726" s="13" t="s">
        <v>0</v>
      </c>
      <c r="AE1726" s="15">
        <v>0</v>
      </c>
    </row>
    <row r="1727" spans="1:31" ht="14.15" customHeight="1" x14ac:dyDescent="0.25">
      <c r="A1727" s="12" t="s">
        <v>0</v>
      </c>
      <c r="B1727" s="13" t="s">
        <v>289</v>
      </c>
      <c r="C1727" s="13" t="s">
        <v>2402</v>
      </c>
      <c r="D1727" s="14">
        <v>44227</v>
      </c>
      <c r="E1727" s="14">
        <v>44227</v>
      </c>
      <c r="F1727" s="14">
        <v>44234</v>
      </c>
      <c r="G1727" s="13" t="s">
        <v>48</v>
      </c>
      <c r="H1727" s="13" t="s">
        <v>4</v>
      </c>
      <c r="I1727" s="15">
        <v>-8799.89</v>
      </c>
      <c r="J1727" s="13" t="s">
        <v>5</v>
      </c>
      <c r="K1727" s="13" t="s">
        <v>6</v>
      </c>
      <c r="L1727" s="15">
        <v>-738750.77</v>
      </c>
      <c r="M1727" s="15">
        <v>-8799.89</v>
      </c>
      <c r="N1727" s="16" t="str">
        <f>IF(M1727="","",IF(M1727&lt;0,-M1727&amp;"_"&amp;COUNTIF(M$2:M1727,M1727),M1727&amp;"_"&amp;COUNTIF(M$2:M1727,M1727)))</f>
        <v>8799.89_1</v>
      </c>
      <c r="O1727" s="17" t="str">
        <f t="shared" si="26"/>
        <v/>
      </c>
      <c r="P1727" s="13" t="s">
        <v>2403</v>
      </c>
      <c r="Q1727" s="13" t="s">
        <v>2403</v>
      </c>
      <c r="R1727" s="13" t="s">
        <v>2401</v>
      </c>
      <c r="S1727" s="13" t="s">
        <v>0</v>
      </c>
      <c r="T1727" s="13" t="s">
        <v>9</v>
      </c>
      <c r="U1727" s="13" t="s">
        <v>295</v>
      </c>
      <c r="V1727" s="13" t="s">
        <v>0</v>
      </c>
      <c r="W1727" s="13" t="s">
        <v>0</v>
      </c>
      <c r="X1727" s="13" t="s">
        <v>0</v>
      </c>
      <c r="Y1727" s="13" t="s">
        <v>0</v>
      </c>
      <c r="Z1727" s="13" t="s">
        <v>0</v>
      </c>
      <c r="AA1727" s="14"/>
      <c r="AB1727" s="13" t="s">
        <v>0</v>
      </c>
      <c r="AC1727" s="13" t="s">
        <v>0</v>
      </c>
      <c r="AD1727" s="13" t="s">
        <v>0</v>
      </c>
      <c r="AE1727" s="15">
        <v>0</v>
      </c>
    </row>
    <row r="1728" spans="1:31" ht="14.15" customHeight="1" x14ac:dyDescent="0.25">
      <c r="A1728" s="12" t="s">
        <v>0</v>
      </c>
      <c r="B1728" s="13" t="s">
        <v>1</v>
      </c>
      <c r="C1728" s="13" t="s">
        <v>3029</v>
      </c>
      <c r="D1728" s="14">
        <v>44281</v>
      </c>
      <c r="E1728" s="14">
        <v>44281</v>
      </c>
      <c r="F1728" s="14">
        <v>44290</v>
      </c>
      <c r="G1728" s="13" t="s">
        <v>3</v>
      </c>
      <c r="H1728" s="13" t="s">
        <v>4</v>
      </c>
      <c r="I1728" s="15">
        <v>-8788.9</v>
      </c>
      <c r="J1728" s="13" t="s">
        <v>5</v>
      </c>
      <c r="K1728" s="13" t="s">
        <v>6</v>
      </c>
      <c r="L1728" s="15">
        <v>-737828.16</v>
      </c>
      <c r="M1728" s="15">
        <v>-8788.9</v>
      </c>
      <c r="N1728" s="16" t="str">
        <f>IF(M1728="","",IF(M1728&lt;0,-M1728&amp;"_"&amp;COUNTIF(M$2:M1728,M1728),M1728&amp;"_"&amp;COUNTIF(M$2:M1728,M1728)))</f>
        <v>8788.9_1</v>
      </c>
      <c r="O1728" s="17" t="str">
        <f t="shared" si="26"/>
        <v/>
      </c>
      <c r="P1728" s="13" t="s">
        <v>3030</v>
      </c>
      <c r="Q1728" s="13" t="s">
        <v>3014</v>
      </c>
      <c r="R1728" s="13" t="s">
        <v>0</v>
      </c>
      <c r="S1728" s="13" t="s">
        <v>0</v>
      </c>
      <c r="T1728" s="13" t="s">
        <v>9</v>
      </c>
      <c r="U1728" s="13" t="s">
        <v>0</v>
      </c>
      <c r="V1728" s="13" t="s">
        <v>0</v>
      </c>
      <c r="W1728" s="13" t="s">
        <v>0</v>
      </c>
      <c r="X1728" s="13" t="s">
        <v>0</v>
      </c>
      <c r="Y1728" s="13" t="s">
        <v>10</v>
      </c>
      <c r="Z1728" s="13" t="s">
        <v>0</v>
      </c>
      <c r="AA1728" s="14"/>
      <c r="AB1728" s="13" t="s">
        <v>0</v>
      </c>
      <c r="AC1728" s="13" t="s">
        <v>0</v>
      </c>
      <c r="AD1728" s="13" t="s">
        <v>0</v>
      </c>
      <c r="AE1728" s="15">
        <v>0</v>
      </c>
    </row>
    <row r="1729" spans="1:31" ht="14.15" customHeight="1" x14ac:dyDescent="0.25">
      <c r="A1729" s="12" t="s">
        <v>0</v>
      </c>
      <c r="B1729" s="13" t="s">
        <v>1</v>
      </c>
      <c r="C1729" s="13" t="s">
        <v>38</v>
      </c>
      <c r="D1729" s="14">
        <v>44015</v>
      </c>
      <c r="E1729" s="14">
        <v>44015</v>
      </c>
      <c r="F1729" s="14">
        <v>44030</v>
      </c>
      <c r="G1729" s="13" t="s">
        <v>3</v>
      </c>
      <c r="H1729" s="13" t="s">
        <v>4</v>
      </c>
      <c r="I1729" s="15">
        <v>-8770.0400000000009</v>
      </c>
      <c r="J1729" s="13" t="s">
        <v>5</v>
      </c>
      <c r="K1729" s="13" t="s">
        <v>6</v>
      </c>
      <c r="L1729" s="15">
        <v>-736244.86</v>
      </c>
      <c r="M1729" s="15">
        <v>-8770.0400000000009</v>
      </c>
      <c r="N1729" s="16" t="str">
        <f>IF(M1729="","",IF(M1729&lt;0,-M1729&amp;"_"&amp;COUNTIF(M$2:M1729,M1729),M1729&amp;"_"&amp;COUNTIF(M$2:M1729,M1729)))</f>
        <v>8770.04_1</v>
      </c>
      <c r="O1729" s="17" t="str">
        <f t="shared" si="26"/>
        <v/>
      </c>
      <c r="P1729" s="13" t="s">
        <v>39</v>
      </c>
      <c r="Q1729" s="13" t="s">
        <v>27</v>
      </c>
      <c r="R1729" s="13" t="s">
        <v>0</v>
      </c>
      <c r="S1729" s="13" t="s">
        <v>0</v>
      </c>
      <c r="T1729" s="13" t="s">
        <v>9</v>
      </c>
      <c r="U1729" s="13" t="s">
        <v>0</v>
      </c>
      <c r="V1729" s="13" t="s">
        <v>0</v>
      </c>
      <c r="W1729" s="13" t="s">
        <v>0</v>
      </c>
      <c r="X1729" s="13" t="s">
        <v>0</v>
      </c>
      <c r="Y1729" s="13" t="s">
        <v>10</v>
      </c>
      <c r="Z1729" s="13" t="s">
        <v>0</v>
      </c>
      <c r="AA1729" s="14"/>
      <c r="AB1729" s="13" t="s">
        <v>0</v>
      </c>
      <c r="AC1729" s="13" t="s">
        <v>0</v>
      </c>
      <c r="AD1729" s="13" t="s">
        <v>0</v>
      </c>
      <c r="AE1729" s="15">
        <v>0</v>
      </c>
    </row>
    <row r="1730" spans="1:31" ht="14.15" customHeight="1" x14ac:dyDescent="0.25">
      <c r="A1730" s="12" t="s">
        <v>0</v>
      </c>
      <c r="B1730" s="13" t="s">
        <v>1</v>
      </c>
      <c r="C1730" s="13" t="s">
        <v>4197</v>
      </c>
      <c r="D1730" s="14">
        <v>44364</v>
      </c>
      <c r="E1730" s="14">
        <v>44364</v>
      </c>
      <c r="F1730" s="14">
        <v>44370</v>
      </c>
      <c r="G1730" s="13" t="s">
        <v>3</v>
      </c>
      <c r="H1730" s="13" t="s">
        <v>4</v>
      </c>
      <c r="I1730" s="15">
        <v>-8763</v>
      </c>
      <c r="J1730" s="13" t="s">
        <v>5</v>
      </c>
      <c r="K1730" s="13" t="s">
        <v>6</v>
      </c>
      <c r="L1730" s="15">
        <v>-735653.85</v>
      </c>
      <c r="M1730" s="15">
        <v>-8763</v>
      </c>
      <c r="N1730" s="16" t="str">
        <f>IF(M1730="","",IF(M1730&lt;0,-M1730&amp;"_"&amp;COUNTIF(M$2:M1730,M1730),M1730&amp;"_"&amp;COUNTIF(M$2:M1730,M1730)))</f>
        <v>8763_1</v>
      </c>
      <c r="O1730" s="17" t="str">
        <f t="shared" ref="O1730:O1793" si="27">IF(COUNTIF(N:N,N1730)=2,"x","")</f>
        <v/>
      </c>
      <c r="P1730" s="13" t="s">
        <v>4198</v>
      </c>
      <c r="Q1730" s="13" t="s">
        <v>4180</v>
      </c>
      <c r="R1730" s="13" t="s">
        <v>0</v>
      </c>
      <c r="S1730" s="13" t="s">
        <v>0</v>
      </c>
      <c r="T1730" s="13" t="s">
        <v>9</v>
      </c>
      <c r="U1730" s="13" t="s">
        <v>0</v>
      </c>
      <c r="V1730" s="13" t="s">
        <v>0</v>
      </c>
      <c r="W1730" s="13" t="s">
        <v>0</v>
      </c>
      <c r="X1730" s="13" t="s">
        <v>0</v>
      </c>
      <c r="Y1730" s="13" t="s">
        <v>10</v>
      </c>
      <c r="Z1730" s="13" t="s">
        <v>0</v>
      </c>
      <c r="AA1730" s="14"/>
      <c r="AB1730" s="13" t="s">
        <v>0</v>
      </c>
      <c r="AC1730" s="13" t="s">
        <v>0</v>
      </c>
      <c r="AD1730" s="13" t="s">
        <v>0</v>
      </c>
      <c r="AE1730" s="15">
        <v>0</v>
      </c>
    </row>
    <row r="1731" spans="1:31" ht="14.15" customHeight="1" x14ac:dyDescent="0.25">
      <c r="A1731" s="12" t="s">
        <v>0</v>
      </c>
      <c r="B1731" s="13" t="s">
        <v>1</v>
      </c>
      <c r="C1731" s="13" t="s">
        <v>4367</v>
      </c>
      <c r="D1731" s="14">
        <v>44376</v>
      </c>
      <c r="E1731" s="14">
        <v>44376</v>
      </c>
      <c r="F1731" s="14">
        <v>44384</v>
      </c>
      <c r="G1731" s="13" t="s">
        <v>3</v>
      </c>
      <c r="H1731" s="13" t="s">
        <v>4</v>
      </c>
      <c r="I1731" s="15">
        <v>-8755.6299999999992</v>
      </c>
      <c r="J1731" s="13" t="s">
        <v>5</v>
      </c>
      <c r="K1731" s="13" t="s">
        <v>6</v>
      </c>
      <c r="L1731" s="15">
        <v>-735035.13</v>
      </c>
      <c r="M1731" s="15">
        <v>-8755.6299999999992</v>
      </c>
      <c r="N1731" s="16" t="str">
        <f>IF(M1731="","",IF(M1731&lt;0,-M1731&amp;"_"&amp;COUNTIF(M$2:M1731,M1731),M1731&amp;"_"&amp;COUNTIF(M$2:M1731,M1731)))</f>
        <v>8755.63_1</v>
      </c>
      <c r="O1731" s="17" t="str">
        <f t="shared" si="27"/>
        <v/>
      </c>
      <c r="P1731" s="13" t="s">
        <v>4368</v>
      </c>
      <c r="Q1731" s="13" t="s">
        <v>4350</v>
      </c>
      <c r="R1731" s="13" t="s">
        <v>0</v>
      </c>
      <c r="S1731" s="13" t="s">
        <v>0</v>
      </c>
      <c r="T1731" s="13" t="s">
        <v>9</v>
      </c>
      <c r="U1731" s="13" t="s">
        <v>0</v>
      </c>
      <c r="V1731" s="13" t="s">
        <v>0</v>
      </c>
      <c r="W1731" s="13" t="s">
        <v>0</v>
      </c>
      <c r="X1731" s="13" t="s">
        <v>0</v>
      </c>
      <c r="Y1731" s="13" t="s">
        <v>10</v>
      </c>
      <c r="Z1731" s="13" t="s">
        <v>0</v>
      </c>
      <c r="AA1731" s="14"/>
      <c r="AB1731" s="13" t="s">
        <v>0</v>
      </c>
      <c r="AC1731" s="13" t="s">
        <v>0</v>
      </c>
      <c r="AD1731" s="13" t="s">
        <v>0</v>
      </c>
      <c r="AE1731" s="15">
        <v>0</v>
      </c>
    </row>
    <row r="1732" spans="1:31" ht="14.15" customHeight="1" x14ac:dyDescent="0.25">
      <c r="A1732" s="12" t="s">
        <v>0</v>
      </c>
      <c r="B1732" s="13" t="s">
        <v>1</v>
      </c>
      <c r="C1732" s="13" t="s">
        <v>3601</v>
      </c>
      <c r="D1732" s="14">
        <v>44329</v>
      </c>
      <c r="E1732" s="14">
        <v>44329</v>
      </c>
      <c r="F1732" s="14">
        <v>44336</v>
      </c>
      <c r="G1732" s="13" t="s">
        <v>3</v>
      </c>
      <c r="H1732" s="13" t="s">
        <v>4</v>
      </c>
      <c r="I1732" s="15">
        <v>-8755.0400000000009</v>
      </c>
      <c r="J1732" s="13" t="s">
        <v>5</v>
      </c>
      <c r="K1732" s="13" t="s">
        <v>6</v>
      </c>
      <c r="L1732" s="15">
        <v>-734985.61</v>
      </c>
      <c r="M1732" s="15">
        <v>-8755.0400000000009</v>
      </c>
      <c r="N1732" s="16" t="str">
        <f>IF(M1732="","",IF(M1732&lt;0,-M1732&amp;"_"&amp;COUNTIF(M$2:M1732,M1732),M1732&amp;"_"&amp;COUNTIF(M$2:M1732,M1732)))</f>
        <v>8755.04_1</v>
      </c>
      <c r="O1732" s="17" t="str">
        <f t="shared" si="27"/>
        <v/>
      </c>
      <c r="P1732" s="13" t="s">
        <v>3602</v>
      </c>
      <c r="Q1732" s="13" t="s">
        <v>3603</v>
      </c>
      <c r="R1732" s="13" t="s">
        <v>0</v>
      </c>
      <c r="S1732" s="13" t="s">
        <v>0</v>
      </c>
      <c r="T1732" s="13" t="s">
        <v>9</v>
      </c>
      <c r="U1732" s="13" t="s">
        <v>0</v>
      </c>
      <c r="V1732" s="13" t="s">
        <v>0</v>
      </c>
      <c r="W1732" s="13" t="s">
        <v>0</v>
      </c>
      <c r="X1732" s="13" t="s">
        <v>0</v>
      </c>
      <c r="Y1732" s="13" t="s">
        <v>10</v>
      </c>
      <c r="Z1732" s="13" t="s">
        <v>0</v>
      </c>
      <c r="AA1732" s="14"/>
      <c r="AB1732" s="13" t="s">
        <v>0</v>
      </c>
      <c r="AC1732" s="13" t="s">
        <v>0</v>
      </c>
      <c r="AD1732" s="13" t="s">
        <v>0</v>
      </c>
      <c r="AE1732" s="15">
        <v>0</v>
      </c>
    </row>
    <row r="1733" spans="1:31" ht="14.15" customHeight="1" x14ac:dyDescent="0.25">
      <c r="A1733" s="12" t="s">
        <v>0</v>
      </c>
      <c r="B1733" s="13" t="s">
        <v>1</v>
      </c>
      <c r="C1733" s="13" t="s">
        <v>2293</v>
      </c>
      <c r="D1733" s="14">
        <v>44219</v>
      </c>
      <c r="E1733" s="14">
        <v>44219</v>
      </c>
      <c r="F1733" s="14">
        <v>44226</v>
      </c>
      <c r="G1733" s="13" t="s">
        <v>3</v>
      </c>
      <c r="H1733" s="13" t="s">
        <v>4</v>
      </c>
      <c r="I1733" s="15">
        <v>-8754.8700000000008</v>
      </c>
      <c r="J1733" s="13" t="s">
        <v>5</v>
      </c>
      <c r="K1733" s="13" t="s">
        <v>6</v>
      </c>
      <c r="L1733" s="15">
        <v>-734971.34</v>
      </c>
      <c r="M1733" s="15">
        <v>-8754.8700000000008</v>
      </c>
      <c r="N1733" s="16" t="str">
        <f>IF(M1733="","",IF(M1733&lt;0,-M1733&amp;"_"&amp;COUNTIF(M$2:M1733,M1733),M1733&amp;"_"&amp;COUNTIF(M$2:M1733,M1733)))</f>
        <v>8754.87_1</v>
      </c>
      <c r="O1733" s="17" t="str">
        <f t="shared" si="27"/>
        <v/>
      </c>
      <c r="P1733" s="13" t="s">
        <v>2294</v>
      </c>
      <c r="Q1733" s="13" t="s">
        <v>2282</v>
      </c>
      <c r="R1733" s="13" t="s">
        <v>0</v>
      </c>
      <c r="S1733" s="13" t="s">
        <v>0</v>
      </c>
      <c r="T1733" s="13" t="s">
        <v>9</v>
      </c>
      <c r="U1733" s="13" t="s">
        <v>0</v>
      </c>
      <c r="V1733" s="13" t="s">
        <v>0</v>
      </c>
      <c r="W1733" s="13" t="s">
        <v>0</v>
      </c>
      <c r="X1733" s="13" t="s">
        <v>0</v>
      </c>
      <c r="Y1733" s="13" t="s">
        <v>10</v>
      </c>
      <c r="Z1733" s="13" t="s">
        <v>0</v>
      </c>
      <c r="AA1733" s="14"/>
      <c r="AB1733" s="13" t="s">
        <v>0</v>
      </c>
      <c r="AC1733" s="13" t="s">
        <v>0</v>
      </c>
      <c r="AD1733" s="13" t="s">
        <v>0</v>
      </c>
      <c r="AE1733" s="15">
        <v>0</v>
      </c>
    </row>
    <row r="1734" spans="1:31" ht="14.15" customHeight="1" x14ac:dyDescent="0.25">
      <c r="A1734" s="12" t="s">
        <v>0</v>
      </c>
      <c r="B1734" s="13" t="s">
        <v>1</v>
      </c>
      <c r="C1734" s="13" t="s">
        <v>2166</v>
      </c>
      <c r="D1734" s="14">
        <v>44209</v>
      </c>
      <c r="E1734" s="14">
        <v>44209</v>
      </c>
      <c r="F1734" s="14">
        <v>44219</v>
      </c>
      <c r="G1734" s="13" t="s">
        <v>3</v>
      </c>
      <c r="H1734" s="13" t="s">
        <v>4</v>
      </c>
      <c r="I1734" s="15">
        <v>-8750.9500000000007</v>
      </c>
      <c r="J1734" s="13" t="s">
        <v>5</v>
      </c>
      <c r="K1734" s="13" t="s">
        <v>6</v>
      </c>
      <c r="L1734" s="15">
        <v>-734642.25</v>
      </c>
      <c r="M1734" s="15">
        <v>-8750.9500000000007</v>
      </c>
      <c r="N1734" s="16" t="str">
        <f>IF(M1734="","",IF(M1734&lt;0,-M1734&amp;"_"&amp;COUNTIF(M$2:M1734,M1734),M1734&amp;"_"&amp;COUNTIF(M$2:M1734,M1734)))</f>
        <v>8750.95_1</v>
      </c>
      <c r="O1734" s="17" t="str">
        <f t="shared" si="27"/>
        <v/>
      </c>
      <c r="P1734" s="13" t="s">
        <v>2167</v>
      </c>
      <c r="Q1734" s="13" t="s">
        <v>2159</v>
      </c>
      <c r="R1734" s="13" t="s">
        <v>0</v>
      </c>
      <c r="S1734" s="13" t="s">
        <v>0</v>
      </c>
      <c r="T1734" s="13" t="s">
        <v>9</v>
      </c>
      <c r="U1734" s="13" t="s">
        <v>0</v>
      </c>
      <c r="V1734" s="13" t="s">
        <v>0</v>
      </c>
      <c r="W1734" s="13" t="s">
        <v>0</v>
      </c>
      <c r="X1734" s="13" t="s">
        <v>0</v>
      </c>
      <c r="Y1734" s="13" t="s">
        <v>10</v>
      </c>
      <c r="Z1734" s="13" t="s">
        <v>0</v>
      </c>
      <c r="AA1734" s="14"/>
      <c r="AB1734" s="13" t="s">
        <v>0</v>
      </c>
      <c r="AC1734" s="13" t="s">
        <v>0</v>
      </c>
      <c r="AD1734" s="13" t="s">
        <v>0</v>
      </c>
      <c r="AE1734" s="15">
        <v>0</v>
      </c>
    </row>
    <row r="1735" spans="1:31" ht="14.15" customHeight="1" x14ac:dyDescent="0.25">
      <c r="A1735" s="12" t="s">
        <v>0</v>
      </c>
      <c r="B1735" s="13" t="s">
        <v>1</v>
      </c>
      <c r="C1735" s="13" t="s">
        <v>2</v>
      </c>
      <c r="D1735" s="14">
        <v>44014</v>
      </c>
      <c r="E1735" s="14">
        <v>44014</v>
      </c>
      <c r="F1735" s="14">
        <v>44018</v>
      </c>
      <c r="G1735" s="13" t="s">
        <v>3</v>
      </c>
      <c r="H1735" s="13" t="s">
        <v>4</v>
      </c>
      <c r="I1735" s="15">
        <v>-8749.25</v>
      </c>
      <c r="J1735" s="13" t="s">
        <v>5</v>
      </c>
      <c r="K1735" s="13" t="s">
        <v>6</v>
      </c>
      <c r="L1735" s="15">
        <v>-734499.53</v>
      </c>
      <c r="M1735" s="15">
        <v>-8749.25</v>
      </c>
      <c r="N1735" s="16" t="str">
        <f>IF(M1735="","",IF(M1735&lt;0,-M1735&amp;"_"&amp;COUNTIF(M$2:M1735,M1735),M1735&amp;"_"&amp;COUNTIF(M$2:M1735,M1735)))</f>
        <v>8749.25_1</v>
      </c>
      <c r="O1735" s="17" t="str">
        <f t="shared" si="27"/>
        <v/>
      </c>
      <c r="P1735" s="13" t="s">
        <v>7</v>
      </c>
      <c r="Q1735" s="13" t="s">
        <v>8</v>
      </c>
      <c r="R1735" s="13" t="s">
        <v>0</v>
      </c>
      <c r="S1735" s="13" t="s">
        <v>0</v>
      </c>
      <c r="T1735" s="13" t="s">
        <v>9</v>
      </c>
      <c r="U1735" s="13" t="s">
        <v>0</v>
      </c>
      <c r="V1735" s="13" t="s">
        <v>0</v>
      </c>
      <c r="W1735" s="13" t="s">
        <v>0</v>
      </c>
      <c r="X1735" s="13" t="s">
        <v>0</v>
      </c>
      <c r="Y1735" s="13" t="s">
        <v>10</v>
      </c>
      <c r="Z1735" s="13" t="s">
        <v>0</v>
      </c>
      <c r="AA1735" s="14"/>
      <c r="AB1735" s="13" t="s">
        <v>0</v>
      </c>
      <c r="AC1735" s="13" t="s">
        <v>0</v>
      </c>
      <c r="AD1735" s="13" t="s">
        <v>0</v>
      </c>
      <c r="AE1735" s="15">
        <v>0</v>
      </c>
    </row>
    <row r="1736" spans="1:31" ht="14.15" customHeight="1" x14ac:dyDescent="0.25">
      <c r="A1736" s="12" t="s">
        <v>0</v>
      </c>
      <c r="B1736" s="13" t="s">
        <v>289</v>
      </c>
      <c r="C1736" s="13" t="s">
        <v>3105</v>
      </c>
      <c r="D1736" s="14">
        <v>44287</v>
      </c>
      <c r="E1736" s="14">
        <v>44287</v>
      </c>
      <c r="F1736" s="14">
        <v>44321</v>
      </c>
      <c r="G1736" s="13" t="s">
        <v>3106</v>
      </c>
      <c r="H1736" s="13" t="s">
        <v>4</v>
      </c>
      <c r="I1736" s="15">
        <v>-8741.4500000000007</v>
      </c>
      <c r="J1736" s="13" t="s">
        <v>5</v>
      </c>
      <c r="K1736" s="13" t="s">
        <v>6</v>
      </c>
      <c r="L1736" s="15">
        <v>-733844.73</v>
      </c>
      <c r="M1736" s="15">
        <v>-8741.4500000000007</v>
      </c>
      <c r="N1736" s="16" t="str">
        <f>IF(M1736="","",IF(M1736&lt;0,-M1736&amp;"_"&amp;COUNTIF(M$2:M1736,M1736),M1736&amp;"_"&amp;COUNTIF(M$2:M1736,M1736)))</f>
        <v>8741.45_1</v>
      </c>
      <c r="O1736" s="17" t="str">
        <f t="shared" si="27"/>
        <v/>
      </c>
      <c r="P1736" s="13" t="s">
        <v>3107</v>
      </c>
      <c r="Q1736" s="13" t="s">
        <v>3108</v>
      </c>
      <c r="R1736" s="13" t="s">
        <v>3109</v>
      </c>
      <c r="S1736" s="13" t="s">
        <v>0</v>
      </c>
      <c r="T1736" s="13" t="s">
        <v>9</v>
      </c>
      <c r="U1736" s="13" t="s">
        <v>3095</v>
      </c>
      <c r="V1736" s="13" t="s">
        <v>0</v>
      </c>
      <c r="W1736" s="13" t="s">
        <v>0</v>
      </c>
      <c r="X1736" s="13" t="s">
        <v>0</v>
      </c>
      <c r="Y1736" s="13" t="s">
        <v>0</v>
      </c>
      <c r="Z1736" s="13" t="s">
        <v>0</v>
      </c>
      <c r="AA1736" s="14"/>
      <c r="AB1736" s="13" t="s">
        <v>0</v>
      </c>
      <c r="AC1736" s="13" t="s">
        <v>0</v>
      </c>
      <c r="AD1736" s="13" t="s">
        <v>0</v>
      </c>
      <c r="AE1736" s="15">
        <v>0</v>
      </c>
    </row>
    <row r="1737" spans="1:31" ht="14.15" customHeight="1" x14ac:dyDescent="0.25">
      <c r="A1737" s="12" t="s">
        <v>0</v>
      </c>
      <c r="B1737" s="13" t="s">
        <v>1</v>
      </c>
      <c r="C1737" s="13" t="s">
        <v>4230</v>
      </c>
      <c r="D1737" s="14">
        <v>44367</v>
      </c>
      <c r="E1737" s="14">
        <v>44367</v>
      </c>
      <c r="F1737" s="14">
        <v>44371</v>
      </c>
      <c r="G1737" s="13" t="s">
        <v>3</v>
      </c>
      <c r="H1737" s="13" t="s">
        <v>4</v>
      </c>
      <c r="I1737" s="15">
        <v>-8739.32</v>
      </c>
      <c r="J1737" s="13" t="s">
        <v>5</v>
      </c>
      <c r="K1737" s="13" t="s">
        <v>6</v>
      </c>
      <c r="L1737" s="15">
        <v>-733665.91</v>
      </c>
      <c r="M1737" s="15">
        <v>-8739.32</v>
      </c>
      <c r="N1737" s="16" t="str">
        <f>IF(M1737="","",IF(M1737&lt;0,-M1737&amp;"_"&amp;COUNTIF(M$2:M1737,M1737),M1737&amp;"_"&amp;COUNTIF(M$2:M1737,M1737)))</f>
        <v>8739.32_1</v>
      </c>
      <c r="O1737" s="17" t="str">
        <f t="shared" si="27"/>
        <v/>
      </c>
      <c r="P1737" s="13" t="s">
        <v>4231</v>
      </c>
      <c r="Q1737" s="13" t="s">
        <v>4227</v>
      </c>
      <c r="R1737" s="13" t="s">
        <v>0</v>
      </c>
      <c r="S1737" s="13" t="s">
        <v>0</v>
      </c>
      <c r="T1737" s="13" t="s">
        <v>9</v>
      </c>
      <c r="U1737" s="13" t="s">
        <v>0</v>
      </c>
      <c r="V1737" s="13" t="s">
        <v>0</v>
      </c>
      <c r="W1737" s="13" t="s">
        <v>0</v>
      </c>
      <c r="X1737" s="13" t="s">
        <v>0</v>
      </c>
      <c r="Y1737" s="13" t="s">
        <v>10</v>
      </c>
      <c r="Z1737" s="13" t="s">
        <v>0</v>
      </c>
      <c r="AA1737" s="14"/>
      <c r="AB1737" s="13" t="s">
        <v>0</v>
      </c>
      <c r="AC1737" s="13" t="s">
        <v>0</v>
      </c>
      <c r="AD1737" s="13" t="s">
        <v>0</v>
      </c>
      <c r="AE1737" s="15">
        <v>0</v>
      </c>
    </row>
    <row r="1738" spans="1:31" ht="14.15" customHeight="1" x14ac:dyDescent="0.25">
      <c r="A1738" s="12" t="s">
        <v>0</v>
      </c>
      <c r="B1738" s="13" t="s">
        <v>1</v>
      </c>
      <c r="C1738" s="13" t="s">
        <v>3276</v>
      </c>
      <c r="D1738" s="14">
        <v>44311</v>
      </c>
      <c r="E1738" s="14">
        <v>44311</v>
      </c>
      <c r="F1738" s="14">
        <v>44315</v>
      </c>
      <c r="G1738" s="13" t="s">
        <v>3</v>
      </c>
      <c r="H1738" s="13" t="s">
        <v>4</v>
      </c>
      <c r="I1738" s="15">
        <v>-8724.24</v>
      </c>
      <c r="J1738" s="13" t="s">
        <v>5</v>
      </c>
      <c r="K1738" s="13" t="s">
        <v>6</v>
      </c>
      <c r="L1738" s="15">
        <v>-732399.95</v>
      </c>
      <c r="M1738" s="15">
        <v>-8724.24</v>
      </c>
      <c r="N1738" s="16" t="str">
        <f>IF(M1738="","",IF(M1738&lt;0,-M1738&amp;"_"&amp;COUNTIF(M$2:M1738,M1738),M1738&amp;"_"&amp;COUNTIF(M$2:M1738,M1738)))</f>
        <v>8724.24_1</v>
      </c>
      <c r="O1738" s="17" t="str">
        <f t="shared" si="27"/>
        <v/>
      </c>
      <c r="P1738" s="13" t="s">
        <v>3277</v>
      </c>
      <c r="Q1738" s="13" t="s">
        <v>3269</v>
      </c>
      <c r="R1738" s="13" t="s">
        <v>0</v>
      </c>
      <c r="S1738" s="13" t="s">
        <v>0</v>
      </c>
      <c r="T1738" s="13" t="s">
        <v>9</v>
      </c>
      <c r="U1738" s="13" t="s">
        <v>0</v>
      </c>
      <c r="V1738" s="13" t="s">
        <v>0</v>
      </c>
      <c r="W1738" s="13" t="s">
        <v>0</v>
      </c>
      <c r="X1738" s="13" t="s">
        <v>0</v>
      </c>
      <c r="Y1738" s="13" t="s">
        <v>10</v>
      </c>
      <c r="Z1738" s="13" t="s">
        <v>0</v>
      </c>
      <c r="AA1738" s="14"/>
      <c r="AB1738" s="13" t="s">
        <v>0</v>
      </c>
      <c r="AC1738" s="13" t="s">
        <v>0</v>
      </c>
      <c r="AD1738" s="13" t="s">
        <v>0</v>
      </c>
      <c r="AE1738" s="15">
        <v>0</v>
      </c>
    </row>
    <row r="1739" spans="1:31" ht="14.15" customHeight="1" x14ac:dyDescent="0.25">
      <c r="A1739" s="12" t="s">
        <v>0</v>
      </c>
      <c r="B1739" s="13" t="s">
        <v>1</v>
      </c>
      <c r="C1739" s="13" t="s">
        <v>1610</v>
      </c>
      <c r="D1739" s="14">
        <v>44168</v>
      </c>
      <c r="E1739" s="14">
        <v>44168</v>
      </c>
      <c r="F1739" s="14">
        <v>44174</v>
      </c>
      <c r="G1739" s="13" t="s">
        <v>3</v>
      </c>
      <c r="H1739" s="13" t="s">
        <v>4</v>
      </c>
      <c r="I1739" s="15">
        <v>-8694.19</v>
      </c>
      <c r="J1739" s="13" t="s">
        <v>5</v>
      </c>
      <c r="K1739" s="13" t="s">
        <v>6</v>
      </c>
      <c r="L1739" s="15">
        <v>-729877.25</v>
      </c>
      <c r="M1739" s="15">
        <v>-8694.19</v>
      </c>
      <c r="N1739" s="16" t="str">
        <f>IF(M1739="","",IF(M1739&lt;0,-M1739&amp;"_"&amp;COUNTIF(M$2:M1739,M1739),M1739&amp;"_"&amp;COUNTIF(M$2:M1739,M1739)))</f>
        <v>8694.19_1</v>
      </c>
      <c r="O1739" s="17" t="str">
        <f t="shared" si="27"/>
        <v/>
      </c>
      <c r="P1739" s="13" t="s">
        <v>1611</v>
      </c>
      <c r="Q1739" s="13" t="s">
        <v>1605</v>
      </c>
      <c r="R1739" s="13" t="s">
        <v>0</v>
      </c>
      <c r="S1739" s="13" t="s">
        <v>0</v>
      </c>
      <c r="T1739" s="13" t="s">
        <v>9</v>
      </c>
      <c r="U1739" s="13" t="s">
        <v>0</v>
      </c>
      <c r="V1739" s="13" t="s">
        <v>0</v>
      </c>
      <c r="W1739" s="13" t="s">
        <v>0</v>
      </c>
      <c r="X1739" s="13" t="s">
        <v>0</v>
      </c>
      <c r="Y1739" s="13" t="s">
        <v>10</v>
      </c>
      <c r="Z1739" s="13" t="s">
        <v>0</v>
      </c>
      <c r="AA1739" s="14"/>
      <c r="AB1739" s="13" t="s">
        <v>0</v>
      </c>
      <c r="AC1739" s="13" t="s">
        <v>0</v>
      </c>
      <c r="AD1739" s="13" t="s">
        <v>0</v>
      </c>
      <c r="AE1739" s="15">
        <v>0</v>
      </c>
    </row>
    <row r="1740" spans="1:31" ht="14.15" customHeight="1" x14ac:dyDescent="0.25">
      <c r="A1740" s="12" t="s">
        <v>0</v>
      </c>
      <c r="B1740" s="13" t="s">
        <v>1</v>
      </c>
      <c r="C1740" s="13" t="s">
        <v>1204</v>
      </c>
      <c r="D1740" s="14">
        <v>44140</v>
      </c>
      <c r="E1740" s="14">
        <v>44140</v>
      </c>
      <c r="F1740" s="14">
        <v>44146</v>
      </c>
      <c r="G1740" s="13" t="s">
        <v>3</v>
      </c>
      <c r="H1740" s="13" t="s">
        <v>4</v>
      </c>
      <c r="I1740" s="15">
        <v>-8678.1</v>
      </c>
      <c r="J1740" s="13" t="s">
        <v>5</v>
      </c>
      <c r="K1740" s="13" t="s">
        <v>6</v>
      </c>
      <c r="L1740" s="15">
        <v>-728526.5</v>
      </c>
      <c r="M1740" s="15">
        <v>-8678.1</v>
      </c>
      <c r="N1740" s="16" t="str">
        <f>IF(M1740="","",IF(M1740&lt;0,-M1740&amp;"_"&amp;COUNTIF(M$2:M1740,M1740),M1740&amp;"_"&amp;COUNTIF(M$2:M1740,M1740)))</f>
        <v>8678.1_1</v>
      </c>
      <c r="O1740" s="17" t="str">
        <f t="shared" si="27"/>
        <v/>
      </c>
      <c r="P1740" s="13" t="s">
        <v>1205</v>
      </c>
      <c r="Q1740" s="13" t="s">
        <v>1165</v>
      </c>
      <c r="R1740" s="13" t="s">
        <v>0</v>
      </c>
      <c r="S1740" s="13" t="s">
        <v>0</v>
      </c>
      <c r="T1740" s="13" t="s">
        <v>9</v>
      </c>
      <c r="U1740" s="13" t="s">
        <v>0</v>
      </c>
      <c r="V1740" s="13" t="s">
        <v>0</v>
      </c>
      <c r="W1740" s="13" t="s">
        <v>0</v>
      </c>
      <c r="X1740" s="13" t="s">
        <v>0</v>
      </c>
      <c r="Y1740" s="13" t="s">
        <v>10</v>
      </c>
      <c r="Z1740" s="13" t="s">
        <v>0</v>
      </c>
      <c r="AA1740" s="14"/>
      <c r="AB1740" s="13" t="s">
        <v>0</v>
      </c>
      <c r="AC1740" s="13" t="s">
        <v>0</v>
      </c>
      <c r="AD1740" s="13" t="s">
        <v>0</v>
      </c>
      <c r="AE1740" s="15">
        <v>0</v>
      </c>
    </row>
    <row r="1741" spans="1:31" ht="14.15" customHeight="1" x14ac:dyDescent="0.25">
      <c r="A1741" s="12" t="s">
        <v>0</v>
      </c>
      <c r="B1741" s="13" t="s">
        <v>1</v>
      </c>
      <c r="C1741" s="13" t="s">
        <v>1468</v>
      </c>
      <c r="D1741" s="14">
        <v>44160</v>
      </c>
      <c r="E1741" s="14">
        <v>44160</v>
      </c>
      <c r="F1741" s="14">
        <v>44163</v>
      </c>
      <c r="G1741" s="13" t="s">
        <v>3</v>
      </c>
      <c r="H1741" s="13" t="s">
        <v>4</v>
      </c>
      <c r="I1741" s="15">
        <v>-8624</v>
      </c>
      <c r="J1741" s="13" t="s">
        <v>5</v>
      </c>
      <c r="K1741" s="13" t="s">
        <v>6</v>
      </c>
      <c r="L1741" s="15">
        <v>-723984.8</v>
      </c>
      <c r="M1741" s="15">
        <v>-8624</v>
      </c>
      <c r="N1741" s="16" t="str">
        <f>IF(M1741="","",IF(M1741&lt;0,-M1741&amp;"_"&amp;COUNTIF(M$2:M1741,M1741),M1741&amp;"_"&amp;COUNTIF(M$2:M1741,M1741)))</f>
        <v>8624_1</v>
      </c>
      <c r="O1741" s="17" t="str">
        <f t="shared" si="27"/>
        <v/>
      </c>
      <c r="P1741" s="13" t="s">
        <v>1469</v>
      </c>
      <c r="Q1741" s="13" t="s">
        <v>1470</v>
      </c>
      <c r="R1741" s="13" t="s">
        <v>0</v>
      </c>
      <c r="S1741" s="13" t="s">
        <v>0</v>
      </c>
      <c r="T1741" s="13" t="s">
        <v>9</v>
      </c>
      <c r="U1741" s="13" t="s">
        <v>0</v>
      </c>
      <c r="V1741" s="13" t="s">
        <v>0</v>
      </c>
      <c r="W1741" s="13" t="s">
        <v>0</v>
      </c>
      <c r="X1741" s="13" t="s">
        <v>0</v>
      </c>
      <c r="Y1741" s="13" t="s">
        <v>10</v>
      </c>
      <c r="Z1741" s="13" t="s">
        <v>0</v>
      </c>
      <c r="AA1741" s="14"/>
      <c r="AB1741" s="13" t="s">
        <v>0</v>
      </c>
      <c r="AC1741" s="13" t="s">
        <v>0</v>
      </c>
      <c r="AD1741" s="13" t="s">
        <v>0</v>
      </c>
      <c r="AE1741" s="15">
        <v>0</v>
      </c>
    </row>
    <row r="1742" spans="1:31" ht="14.15" customHeight="1" x14ac:dyDescent="0.25">
      <c r="A1742" s="12" t="s">
        <v>0</v>
      </c>
      <c r="B1742" s="13" t="s">
        <v>1</v>
      </c>
      <c r="C1742" s="13" t="s">
        <v>1186</v>
      </c>
      <c r="D1742" s="14">
        <v>44140</v>
      </c>
      <c r="E1742" s="14">
        <v>44140</v>
      </c>
      <c r="F1742" s="14">
        <v>44146</v>
      </c>
      <c r="G1742" s="13" t="s">
        <v>3</v>
      </c>
      <c r="H1742" s="13" t="s">
        <v>4</v>
      </c>
      <c r="I1742" s="15">
        <v>-8611.1299999999992</v>
      </c>
      <c r="J1742" s="13" t="s">
        <v>5</v>
      </c>
      <c r="K1742" s="13" t="s">
        <v>6</v>
      </c>
      <c r="L1742" s="15">
        <v>-722904.36</v>
      </c>
      <c r="M1742" s="15">
        <v>-8611.1299999999992</v>
      </c>
      <c r="N1742" s="16" t="str">
        <f>IF(M1742="","",IF(M1742&lt;0,-M1742&amp;"_"&amp;COUNTIF(M$2:M1742,M1742),M1742&amp;"_"&amp;COUNTIF(M$2:M1742,M1742)))</f>
        <v>8611.13_1</v>
      </c>
      <c r="O1742" s="17" t="str">
        <f t="shared" si="27"/>
        <v/>
      </c>
      <c r="P1742" s="13" t="s">
        <v>1187</v>
      </c>
      <c r="Q1742" s="13" t="s">
        <v>1165</v>
      </c>
      <c r="R1742" s="13" t="s">
        <v>0</v>
      </c>
      <c r="S1742" s="13" t="s">
        <v>0</v>
      </c>
      <c r="T1742" s="13" t="s">
        <v>9</v>
      </c>
      <c r="U1742" s="13" t="s">
        <v>0</v>
      </c>
      <c r="V1742" s="13" t="s">
        <v>0</v>
      </c>
      <c r="W1742" s="13" t="s">
        <v>0</v>
      </c>
      <c r="X1742" s="13" t="s">
        <v>0</v>
      </c>
      <c r="Y1742" s="13" t="s">
        <v>10</v>
      </c>
      <c r="Z1742" s="13" t="s">
        <v>0</v>
      </c>
      <c r="AA1742" s="14"/>
      <c r="AB1742" s="13" t="s">
        <v>0</v>
      </c>
      <c r="AC1742" s="13" t="s">
        <v>0</v>
      </c>
      <c r="AD1742" s="13" t="s">
        <v>0</v>
      </c>
      <c r="AE1742" s="15">
        <v>0</v>
      </c>
    </row>
    <row r="1743" spans="1:31" ht="14.15" customHeight="1" x14ac:dyDescent="0.25">
      <c r="A1743" s="12" t="s">
        <v>0</v>
      </c>
      <c r="B1743" s="13" t="s">
        <v>1</v>
      </c>
      <c r="C1743" s="13" t="s">
        <v>86</v>
      </c>
      <c r="D1743" s="14">
        <v>44021</v>
      </c>
      <c r="E1743" s="14">
        <v>44021</v>
      </c>
      <c r="F1743" s="14">
        <v>44032</v>
      </c>
      <c r="G1743" s="13" t="s">
        <v>3</v>
      </c>
      <c r="H1743" s="13" t="s">
        <v>4</v>
      </c>
      <c r="I1743" s="15">
        <v>-8595.5400000000009</v>
      </c>
      <c r="J1743" s="13" t="s">
        <v>5</v>
      </c>
      <c r="K1743" s="13" t="s">
        <v>6</v>
      </c>
      <c r="L1743" s="15">
        <v>-721595.58</v>
      </c>
      <c r="M1743" s="15">
        <v>-8595.5400000000009</v>
      </c>
      <c r="N1743" s="16" t="str">
        <f>IF(M1743="","",IF(M1743&lt;0,-M1743&amp;"_"&amp;COUNTIF(M$2:M1743,M1743),M1743&amp;"_"&amp;COUNTIF(M$2:M1743,M1743)))</f>
        <v>8595.54_1</v>
      </c>
      <c r="O1743" s="17" t="str">
        <f t="shared" si="27"/>
        <v/>
      </c>
      <c r="P1743" s="13" t="s">
        <v>87</v>
      </c>
      <c r="Q1743" s="13" t="s">
        <v>85</v>
      </c>
      <c r="R1743" s="13" t="s">
        <v>0</v>
      </c>
      <c r="S1743" s="13" t="s">
        <v>0</v>
      </c>
      <c r="T1743" s="13" t="s">
        <v>9</v>
      </c>
      <c r="U1743" s="13" t="s">
        <v>0</v>
      </c>
      <c r="V1743" s="13" t="s">
        <v>0</v>
      </c>
      <c r="W1743" s="13" t="s">
        <v>0</v>
      </c>
      <c r="X1743" s="13" t="s">
        <v>0</v>
      </c>
      <c r="Y1743" s="13" t="s">
        <v>10</v>
      </c>
      <c r="Z1743" s="13" t="s">
        <v>0</v>
      </c>
      <c r="AA1743" s="14"/>
      <c r="AB1743" s="13" t="s">
        <v>0</v>
      </c>
      <c r="AC1743" s="13" t="s">
        <v>0</v>
      </c>
      <c r="AD1743" s="13" t="s">
        <v>0</v>
      </c>
      <c r="AE1743" s="15">
        <v>0</v>
      </c>
    </row>
    <row r="1744" spans="1:31" ht="14.15" customHeight="1" x14ac:dyDescent="0.25">
      <c r="A1744" s="12" t="s">
        <v>0</v>
      </c>
      <c r="B1744" s="13" t="s">
        <v>1</v>
      </c>
      <c r="C1744" s="13" t="s">
        <v>1930</v>
      </c>
      <c r="D1744" s="14">
        <v>44192</v>
      </c>
      <c r="E1744" s="14">
        <v>44192</v>
      </c>
      <c r="F1744" s="14">
        <v>44196</v>
      </c>
      <c r="G1744" s="13" t="s">
        <v>3</v>
      </c>
      <c r="H1744" s="13" t="s">
        <v>4</v>
      </c>
      <c r="I1744" s="15">
        <v>-8537.85</v>
      </c>
      <c r="J1744" s="13" t="s">
        <v>5</v>
      </c>
      <c r="K1744" s="13" t="s">
        <v>6</v>
      </c>
      <c r="L1744" s="15">
        <v>-716752.51</v>
      </c>
      <c r="M1744" s="15">
        <v>-8537.85</v>
      </c>
      <c r="N1744" s="16" t="str">
        <f>IF(M1744="","",IF(M1744&lt;0,-M1744&amp;"_"&amp;COUNTIF(M$2:M1744,M1744),M1744&amp;"_"&amp;COUNTIF(M$2:M1744,M1744)))</f>
        <v>8537.85_1</v>
      </c>
      <c r="O1744" s="17" t="str">
        <f t="shared" si="27"/>
        <v/>
      </c>
      <c r="P1744" s="13" t="s">
        <v>1931</v>
      </c>
      <c r="Q1744" s="13" t="s">
        <v>1932</v>
      </c>
      <c r="R1744" s="13" t="s">
        <v>0</v>
      </c>
      <c r="S1744" s="13" t="s">
        <v>0</v>
      </c>
      <c r="T1744" s="13" t="s">
        <v>9</v>
      </c>
      <c r="U1744" s="13" t="s">
        <v>0</v>
      </c>
      <c r="V1744" s="13" t="s">
        <v>0</v>
      </c>
      <c r="W1744" s="13" t="s">
        <v>0</v>
      </c>
      <c r="X1744" s="13" t="s">
        <v>0</v>
      </c>
      <c r="Y1744" s="13" t="s">
        <v>10</v>
      </c>
      <c r="Z1744" s="13" t="s">
        <v>0</v>
      </c>
      <c r="AA1744" s="14"/>
      <c r="AB1744" s="13" t="s">
        <v>0</v>
      </c>
      <c r="AC1744" s="13" t="s">
        <v>0</v>
      </c>
      <c r="AD1744" s="13" t="s">
        <v>0</v>
      </c>
      <c r="AE1744" s="15">
        <v>0</v>
      </c>
    </row>
    <row r="1745" spans="1:31" ht="14.15" customHeight="1" x14ac:dyDescent="0.25">
      <c r="A1745" s="12" t="s">
        <v>0</v>
      </c>
      <c r="B1745" s="13" t="s">
        <v>1</v>
      </c>
      <c r="C1745" s="13" t="s">
        <v>1933</v>
      </c>
      <c r="D1745" s="14">
        <v>44192</v>
      </c>
      <c r="E1745" s="14">
        <v>44192</v>
      </c>
      <c r="F1745" s="14">
        <v>44196</v>
      </c>
      <c r="G1745" s="13" t="s">
        <v>3</v>
      </c>
      <c r="H1745" s="13" t="s">
        <v>4</v>
      </c>
      <c r="I1745" s="15">
        <v>-8530.91</v>
      </c>
      <c r="J1745" s="13" t="s">
        <v>5</v>
      </c>
      <c r="K1745" s="13" t="s">
        <v>6</v>
      </c>
      <c r="L1745" s="15">
        <v>-716169.89</v>
      </c>
      <c r="M1745" s="15">
        <v>-8530.91</v>
      </c>
      <c r="N1745" s="16" t="str">
        <f>IF(M1745="","",IF(M1745&lt;0,-M1745&amp;"_"&amp;COUNTIF(M$2:M1745,M1745),M1745&amp;"_"&amp;COUNTIF(M$2:M1745,M1745)))</f>
        <v>8530.91_1</v>
      </c>
      <c r="O1745" s="17" t="str">
        <f t="shared" si="27"/>
        <v/>
      </c>
      <c r="P1745" s="13" t="s">
        <v>1934</v>
      </c>
      <c r="Q1745" s="13" t="s">
        <v>1932</v>
      </c>
      <c r="R1745" s="13" t="s">
        <v>0</v>
      </c>
      <c r="S1745" s="13" t="s">
        <v>0</v>
      </c>
      <c r="T1745" s="13" t="s">
        <v>9</v>
      </c>
      <c r="U1745" s="13" t="s">
        <v>0</v>
      </c>
      <c r="V1745" s="13" t="s">
        <v>0</v>
      </c>
      <c r="W1745" s="13" t="s">
        <v>0</v>
      </c>
      <c r="X1745" s="13" t="s">
        <v>0</v>
      </c>
      <c r="Y1745" s="13" t="s">
        <v>10</v>
      </c>
      <c r="Z1745" s="13" t="s">
        <v>0</v>
      </c>
      <c r="AA1745" s="14"/>
      <c r="AB1745" s="13" t="s">
        <v>0</v>
      </c>
      <c r="AC1745" s="13" t="s">
        <v>0</v>
      </c>
      <c r="AD1745" s="13" t="s">
        <v>0</v>
      </c>
      <c r="AE1745" s="15">
        <v>0</v>
      </c>
    </row>
    <row r="1746" spans="1:31" ht="14.15" customHeight="1" x14ac:dyDescent="0.25">
      <c r="A1746" s="12" t="s">
        <v>0</v>
      </c>
      <c r="B1746" s="13" t="s">
        <v>1</v>
      </c>
      <c r="C1746" s="13" t="s">
        <v>2289</v>
      </c>
      <c r="D1746" s="14">
        <v>44219</v>
      </c>
      <c r="E1746" s="14">
        <v>44219</v>
      </c>
      <c r="F1746" s="14">
        <v>44226</v>
      </c>
      <c r="G1746" s="13" t="s">
        <v>3</v>
      </c>
      <c r="H1746" s="13" t="s">
        <v>4</v>
      </c>
      <c r="I1746" s="15">
        <v>-8527.42</v>
      </c>
      <c r="J1746" s="13" t="s">
        <v>5</v>
      </c>
      <c r="K1746" s="13" t="s">
        <v>6</v>
      </c>
      <c r="L1746" s="15">
        <v>-715876.91</v>
      </c>
      <c r="M1746" s="15">
        <v>-8527.42</v>
      </c>
      <c r="N1746" s="16" t="str">
        <f>IF(M1746="","",IF(M1746&lt;0,-M1746&amp;"_"&amp;COUNTIF(M$2:M1746,M1746),M1746&amp;"_"&amp;COUNTIF(M$2:M1746,M1746)))</f>
        <v>8527.42_1</v>
      </c>
      <c r="O1746" s="17" t="str">
        <f t="shared" si="27"/>
        <v/>
      </c>
      <c r="P1746" s="13" t="s">
        <v>2290</v>
      </c>
      <c r="Q1746" s="13" t="s">
        <v>2282</v>
      </c>
      <c r="R1746" s="13" t="s">
        <v>0</v>
      </c>
      <c r="S1746" s="13" t="s">
        <v>0</v>
      </c>
      <c r="T1746" s="13" t="s">
        <v>9</v>
      </c>
      <c r="U1746" s="13" t="s">
        <v>0</v>
      </c>
      <c r="V1746" s="13" t="s">
        <v>0</v>
      </c>
      <c r="W1746" s="13" t="s">
        <v>0</v>
      </c>
      <c r="X1746" s="13" t="s">
        <v>0</v>
      </c>
      <c r="Y1746" s="13" t="s">
        <v>10</v>
      </c>
      <c r="Z1746" s="13" t="s">
        <v>0</v>
      </c>
      <c r="AA1746" s="14"/>
      <c r="AB1746" s="13" t="s">
        <v>0</v>
      </c>
      <c r="AC1746" s="13" t="s">
        <v>0</v>
      </c>
      <c r="AD1746" s="13" t="s">
        <v>0</v>
      </c>
      <c r="AE1746" s="15">
        <v>0</v>
      </c>
    </row>
    <row r="1747" spans="1:31" ht="14.15" customHeight="1" x14ac:dyDescent="0.25">
      <c r="A1747" s="12" t="s">
        <v>0</v>
      </c>
      <c r="B1747" s="13" t="s">
        <v>1</v>
      </c>
      <c r="C1747" s="13" t="s">
        <v>2172</v>
      </c>
      <c r="D1747" s="14">
        <v>44209</v>
      </c>
      <c r="E1747" s="14">
        <v>44209</v>
      </c>
      <c r="F1747" s="14">
        <v>44228</v>
      </c>
      <c r="G1747" s="13" t="s">
        <v>3</v>
      </c>
      <c r="H1747" s="13" t="s">
        <v>4</v>
      </c>
      <c r="I1747" s="15">
        <v>-8522.9699999999993</v>
      </c>
      <c r="J1747" s="13" t="s">
        <v>5</v>
      </c>
      <c r="K1747" s="13" t="s">
        <v>6</v>
      </c>
      <c r="L1747" s="15">
        <v>-715503.33</v>
      </c>
      <c r="M1747" s="15">
        <v>-8522.9699999999993</v>
      </c>
      <c r="N1747" s="16" t="str">
        <f>IF(M1747="","",IF(M1747&lt;0,-M1747&amp;"_"&amp;COUNTIF(M$2:M1747,M1747),M1747&amp;"_"&amp;COUNTIF(M$2:M1747,M1747)))</f>
        <v>8522.97_1</v>
      </c>
      <c r="O1747" s="17" t="str">
        <f t="shared" si="27"/>
        <v/>
      </c>
      <c r="P1747" s="13" t="s">
        <v>2173</v>
      </c>
      <c r="Q1747" s="13" t="s">
        <v>2159</v>
      </c>
      <c r="R1747" s="13" t="s">
        <v>0</v>
      </c>
      <c r="S1747" s="13" t="s">
        <v>0</v>
      </c>
      <c r="T1747" s="13" t="s">
        <v>9</v>
      </c>
      <c r="U1747" s="13" t="s">
        <v>0</v>
      </c>
      <c r="V1747" s="13" t="s">
        <v>0</v>
      </c>
      <c r="W1747" s="13" t="s">
        <v>0</v>
      </c>
      <c r="X1747" s="13" t="s">
        <v>0</v>
      </c>
      <c r="Y1747" s="13" t="s">
        <v>10</v>
      </c>
      <c r="Z1747" s="13" t="s">
        <v>0</v>
      </c>
      <c r="AA1747" s="14"/>
      <c r="AB1747" s="13" t="s">
        <v>0</v>
      </c>
      <c r="AC1747" s="13" t="s">
        <v>0</v>
      </c>
      <c r="AD1747" s="13" t="s">
        <v>0</v>
      </c>
      <c r="AE1747" s="15">
        <v>0</v>
      </c>
    </row>
    <row r="1748" spans="1:31" ht="14.15" customHeight="1" x14ac:dyDescent="0.25">
      <c r="A1748" s="12" t="s">
        <v>0</v>
      </c>
      <c r="B1748" s="13" t="s">
        <v>1</v>
      </c>
      <c r="C1748" s="13" t="s">
        <v>1491</v>
      </c>
      <c r="D1748" s="14">
        <v>44160</v>
      </c>
      <c r="E1748" s="14">
        <v>44160</v>
      </c>
      <c r="F1748" s="14">
        <v>44165</v>
      </c>
      <c r="G1748" s="13" t="s">
        <v>3</v>
      </c>
      <c r="H1748" s="13" t="s">
        <v>4</v>
      </c>
      <c r="I1748" s="15">
        <v>-8499.86</v>
      </c>
      <c r="J1748" s="13" t="s">
        <v>5</v>
      </c>
      <c r="K1748" s="13" t="s">
        <v>6</v>
      </c>
      <c r="L1748" s="15">
        <v>-713563.25</v>
      </c>
      <c r="M1748" s="15">
        <v>-8499.86</v>
      </c>
      <c r="N1748" s="16" t="str">
        <f>IF(M1748="","",IF(M1748&lt;0,-M1748&amp;"_"&amp;COUNTIF(M$2:M1748,M1748),M1748&amp;"_"&amp;COUNTIF(M$2:M1748,M1748)))</f>
        <v>8499.86_1</v>
      </c>
      <c r="O1748" s="17" t="str">
        <f t="shared" si="27"/>
        <v/>
      </c>
      <c r="P1748" s="13" t="s">
        <v>1492</v>
      </c>
      <c r="Q1748" s="13" t="s">
        <v>1470</v>
      </c>
      <c r="R1748" s="13" t="s">
        <v>0</v>
      </c>
      <c r="S1748" s="13" t="s">
        <v>0</v>
      </c>
      <c r="T1748" s="13" t="s">
        <v>9</v>
      </c>
      <c r="U1748" s="13" t="s">
        <v>0</v>
      </c>
      <c r="V1748" s="13" t="s">
        <v>0</v>
      </c>
      <c r="W1748" s="13" t="s">
        <v>0</v>
      </c>
      <c r="X1748" s="13" t="s">
        <v>0</v>
      </c>
      <c r="Y1748" s="13" t="s">
        <v>10</v>
      </c>
      <c r="Z1748" s="13" t="s">
        <v>0</v>
      </c>
      <c r="AA1748" s="14"/>
      <c r="AB1748" s="13" t="s">
        <v>0</v>
      </c>
      <c r="AC1748" s="13" t="s">
        <v>0</v>
      </c>
      <c r="AD1748" s="13" t="s">
        <v>0</v>
      </c>
      <c r="AE1748" s="15">
        <v>0</v>
      </c>
    </row>
    <row r="1749" spans="1:31" ht="14.15" customHeight="1" x14ac:dyDescent="0.25">
      <c r="A1749" s="12" t="s">
        <v>0</v>
      </c>
      <c r="B1749" s="13" t="s">
        <v>1</v>
      </c>
      <c r="C1749" s="13" t="s">
        <v>401</v>
      </c>
      <c r="D1749" s="14">
        <v>44062</v>
      </c>
      <c r="E1749" s="14">
        <v>44062</v>
      </c>
      <c r="F1749" s="14">
        <v>44065</v>
      </c>
      <c r="G1749" s="13" t="s">
        <v>3</v>
      </c>
      <c r="H1749" s="13" t="s">
        <v>4</v>
      </c>
      <c r="I1749" s="15">
        <v>-8498.58</v>
      </c>
      <c r="J1749" s="13" t="s">
        <v>5</v>
      </c>
      <c r="K1749" s="13" t="s">
        <v>6</v>
      </c>
      <c r="L1749" s="15">
        <v>-713455.79</v>
      </c>
      <c r="M1749" s="15">
        <v>-8498.58</v>
      </c>
      <c r="N1749" s="16" t="str">
        <f>IF(M1749="","",IF(M1749&lt;0,-M1749&amp;"_"&amp;COUNTIF(M$2:M1749,M1749),M1749&amp;"_"&amp;COUNTIF(M$2:M1749,M1749)))</f>
        <v>8498.58_1</v>
      </c>
      <c r="O1749" s="17" t="str">
        <f t="shared" si="27"/>
        <v/>
      </c>
      <c r="P1749" s="13" t="s">
        <v>402</v>
      </c>
      <c r="Q1749" s="13" t="s">
        <v>403</v>
      </c>
      <c r="R1749" s="13" t="s">
        <v>0</v>
      </c>
      <c r="S1749" s="13" t="s">
        <v>0</v>
      </c>
      <c r="T1749" s="13" t="s">
        <v>9</v>
      </c>
      <c r="U1749" s="13" t="s">
        <v>0</v>
      </c>
      <c r="V1749" s="13" t="s">
        <v>0</v>
      </c>
      <c r="W1749" s="13" t="s">
        <v>0</v>
      </c>
      <c r="X1749" s="13" t="s">
        <v>0</v>
      </c>
      <c r="Y1749" s="13" t="s">
        <v>10</v>
      </c>
      <c r="Z1749" s="13" t="s">
        <v>0</v>
      </c>
      <c r="AA1749" s="14"/>
      <c r="AB1749" s="13" t="s">
        <v>0</v>
      </c>
      <c r="AC1749" s="13" t="s">
        <v>0</v>
      </c>
      <c r="AD1749" s="13" t="s">
        <v>0</v>
      </c>
      <c r="AE1749" s="15">
        <v>0</v>
      </c>
    </row>
    <row r="1750" spans="1:31" ht="14.15" customHeight="1" x14ac:dyDescent="0.25">
      <c r="A1750" s="12" t="s">
        <v>0</v>
      </c>
      <c r="B1750" s="13" t="s">
        <v>1</v>
      </c>
      <c r="C1750" s="13" t="s">
        <v>2146</v>
      </c>
      <c r="D1750" s="14">
        <v>44207</v>
      </c>
      <c r="E1750" s="14">
        <v>44207</v>
      </c>
      <c r="F1750" s="14">
        <v>44217</v>
      </c>
      <c r="G1750" s="13" t="s">
        <v>3</v>
      </c>
      <c r="H1750" s="13" t="s">
        <v>4</v>
      </c>
      <c r="I1750" s="15">
        <v>-8495.56</v>
      </c>
      <c r="J1750" s="13" t="s">
        <v>5</v>
      </c>
      <c r="K1750" s="13" t="s">
        <v>6</v>
      </c>
      <c r="L1750" s="15">
        <v>-713202.27</v>
      </c>
      <c r="M1750" s="15">
        <v>-8495.56</v>
      </c>
      <c r="N1750" s="16" t="str">
        <f>IF(M1750="","",IF(M1750&lt;0,-M1750&amp;"_"&amp;COUNTIF(M$2:M1750,M1750),M1750&amp;"_"&amp;COUNTIF(M$2:M1750,M1750)))</f>
        <v>8495.56_1</v>
      </c>
      <c r="O1750" s="17" t="str">
        <f t="shared" si="27"/>
        <v/>
      </c>
      <c r="P1750" s="13" t="s">
        <v>2147</v>
      </c>
      <c r="Q1750" s="13" t="s">
        <v>2145</v>
      </c>
      <c r="R1750" s="13" t="s">
        <v>0</v>
      </c>
      <c r="S1750" s="13" t="s">
        <v>0</v>
      </c>
      <c r="T1750" s="13" t="s">
        <v>9</v>
      </c>
      <c r="U1750" s="13" t="s">
        <v>0</v>
      </c>
      <c r="V1750" s="13" t="s">
        <v>0</v>
      </c>
      <c r="W1750" s="13" t="s">
        <v>0</v>
      </c>
      <c r="X1750" s="13" t="s">
        <v>0</v>
      </c>
      <c r="Y1750" s="13" t="s">
        <v>10</v>
      </c>
      <c r="Z1750" s="13" t="s">
        <v>0</v>
      </c>
      <c r="AA1750" s="14"/>
      <c r="AB1750" s="13" t="s">
        <v>0</v>
      </c>
      <c r="AC1750" s="13" t="s">
        <v>0</v>
      </c>
      <c r="AD1750" s="13" t="s">
        <v>0</v>
      </c>
      <c r="AE1750" s="15">
        <v>0</v>
      </c>
    </row>
    <row r="1751" spans="1:31" ht="14.15" customHeight="1" x14ac:dyDescent="0.25">
      <c r="A1751" s="12" t="s">
        <v>0</v>
      </c>
      <c r="B1751" s="13" t="s">
        <v>1</v>
      </c>
      <c r="C1751" s="13" t="s">
        <v>1497</v>
      </c>
      <c r="D1751" s="14">
        <v>44160</v>
      </c>
      <c r="E1751" s="14">
        <v>44160</v>
      </c>
      <c r="F1751" s="14">
        <v>44167</v>
      </c>
      <c r="G1751" s="13" t="s">
        <v>3</v>
      </c>
      <c r="H1751" s="13" t="s">
        <v>4</v>
      </c>
      <c r="I1751" s="15">
        <v>-8476.4500000000007</v>
      </c>
      <c r="J1751" s="13" t="s">
        <v>5</v>
      </c>
      <c r="K1751" s="13" t="s">
        <v>6</v>
      </c>
      <c r="L1751" s="15">
        <v>-711597.98</v>
      </c>
      <c r="M1751" s="15">
        <v>-8476.4500000000007</v>
      </c>
      <c r="N1751" s="16" t="str">
        <f>IF(M1751="","",IF(M1751&lt;0,-M1751&amp;"_"&amp;COUNTIF(M$2:M1751,M1751),M1751&amp;"_"&amp;COUNTIF(M$2:M1751,M1751)))</f>
        <v>8476.45_1</v>
      </c>
      <c r="O1751" s="17" t="str">
        <f t="shared" si="27"/>
        <v/>
      </c>
      <c r="P1751" s="13" t="s">
        <v>1498</v>
      </c>
      <c r="Q1751" s="13" t="s">
        <v>1470</v>
      </c>
      <c r="R1751" s="13" t="s">
        <v>0</v>
      </c>
      <c r="S1751" s="13" t="s">
        <v>0</v>
      </c>
      <c r="T1751" s="13" t="s">
        <v>9</v>
      </c>
      <c r="U1751" s="13" t="s">
        <v>0</v>
      </c>
      <c r="V1751" s="13" t="s">
        <v>0</v>
      </c>
      <c r="W1751" s="13" t="s">
        <v>0</v>
      </c>
      <c r="X1751" s="13" t="s">
        <v>0</v>
      </c>
      <c r="Y1751" s="13" t="s">
        <v>10</v>
      </c>
      <c r="Z1751" s="13" t="s">
        <v>0</v>
      </c>
      <c r="AA1751" s="14"/>
      <c r="AB1751" s="13" t="s">
        <v>0</v>
      </c>
      <c r="AC1751" s="13" t="s">
        <v>0</v>
      </c>
      <c r="AD1751" s="13" t="s">
        <v>0</v>
      </c>
      <c r="AE1751" s="15">
        <v>0</v>
      </c>
    </row>
    <row r="1752" spans="1:31" ht="14.15" customHeight="1" x14ac:dyDescent="0.25">
      <c r="A1752" s="12" t="s">
        <v>0</v>
      </c>
      <c r="B1752" s="13" t="s">
        <v>1</v>
      </c>
      <c r="C1752" s="13" t="s">
        <v>3825</v>
      </c>
      <c r="D1752" s="14">
        <v>44347</v>
      </c>
      <c r="E1752" s="14">
        <v>44347</v>
      </c>
      <c r="F1752" s="14">
        <v>44350</v>
      </c>
      <c r="G1752" s="13" t="s">
        <v>3</v>
      </c>
      <c r="H1752" s="13" t="s">
        <v>4</v>
      </c>
      <c r="I1752" s="15">
        <v>-8470.02</v>
      </c>
      <c r="J1752" s="13" t="s">
        <v>5</v>
      </c>
      <c r="K1752" s="13" t="s">
        <v>6</v>
      </c>
      <c r="L1752" s="15">
        <v>-711058.18</v>
      </c>
      <c r="M1752" s="15">
        <v>-8470.02</v>
      </c>
      <c r="N1752" s="16" t="str">
        <f>IF(M1752="","",IF(M1752&lt;0,-M1752&amp;"_"&amp;COUNTIF(M$2:M1752,M1752),M1752&amp;"_"&amp;COUNTIF(M$2:M1752,M1752)))</f>
        <v>8470.02_1</v>
      </c>
      <c r="O1752" s="17" t="str">
        <f t="shared" si="27"/>
        <v/>
      </c>
      <c r="P1752" s="13" t="s">
        <v>3826</v>
      </c>
      <c r="Q1752" s="13" t="s">
        <v>3824</v>
      </c>
      <c r="R1752" s="13" t="s">
        <v>0</v>
      </c>
      <c r="S1752" s="13" t="s">
        <v>0</v>
      </c>
      <c r="T1752" s="13" t="s">
        <v>9</v>
      </c>
      <c r="U1752" s="13" t="s">
        <v>0</v>
      </c>
      <c r="V1752" s="13" t="s">
        <v>0</v>
      </c>
      <c r="W1752" s="13" t="s">
        <v>0</v>
      </c>
      <c r="X1752" s="13" t="s">
        <v>0</v>
      </c>
      <c r="Y1752" s="13" t="s">
        <v>10</v>
      </c>
      <c r="Z1752" s="13" t="s">
        <v>0</v>
      </c>
      <c r="AA1752" s="14"/>
      <c r="AB1752" s="13" t="s">
        <v>0</v>
      </c>
      <c r="AC1752" s="13" t="s">
        <v>0</v>
      </c>
      <c r="AD1752" s="13" t="s">
        <v>0</v>
      </c>
      <c r="AE1752" s="15">
        <v>0</v>
      </c>
    </row>
    <row r="1753" spans="1:31" ht="14.15" customHeight="1" x14ac:dyDescent="0.25">
      <c r="A1753" s="12" t="s">
        <v>0</v>
      </c>
      <c r="B1753" s="13" t="s">
        <v>1</v>
      </c>
      <c r="C1753" s="13" t="s">
        <v>3115</v>
      </c>
      <c r="D1753" s="14">
        <v>44289</v>
      </c>
      <c r="E1753" s="14">
        <v>44289</v>
      </c>
      <c r="F1753" s="14">
        <v>44294</v>
      </c>
      <c r="G1753" s="13" t="s">
        <v>3</v>
      </c>
      <c r="H1753" s="13" t="s">
        <v>4</v>
      </c>
      <c r="I1753" s="15">
        <v>-8468.65</v>
      </c>
      <c r="J1753" s="13" t="s">
        <v>5</v>
      </c>
      <c r="K1753" s="13" t="s">
        <v>6</v>
      </c>
      <c r="L1753" s="15">
        <v>-710943.17</v>
      </c>
      <c r="M1753" s="15">
        <v>-8468.65</v>
      </c>
      <c r="N1753" s="16" t="str">
        <f>IF(M1753="","",IF(M1753&lt;0,-M1753&amp;"_"&amp;COUNTIF(M$2:M1753,M1753),M1753&amp;"_"&amp;COUNTIF(M$2:M1753,M1753)))</f>
        <v>8468.65_1</v>
      </c>
      <c r="O1753" s="17" t="str">
        <f t="shared" si="27"/>
        <v/>
      </c>
      <c r="P1753" s="13" t="s">
        <v>3116</v>
      </c>
      <c r="Q1753" s="13" t="s">
        <v>3117</v>
      </c>
      <c r="R1753" s="13" t="s">
        <v>0</v>
      </c>
      <c r="S1753" s="13" t="s">
        <v>0</v>
      </c>
      <c r="T1753" s="13" t="s">
        <v>9</v>
      </c>
      <c r="U1753" s="13" t="s">
        <v>0</v>
      </c>
      <c r="V1753" s="13" t="s">
        <v>0</v>
      </c>
      <c r="W1753" s="13" t="s">
        <v>0</v>
      </c>
      <c r="X1753" s="13" t="s">
        <v>0</v>
      </c>
      <c r="Y1753" s="13" t="s">
        <v>10</v>
      </c>
      <c r="Z1753" s="13" t="s">
        <v>0</v>
      </c>
      <c r="AA1753" s="14"/>
      <c r="AB1753" s="13" t="s">
        <v>0</v>
      </c>
      <c r="AC1753" s="13" t="s">
        <v>0</v>
      </c>
      <c r="AD1753" s="13" t="s">
        <v>0</v>
      </c>
      <c r="AE1753" s="15">
        <v>0</v>
      </c>
    </row>
    <row r="1754" spans="1:31" ht="14.15" customHeight="1" x14ac:dyDescent="0.25">
      <c r="A1754" s="12" t="s">
        <v>0</v>
      </c>
      <c r="B1754" s="13" t="s">
        <v>1</v>
      </c>
      <c r="C1754" s="13" t="s">
        <v>1778</v>
      </c>
      <c r="D1754" s="14">
        <v>44182</v>
      </c>
      <c r="E1754" s="14">
        <v>44182</v>
      </c>
      <c r="F1754" s="14">
        <v>44188</v>
      </c>
      <c r="G1754" s="13" t="s">
        <v>3</v>
      </c>
      <c r="H1754" s="13" t="s">
        <v>4</v>
      </c>
      <c r="I1754" s="15">
        <v>-8463.7800000000007</v>
      </c>
      <c r="J1754" s="13" t="s">
        <v>5</v>
      </c>
      <c r="K1754" s="13" t="s">
        <v>6</v>
      </c>
      <c r="L1754" s="15">
        <v>-710534.33</v>
      </c>
      <c r="M1754" s="15">
        <v>-8463.7800000000007</v>
      </c>
      <c r="N1754" s="16" t="str">
        <f>IF(M1754="","",IF(M1754&lt;0,-M1754&amp;"_"&amp;COUNTIF(M$2:M1754,M1754),M1754&amp;"_"&amp;COUNTIF(M$2:M1754,M1754)))</f>
        <v>8463.78_1</v>
      </c>
      <c r="O1754" s="17" t="str">
        <f t="shared" si="27"/>
        <v/>
      </c>
      <c r="P1754" s="13" t="s">
        <v>1779</v>
      </c>
      <c r="Q1754" s="13" t="s">
        <v>1777</v>
      </c>
      <c r="R1754" s="13" t="s">
        <v>0</v>
      </c>
      <c r="S1754" s="13" t="s">
        <v>0</v>
      </c>
      <c r="T1754" s="13" t="s">
        <v>9</v>
      </c>
      <c r="U1754" s="13" t="s">
        <v>0</v>
      </c>
      <c r="V1754" s="13" t="s">
        <v>0</v>
      </c>
      <c r="W1754" s="13" t="s">
        <v>0</v>
      </c>
      <c r="X1754" s="13" t="s">
        <v>0</v>
      </c>
      <c r="Y1754" s="13" t="s">
        <v>10</v>
      </c>
      <c r="Z1754" s="13" t="s">
        <v>0</v>
      </c>
      <c r="AA1754" s="14"/>
      <c r="AB1754" s="13" t="s">
        <v>0</v>
      </c>
      <c r="AC1754" s="13" t="s">
        <v>0</v>
      </c>
      <c r="AD1754" s="13" t="s">
        <v>0</v>
      </c>
      <c r="AE1754" s="15">
        <v>0</v>
      </c>
    </row>
    <row r="1755" spans="1:31" ht="14.15" customHeight="1" x14ac:dyDescent="0.25">
      <c r="A1755" s="12" t="s">
        <v>0</v>
      </c>
      <c r="B1755" s="13" t="s">
        <v>1</v>
      </c>
      <c r="C1755" s="13" t="s">
        <v>328</v>
      </c>
      <c r="D1755" s="14">
        <v>44043</v>
      </c>
      <c r="E1755" s="14">
        <v>44043</v>
      </c>
      <c r="F1755" s="14">
        <v>44057</v>
      </c>
      <c r="G1755" s="13" t="s">
        <v>3</v>
      </c>
      <c r="H1755" s="13" t="s">
        <v>4</v>
      </c>
      <c r="I1755" s="15">
        <v>-8460.94</v>
      </c>
      <c r="J1755" s="13" t="s">
        <v>5</v>
      </c>
      <c r="K1755" s="13" t="s">
        <v>6</v>
      </c>
      <c r="L1755" s="15">
        <v>-710295.91</v>
      </c>
      <c r="M1755" s="15">
        <v>-8460.94</v>
      </c>
      <c r="N1755" s="16" t="str">
        <f>IF(M1755="","",IF(M1755&lt;0,-M1755&amp;"_"&amp;COUNTIF(M$2:M1755,M1755),M1755&amp;"_"&amp;COUNTIF(M$2:M1755,M1755)))</f>
        <v>8460.94_1</v>
      </c>
      <c r="O1755" s="17" t="str">
        <f t="shared" si="27"/>
        <v/>
      </c>
      <c r="P1755" s="13" t="s">
        <v>329</v>
      </c>
      <c r="Q1755" s="13" t="s">
        <v>316</v>
      </c>
      <c r="R1755" s="13" t="s">
        <v>0</v>
      </c>
      <c r="S1755" s="13" t="s">
        <v>0</v>
      </c>
      <c r="T1755" s="13" t="s">
        <v>9</v>
      </c>
      <c r="U1755" s="13" t="s">
        <v>0</v>
      </c>
      <c r="V1755" s="13" t="s">
        <v>0</v>
      </c>
      <c r="W1755" s="13" t="s">
        <v>0</v>
      </c>
      <c r="X1755" s="13" t="s">
        <v>0</v>
      </c>
      <c r="Y1755" s="13" t="s">
        <v>10</v>
      </c>
      <c r="Z1755" s="13" t="s">
        <v>0</v>
      </c>
      <c r="AA1755" s="14"/>
      <c r="AB1755" s="13" t="s">
        <v>0</v>
      </c>
      <c r="AC1755" s="13" t="s">
        <v>0</v>
      </c>
      <c r="AD1755" s="13" t="s">
        <v>0</v>
      </c>
      <c r="AE1755" s="15">
        <v>0</v>
      </c>
    </row>
    <row r="1756" spans="1:31" ht="14.15" customHeight="1" x14ac:dyDescent="0.25">
      <c r="A1756" s="12" t="s">
        <v>0</v>
      </c>
      <c r="B1756" s="13" t="s">
        <v>1</v>
      </c>
      <c r="C1756" s="13" t="s">
        <v>13</v>
      </c>
      <c r="D1756" s="14">
        <v>44014</v>
      </c>
      <c r="E1756" s="14">
        <v>44014</v>
      </c>
      <c r="F1756" s="14">
        <v>44028</v>
      </c>
      <c r="G1756" s="13" t="s">
        <v>3</v>
      </c>
      <c r="H1756" s="13" t="s">
        <v>4</v>
      </c>
      <c r="I1756" s="15">
        <v>-8440.26</v>
      </c>
      <c r="J1756" s="13" t="s">
        <v>5</v>
      </c>
      <c r="K1756" s="13" t="s">
        <v>6</v>
      </c>
      <c r="L1756" s="15">
        <v>-708559.83</v>
      </c>
      <c r="M1756" s="15">
        <v>-8440.26</v>
      </c>
      <c r="N1756" s="16" t="str">
        <f>IF(M1756="","",IF(M1756&lt;0,-M1756&amp;"_"&amp;COUNTIF(M$2:M1756,M1756),M1756&amp;"_"&amp;COUNTIF(M$2:M1756,M1756)))</f>
        <v>8440.26_1</v>
      </c>
      <c r="O1756" s="17" t="str">
        <f t="shared" si="27"/>
        <v/>
      </c>
      <c r="P1756" s="13" t="s">
        <v>14</v>
      </c>
      <c r="Q1756" s="13" t="s">
        <v>8</v>
      </c>
      <c r="R1756" s="13" t="s">
        <v>0</v>
      </c>
      <c r="S1756" s="13" t="s">
        <v>0</v>
      </c>
      <c r="T1756" s="13" t="s">
        <v>9</v>
      </c>
      <c r="U1756" s="13" t="s">
        <v>0</v>
      </c>
      <c r="V1756" s="13" t="s">
        <v>0</v>
      </c>
      <c r="W1756" s="13" t="s">
        <v>0</v>
      </c>
      <c r="X1756" s="13" t="s">
        <v>0</v>
      </c>
      <c r="Y1756" s="13" t="s">
        <v>10</v>
      </c>
      <c r="Z1756" s="13" t="s">
        <v>0</v>
      </c>
      <c r="AA1756" s="14"/>
      <c r="AB1756" s="13" t="s">
        <v>0</v>
      </c>
      <c r="AC1756" s="13" t="s">
        <v>0</v>
      </c>
      <c r="AD1756" s="13" t="s">
        <v>0</v>
      </c>
      <c r="AE1756" s="15">
        <v>0</v>
      </c>
    </row>
    <row r="1757" spans="1:31" ht="14.15" customHeight="1" x14ac:dyDescent="0.25">
      <c r="A1757" s="12" t="s">
        <v>0</v>
      </c>
      <c r="B1757" s="13" t="s">
        <v>1</v>
      </c>
      <c r="C1757" s="13" t="s">
        <v>1377</v>
      </c>
      <c r="D1757" s="14">
        <v>44152</v>
      </c>
      <c r="E1757" s="14">
        <v>44152</v>
      </c>
      <c r="F1757" s="14">
        <v>44159</v>
      </c>
      <c r="G1757" s="13" t="s">
        <v>3</v>
      </c>
      <c r="H1757" s="13" t="s">
        <v>4</v>
      </c>
      <c r="I1757" s="15">
        <v>-8434.56</v>
      </c>
      <c r="J1757" s="13" t="s">
        <v>5</v>
      </c>
      <c r="K1757" s="13" t="s">
        <v>6</v>
      </c>
      <c r="L1757" s="15">
        <v>-708081.31</v>
      </c>
      <c r="M1757" s="15">
        <v>-8434.56</v>
      </c>
      <c r="N1757" s="16" t="str">
        <f>IF(M1757="","",IF(M1757&lt;0,-M1757&amp;"_"&amp;COUNTIF(M$2:M1757,M1757),M1757&amp;"_"&amp;COUNTIF(M$2:M1757,M1757)))</f>
        <v>8434.56_1</v>
      </c>
      <c r="O1757" s="17" t="str">
        <f t="shared" si="27"/>
        <v/>
      </c>
      <c r="P1757" s="13" t="s">
        <v>1378</v>
      </c>
      <c r="Q1757" s="13" t="s">
        <v>1376</v>
      </c>
      <c r="R1757" s="13" t="s">
        <v>0</v>
      </c>
      <c r="S1757" s="13" t="s">
        <v>0</v>
      </c>
      <c r="T1757" s="13" t="s">
        <v>9</v>
      </c>
      <c r="U1757" s="13" t="s">
        <v>0</v>
      </c>
      <c r="V1757" s="13" t="s">
        <v>0</v>
      </c>
      <c r="W1757" s="13" t="s">
        <v>0</v>
      </c>
      <c r="X1757" s="13" t="s">
        <v>0</v>
      </c>
      <c r="Y1757" s="13" t="s">
        <v>10</v>
      </c>
      <c r="Z1757" s="13" t="s">
        <v>0</v>
      </c>
      <c r="AA1757" s="14"/>
      <c r="AB1757" s="13" t="s">
        <v>0</v>
      </c>
      <c r="AC1757" s="13" t="s">
        <v>0</v>
      </c>
      <c r="AD1757" s="13" t="s">
        <v>0</v>
      </c>
      <c r="AE1757" s="15">
        <v>0</v>
      </c>
    </row>
    <row r="1758" spans="1:31" ht="14.15" customHeight="1" x14ac:dyDescent="0.25">
      <c r="A1758" s="12" t="s">
        <v>0</v>
      </c>
      <c r="B1758" s="13" t="s">
        <v>1</v>
      </c>
      <c r="C1758" s="13" t="s">
        <v>1186</v>
      </c>
      <c r="D1758" s="14">
        <v>44140</v>
      </c>
      <c r="E1758" s="14">
        <v>44140</v>
      </c>
      <c r="F1758" s="14">
        <v>44146</v>
      </c>
      <c r="G1758" s="13" t="s">
        <v>3</v>
      </c>
      <c r="H1758" s="13" t="s">
        <v>4</v>
      </c>
      <c r="I1758" s="15">
        <v>-8428.42</v>
      </c>
      <c r="J1758" s="13" t="s">
        <v>5</v>
      </c>
      <c r="K1758" s="13" t="s">
        <v>6</v>
      </c>
      <c r="L1758" s="15">
        <v>-707565.86</v>
      </c>
      <c r="M1758" s="15">
        <v>-8428.42</v>
      </c>
      <c r="N1758" s="16" t="str">
        <f>IF(M1758="","",IF(M1758&lt;0,-M1758&amp;"_"&amp;COUNTIF(M$2:M1758,M1758),M1758&amp;"_"&amp;COUNTIF(M$2:M1758,M1758)))</f>
        <v>8428.42_1</v>
      </c>
      <c r="O1758" s="17" t="str">
        <f t="shared" si="27"/>
        <v/>
      </c>
      <c r="P1758" s="13" t="s">
        <v>1187</v>
      </c>
      <c r="Q1758" s="13" t="s">
        <v>1165</v>
      </c>
      <c r="R1758" s="13" t="s">
        <v>0</v>
      </c>
      <c r="S1758" s="13" t="s">
        <v>0</v>
      </c>
      <c r="T1758" s="13" t="s">
        <v>9</v>
      </c>
      <c r="U1758" s="13" t="s">
        <v>0</v>
      </c>
      <c r="V1758" s="13" t="s">
        <v>0</v>
      </c>
      <c r="W1758" s="13" t="s">
        <v>0</v>
      </c>
      <c r="X1758" s="13" t="s">
        <v>0</v>
      </c>
      <c r="Y1758" s="13" t="s">
        <v>10</v>
      </c>
      <c r="Z1758" s="13" t="s">
        <v>0</v>
      </c>
      <c r="AA1758" s="14"/>
      <c r="AB1758" s="13" t="s">
        <v>0</v>
      </c>
      <c r="AC1758" s="13" t="s">
        <v>0</v>
      </c>
      <c r="AD1758" s="13" t="s">
        <v>0</v>
      </c>
      <c r="AE1758" s="15">
        <v>0</v>
      </c>
    </row>
    <row r="1759" spans="1:31" ht="14.15" customHeight="1" x14ac:dyDescent="0.25">
      <c r="A1759" s="12" t="s">
        <v>0</v>
      </c>
      <c r="B1759" s="13" t="s">
        <v>1</v>
      </c>
      <c r="C1759" s="13" t="s">
        <v>3493</v>
      </c>
      <c r="D1759" s="14">
        <v>44321</v>
      </c>
      <c r="E1759" s="14">
        <v>44321</v>
      </c>
      <c r="F1759" s="14">
        <v>44326</v>
      </c>
      <c r="G1759" s="13" t="s">
        <v>3</v>
      </c>
      <c r="H1759" s="13" t="s">
        <v>4</v>
      </c>
      <c r="I1759" s="15">
        <v>-8427.41</v>
      </c>
      <c r="J1759" s="13" t="s">
        <v>5</v>
      </c>
      <c r="K1759" s="13" t="s">
        <v>6</v>
      </c>
      <c r="L1759" s="15">
        <v>-707481.07</v>
      </c>
      <c r="M1759" s="15">
        <v>-8427.41</v>
      </c>
      <c r="N1759" s="16" t="str">
        <f>IF(M1759="","",IF(M1759&lt;0,-M1759&amp;"_"&amp;COUNTIF(M$2:M1759,M1759),M1759&amp;"_"&amp;COUNTIF(M$2:M1759,M1759)))</f>
        <v>8427.41_1</v>
      </c>
      <c r="O1759" s="17" t="str">
        <f t="shared" si="27"/>
        <v/>
      </c>
      <c r="P1759" s="13" t="s">
        <v>3494</v>
      </c>
      <c r="Q1759" s="13" t="s">
        <v>3490</v>
      </c>
      <c r="R1759" s="13" t="s">
        <v>0</v>
      </c>
      <c r="S1759" s="13" t="s">
        <v>0</v>
      </c>
      <c r="T1759" s="13" t="s">
        <v>9</v>
      </c>
      <c r="U1759" s="13" t="s">
        <v>0</v>
      </c>
      <c r="V1759" s="13" t="s">
        <v>0</v>
      </c>
      <c r="W1759" s="13" t="s">
        <v>0</v>
      </c>
      <c r="X1759" s="13" t="s">
        <v>0</v>
      </c>
      <c r="Y1759" s="13" t="s">
        <v>10</v>
      </c>
      <c r="Z1759" s="13" t="s">
        <v>0</v>
      </c>
      <c r="AA1759" s="14"/>
      <c r="AB1759" s="13" t="s">
        <v>0</v>
      </c>
      <c r="AC1759" s="13" t="s">
        <v>0</v>
      </c>
      <c r="AD1759" s="13" t="s">
        <v>0</v>
      </c>
      <c r="AE1759" s="15">
        <v>0</v>
      </c>
    </row>
    <row r="1760" spans="1:31" ht="14.15" customHeight="1" x14ac:dyDescent="0.25">
      <c r="A1760" s="12" t="s">
        <v>0</v>
      </c>
      <c r="B1760" s="13" t="s">
        <v>1</v>
      </c>
      <c r="C1760" s="13" t="s">
        <v>1485</v>
      </c>
      <c r="D1760" s="14">
        <v>44160</v>
      </c>
      <c r="E1760" s="14">
        <v>44160</v>
      </c>
      <c r="F1760" s="14">
        <v>44165</v>
      </c>
      <c r="G1760" s="13" t="s">
        <v>3</v>
      </c>
      <c r="H1760" s="13" t="s">
        <v>4</v>
      </c>
      <c r="I1760" s="15">
        <v>-8407.19</v>
      </c>
      <c r="J1760" s="13" t="s">
        <v>5</v>
      </c>
      <c r="K1760" s="13" t="s">
        <v>6</v>
      </c>
      <c r="L1760" s="15">
        <v>-705783.6</v>
      </c>
      <c r="M1760" s="15">
        <v>-8407.19</v>
      </c>
      <c r="N1760" s="16" t="str">
        <f>IF(M1760="","",IF(M1760&lt;0,-M1760&amp;"_"&amp;COUNTIF(M$2:M1760,M1760),M1760&amp;"_"&amp;COUNTIF(M$2:M1760,M1760)))</f>
        <v>8407.19_1</v>
      </c>
      <c r="O1760" s="17" t="str">
        <f t="shared" si="27"/>
        <v/>
      </c>
      <c r="P1760" s="13" t="s">
        <v>1486</v>
      </c>
      <c r="Q1760" s="13" t="s">
        <v>1470</v>
      </c>
      <c r="R1760" s="13" t="s">
        <v>0</v>
      </c>
      <c r="S1760" s="13" t="s">
        <v>0</v>
      </c>
      <c r="T1760" s="13" t="s">
        <v>9</v>
      </c>
      <c r="U1760" s="13" t="s">
        <v>0</v>
      </c>
      <c r="V1760" s="13" t="s">
        <v>0</v>
      </c>
      <c r="W1760" s="13" t="s">
        <v>0</v>
      </c>
      <c r="X1760" s="13" t="s">
        <v>0</v>
      </c>
      <c r="Y1760" s="13" t="s">
        <v>10</v>
      </c>
      <c r="Z1760" s="13" t="s">
        <v>0</v>
      </c>
      <c r="AA1760" s="14"/>
      <c r="AB1760" s="13" t="s">
        <v>0</v>
      </c>
      <c r="AC1760" s="13" t="s">
        <v>0</v>
      </c>
      <c r="AD1760" s="13" t="s">
        <v>0</v>
      </c>
      <c r="AE1760" s="15">
        <v>0</v>
      </c>
    </row>
    <row r="1761" spans="1:31" ht="14.15" customHeight="1" x14ac:dyDescent="0.25">
      <c r="A1761" s="12" t="s">
        <v>0</v>
      </c>
      <c r="B1761" s="13" t="s">
        <v>1</v>
      </c>
      <c r="C1761" s="13" t="s">
        <v>1289</v>
      </c>
      <c r="D1761" s="14">
        <v>44146</v>
      </c>
      <c r="E1761" s="14">
        <v>44146</v>
      </c>
      <c r="F1761" s="14">
        <v>44151</v>
      </c>
      <c r="G1761" s="13" t="s">
        <v>3</v>
      </c>
      <c r="H1761" s="13" t="s">
        <v>4</v>
      </c>
      <c r="I1761" s="15">
        <v>-8401.9599999999991</v>
      </c>
      <c r="J1761" s="13" t="s">
        <v>5</v>
      </c>
      <c r="K1761" s="13" t="s">
        <v>6</v>
      </c>
      <c r="L1761" s="15">
        <v>-705344.54</v>
      </c>
      <c r="M1761" s="15">
        <v>-8401.9599999999991</v>
      </c>
      <c r="N1761" s="16" t="str">
        <f>IF(M1761="","",IF(M1761&lt;0,-M1761&amp;"_"&amp;COUNTIF(M$2:M1761,M1761),M1761&amp;"_"&amp;COUNTIF(M$2:M1761,M1761)))</f>
        <v>8401.96_1</v>
      </c>
      <c r="O1761" s="17" t="str">
        <f t="shared" si="27"/>
        <v/>
      </c>
      <c r="P1761" s="13" t="s">
        <v>1290</v>
      </c>
      <c r="Q1761" s="13" t="s">
        <v>1282</v>
      </c>
      <c r="R1761" s="13" t="s">
        <v>0</v>
      </c>
      <c r="S1761" s="13" t="s">
        <v>0</v>
      </c>
      <c r="T1761" s="13" t="s">
        <v>9</v>
      </c>
      <c r="U1761" s="13" t="s">
        <v>0</v>
      </c>
      <c r="V1761" s="13" t="s">
        <v>0</v>
      </c>
      <c r="W1761" s="13" t="s">
        <v>0</v>
      </c>
      <c r="X1761" s="13" t="s">
        <v>0</v>
      </c>
      <c r="Y1761" s="13" t="s">
        <v>10</v>
      </c>
      <c r="Z1761" s="13" t="s">
        <v>0</v>
      </c>
      <c r="AA1761" s="14"/>
      <c r="AB1761" s="13" t="s">
        <v>0</v>
      </c>
      <c r="AC1761" s="13" t="s">
        <v>0</v>
      </c>
      <c r="AD1761" s="13" t="s">
        <v>0</v>
      </c>
      <c r="AE1761" s="15">
        <v>0</v>
      </c>
    </row>
    <row r="1762" spans="1:31" ht="14.15" customHeight="1" x14ac:dyDescent="0.25">
      <c r="A1762" s="12" t="s">
        <v>0</v>
      </c>
      <c r="B1762" s="13" t="s">
        <v>1</v>
      </c>
      <c r="C1762" s="13" t="s">
        <v>1778</v>
      </c>
      <c r="D1762" s="14">
        <v>44182</v>
      </c>
      <c r="E1762" s="14">
        <v>44182</v>
      </c>
      <c r="F1762" s="14">
        <v>44188</v>
      </c>
      <c r="G1762" s="13" t="s">
        <v>3</v>
      </c>
      <c r="H1762" s="13" t="s">
        <v>4</v>
      </c>
      <c r="I1762" s="15">
        <v>-8398.9500000000007</v>
      </c>
      <c r="J1762" s="13" t="s">
        <v>5</v>
      </c>
      <c r="K1762" s="13" t="s">
        <v>6</v>
      </c>
      <c r="L1762" s="15">
        <v>-705091.85</v>
      </c>
      <c r="M1762" s="15">
        <v>-8398.9500000000007</v>
      </c>
      <c r="N1762" s="16" t="str">
        <f>IF(M1762="","",IF(M1762&lt;0,-M1762&amp;"_"&amp;COUNTIF(M$2:M1762,M1762),M1762&amp;"_"&amp;COUNTIF(M$2:M1762,M1762)))</f>
        <v>8398.95_1</v>
      </c>
      <c r="O1762" s="17" t="str">
        <f t="shared" si="27"/>
        <v/>
      </c>
      <c r="P1762" s="13" t="s">
        <v>1779</v>
      </c>
      <c r="Q1762" s="13" t="s">
        <v>1777</v>
      </c>
      <c r="R1762" s="13" t="s">
        <v>0</v>
      </c>
      <c r="S1762" s="13" t="s">
        <v>0</v>
      </c>
      <c r="T1762" s="13" t="s">
        <v>9</v>
      </c>
      <c r="U1762" s="13" t="s">
        <v>0</v>
      </c>
      <c r="V1762" s="13" t="s">
        <v>0</v>
      </c>
      <c r="W1762" s="13" t="s">
        <v>0</v>
      </c>
      <c r="X1762" s="13" t="s">
        <v>0</v>
      </c>
      <c r="Y1762" s="13" t="s">
        <v>10</v>
      </c>
      <c r="Z1762" s="13" t="s">
        <v>0</v>
      </c>
      <c r="AA1762" s="14"/>
      <c r="AB1762" s="13" t="s">
        <v>0</v>
      </c>
      <c r="AC1762" s="13" t="s">
        <v>0</v>
      </c>
      <c r="AD1762" s="13" t="s">
        <v>0</v>
      </c>
      <c r="AE1762" s="15">
        <v>0</v>
      </c>
    </row>
    <row r="1763" spans="1:31" ht="14.15" customHeight="1" x14ac:dyDescent="0.25">
      <c r="A1763" s="12" t="s">
        <v>0</v>
      </c>
      <c r="B1763" s="13" t="s">
        <v>1</v>
      </c>
      <c r="C1763" s="13" t="s">
        <v>688</v>
      </c>
      <c r="D1763" s="14">
        <v>44090</v>
      </c>
      <c r="E1763" s="14">
        <v>44090</v>
      </c>
      <c r="F1763" s="14">
        <v>44096</v>
      </c>
      <c r="G1763" s="13" t="s">
        <v>3</v>
      </c>
      <c r="H1763" s="13" t="s">
        <v>4</v>
      </c>
      <c r="I1763" s="15">
        <v>-8391.9</v>
      </c>
      <c r="J1763" s="13" t="s">
        <v>5</v>
      </c>
      <c r="K1763" s="13" t="s">
        <v>6</v>
      </c>
      <c r="L1763" s="15">
        <v>-704500</v>
      </c>
      <c r="M1763" s="15">
        <v>-8391.9</v>
      </c>
      <c r="N1763" s="16" t="str">
        <f>IF(M1763="","",IF(M1763&lt;0,-M1763&amp;"_"&amp;COUNTIF(M$2:M1763,M1763),M1763&amp;"_"&amp;COUNTIF(M$2:M1763,M1763)))</f>
        <v>8391.9_1</v>
      </c>
      <c r="O1763" s="17" t="str">
        <f t="shared" si="27"/>
        <v/>
      </c>
      <c r="P1763" s="13" t="s">
        <v>689</v>
      </c>
      <c r="Q1763" s="13" t="s">
        <v>687</v>
      </c>
      <c r="R1763" s="13" t="s">
        <v>0</v>
      </c>
      <c r="S1763" s="13" t="s">
        <v>0</v>
      </c>
      <c r="T1763" s="13" t="s">
        <v>9</v>
      </c>
      <c r="U1763" s="13" t="s">
        <v>0</v>
      </c>
      <c r="V1763" s="13" t="s">
        <v>0</v>
      </c>
      <c r="W1763" s="13" t="s">
        <v>0</v>
      </c>
      <c r="X1763" s="13" t="s">
        <v>0</v>
      </c>
      <c r="Y1763" s="13" t="s">
        <v>10</v>
      </c>
      <c r="Z1763" s="13" t="s">
        <v>0</v>
      </c>
      <c r="AA1763" s="14"/>
      <c r="AB1763" s="13" t="s">
        <v>0</v>
      </c>
      <c r="AC1763" s="13" t="s">
        <v>0</v>
      </c>
      <c r="AD1763" s="13" t="s">
        <v>0</v>
      </c>
      <c r="AE1763" s="15">
        <v>0</v>
      </c>
    </row>
    <row r="1764" spans="1:31" ht="14.15" customHeight="1" x14ac:dyDescent="0.25">
      <c r="A1764" s="12" t="s">
        <v>0</v>
      </c>
      <c r="B1764" s="13" t="s">
        <v>1</v>
      </c>
      <c r="C1764" s="13" t="s">
        <v>4261</v>
      </c>
      <c r="D1764" s="14">
        <v>44369</v>
      </c>
      <c r="E1764" s="14">
        <v>44369</v>
      </c>
      <c r="F1764" s="14">
        <v>44373</v>
      </c>
      <c r="G1764" s="13" t="s">
        <v>3</v>
      </c>
      <c r="H1764" s="13" t="s">
        <v>4</v>
      </c>
      <c r="I1764" s="15">
        <v>-8375.74</v>
      </c>
      <c r="J1764" s="13" t="s">
        <v>5</v>
      </c>
      <c r="K1764" s="13" t="s">
        <v>6</v>
      </c>
      <c r="L1764" s="15">
        <v>-703143.37</v>
      </c>
      <c r="M1764" s="15">
        <v>-8375.74</v>
      </c>
      <c r="N1764" s="16" t="str">
        <f>IF(M1764="","",IF(M1764&lt;0,-M1764&amp;"_"&amp;COUNTIF(M$2:M1764,M1764),M1764&amp;"_"&amp;COUNTIF(M$2:M1764,M1764)))</f>
        <v>8375.74_1</v>
      </c>
      <c r="O1764" s="17" t="str">
        <f t="shared" si="27"/>
        <v/>
      </c>
      <c r="P1764" s="13" t="s">
        <v>4262</v>
      </c>
      <c r="Q1764" s="13" t="s">
        <v>4248</v>
      </c>
      <c r="R1764" s="13" t="s">
        <v>0</v>
      </c>
      <c r="S1764" s="13" t="s">
        <v>0</v>
      </c>
      <c r="T1764" s="13" t="s">
        <v>9</v>
      </c>
      <c r="U1764" s="13" t="s">
        <v>0</v>
      </c>
      <c r="V1764" s="13" t="s">
        <v>0</v>
      </c>
      <c r="W1764" s="13" t="s">
        <v>0</v>
      </c>
      <c r="X1764" s="13" t="s">
        <v>0</v>
      </c>
      <c r="Y1764" s="13" t="s">
        <v>10</v>
      </c>
      <c r="Z1764" s="13" t="s">
        <v>0</v>
      </c>
      <c r="AA1764" s="14"/>
      <c r="AB1764" s="13" t="s">
        <v>0</v>
      </c>
      <c r="AC1764" s="13" t="s">
        <v>0</v>
      </c>
      <c r="AD1764" s="13" t="s">
        <v>0</v>
      </c>
      <c r="AE1764" s="15">
        <v>0</v>
      </c>
    </row>
    <row r="1765" spans="1:31" ht="14.15" customHeight="1" x14ac:dyDescent="0.25">
      <c r="A1765" s="12" t="s">
        <v>0</v>
      </c>
      <c r="B1765" s="13" t="s">
        <v>1</v>
      </c>
      <c r="C1765" s="13" t="s">
        <v>4253</v>
      </c>
      <c r="D1765" s="14">
        <v>44369</v>
      </c>
      <c r="E1765" s="14">
        <v>44369</v>
      </c>
      <c r="F1765" s="14">
        <v>44371</v>
      </c>
      <c r="G1765" s="13" t="s">
        <v>3</v>
      </c>
      <c r="H1765" s="13" t="s">
        <v>4</v>
      </c>
      <c r="I1765" s="15">
        <v>-8357.49</v>
      </c>
      <c r="J1765" s="13" t="s">
        <v>5</v>
      </c>
      <c r="K1765" s="13" t="s">
        <v>6</v>
      </c>
      <c r="L1765" s="15">
        <v>-701611.29</v>
      </c>
      <c r="M1765" s="15">
        <v>-8357.49</v>
      </c>
      <c r="N1765" s="16" t="str">
        <f>IF(M1765="","",IF(M1765&lt;0,-M1765&amp;"_"&amp;COUNTIF(M$2:M1765,M1765),M1765&amp;"_"&amp;COUNTIF(M$2:M1765,M1765)))</f>
        <v>8357.49_1</v>
      </c>
      <c r="O1765" s="17" t="str">
        <f t="shared" si="27"/>
        <v/>
      </c>
      <c r="P1765" s="13" t="s">
        <v>4254</v>
      </c>
      <c r="Q1765" s="13" t="s">
        <v>4248</v>
      </c>
      <c r="R1765" s="13" t="s">
        <v>0</v>
      </c>
      <c r="S1765" s="13" t="s">
        <v>0</v>
      </c>
      <c r="T1765" s="13" t="s">
        <v>9</v>
      </c>
      <c r="U1765" s="13" t="s">
        <v>0</v>
      </c>
      <c r="V1765" s="13" t="s">
        <v>0</v>
      </c>
      <c r="W1765" s="13" t="s">
        <v>0</v>
      </c>
      <c r="X1765" s="13" t="s">
        <v>0</v>
      </c>
      <c r="Y1765" s="13" t="s">
        <v>10</v>
      </c>
      <c r="Z1765" s="13" t="s">
        <v>0</v>
      </c>
      <c r="AA1765" s="14"/>
      <c r="AB1765" s="13" t="s">
        <v>0</v>
      </c>
      <c r="AC1765" s="13" t="s">
        <v>0</v>
      </c>
      <c r="AD1765" s="13" t="s">
        <v>0</v>
      </c>
      <c r="AE1765" s="15">
        <v>0</v>
      </c>
    </row>
    <row r="1766" spans="1:31" ht="14.15" customHeight="1" x14ac:dyDescent="0.25">
      <c r="A1766" s="12" t="s">
        <v>0</v>
      </c>
      <c r="B1766" s="13" t="s">
        <v>1</v>
      </c>
      <c r="C1766" s="13" t="s">
        <v>1377</v>
      </c>
      <c r="D1766" s="14">
        <v>44152</v>
      </c>
      <c r="E1766" s="14">
        <v>44152</v>
      </c>
      <c r="F1766" s="14">
        <v>44159</v>
      </c>
      <c r="G1766" s="13" t="s">
        <v>3</v>
      </c>
      <c r="H1766" s="13" t="s">
        <v>4</v>
      </c>
      <c r="I1766" s="15">
        <v>-8350.5</v>
      </c>
      <c r="J1766" s="13" t="s">
        <v>5</v>
      </c>
      <c r="K1766" s="13" t="s">
        <v>6</v>
      </c>
      <c r="L1766" s="15">
        <v>-701024.48</v>
      </c>
      <c r="M1766" s="15">
        <v>-8350.5</v>
      </c>
      <c r="N1766" s="16" t="str">
        <f>IF(M1766="","",IF(M1766&lt;0,-M1766&amp;"_"&amp;COUNTIF(M$2:M1766,M1766),M1766&amp;"_"&amp;COUNTIF(M$2:M1766,M1766)))</f>
        <v>8350.5_1</v>
      </c>
      <c r="O1766" s="17" t="str">
        <f t="shared" si="27"/>
        <v/>
      </c>
      <c r="P1766" s="13" t="s">
        <v>1378</v>
      </c>
      <c r="Q1766" s="13" t="s">
        <v>1376</v>
      </c>
      <c r="R1766" s="13" t="s">
        <v>0</v>
      </c>
      <c r="S1766" s="13" t="s">
        <v>0</v>
      </c>
      <c r="T1766" s="13" t="s">
        <v>9</v>
      </c>
      <c r="U1766" s="13" t="s">
        <v>0</v>
      </c>
      <c r="V1766" s="13" t="s">
        <v>0</v>
      </c>
      <c r="W1766" s="13" t="s">
        <v>0</v>
      </c>
      <c r="X1766" s="13" t="s">
        <v>0</v>
      </c>
      <c r="Y1766" s="13" t="s">
        <v>10</v>
      </c>
      <c r="Z1766" s="13" t="s">
        <v>0</v>
      </c>
      <c r="AA1766" s="14"/>
      <c r="AB1766" s="13" t="s">
        <v>0</v>
      </c>
      <c r="AC1766" s="13" t="s">
        <v>0</v>
      </c>
      <c r="AD1766" s="13" t="s">
        <v>0</v>
      </c>
      <c r="AE1766" s="15">
        <v>0</v>
      </c>
    </row>
    <row r="1767" spans="1:31" ht="14.15" customHeight="1" x14ac:dyDescent="0.25">
      <c r="A1767" s="12" t="s">
        <v>0</v>
      </c>
      <c r="B1767" s="13" t="s">
        <v>1</v>
      </c>
      <c r="C1767" s="13" t="s">
        <v>1196</v>
      </c>
      <c r="D1767" s="14">
        <v>44140</v>
      </c>
      <c r="E1767" s="14">
        <v>44140</v>
      </c>
      <c r="F1767" s="14">
        <v>44146</v>
      </c>
      <c r="G1767" s="13" t="s">
        <v>3</v>
      </c>
      <c r="H1767" s="13" t="s">
        <v>4</v>
      </c>
      <c r="I1767" s="15">
        <v>-8349.94</v>
      </c>
      <c r="J1767" s="13" t="s">
        <v>5</v>
      </c>
      <c r="K1767" s="13" t="s">
        <v>6</v>
      </c>
      <c r="L1767" s="15">
        <v>-700977.46</v>
      </c>
      <c r="M1767" s="15">
        <v>-8349.94</v>
      </c>
      <c r="N1767" s="16" t="str">
        <f>IF(M1767="","",IF(M1767&lt;0,-M1767&amp;"_"&amp;COUNTIF(M$2:M1767,M1767),M1767&amp;"_"&amp;COUNTIF(M$2:M1767,M1767)))</f>
        <v>8349.94_1</v>
      </c>
      <c r="O1767" s="17" t="str">
        <f t="shared" si="27"/>
        <v/>
      </c>
      <c r="P1767" s="13" t="s">
        <v>1197</v>
      </c>
      <c r="Q1767" s="13" t="s">
        <v>1165</v>
      </c>
      <c r="R1767" s="13" t="s">
        <v>0</v>
      </c>
      <c r="S1767" s="13" t="s">
        <v>0</v>
      </c>
      <c r="T1767" s="13" t="s">
        <v>9</v>
      </c>
      <c r="U1767" s="13" t="s">
        <v>0</v>
      </c>
      <c r="V1767" s="13" t="s">
        <v>0</v>
      </c>
      <c r="W1767" s="13" t="s">
        <v>0</v>
      </c>
      <c r="X1767" s="13" t="s">
        <v>0</v>
      </c>
      <c r="Y1767" s="13" t="s">
        <v>10</v>
      </c>
      <c r="Z1767" s="13" t="s">
        <v>0</v>
      </c>
      <c r="AA1767" s="14"/>
      <c r="AB1767" s="13" t="s">
        <v>0</v>
      </c>
      <c r="AC1767" s="13" t="s">
        <v>0</v>
      </c>
      <c r="AD1767" s="13" t="s">
        <v>0</v>
      </c>
      <c r="AE1767" s="15">
        <v>0</v>
      </c>
    </row>
    <row r="1768" spans="1:31" ht="14.15" customHeight="1" x14ac:dyDescent="0.25">
      <c r="A1768" s="12" t="s">
        <v>0</v>
      </c>
      <c r="B1768" s="13" t="s">
        <v>1</v>
      </c>
      <c r="C1768" s="13" t="s">
        <v>1727</v>
      </c>
      <c r="D1768" s="14">
        <v>44177</v>
      </c>
      <c r="E1768" s="14">
        <v>44177</v>
      </c>
      <c r="F1768" s="14">
        <v>44185</v>
      </c>
      <c r="G1768" s="13" t="s">
        <v>3</v>
      </c>
      <c r="H1768" s="13" t="s">
        <v>4</v>
      </c>
      <c r="I1768" s="15">
        <v>-8339.4500000000007</v>
      </c>
      <c r="J1768" s="13" t="s">
        <v>5</v>
      </c>
      <c r="K1768" s="13" t="s">
        <v>6</v>
      </c>
      <c r="L1768" s="15">
        <v>-700096.83</v>
      </c>
      <c r="M1768" s="15">
        <v>-8339.4500000000007</v>
      </c>
      <c r="N1768" s="16" t="str">
        <f>IF(M1768="","",IF(M1768&lt;0,-M1768&amp;"_"&amp;COUNTIF(M$2:M1768,M1768),M1768&amp;"_"&amp;COUNTIF(M$2:M1768,M1768)))</f>
        <v>8339.45_1</v>
      </c>
      <c r="O1768" s="17" t="str">
        <f t="shared" si="27"/>
        <v/>
      </c>
      <c r="P1768" s="13" t="s">
        <v>1728</v>
      </c>
      <c r="Q1768" s="13" t="s">
        <v>1729</v>
      </c>
      <c r="R1768" s="13" t="s">
        <v>0</v>
      </c>
      <c r="S1768" s="13" t="s">
        <v>0</v>
      </c>
      <c r="T1768" s="13" t="s">
        <v>9</v>
      </c>
      <c r="U1768" s="13" t="s">
        <v>0</v>
      </c>
      <c r="V1768" s="13" t="s">
        <v>0</v>
      </c>
      <c r="W1768" s="13" t="s">
        <v>0</v>
      </c>
      <c r="X1768" s="13" t="s">
        <v>0</v>
      </c>
      <c r="Y1768" s="13" t="s">
        <v>10</v>
      </c>
      <c r="Z1768" s="13" t="s">
        <v>0</v>
      </c>
      <c r="AA1768" s="14"/>
      <c r="AB1768" s="13" t="s">
        <v>0</v>
      </c>
      <c r="AC1768" s="13" t="s">
        <v>0</v>
      </c>
      <c r="AD1768" s="13" t="s">
        <v>0</v>
      </c>
      <c r="AE1768" s="15">
        <v>0</v>
      </c>
    </row>
    <row r="1769" spans="1:31" ht="14.15" customHeight="1" x14ac:dyDescent="0.25">
      <c r="A1769" s="12" t="s">
        <v>0</v>
      </c>
      <c r="B1769" s="13" t="s">
        <v>1</v>
      </c>
      <c r="C1769" s="13" t="s">
        <v>1280</v>
      </c>
      <c r="D1769" s="14">
        <v>44146</v>
      </c>
      <c r="E1769" s="14">
        <v>44146</v>
      </c>
      <c r="F1769" s="14">
        <v>44149</v>
      </c>
      <c r="G1769" s="13" t="s">
        <v>3</v>
      </c>
      <c r="H1769" s="13" t="s">
        <v>4</v>
      </c>
      <c r="I1769" s="15">
        <v>-8335.85</v>
      </c>
      <c r="J1769" s="13" t="s">
        <v>5</v>
      </c>
      <c r="K1769" s="13" t="s">
        <v>6</v>
      </c>
      <c r="L1769" s="15">
        <v>-699794.61</v>
      </c>
      <c r="M1769" s="15">
        <v>-8335.85</v>
      </c>
      <c r="N1769" s="16" t="str">
        <f>IF(M1769="","",IF(M1769&lt;0,-M1769&amp;"_"&amp;COUNTIF(M$2:M1769,M1769),M1769&amp;"_"&amp;COUNTIF(M$2:M1769,M1769)))</f>
        <v>8335.85_1</v>
      </c>
      <c r="O1769" s="17" t="str">
        <f t="shared" si="27"/>
        <v/>
      </c>
      <c r="P1769" s="13" t="s">
        <v>1281</v>
      </c>
      <c r="Q1769" s="13" t="s">
        <v>1282</v>
      </c>
      <c r="R1769" s="13" t="s">
        <v>0</v>
      </c>
      <c r="S1769" s="13" t="s">
        <v>0</v>
      </c>
      <c r="T1769" s="13" t="s">
        <v>9</v>
      </c>
      <c r="U1769" s="13" t="s">
        <v>0</v>
      </c>
      <c r="V1769" s="13" t="s">
        <v>0</v>
      </c>
      <c r="W1769" s="13" t="s">
        <v>0</v>
      </c>
      <c r="X1769" s="13" t="s">
        <v>0</v>
      </c>
      <c r="Y1769" s="13" t="s">
        <v>10</v>
      </c>
      <c r="Z1769" s="13" t="s">
        <v>0</v>
      </c>
      <c r="AA1769" s="14"/>
      <c r="AB1769" s="13" t="s">
        <v>0</v>
      </c>
      <c r="AC1769" s="13" t="s">
        <v>0</v>
      </c>
      <c r="AD1769" s="13" t="s">
        <v>0</v>
      </c>
      <c r="AE1769" s="15">
        <v>0</v>
      </c>
    </row>
    <row r="1770" spans="1:31" ht="14.15" customHeight="1" x14ac:dyDescent="0.25">
      <c r="A1770" s="12" t="s">
        <v>0</v>
      </c>
      <c r="B1770" s="13" t="s">
        <v>1</v>
      </c>
      <c r="C1770" s="13" t="s">
        <v>1880</v>
      </c>
      <c r="D1770" s="14">
        <v>44188</v>
      </c>
      <c r="E1770" s="14">
        <v>44188</v>
      </c>
      <c r="F1770" s="14">
        <v>44199</v>
      </c>
      <c r="G1770" s="13" t="s">
        <v>3</v>
      </c>
      <c r="H1770" s="13" t="s">
        <v>4</v>
      </c>
      <c r="I1770" s="15">
        <v>-8329.56</v>
      </c>
      <c r="J1770" s="13" t="s">
        <v>5</v>
      </c>
      <c r="K1770" s="13" t="s">
        <v>6</v>
      </c>
      <c r="L1770" s="15">
        <v>-699266.56000000006</v>
      </c>
      <c r="M1770" s="15">
        <v>-8329.56</v>
      </c>
      <c r="N1770" s="16" t="str">
        <f>IF(M1770="","",IF(M1770&lt;0,-M1770&amp;"_"&amp;COUNTIF(M$2:M1770,M1770),M1770&amp;"_"&amp;COUNTIF(M$2:M1770,M1770)))</f>
        <v>8329.56_1</v>
      </c>
      <c r="O1770" s="17" t="str">
        <f t="shared" si="27"/>
        <v/>
      </c>
      <c r="P1770" s="13" t="s">
        <v>1881</v>
      </c>
      <c r="Q1770" s="13" t="s">
        <v>1869</v>
      </c>
      <c r="R1770" s="13" t="s">
        <v>0</v>
      </c>
      <c r="S1770" s="13" t="s">
        <v>0</v>
      </c>
      <c r="T1770" s="13" t="s">
        <v>9</v>
      </c>
      <c r="U1770" s="13" t="s">
        <v>0</v>
      </c>
      <c r="V1770" s="13" t="s">
        <v>0</v>
      </c>
      <c r="W1770" s="13" t="s">
        <v>0</v>
      </c>
      <c r="X1770" s="13" t="s">
        <v>0</v>
      </c>
      <c r="Y1770" s="13" t="s">
        <v>10</v>
      </c>
      <c r="Z1770" s="13" t="s">
        <v>0</v>
      </c>
      <c r="AA1770" s="14"/>
      <c r="AB1770" s="13" t="s">
        <v>0</v>
      </c>
      <c r="AC1770" s="13" t="s">
        <v>0</v>
      </c>
      <c r="AD1770" s="13" t="s">
        <v>0</v>
      </c>
      <c r="AE1770" s="15">
        <v>0</v>
      </c>
    </row>
    <row r="1771" spans="1:31" ht="14.15" customHeight="1" x14ac:dyDescent="0.25">
      <c r="A1771" s="12" t="s">
        <v>0</v>
      </c>
      <c r="B1771" s="13" t="s">
        <v>1</v>
      </c>
      <c r="C1771" s="13" t="s">
        <v>3019</v>
      </c>
      <c r="D1771" s="14">
        <v>44281</v>
      </c>
      <c r="E1771" s="14">
        <v>44281</v>
      </c>
      <c r="F1771" s="14">
        <v>44287</v>
      </c>
      <c r="G1771" s="13" t="s">
        <v>3</v>
      </c>
      <c r="H1771" s="13" t="s">
        <v>4</v>
      </c>
      <c r="I1771" s="15">
        <v>-8327.64</v>
      </c>
      <c r="J1771" s="13" t="s">
        <v>5</v>
      </c>
      <c r="K1771" s="13" t="s">
        <v>6</v>
      </c>
      <c r="L1771" s="15">
        <v>-699105.38</v>
      </c>
      <c r="M1771" s="15">
        <v>-8327.64</v>
      </c>
      <c r="N1771" s="16" t="str">
        <f>IF(M1771="","",IF(M1771&lt;0,-M1771&amp;"_"&amp;COUNTIF(M$2:M1771,M1771),M1771&amp;"_"&amp;COUNTIF(M$2:M1771,M1771)))</f>
        <v>8327.64_1</v>
      </c>
      <c r="O1771" s="17" t="str">
        <f t="shared" si="27"/>
        <v/>
      </c>
      <c r="P1771" s="13" t="s">
        <v>3020</v>
      </c>
      <c r="Q1771" s="13" t="s">
        <v>3014</v>
      </c>
      <c r="R1771" s="13" t="s">
        <v>0</v>
      </c>
      <c r="S1771" s="13" t="s">
        <v>0</v>
      </c>
      <c r="T1771" s="13" t="s">
        <v>9</v>
      </c>
      <c r="U1771" s="13" t="s">
        <v>0</v>
      </c>
      <c r="V1771" s="13" t="s">
        <v>0</v>
      </c>
      <c r="W1771" s="13" t="s">
        <v>0</v>
      </c>
      <c r="X1771" s="13" t="s">
        <v>0</v>
      </c>
      <c r="Y1771" s="13" t="s">
        <v>10</v>
      </c>
      <c r="Z1771" s="13" t="s">
        <v>0</v>
      </c>
      <c r="AA1771" s="14"/>
      <c r="AB1771" s="13" t="s">
        <v>0</v>
      </c>
      <c r="AC1771" s="13" t="s">
        <v>0</v>
      </c>
      <c r="AD1771" s="13" t="s">
        <v>0</v>
      </c>
      <c r="AE1771" s="15">
        <v>0</v>
      </c>
    </row>
    <row r="1772" spans="1:31" ht="14.15" customHeight="1" x14ac:dyDescent="0.25">
      <c r="A1772" s="12" t="s">
        <v>0</v>
      </c>
      <c r="B1772" s="13" t="s">
        <v>1</v>
      </c>
      <c r="C1772" s="13" t="s">
        <v>2844</v>
      </c>
      <c r="D1772" s="14">
        <v>44271</v>
      </c>
      <c r="E1772" s="14">
        <v>44271</v>
      </c>
      <c r="F1772" s="14">
        <v>44276</v>
      </c>
      <c r="G1772" s="13" t="s">
        <v>3</v>
      </c>
      <c r="H1772" s="13" t="s">
        <v>4</v>
      </c>
      <c r="I1772" s="15">
        <v>-8326.2800000000007</v>
      </c>
      <c r="J1772" s="13" t="s">
        <v>5</v>
      </c>
      <c r="K1772" s="13" t="s">
        <v>6</v>
      </c>
      <c r="L1772" s="15">
        <v>-698991.21</v>
      </c>
      <c r="M1772" s="15">
        <v>-8326.2800000000007</v>
      </c>
      <c r="N1772" s="16" t="str">
        <f>IF(M1772="","",IF(M1772&lt;0,-M1772&amp;"_"&amp;COUNTIF(M$2:M1772,M1772),M1772&amp;"_"&amp;COUNTIF(M$2:M1772,M1772)))</f>
        <v>8326.28_1</v>
      </c>
      <c r="O1772" s="17" t="str">
        <f t="shared" si="27"/>
        <v/>
      </c>
      <c r="P1772" s="13" t="s">
        <v>2845</v>
      </c>
      <c r="Q1772" s="13" t="s">
        <v>2843</v>
      </c>
      <c r="R1772" s="13" t="s">
        <v>0</v>
      </c>
      <c r="S1772" s="13" t="s">
        <v>0</v>
      </c>
      <c r="T1772" s="13" t="s">
        <v>9</v>
      </c>
      <c r="U1772" s="13" t="s">
        <v>0</v>
      </c>
      <c r="V1772" s="13" t="s">
        <v>0</v>
      </c>
      <c r="W1772" s="13" t="s">
        <v>0</v>
      </c>
      <c r="X1772" s="13" t="s">
        <v>0</v>
      </c>
      <c r="Y1772" s="13" t="s">
        <v>10</v>
      </c>
      <c r="Z1772" s="13" t="s">
        <v>0</v>
      </c>
      <c r="AA1772" s="14"/>
      <c r="AB1772" s="13" t="s">
        <v>0</v>
      </c>
      <c r="AC1772" s="13" t="s">
        <v>0</v>
      </c>
      <c r="AD1772" s="13" t="s">
        <v>0</v>
      </c>
      <c r="AE1772" s="15">
        <v>0</v>
      </c>
    </row>
    <row r="1773" spans="1:31" ht="14.15" customHeight="1" x14ac:dyDescent="0.25">
      <c r="A1773" s="12" t="s">
        <v>0</v>
      </c>
      <c r="B1773" s="13" t="s">
        <v>1</v>
      </c>
      <c r="C1773" s="13" t="s">
        <v>717</v>
      </c>
      <c r="D1773" s="14">
        <v>44094</v>
      </c>
      <c r="E1773" s="14">
        <v>44094</v>
      </c>
      <c r="F1773" s="14">
        <v>44098</v>
      </c>
      <c r="G1773" s="13" t="s">
        <v>3</v>
      </c>
      <c r="H1773" s="13" t="s">
        <v>4</v>
      </c>
      <c r="I1773" s="15">
        <v>-8326.2099999999991</v>
      </c>
      <c r="J1773" s="13" t="s">
        <v>5</v>
      </c>
      <c r="K1773" s="13" t="s">
        <v>6</v>
      </c>
      <c r="L1773" s="15">
        <v>-698985.33</v>
      </c>
      <c r="M1773" s="15">
        <v>-8326.2099999999991</v>
      </c>
      <c r="N1773" s="16" t="str">
        <f>IF(M1773="","",IF(M1773&lt;0,-M1773&amp;"_"&amp;COUNTIF(M$2:M1773,M1773),M1773&amp;"_"&amp;COUNTIF(M$2:M1773,M1773)))</f>
        <v>8326.21_1</v>
      </c>
      <c r="O1773" s="17" t="str">
        <f t="shared" si="27"/>
        <v/>
      </c>
      <c r="P1773" s="13" t="s">
        <v>718</v>
      </c>
      <c r="Q1773" s="13" t="s">
        <v>719</v>
      </c>
      <c r="R1773" s="13" t="s">
        <v>0</v>
      </c>
      <c r="S1773" s="13" t="s">
        <v>0</v>
      </c>
      <c r="T1773" s="13" t="s">
        <v>9</v>
      </c>
      <c r="U1773" s="13" t="s">
        <v>0</v>
      </c>
      <c r="V1773" s="13" t="s">
        <v>0</v>
      </c>
      <c r="W1773" s="13" t="s">
        <v>0</v>
      </c>
      <c r="X1773" s="13" t="s">
        <v>0</v>
      </c>
      <c r="Y1773" s="13" t="s">
        <v>10</v>
      </c>
      <c r="Z1773" s="13" t="s">
        <v>0</v>
      </c>
      <c r="AA1773" s="14"/>
      <c r="AB1773" s="13" t="s">
        <v>0</v>
      </c>
      <c r="AC1773" s="13" t="s">
        <v>0</v>
      </c>
      <c r="AD1773" s="13" t="s">
        <v>0</v>
      </c>
      <c r="AE1773" s="15">
        <v>0</v>
      </c>
    </row>
    <row r="1774" spans="1:31" ht="14.15" customHeight="1" x14ac:dyDescent="0.25">
      <c r="A1774" s="12" t="s">
        <v>0</v>
      </c>
      <c r="B1774" s="13" t="s">
        <v>1</v>
      </c>
      <c r="C1774" s="13" t="s">
        <v>3155</v>
      </c>
      <c r="D1774" s="14">
        <v>44297</v>
      </c>
      <c r="E1774" s="14">
        <v>44297</v>
      </c>
      <c r="F1774" s="14">
        <v>44306</v>
      </c>
      <c r="G1774" s="13" t="s">
        <v>3</v>
      </c>
      <c r="H1774" s="13" t="s">
        <v>4</v>
      </c>
      <c r="I1774" s="15">
        <v>-8296.73</v>
      </c>
      <c r="J1774" s="13" t="s">
        <v>5</v>
      </c>
      <c r="K1774" s="13" t="s">
        <v>6</v>
      </c>
      <c r="L1774" s="15">
        <v>-696510.48</v>
      </c>
      <c r="M1774" s="15">
        <v>-8296.73</v>
      </c>
      <c r="N1774" s="16" t="str">
        <f>IF(M1774="","",IF(M1774&lt;0,-M1774&amp;"_"&amp;COUNTIF(M$2:M1774,M1774),M1774&amp;"_"&amp;COUNTIF(M$2:M1774,M1774)))</f>
        <v>8296.73_1</v>
      </c>
      <c r="O1774" s="17" t="str">
        <f t="shared" si="27"/>
        <v/>
      </c>
      <c r="P1774" s="13" t="s">
        <v>3156</v>
      </c>
      <c r="Q1774" s="13" t="s">
        <v>3152</v>
      </c>
      <c r="R1774" s="13" t="s">
        <v>0</v>
      </c>
      <c r="S1774" s="13" t="s">
        <v>0</v>
      </c>
      <c r="T1774" s="13" t="s">
        <v>9</v>
      </c>
      <c r="U1774" s="13" t="s">
        <v>0</v>
      </c>
      <c r="V1774" s="13" t="s">
        <v>0</v>
      </c>
      <c r="W1774" s="13" t="s">
        <v>0</v>
      </c>
      <c r="X1774" s="13" t="s">
        <v>0</v>
      </c>
      <c r="Y1774" s="13" t="s">
        <v>10</v>
      </c>
      <c r="Z1774" s="13" t="s">
        <v>0</v>
      </c>
      <c r="AA1774" s="14"/>
      <c r="AB1774" s="13" t="s">
        <v>0</v>
      </c>
      <c r="AC1774" s="13" t="s">
        <v>0</v>
      </c>
      <c r="AD1774" s="13" t="s">
        <v>0</v>
      </c>
      <c r="AE1774" s="15">
        <v>0</v>
      </c>
    </row>
    <row r="1775" spans="1:31" ht="14.15" customHeight="1" x14ac:dyDescent="0.25">
      <c r="A1775" s="12" t="s">
        <v>0</v>
      </c>
      <c r="B1775" s="13" t="s">
        <v>1</v>
      </c>
      <c r="C1775" s="13" t="s">
        <v>2535</v>
      </c>
      <c r="D1775" s="14">
        <v>44238</v>
      </c>
      <c r="E1775" s="14">
        <v>44238</v>
      </c>
      <c r="F1775" s="14">
        <v>44243</v>
      </c>
      <c r="G1775" s="13" t="s">
        <v>3</v>
      </c>
      <c r="H1775" s="13" t="s">
        <v>4</v>
      </c>
      <c r="I1775" s="15">
        <v>-8288.0300000000007</v>
      </c>
      <c r="J1775" s="13" t="s">
        <v>5</v>
      </c>
      <c r="K1775" s="13" t="s">
        <v>6</v>
      </c>
      <c r="L1775" s="15">
        <v>-695780.12</v>
      </c>
      <c r="M1775" s="15">
        <v>-8288.0300000000007</v>
      </c>
      <c r="N1775" s="16" t="str">
        <f>IF(M1775="","",IF(M1775&lt;0,-M1775&amp;"_"&amp;COUNTIF(M$2:M1775,M1775),M1775&amp;"_"&amp;COUNTIF(M$2:M1775,M1775)))</f>
        <v>8288.03_1</v>
      </c>
      <c r="O1775" s="17" t="str">
        <f t="shared" si="27"/>
        <v/>
      </c>
      <c r="P1775" s="13" t="s">
        <v>2536</v>
      </c>
      <c r="Q1775" s="13" t="s">
        <v>2528</v>
      </c>
      <c r="R1775" s="13" t="s">
        <v>0</v>
      </c>
      <c r="S1775" s="13" t="s">
        <v>0</v>
      </c>
      <c r="T1775" s="13" t="s">
        <v>9</v>
      </c>
      <c r="U1775" s="13" t="s">
        <v>0</v>
      </c>
      <c r="V1775" s="13" t="s">
        <v>0</v>
      </c>
      <c r="W1775" s="13" t="s">
        <v>0</v>
      </c>
      <c r="X1775" s="13" t="s">
        <v>0</v>
      </c>
      <c r="Y1775" s="13" t="s">
        <v>10</v>
      </c>
      <c r="Z1775" s="13" t="s">
        <v>0</v>
      </c>
      <c r="AA1775" s="14"/>
      <c r="AB1775" s="13" t="s">
        <v>0</v>
      </c>
      <c r="AC1775" s="13" t="s">
        <v>0</v>
      </c>
      <c r="AD1775" s="13" t="s">
        <v>0</v>
      </c>
      <c r="AE1775" s="15">
        <v>0</v>
      </c>
    </row>
    <row r="1776" spans="1:31" ht="14.15" customHeight="1" x14ac:dyDescent="0.25">
      <c r="A1776" s="12" t="s">
        <v>0</v>
      </c>
      <c r="B1776" s="13" t="s">
        <v>1</v>
      </c>
      <c r="C1776" s="13" t="s">
        <v>2418</v>
      </c>
      <c r="D1776" s="14">
        <v>44229</v>
      </c>
      <c r="E1776" s="14">
        <v>44229</v>
      </c>
      <c r="F1776" s="14">
        <v>44241</v>
      </c>
      <c r="G1776" s="13" t="s">
        <v>3</v>
      </c>
      <c r="H1776" s="13" t="s">
        <v>4</v>
      </c>
      <c r="I1776" s="15">
        <v>-8274.74</v>
      </c>
      <c r="J1776" s="13" t="s">
        <v>5</v>
      </c>
      <c r="K1776" s="13" t="s">
        <v>6</v>
      </c>
      <c r="L1776" s="15">
        <v>-694664.42</v>
      </c>
      <c r="M1776" s="15">
        <v>-8274.74</v>
      </c>
      <c r="N1776" s="16" t="str">
        <f>IF(M1776="","",IF(M1776&lt;0,-M1776&amp;"_"&amp;COUNTIF(M$2:M1776,M1776),M1776&amp;"_"&amp;COUNTIF(M$2:M1776,M1776)))</f>
        <v>8274.74_1</v>
      </c>
      <c r="O1776" s="17" t="str">
        <f t="shared" si="27"/>
        <v/>
      </c>
      <c r="P1776" s="13" t="s">
        <v>2419</v>
      </c>
      <c r="Q1776" s="13" t="s">
        <v>2415</v>
      </c>
      <c r="R1776" s="13" t="s">
        <v>0</v>
      </c>
      <c r="S1776" s="13" t="s">
        <v>0</v>
      </c>
      <c r="T1776" s="13" t="s">
        <v>9</v>
      </c>
      <c r="U1776" s="13" t="s">
        <v>0</v>
      </c>
      <c r="V1776" s="13" t="s">
        <v>0</v>
      </c>
      <c r="W1776" s="13" t="s">
        <v>0</v>
      </c>
      <c r="X1776" s="13" t="s">
        <v>0</v>
      </c>
      <c r="Y1776" s="13" t="s">
        <v>10</v>
      </c>
      <c r="Z1776" s="13" t="s">
        <v>0</v>
      </c>
      <c r="AA1776" s="14"/>
      <c r="AB1776" s="13" t="s">
        <v>0</v>
      </c>
      <c r="AC1776" s="13" t="s">
        <v>0</v>
      </c>
      <c r="AD1776" s="13" t="s">
        <v>0</v>
      </c>
      <c r="AE1776" s="15">
        <v>0</v>
      </c>
    </row>
    <row r="1777" spans="1:31" ht="14.15" customHeight="1" x14ac:dyDescent="0.25">
      <c r="A1777" s="12" t="s">
        <v>0</v>
      </c>
      <c r="B1777" s="13" t="s">
        <v>1</v>
      </c>
      <c r="C1777" s="13" t="s">
        <v>2138</v>
      </c>
      <c r="D1777" s="14">
        <v>44205</v>
      </c>
      <c r="E1777" s="14">
        <v>44205</v>
      </c>
      <c r="F1777" s="14">
        <v>44214</v>
      </c>
      <c r="G1777" s="13" t="s">
        <v>3</v>
      </c>
      <c r="H1777" s="13" t="s">
        <v>4</v>
      </c>
      <c r="I1777" s="15">
        <v>-8272.9599999999991</v>
      </c>
      <c r="J1777" s="13" t="s">
        <v>5</v>
      </c>
      <c r="K1777" s="13" t="s">
        <v>6</v>
      </c>
      <c r="L1777" s="15">
        <v>-694514.99</v>
      </c>
      <c r="M1777" s="15">
        <v>-8272.9599999999991</v>
      </c>
      <c r="N1777" s="16" t="str">
        <f>IF(M1777="","",IF(M1777&lt;0,-M1777&amp;"_"&amp;COUNTIF(M$2:M1777,M1777),M1777&amp;"_"&amp;COUNTIF(M$2:M1777,M1777)))</f>
        <v>8272.96_1</v>
      </c>
      <c r="O1777" s="17" t="str">
        <f t="shared" si="27"/>
        <v/>
      </c>
      <c r="P1777" s="13" t="s">
        <v>2139</v>
      </c>
      <c r="Q1777" s="13" t="s">
        <v>2135</v>
      </c>
      <c r="R1777" s="13" t="s">
        <v>0</v>
      </c>
      <c r="S1777" s="13" t="s">
        <v>0</v>
      </c>
      <c r="T1777" s="13" t="s">
        <v>9</v>
      </c>
      <c r="U1777" s="13" t="s">
        <v>0</v>
      </c>
      <c r="V1777" s="13" t="s">
        <v>0</v>
      </c>
      <c r="W1777" s="13" t="s">
        <v>0</v>
      </c>
      <c r="X1777" s="13" t="s">
        <v>0</v>
      </c>
      <c r="Y1777" s="13" t="s">
        <v>10</v>
      </c>
      <c r="Z1777" s="13" t="s">
        <v>0</v>
      </c>
      <c r="AA1777" s="14"/>
      <c r="AB1777" s="13" t="s">
        <v>0</v>
      </c>
      <c r="AC1777" s="13" t="s">
        <v>0</v>
      </c>
      <c r="AD1777" s="13" t="s">
        <v>0</v>
      </c>
      <c r="AE1777" s="15">
        <v>0</v>
      </c>
    </row>
    <row r="1778" spans="1:31" ht="14.15" customHeight="1" x14ac:dyDescent="0.25">
      <c r="A1778" s="12" t="s">
        <v>0</v>
      </c>
      <c r="B1778" s="13" t="s">
        <v>1</v>
      </c>
      <c r="C1778" s="13" t="s">
        <v>954</v>
      </c>
      <c r="D1778" s="14">
        <v>44122</v>
      </c>
      <c r="E1778" s="14">
        <v>44122</v>
      </c>
      <c r="F1778" s="14">
        <v>44126</v>
      </c>
      <c r="G1778" s="13" t="s">
        <v>3</v>
      </c>
      <c r="H1778" s="13" t="s">
        <v>4</v>
      </c>
      <c r="I1778" s="15">
        <v>-8261.74</v>
      </c>
      <c r="J1778" s="13" t="s">
        <v>5</v>
      </c>
      <c r="K1778" s="13" t="s">
        <v>6</v>
      </c>
      <c r="L1778" s="15">
        <v>-693573.07</v>
      </c>
      <c r="M1778" s="15">
        <v>-8261.74</v>
      </c>
      <c r="N1778" s="16" t="str">
        <f>IF(M1778="","",IF(M1778&lt;0,-M1778&amp;"_"&amp;COUNTIF(M$2:M1778,M1778),M1778&amp;"_"&amp;COUNTIF(M$2:M1778,M1778)))</f>
        <v>8261.74_1</v>
      </c>
      <c r="O1778" s="17" t="str">
        <f t="shared" si="27"/>
        <v/>
      </c>
      <c r="P1778" s="13" t="s">
        <v>955</v>
      </c>
      <c r="Q1778" s="13" t="s">
        <v>947</v>
      </c>
      <c r="R1778" s="13" t="s">
        <v>0</v>
      </c>
      <c r="S1778" s="13" t="s">
        <v>0</v>
      </c>
      <c r="T1778" s="13" t="s">
        <v>9</v>
      </c>
      <c r="U1778" s="13" t="s">
        <v>0</v>
      </c>
      <c r="V1778" s="13" t="s">
        <v>0</v>
      </c>
      <c r="W1778" s="13" t="s">
        <v>0</v>
      </c>
      <c r="X1778" s="13" t="s">
        <v>0</v>
      </c>
      <c r="Y1778" s="13" t="s">
        <v>10</v>
      </c>
      <c r="Z1778" s="13" t="s">
        <v>0</v>
      </c>
      <c r="AA1778" s="14"/>
      <c r="AB1778" s="13" t="s">
        <v>0</v>
      </c>
      <c r="AC1778" s="13" t="s">
        <v>0</v>
      </c>
      <c r="AD1778" s="13" t="s">
        <v>0</v>
      </c>
      <c r="AE1778" s="15">
        <v>0</v>
      </c>
    </row>
    <row r="1779" spans="1:31" ht="14.15" customHeight="1" x14ac:dyDescent="0.25">
      <c r="A1779" s="12" t="s">
        <v>0</v>
      </c>
      <c r="B1779" s="13" t="s">
        <v>1</v>
      </c>
      <c r="C1779" s="13" t="s">
        <v>2782</v>
      </c>
      <c r="D1779" s="14">
        <v>44263</v>
      </c>
      <c r="E1779" s="14">
        <v>44263</v>
      </c>
      <c r="F1779" s="14">
        <v>44268</v>
      </c>
      <c r="G1779" s="13" t="s">
        <v>3</v>
      </c>
      <c r="H1779" s="13" t="s">
        <v>4</v>
      </c>
      <c r="I1779" s="15">
        <v>-8213.98</v>
      </c>
      <c r="J1779" s="13" t="s">
        <v>5</v>
      </c>
      <c r="K1779" s="13" t="s">
        <v>6</v>
      </c>
      <c r="L1779" s="15">
        <v>-689563.62</v>
      </c>
      <c r="M1779" s="15">
        <v>-8213.98</v>
      </c>
      <c r="N1779" s="16" t="str">
        <f>IF(M1779="","",IF(M1779&lt;0,-M1779&amp;"_"&amp;COUNTIF(M$2:M1779,M1779),M1779&amp;"_"&amp;COUNTIF(M$2:M1779,M1779)))</f>
        <v>8213.98_1</v>
      </c>
      <c r="O1779" s="17" t="str">
        <f t="shared" si="27"/>
        <v/>
      </c>
      <c r="P1779" s="13" t="s">
        <v>2783</v>
      </c>
      <c r="Q1779" s="13" t="s">
        <v>2779</v>
      </c>
      <c r="R1779" s="13" t="s">
        <v>0</v>
      </c>
      <c r="S1779" s="13" t="s">
        <v>0</v>
      </c>
      <c r="T1779" s="13" t="s">
        <v>9</v>
      </c>
      <c r="U1779" s="13" t="s">
        <v>0</v>
      </c>
      <c r="V1779" s="13" t="s">
        <v>0</v>
      </c>
      <c r="W1779" s="13" t="s">
        <v>0</v>
      </c>
      <c r="X1779" s="13" t="s">
        <v>0</v>
      </c>
      <c r="Y1779" s="13" t="s">
        <v>10</v>
      </c>
      <c r="Z1779" s="13" t="s">
        <v>0</v>
      </c>
      <c r="AA1779" s="14"/>
      <c r="AB1779" s="13" t="s">
        <v>0</v>
      </c>
      <c r="AC1779" s="13" t="s">
        <v>0</v>
      </c>
      <c r="AD1779" s="13" t="s">
        <v>0</v>
      </c>
      <c r="AE1779" s="15">
        <v>0</v>
      </c>
    </row>
    <row r="1780" spans="1:31" ht="14.15" customHeight="1" x14ac:dyDescent="0.25">
      <c r="A1780" s="12" t="s">
        <v>0</v>
      </c>
      <c r="B1780" s="13" t="s">
        <v>1</v>
      </c>
      <c r="C1780" s="13" t="s">
        <v>1716</v>
      </c>
      <c r="D1780" s="14">
        <v>44176</v>
      </c>
      <c r="E1780" s="14">
        <v>44176</v>
      </c>
      <c r="F1780" s="14">
        <v>44185</v>
      </c>
      <c r="G1780" s="13" t="s">
        <v>3</v>
      </c>
      <c r="H1780" s="13" t="s">
        <v>4</v>
      </c>
      <c r="I1780" s="15">
        <v>-8205.56</v>
      </c>
      <c r="J1780" s="13" t="s">
        <v>5</v>
      </c>
      <c r="K1780" s="13" t="s">
        <v>6</v>
      </c>
      <c r="L1780" s="15">
        <v>-688856.76</v>
      </c>
      <c r="M1780" s="15">
        <v>-8205.56</v>
      </c>
      <c r="N1780" s="16" t="str">
        <f>IF(M1780="","",IF(M1780&lt;0,-M1780&amp;"_"&amp;COUNTIF(M$2:M1780,M1780),M1780&amp;"_"&amp;COUNTIF(M$2:M1780,M1780)))</f>
        <v>8205.56_1</v>
      </c>
      <c r="O1780" s="17" t="str">
        <f t="shared" si="27"/>
        <v/>
      </c>
      <c r="P1780" s="13" t="s">
        <v>1717</v>
      </c>
      <c r="Q1780" s="13" t="s">
        <v>1718</v>
      </c>
      <c r="R1780" s="13" t="s">
        <v>0</v>
      </c>
      <c r="S1780" s="13" t="s">
        <v>0</v>
      </c>
      <c r="T1780" s="13" t="s">
        <v>9</v>
      </c>
      <c r="U1780" s="13" t="s">
        <v>0</v>
      </c>
      <c r="V1780" s="13" t="s">
        <v>0</v>
      </c>
      <c r="W1780" s="13" t="s">
        <v>0</v>
      </c>
      <c r="X1780" s="13" t="s">
        <v>0</v>
      </c>
      <c r="Y1780" s="13" t="s">
        <v>10</v>
      </c>
      <c r="Z1780" s="13" t="s">
        <v>0</v>
      </c>
      <c r="AA1780" s="14"/>
      <c r="AB1780" s="13" t="s">
        <v>0</v>
      </c>
      <c r="AC1780" s="13" t="s">
        <v>0</v>
      </c>
      <c r="AD1780" s="13" t="s">
        <v>0</v>
      </c>
      <c r="AE1780" s="15">
        <v>0</v>
      </c>
    </row>
    <row r="1781" spans="1:31" ht="14.15" customHeight="1" x14ac:dyDescent="0.25">
      <c r="A1781" s="12" t="s">
        <v>0</v>
      </c>
      <c r="B1781" s="13" t="s">
        <v>1</v>
      </c>
      <c r="C1781" s="13" t="s">
        <v>1846</v>
      </c>
      <c r="D1781" s="14">
        <v>44185</v>
      </c>
      <c r="E1781" s="14">
        <v>44185</v>
      </c>
      <c r="F1781" s="14">
        <v>44188</v>
      </c>
      <c r="G1781" s="13" t="s">
        <v>3</v>
      </c>
      <c r="H1781" s="13" t="s">
        <v>4</v>
      </c>
      <c r="I1781" s="15">
        <v>-8180.4</v>
      </c>
      <c r="J1781" s="13" t="s">
        <v>5</v>
      </c>
      <c r="K1781" s="13" t="s">
        <v>6</v>
      </c>
      <c r="L1781" s="15">
        <v>-686744.58</v>
      </c>
      <c r="M1781" s="15">
        <v>-8180.4</v>
      </c>
      <c r="N1781" s="16" t="str">
        <f>IF(M1781="","",IF(M1781&lt;0,-M1781&amp;"_"&amp;COUNTIF(M$2:M1781,M1781),M1781&amp;"_"&amp;COUNTIF(M$2:M1781,M1781)))</f>
        <v>8180.4_1</v>
      </c>
      <c r="O1781" s="17" t="str">
        <f t="shared" si="27"/>
        <v/>
      </c>
      <c r="P1781" s="13" t="s">
        <v>1847</v>
      </c>
      <c r="Q1781" s="13" t="s">
        <v>1848</v>
      </c>
      <c r="R1781" s="13" t="s">
        <v>0</v>
      </c>
      <c r="S1781" s="13" t="s">
        <v>0</v>
      </c>
      <c r="T1781" s="13" t="s">
        <v>9</v>
      </c>
      <c r="U1781" s="13" t="s">
        <v>0</v>
      </c>
      <c r="V1781" s="13" t="s">
        <v>0</v>
      </c>
      <c r="W1781" s="13" t="s">
        <v>0</v>
      </c>
      <c r="X1781" s="13" t="s">
        <v>0</v>
      </c>
      <c r="Y1781" s="13" t="s">
        <v>10</v>
      </c>
      <c r="Z1781" s="13" t="s">
        <v>0</v>
      </c>
      <c r="AA1781" s="14"/>
      <c r="AB1781" s="13" t="s">
        <v>0</v>
      </c>
      <c r="AC1781" s="13" t="s">
        <v>0</v>
      </c>
      <c r="AD1781" s="13" t="s">
        <v>0</v>
      </c>
      <c r="AE1781" s="15">
        <v>0</v>
      </c>
    </row>
    <row r="1782" spans="1:31" ht="14.15" customHeight="1" x14ac:dyDescent="0.25">
      <c r="A1782" s="12" t="s">
        <v>0</v>
      </c>
      <c r="B1782" s="13" t="s">
        <v>1</v>
      </c>
      <c r="C1782" s="13" t="s">
        <v>1974</v>
      </c>
      <c r="D1782" s="14">
        <v>44196</v>
      </c>
      <c r="E1782" s="14">
        <v>44196</v>
      </c>
      <c r="F1782" s="14">
        <v>44201</v>
      </c>
      <c r="G1782" s="13" t="s">
        <v>3</v>
      </c>
      <c r="H1782" s="13" t="s">
        <v>4</v>
      </c>
      <c r="I1782" s="15">
        <v>-8148.1</v>
      </c>
      <c r="J1782" s="13" t="s">
        <v>5</v>
      </c>
      <c r="K1782" s="13" t="s">
        <v>6</v>
      </c>
      <c r="L1782" s="15">
        <v>-684033</v>
      </c>
      <c r="M1782" s="15">
        <v>-8148.1</v>
      </c>
      <c r="N1782" s="16" t="str">
        <f>IF(M1782="","",IF(M1782&lt;0,-M1782&amp;"_"&amp;COUNTIF(M$2:M1782,M1782),M1782&amp;"_"&amp;COUNTIF(M$2:M1782,M1782)))</f>
        <v>8148.1_1</v>
      </c>
      <c r="O1782" s="17" t="str">
        <f t="shared" si="27"/>
        <v/>
      </c>
      <c r="P1782" s="13" t="s">
        <v>1975</v>
      </c>
      <c r="Q1782" s="13" t="s">
        <v>1976</v>
      </c>
      <c r="R1782" s="13" t="s">
        <v>0</v>
      </c>
      <c r="S1782" s="13" t="s">
        <v>0</v>
      </c>
      <c r="T1782" s="13" t="s">
        <v>9</v>
      </c>
      <c r="U1782" s="13" t="s">
        <v>0</v>
      </c>
      <c r="V1782" s="13" t="s">
        <v>0</v>
      </c>
      <c r="W1782" s="13" t="s">
        <v>0</v>
      </c>
      <c r="X1782" s="13" t="s">
        <v>0</v>
      </c>
      <c r="Y1782" s="13" t="s">
        <v>10</v>
      </c>
      <c r="Z1782" s="13" t="s">
        <v>0</v>
      </c>
      <c r="AA1782" s="14"/>
      <c r="AB1782" s="13" t="s">
        <v>0</v>
      </c>
      <c r="AC1782" s="13" t="s">
        <v>0</v>
      </c>
      <c r="AD1782" s="13" t="s">
        <v>0</v>
      </c>
      <c r="AE1782" s="15">
        <v>0</v>
      </c>
    </row>
    <row r="1783" spans="1:31" ht="14.15" customHeight="1" x14ac:dyDescent="0.25">
      <c r="A1783" s="12" t="s">
        <v>0</v>
      </c>
      <c r="B1783" s="13" t="s">
        <v>1</v>
      </c>
      <c r="C1783" s="13" t="s">
        <v>2790</v>
      </c>
      <c r="D1783" s="14">
        <v>44263</v>
      </c>
      <c r="E1783" s="14">
        <v>44263</v>
      </c>
      <c r="F1783" s="14">
        <v>44268</v>
      </c>
      <c r="G1783" s="13" t="s">
        <v>3</v>
      </c>
      <c r="H1783" s="13" t="s">
        <v>4</v>
      </c>
      <c r="I1783" s="15">
        <v>-8142.62</v>
      </c>
      <c r="J1783" s="13" t="s">
        <v>5</v>
      </c>
      <c r="K1783" s="13" t="s">
        <v>6</v>
      </c>
      <c r="L1783" s="15">
        <v>-683572.95</v>
      </c>
      <c r="M1783" s="15">
        <v>-8142.62</v>
      </c>
      <c r="N1783" s="16" t="str">
        <f>IF(M1783="","",IF(M1783&lt;0,-M1783&amp;"_"&amp;COUNTIF(M$2:M1783,M1783),M1783&amp;"_"&amp;COUNTIF(M$2:M1783,M1783)))</f>
        <v>8142.62_1</v>
      </c>
      <c r="O1783" s="17" t="str">
        <f t="shared" si="27"/>
        <v/>
      </c>
      <c r="P1783" s="13" t="s">
        <v>2791</v>
      </c>
      <c r="Q1783" s="13" t="s">
        <v>2779</v>
      </c>
      <c r="R1783" s="13" t="s">
        <v>0</v>
      </c>
      <c r="S1783" s="13" t="s">
        <v>0</v>
      </c>
      <c r="T1783" s="13" t="s">
        <v>9</v>
      </c>
      <c r="U1783" s="13" t="s">
        <v>0</v>
      </c>
      <c r="V1783" s="13" t="s">
        <v>0</v>
      </c>
      <c r="W1783" s="13" t="s">
        <v>0</v>
      </c>
      <c r="X1783" s="13" t="s">
        <v>0</v>
      </c>
      <c r="Y1783" s="13" t="s">
        <v>10</v>
      </c>
      <c r="Z1783" s="13" t="s">
        <v>0</v>
      </c>
      <c r="AA1783" s="14"/>
      <c r="AB1783" s="13" t="s">
        <v>0</v>
      </c>
      <c r="AC1783" s="13" t="s">
        <v>0</v>
      </c>
      <c r="AD1783" s="13" t="s">
        <v>0</v>
      </c>
      <c r="AE1783" s="15">
        <v>0</v>
      </c>
    </row>
    <row r="1784" spans="1:31" ht="14.15" customHeight="1" x14ac:dyDescent="0.25">
      <c r="A1784" s="12" t="s">
        <v>0</v>
      </c>
      <c r="B1784" s="13" t="s">
        <v>1</v>
      </c>
      <c r="C1784" s="13" t="s">
        <v>3191</v>
      </c>
      <c r="D1784" s="14">
        <v>44300</v>
      </c>
      <c r="E1784" s="14">
        <v>44300</v>
      </c>
      <c r="F1784" s="14">
        <v>44308</v>
      </c>
      <c r="G1784" s="13" t="s">
        <v>3</v>
      </c>
      <c r="H1784" s="13" t="s">
        <v>4</v>
      </c>
      <c r="I1784" s="15">
        <v>-8137.32</v>
      </c>
      <c r="J1784" s="13" t="s">
        <v>5</v>
      </c>
      <c r="K1784" s="13" t="s">
        <v>6</v>
      </c>
      <c r="L1784" s="15">
        <v>-683128.01</v>
      </c>
      <c r="M1784" s="15">
        <v>-8137.32</v>
      </c>
      <c r="N1784" s="16" t="str">
        <f>IF(M1784="","",IF(M1784&lt;0,-M1784&amp;"_"&amp;COUNTIF(M$2:M1784,M1784),M1784&amp;"_"&amp;COUNTIF(M$2:M1784,M1784)))</f>
        <v>8137.32_1</v>
      </c>
      <c r="O1784" s="17" t="str">
        <f t="shared" si="27"/>
        <v/>
      </c>
      <c r="P1784" s="13" t="s">
        <v>3192</v>
      </c>
      <c r="Q1784" s="13" t="s">
        <v>3193</v>
      </c>
      <c r="R1784" s="13" t="s">
        <v>0</v>
      </c>
      <c r="S1784" s="13" t="s">
        <v>0</v>
      </c>
      <c r="T1784" s="13" t="s">
        <v>9</v>
      </c>
      <c r="U1784" s="13" t="s">
        <v>0</v>
      </c>
      <c r="V1784" s="13" t="s">
        <v>0</v>
      </c>
      <c r="W1784" s="13" t="s">
        <v>0</v>
      </c>
      <c r="X1784" s="13" t="s">
        <v>0</v>
      </c>
      <c r="Y1784" s="13" t="s">
        <v>10</v>
      </c>
      <c r="Z1784" s="13" t="s">
        <v>0</v>
      </c>
      <c r="AA1784" s="14"/>
      <c r="AB1784" s="13" t="s">
        <v>0</v>
      </c>
      <c r="AC1784" s="13" t="s">
        <v>0</v>
      </c>
      <c r="AD1784" s="13" t="s">
        <v>0</v>
      </c>
      <c r="AE1784" s="15">
        <v>0</v>
      </c>
    </row>
    <row r="1785" spans="1:31" ht="14.15" customHeight="1" x14ac:dyDescent="0.25">
      <c r="A1785" s="12" t="s">
        <v>0</v>
      </c>
      <c r="B1785" s="13" t="s">
        <v>1</v>
      </c>
      <c r="C1785" s="13" t="s">
        <v>2747</v>
      </c>
      <c r="D1785" s="14">
        <v>44260</v>
      </c>
      <c r="E1785" s="14">
        <v>44260</v>
      </c>
      <c r="F1785" s="14">
        <v>44265</v>
      </c>
      <c r="G1785" s="13" t="s">
        <v>3</v>
      </c>
      <c r="H1785" s="13" t="s">
        <v>4</v>
      </c>
      <c r="I1785" s="15">
        <v>-8134.95</v>
      </c>
      <c r="J1785" s="13" t="s">
        <v>5</v>
      </c>
      <c r="K1785" s="13" t="s">
        <v>6</v>
      </c>
      <c r="L1785" s="15">
        <v>-682929.05</v>
      </c>
      <c r="M1785" s="15">
        <v>-8134.95</v>
      </c>
      <c r="N1785" s="16" t="str">
        <f>IF(M1785="","",IF(M1785&lt;0,-M1785&amp;"_"&amp;COUNTIF(M$2:M1785,M1785),M1785&amp;"_"&amp;COUNTIF(M$2:M1785,M1785)))</f>
        <v>8134.95_1</v>
      </c>
      <c r="O1785" s="17" t="str">
        <f t="shared" si="27"/>
        <v/>
      </c>
      <c r="P1785" s="13" t="s">
        <v>2748</v>
      </c>
      <c r="Q1785" s="13" t="s">
        <v>2746</v>
      </c>
      <c r="R1785" s="13" t="s">
        <v>0</v>
      </c>
      <c r="S1785" s="13" t="s">
        <v>0</v>
      </c>
      <c r="T1785" s="13" t="s">
        <v>9</v>
      </c>
      <c r="U1785" s="13" t="s">
        <v>0</v>
      </c>
      <c r="V1785" s="13" t="s">
        <v>0</v>
      </c>
      <c r="W1785" s="13" t="s">
        <v>0</v>
      </c>
      <c r="X1785" s="13" t="s">
        <v>0</v>
      </c>
      <c r="Y1785" s="13" t="s">
        <v>10</v>
      </c>
      <c r="Z1785" s="13" t="s">
        <v>0</v>
      </c>
      <c r="AA1785" s="14"/>
      <c r="AB1785" s="13" t="s">
        <v>0</v>
      </c>
      <c r="AC1785" s="13" t="s">
        <v>0</v>
      </c>
      <c r="AD1785" s="13" t="s">
        <v>0</v>
      </c>
      <c r="AE1785" s="15">
        <v>0</v>
      </c>
    </row>
    <row r="1786" spans="1:31" ht="14.15" customHeight="1" x14ac:dyDescent="0.25">
      <c r="A1786" s="12" t="s">
        <v>0</v>
      </c>
      <c r="B1786" s="13" t="s">
        <v>1</v>
      </c>
      <c r="C1786" s="13" t="s">
        <v>11</v>
      </c>
      <c r="D1786" s="14">
        <v>44014</v>
      </c>
      <c r="E1786" s="14">
        <v>44014</v>
      </c>
      <c r="F1786" s="14">
        <v>44018</v>
      </c>
      <c r="G1786" s="13" t="s">
        <v>3</v>
      </c>
      <c r="H1786" s="13" t="s">
        <v>4</v>
      </c>
      <c r="I1786" s="15">
        <v>-8123.15</v>
      </c>
      <c r="J1786" s="13" t="s">
        <v>5</v>
      </c>
      <c r="K1786" s="13" t="s">
        <v>6</v>
      </c>
      <c r="L1786" s="15">
        <v>-681938.45</v>
      </c>
      <c r="M1786" s="15">
        <v>-8123.15</v>
      </c>
      <c r="N1786" s="16" t="str">
        <f>IF(M1786="","",IF(M1786&lt;0,-M1786&amp;"_"&amp;COUNTIF(M$2:M1786,M1786),M1786&amp;"_"&amp;COUNTIF(M$2:M1786,M1786)))</f>
        <v>8123.15_1</v>
      </c>
      <c r="O1786" s="17" t="str">
        <f t="shared" si="27"/>
        <v/>
      </c>
      <c r="P1786" s="13" t="s">
        <v>12</v>
      </c>
      <c r="Q1786" s="13" t="s">
        <v>8</v>
      </c>
      <c r="R1786" s="13" t="s">
        <v>0</v>
      </c>
      <c r="S1786" s="13" t="s">
        <v>0</v>
      </c>
      <c r="T1786" s="13" t="s">
        <v>9</v>
      </c>
      <c r="U1786" s="13" t="s">
        <v>0</v>
      </c>
      <c r="V1786" s="13" t="s">
        <v>0</v>
      </c>
      <c r="W1786" s="13" t="s">
        <v>0</v>
      </c>
      <c r="X1786" s="13" t="s">
        <v>0</v>
      </c>
      <c r="Y1786" s="13" t="s">
        <v>10</v>
      </c>
      <c r="Z1786" s="13" t="s">
        <v>0</v>
      </c>
      <c r="AA1786" s="14"/>
      <c r="AB1786" s="13" t="s">
        <v>0</v>
      </c>
      <c r="AC1786" s="13" t="s">
        <v>0</v>
      </c>
      <c r="AD1786" s="13" t="s">
        <v>0</v>
      </c>
      <c r="AE1786" s="15">
        <v>0</v>
      </c>
    </row>
    <row r="1787" spans="1:31" ht="14.15" customHeight="1" x14ac:dyDescent="0.25">
      <c r="A1787" s="12" t="s">
        <v>0</v>
      </c>
      <c r="B1787" s="13" t="s">
        <v>1</v>
      </c>
      <c r="C1787" s="13" t="s">
        <v>2792</v>
      </c>
      <c r="D1787" s="14">
        <v>44263</v>
      </c>
      <c r="E1787" s="14">
        <v>44263</v>
      </c>
      <c r="F1787" s="14">
        <v>44268</v>
      </c>
      <c r="G1787" s="13" t="s">
        <v>3</v>
      </c>
      <c r="H1787" s="13" t="s">
        <v>4</v>
      </c>
      <c r="I1787" s="15">
        <v>-8101.08</v>
      </c>
      <c r="J1787" s="13" t="s">
        <v>5</v>
      </c>
      <c r="K1787" s="13" t="s">
        <v>6</v>
      </c>
      <c r="L1787" s="15">
        <v>-680085.67</v>
      </c>
      <c r="M1787" s="15">
        <v>-8101.08</v>
      </c>
      <c r="N1787" s="16" t="str">
        <f>IF(M1787="","",IF(M1787&lt;0,-M1787&amp;"_"&amp;COUNTIF(M$2:M1787,M1787),M1787&amp;"_"&amp;COUNTIF(M$2:M1787,M1787)))</f>
        <v>8101.08_1</v>
      </c>
      <c r="O1787" s="17" t="str">
        <f t="shared" si="27"/>
        <v/>
      </c>
      <c r="P1787" s="13" t="s">
        <v>2793</v>
      </c>
      <c r="Q1787" s="13" t="s">
        <v>2779</v>
      </c>
      <c r="R1787" s="13" t="s">
        <v>0</v>
      </c>
      <c r="S1787" s="13" t="s">
        <v>0</v>
      </c>
      <c r="T1787" s="13" t="s">
        <v>9</v>
      </c>
      <c r="U1787" s="13" t="s">
        <v>0</v>
      </c>
      <c r="V1787" s="13" t="s">
        <v>0</v>
      </c>
      <c r="W1787" s="13" t="s">
        <v>0</v>
      </c>
      <c r="X1787" s="13" t="s">
        <v>0</v>
      </c>
      <c r="Y1787" s="13" t="s">
        <v>10</v>
      </c>
      <c r="Z1787" s="13" t="s">
        <v>0</v>
      </c>
      <c r="AA1787" s="14"/>
      <c r="AB1787" s="13" t="s">
        <v>0</v>
      </c>
      <c r="AC1787" s="13" t="s">
        <v>0</v>
      </c>
      <c r="AD1787" s="13" t="s">
        <v>0</v>
      </c>
      <c r="AE1787" s="15">
        <v>0</v>
      </c>
    </row>
    <row r="1788" spans="1:31" ht="14.15" customHeight="1" x14ac:dyDescent="0.25">
      <c r="A1788" s="12" t="s">
        <v>0</v>
      </c>
      <c r="B1788" s="13" t="s">
        <v>1</v>
      </c>
      <c r="C1788" s="13" t="s">
        <v>3072</v>
      </c>
      <c r="D1788" s="14">
        <v>44285</v>
      </c>
      <c r="E1788" s="14">
        <v>44285</v>
      </c>
      <c r="F1788" s="14">
        <v>44290</v>
      </c>
      <c r="G1788" s="13" t="s">
        <v>3</v>
      </c>
      <c r="H1788" s="13" t="s">
        <v>4</v>
      </c>
      <c r="I1788" s="15">
        <v>-8076.6</v>
      </c>
      <c r="J1788" s="13" t="s">
        <v>5</v>
      </c>
      <c r="K1788" s="13" t="s">
        <v>6</v>
      </c>
      <c r="L1788" s="15">
        <v>-678030.57</v>
      </c>
      <c r="M1788" s="15">
        <v>-8076.6</v>
      </c>
      <c r="N1788" s="16" t="str">
        <f>IF(M1788="","",IF(M1788&lt;0,-M1788&amp;"_"&amp;COUNTIF(M$2:M1788,M1788),M1788&amp;"_"&amp;COUNTIF(M$2:M1788,M1788)))</f>
        <v>8076.6_1</v>
      </c>
      <c r="O1788" s="17" t="str">
        <f t="shared" si="27"/>
        <v/>
      </c>
      <c r="P1788" s="13" t="s">
        <v>3073</v>
      </c>
      <c r="Q1788" s="13" t="s">
        <v>3074</v>
      </c>
      <c r="R1788" s="13" t="s">
        <v>0</v>
      </c>
      <c r="S1788" s="13" t="s">
        <v>0</v>
      </c>
      <c r="T1788" s="13" t="s">
        <v>9</v>
      </c>
      <c r="U1788" s="13" t="s">
        <v>0</v>
      </c>
      <c r="V1788" s="13" t="s">
        <v>0</v>
      </c>
      <c r="W1788" s="13" t="s">
        <v>0</v>
      </c>
      <c r="X1788" s="13" t="s">
        <v>0</v>
      </c>
      <c r="Y1788" s="13" t="s">
        <v>10</v>
      </c>
      <c r="Z1788" s="13" t="s">
        <v>0</v>
      </c>
      <c r="AA1788" s="14"/>
      <c r="AB1788" s="13" t="s">
        <v>0</v>
      </c>
      <c r="AC1788" s="13" t="s">
        <v>0</v>
      </c>
      <c r="AD1788" s="13" t="s">
        <v>0</v>
      </c>
      <c r="AE1788" s="15">
        <v>0</v>
      </c>
    </row>
    <row r="1789" spans="1:31" ht="14.15" customHeight="1" x14ac:dyDescent="0.25">
      <c r="A1789" s="12" t="s">
        <v>0</v>
      </c>
      <c r="B1789" s="13" t="s">
        <v>1</v>
      </c>
      <c r="C1789" s="13" t="s">
        <v>2418</v>
      </c>
      <c r="D1789" s="14">
        <v>44229</v>
      </c>
      <c r="E1789" s="14">
        <v>44229</v>
      </c>
      <c r="F1789" s="14">
        <v>44241</v>
      </c>
      <c r="G1789" s="13" t="s">
        <v>3</v>
      </c>
      <c r="H1789" s="13" t="s">
        <v>4</v>
      </c>
      <c r="I1789" s="15">
        <v>-8049.49</v>
      </c>
      <c r="J1789" s="13" t="s">
        <v>5</v>
      </c>
      <c r="K1789" s="13" t="s">
        <v>6</v>
      </c>
      <c r="L1789" s="15">
        <v>-675754.69</v>
      </c>
      <c r="M1789" s="15">
        <v>-8049.49</v>
      </c>
      <c r="N1789" s="16" t="str">
        <f>IF(M1789="","",IF(M1789&lt;0,-M1789&amp;"_"&amp;COUNTIF(M$2:M1789,M1789),M1789&amp;"_"&amp;COUNTIF(M$2:M1789,M1789)))</f>
        <v>8049.49_1</v>
      </c>
      <c r="O1789" s="17" t="str">
        <f t="shared" si="27"/>
        <v/>
      </c>
      <c r="P1789" s="13" t="s">
        <v>2419</v>
      </c>
      <c r="Q1789" s="13" t="s">
        <v>2415</v>
      </c>
      <c r="R1789" s="13" t="s">
        <v>0</v>
      </c>
      <c r="S1789" s="13" t="s">
        <v>0</v>
      </c>
      <c r="T1789" s="13" t="s">
        <v>9</v>
      </c>
      <c r="U1789" s="13" t="s">
        <v>0</v>
      </c>
      <c r="V1789" s="13" t="s">
        <v>0</v>
      </c>
      <c r="W1789" s="13" t="s">
        <v>0</v>
      </c>
      <c r="X1789" s="13" t="s">
        <v>0</v>
      </c>
      <c r="Y1789" s="13" t="s">
        <v>10</v>
      </c>
      <c r="Z1789" s="13" t="s">
        <v>0</v>
      </c>
      <c r="AA1789" s="14"/>
      <c r="AB1789" s="13" t="s">
        <v>0</v>
      </c>
      <c r="AC1789" s="13" t="s">
        <v>0</v>
      </c>
      <c r="AD1789" s="13" t="s">
        <v>0</v>
      </c>
      <c r="AE1789" s="15">
        <v>0</v>
      </c>
    </row>
    <row r="1790" spans="1:31" ht="14.15" customHeight="1" x14ac:dyDescent="0.25">
      <c r="A1790" s="12" t="s">
        <v>0</v>
      </c>
      <c r="B1790" s="13" t="s">
        <v>1</v>
      </c>
      <c r="C1790" s="13" t="s">
        <v>4056</v>
      </c>
      <c r="D1790" s="14">
        <v>44359</v>
      </c>
      <c r="E1790" s="14">
        <v>44359</v>
      </c>
      <c r="F1790" s="14">
        <v>44366</v>
      </c>
      <c r="G1790" s="13" t="s">
        <v>3</v>
      </c>
      <c r="H1790" s="13" t="s">
        <v>4</v>
      </c>
      <c r="I1790" s="15">
        <v>-8048.02</v>
      </c>
      <c r="J1790" s="13" t="s">
        <v>5</v>
      </c>
      <c r="K1790" s="13" t="s">
        <v>6</v>
      </c>
      <c r="L1790" s="15">
        <v>-675631.28</v>
      </c>
      <c r="M1790" s="15">
        <v>-8048.02</v>
      </c>
      <c r="N1790" s="16" t="str">
        <f>IF(M1790="","",IF(M1790&lt;0,-M1790&amp;"_"&amp;COUNTIF(M$2:M1790,M1790),M1790&amp;"_"&amp;COUNTIF(M$2:M1790,M1790)))</f>
        <v>8048.02_1</v>
      </c>
      <c r="O1790" s="17" t="str">
        <f t="shared" si="27"/>
        <v/>
      </c>
      <c r="P1790" s="13" t="s">
        <v>4057</v>
      </c>
      <c r="Q1790" s="13" t="s">
        <v>4055</v>
      </c>
      <c r="R1790" s="13" t="s">
        <v>0</v>
      </c>
      <c r="S1790" s="13" t="s">
        <v>0</v>
      </c>
      <c r="T1790" s="13" t="s">
        <v>9</v>
      </c>
      <c r="U1790" s="13" t="s">
        <v>0</v>
      </c>
      <c r="V1790" s="13" t="s">
        <v>0</v>
      </c>
      <c r="W1790" s="13" t="s">
        <v>0</v>
      </c>
      <c r="X1790" s="13" t="s">
        <v>0</v>
      </c>
      <c r="Y1790" s="13" t="s">
        <v>10</v>
      </c>
      <c r="Z1790" s="13" t="s">
        <v>0</v>
      </c>
      <c r="AA1790" s="14"/>
      <c r="AB1790" s="13" t="s">
        <v>0</v>
      </c>
      <c r="AC1790" s="13" t="s">
        <v>0</v>
      </c>
      <c r="AD1790" s="13" t="s">
        <v>0</v>
      </c>
      <c r="AE1790" s="15">
        <v>0</v>
      </c>
    </row>
    <row r="1791" spans="1:31" ht="14.15" customHeight="1" x14ac:dyDescent="0.25">
      <c r="A1791" s="12" t="s">
        <v>0</v>
      </c>
      <c r="B1791" s="13" t="s">
        <v>1</v>
      </c>
      <c r="C1791" s="13" t="s">
        <v>2418</v>
      </c>
      <c r="D1791" s="14">
        <v>44229</v>
      </c>
      <c r="E1791" s="14">
        <v>44229</v>
      </c>
      <c r="F1791" s="14">
        <v>44241</v>
      </c>
      <c r="G1791" s="13" t="s">
        <v>3</v>
      </c>
      <c r="H1791" s="13" t="s">
        <v>4</v>
      </c>
      <c r="I1791" s="15">
        <v>-8045.47</v>
      </c>
      <c r="J1791" s="13" t="s">
        <v>5</v>
      </c>
      <c r="K1791" s="13" t="s">
        <v>6</v>
      </c>
      <c r="L1791" s="15">
        <v>-675417.21</v>
      </c>
      <c r="M1791" s="15">
        <v>-8045.47</v>
      </c>
      <c r="N1791" s="16" t="str">
        <f>IF(M1791="","",IF(M1791&lt;0,-M1791&amp;"_"&amp;COUNTIF(M$2:M1791,M1791),M1791&amp;"_"&amp;COUNTIF(M$2:M1791,M1791)))</f>
        <v>8045.47_1</v>
      </c>
      <c r="O1791" s="17" t="str">
        <f t="shared" si="27"/>
        <v/>
      </c>
      <c r="P1791" s="13" t="s">
        <v>2419</v>
      </c>
      <c r="Q1791" s="13" t="s">
        <v>2415</v>
      </c>
      <c r="R1791" s="13" t="s">
        <v>0</v>
      </c>
      <c r="S1791" s="13" t="s">
        <v>0</v>
      </c>
      <c r="T1791" s="13" t="s">
        <v>9</v>
      </c>
      <c r="U1791" s="13" t="s">
        <v>0</v>
      </c>
      <c r="V1791" s="13" t="s">
        <v>0</v>
      </c>
      <c r="W1791" s="13" t="s">
        <v>0</v>
      </c>
      <c r="X1791" s="13" t="s">
        <v>0</v>
      </c>
      <c r="Y1791" s="13" t="s">
        <v>10</v>
      </c>
      <c r="Z1791" s="13" t="s">
        <v>0</v>
      </c>
      <c r="AA1791" s="14"/>
      <c r="AB1791" s="13" t="s">
        <v>0</v>
      </c>
      <c r="AC1791" s="13" t="s">
        <v>0</v>
      </c>
      <c r="AD1791" s="13" t="s">
        <v>0</v>
      </c>
      <c r="AE1791" s="15">
        <v>0</v>
      </c>
    </row>
    <row r="1792" spans="1:31" ht="14.15" customHeight="1" x14ac:dyDescent="0.25">
      <c r="A1792" s="12" t="s">
        <v>0</v>
      </c>
      <c r="B1792" s="13" t="s">
        <v>1</v>
      </c>
      <c r="C1792" s="13" t="s">
        <v>2297</v>
      </c>
      <c r="D1792" s="14">
        <v>44219</v>
      </c>
      <c r="E1792" s="14">
        <v>44219</v>
      </c>
      <c r="F1792" s="14">
        <v>44226</v>
      </c>
      <c r="G1792" s="13" t="s">
        <v>3</v>
      </c>
      <c r="H1792" s="13" t="s">
        <v>4</v>
      </c>
      <c r="I1792" s="15">
        <v>-8015.15</v>
      </c>
      <c r="J1792" s="13" t="s">
        <v>5</v>
      </c>
      <c r="K1792" s="13" t="s">
        <v>6</v>
      </c>
      <c r="L1792" s="15">
        <v>-672871.84</v>
      </c>
      <c r="M1792" s="15">
        <v>-8015.15</v>
      </c>
      <c r="N1792" s="16" t="str">
        <f>IF(M1792="","",IF(M1792&lt;0,-M1792&amp;"_"&amp;COUNTIF(M$2:M1792,M1792),M1792&amp;"_"&amp;COUNTIF(M$2:M1792,M1792)))</f>
        <v>8015.15_1</v>
      </c>
      <c r="O1792" s="17" t="str">
        <f t="shared" si="27"/>
        <v/>
      </c>
      <c r="P1792" s="13" t="s">
        <v>2298</v>
      </c>
      <c r="Q1792" s="13" t="s">
        <v>2282</v>
      </c>
      <c r="R1792" s="13" t="s">
        <v>0</v>
      </c>
      <c r="S1792" s="13" t="s">
        <v>0</v>
      </c>
      <c r="T1792" s="13" t="s">
        <v>9</v>
      </c>
      <c r="U1792" s="13" t="s">
        <v>0</v>
      </c>
      <c r="V1792" s="13" t="s">
        <v>0</v>
      </c>
      <c r="W1792" s="13" t="s">
        <v>0</v>
      </c>
      <c r="X1792" s="13" t="s">
        <v>0</v>
      </c>
      <c r="Y1792" s="13" t="s">
        <v>10</v>
      </c>
      <c r="Z1792" s="13" t="s">
        <v>0</v>
      </c>
      <c r="AA1792" s="14"/>
      <c r="AB1792" s="13" t="s">
        <v>0</v>
      </c>
      <c r="AC1792" s="13" t="s">
        <v>0</v>
      </c>
      <c r="AD1792" s="13" t="s">
        <v>0</v>
      </c>
      <c r="AE1792" s="15">
        <v>0</v>
      </c>
    </row>
    <row r="1793" spans="1:31" ht="14.15" customHeight="1" x14ac:dyDescent="0.25">
      <c r="A1793" s="12" t="s">
        <v>0</v>
      </c>
      <c r="B1793" s="13" t="s">
        <v>1</v>
      </c>
      <c r="C1793" s="13" t="s">
        <v>171</v>
      </c>
      <c r="D1793" s="14">
        <v>44033</v>
      </c>
      <c r="E1793" s="14">
        <v>44033</v>
      </c>
      <c r="F1793" s="14">
        <v>44041</v>
      </c>
      <c r="G1793" s="13" t="s">
        <v>3</v>
      </c>
      <c r="H1793" s="13" t="s">
        <v>4</v>
      </c>
      <c r="I1793" s="15">
        <v>-8008.55</v>
      </c>
      <c r="J1793" s="13" t="s">
        <v>5</v>
      </c>
      <c r="K1793" s="13" t="s">
        <v>6</v>
      </c>
      <c r="L1793" s="15">
        <v>-672317.77</v>
      </c>
      <c r="M1793" s="15">
        <v>-8008.55</v>
      </c>
      <c r="N1793" s="16" t="str">
        <f>IF(M1793="","",IF(M1793&lt;0,-M1793&amp;"_"&amp;COUNTIF(M$2:M1793,M1793),M1793&amp;"_"&amp;COUNTIF(M$2:M1793,M1793)))</f>
        <v>8008.55_1</v>
      </c>
      <c r="O1793" s="17" t="str">
        <f t="shared" si="27"/>
        <v/>
      </c>
      <c r="P1793" s="13" t="s">
        <v>172</v>
      </c>
      <c r="Q1793" s="13" t="s">
        <v>170</v>
      </c>
      <c r="R1793" s="13" t="s">
        <v>0</v>
      </c>
      <c r="S1793" s="13" t="s">
        <v>0</v>
      </c>
      <c r="T1793" s="13" t="s">
        <v>9</v>
      </c>
      <c r="U1793" s="13" t="s">
        <v>0</v>
      </c>
      <c r="V1793" s="13" t="s">
        <v>0</v>
      </c>
      <c r="W1793" s="13" t="s">
        <v>0</v>
      </c>
      <c r="X1793" s="13" t="s">
        <v>0</v>
      </c>
      <c r="Y1793" s="13" t="s">
        <v>10</v>
      </c>
      <c r="Z1793" s="13" t="s">
        <v>0</v>
      </c>
      <c r="AA1793" s="14"/>
      <c r="AB1793" s="13" t="s">
        <v>0</v>
      </c>
      <c r="AC1793" s="13" t="s">
        <v>0</v>
      </c>
      <c r="AD1793" s="13" t="s">
        <v>0</v>
      </c>
      <c r="AE1793" s="15">
        <v>0</v>
      </c>
    </row>
    <row r="1794" spans="1:31" ht="14.15" customHeight="1" x14ac:dyDescent="0.25">
      <c r="A1794" s="12" t="s">
        <v>0</v>
      </c>
      <c r="B1794" s="13" t="s">
        <v>1</v>
      </c>
      <c r="C1794" s="13" t="s">
        <v>1493</v>
      </c>
      <c r="D1794" s="14">
        <v>44160</v>
      </c>
      <c r="E1794" s="14">
        <v>44160</v>
      </c>
      <c r="F1794" s="14">
        <v>44165</v>
      </c>
      <c r="G1794" s="13" t="s">
        <v>3</v>
      </c>
      <c r="H1794" s="13" t="s">
        <v>4</v>
      </c>
      <c r="I1794" s="15">
        <v>-7999.87</v>
      </c>
      <c r="J1794" s="13" t="s">
        <v>5</v>
      </c>
      <c r="K1794" s="13" t="s">
        <v>6</v>
      </c>
      <c r="L1794" s="15">
        <v>-671589.09</v>
      </c>
      <c r="M1794" s="15">
        <v>-7999.87</v>
      </c>
      <c r="N1794" s="16" t="str">
        <f>IF(M1794="","",IF(M1794&lt;0,-M1794&amp;"_"&amp;COUNTIF(M$2:M1794,M1794),M1794&amp;"_"&amp;COUNTIF(M$2:M1794,M1794)))</f>
        <v>7999.87_1</v>
      </c>
      <c r="O1794" s="17" t="str">
        <f t="shared" ref="O1794:O1857" si="28">IF(COUNTIF(N:N,N1794)=2,"x","")</f>
        <v/>
      </c>
      <c r="P1794" s="13" t="s">
        <v>1494</v>
      </c>
      <c r="Q1794" s="13" t="s">
        <v>1470</v>
      </c>
      <c r="R1794" s="13" t="s">
        <v>0</v>
      </c>
      <c r="S1794" s="13" t="s">
        <v>0</v>
      </c>
      <c r="T1794" s="13" t="s">
        <v>9</v>
      </c>
      <c r="U1794" s="13" t="s">
        <v>0</v>
      </c>
      <c r="V1794" s="13" t="s">
        <v>0</v>
      </c>
      <c r="W1794" s="13" t="s">
        <v>0</v>
      </c>
      <c r="X1794" s="13" t="s">
        <v>0</v>
      </c>
      <c r="Y1794" s="13" t="s">
        <v>10</v>
      </c>
      <c r="Z1794" s="13" t="s">
        <v>0</v>
      </c>
      <c r="AA1794" s="14"/>
      <c r="AB1794" s="13" t="s">
        <v>0</v>
      </c>
      <c r="AC1794" s="13" t="s">
        <v>0</v>
      </c>
      <c r="AD1794" s="13" t="s">
        <v>0</v>
      </c>
      <c r="AE1794" s="15">
        <v>0</v>
      </c>
    </row>
    <row r="1795" spans="1:31" ht="14.15" customHeight="1" x14ac:dyDescent="0.25">
      <c r="A1795" s="12" t="s">
        <v>0</v>
      </c>
      <c r="B1795" s="13" t="s">
        <v>1</v>
      </c>
      <c r="C1795" s="13" t="s">
        <v>4015</v>
      </c>
      <c r="D1795" s="14">
        <v>44358</v>
      </c>
      <c r="E1795" s="14">
        <v>44358</v>
      </c>
      <c r="F1795" s="14">
        <v>44363</v>
      </c>
      <c r="G1795" s="13" t="s">
        <v>3</v>
      </c>
      <c r="H1795" s="13" t="s">
        <v>4</v>
      </c>
      <c r="I1795" s="15">
        <v>-7994.31</v>
      </c>
      <c r="J1795" s="13" t="s">
        <v>5</v>
      </c>
      <c r="K1795" s="13" t="s">
        <v>6</v>
      </c>
      <c r="L1795" s="15">
        <v>-671122.32</v>
      </c>
      <c r="M1795" s="15">
        <v>-7994.31</v>
      </c>
      <c r="N1795" s="16" t="str">
        <f>IF(M1795="","",IF(M1795&lt;0,-M1795&amp;"_"&amp;COUNTIF(M$2:M1795,M1795),M1795&amp;"_"&amp;COUNTIF(M$2:M1795,M1795)))</f>
        <v>7994.31_1</v>
      </c>
      <c r="O1795" s="17" t="str">
        <f t="shared" si="28"/>
        <v/>
      </c>
      <c r="P1795" s="13" t="s">
        <v>4016</v>
      </c>
      <c r="Q1795" s="13" t="s">
        <v>4006</v>
      </c>
      <c r="R1795" s="13" t="s">
        <v>0</v>
      </c>
      <c r="S1795" s="13" t="s">
        <v>0</v>
      </c>
      <c r="T1795" s="13" t="s">
        <v>9</v>
      </c>
      <c r="U1795" s="13" t="s">
        <v>0</v>
      </c>
      <c r="V1795" s="13" t="s">
        <v>0</v>
      </c>
      <c r="W1795" s="13" t="s">
        <v>0</v>
      </c>
      <c r="X1795" s="13" t="s">
        <v>0</v>
      </c>
      <c r="Y1795" s="13" t="s">
        <v>10</v>
      </c>
      <c r="Z1795" s="13" t="s">
        <v>0</v>
      </c>
      <c r="AA1795" s="14"/>
      <c r="AB1795" s="13" t="s">
        <v>0</v>
      </c>
      <c r="AC1795" s="13" t="s">
        <v>0</v>
      </c>
      <c r="AD1795" s="13" t="s">
        <v>0</v>
      </c>
      <c r="AE1795" s="15">
        <v>0</v>
      </c>
    </row>
    <row r="1796" spans="1:31" ht="14.15" customHeight="1" x14ac:dyDescent="0.25">
      <c r="A1796" s="12" t="s">
        <v>0</v>
      </c>
      <c r="B1796" s="13" t="s">
        <v>1</v>
      </c>
      <c r="C1796" s="13" t="s">
        <v>2418</v>
      </c>
      <c r="D1796" s="14">
        <v>44229</v>
      </c>
      <c r="E1796" s="14">
        <v>44229</v>
      </c>
      <c r="F1796" s="14">
        <v>44241</v>
      </c>
      <c r="G1796" s="13" t="s">
        <v>3</v>
      </c>
      <c r="H1796" s="13" t="s">
        <v>4</v>
      </c>
      <c r="I1796" s="15">
        <v>-7992.06</v>
      </c>
      <c r="J1796" s="13" t="s">
        <v>5</v>
      </c>
      <c r="K1796" s="13" t="s">
        <v>6</v>
      </c>
      <c r="L1796" s="15">
        <v>-670933.43000000005</v>
      </c>
      <c r="M1796" s="15">
        <v>-7992.06</v>
      </c>
      <c r="N1796" s="16" t="str">
        <f>IF(M1796="","",IF(M1796&lt;0,-M1796&amp;"_"&amp;COUNTIF(M$2:M1796,M1796),M1796&amp;"_"&amp;COUNTIF(M$2:M1796,M1796)))</f>
        <v>7992.06_1</v>
      </c>
      <c r="O1796" s="17" t="str">
        <f t="shared" si="28"/>
        <v/>
      </c>
      <c r="P1796" s="13" t="s">
        <v>2419</v>
      </c>
      <c r="Q1796" s="13" t="s">
        <v>2415</v>
      </c>
      <c r="R1796" s="13" t="s">
        <v>0</v>
      </c>
      <c r="S1796" s="13" t="s">
        <v>0</v>
      </c>
      <c r="T1796" s="13" t="s">
        <v>9</v>
      </c>
      <c r="U1796" s="13" t="s">
        <v>0</v>
      </c>
      <c r="V1796" s="13" t="s">
        <v>0</v>
      </c>
      <c r="W1796" s="13" t="s">
        <v>0</v>
      </c>
      <c r="X1796" s="13" t="s">
        <v>0</v>
      </c>
      <c r="Y1796" s="13" t="s">
        <v>10</v>
      </c>
      <c r="Z1796" s="13" t="s">
        <v>0</v>
      </c>
      <c r="AA1796" s="14"/>
      <c r="AB1796" s="13" t="s">
        <v>0</v>
      </c>
      <c r="AC1796" s="13" t="s">
        <v>0</v>
      </c>
      <c r="AD1796" s="13" t="s">
        <v>0</v>
      </c>
      <c r="AE1796" s="15">
        <v>0</v>
      </c>
    </row>
    <row r="1797" spans="1:31" ht="14.15" customHeight="1" x14ac:dyDescent="0.25">
      <c r="A1797" s="12" t="s">
        <v>0</v>
      </c>
      <c r="B1797" s="13" t="s">
        <v>1</v>
      </c>
      <c r="C1797" s="13" t="s">
        <v>2768</v>
      </c>
      <c r="D1797" s="14">
        <v>44262</v>
      </c>
      <c r="E1797" s="14">
        <v>44262</v>
      </c>
      <c r="F1797" s="14">
        <v>44265</v>
      </c>
      <c r="G1797" s="13" t="s">
        <v>3</v>
      </c>
      <c r="H1797" s="13" t="s">
        <v>4</v>
      </c>
      <c r="I1797" s="15">
        <v>-7983.47</v>
      </c>
      <c r="J1797" s="13" t="s">
        <v>5</v>
      </c>
      <c r="K1797" s="13" t="s">
        <v>6</v>
      </c>
      <c r="L1797" s="15">
        <v>-670212.31000000006</v>
      </c>
      <c r="M1797" s="15">
        <v>-7983.47</v>
      </c>
      <c r="N1797" s="16" t="str">
        <f>IF(M1797="","",IF(M1797&lt;0,-M1797&amp;"_"&amp;COUNTIF(M$2:M1797,M1797),M1797&amp;"_"&amp;COUNTIF(M$2:M1797,M1797)))</f>
        <v>7983.47_1</v>
      </c>
      <c r="O1797" s="17" t="str">
        <f t="shared" si="28"/>
        <v/>
      </c>
      <c r="P1797" s="13" t="s">
        <v>2769</v>
      </c>
      <c r="Q1797" s="13" t="s">
        <v>2770</v>
      </c>
      <c r="R1797" s="13" t="s">
        <v>0</v>
      </c>
      <c r="S1797" s="13" t="s">
        <v>0</v>
      </c>
      <c r="T1797" s="13" t="s">
        <v>9</v>
      </c>
      <c r="U1797" s="13" t="s">
        <v>0</v>
      </c>
      <c r="V1797" s="13" t="s">
        <v>0</v>
      </c>
      <c r="W1797" s="13" t="s">
        <v>0</v>
      </c>
      <c r="X1797" s="13" t="s">
        <v>0</v>
      </c>
      <c r="Y1797" s="13" t="s">
        <v>10</v>
      </c>
      <c r="Z1797" s="13" t="s">
        <v>0</v>
      </c>
      <c r="AA1797" s="14"/>
      <c r="AB1797" s="13" t="s">
        <v>0</v>
      </c>
      <c r="AC1797" s="13" t="s">
        <v>0</v>
      </c>
      <c r="AD1797" s="13" t="s">
        <v>0</v>
      </c>
      <c r="AE1797" s="15">
        <v>0</v>
      </c>
    </row>
    <row r="1798" spans="1:31" ht="14.15" customHeight="1" x14ac:dyDescent="0.25">
      <c r="A1798" s="12" t="s">
        <v>0</v>
      </c>
      <c r="B1798" s="13" t="s">
        <v>1</v>
      </c>
      <c r="C1798" s="13" t="s">
        <v>4276</v>
      </c>
      <c r="D1798" s="14">
        <v>44370</v>
      </c>
      <c r="E1798" s="14">
        <v>44370</v>
      </c>
      <c r="F1798" s="14">
        <v>44375</v>
      </c>
      <c r="G1798" s="13" t="s">
        <v>3</v>
      </c>
      <c r="H1798" s="13" t="s">
        <v>4</v>
      </c>
      <c r="I1798" s="15">
        <v>-7981.6</v>
      </c>
      <c r="J1798" s="13" t="s">
        <v>5</v>
      </c>
      <c r="K1798" s="13" t="s">
        <v>6</v>
      </c>
      <c r="L1798" s="15">
        <v>-670055.31999999995</v>
      </c>
      <c r="M1798" s="15">
        <v>-7981.6</v>
      </c>
      <c r="N1798" s="16" t="str">
        <f>IF(M1798="","",IF(M1798&lt;0,-M1798&amp;"_"&amp;COUNTIF(M$2:M1798,M1798),M1798&amp;"_"&amp;COUNTIF(M$2:M1798,M1798)))</f>
        <v>7981.6_1</v>
      </c>
      <c r="O1798" s="17" t="str">
        <f t="shared" si="28"/>
        <v/>
      </c>
      <c r="P1798" s="13" t="s">
        <v>4277</v>
      </c>
      <c r="Q1798" s="13" t="s">
        <v>4269</v>
      </c>
      <c r="R1798" s="13" t="s">
        <v>0</v>
      </c>
      <c r="S1798" s="13" t="s">
        <v>0</v>
      </c>
      <c r="T1798" s="13" t="s">
        <v>9</v>
      </c>
      <c r="U1798" s="13" t="s">
        <v>0</v>
      </c>
      <c r="V1798" s="13" t="s">
        <v>0</v>
      </c>
      <c r="W1798" s="13" t="s">
        <v>0</v>
      </c>
      <c r="X1798" s="13" t="s">
        <v>0</v>
      </c>
      <c r="Y1798" s="13" t="s">
        <v>10</v>
      </c>
      <c r="Z1798" s="13" t="s">
        <v>0</v>
      </c>
      <c r="AA1798" s="14"/>
      <c r="AB1798" s="13" t="s">
        <v>0</v>
      </c>
      <c r="AC1798" s="13" t="s">
        <v>0</v>
      </c>
      <c r="AD1798" s="13" t="s">
        <v>0</v>
      </c>
      <c r="AE1798" s="15">
        <v>0</v>
      </c>
    </row>
    <row r="1799" spans="1:31" ht="14.15" customHeight="1" x14ac:dyDescent="0.25">
      <c r="A1799" s="12" t="s">
        <v>0</v>
      </c>
      <c r="B1799" s="13" t="s">
        <v>1</v>
      </c>
      <c r="C1799" s="13" t="s">
        <v>3077</v>
      </c>
      <c r="D1799" s="14">
        <v>44285</v>
      </c>
      <c r="E1799" s="14">
        <v>44285</v>
      </c>
      <c r="F1799" s="14">
        <v>44290</v>
      </c>
      <c r="G1799" s="13" t="s">
        <v>3</v>
      </c>
      <c r="H1799" s="13" t="s">
        <v>4</v>
      </c>
      <c r="I1799" s="15">
        <v>-7974.02</v>
      </c>
      <c r="J1799" s="13" t="s">
        <v>5</v>
      </c>
      <c r="K1799" s="13" t="s">
        <v>6</v>
      </c>
      <c r="L1799" s="15">
        <v>-669418.98</v>
      </c>
      <c r="M1799" s="15">
        <v>-7974.02</v>
      </c>
      <c r="N1799" s="16" t="str">
        <f>IF(M1799="","",IF(M1799&lt;0,-M1799&amp;"_"&amp;COUNTIF(M$2:M1799,M1799),M1799&amp;"_"&amp;COUNTIF(M$2:M1799,M1799)))</f>
        <v>7974.02_1</v>
      </c>
      <c r="O1799" s="17" t="str">
        <f t="shared" si="28"/>
        <v/>
      </c>
      <c r="P1799" s="13" t="s">
        <v>3078</v>
      </c>
      <c r="Q1799" s="13" t="s">
        <v>3074</v>
      </c>
      <c r="R1799" s="13" t="s">
        <v>0</v>
      </c>
      <c r="S1799" s="13" t="s">
        <v>0</v>
      </c>
      <c r="T1799" s="13" t="s">
        <v>9</v>
      </c>
      <c r="U1799" s="13" t="s">
        <v>0</v>
      </c>
      <c r="V1799" s="13" t="s">
        <v>0</v>
      </c>
      <c r="W1799" s="13" t="s">
        <v>0</v>
      </c>
      <c r="X1799" s="13" t="s">
        <v>0</v>
      </c>
      <c r="Y1799" s="13" t="s">
        <v>10</v>
      </c>
      <c r="Z1799" s="13" t="s">
        <v>0</v>
      </c>
      <c r="AA1799" s="14"/>
      <c r="AB1799" s="13" t="s">
        <v>0</v>
      </c>
      <c r="AC1799" s="13" t="s">
        <v>0</v>
      </c>
      <c r="AD1799" s="13" t="s">
        <v>0</v>
      </c>
      <c r="AE1799" s="15">
        <v>0</v>
      </c>
    </row>
    <row r="1800" spans="1:31" ht="14.15" customHeight="1" x14ac:dyDescent="0.25">
      <c r="A1800" s="12" t="s">
        <v>0</v>
      </c>
      <c r="B1800" s="13" t="s">
        <v>1</v>
      </c>
      <c r="C1800" s="13" t="s">
        <v>190</v>
      </c>
      <c r="D1800" s="14">
        <v>44034</v>
      </c>
      <c r="E1800" s="14">
        <v>44034</v>
      </c>
      <c r="F1800" s="14">
        <v>44040</v>
      </c>
      <c r="G1800" s="13" t="s">
        <v>3</v>
      </c>
      <c r="H1800" s="13" t="s">
        <v>4</v>
      </c>
      <c r="I1800" s="15">
        <v>-7967.38</v>
      </c>
      <c r="J1800" s="13" t="s">
        <v>5</v>
      </c>
      <c r="K1800" s="13" t="s">
        <v>6</v>
      </c>
      <c r="L1800" s="15">
        <v>-668861.55000000005</v>
      </c>
      <c r="M1800" s="15">
        <v>-7967.38</v>
      </c>
      <c r="N1800" s="16" t="str">
        <f>IF(M1800="","",IF(M1800&lt;0,-M1800&amp;"_"&amp;COUNTIF(M$2:M1800,M1800),M1800&amp;"_"&amp;COUNTIF(M$2:M1800,M1800)))</f>
        <v>7967.38_1</v>
      </c>
      <c r="O1800" s="17" t="str">
        <f t="shared" si="28"/>
        <v/>
      </c>
      <c r="P1800" s="13" t="s">
        <v>191</v>
      </c>
      <c r="Q1800" s="13" t="s">
        <v>175</v>
      </c>
      <c r="R1800" s="13" t="s">
        <v>0</v>
      </c>
      <c r="S1800" s="13" t="s">
        <v>0</v>
      </c>
      <c r="T1800" s="13" t="s">
        <v>9</v>
      </c>
      <c r="U1800" s="13" t="s">
        <v>0</v>
      </c>
      <c r="V1800" s="13" t="s">
        <v>0</v>
      </c>
      <c r="W1800" s="13" t="s">
        <v>0</v>
      </c>
      <c r="X1800" s="13" t="s">
        <v>0</v>
      </c>
      <c r="Y1800" s="13" t="s">
        <v>10</v>
      </c>
      <c r="Z1800" s="13" t="s">
        <v>0</v>
      </c>
      <c r="AA1800" s="14"/>
      <c r="AB1800" s="13" t="s">
        <v>0</v>
      </c>
      <c r="AC1800" s="13" t="s">
        <v>0</v>
      </c>
      <c r="AD1800" s="13" t="s">
        <v>0</v>
      </c>
      <c r="AE1800" s="15">
        <v>0</v>
      </c>
    </row>
    <row r="1801" spans="1:31" ht="14.15" customHeight="1" x14ac:dyDescent="0.25">
      <c r="A1801" s="12" t="s">
        <v>0</v>
      </c>
      <c r="B1801" s="13" t="s">
        <v>289</v>
      </c>
      <c r="C1801" s="13" t="s">
        <v>4382</v>
      </c>
      <c r="D1801" s="14">
        <v>44377</v>
      </c>
      <c r="E1801" s="14">
        <v>44377</v>
      </c>
      <c r="F1801" s="14">
        <v>44382</v>
      </c>
      <c r="G1801" s="13" t="s">
        <v>48</v>
      </c>
      <c r="H1801" s="13" t="s">
        <v>4</v>
      </c>
      <c r="I1801" s="15">
        <v>-7945.42</v>
      </c>
      <c r="J1801" s="13" t="s">
        <v>5</v>
      </c>
      <c r="K1801" s="13" t="s">
        <v>6</v>
      </c>
      <c r="L1801" s="15">
        <v>-667018.01</v>
      </c>
      <c r="M1801" s="15">
        <v>-7945.42</v>
      </c>
      <c r="N1801" s="16" t="str">
        <f>IF(M1801="","",IF(M1801&lt;0,-M1801&amp;"_"&amp;COUNTIF(M$2:M1801,M1801),M1801&amp;"_"&amp;COUNTIF(M$2:M1801,M1801)))</f>
        <v>7945.42_1</v>
      </c>
      <c r="O1801" s="17" t="str">
        <f t="shared" si="28"/>
        <v/>
      </c>
      <c r="P1801" s="13" t="s">
        <v>4383</v>
      </c>
      <c r="Q1801" s="13" t="s">
        <v>4383</v>
      </c>
      <c r="R1801" s="13" t="s">
        <v>4384</v>
      </c>
      <c r="S1801" s="13" t="s">
        <v>0</v>
      </c>
      <c r="T1801" s="13" t="s">
        <v>9</v>
      </c>
      <c r="U1801" s="13" t="s">
        <v>0</v>
      </c>
      <c r="V1801" s="13" t="s">
        <v>0</v>
      </c>
      <c r="W1801" s="13" t="s">
        <v>0</v>
      </c>
      <c r="X1801" s="13" t="s">
        <v>0</v>
      </c>
      <c r="Y1801" s="13" t="s">
        <v>0</v>
      </c>
      <c r="Z1801" s="13" t="s">
        <v>0</v>
      </c>
      <c r="AA1801" s="14"/>
      <c r="AB1801" s="13" t="s">
        <v>0</v>
      </c>
      <c r="AC1801" s="13" t="s">
        <v>0</v>
      </c>
      <c r="AD1801" s="13" t="s">
        <v>0</v>
      </c>
      <c r="AE1801" s="15">
        <v>0</v>
      </c>
    </row>
    <row r="1802" spans="1:31" ht="14.15" customHeight="1" x14ac:dyDescent="0.25">
      <c r="A1802" s="12" t="s">
        <v>0</v>
      </c>
      <c r="B1802" s="13" t="s">
        <v>1</v>
      </c>
      <c r="C1802" s="13" t="s">
        <v>670</v>
      </c>
      <c r="D1802" s="14">
        <v>44088</v>
      </c>
      <c r="E1802" s="14">
        <v>44088</v>
      </c>
      <c r="F1802" s="14">
        <v>44103</v>
      </c>
      <c r="G1802" s="13" t="s">
        <v>3</v>
      </c>
      <c r="H1802" s="13" t="s">
        <v>4</v>
      </c>
      <c r="I1802" s="15">
        <v>-7935.84</v>
      </c>
      <c r="J1802" s="13" t="s">
        <v>5</v>
      </c>
      <c r="K1802" s="13" t="s">
        <v>6</v>
      </c>
      <c r="L1802" s="15">
        <v>-666213.77</v>
      </c>
      <c r="M1802" s="15">
        <v>-7935.84</v>
      </c>
      <c r="N1802" s="16" t="str">
        <f>IF(M1802="","",IF(M1802&lt;0,-M1802&amp;"_"&amp;COUNTIF(M$2:M1802,M1802),M1802&amp;"_"&amp;COUNTIF(M$2:M1802,M1802)))</f>
        <v>7935.84_1</v>
      </c>
      <c r="O1802" s="17" t="str">
        <f t="shared" si="28"/>
        <v/>
      </c>
      <c r="P1802" s="13" t="s">
        <v>671</v>
      </c>
      <c r="Q1802" s="13" t="s">
        <v>667</v>
      </c>
      <c r="R1802" s="13" t="s">
        <v>0</v>
      </c>
      <c r="S1802" s="13" t="s">
        <v>0</v>
      </c>
      <c r="T1802" s="13" t="s">
        <v>9</v>
      </c>
      <c r="U1802" s="13" t="s">
        <v>0</v>
      </c>
      <c r="V1802" s="13" t="s">
        <v>0</v>
      </c>
      <c r="W1802" s="13" t="s">
        <v>0</v>
      </c>
      <c r="X1802" s="13" t="s">
        <v>0</v>
      </c>
      <c r="Y1802" s="13" t="s">
        <v>10</v>
      </c>
      <c r="Z1802" s="13" t="s">
        <v>0</v>
      </c>
      <c r="AA1802" s="14"/>
      <c r="AB1802" s="13" t="s">
        <v>0</v>
      </c>
      <c r="AC1802" s="13" t="s">
        <v>0</v>
      </c>
      <c r="AD1802" s="13" t="s">
        <v>0</v>
      </c>
      <c r="AE1802" s="15">
        <v>0</v>
      </c>
    </row>
    <row r="1803" spans="1:31" ht="14.15" customHeight="1" x14ac:dyDescent="0.25">
      <c r="A1803" s="12" t="s">
        <v>0</v>
      </c>
      <c r="B1803" s="13" t="s">
        <v>1</v>
      </c>
      <c r="C1803" s="13" t="s">
        <v>3066</v>
      </c>
      <c r="D1803" s="14">
        <v>44284</v>
      </c>
      <c r="E1803" s="14">
        <v>44284</v>
      </c>
      <c r="F1803" s="14">
        <v>44290</v>
      </c>
      <c r="G1803" s="13" t="s">
        <v>3</v>
      </c>
      <c r="H1803" s="13" t="s">
        <v>4</v>
      </c>
      <c r="I1803" s="15">
        <v>-7931.17</v>
      </c>
      <c r="J1803" s="13" t="s">
        <v>5</v>
      </c>
      <c r="K1803" s="13" t="s">
        <v>6</v>
      </c>
      <c r="L1803" s="15">
        <v>-665821.72</v>
      </c>
      <c r="M1803" s="15">
        <v>-7931.17</v>
      </c>
      <c r="N1803" s="16" t="str">
        <f>IF(M1803="","",IF(M1803&lt;0,-M1803&amp;"_"&amp;COUNTIF(M$2:M1803,M1803),M1803&amp;"_"&amp;COUNTIF(M$2:M1803,M1803)))</f>
        <v>7931.17_1</v>
      </c>
      <c r="O1803" s="17" t="str">
        <f t="shared" si="28"/>
        <v/>
      </c>
      <c r="P1803" s="13" t="s">
        <v>3067</v>
      </c>
      <c r="Q1803" s="13" t="s">
        <v>3061</v>
      </c>
      <c r="R1803" s="13" t="s">
        <v>0</v>
      </c>
      <c r="S1803" s="13" t="s">
        <v>0</v>
      </c>
      <c r="T1803" s="13" t="s">
        <v>9</v>
      </c>
      <c r="U1803" s="13" t="s">
        <v>0</v>
      </c>
      <c r="V1803" s="13" t="s">
        <v>0</v>
      </c>
      <c r="W1803" s="13" t="s">
        <v>0</v>
      </c>
      <c r="X1803" s="13" t="s">
        <v>0</v>
      </c>
      <c r="Y1803" s="13" t="s">
        <v>10</v>
      </c>
      <c r="Z1803" s="13" t="s">
        <v>0</v>
      </c>
      <c r="AA1803" s="14"/>
      <c r="AB1803" s="13" t="s">
        <v>0</v>
      </c>
      <c r="AC1803" s="13" t="s">
        <v>0</v>
      </c>
      <c r="AD1803" s="13" t="s">
        <v>0</v>
      </c>
      <c r="AE1803" s="15">
        <v>0</v>
      </c>
    </row>
    <row r="1804" spans="1:31" ht="14.15" customHeight="1" x14ac:dyDescent="0.25">
      <c r="A1804" s="12" t="s">
        <v>0</v>
      </c>
      <c r="B1804" s="13" t="s">
        <v>1</v>
      </c>
      <c r="C1804" s="13" t="s">
        <v>257</v>
      </c>
      <c r="D1804" s="14">
        <v>44041</v>
      </c>
      <c r="E1804" s="14">
        <v>44041</v>
      </c>
      <c r="F1804" s="14">
        <v>44053</v>
      </c>
      <c r="G1804" s="13" t="s">
        <v>3</v>
      </c>
      <c r="H1804" s="13" t="s">
        <v>4</v>
      </c>
      <c r="I1804" s="15">
        <v>-7896.87</v>
      </c>
      <c r="J1804" s="13" t="s">
        <v>5</v>
      </c>
      <c r="K1804" s="13" t="s">
        <v>6</v>
      </c>
      <c r="L1804" s="15">
        <v>-662942.24</v>
      </c>
      <c r="M1804" s="15">
        <v>-7896.87</v>
      </c>
      <c r="N1804" s="16" t="str">
        <f>IF(M1804="","",IF(M1804&lt;0,-M1804&amp;"_"&amp;COUNTIF(M$2:M1804,M1804),M1804&amp;"_"&amp;COUNTIF(M$2:M1804,M1804)))</f>
        <v>7896.87_1</v>
      </c>
      <c r="O1804" s="17" t="str">
        <f t="shared" si="28"/>
        <v/>
      </c>
      <c r="P1804" s="13" t="s">
        <v>258</v>
      </c>
      <c r="Q1804" s="13" t="s">
        <v>250</v>
      </c>
      <c r="R1804" s="13" t="s">
        <v>0</v>
      </c>
      <c r="S1804" s="13" t="s">
        <v>0</v>
      </c>
      <c r="T1804" s="13" t="s">
        <v>9</v>
      </c>
      <c r="U1804" s="13" t="s">
        <v>0</v>
      </c>
      <c r="V1804" s="13" t="s">
        <v>0</v>
      </c>
      <c r="W1804" s="13" t="s">
        <v>0</v>
      </c>
      <c r="X1804" s="13" t="s">
        <v>0</v>
      </c>
      <c r="Y1804" s="13" t="s">
        <v>10</v>
      </c>
      <c r="Z1804" s="13" t="s">
        <v>0</v>
      </c>
      <c r="AA1804" s="14"/>
      <c r="AB1804" s="13" t="s">
        <v>0</v>
      </c>
      <c r="AC1804" s="13" t="s">
        <v>0</v>
      </c>
      <c r="AD1804" s="13" t="s">
        <v>0</v>
      </c>
      <c r="AE1804" s="15">
        <v>0</v>
      </c>
    </row>
    <row r="1805" spans="1:31" ht="14.15" customHeight="1" x14ac:dyDescent="0.25">
      <c r="A1805" s="12" t="s">
        <v>0</v>
      </c>
      <c r="B1805" s="13" t="s">
        <v>1</v>
      </c>
      <c r="C1805" s="13" t="s">
        <v>363</v>
      </c>
      <c r="D1805" s="14">
        <v>44050</v>
      </c>
      <c r="E1805" s="14">
        <v>44050</v>
      </c>
      <c r="F1805" s="14">
        <v>44055</v>
      </c>
      <c r="G1805" s="13" t="s">
        <v>3</v>
      </c>
      <c r="H1805" s="13" t="s">
        <v>4</v>
      </c>
      <c r="I1805" s="15">
        <v>-7895.53</v>
      </c>
      <c r="J1805" s="13" t="s">
        <v>5</v>
      </c>
      <c r="K1805" s="13" t="s">
        <v>6</v>
      </c>
      <c r="L1805" s="15">
        <v>-662829.74</v>
      </c>
      <c r="M1805" s="15">
        <v>-7895.53</v>
      </c>
      <c r="N1805" s="16" t="str">
        <f>IF(M1805="","",IF(M1805&lt;0,-M1805&amp;"_"&amp;COUNTIF(M$2:M1805,M1805),M1805&amp;"_"&amp;COUNTIF(M$2:M1805,M1805)))</f>
        <v>7895.53_1</v>
      </c>
      <c r="O1805" s="17" t="str">
        <f t="shared" si="28"/>
        <v/>
      </c>
      <c r="P1805" s="13" t="s">
        <v>364</v>
      </c>
      <c r="Q1805" s="13" t="s">
        <v>362</v>
      </c>
      <c r="R1805" s="13" t="s">
        <v>0</v>
      </c>
      <c r="S1805" s="13" t="s">
        <v>0</v>
      </c>
      <c r="T1805" s="13" t="s">
        <v>9</v>
      </c>
      <c r="U1805" s="13" t="s">
        <v>0</v>
      </c>
      <c r="V1805" s="13" t="s">
        <v>0</v>
      </c>
      <c r="W1805" s="13" t="s">
        <v>0</v>
      </c>
      <c r="X1805" s="13" t="s">
        <v>0</v>
      </c>
      <c r="Y1805" s="13" t="s">
        <v>10</v>
      </c>
      <c r="Z1805" s="13" t="s">
        <v>0</v>
      </c>
      <c r="AA1805" s="14"/>
      <c r="AB1805" s="13" t="s">
        <v>0</v>
      </c>
      <c r="AC1805" s="13" t="s">
        <v>0</v>
      </c>
      <c r="AD1805" s="13" t="s">
        <v>0</v>
      </c>
      <c r="AE1805" s="15">
        <v>0</v>
      </c>
    </row>
    <row r="1806" spans="1:31" ht="14.15" customHeight="1" x14ac:dyDescent="0.25">
      <c r="A1806" s="12" t="s">
        <v>0</v>
      </c>
      <c r="B1806" s="13" t="s">
        <v>1</v>
      </c>
      <c r="C1806" s="13" t="s">
        <v>2570</v>
      </c>
      <c r="D1806" s="14">
        <v>44242</v>
      </c>
      <c r="E1806" s="14">
        <v>44242</v>
      </c>
      <c r="F1806" s="14">
        <v>44249</v>
      </c>
      <c r="G1806" s="13" t="s">
        <v>3</v>
      </c>
      <c r="H1806" s="13" t="s">
        <v>4</v>
      </c>
      <c r="I1806" s="15">
        <v>-7879.96</v>
      </c>
      <c r="J1806" s="13" t="s">
        <v>5</v>
      </c>
      <c r="K1806" s="13" t="s">
        <v>6</v>
      </c>
      <c r="L1806" s="15">
        <v>-661522.64</v>
      </c>
      <c r="M1806" s="15">
        <v>-7879.96</v>
      </c>
      <c r="N1806" s="16" t="str">
        <f>IF(M1806="","",IF(M1806&lt;0,-M1806&amp;"_"&amp;COUNTIF(M$2:M1806,M1806),M1806&amp;"_"&amp;COUNTIF(M$2:M1806,M1806)))</f>
        <v>7879.96_1</v>
      </c>
      <c r="O1806" s="17" t="str">
        <f t="shared" si="28"/>
        <v/>
      </c>
      <c r="P1806" s="13" t="s">
        <v>2571</v>
      </c>
      <c r="Q1806" s="13" t="s">
        <v>2569</v>
      </c>
      <c r="R1806" s="13" t="s">
        <v>0</v>
      </c>
      <c r="S1806" s="13" t="s">
        <v>0</v>
      </c>
      <c r="T1806" s="13" t="s">
        <v>9</v>
      </c>
      <c r="U1806" s="13" t="s">
        <v>0</v>
      </c>
      <c r="V1806" s="13" t="s">
        <v>0</v>
      </c>
      <c r="W1806" s="13" t="s">
        <v>0</v>
      </c>
      <c r="X1806" s="13" t="s">
        <v>0</v>
      </c>
      <c r="Y1806" s="13" t="s">
        <v>10</v>
      </c>
      <c r="Z1806" s="13" t="s">
        <v>0</v>
      </c>
      <c r="AA1806" s="14"/>
      <c r="AB1806" s="13" t="s">
        <v>0</v>
      </c>
      <c r="AC1806" s="13" t="s">
        <v>0</v>
      </c>
      <c r="AD1806" s="13" t="s">
        <v>0</v>
      </c>
      <c r="AE1806" s="15">
        <v>0</v>
      </c>
    </row>
    <row r="1807" spans="1:31" ht="14.15" customHeight="1" x14ac:dyDescent="0.25">
      <c r="A1807" s="12" t="s">
        <v>0</v>
      </c>
      <c r="B1807" s="13" t="s">
        <v>1</v>
      </c>
      <c r="C1807" s="13" t="s">
        <v>3547</v>
      </c>
      <c r="D1807" s="14">
        <v>44324</v>
      </c>
      <c r="E1807" s="14">
        <v>44324</v>
      </c>
      <c r="F1807" s="14">
        <v>44340</v>
      </c>
      <c r="G1807" s="13" t="s">
        <v>3</v>
      </c>
      <c r="H1807" s="13" t="s">
        <v>4</v>
      </c>
      <c r="I1807" s="15">
        <v>-7871.84</v>
      </c>
      <c r="J1807" s="13" t="s">
        <v>5</v>
      </c>
      <c r="K1807" s="13" t="s">
        <v>6</v>
      </c>
      <c r="L1807" s="15">
        <v>-660840.97</v>
      </c>
      <c r="M1807" s="15">
        <v>-7871.84</v>
      </c>
      <c r="N1807" s="16" t="str">
        <f>IF(M1807="","",IF(M1807&lt;0,-M1807&amp;"_"&amp;COUNTIF(M$2:M1807,M1807),M1807&amp;"_"&amp;COUNTIF(M$2:M1807,M1807)))</f>
        <v>7871.84_1</v>
      </c>
      <c r="O1807" s="17" t="str">
        <f t="shared" si="28"/>
        <v/>
      </c>
      <c r="P1807" s="13" t="s">
        <v>3548</v>
      </c>
      <c r="Q1807" s="13" t="s">
        <v>3512</v>
      </c>
      <c r="R1807" s="13" t="s">
        <v>0</v>
      </c>
      <c r="S1807" s="13" t="s">
        <v>0</v>
      </c>
      <c r="T1807" s="13" t="s">
        <v>9</v>
      </c>
      <c r="U1807" s="13" t="s">
        <v>0</v>
      </c>
      <c r="V1807" s="13" t="s">
        <v>0</v>
      </c>
      <c r="W1807" s="13" t="s">
        <v>0</v>
      </c>
      <c r="X1807" s="13" t="s">
        <v>0</v>
      </c>
      <c r="Y1807" s="13" t="s">
        <v>10</v>
      </c>
      <c r="Z1807" s="13" t="s">
        <v>0</v>
      </c>
      <c r="AA1807" s="14"/>
      <c r="AB1807" s="13" t="s">
        <v>0</v>
      </c>
      <c r="AC1807" s="13" t="s">
        <v>0</v>
      </c>
      <c r="AD1807" s="13" t="s">
        <v>0</v>
      </c>
      <c r="AE1807" s="15">
        <v>0</v>
      </c>
    </row>
    <row r="1808" spans="1:31" ht="14.15" customHeight="1" x14ac:dyDescent="0.25">
      <c r="A1808" s="12" t="s">
        <v>0</v>
      </c>
      <c r="B1808" s="13" t="s">
        <v>1</v>
      </c>
      <c r="C1808" s="13" t="s">
        <v>2172</v>
      </c>
      <c r="D1808" s="14">
        <v>44209</v>
      </c>
      <c r="E1808" s="14">
        <v>44209</v>
      </c>
      <c r="F1808" s="14">
        <v>44228</v>
      </c>
      <c r="G1808" s="13" t="s">
        <v>3</v>
      </c>
      <c r="H1808" s="13" t="s">
        <v>4</v>
      </c>
      <c r="I1808" s="15">
        <v>-7866.13</v>
      </c>
      <c r="J1808" s="13" t="s">
        <v>5</v>
      </c>
      <c r="K1808" s="13" t="s">
        <v>6</v>
      </c>
      <c r="L1808" s="15">
        <v>-660361.61</v>
      </c>
      <c r="M1808" s="15">
        <v>-7866.13</v>
      </c>
      <c r="N1808" s="16" t="str">
        <f>IF(M1808="","",IF(M1808&lt;0,-M1808&amp;"_"&amp;COUNTIF(M$2:M1808,M1808),M1808&amp;"_"&amp;COUNTIF(M$2:M1808,M1808)))</f>
        <v>7866.13_1</v>
      </c>
      <c r="O1808" s="17" t="str">
        <f t="shared" si="28"/>
        <v/>
      </c>
      <c r="P1808" s="13" t="s">
        <v>2173</v>
      </c>
      <c r="Q1808" s="13" t="s">
        <v>2159</v>
      </c>
      <c r="R1808" s="13" t="s">
        <v>0</v>
      </c>
      <c r="S1808" s="13" t="s">
        <v>0</v>
      </c>
      <c r="T1808" s="13" t="s">
        <v>9</v>
      </c>
      <c r="U1808" s="13" t="s">
        <v>0</v>
      </c>
      <c r="V1808" s="13" t="s">
        <v>0</v>
      </c>
      <c r="W1808" s="13" t="s">
        <v>0</v>
      </c>
      <c r="X1808" s="13" t="s">
        <v>0</v>
      </c>
      <c r="Y1808" s="13" t="s">
        <v>10</v>
      </c>
      <c r="Z1808" s="13" t="s">
        <v>0</v>
      </c>
      <c r="AA1808" s="14"/>
      <c r="AB1808" s="13" t="s">
        <v>0</v>
      </c>
      <c r="AC1808" s="13" t="s">
        <v>0</v>
      </c>
      <c r="AD1808" s="13" t="s">
        <v>0</v>
      </c>
      <c r="AE1808" s="15">
        <v>0</v>
      </c>
    </row>
    <row r="1809" spans="1:31" ht="14.15" customHeight="1" x14ac:dyDescent="0.25">
      <c r="A1809" s="12" t="s">
        <v>0</v>
      </c>
      <c r="B1809" s="13" t="s">
        <v>1</v>
      </c>
      <c r="C1809" s="13" t="s">
        <v>517</v>
      </c>
      <c r="D1809" s="14">
        <v>44070</v>
      </c>
      <c r="E1809" s="14">
        <v>44070</v>
      </c>
      <c r="F1809" s="14">
        <v>44084</v>
      </c>
      <c r="G1809" s="13" t="s">
        <v>3</v>
      </c>
      <c r="H1809" s="13" t="s">
        <v>4</v>
      </c>
      <c r="I1809" s="15">
        <v>-7862.92</v>
      </c>
      <c r="J1809" s="13" t="s">
        <v>5</v>
      </c>
      <c r="K1809" s="13" t="s">
        <v>6</v>
      </c>
      <c r="L1809" s="15">
        <v>-660092.13</v>
      </c>
      <c r="M1809" s="15">
        <v>-7862.92</v>
      </c>
      <c r="N1809" s="16" t="str">
        <f>IF(M1809="","",IF(M1809&lt;0,-M1809&amp;"_"&amp;COUNTIF(M$2:M1809,M1809),M1809&amp;"_"&amp;COUNTIF(M$2:M1809,M1809)))</f>
        <v>7862.92_1</v>
      </c>
      <c r="O1809" s="17" t="str">
        <f t="shared" si="28"/>
        <v/>
      </c>
      <c r="P1809" s="13" t="s">
        <v>518</v>
      </c>
      <c r="Q1809" s="13" t="s">
        <v>519</v>
      </c>
      <c r="R1809" s="13" t="s">
        <v>0</v>
      </c>
      <c r="S1809" s="13" t="s">
        <v>0</v>
      </c>
      <c r="T1809" s="13" t="s">
        <v>9</v>
      </c>
      <c r="U1809" s="13" t="s">
        <v>0</v>
      </c>
      <c r="V1809" s="13" t="s">
        <v>0</v>
      </c>
      <c r="W1809" s="13" t="s">
        <v>0</v>
      </c>
      <c r="X1809" s="13" t="s">
        <v>0</v>
      </c>
      <c r="Y1809" s="13" t="s">
        <v>10</v>
      </c>
      <c r="Z1809" s="13" t="s">
        <v>0</v>
      </c>
      <c r="AA1809" s="14"/>
      <c r="AB1809" s="13" t="s">
        <v>0</v>
      </c>
      <c r="AC1809" s="13" t="s">
        <v>0</v>
      </c>
      <c r="AD1809" s="13" t="s">
        <v>0</v>
      </c>
      <c r="AE1809" s="15">
        <v>0</v>
      </c>
    </row>
    <row r="1810" spans="1:31" ht="14.15" customHeight="1" x14ac:dyDescent="0.25">
      <c r="A1810" s="12" t="s">
        <v>0</v>
      </c>
      <c r="B1810" s="13" t="s">
        <v>1</v>
      </c>
      <c r="C1810" s="13" t="s">
        <v>417</v>
      </c>
      <c r="D1810" s="14">
        <v>44063</v>
      </c>
      <c r="E1810" s="14">
        <v>44063</v>
      </c>
      <c r="F1810" s="14">
        <v>44069</v>
      </c>
      <c r="G1810" s="13" t="s">
        <v>3</v>
      </c>
      <c r="H1810" s="13" t="s">
        <v>4</v>
      </c>
      <c r="I1810" s="15">
        <v>-7857.39</v>
      </c>
      <c r="J1810" s="13" t="s">
        <v>5</v>
      </c>
      <c r="K1810" s="13" t="s">
        <v>6</v>
      </c>
      <c r="L1810" s="15">
        <v>-659627.89</v>
      </c>
      <c r="M1810" s="15">
        <v>-7857.39</v>
      </c>
      <c r="N1810" s="16" t="str">
        <f>IF(M1810="","",IF(M1810&lt;0,-M1810&amp;"_"&amp;COUNTIF(M$2:M1810,M1810),M1810&amp;"_"&amp;COUNTIF(M$2:M1810,M1810)))</f>
        <v>7857.39_1</v>
      </c>
      <c r="O1810" s="17" t="str">
        <f t="shared" si="28"/>
        <v/>
      </c>
      <c r="P1810" s="13" t="s">
        <v>418</v>
      </c>
      <c r="Q1810" s="13" t="s">
        <v>416</v>
      </c>
      <c r="R1810" s="13" t="s">
        <v>0</v>
      </c>
      <c r="S1810" s="13" t="s">
        <v>0</v>
      </c>
      <c r="T1810" s="13" t="s">
        <v>9</v>
      </c>
      <c r="U1810" s="13" t="s">
        <v>0</v>
      </c>
      <c r="V1810" s="13" t="s">
        <v>0</v>
      </c>
      <c r="W1810" s="13" t="s">
        <v>0</v>
      </c>
      <c r="X1810" s="13" t="s">
        <v>0</v>
      </c>
      <c r="Y1810" s="13" t="s">
        <v>10</v>
      </c>
      <c r="Z1810" s="13" t="s">
        <v>0</v>
      </c>
      <c r="AA1810" s="14"/>
      <c r="AB1810" s="13" t="s">
        <v>0</v>
      </c>
      <c r="AC1810" s="13" t="s">
        <v>0</v>
      </c>
      <c r="AD1810" s="13" t="s">
        <v>0</v>
      </c>
      <c r="AE1810" s="15">
        <v>0</v>
      </c>
    </row>
    <row r="1811" spans="1:31" ht="14.15" customHeight="1" x14ac:dyDescent="0.25">
      <c r="A1811" s="12" t="s">
        <v>0</v>
      </c>
      <c r="B1811" s="13" t="s">
        <v>1</v>
      </c>
      <c r="C1811" s="13" t="s">
        <v>423</v>
      </c>
      <c r="D1811" s="14">
        <v>44063</v>
      </c>
      <c r="E1811" s="14">
        <v>44063</v>
      </c>
      <c r="F1811" s="14">
        <v>44069</v>
      </c>
      <c r="G1811" s="13" t="s">
        <v>3</v>
      </c>
      <c r="H1811" s="13" t="s">
        <v>4</v>
      </c>
      <c r="I1811" s="15">
        <v>-7857.39</v>
      </c>
      <c r="J1811" s="13" t="s">
        <v>5</v>
      </c>
      <c r="K1811" s="13" t="s">
        <v>6</v>
      </c>
      <c r="L1811" s="15">
        <v>-659627.89</v>
      </c>
      <c r="M1811" s="15">
        <v>-7857.39</v>
      </c>
      <c r="N1811" s="16" t="str">
        <f>IF(M1811="","",IF(M1811&lt;0,-M1811&amp;"_"&amp;COUNTIF(M$2:M1811,M1811),M1811&amp;"_"&amp;COUNTIF(M$2:M1811,M1811)))</f>
        <v>7857.39_2</v>
      </c>
      <c r="O1811" s="17" t="str">
        <f t="shared" si="28"/>
        <v/>
      </c>
      <c r="P1811" s="13" t="s">
        <v>424</v>
      </c>
      <c r="Q1811" s="13" t="s">
        <v>416</v>
      </c>
      <c r="R1811" s="13" t="s">
        <v>0</v>
      </c>
      <c r="S1811" s="13" t="s">
        <v>0</v>
      </c>
      <c r="T1811" s="13" t="s">
        <v>9</v>
      </c>
      <c r="U1811" s="13" t="s">
        <v>0</v>
      </c>
      <c r="V1811" s="13" t="s">
        <v>0</v>
      </c>
      <c r="W1811" s="13" t="s">
        <v>0</v>
      </c>
      <c r="X1811" s="13" t="s">
        <v>0</v>
      </c>
      <c r="Y1811" s="13" t="s">
        <v>10</v>
      </c>
      <c r="Z1811" s="13" t="s">
        <v>0</v>
      </c>
      <c r="AA1811" s="14"/>
      <c r="AB1811" s="13" t="s">
        <v>0</v>
      </c>
      <c r="AC1811" s="13" t="s">
        <v>0</v>
      </c>
      <c r="AD1811" s="13" t="s">
        <v>0</v>
      </c>
      <c r="AE1811" s="15">
        <v>0</v>
      </c>
    </row>
    <row r="1812" spans="1:31" ht="14.15" customHeight="1" x14ac:dyDescent="0.25">
      <c r="A1812" s="12" t="s">
        <v>0</v>
      </c>
      <c r="B1812" s="13" t="s">
        <v>1</v>
      </c>
      <c r="C1812" s="13" t="s">
        <v>425</v>
      </c>
      <c r="D1812" s="14">
        <v>44063</v>
      </c>
      <c r="E1812" s="14">
        <v>44063</v>
      </c>
      <c r="F1812" s="14">
        <v>44069</v>
      </c>
      <c r="G1812" s="13" t="s">
        <v>3</v>
      </c>
      <c r="H1812" s="13" t="s">
        <v>4</v>
      </c>
      <c r="I1812" s="15">
        <v>-7857.39</v>
      </c>
      <c r="J1812" s="13" t="s">
        <v>5</v>
      </c>
      <c r="K1812" s="13" t="s">
        <v>6</v>
      </c>
      <c r="L1812" s="15">
        <v>-659627.89</v>
      </c>
      <c r="M1812" s="15">
        <v>-7857.39</v>
      </c>
      <c r="N1812" s="16" t="str">
        <f>IF(M1812="","",IF(M1812&lt;0,-M1812&amp;"_"&amp;COUNTIF(M$2:M1812,M1812),M1812&amp;"_"&amp;COUNTIF(M$2:M1812,M1812)))</f>
        <v>7857.39_3</v>
      </c>
      <c r="O1812" s="17" t="str">
        <f t="shared" si="28"/>
        <v/>
      </c>
      <c r="P1812" s="13" t="s">
        <v>426</v>
      </c>
      <c r="Q1812" s="13" t="s">
        <v>416</v>
      </c>
      <c r="R1812" s="13" t="s">
        <v>0</v>
      </c>
      <c r="S1812" s="13" t="s">
        <v>0</v>
      </c>
      <c r="T1812" s="13" t="s">
        <v>9</v>
      </c>
      <c r="U1812" s="13" t="s">
        <v>0</v>
      </c>
      <c r="V1812" s="13" t="s">
        <v>0</v>
      </c>
      <c r="W1812" s="13" t="s">
        <v>0</v>
      </c>
      <c r="X1812" s="13" t="s">
        <v>0</v>
      </c>
      <c r="Y1812" s="13" t="s">
        <v>10</v>
      </c>
      <c r="Z1812" s="13" t="s">
        <v>0</v>
      </c>
      <c r="AA1812" s="14"/>
      <c r="AB1812" s="13" t="s">
        <v>0</v>
      </c>
      <c r="AC1812" s="13" t="s">
        <v>0</v>
      </c>
      <c r="AD1812" s="13" t="s">
        <v>0</v>
      </c>
      <c r="AE1812" s="15">
        <v>0</v>
      </c>
    </row>
    <row r="1813" spans="1:31" ht="14.15" customHeight="1" x14ac:dyDescent="0.25">
      <c r="A1813" s="12" t="s">
        <v>0</v>
      </c>
      <c r="B1813" s="13" t="s">
        <v>1</v>
      </c>
      <c r="C1813" s="13" t="s">
        <v>421</v>
      </c>
      <c r="D1813" s="14">
        <v>44063</v>
      </c>
      <c r="E1813" s="14">
        <v>44063</v>
      </c>
      <c r="F1813" s="14">
        <v>44069</v>
      </c>
      <c r="G1813" s="13" t="s">
        <v>3</v>
      </c>
      <c r="H1813" s="13" t="s">
        <v>4</v>
      </c>
      <c r="I1813" s="15">
        <v>-7826.43</v>
      </c>
      <c r="J1813" s="13" t="s">
        <v>5</v>
      </c>
      <c r="K1813" s="13" t="s">
        <v>6</v>
      </c>
      <c r="L1813" s="15">
        <v>-657028.80000000005</v>
      </c>
      <c r="M1813" s="15">
        <v>-7826.43</v>
      </c>
      <c r="N1813" s="16" t="str">
        <f>IF(M1813="","",IF(M1813&lt;0,-M1813&amp;"_"&amp;COUNTIF(M$2:M1813,M1813),M1813&amp;"_"&amp;COUNTIF(M$2:M1813,M1813)))</f>
        <v>7826.43_1</v>
      </c>
      <c r="O1813" s="17" t="str">
        <f t="shared" si="28"/>
        <v/>
      </c>
      <c r="P1813" s="13" t="s">
        <v>422</v>
      </c>
      <c r="Q1813" s="13" t="s">
        <v>416</v>
      </c>
      <c r="R1813" s="13" t="s">
        <v>0</v>
      </c>
      <c r="S1813" s="13" t="s">
        <v>0</v>
      </c>
      <c r="T1813" s="13" t="s">
        <v>9</v>
      </c>
      <c r="U1813" s="13" t="s">
        <v>0</v>
      </c>
      <c r="V1813" s="13" t="s">
        <v>0</v>
      </c>
      <c r="W1813" s="13" t="s">
        <v>0</v>
      </c>
      <c r="X1813" s="13" t="s">
        <v>0</v>
      </c>
      <c r="Y1813" s="13" t="s">
        <v>10</v>
      </c>
      <c r="Z1813" s="13" t="s">
        <v>0</v>
      </c>
      <c r="AA1813" s="14"/>
      <c r="AB1813" s="13" t="s">
        <v>0</v>
      </c>
      <c r="AC1813" s="13" t="s">
        <v>0</v>
      </c>
      <c r="AD1813" s="13" t="s">
        <v>0</v>
      </c>
      <c r="AE1813" s="15">
        <v>0</v>
      </c>
    </row>
    <row r="1814" spans="1:31" ht="14.15" customHeight="1" x14ac:dyDescent="0.25">
      <c r="A1814" s="12" t="s">
        <v>0</v>
      </c>
      <c r="B1814" s="13" t="s">
        <v>1</v>
      </c>
      <c r="C1814" s="13" t="s">
        <v>242</v>
      </c>
      <c r="D1814" s="14">
        <v>44040</v>
      </c>
      <c r="E1814" s="14">
        <v>44040</v>
      </c>
      <c r="F1814" s="14">
        <v>44049</v>
      </c>
      <c r="G1814" s="13" t="s">
        <v>3</v>
      </c>
      <c r="H1814" s="13" t="s">
        <v>4</v>
      </c>
      <c r="I1814" s="15">
        <v>-7813.47</v>
      </c>
      <c r="J1814" s="13" t="s">
        <v>5</v>
      </c>
      <c r="K1814" s="13" t="s">
        <v>6</v>
      </c>
      <c r="L1814" s="15">
        <v>-655940.81000000006</v>
      </c>
      <c r="M1814" s="15">
        <v>-7813.47</v>
      </c>
      <c r="N1814" s="16" t="str">
        <f>IF(M1814="","",IF(M1814&lt;0,-M1814&amp;"_"&amp;COUNTIF(M$2:M1814,M1814),M1814&amp;"_"&amp;COUNTIF(M$2:M1814,M1814)))</f>
        <v>7813.47_1</v>
      </c>
      <c r="O1814" s="17" t="str">
        <f t="shared" si="28"/>
        <v/>
      </c>
      <c r="P1814" s="13" t="s">
        <v>243</v>
      </c>
      <c r="Q1814" s="13" t="s">
        <v>241</v>
      </c>
      <c r="R1814" s="13" t="s">
        <v>0</v>
      </c>
      <c r="S1814" s="13" t="s">
        <v>0</v>
      </c>
      <c r="T1814" s="13" t="s">
        <v>9</v>
      </c>
      <c r="U1814" s="13" t="s">
        <v>0</v>
      </c>
      <c r="V1814" s="13" t="s">
        <v>0</v>
      </c>
      <c r="W1814" s="13" t="s">
        <v>0</v>
      </c>
      <c r="X1814" s="13" t="s">
        <v>0</v>
      </c>
      <c r="Y1814" s="13" t="s">
        <v>10</v>
      </c>
      <c r="Z1814" s="13" t="s">
        <v>0</v>
      </c>
      <c r="AA1814" s="14"/>
      <c r="AB1814" s="13" t="s">
        <v>0</v>
      </c>
      <c r="AC1814" s="13" t="s">
        <v>0</v>
      </c>
      <c r="AD1814" s="13" t="s">
        <v>0</v>
      </c>
      <c r="AE1814" s="15">
        <v>0</v>
      </c>
    </row>
    <row r="1815" spans="1:31" ht="14.15" customHeight="1" x14ac:dyDescent="0.25">
      <c r="A1815" s="12" t="s">
        <v>0</v>
      </c>
      <c r="B1815" s="13" t="s">
        <v>1</v>
      </c>
      <c r="C1815" s="13" t="s">
        <v>2531</v>
      </c>
      <c r="D1815" s="14">
        <v>44238</v>
      </c>
      <c r="E1815" s="14">
        <v>44238</v>
      </c>
      <c r="F1815" s="14">
        <v>44243</v>
      </c>
      <c r="G1815" s="13" t="s">
        <v>3</v>
      </c>
      <c r="H1815" s="13" t="s">
        <v>4</v>
      </c>
      <c r="I1815" s="15">
        <v>-7810.27</v>
      </c>
      <c r="J1815" s="13" t="s">
        <v>5</v>
      </c>
      <c r="K1815" s="13" t="s">
        <v>6</v>
      </c>
      <c r="L1815" s="15">
        <v>-655672.17000000004</v>
      </c>
      <c r="M1815" s="15">
        <v>-7810.27</v>
      </c>
      <c r="N1815" s="16" t="str">
        <f>IF(M1815="","",IF(M1815&lt;0,-M1815&amp;"_"&amp;COUNTIF(M$2:M1815,M1815),M1815&amp;"_"&amp;COUNTIF(M$2:M1815,M1815)))</f>
        <v>7810.27_1</v>
      </c>
      <c r="O1815" s="17" t="str">
        <f t="shared" si="28"/>
        <v/>
      </c>
      <c r="P1815" s="13" t="s">
        <v>2532</v>
      </c>
      <c r="Q1815" s="13" t="s">
        <v>2528</v>
      </c>
      <c r="R1815" s="13" t="s">
        <v>0</v>
      </c>
      <c r="S1815" s="13" t="s">
        <v>0</v>
      </c>
      <c r="T1815" s="13" t="s">
        <v>9</v>
      </c>
      <c r="U1815" s="13" t="s">
        <v>0</v>
      </c>
      <c r="V1815" s="13" t="s">
        <v>0</v>
      </c>
      <c r="W1815" s="13" t="s">
        <v>0</v>
      </c>
      <c r="X1815" s="13" t="s">
        <v>0</v>
      </c>
      <c r="Y1815" s="13" t="s">
        <v>10</v>
      </c>
      <c r="Z1815" s="13" t="s">
        <v>0</v>
      </c>
      <c r="AA1815" s="14"/>
      <c r="AB1815" s="13" t="s">
        <v>0</v>
      </c>
      <c r="AC1815" s="13" t="s">
        <v>0</v>
      </c>
      <c r="AD1815" s="13" t="s">
        <v>0</v>
      </c>
      <c r="AE1815" s="15">
        <v>0</v>
      </c>
    </row>
    <row r="1816" spans="1:31" ht="14.15" customHeight="1" x14ac:dyDescent="0.25">
      <c r="A1816" s="12" t="s">
        <v>0</v>
      </c>
      <c r="B1816" s="13" t="s">
        <v>1</v>
      </c>
      <c r="C1816" s="13" t="s">
        <v>1216</v>
      </c>
      <c r="D1816" s="14">
        <v>44140</v>
      </c>
      <c r="E1816" s="14">
        <v>44140</v>
      </c>
      <c r="F1816" s="14">
        <v>44151</v>
      </c>
      <c r="G1816" s="13" t="s">
        <v>3</v>
      </c>
      <c r="H1816" s="13" t="s">
        <v>4</v>
      </c>
      <c r="I1816" s="15">
        <v>-7807.89</v>
      </c>
      <c r="J1816" s="13" t="s">
        <v>5</v>
      </c>
      <c r="K1816" s="13" t="s">
        <v>6</v>
      </c>
      <c r="L1816" s="15">
        <v>-655472.37</v>
      </c>
      <c r="M1816" s="15">
        <v>-7807.89</v>
      </c>
      <c r="N1816" s="16" t="str">
        <f>IF(M1816="","",IF(M1816&lt;0,-M1816&amp;"_"&amp;COUNTIF(M$2:M1816,M1816),M1816&amp;"_"&amp;COUNTIF(M$2:M1816,M1816)))</f>
        <v>7807.89_1</v>
      </c>
      <c r="O1816" s="17" t="str">
        <f t="shared" si="28"/>
        <v/>
      </c>
      <c r="P1816" s="13" t="s">
        <v>1217</v>
      </c>
      <c r="Q1816" s="13" t="s">
        <v>1165</v>
      </c>
      <c r="R1816" s="13" t="s">
        <v>0</v>
      </c>
      <c r="S1816" s="13" t="s">
        <v>0</v>
      </c>
      <c r="T1816" s="13" t="s">
        <v>9</v>
      </c>
      <c r="U1816" s="13" t="s">
        <v>0</v>
      </c>
      <c r="V1816" s="13" t="s">
        <v>0</v>
      </c>
      <c r="W1816" s="13" t="s">
        <v>0</v>
      </c>
      <c r="X1816" s="13" t="s">
        <v>0</v>
      </c>
      <c r="Y1816" s="13" t="s">
        <v>10</v>
      </c>
      <c r="Z1816" s="13" t="s">
        <v>0</v>
      </c>
      <c r="AA1816" s="14"/>
      <c r="AB1816" s="13" t="s">
        <v>0</v>
      </c>
      <c r="AC1816" s="13" t="s">
        <v>0</v>
      </c>
      <c r="AD1816" s="13" t="s">
        <v>0</v>
      </c>
      <c r="AE1816" s="15">
        <v>0</v>
      </c>
    </row>
    <row r="1817" spans="1:31" ht="14.15" customHeight="1" x14ac:dyDescent="0.25">
      <c r="A1817" s="12" t="s">
        <v>0</v>
      </c>
      <c r="B1817" s="13" t="s">
        <v>1</v>
      </c>
      <c r="C1817" s="13" t="s">
        <v>2511</v>
      </c>
      <c r="D1817" s="14">
        <v>44236</v>
      </c>
      <c r="E1817" s="14">
        <v>44236</v>
      </c>
      <c r="F1817" s="14">
        <v>44243</v>
      </c>
      <c r="G1817" s="13" t="s">
        <v>3</v>
      </c>
      <c r="H1817" s="13" t="s">
        <v>4</v>
      </c>
      <c r="I1817" s="15">
        <v>-7803.22</v>
      </c>
      <c r="J1817" s="13" t="s">
        <v>5</v>
      </c>
      <c r="K1817" s="13" t="s">
        <v>6</v>
      </c>
      <c r="L1817" s="15">
        <v>-655080.31999999995</v>
      </c>
      <c r="M1817" s="15">
        <v>-7803.22</v>
      </c>
      <c r="N1817" s="16" t="str">
        <f>IF(M1817="","",IF(M1817&lt;0,-M1817&amp;"_"&amp;COUNTIF(M$2:M1817,M1817),M1817&amp;"_"&amp;COUNTIF(M$2:M1817,M1817)))</f>
        <v>7803.22_1</v>
      </c>
      <c r="O1817" s="17" t="str">
        <f t="shared" si="28"/>
        <v/>
      </c>
      <c r="P1817" s="13" t="s">
        <v>2512</v>
      </c>
      <c r="Q1817" s="13" t="s">
        <v>2510</v>
      </c>
      <c r="R1817" s="13" t="s">
        <v>0</v>
      </c>
      <c r="S1817" s="13" t="s">
        <v>0</v>
      </c>
      <c r="T1817" s="13" t="s">
        <v>9</v>
      </c>
      <c r="U1817" s="13" t="s">
        <v>0</v>
      </c>
      <c r="V1817" s="13" t="s">
        <v>0</v>
      </c>
      <c r="W1817" s="13" t="s">
        <v>0</v>
      </c>
      <c r="X1817" s="13" t="s">
        <v>0</v>
      </c>
      <c r="Y1817" s="13" t="s">
        <v>10</v>
      </c>
      <c r="Z1817" s="13" t="s">
        <v>0</v>
      </c>
      <c r="AA1817" s="14"/>
      <c r="AB1817" s="13" t="s">
        <v>0</v>
      </c>
      <c r="AC1817" s="13" t="s">
        <v>0</v>
      </c>
      <c r="AD1817" s="13" t="s">
        <v>0</v>
      </c>
      <c r="AE1817" s="15">
        <v>0</v>
      </c>
    </row>
    <row r="1818" spans="1:31" ht="14.15" customHeight="1" x14ac:dyDescent="0.25">
      <c r="A1818" s="12" t="s">
        <v>0</v>
      </c>
      <c r="B1818" s="13" t="s">
        <v>1</v>
      </c>
      <c r="C1818" s="13" t="s">
        <v>1827</v>
      </c>
      <c r="D1818" s="14">
        <v>44183</v>
      </c>
      <c r="E1818" s="14">
        <v>44183</v>
      </c>
      <c r="F1818" s="14">
        <v>44195</v>
      </c>
      <c r="G1818" s="13" t="s">
        <v>3</v>
      </c>
      <c r="H1818" s="13" t="s">
        <v>4</v>
      </c>
      <c r="I1818" s="15">
        <v>-7790.45</v>
      </c>
      <c r="J1818" s="13" t="s">
        <v>5</v>
      </c>
      <c r="K1818" s="13" t="s">
        <v>6</v>
      </c>
      <c r="L1818" s="15">
        <v>-654008.28</v>
      </c>
      <c r="M1818" s="15">
        <v>-7790.45</v>
      </c>
      <c r="N1818" s="16" t="str">
        <f>IF(M1818="","",IF(M1818&lt;0,-M1818&amp;"_"&amp;COUNTIF(M$2:M1818,M1818),M1818&amp;"_"&amp;COUNTIF(M$2:M1818,M1818)))</f>
        <v>7790.45_1</v>
      </c>
      <c r="O1818" s="17" t="str">
        <f t="shared" si="28"/>
        <v/>
      </c>
      <c r="P1818" s="13" t="s">
        <v>1828</v>
      </c>
      <c r="Q1818" s="13" t="s">
        <v>1792</v>
      </c>
      <c r="R1818" s="13" t="s">
        <v>0</v>
      </c>
      <c r="S1818" s="13" t="s">
        <v>0</v>
      </c>
      <c r="T1818" s="13" t="s">
        <v>9</v>
      </c>
      <c r="U1818" s="13" t="s">
        <v>0</v>
      </c>
      <c r="V1818" s="13" t="s">
        <v>0</v>
      </c>
      <c r="W1818" s="13" t="s">
        <v>0</v>
      </c>
      <c r="X1818" s="13" t="s">
        <v>0</v>
      </c>
      <c r="Y1818" s="13" t="s">
        <v>10</v>
      </c>
      <c r="Z1818" s="13" t="s">
        <v>0</v>
      </c>
      <c r="AA1818" s="14"/>
      <c r="AB1818" s="13" t="s">
        <v>0</v>
      </c>
      <c r="AC1818" s="13" t="s">
        <v>0</v>
      </c>
      <c r="AD1818" s="13" t="s">
        <v>0</v>
      </c>
      <c r="AE1818" s="15">
        <v>0</v>
      </c>
    </row>
    <row r="1819" spans="1:31" ht="14.15" customHeight="1" x14ac:dyDescent="0.25">
      <c r="A1819" s="12" t="s">
        <v>0</v>
      </c>
      <c r="B1819" s="13" t="s">
        <v>1</v>
      </c>
      <c r="C1819" s="13" t="s">
        <v>1827</v>
      </c>
      <c r="D1819" s="14">
        <v>44183</v>
      </c>
      <c r="E1819" s="14">
        <v>44183</v>
      </c>
      <c r="F1819" s="14">
        <v>44195</v>
      </c>
      <c r="G1819" s="13" t="s">
        <v>3</v>
      </c>
      <c r="H1819" s="13" t="s">
        <v>4</v>
      </c>
      <c r="I1819" s="15">
        <v>-7790.45</v>
      </c>
      <c r="J1819" s="13" t="s">
        <v>5</v>
      </c>
      <c r="K1819" s="13" t="s">
        <v>6</v>
      </c>
      <c r="L1819" s="15">
        <v>-654008.28</v>
      </c>
      <c r="M1819" s="15">
        <v>-7790.45</v>
      </c>
      <c r="N1819" s="16" t="str">
        <f>IF(M1819="","",IF(M1819&lt;0,-M1819&amp;"_"&amp;COUNTIF(M$2:M1819,M1819),M1819&amp;"_"&amp;COUNTIF(M$2:M1819,M1819)))</f>
        <v>7790.45_2</v>
      </c>
      <c r="O1819" s="17" t="str">
        <f t="shared" si="28"/>
        <v/>
      </c>
      <c r="P1819" s="13" t="s">
        <v>1828</v>
      </c>
      <c r="Q1819" s="13" t="s">
        <v>1792</v>
      </c>
      <c r="R1819" s="13" t="s">
        <v>0</v>
      </c>
      <c r="S1819" s="13" t="s">
        <v>0</v>
      </c>
      <c r="T1819" s="13" t="s">
        <v>9</v>
      </c>
      <c r="U1819" s="13" t="s">
        <v>0</v>
      </c>
      <c r="V1819" s="13" t="s">
        <v>0</v>
      </c>
      <c r="W1819" s="13" t="s">
        <v>0</v>
      </c>
      <c r="X1819" s="13" t="s">
        <v>0</v>
      </c>
      <c r="Y1819" s="13" t="s">
        <v>10</v>
      </c>
      <c r="Z1819" s="13" t="s">
        <v>0</v>
      </c>
      <c r="AA1819" s="14"/>
      <c r="AB1819" s="13" t="s">
        <v>0</v>
      </c>
      <c r="AC1819" s="13" t="s">
        <v>0</v>
      </c>
      <c r="AD1819" s="13" t="s">
        <v>0</v>
      </c>
      <c r="AE1819" s="15">
        <v>0</v>
      </c>
    </row>
    <row r="1820" spans="1:31" ht="14.15" customHeight="1" x14ac:dyDescent="0.25">
      <c r="A1820" s="12" t="s">
        <v>0</v>
      </c>
      <c r="B1820" s="13" t="s">
        <v>1</v>
      </c>
      <c r="C1820" s="13" t="s">
        <v>1058</v>
      </c>
      <c r="D1820" s="14">
        <v>44132</v>
      </c>
      <c r="E1820" s="14">
        <v>44132</v>
      </c>
      <c r="F1820" s="14">
        <v>44137</v>
      </c>
      <c r="G1820" s="13" t="s">
        <v>3</v>
      </c>
      <c r="H1820" s="13" t="s">
        <v>4</v>
      </c>
      <c r="I1820" s="15">
        <v>-7778.02</v>
      </c>
      <c r="J1820" s="13" t="s">
        <v>5</v>
      </c>
      <c r="K1820" s="13" t="s">
        <v>6</v>
      </c>
      <c r="L1820" s="15">
        <v>-652964.78</v>
      </c>
      <c r="M1820" s="15">
        <v>-7778.02</v>
      </c>
      <c r="N1820" s="16" t="str">
        <f>IF(M1820="","",IF(M1820&lt;0,-M1820&amp;"_"&amp;COUNTIF(M$2:M1820,M1820),M1820&amp;"_"&amp;COUNTIF(M$2:M1820,M1820)))</f>
        <v>7778.02_1</v>
      </c>
      <c r="O1820" s="17" t="str">
        <f t="shared" si="28"/>
        <v/>
      </c>
      <c r="P1820" s="13" t="s">
        <v>1059</v>
      </c>
      <c r="Q1820" s="13" t="s">
        <v>1060</v>
      </c>
      <c r="R1820" s="13" t="s">
        <v>0</v>
      </c>
      <c r="S1820" s="13" t="s">
        <v>0</v>
      </c>
      <c r="T1820" s="13" t="s">
        <v>9</v>
      </c>
      <c r="U1820" s="13" t="s">
        <v>0</v>
      </c>
      <c r="V1820" s="13" t="s">
        <v>0</v>
      </c>
      <c r="W1820" s="13" t="s">
        <v>0</v>
      </c>
      <c r="X1820" s="13" t="s">
        <v>0</v>
      </c>
      <c r="Y1820" s="13" t="s">
        <v>10</v>
      </c>
      <c r="Z1820" s="13" t="s">
        <v>0</v>
      </c>
      <c r="AA1820" s="14"/>
      <c r="AB1820" s="13" t="s">
        <v>0</v>
      </c>
      <c r="AC1820" s="13" t="s">
        <v>0</v>
      </c>
      <c r="AD1820" s="13" t="s">
        <v>0</v>
      </c>
      <c r="AE1820" s="15">
        <v>0</v>
      </c>
    </row>
    <row r="1821" spans="1:31" ht="14.15" customHeight="1" x14ac:dyDescent="0.25">
      <c r="A1821" s="12" t="s">
        <v>0</v>
      </c>
      <c r="B1821" s="13" t="s">
        <v>1</v>
      </c>
      <c r="C1821" s="13" t="s">
        <v>2285</v>
      </c>
      <c r="D1821" s="14">
        <v>44219</v>
      </c>
      <c r="E1821" s="14">
        <v>44219</v>
      </c>
      <c r="F1821" s="14">
        <v>44226</v>
      </c>
      <c r="G1821" s="13" t="s">
        <v>3</v>
      </c>
      <c r="H1821" s="13" t="s">
        <v>4</v>
      </c>
      <c r="I1821" s="15">
        <v>-7736.86</v>
      </c>
      <c r="J1821" s="13" t="s">
        <v>5</v>
      </c>
      <c r="K1821" s="13" t="s">
        <v>6</v>
      </c>
      <c r="L1821" s="15">
        <v>-649509.4</v>
      </c>
      <c r="M1821" s="15">
        <v>-7736.86</v>
      </c>
      <c r="N1821" s="16" t="str">
        <f>IF(M1821="","",IF(M1821&lt;0,-M1821&amp;"_"&amp;COUNTIF(M$2:M1821,M1821),M1821&amp;"_"&amp;COUNTIF(M$2:M1821,M1821)))</f>
        <v>7736.86_1</v>
      </c>
      <c r="O1821" s="17" t="str">
        <f t="shared" si="28"/>
        <v/>
      </c>
      <c r="P1821" s="13" t="s">
        <v>2286</v>
      </c>
      <c r="Q1821" s="13" t="s">
        <v>2282</v>
      </c>
      <c r="R1821" s="13" t="s">
        <v>0</v>
      </c>
      <c r="S1821" s="13" t="s">
        <v>0</v>
      </c>
      <c r="T1821" s="13" t="s">
        <v>9</v>
      </c>
      <c r="U1821" s="13" t="s">
        <v>0</v>
      </c>
      <c r="V1821" s="13" t="s">
        <v>0</v>
      </c>
      <c r="W1821" s="13" t="s">
        <v>0</v>
      </c>
      <c r="X1821" s="13" t="s">
        <v>0</v>
      </c>
      <c r="Y1821" s="13" t="s">
        <v>10</v>
      </c>
      <c r="Z1821" s="13" t="s">
        <v>0</v>
      </c>
      <c r="AA1821" s="14"/>
      <c r="AB1821" s="13" t="s">
        <v>0</v>
      </c>
      <c r="AC1821" s="13" t="s">
        <v>0</v>
      </c>
      <c r="AD1821" s="13" t="s">
        <v>0</v>
      </c>
      <c r="AE1821" s="15">
        <v>0</v>
      </c>
    </row>
    <row r="1822" spans="1:31" ht="14.15" customHeight="1" x14ac:dyDescent="0.25">
      <c r="A1822" s="12" t="s">
        <v>0</v>
      </c>
      <c r="B1822" s="13" t="s">
        <v>1</v>
      </c>
      <c r="C1822" s="13" t="s">
        <v>982</v>
      </c>
      <c r="D1822" s="14">
        <v>44125</v>
      </c>
      <c r="E1822" s="14">
        <v>44125</v>
      </c>
      <c r="F1822" s="14">
        <v>44138</v>
      </c>
      <c r="G1822" s="13" t="s">
        <v>3</v>
      </c>
      <c r="H1822" s="13" t="s">
        <v>4</v>
      </c>
      <c r="I1822" s="15">
        <v>-7716.02</v>
      </c>
      <c r="J1822" s="13" t="s">
        <v>5</v>
      </c>
      <c r="K1822" s="13" t="s">
        <v>6</v>
      </c>
      <c r="L1822" s="15">
        <v>-647759.88</v>
      </c>
      <c r="M1822" s="15">
        <v>-7716.02</v>
      </c>
      <c r="N1822" s="16" t="str">
        <f>IF(M1822="","",IF(M1822&lt;0,-M1822&amp;"_"&amp;COUNTIF(M$2:M1822,M1822),M1822&amp;"_"&amp;COUNTIF(M$2:M1822,M1822)))</f>
        <v>7716.02_1</v>
      </c>
      <c r="O1822" s="17" t="str">
        <f t="shared" si="28"/>
        <v/>
      </c>
      <c r="P1822" s="13" t="s">
        <v>983</v>
      </c>
      <c r="Q1822" s="13" t="s">
        <v>977</v>
      </c>
      <c r="R1822" s="13" t="s">
        <v>0</v>
      </c>
      <c r="S1822" s="13" t="s">
        <v>0</v>
      </c>
      <c r="T1822" s="13" t="s">
        <v>9</v>
      </c>
      <c r="U1822" s="13" t="s">
        <v>0</v>
      </c>
      <c r="V1822" s="13" t="s">
        <v>0</v>
      </c>
      <c r="W1822" s="13" t="s">
        <v>0</v>
      </c>
      <c r="X1822" s="13" t="s">
        <v>0</v>
      </c>
      <c r="Y1822" s="13" t="s">
        <v>10</v>
      </c>
      <c r="Z1822" s="13" t="s">
        <v>0</v>
      </c>
      <c r="AA1822" s="14"/>
      <c r="AB1822" s="13" t="s">
        <v>0</v>
      </c>
      <c r="AC1822" s="13" t="s">
        <v>0</v>
      </c>
      <c r="AD1822" s="13" t="s">
        <v>0</v>
      </c>
      <c r="AE1822" s="15">
        <v>0</v>
      </c>
    </row>
    <row r="1823" spans="1:31" ht="14.15" customHeight="1" x14ac:dyDescent="0.25">
      <c r="A1823" s="12" t="s">
        <v>0</v>
      </c>
      <c r="B1823" s="13" t="s">
        <v>1</v>
      </c>
      <c r="C1823" s="13" t="s">
        <v>3247</v>
      </c>
      <c r="D1823" s="14">
        <v>44307</v>
      </c>
      <c r="E1823" s="14">
        <v>44307</v>
      </c>
      <c r="F1823" s="14">
        <v>44313</v>
      </c>
      <c r="G1823" s="13" t="s">
        <v>3</v>
      </c>
      <c r="H1823" s="13" t="s">
        <v>4</v>
      </c>
      <c r="I1823" s="15">
        <v>-7706.36</v>
      </c>
      <c r="J1823" s="13" t="s">
        <v>5</v>
      </c>
      <c r="K1823" s="13" t="s">
        <v>6</v>
      </c>
      <c r="L1823" s="15">
        <v>-646948.92000000004</v>
      </c>
      <c r="M1823" s="15">
        <v>-7706.36</v>
      </c>
      <c r="N1823" s="16" t="str">
        <f>IF(M1823="","",IF(M1823&lt;0,-M1823&amp;"_"&amp;COUNTIF(M$2:M1823,M1823),M1823&amp;"_"&amp;COUNTIF(M$2:M1823,M1823)))</f>
        <v>7706.36_1</v>
      </c>
      <c r="O1823" s="17" t="str">
        <f t="shared" si="28"/>
        <v/>
      </c>
      <c r="P1823" s="13" t="s">
        <v>3248</v>
      </c>
      <c r="Q1823" s="13" t="s">
        <v>3244</v>
      </c>
      <c r="R1823" s="13" t="s">
        <v>0</v>
      </c>
      <c r="S1823" s="13" t="s">
        <v>0</v>
      </c>
      <c r="T1823" s="13" t="s">
        <v>9</v>
      </c>
      <c r="U1823" s="13" t="s">
        <v>0</v>
      </c>
      <c r="V1823" s="13" t="s">
        <v>0</v>
      </c>
      <c r="W1823" s="13" t="s">
        <v>0</v>
      </c>
      <c r="X1823" s="13" t="s">
        <v>0</v>
      </c>
      <c r="Y1823" s="13" t="s">
        <v>10</v>
      </c>
      <c r="Z1823" s="13" t="s">
        <v>0</v>
      </c>
      <c r="AA1823" s="14"/>
      <c r="AB1823" s="13" t="s">
        <v>0</v>
      </c>
      <c r="AC1823" s="13" t="s">
        <v>0</v>
      </c>
      <c r="AD1823" s="13" t="s">
        <v>0</v>
      </c>
      <c r="AE1823" s="15">
        <v>0</v>
      </c>
    </row>
    <row r="1824" spans="1:31" ht="14.15" customHeight="1" x14ac:dyDescent="0.25">
      <c r="A1824" s="12" t="s">
        <v>0</v>
      </c>
      <c r="B1824" s="13" t="s">
        <v>1</v>
      </c>
      <c r="C1824" s="13" t="s">
        <v>2328</v>
      </c>
      <c r="D1824" s="14">
        <v>44221</v>
      </c>
      <c r="E1824" s="14">
        <v>44221</v>
      </c>
      <c r="F1824" s="14">
        <v>44226</v>
      </c>
      <c r="G1824" s="13" t="s">
        <v>3</v>
      </c>
      <c r="H1824" s="13" t="s">
        <v>4</v>
      </c>
      <c r="I1824" s="15">
        <v>-7699.18</v>
      </c>
      <c r="J1824" s="13" t="s">
        <v>5</v>
      </c>
      <c r="K1824" s="13" t="s">
        <v>6</v>
      </c>
      <c r="L1824" s="15">
        <v>-646346.16</v>
      </c>
      <c r="M1824" s="15">
        <v>-7699.18</v>
      </c>
      <c r="N1824" s="16" t="str">
        <f>IF(M1824="","",IF(M1824&lt;0,-M1824&amp;"_"&amp;COUNTIF(M$2:M1824,M1824),M1824&amp;"_"&amp;COUNTIF(M$2:M1824,M1824)))</f>
        <v>7699.18_1</v>
      </c>
      <c r="O1824" s="17" t="str">
        <f t="shared" si="28"/>
        <v/>
      </c>
      <c r="P1824" s="13" t="s">
        <v>2329</v>
      </c>
      <c r="Q1824" s="13" t="s">
        <v>2330</v>
      </c>
      <c r="R1824" s="13" t="s">
        <v>0</v>
      </c>
      <c r="S1824" s="13" t="s">
        <v>0</v>
      </c>
      <c r="T1824" s="13" t="s">
        <v>9</v>
      </c>
      <c r="U1824" s="13" t="s">
        <v>0</v>
      </c>
      <c r="V1824" s="13" t="s">
        <v>0</v>
      </c>
      <c r="W1824" s="13" t="s">
        <v>0</v>
      </c>
      <c r="X1824" s="13" t="s">
        <v>0</v>
      </c>
      <c r="Y1824" s="13" t="s">
        <v>10</v>
      </c>
      <c r="Z1824" s="13" t="s">
        <v>0</v>
      </c>
      <c r="AA1824" s="14"/>
      <c r="AB1824" s="13" t="s">
        <v>0</v>
      </c>
      <c r="AC1824" s="13" t="s">
        <v>0</v>
      </c>
      <c r="AD1824" s="13" t="s">
        <v>0</v>
      </c>
      <c r="AE1824" s="15">
        <v>0</v>
      </c>
    </row>
    <row r="1825" spans="1:31" ht="14.15" customHeight="1" x14ac:dyDescent="0.25">
      <c r="A1825" s="12" t="s">
        <v>0</v>
      </c>
      <c r="B1825" s="13" t="s">
        <v>1</v>
      </c>
      <c r="C1825" s="13" t="s">
        <v>3742</v>
      </c>
      <c r="D1825" s="14">
        <v>44339</v>
      </c>
      <c r="E1825" s="14">
        <v>44339</v>
      </c>
      <c r="F1825" s="14">
        <v>44346</v>
      </c>
      <c r="G1825" s="13" t="s">
        <v>48</v>
      </c>
      <c r="H1825" s="13" t="s">
        <v>4</v>
      </c>
      <c r="I1825" s="15">
        <v>-7680</v>
      </c>
      <c r="J1825" s="13" t="s">
        <v>5</v>
      </c>
      <c r="K1825" s="13" t="s">
        <v>6</v>
      </c>
      <c r="L1825" s="15">
        <v>-644736</v>
      </c>
      <c r="M1825" s="15">
        <v>-7680</v>
      </c>
      <c r="N1825" s="16" t="str">
        <f>IF(M1825="","",IF(M1825&lt;0,-M1825&amp;"_"&amp;COUNTIF(M$2:M1825,M1825),M1825&amp;"_"&amp;COUNTIF(M$2:M1825,M1825)))</f>
        <v>7680_1</v>
      </c>
      <c r="O1825" s="17" t="str">
        <f t="shared" si="28"/>
        <v/>
      </c>
      <c r="P1825" s="13" t="s">
        <v>3743</v>
      </c>
      <c r="Q1825" s="13" t="s">
        <v>3743</v>
      </c>
      <c r="R1825" s="13" t="s">
        <v>2733</v>
      </c>
      <c r="S1825" s="13" t="s">
        <v>0</v>
      </c>
      <c r="T1825" s="13" t="s">
        <v>9</v>
      </c>
      <c r="U1825" s="13" t="s">
        <v>1656</v>
      </c>
      <c r="V1825" s="13" t="s">
        <v>0</v>
      </c>
      <c r="W1825" s="13" t="s">
        <v>0</v>
      </c>
      <c r="X1825" s="13" t="s">
        <v>0</v>
      </c>
      <c r="Y1825" s="13" t="s">
        <v>10</v>
      </c>
      <c r="Z1825" s="13" t="s">
        <v>0</v>
      </c>
      <c r="AA1825" s="14"/>
      <c r="AB1825" s="13" t="s">
        <v>0</v>
      </c>
      <c r="AC1825" s="13" t="s">
        <v>0</v>
      </c>
      <c r="AD1825" s="13" t="s">
        <v>0</v>
      </c>
      <c r="AE1825" s="15">
        <v>0</v>
      </c>
    </row>
    <row r="1826" spans="1:31" ht="14.15" customHeight="1" x14ac:dyDescent="0.25">
      <c r="A1826" s="12" t="s">
        <v>0</v>
      </c>
      <c r="B1826" s="13" t="s">
        <v>1</v>
      </c>
      <c r="C1826" s="13" t="s">
        <v>261</v>
      </c>
      <c r="D1826" s="14">
        <v>44041</v>
      </c>
      <c r="E1826" s="14">
        <v>44041</v>
      </c>
      <c r="F1826" s="14">
        <v>44057</v>
      </c>
      <c r="G1826" s="13" t="s">
        <v>3</v>
      </c>
      <c r="H1826" s="13" t="s">
        <v>4</v>
      </c>
      <c r="I1826" s="15">
        <v>-7677.41</v>
      </c>
      <c r="J1826" s="13" t="s">
        <v>5</v>
      </c>
      <c r="K1826" s="13" t="s">
        <v>6</v>
      </c>
      <c r="L1826" s="15">
        <v>-644518.56999999995</v>
      </c>
      <c r="M1826" s="15">
        <v>-7677.41</v>
      </c>
      <c r="N1826" s="16" t="str">
        <f>IF(M1826="","",IF(M1826&lt;0,-M1826&amp;"_"&amp;COUNTIF(M$2:M1826,M1826),M1826&amp;"_"&amp;COUNTIF(M$2:M1826,M1826)))</f>
        <v>7677.41_1</v>
      </c>
      <c r="O1826" s="17" t="str">
        <f t="shared" si="28"/>
        <v/>
      </c>
      <c r="P1826" s="13" t="s">
        <v>262</v>
      </c>
      <c r="Q1826" s="13" t="s">
        <v>250</v>
      </c>
      <c r="R1826" s="13" t="s">
        <v>0</v>
      </c>
      <c r="S1826" s="13" t="s">
        <v>0</v>
      </c>
      <c r="T1826" s="13" t="s">
        <v>9</v>
      </c>
      <c r="U1826" s="13" t="s">
        <v>0</v>
      </c>
      <c r="V1826" s="13" t="s">
        <v>0</v>
      </c>
      <c r="W1826" s="13" t="s">
        <v>0</v>
      </c>
      <c r="X1826" s="13" t="s">
        <v>0</v>
      </c>
      <c r="Y1826" s="13" t="s">
        <v>10</v>
      </c>
      <c r="Z1826" s="13" t="s">
        <v>0</v>
      </c>
      <c r="AA1826" s="14"/>
      <c r="AB1826" s="13" t="s">
        <v>0</v>
      </c>
      <c r="AC1826" s="13" t="s">
        <v>0</v>
      </c>
      <c r="AD1826" s="13" t="s">
        <v>0</v>
      </c>
      <c r="AE1826" s="15">
        <v>0</v>
      </c>
    </row>
    <row r="1827" spans="1:31" ht="14.15" customHeight="1" x14ac:dyDescent="0.25">
      <c r="A1827" s="12" t="s">
        <v>0</v>
      </c>
      <c r="B1827" s="13" t="s">
        <v>1</v>
      </c>
      <c r="C1827" s="13" t="s">
        <v>1603</v>
      </c>
      <c r="D1827" s="14">
        <v>44168</v>
      </c>
      <c r="E1827" s="14">
        <v>44168</v>
      </c>
      <c r="F1827" s="14">
        <v>44174</v>
      </c>
      <c r="G1827" s="13" t="s">
        <v>3</v>
      </c>
      <c r="H1827" s="13" t="s">
        <v>4</v>
      </c>
      <c r="I1827" s="15">
        <v>-7676.42</v>
      </c>
      <c r="J1827" s="13" t="s">
        <v>5</v>
      </c>
      <c r="K1827" s="13" t="s">
        <v>6</v>
      </c>
      <c r="L1827" s="15">
        <v>-644435.46</v>
      </c>
      <c r="M1827" s="15">
        <v>-7676.42</v>
      </c>
      <c r="N1827" s="16" t="str">
        <f>IF(M1827="","",IF(M1827&lt;0,-M1827&amp;"_"&amp;COUNTIF(M$2:M1827,M1827),M1827&amp;"_"&amp;COUNTIF(M$2:M1827,M1827)))</f>
        <v>7676.42_1</v>
      </c>
      <c r="O1827" s="17" t="str">
        <f t="shared" si="28"/>
        <v/>
      </c>
      <c r="P1827" s="13" t="s">
        <v>1604</v>
      </c>
      <c r="Q1827" s="13" t="s">
        <v>1605</v>
      </c>
      <c r="R1827" s="13" t="s">
        <v>0</v>
      </c>
      <c r="S1827" s="13" t="s">
        <v>0</v>
      </c>
      <c r="T1827" s="13" t="s">
        <v>9</v>
      </c>
      <c r="U1827" s="13" t="s">
        <v>0</v>
      </c>
      <c r="V1827" s="13" t="s">
        <v>0</v>
      </c>
      <c r="W1827" s="13" t="s">
        <v>0</v>
      </c>
      <c r="X1827" s="13" t="s">
        <v>0</v>
      </c>
      <c r="Y1827" s="13" t="s">
        <v>10</v>
      </c>
      <c r="Z1827" s="13" t="s">
        <v>0</v>
      </c>
      <c r="AA1827" s="14"/>
      <c r="AB1827" s="13" t="s">
        <v>0</v>
      </c>
      <c r="AC1827" s="13" t="s">
        <v>0</v>
      </c>
      <c r="AD1827" s="13" t="s">
        <v>0</v>
      </c>
      <c r="AE1827" s="15">
        <v>0</v>
      </c>
    </row>
    <row r="1828" spans="1:31" ht="14.15" customHeight="1" x14ac:dyDescent="0.25">
      <c r="A1828" s="12" t="s">
        <v>0</v>
      </c>
      <c r="B1828" s="13" t="s">
        <v>1</v>
      </c>
      <c r="C1828" s="13" t="s">
        <v>3488</v>
      </c>
      <c r="D1828" s="14">
        <v>44321</v>
      </c>
      <c r="E1828" s="14">
        <v>44321</v>
      </c>
      <c r="F1828" s="14">
        <v>44325</v>
      </c>
      <c r="G1828" s="13" t="s">
        <v>3</v>
      </c>
      <c r="H1828" s="13" t="s">
        <v>4</v>
      </c>
      <c r="I1828" s="15">
        <v>-7676.24</v>
      </c>
      <c r="J1828" s="13" t="s">
        <v>5</v>
      </c>
      <c r="K1828" s="13" t="s">
        <v>6</v>
      </c>
      <c r="L1828" s="15">
        <v>-644420.35</v>
      </c>
      <c r="M1828" s="15">
        <v>-7676.24</v>
      </c>
      <c r="N1828" s="16" t="str">
        <f>IF(M1828="","",IF(M1828&lt;0,-M1828&amp;"_"&amp;COUNTIF(M$2:M1828,M1828),M1828&amp;"_"&amp;COUNTIF(M$2:M1828,M1828)))</f>
        <v>7676.24_1</v>
      </c>
      <c r="O1828" s="17" t="str">
        <f t="shared" si="28"/>
        <v/>
      </c>
      <c r="P1828" s="13" t="s">
        <v>3489</v>
      </c>
      <c r="Q1828" s="13" t="s">
        <v>3490</v>
      </c>
      <c r="R1828" s="13" t="s">
        <v>0</v>
      </c>
      <c r="S1828" s="13" t="s">
        <v>0</v>
      </c>
      <c r="T1828" s="13" t="s">
        <v>9</v>
      </c>
      <c r="U1828" s="13" t="s">
        <v>0</v>
      </c>
      <c r="V1828" s="13" t="s">
        <v>0</v>
      </c>
      <c r="W1828" s="13" t="s">
        <v>0</v>
      </c>
      <c r="X1828" s="13" t="s">
        <v>0</v>
      </c>
      <c r="Y1828" s="13" t="s">
        <v>10</v>
      </c>
      <c r="Z1828" s="13" t="s">
        <v>0</v>
      </c>
      <c r="AA1828" s="14"/>
      <c r="AB1828" s="13" t="s">
        <v>0</v>
      </c>
      <c r="AC1828" s="13" t="s">
        <v>0</v>
      </c>
      <c r="AD1828" s="13" t="s">
        <v>0</v>
      </c>
      <c r="AE1828" s="15">
        <v>0</v>
      </c>
    </row>
    <row r="1829" spans="1:31" ht="14.15" customHeight="1" x14ac:dyDescent="0.25">
      <c r="A1829" s="12" t="s">
        <v>0</v>
      </c>
      <c r="B1829" s="13" t="s">
        <v>1</v>
      </c>
      <c r="C1829" s="13" t="s">
        <v>2143</v>
      </c>
      <c r="D1829" s="14">
        <v>44207</v>
      </c>
      <c r="E1829" s="14">
        <v>44207</v>
      </c>
      <c r="F1829" s="14">
        <v>44214</v>
      </c>
      <c r="G1829" s="13" t="s">
        <v>3</v>
      </c>
      <c r="H1829" s="13" t="s">
        <v>4</v>
      </c>
      <c r="I1829" s="15">
        <v>-7662.28</v>
      </c>
      <c r="J1829" s="13" t="s">
        <v>5</v>
      </c>
      <c r="K1829" s="13" t="s">
        <v>6</v>
      </c>
      <c r="L1829" s="15">
        <v>-643248.4</v>
      </c>
      <c r="M1829" s="15">
        <v>-7662.28</v>
      </c>
      <c r="N1829" s="16" t="str">
        <f>IF(M1829="","",IF(M1829&lt;0,-M1829&amp;"_"&amp;COUNTIF(M$2:M1829,M1829),M1829&amp;"_"&amp;COUNTIF(M$2:M1829,M1829)))</f>
        <v>7662.28_1</v>
      </c>
      <c r="O1829" s="17" t="str">
        <f t="shared" si="28"/>
        <v/>
      </c>
      <c r="P1829" s="13" t="s">
        <v>2144</v>
      </c>
      <c r="Q1829" s="13" t="s">
        <v>2145</v>
      </c>
      <c r="R1829" s="13" t="s">
        <v>0</v>
      </c>
      <c r="S1829" s="13" t="s">
        <v>0</v>
      </c>
      <c r="T1829" s="13" t="s">
        <v>9</v>
      </c>
      <c r="U1829" s="13" t="s">
        <v>0</v>
      </c>
      <c r="V1829" s="13" t="s">
        <v>0</v>
      </c>
      <c r="W1829" s="13" t="s">
        <v>0</v>
      </c>
      <c r="X1829" s="13" t="s">
        <v>0</v>
      </c>
      <c r="Y1829" s="13" t="s">
        <v>10</v>
      </c>
      <c r="Z1829" s="13" t="s">
        <v>0</v>
      </c>
      <c r="AA1829" s="14"/>
      <c r="AB1829" s="13" t="s">
        <v>0</v>
      </c>
      <c r="AC1829" s="13" t="s">
        <v>0</v>
      </c>
      <c r="AD1829" s="13" t="s">
        <v>0</v>
      </c>
      <c r="AE1829" s="15">
        <v>0</v>
      </c>
    </row>
    <row r="1830" spans="1:31" ht="14.15" customHeight="1" x14ac:dyDescent="0.25">
      <c r="A1830" s="12" t="s">
        <v>0</v>
      </c>
      <c r="B1830" s="13" t="s">
        <v>1</v>
      </c>
      <c r="C1830" s="13" t="s">
        <v>1210</v>
      </c>
      <c r="D1830" s="14">
        <v>44140</v>
      </c>
      <c r="E1830" s="14">
        <v>44140</v>
      </c>
      <c r="F1830" s="14">
        <v>44149</v>
      </c>
      <c r="G1830" s="13" t="s">
        <v>3</v>
      </c>
      <c r="H1830" s="13" t="s">
        <v>4</v>
      </c>
      <c r="I1830" s="15">
        <v>-7649.48</v>
      </c>
      <c r="J1830" s="13" t="s">
        <v>5</v>
      </c>
      <c r="K1830" s="13" t="s">
        <v>6</v>
      </c>
      <c r="L1830" s="15">
        <v>-642173.85</v>
      </c>
      <c r="M1830" s="15">
        <v>-7649.48</v>
      </c>
      <c r="N1830" s="16" t="str">
        <f>IF(M1830="","",IF(M1830&lt;0,-M1830&amp;"_"&amp;COUNTIF(M$2:M1830,M1830),M1830&amp;"_"&amp;COUNTIF(M$2:M1830,M1830)))</f>
        <v>7649.48_1</v>
      </c>
      <c r="O1830" s="17" t="str">
        <f t="shared" si="28"/>
        <v/>
      </c>
      <c r="P1830" s="13" t="s">
        <v>1211</v>
      </c>
      <c r="Q1830" s="13" t="s">
        <v>1165</v>
      </c>
      <c r="R1830" s="13" t="s">
        <v>0</v>
      </c>
      <c r="S1830" s="13" t="s">
        <v>0</v>
      </c>
      <c r="T1830" s="13" t="s">
        <v>9</v>
      </c>
      <c r="U1830" s="13" t="s">
        <v>0</v>
      </c>
      <c r="V1830" s="13" t="s">
        <v>0</v>
      </c>
      <c r="W1830" s="13" t="s">
        <v>0</v>
      </c>
      <c r="X1830" s="13" t="s">
        <v>0</v>
      </c>
      <c r="Y1830" s="13" t="s">
        <v>10</v>
      </c>
      <c r="Z1830" s="13" t="s">
        <v>0</v>
      </c>
      <c r="AA1830" s="14"/>
      <c r="AB1830" s="13" t="s">
        <v>0</v>
      </c>
      <c r="AC1830" s="13" t="s">
        <v>0</v>
      </c>
      <c r="AD1830" s="13" t="s">
        <v>0</v>
      </c>
      <c r="AE1830" s="15">
        <v>0</v>
      </c>
    </row>
    <row r="1831" spans="1:31" ht="14.15" customHeight="1" x14ac:dyDescent="0.25">
      <c r="A1831" s="12" t="s">
        <v>0</v>
      </c>
      <c r="B1831" s="13" t="s">
        <v>1</v>
      </c>
      <c r="C1831" s="13" t="s">
        <v>1967</v>
      </c>
      <c r="D1831" s="14">
        <v>44195</v>
      </c>
      <c r="E1831" s="14">
        <v>44195</v>
      </c>
      <c r="F1831" s="14">
        <v>44202</v>
      </c>
      <c r="G1831" s="13" t="s">
        <v>3</v>
      </c>
      <c r="H1831" s="13" t="s">
        <v>4</v>
      </c>
      <c r="I1831" s="15">
        <v>-7635.14</v>
      </c>
      <c r="J1831" s="13" t="s">
        <v>5</v>
      </c>
      <c r="K1831" s="13" t="s">
        <v>6</v>
      </c>
      <c r="L1831" s="15">
        <v>-640970</v>
      </c>
      <c r="M1831" s="15">
        <v>-7635.14</v>
      </c>
      <c r="N1831" s="16" t="str">
        <f>IF(M1831="","",IF(M1831&lt;0,-M1831&amp;"_"&amp;COUNTIF(M$2:M1831,M1831),M1831&amp;"_"&amp;COUNTIF(M$2:M1831,M1831)))</f>
        <v>7635.14_1</v>
      </c>
      <c r="O1831" s="17" t="str">
        <f t="shared" si="28"/>
        <v/>
      </c>
      <c r="P1831" s="13" t="s">
        <v>1968</v>
      </c>
      <c r="Q1831" s="13" t="s">
        <v>1956</v>
      </c>
      <c r="R1831" s="13" t="s">
        <v>0</v>
      </c>
      <c r="S1831" s="13" t="s">
        <v>0</v>
      </c>
      <c r="T1831" s="13" t="s">
        <v>9</v>
      </c>
      <c r="U1831" s="13" t="s">
        <v>0</v>
      </c>
      <c r="V1831" s="13" t="s">
        <v>0</v>
      </c>
      <c r="W1831" s="13" t="s">
        <v>0</v>
      </c>
      <c r="X1831" s="13" t="s">
        <v>0</v>
      </c>
      <c r="Y1831" s="13" t="s">
        <v>10</v>
      </c>
      <c r="Z1831" s="13" t="s">
        <v>0</v>
      </c>
      <c r="AA1831" s="14"/>
      <c r="AB1831" s="13" t="s">
        <v>0</v>
      </c>
      <c r="AC1831" s="13" t="s">
        <v>0</v>
      </c>
      <c r="AD1831" s="13" t="s">
        <v>0</v>
      </c>
      <c r="AE1831" s="15">
        <v>0</v>
      </c>
    </row>
    <row r="1832" spans="1:31" ht="14.15" customHeight="1" x14ac:dyDescent="0.25">
      <c r="A1832" s="12" t="s">
        <v>0</v>
      </c>
      <c r="B1832" s="13" t="s">
        <v>1</v>
      </c>
      <c r="C1832" s="13" t="s">
        <v>3029</v>
      </c>
      <c r="D1832" s="14">
        <v>44281</v>
      </c>
      <c r="E1832" s="14">
        <v>44281</v>
      </c>
      <c r="F1832" s="14">
        <v>44290</v>
      </c>
      <c r="G1832" s="13" t="s">
        <v>3</v>
      </c>
      <c r="H1832" s="13" t="s">
        <v>4</v>
      </c>
      <c r="I1832" s="15">
        <v>-7634.62</v>
      </c>
      <c r="J1832" s="13" t="s">
        <v>5</v>
      </c>
      <c r="K1832" s="13" t="s">
        <v>6</v>
      </c>
      <c r="L1832" s="15">
        <v>-640926.35</v>
      </c>
      <c r="M1832" s="15">
        <v>-7634.62</v>
      </c>
      <c r="N1832" s="16" t="str">
        <f>IF(M1832="","",IF(M1832&lt;0,-M1832&amp;"_"&amp;COUNTIF(M$2:M1832,M1832),M1832&amp;"_"&amp;COUNTIF(M$2:M1832,M1832)))</f>
        <v>7634.62_1</v>
      </c>
      <c r="O1832" s="17" t="str">
        <f t="shared" si="28"/>
        <v/>
      </c>
      <c r="P1832" s="13" t="s">
        <v>3030</v>
      </c>
      <c r="Q1832" s="13" t="s">
        <v>3014</v>
      </c>
      <c r="R1832" s="13" t="s">
        <v>0</v>
      </c>
      <c r="S1832" s="13" t="s">
        <v>0</v>
      </c>
      <c r="T1832" s="13" t="s">
        <v>9</v>
      </c>
      <c r="U1832" s="13" t="s">
        <v>0</v>
      </c>
      <c r="V1832" s="13" t="s">
        <v>0</v>
      </c>
      <c r="W1832" s="13" t="s">
        <v>0</v>
      </c>
      <c r="X1832" s="13" t="s">
        <v>0</v>
      </c>
      <c r="Y1832" s="13" t="s">
        <v>10</v>
      </c>
      <c r="Z1832" s="13" t="s">
        <v>0</v>
      </c>
      <c r="AA1832" s="14"/>
      <c r="AB1832" s="13" t="s">
        <v>0</v>
      </c>
      <c r="AC1832" s="13" t="s">
        <v>0</v>
      </c>
      <c r="AD1832" s="13" t="s">
        <v>0</v>
      </c>
      <c r="AE1832" s="15">
        <v>0</v>
      </c>
    </row>
    <row r="1833" spans="1:31" ht="14.15" customHeight="1" x14ac:dyDescent="0.25">
      <c r="A1833" s="12" t="s">
        <v>0</v>
      </c>
      <c r="B1833" s="13" t="s">
        <v>1</v>
      </c>
      <c r="C1833" s="13" t="s">
        <v>1851</v>
      </c>
      <c r="D1833" s="14">
        <v>44185</v>
      </c>
      <c r="E1833" s="14">
        <v>44185</v>
      </c>
      <c r="F1833" s="14">
        <v>44198</v>
      </c>
      <c r="G1833" s="13" t="s">
        <v>3</v>
      </c>
      <c r="H1833" s="13" t="s">
        <v>4</v>
      </c>
      <c r="I1833" s="15">
        <v>-7593.8</v>
      </c>
      <c r="J1833" s="13" t="s">
        <v>5</v>
      </c>
      <c r="K1833" s="13" t="s">
        <v>6</v>
      </c>
      <c r="L1833" s="15">
        <v>-637499.51</v>
      </c>
      <c r="M1833" s="15">
        <v>-7593.8</v>
      </c>
      <c r="N1833" s="16" t="str">
        <f>IF(M1833="","",IF(M1833&lt;0,-M1833&amp;"_"&amp;COUNTIF(M$2:M1833,M1833),M1833&amp;"_"&amp;COUNTIF(M$2:M1833,M1833)))</f>
        <v>7593.8_1</v>
      </c>
      <c r="O1833" s="17" t="str">
        <f t="shared" si="28"/>
        <v/>
      </c>
      <c r="P1833" s="13" t="s">
        <v>1852</v>
      </c>
      <c r="Q1833" s="13" t="s">
        <v>1848</v>
      </c>
      <c r="R1833" s="13" t="s">
        <v>0</v>
      </c>
      <c r="S1833" s="13" t="s">
        <v>0</v>
      </c>
      <c r="T1833" s="13" t="s">
        <v>9</v>
      </c>
      <c r="U1833" s="13" t="s">
        <v>0</v>
      </c>
      <c r="V1833" s="13" t="s">
        <v>0</v>
      </c>
      <c r="W1833" s="13" t="s">
        <v>0</v>
      </c>
      <c r="X1833" s="13" t="s">
        <v>0</v>
      </c>
      <c r="Y1833" s="13" t="s">
        <v>10</v>
      </c>
      <c r="Z1833" s="13" t="s">
        <v>0</v>
      </c>
      <c r="AA1833" s="14"/>
      <c r="AB1833" s="13" t="s">
        <v>0</v>
      </c>
      <c r="AC1833" s="13" t="s">
        <v>0</v>
      </c>
      <c r="AD1833" s="13" t="s">
        <v>0</v>
      </c>
      <c r="AE1833" s="15">
        <v>0</v>
      </c>
    </row>
    <row r="1834" spans="1:31" ht="14.15" customHeight="1" x14ac:dyDescent="0.25">
      <c r="A1834" s="12" t="s">
        <v>0</v>
      </c>
      <c r="B1834" s="13" t="s">
        <v>1</v>
      </c>
      <c r="C1834" s="13" t="s">
        <v>2189</v>
      </c>
      <c r="D1834" s="14">
        <v>44210</v>
      </c>
      <c r="E1834" s="14">
        <v>44210</v>
      </c>
      <c r="F1834" s="14">
        <v>44217</v>
      </c>
      <c r="G1834" s="13" t="s">
        <v>3</v>
      </c>
      <c r="H1834" s="13" t="s">
        <v>4</v>
      </c>
      <c r="I1834" s="15">
        <v>-7587.32</v>
      </c>
      <c r="J1834" s="13" t="s">
        <v>5</v>
      </c>
      <c r="K1834" s="13" t="s">
        <v>6</v>
      </c>
      <c r="L1834" s="15">
        <v>-636955.51</v>
      </c>
      <c r="M1834" s="15">
        <v>-7587.32</v>
      </c>
      <c r="N1834" s="16" t="str">
        <f>IF(M1834="","",IF(M1834&lt;0,-M1834&amp;"_"&amp;COUNTIF(M$2:M1834,M1834),M1834&amp;"_"&amp;COUNTIF(M$2:M1834,M1834)))</f>
        <v>7587.32_1</v>
      </c>
      <c r="O1834" s="17" t="str">
        <f t="shared" si="28"/>
        <v/>
      </c>
      <c r="P1834" s="13" t="s">
        <v>2190</v>
      </c>
      <c r="Q1834" s="13" t="s">
        <v>2176</v>
      </c>
      <c r="R1834" s="13" t="s">
        <v>0</v>
      </c>
      <c r="S1834" s="13" t="s">
        <v>0</v>
      </c>
      <c r="T1834" s="13" t="s">
        <v>9</v>
      </c>
      <c r="U1834" s="13" t="s">
        <v>0</v>
      </c>
      <c r="V1834" s="13" t="s">
        <v>0</v>
      </c>
      <c r="W1834" s="13" t="s">
        <v>0</v>
      </c>
      <c r="X1834" s="13" t="s">
        <v>0</v>
      </c>
      <c r="Y1834" s="13" t="s">
        <v>10</v>
      </c>
      <c r="Z1834" s="13" t="s">
        <v>0</v>
      </c>
      <c r="AA1834" s="14"/>
      <c r="AB1834" s="13" t="s">
        <v>0</v>
      </c>
      <c r="AC1834" s="13" t="s">
        <v>0</v>
      </c>
      <c r="AD1834" s="13" t="s">
        <v>0</v>
      </c>
      <c r="AE1834" s="15">
        <v>0</v>
      </c>
    </row>
    <row r="1835" spans="1:31" ht="14.15" customHeight="1" x14ac:dyDescent="0.25">
      <c r="A1835" s="12" t="s">
        <v>0</v>
      </c>
      <c r="B1835" s="13" t="s">
        <v>1</v>
      </c>
      <c r="C1835" s="13" t="s">
        <v>1933</v>
      </c>
      <c r="D1835" s="14">
        <v>44192</v>
      </c>
      <c r="E1835" s="14">
        <v>44192</v>
      </c>
      <c r="F1835" s="14">
        <v>44196</v>
      </c>
      <c r="G1835" s="13" t="s">
        <v>3</v>
      </c>
      <c r="H1835" s="13" t="s">
        <v>4</v>
      </c>
      <c r="I1835" s="15">
        <v>-7580.72</v>
      </c>
      <c r="J1835" s="13" t="s">
        <v>5</v>
      </c>
      <c r="K1835" s="13" t="s">
        <v>6</v>
      </c>
      <c r="L1835" s="15">
        <v>-636401.43999999994</v>
      </c>
      <c r="M1835" s="15">
        <v>-7580.72</v>
      </c>
      <c r="N1835" s="16" t="str">
        <f>IF(M1835="","",IF(M1835&lt;0,-M1835&amp;"_"&amp;COUNTIF(M$2:M1835,M1835),M1835&amp;"_"&amp;COUNTIF(M$2:M1835,M1835)))</f>
        <v>7580.72_1</v>
      </c>
      <c r="O1835" s="17" t="str">
        <f t="shared" si="28"/>
        <v/>
      </c>
      <c r="P1835" s="13" t="s">
        <v>1934</v>
      </c>
      <c r="Q1835" s="13" t="s">
        <v>1932</v>
      </c>
      <c r="R1835" s="13" t="s">
        <v>0</v>
      </c>
      <c r="S1835" s="13" t="s">
        <v>0</v>
      </c>
      <c r="T1835" s="13" t="s">
        <v>9</v>
      </c>
      <c r="U1835" s="13" t="s">
        <v>0</v>
      </c>
      <c r="V1835" s="13" t="s">
        <v>0</v>
      </c>
      <c r="W1835" s="13" t="s">
        <v>0</v>
      </c>
      <c r="X1835" s="13" t="s">
        <v>0</v>
      </c>
      <c r="Y1835" s="13" t="s">
        <v>10</v>
      </c>
      <c r="Z1835" s="13" t="s">
        <v>0</v>
      </c>
      <c r="AA1835" s="14"/>
      <c r="AB1835" s="13" t="s">
        <v>0</v>
      </c>
      <c r="AC1835" s="13" t="s">
        <v>0</v>
      </c>
      <c r="AD1835" s="13" t="s">
        <v>0</v>
      </c>
      <c r="AE1835" s="15">
        <v>0</v>
      </c>
    </row>
    <row r="1836" spans="1:31" ht="14.15" customHeight="1" x14ac:dyDescent="0.25">
      <c r="A1836" s="12" t="s">
        <v>0</v>
      </c>
      <c r="B1836" s="13" t="s">
        <v>1</v>
      </c>
      <c r="C1836" s="13" t="s">
        <v>2563</v>
      </c>
      <c r="D1836" s="14">
        <v>44240</v>
      </c>
      <c r="E1836" s="14">
        <v>44240</v>
      </c>
      <c r="F1836" s="14">
        <v>44251</v>
      </c>
      <c r="G1836" s="13" t="s">
        <v>3</v>
      </c>
      <c r="H1836" s="13" t="s">
        <v>4</v>
      </c>
      <c r="I1836" s="15">
        <v>-7579.93</v>
      </c>
      <c r="J1836" s="13" t="s">
        <v>5</v>
      </c>
      <c r="K1836" s="13" t="s">
        <v>6</v>
      </c>
      <c r="L1836" s="15">
        <v>-636335.12</v>
      </c>
      <c r="M1836" s="15">
        <v>-7579.93</v>
      </c>
      <c r="N1836" s="16" t="str">
        <f>IF(M1836="","",IF(M1836&lt;0,-M1836&amp;"_"&amp;COUNTIF(M$2:M1836,M1836),M1836&amp;"_"&amp;COUNTIF(M$2:M1836,M1836)))</f>
        <v>7579.93_1</v>
      </c>
      <c r="O1836" s="17" t="str">
        <f t="shared" si="28"/>
        <v/>
      </c>
      <c r="P1836" s="13" t="s">
        <v>2564</v>
      </c>
      <c r="Q1836" s="13" t="s">
        <v>2560</v>
      </c>
      <c r="R1836" s="13" t="s">
        <v>0</v>
      </c>
      <c r="S1836" s="13" t="s">
        <v>0</v>
      </c>
      <c r="T1836" s="13" t="s">
        <v>9</v>
      </c>
      <c r="U1836" s="13" t="s">
        <v>0</v>
      </c>
      <c r="V1836" s="13" t="s">
        <v>0</v>
      </c>
      <c r="W1836" s="13" t="s">
        <v>0</v>
      </c>
      <c r="X1836" s="13" t="s">
        <v>0</v>
      </c>
      <c r="Y1836" s="13" t="s">
        <v>10</v>
      </c>
      <c r="Z1836" s="13" t="s">
        <v>0</v>
      </c>
      <c r="AA1836" s="14"/>
      <c r="AB1836" s="13" t="s">
        <v>0</v>
      </c>
      <c r="AC1836" s="13" t="s">
        <v>0</v>
      </c>
      <c r="AD1836" s="13" t="s">
        <v>0</v>
      </c>
      <c r="AE1836" s="15">
        <v>0</v>
      </c>
    </row>
    <row r="1837" spans="1:31" ht="14.15" customHeight="1" x14ac:dyDescent="0.25">
      <c r="A1837" s="12" t="s">
        <v>0</v>
      </c>
      <c r="B1837" s="13" t="s">
        <v>1</v>
      </c>
      <c r="C1837" s="13" t="s">
        <v>873</v>
      </c>
      <c r="D1837" s="14">
        <v>44111</v>
      </c>
      <c r="E1837" s="14">
        <v>44111</v>
      </c>
      <c r="F1837" s="14">
        <v>44118</v>
      </c>
      <c r="G1837" s="13" t="s">
        <v>3</v>
      </c>
      <c r="H1837" s="13" t="s">
        <v>4</v>
      </c>
      <c r="I1837" s="15">
        <v>-7552.17</v>
      </c>
      <c r="J1837" s="13" t="s">
        <v>5</v>
      </c>
      <c r="K1837" s="13" t="s">
        <v>6</v>
      </c>
      <c r="L1837" s="15">
        <v>-634004.67000000004</v>
      </c>
      <c r="M1837" s="15">
        <v>-7552.17</v>
      </c>
      <c r="N1837" s="16" t="str">
        <f>IF(M1837="","",IF(M1837&lt;0,-M1837&amp;"_"&amp;COUNTIF(M$2:M1837,M1837),M1837&amp;"_"&amp;COUNTIF(M$2:M1837,M1837)))</f>
        <v>7552.17_1</v>
      </c>
      <c r="O1837" s="17" t="str">
        <f t="shared" si="28"/>
        <v/>
      </c>
      <c r="P1837" s="13" t="s">
        <v>874</v>
      </c>
      <c r="Q1837" s="13" t="s">
        <v>866</v>
      </c>
      <c r="R1837" s="13" t="s">
        <v>0</v>
      </c>
      <c r="S1837" s="13" t="s">
        <v>0</v>
      </c>
      <c r="T1837" s="13" t="s">
        <v>9</v>
      </c>
      <c r="U1837" s="13" t="s">
        <v>0</v>
      </c>
      <c r="V1837" s="13" t="s">
        <v>0</v>
      </c>
      <c r="W1837" s="13" t="s">
        <v>0</v>
      </c>
      <c r="X1837" s="13" t="s">
        <v>0</v>
      </c>
      <c r="Y1837" s="13" t="s">
        <v>10</v>
      </c>
      <c r="Z1837" s="13" t="s">
        <v>0</v>
      </c>
      <c r="AA1837" s="14"/>
      <c r="AB1837" s="13" t="s">
        <v>0</v>
      </c>
      <c r="AC1837" s="13" t="s">
        <v>0</v>
      </c>
      <c r="AD1837" s="13" t="s">
        <v>0</v>
      </c>
      <c r="AE1837" s="15">
        <v>0</v>
      </c>
    </row>
    <row r="1838" spans="1:31" ht="14.15" customHeight="1" x14ac:dyDescent="0.25">
      <c r="A1838" s="12" t="s">
        <v>0</v>
      </c>
      <c r="B1838" s="13" t="s">
        <v>1</v>
      </c>
      <c r="C1838" s="13" t="s">
        <v>3285</v>
      </c>
      <c r="D1838" s="14">
        <v>44314</v>
      </c>
      <c r="E1838" s="14">
        <v>44314</v>
      </c>
      <c r="F1838" s="14">
        <v>44319</v>
      </c>
      <c r="G1838" s="13" t="s">
        <v>3</v>
      </c>
      <c r="H1838" s="13" t="s">
        <v>4</v>
      </c>
      <c r="I1838" s="15">
        <v>-7535.35</v>
      </c>
      <c r="J1838" s="13" t="s">
        <v>5</v>
      </c>
      <c r="K1838" s="13" t="s">
        <v>6</v>
      </c>
      <c r="L1838" s="15">
        <v>-632592.63</v>
      </c>
      <c r="M1838" s="15">
        <v>-7535.35</v>
      </c>
      <c r="N1838" s="16" t="str">
        <f>IF(M1838="","",IF(M1838&lt;0,-M1838&amp;"_"&amp;COUNTIF(M$2:M1838,M1838),M1838&amp;"_"&amp;COUNTIF(M$2:M1838,M1838)))</f>
        <v>7535.35_1</v>
      </c>
      <c r="O1838" s="17" t="str">
        <f t="shared" si="28"/>
        <v/>
      </c>
      <c r="P1838" s="13" t="s">
        <v>3286</v>
      </c>
      <c r="Q1838" s="13" t="s">
        <v>3284</v>
      </c>
      <c r="R1838" s="13" t="s">
        <v>0</v>
      </c>
      <c r="S1838" s="13" t="s">
        <v>0</v>
      </c>
      <c r="T1838" s="13" t="s">
        <v>9</v>
      </c>
      <c r="U1838" s="13" t="s">
        <v>0</v>
      </c>
      <c r="V1838" s="13" t="s">
        <v>0</v>
      </c>
      <c r="W1838" s="13" t="s">
        <v>0</v>
      </c>
      <c r="X1838" s="13" t="s">
        <v>0</v>
      </c>
      <c r="Y1838" s="13" t="s">
        <v>10</v>
      </c>
      <c r="Z1838" s="13" t="s">
        <v>0</v>
      </c>
      <c r="AA1838" s="14"/>
      <c r="AB1838" s="13" t="s">
        <v>0</v>
      </c>
      <c r="AC1838" s="13" t="s">
        <v>0</v>
      </c>
      <c r="AD1838" s="13" t="s">
        <v>0</v>
      </c>
      <c r="AE1838" s="15">
        <v>0</v>
      </c>
    </row>
    <row r="1839" spans="1:31" ht="14.15" customHeight="1" x14ac:dyDescent="0.25">
      <c r="A1839" s="12" t="s">
        <v>0</v>
      </c>
      <c r="B1839" s="13" t="s">
        <v>1</v>
      </c>
      <c r="C1839" s="13" t="s">
        <v>86</v>
      </c>
      <c r="D1839" s="14">
        <v>44021</v>
      </c>
      <c r="E1839" s="14">
        <v>44021</v>
      </c>
      <c r="F1839" s="14">
        <v>44032</v>
      </c>
      <c r="G1839" s="13" t="s">
        <v>3</v>
      </c>
      <c r="H1839" s="13" t="s">
        <v>4</v>
      </c>
      <c r="I1839" s="15">
        <v>-7525.36</v>
      </c>
      <c r="J1839" s="13" t="s">
        <v>5</v>
      </c>
      <c r="K1839" s="13" t="s">
        <v>6</v>
      </c>
      <c r="L1839" s="15">
        <v>-631753.97</v>
      </c>
      <c r="M1839" s="15">
        <v>-7525.36</v>
      </c>
      <c r="N1839" s="16" t="str">
        <f>IF(M1839="","",IF(M1839&lt;0,-M1839&amp;"_"&amp;COUNTIF(M$2:M1839,M1839),M1839&amp;"_"&amp;COUNTIF(M$2:M1839,M1839)))</f>
        <v>7525.36_1</v>
      </c>
      <c r="O1839" s="17" t="str">
        <f t="shared" si="28"/>
        <v/>
      </c>
      <c r="P1839" s="13" t="s">
        <v>87</v>
      </c>
      <c r="Q1839" s="13" t="s">
        <v>85</v>
      </c>
      <c r="R1839" s="13" t="s">
        <v>0</v>
      </c>
      <c r="S1839" s="13" t="s">
        <v>0</v>
      </c>
      <c r="T1839" s="13" t="s">
        <v>9</v>
      </c>
      <c r="U1839" s="13" t="s">
        <v>0</v>
      </c>
      <c r="V1839" s="13" t="s">
        <v>0</v>
      </c>
      <c r="W1839" s="13" t="s">
        <v>0</v>
      </c>
      <c r="X1839" s="13" t="s">
        <v>0</v>
      </c>
      <c r="Y1839" s="13" t="s">
        <v>10</v>
      </c>
      <c r="Z1839" s="13" t="s">
        <v>0</v>
      </c>
      <c r="AA1839" s="14"/>
      <c r="AB1839" s="13" t="s">
        <v>0</v>
      </c>
      <c r="AC1839" s="13" t="s">
        <v>0</v>
      </c>
      <c r="AD1839" s="13" t="s">
        <v>0</v>
      </c>
      <c r="AE1839" s="15">
        <v>0</v>
      </c>
    </row>
    <row r="1840" spans="1:31" ht="14.15" customHeight="1" x14ac:dyDescent="0.25">
      <c r="A1840" s="12" t="s">
        <v>0</v>
      </c>
      <c r="B1840" s="13" t="s">
        <v>1</v>
      </c>
      <c r="C1840" s="13" t="s">
        <v>4214</v>
      </c>
      <c r="D1840" s="14">
        <v>44366</v>
      </c>
      <c r="E1840" s="14">
        <v>44366</v>
      </c>
      <c r="F1840" s="14">
        <v>44371</v>
      </c>
      <c r="G1840" s="13" t="s">
        <v>3</v>
      </c>
      <c r="H1840" s="13" t="s">
        <v>4</v>
      </c>
      <c r="I1840" s="15">
        <v>-7519.41</v>
      </c>
      <c r="J1840" s="13" t="s">
        <v>5</v>
      </c>
      <c r="K1840" s="13" t="s">
        <v>6</v>
      </c>
      <c r="L1840" s="15">
        <v>-631254.47</v>
      </c>
      <c r="M1840" s="15">
        <v>-7519.41</v>
      </c>
      <c r="N1840" s="16" t="str">
        <f>IF(M1840="","",IF(M1840&lt;0,-M1840&amp;"_"&amp;COUNTIF(M$2:M1840,M1840),M1840&amp;"_"&amp;COUNTIF(M$2:M1840,M1840)))</f>
        <v>7519.41_1</v>
      </c>
      <c r="O1840" s="17" t="str">
        <f t="shared" si="28"/>
        <v/>
      </c>
      <c r="P1840" s="13" t="s">
        <v>4215</v>
      </c>
      <c r="Q1840" s="13" t="s">
        <v>4216</v>
      </c>
      <c r="R1840" s="13" t="s">
        <v>0</v>
      </c>
      <c r="S1840" s="13" t="s">
        <v>0</v>
      </c>
      <c r="T1840" s="13" t="s">
        <v>9</v>
      </c>
      <c r="U1840" s="13" t="s">
        <v>0</v>
      </c>
      <c r="V1840" s="13" t="s">
        <v>0</v>
      </c>
      <c r="W1840" s="13" t="s">
        <v>0</v>
      </c>
      <c r="X1840" s="13" t="s">
        <v>0</v>
      </c>
      <c r="Y1840" s="13" t="s">
        <v>10</v>
      </c>
      <c r="Z1840" s="13" t="s">
        <v>0</v>
      </c>
      <c r="AA1840" s="14"/>
      <c r="AB1840" s="13" t="s">
        <v>0</v>
      </c>
      <c r="AC1840" s="13" t="s">
        <v>0</v>
      </c>
      <c r="AD1840" s="13" t="s">
        <v>0</v>
      </c>
      <c r="AE1840" s="15">
        <v>0</v>
      </c>
    </row>
    <row r="1841" spans="1:31" ht="14.15" customHeight="1" x14ac:dyDescent="0.25">
      <c r="A1841" s="12" t="s">
        <v>0</v>
      </c>
      <c r="B1841" s="13" t="s">
        <v>1</v>
      </c>
      <c r="C1841" s="13" t="s">
        <v>1819</v>
      </c>
      <c r="D1841" s="14">
        <v>44183</v>
      </c>
      <c r="E1841" s="14">
        <v>44183</v>
      </c>
      <c r="F1841" s="14">
        <v>44188</v>
      </c>
      <c r="G1841" s="13" t="s">
        <v>3</v>
      </c>
      <c r="H1841" s="13" t="s">
        <v>4</v>
      </c>
      <c r="I1841" s="15">
        <v>-7517.59</v>
      </c>
      <c r="J1841" s="13" t="s">
        <v>5</v>
      </c>
      <c r="K1841" s="13" t="s">
        <v>6</v>
      </c>
      <c r="L1841" s="15">
        <v>-631101.68000000005</v>
      </c>
      <c r="M1841" s="15">
        <v>-7517.59</v>
      </c>
      <c r="N1841" s="16" t="str">
        <f>IF(M1841="","",IF(M1841&lt;0,-M1841&amp;"_"&amp;COUNTIF(M$2:M1841,M1841),M1841&amp;"_"&amp;COUNTIF(M$2:M1841,M1841)))</f>
        <v>7517.59_1</v>
      </c>
      <c r="O1841" s="17" t="str">
        <f t="shared" si="28"/>
        <v/>
      </c>
      <c r="P1841" s="13" t="s">
        <v>1820</v>
      </c>
      <c r="Q1841" s="13" t="s">
        <v>1792</v>
      </c>
      <c r="R1841" s="13" t="s">
        <v>0</v>
      </c>
      <c r="S1841" s="13" t="s">
        <v>0</v>
      </c>
      <c r="T1841" s="13" t="s">
        <v>9</v>
      </c>
      <c r="U1841" s="13" t="s">
        <v>0</v>
      </c>
      <c r="V1841" s="13" t="s">
        <v>0</v>
      </c>
      <c r="W1841" s="13" t="s">
        <v>0</v>
      </c>
      <c r="X1841" s="13" t="s">
        <v>0</v>
      </c>
      <c r="Y1841" s="13" t="s">
        <v>10</v>
      </c>
      <c r="Z1841" s="13" t="s">
        <v>0</v>
      </c>
      <c r="AA1841" s="14"/>
      <c r="AB1841" s="13" t="s">
        <v>0</v>
      </c>
      <c r="AC1841" s="13" t="s">
        <v>0</v>
      </c>
      <c r="AD1841" s="13" t="s">
        <v>0</v>
      </c>
      <c r="AE1841" s="15">
        <v>0</v>
      </c>
    </row>
    <row r="1842" spans="1:31" ht="14.15" customHeight="1" x14ac:dyDescent="0.25">
      <c r="A1842" s="12" t="s">
        <v>0</v>
      </c>
      <c r="B1842" s="13" t="s">
        <v>1</v>
      </c>
      <c r="C1842" s="13" t="s">
        <v>2440</v>
      </c>
      <c r="D1842" s="14">
        <v>44231</v>
      </c>
      <c r="E1842" s="14">
        <v>44231</v>
      </c>
      <c r="F1842" s="14">
        <v>44237</v>
      </c>
      <c r="G1842" s="13" t="s">
        <v>3</v>
      </c>
      <c r="H1842" s="13" t="s">
        <v>4</v>
      </c>
      <c r="I1842" s="15">
        <v>-7496</v>
      </c>
      <c r="J1842" s="13" t="s">
        <v>5</v>
      </c>
      <c r="K1842" s="13" t="s">
        <v>6</v>
      </c>
      <c r="L1842" s="15">
        <v>-629289.19999999995</v>
      </c>
      <c r="M1842" s="15">
        <v>-7496</v>
      </c>
      <c r="N1842" s="16" t="str">
        <f>IF(M1842="","",IF(M1842&lt;0,-M1842&amp;"_"&amp;COUNTIF(M$2:M1842,M1842),M1842&amp;"_"&amp;COUNTIF(M$2:M1842,M1842)))</f>
        <v>7496_1</v>
      </c>
      <c r="O1842" s="17" t="str">
        <f t="shared" si="28"/>
        <v/>
      </c>
      <c r="P1842" s="13" t="s">
        <v>2441</v>
      </c>
      <c r="Q1842" s="13" t="s">
        <v>2427</v>
      </c>
      <c r="R1842" s="13" t="s">
        <v>0</v>
      </c>
      <c r="S1842" s="13" t="s">
        <v>0</v>
      </c>
      <c r="T1842" s="13" t="s">
        <v>9</v>
      </c>
      <c r="U1842" s="13" t="s">
        <v>0</v>
      </c>
      <c r="V1842" s="13" t="s">
        <v>0</v>
      </c>
      <c r="W1842" s="13" t="s">
        <v>0</v>
      </c>
      <c r="X1842" s="13" t="s">
        <v>0</v>
      </c>
      <c r="Y1842" s="13" t="s">
        <v>10</v>
      </c>
      <c r="Z1842" s="13" t="s">
        <v>0</v>
      </c>
      <c r="AA1842" s="14"/>
      <c r="AB1842" s="13" t="s">
        <v>0</v>
      </c>
      <c r="AC1842" s="13" t="s">
        <v>0</v>
      </c>
      <c r="AD1842" s="13" t="s">
        <v>0</v>
      </c>
      <c r="AE1842" s="15">
        <v>0</v>
      </c>
    </row>
    <row r="1843" spans="1:31" ht="14.15" customHeight="1" x14ac:dyDescent="0.25">
      <c r="A1843" s="12" t="s">
        <v>0</v>
      </c>
      <c r="B1843" s="13" t="s">
        <v>1</v>
      </c>
      <c r="C1843" s="13" t="s">
        <v>4041</v>
      </c>
      <c r="D1843" s="14">
        <v>44358</v>
      </c>
      <c r="E1843" s="14">
        <v>44358</v>
      </c>
      <c r="F1843" s="14">
        <v>44364</v>
      </c>
      <c r="G1843" s="13" t="s">
        <v>3</v>
      </c>
      <c r="H1843" s="13" t="s">
        <v>4</v>
      </c>
      <c r="I1843" s="15">
        <v>-7485.74</v>
      </c>
      <c r="J1843" s="13" t="s">
        <v>5</v>
      </c>
      <c r="K1843" s="13" t="s">
        <v>6</v>
      </c>
      <c r="L1843" s="15">
        <v>-628427.87</v>
      </c>
      <c r="M1843" s="15">
        <v>-7485.74</v>
      </c>
      <c r="N1843" s="16" t="str">
        <f>IF(M1843="","",IF(M1843&lt;0,-M1843&amp;"_"&amp;COUNTIF(M$2:M1843,M1843),M1843&amp;"_"&amp;COUNTIF(M$2:M1843,M1843)))</f>
        <v>7485.74_1</v>
      </c>
      <c r="O1843" s="17" t="str">
        <f t="shared" si="28"/>
        <v/>
      </c>
      <c r="P1843" s="13" t="s">
        <v>4042</v>
      </c>
      <c r="Q1843" s="13" t="s">
        <v>4006</v>
      </c>
      <c r="R1843" s="13" t="s">
        <v>0</v>
      </c>
      <c r="S1843" s="13" t="s">
        <v>0</v>
      </c>
      <c r="T1843" s="13" t="s">
        <v>9</v>
      </c>
      <c r="U1843" s="13" t="s">
        <v>0</v>
      </c>
      <c r="V1843" s="13" t="s">
        <v>0</v>
      </c>
      <c r="W1843" s="13" t="s">
        <v>0</v>
      </c>
      <c r="X1843" s="13" t="s">
        <v>0</v>
      </c>
      <c r="Y1843" s="13" t="s">
        <v>10</v>
      </c>
      <c r="Z1843" s="13" t="s">
        <v>0</v>
      </c>
      <c r="AA1843" s="14"/>
      <c r="AB1843" s="13" t="s">
        <v>0</v>
      </c>
      <c r="AC1843" s="13" t="s">
        <v>0</v>
      </c>
      <c r="AD1843" s="13" t="s">
        <v>0</v>
      </c>
      <c r="AE1843" s="15">
        <v>0</v>
      </c>
    </row>
    <row r="1844" spans="1:31" ht="14.15" customHeight="1" x14ac:dyDescent="0.25">
      <c r="A1844" s="12" t="s">
        <v>0</v>
      </c>
      <c r="B1844" s="13" t="s">
        <v>1</v>
      </c>
      <c r="C1844" s="13" t="s">
        <v>2128</v>
      </c>
      <c r="D1844" s="14">
        <v>44203</v>
      </c>
      <c r="E1844" s="14">
        <v>44203</v>
      </c>
      <c r="F1844" s="14">
        <v>44214</v>
      </c>
      <c r="G1844" s="13" t="s">
        <v>3</v>
      </c>
      <c r="H1844" s="13" t="s">
        <v>4</v>
      </c>
      <c r="I1844" s="15">
        <v>-7485.06</v>
      </c>
      <c r="J1844" s="13" t="s">
        <v>5</v>
      </c>
      <c r="K1844" s="13" t="s">
        <v>6</v>
      </c>
      <c r="L1844" s="15">
        <v>-628370.79</v>
      </c>
      <c r="M1844" s="15">
        <v>-7485.06</v>
      </c>
      <c r="N1844" s="16" t="str">
        <f>IF(M1844="","",IF(M1844&lt;0,-M1844&amp;"_"&amp;COUNTIF(M$2:M1844,M1844),M1844&amp;"_"&amp;COUNTIF(M$2:M1844,M1844)))</f>
        <v>7485.06_1</v>
      </c>
      <c r="O1844" s="17" t="str">
        <f t="shared" si="28"/>
        <v/>
      </c>
      <c r="P1844" s="13" t="s">
        <v>2129</v>
      </c>
      <c r="Q1844" s="13" t="s">
        <v>2130</v>
      </c>
      <c r="R1844" s="13" t="s">
        <v>0</v>
      </c>
      <c r="S1844" s="13" t="s">
        <v>0</v>
      </c>
      <c r="T1844" s="13" t="s">
        <v>9</v>
      </c>
      <c r="U1844" s="13" t="s">
        <v>0</v>
      </c>
      <c r="V1844" s="13" t="s">
        <v>0</v>
      </c>
      <c r="W1844" s="13" t="s">
        <v>0</v>
      </c>
      <c r="X1844" s="13" t="s">
        <v>0</v>
      </c>
      <c r="Y1844" s="13" t="s">
        <v>10</v>
      </c>
      <c r="Z1844" s="13" t="s">
        <v>0</v>
      </c>
      <c r="AA1844" s="14"/>
      <c r="AB1844" s="13" t="s">
        <v>0</v>
      </c>
      <c r="AC1844" s="13" t="s">
        <v>0</v>
      </c>
      <c r="AD1844" s="13" t="s">
        <v>0</v>
      </c>
      <c r="AE1844" s="15">
        <v>0</v>
      </c>
    </row>
    <row r="1845" spans="1:31" ht="14.15" customHeight="1" x14ac:dyDescent="0.25">
      <c r="A1845" s="12" t="s">
        <v>0</v>
      </c>
      <c r="B1845" s="13" t="s">
        <v>1</v>
      </c>
      <c r="C1845" s="13" t="s">
        <v>3670</v>
      </c>
      <c r="D1845" s="14">
        <v>44335</v>
      </c>
      <c r="E1845" s="14">
        <v>44335</v>
      </c>
      <c r="F1845" s="14">
        <v>44340</v>
      </c>
      <c r="G1845" s="13" t="s">
        <v>3</v>
      </c>
      <c r="H1845" s="13" t="s">
        <v>4</v>
      </c>
      <c r="I1845" s="15">
        <v>-7481.09</v>
      </c>
      <c r="J1845" s="13" t="s">
        <v>5</v>
      </c>
      <c r="K1845" s="13" t="s">
        <v>6</v>
      </c>
      <c r="L1845" s="15">
        <v>-628037.51</v>
      </c>
      <c r="M1845" s="15">
        <v>-7481.09</v>
      </c>
      <c r="N1845" s="16" t="str">
        <f>IF(M1845="","",IF(M1845&lt;0,-M1845&amp;"_"&amp;COUNTIF(M$2:M1845,M1845),M1845&amp;"_"&amp;COUNTIF(M$2:M1845,M1845)))</f>
        <v>7481.09_1</v>
      </c>
      <c r="O1845" s="17" t="str">
        <f t="shared" si="28"/>
        <v/>
      </c>
      <c r="P1845" s="13" t="s">
        <v>3671</v>
      </c>
      <c r="Q1845" s="13" t="s">
        <v>3665</v>
      </c>
      <c r="R1845" s="13" t="s">
        <v>0</v>
      </c>
      <c r="S1845" s="13" t="s">
        <v>0</v>
      </c>
      <c r="T1845" s="13" t="s">
        <v>9</v>
      </c>
      <c r="U1845" s="13" t="s">
        <v>0</v>
      </c>
      <c r="V1845" s="13" t="s">
        <v>0</v>
      </c>
      <c r="W1845" s="13" t="s">
        <v>0</v>
      </c>
      <c r="X1845" s="13" t="s">
        <v>0</v>
      </c>
      <c r="Y1845" s="13" t="s">
        <v>10</v>
      </c>
      <c r="Z1845" s="13" t="s">
        <v>0</v>
      </c>
      <c r="AA1845" s="14"/>
      <c r="AB1845" s="13" t="s">
        <v>0</v>
      </c>
      <c r="AC1845" s="13" t="s">
        <v>0</v>
      </c>
      <c r="AD1845" s="13" t="s">
        <v>0</v>
      </c>
      <c r="AE1845" s="15">
        <v>0</v>
      </c>
    </row>
    <row r="1846" spans="1:31" ht="14.15" customHeight="1" x14ac:dyDescent="0.25">
      <c r="A1846" s="12" t="s">
        <v>0</v>
      </c>
      <c r="B1846" s="13" t="s">
        <v>1</v>
      </c>
      <c r="C1846" s="13" t="s">
        <v>141</v>
      </c>
      <c r="D1846" s="14">
        <v>44029</v>
      </c>
      <c r="E1846" s="14">
        <v>44029</v>
      </c>
      <c r="F1846" s="14">
        <v>44033</v>
      </c>
      <c r="G1846" s="13" t="s">
        <v>3</v>
      </c>
      <c r="H1846" s="13" t="s">
        <v>4</v>
      </c>
      <c r="I1846" s="15">
        <v>-7475.28</v>
      </c>
      <c r="J1846" s="13" t="s">
        <v>5</v>
      </c>
      <c r="K1846" s="13" t="s">
        <v>6</v>
      </c>
      <c r="L1846" s="15">
        <v>-627549.76</v>
      </c>
      <c r="M1846" s="15">
        <v>-7475.28</v>
      </c>
      <c r="N1846" s="16" t="str">
        <f>IF(M1846="","",IF(M1846&lt;0,-M1846&amp;"_"&amp;COUNTIF(M$2:M1846,M1846),M1846&amp;"_"&amp;COUNTIF(M$2:M1846,M1846)))</f>
        <v>7475.28_1</v>
      </c>
      <c r="O1846" s="17" t="str">
        <f t="shared" si="28"/>
        <v/>
      </c>
      <c r="P1846" s="13" t="s">
        <v>142</v>
      </c>
      <c r="Q1846" s="13" t="s">
        <v>138</v>
      </c>
      <c r="R1846" s="13" t="s">
        <v>0</v>
      </c>
      <c r="S1846" s="13" t="s">
        <v>0</v>
      </c>
      <c r="T1846" s="13" t="s">
        <v>9</v>
      </c>
      <c r="U1846" s="13" t="s">
        <v>0</v>
      </c>
      <c r="V1846" s="13" t="s">
        <v>0</v>
      </c>
      <c r="W1846" s="13" t="s">
        <v>0</v>
      </c>
      <c r="X1846" s="13" t="s">
        <v>0</v>
      </c>
      <c r="Y1846" s="13" t="s">
        <v>10</v>
      </c>
      <c r="Z1846" s="13" t="s">
        <v>0</v>
      </c>
      <c r="AA1846" s="14"/>
      <c r="AB1846" s="13" t="s">
        <v>0</v>
      </c>
      <c r="AC1846" s="13" t="s">
        <v>0</v>
      </c>
      <c r="AD1846" s="13" t="s">
        <v>0</v>
      </c>
      <c r="AE1846" s="15">
        <v>0</v>
      </c>
    </row>
    <row r="1847" spans="1:31" ht="14.15" customHeight="1" x14ac:dyDescent="0.25">
      <c r="A1847" s="12" t="s">
        <v>0</v>
      </c>
      <c r="B1847" s="13" t="s">
        <v>1</v>
      </c>
      <c r="C1847" s="13" t="s">
        <v>717</v>
      </c>
      <c r="D1847" s="14">
        <v>44094</v>
      </c>
      <c r="E1847" s="14">
        <v>44094</v>
      </c>
      <c r="F1847" s="14">
        <v>44098</v>
      </c>
      <c r="G1847" s="13" t="s">
        <v>3</v>
      </c>
      <c r="H1847" s="13" t="s">
        <v>4</v>
      </c>
      <c r="I1847" s="15">
        <v>-7467.36</v>
      </c>
      <c r="J1847" s="13" t="s">
        <v>5</v>
      </c>
      <c r="K1847" s="13" t="s">
        <v>6</v>
      </c>
      <c r="L1847" s="15">
        <v>-626884.87</v>
      </c>
      <c r="M1847" s="15">
        <v>-7467.36</v>
      </c>
      <c r="N1847" s="16" t="str">
        <f>IF(M1847="","",IF(M1847&lt;0,-M1847&amp;"_"&amp;COUNTIF(M$2:M1847,M1847),M1847&amp;"_"&amp;COUNTIF(M$2:M1847,M1847)))</f>
        <v>7467.36_1</v>
      </c>
      <c r="O1847" s="17" t="str">
        <f t="shared" si="28"/>
        <v/>
      </c>
      <c r="P1847" s="13" t="s">
        <v>718</v>
      </c>
      <c r="Q1847" s="13" t="s">
        <v>719</v>
      </c>
      <c r="R1847" s="13" t="s">
        <v>0</v>
      </c>
      <c r="S1847" s="13" t="s">
        <v>0</v>
      </c>
      <c r="T1847" s="13" t="s">
        <v>9</v>
      </c>
      <c r="U1847" s="13" t="s">
        <v>0</v>
      </c>
      <c r="V1847" s="13" t="s">
        <v>0</v>
      </c>
      <c r="W1847" s="13" t="s">
        <v>0</v>
      </c>
      <c r="X1847" s="13" t="s">
        <v>0</v>
      </c>
      <c r="Y1847" s="13" t="s">
        <v>10</v>
      </c>
      <c r="Z1847" s="13" t="s">
        <v>0</v>
      </c>
      <c r="AA1847" s="14"/>
      <c r="AB1847" s="13" t="s">
        <v>0</v>
      </c>
      <c r="AC1847" s="13" t="s">
        <v>0</v>
      </c>
      <c r="AD1847" s="13" t="s">
        <v>0</v>
      </c>
      <c r="AE1847" s="15">
        <v>0</v>
      </c>
    </row>
    <row r="1848" spans="1:31" ht="14.15" customHeight="1" x14ac:dyDescent="0.25">
      <c r="A1848" s="12" t="s">
        <v>0</v>
      </c>
      <c r="B1848" s="13" t="s">
        <v>1</v>
      </c>
      <c r="C1848" s="13" t="s">
        <v>3874</v>
      </c>
      <c r="D1848" s="14">
        <v>44352</v>
      </c>
      <c r="E1848" s="14">
        <v>44352</v>
      </c>
      <c r="F1848" s="14">
        <v>44356</v>
      </c>
      <c r="G1848" s="13" t="s">
        <v>3</v>
      </c>
      <c r="H1848" s="13" t="s">
        <v>4</v>
      </c>
      <c r="I1848" s="15">
        <v>-7456.23</v>
      </c>
      <c r="J1848" s="13" t="s">
        <v>5</v>
      </c>
      <c r="K1848" s="13" t="s">
        <v>6</v>
      </c>
      <c r="L1848" s="15">
        <v>-625950.51</v>
      </c>
      <c r="M1848" s="15">
        <v>-7456.23</v>
      </c>
      <c r="N1848" s="16" t="str">
        <f>IF(M1848="","",IF(M1848&lt;0,-M1848&amp;"_"&amp;COUNTIF(M$2:M1848,M1848),M1848&amp;"_"&amp;COUNTIF(M$2:M1848,M1848)))</f>
        <v>7456.23_1</v>
      </c>
      <c r="O1848" s="17" t="str">
        <f t="shared" si="28"/>
        <v/>
      </c>
      <c r="P1848" s="13" t="s">
        <v>3875</v>
      </c>
      <c r="Q1848" s="13" t="s">
        <v>3873</v>
      </c>
      <c r="R1848" s="13" t="s">
        <v>0</v>
      </c>
      <c r="S1848" s="13" t="s">
        <v>0</v>
      </c>
      <c r="T1848" s="13" t="s">
        <v>9</v>
      </c>
      <c r="U1848" s="13" t="s">
        <v>0</v>
      </c>
      <c r="V1848" s="13" t="s">
        <v>0</v>
      </c>
      <c r="W1848" s="13" t="s">
        <v>0</v>
      </c>
      <c r="X1848" s="13" t="s">
        <v>0</v>
      </c>
      <c r="Y1848" s="13" t="s">
        <v>10</v>
      </c>
      <c r="Z1848" s="13" t="s">
        <v>0</v>
      </c>
      <c r="AA1848" s="14"/>
      <c r="AB1848" s="13" t="s">
        <v>0</v>
      </c>
      <c r="AC1848" s="13" t="s">
        <v>0</v>
      </c>
      <c r="AD1848" s="13" t="s">
        <v>0</v>
      </c>
      <c r="AE1848" s="15">
        <v>0</v>
      </c>
    </row>
    <row r="1849" spans="1:31" ht="14.15" customHeight="1" x14ac:dyDescent="0.25">
      <c r="A1849" s="12" t="s">
        <v>0</v>
      </c>
      <c r="B1849" s="13" t="s">
        <v>1</v>
      </c>
      <c r="C1849" s="13" t="s">
        <v>3159</v>
      </c>
      <c r="D1849" s="14">
        <v>44297</v>
      </c>
      <c r="E1849" s="14">
        <v>44297</v>
      </c>
      <c r="F1849" s="14">
        <v>44308</v>
      </c>
      <c r="G1849" s="13" t="s">
        <v>3</v>
      </c>
      <c r="H1849" s="13" t="s">
        <v>4</v>
      </c>
      <c r="I1849" s="15">
        <v>-7447.54</v>
      </c>
      <c r="J1849" s="13" t="s">
        <v>5</v>
      </c>
      <c r="K1849" s="13" t="s">
        <v>6</v>
      </c>
      <c r="L1849" s="15">
        <v>-625220.96</v>
      </c>
      <c r="M1849" s="15">
        <v>-7447.54</v>
      </c>
      <c r="N1849" s="16" t="str">
        <f>IF(M1849="","",IF(M1849&lt;0,-M1849&amp;"_"&amp;COUNTIF(M$2:M1849,M1849),M1849&amp;"_"&amp;COUNTIF(M$2:M1849,M1849)))</f>
        <v>7447.54_1</v>
      </c>
      <c r="O1849" s="17" t="str">
        <f t="shared" si="28"/>
        <v/>
      </c>
      <c r="P1849" s="13" t="s">
        <v>3160</v>
      </c>
      <c r="Q1849" s="13" t="s">
        <v>3152</v>
      </c>
      <c r="R1849" s="13" t="s">
        <v>0</v>
      </c>
      <c r="S1849" s="13" t="s">
        <v>0</v>
      </c>
      <c r="T1849" s="13" t="s">
        <v>9</v>
      </c>
      <c r="U1849" s="13" t="s">
        <v>0</v>
      </c>
      <c r="V1849" s="13" t="s">
        <v>0</v>
      </c>
      <c r="W1849" s="13" t="s">
        <v>0</v>
      </c>
      <c r="X1849" s="13" t="s">
        <v>0</v>
      </c>
      <c r="Y1849" s="13" t="s">
        <v>10</v>
      </c>
      <c r="Z1849" s="13" t="s">
        <v>0</v>
      </c>
      <c r="AA1849" s="14"/>
      <c r="AB1849" s="13" t="s">
        <v>0</v>
      </c>
      <c r="AC1849" s="13" t="s">
        <v>0</v>
      </c>
      <c r="AD1849" s="13" t="s">
        <v>0</v>
      </c>
      <c r="AE1849" s="15">
        <v>0</v>
      </c>
    </row>
    <row r="1850" spans="1:31" ht="14.15" customHeight="1" x14ac:dyDescent="0.25">
      <c r="A1850" s="12" t="s">
        <v>0</v>
      </c>
      <c r="B1850" s="13" t="s">
        <v>1</v>
      </c>
      <c r="C1850" s="13" t="s">
        <v>1933</v>
      </c>
      <c r="D1850" s="14">
        <v>44192</v>
      </c>
      <c r="E1850" s="14">
        <v>44192</v>
      </c>
      <c r="F1850" s="14">
        <v>44196</v>
      </c>
      <c r="G1850" s="13" t="s">
        <v>3</v>
      </c>
      <c r="H1850" s="13" t="s">
        <v>4</v>
      </c>
      <c r="I1850" s="15">
        <v>-7442.01</v>
      </c>
      <c r="J1850" s="13" t="s">
        <v>5</v>
      </c>
      <c r="K1850" s="13" t="s">
        <v>6</v>
      </c>
      <c r="L1850" s="15">
        <v>-624756.75</v>
      </c>
      <c r="M1850" s="15">
        <v>-7442.01</v>
      </c>
      <c r="N1850" s="16" t="str">
        <f>IF(M1850="","",IF(M1850&lt;0,-M1850&amp;"_"&amp;COUNTIF(M$2:M1850,M1850),M1850&amp;"_"&amp;COUNTIF(M$2:M1850,M1850)))</f>
        <v>7442.01_1</v>
      </c>
      <c r="O1850" s="17" t="str">
        <f t="shared" si="28"/>
        <v/>
      </c>
      <c r="P1850" s="13" t="s">
        <v>1934</v>
      </c>
      <c r="Q1850" s="13" t="s">
        <v>1932</v>
      </c>
      <c r="R1850" s="13" t="s">
        <v>0</v>
      </c>
      <c r="S1850" s="13" t="s">
        <v>0</v>
      </c>
      <c r="T1850" s="13" t="s">
        <v>9</v>
      </c>
      <c r="U1850" s="13" t="s">
        <v>0</v>
      </c>
      <c r="V1850" s="13" t="s">
        <v>0</v>
      </c>
      <c r="W1850" s="13" t="s">
        <v>0</v>
      </c>
      <c r="X1850" s="13" t="s">
        <v>0</v>
      </c>
      <c r="Y1850" s="13" t="s">
        <v>10</v>
      </c>
      <c r="Z1850" s="13" t="s">
        <v>0</v>
      </c>
      <c r="AA1850" s="14"/>
      <c r="AB1850" s="13" t="s">
        <v>0</v>
      </c>
      <c r="AC1850" s="13" t="s">
        <v>0</v>
      </c>
      <c r="AD1850" s="13" t="s">
        <v>0</v>
      </c>
      <c r="AE1850" s="15">
        <v>0</v>
      </c>
    </row>
    <row r="1851" spans="1:31" ht="14.15" customHeight="1" x14ac:dyDescent="0.25">
      <c r="A1851" s="12" t="s">
        <v>0</v>
      </c>
      <c r="B1851" s="13" t="s">
        <v>1</v>
      </c>
      <c r="C1851" s="13" t="s">
        <v>1341</v>
      </c>
      <c r="D1851" s="14">
        <v>44150</v>
      </c>
      <c r="E1851" s="14">
        <v>44150</v>
      </c>
      <c r="F1851" s="14">
        <v>44154</v>
      </c>
      <c r="G1851" s="13" t="s">
        <v>3</v>
      </c>
      <c r="H1851" s="13" t="s">
        <v>4</v>
      </c>
      <c r="I1851" s="15">
        <v>-7437.11</v>
      </c>
      <c r="J1851" s="13" t="s">
        <v>5</v>
      </c>
      <c r="K1851" s="13" t="s">
        <v>6</v>
      </c>
      <c r="L1851" s="15">
        <v>-624345.38</v>
      </c>
      <c r="M1851" s="15">
        <v>-7437.11</v>
      </c>
      <c r="N1851" s="16" t="str">
        <f>IF(M1851="","",IF(M1851&lt;0,-M1851&amp;"_"&amp;COUNTIF(M$2:M1851,M1851),M1851&amp;"_"&amp;COUNTIF(M$2:M1851,M1851)))</f>
        <v>7437.11_1</v>
      </c>
      <c r="O1851" s="17" t="str">
        <f t="shared" si="28"/>
        <v/>
      </c>
      <c r="P1851" s="13" t="s">
        <v>1342</v>
      </c>
      <c r="Q1851" s="13" t="s">
        <v>1338</v>
      </c>
      <c r="R1851" s="13" t="s">
        <v>0</v>
      </c>
      <c r="S1851" s="13" t="s">
        <v>0</v>
      </c>
      <c r="T1851" s="13" t="s">
        <v>9</v>
      </c>
      <c r="U1851" s="13" t="s">
        <v>0</v>
      </c>
      <c r="V1851" s="13" t="s">
        <v>0</v>
      </c>
      <c r="W1851" s="13" t="s">
        <v>0</v>
      </c>
      <c r="X1851" s="13" t="s">
        <v>0</v>
      </c>
      <c r="Y1851" s="13" t="s">
        <v>10</v>
      </c>
      <c r="Z1851" s="13" t="s">
        <v>0</v>
      </c>
      <c r="AA1851" s="14"/>
      <c r="AB1851" s="13" t="s">
        <v>0</v>
      </c>
      <c r="AC1851" s="13" t="s">
        <v>0</v>
      </c>
      <c r="AD1851" s="13" t="s">
        <v>0</v>
      </c>
      <c r="AE1851" s="15">
        <v>0</v>
      </c>
    </row>
    <row r="1852" spans="1:31" ht="14.15" customHeight="1" x14ac:dyDescent="0.25">
      <c r="A1852" s="12" t="s">
        <v>0</v>
      </c>
      <c r="B1852" s="13" t="s">
        <v>1</v>
      </c>
      <c r="C1852" s="13" t="s">
        <v>2535</v>
      </c>
      <c r="D1852" s="14">
        <v>44238</v>
      </c>
      <c r="E1852" s="14">
        <v>44238</v>
      </c>
      <c r="F1852" s="14">
        <v>44243</v>
      </c>
      <c r="G1852" s="13" t="s">
        <v>3</v>
      </c>
      <c r="H1852" s="13" t="s">
        <v>4</v>
      </c>
      <c r="I1852" s="15">
        <v>-7415.6</v>
      </c>
      <c r="J1852" s="13" t="s">
        <v>5</v>
      </c>
      <c r="K1852" s="13" t="s">
        <v>6</v>
      </c>
      <c r="L1852" s="15">
        <v>-622539.62</v>
      </c>
      <c r="M1852" s="15">
        <v>-7415.6</v>
      </c>
      <c r="N1852" s="16" t="str">
        <f>IF(M1852="","",IF(M1852&lt;0,-M1852&amp;"_"&amp;COUNTIF(M$2:M1852,M1852),M1852&amp;"_"&amp;COUNTIF(M$2:M1852,M1852)))</f>
        <v>7415.6_1</v>
      </c>
      <c r="O1852" s="17" t="str">
        <f t="shared" si="28"/>
        <v/>
      </c>
      <c r="P1852" s="13" t="s">
        <v>2536</v>
      </c>
      <c r="Q1852" s="13" t="s">
        <v>2528</v>
      </c>
      <c r="R1852" s="13" t="s">
        <v>0</v>
      </c>
      <c r="S1852" s="13" t="s">
        <v>0</v>
      </c>
      <c r="T1852" s="13" t="s">
        <v>9</v>
      </c>
      <c r="U1852" s="13" t="s">
        <v>0</v>
      </c>
      <c r="V1852" s="13" t="s">
        <v>0</v>
      </c>
      <c r="W1852" s="13" t="s">
        <v>0</v>
      </c>
      <c r="X1852" s="13" t="s">
        <v>0</v>
      </c>
      <c r="Y1852" s="13" t="s">
        <v>10</v>
      </c>
      <c r="Z1852" s="13" t="s">
        <v>0</v>
      </c>
      <c r="AA1852" s="14"/>
      <c r="AB1852" s="13" t="s">
        <v>0</v>
      </c>
      <c r="AC1852" s="13" t="s">
        <v>0</v>
      </c>
      <c r="AD1852" s="13" t="s">
        <v>0</v>
      </c>
      <c r="AE1852" s="15">
        <v>0</v>
      </c>
    </row>
    <row r="1853" spans="1:31" ht="14.15" customHeight="1" x14ac:dyDescent="0.25">
      <c r="A1853" s="12" t="s">
        <v>0</v>
      </c>
      <c r="B1853" s="13" t="s">
        <v>1</v>
      </c>
      <c r="C1853" s="13" t="s">
        <v>4201</v>
      </c>
      <c r="D1853" s="14">
        <v>44364</v>
      </c>
      <c r="E1853" s="14">
        <v>44364</v>
      </c>
      <c r="F1853" s="14">
        <v>44371</v>
      </c>
      <c r="G1853" s="13" t="s">
        <v>3</v>
      </c>
      <c r="H1853" s="13" t="s">
        <v>4</v>
      </c>
      <c r="I1853" s="15">
        <v>-7412.35</v>
      </c>
      <c r="J1853" s="13" t="s">
        <v>5</v>
      </c>
      <c r="K1853" s="13" t="s">
        <v>6</v>
      </c>
      <c r="L1853" s="15">
        <v>-622266.78</v>
      </c>
      <c r="M1853" s="15">
        <v>-7412.35</v>
      </c>
      <c r="N1853" s="16" t="str">
        <f>IF(M1853="","",IF(M1853&lt;0,-M1853&amp;"_"&amp;COUNTIF(M$2:M1853,M1853),M1853&amp;"_"&amp;COUNTIF(M$2:M1853,M1853)))</f>
        <v>7412.35_1</v>
      </c>
      <c r="O1853" s="17" t="str">
        <f t="shared" si="28"/>
        <v/>
      </c>
      <c r="P1853" s="13" t="s">
        <v>4202</v>
      </c>
      <c r="Q1853" s="13" t="s">
        <v>4180</v>
      </c>
      <c r="R1853" s="13" t="s">
        <v>0</v>
      </c>
      <c r="S1853" s="13" t="s">
        <v>0</v>
      </c>
      <c r="T1853" s="13" t="s">
        <v>9</v>
      </c>
      <c r="U1853" s="13" t="s">
        <v>0</v>
      </c>
      <c r="V1853" s="13" t="s">
        <v>0</v>
      </c>
      <c r="W1853" s="13" t="s">
        <v>0</v>
      </c>
      <c r="X1853" s="13" t="s">
        <v>0</v>
      </c>
      <c r="Y1853" s="13" t="s">
        <v>10</v>
      </c>
      <c r="Z1853" s="13" t="s">
        <v>0</v>
      </c>
      <c r="AA1853" s="14"/>
      <c r="AB1853" s="13" t="s">
        <v>0</v>
      </c>
      <c r="AC1853" s="13" t="s">
        <v>0</v>
      </c>
      <c r="AD1853" s="13" t="s">
        <v>0</v>
      </c>
      <c r="AE1853" s="15">
        <v>0</v>
      </c>
    </row>
    <row r="1854" spans="1:31" ht="14.15" customHeight="1" x14ac:dyDescent="0.25">
      <c r="A1854" s="12" t="s">
        <v>0</v>
      </c>
      <c r="B1854" s="13" t="s">
        <v>1</v>
      </c>
      <c r="C1854" s="13" t="s">
        <v>1893</v>
      </c>
      <c r="D1854" s="14">
        <v>44189</v>
      </c>
      <c r="E1854" s="14">
        <v>44189</v>
      </c>
      <c r="F1854" s="14">
        <v>44194</v>
      </c>
      <c r="G1854" s="13" t="s">
        <v>3</v>
      </c>
      <c r="H1854" s="13" t="s">
        <v>4</v>
      </c>
      <c r="I1854" s="15">
        <v>-7406.67</v>
      </c>
      <c r="J1854" s="13" t="s">
        <v>5</v>
      </c>
      <c r="K1854" s="13" t="s">
        <v>6</v>
      </c>
      <c r="L1854" s="15">
        <v>-621789.94999999995</v>
      </c>
      <c r="M1854" s="15">
        <v>-7406.67</v>
      </c>
      <c r="N1854" s="16" t="str">
        <f>IF(M1854="","",IF(M1854&lt;0,-M1854&amp;"_"&amp;COUNTIF(M$2:M1854,M1854),M1854&amp;"_"&amp;COUNTIF(M$2:M1854,M1854)))</f>
        <v>7406.67_1</v>
      </c>
      <c r="O1854" s="17" t="str">
        <f t="shared" si="28"/>
        <v/>
      </c>
      <c r="P1854" s="13" t="s">
        <v>1894</v>
      </c>
      <c r="Q1854" s="13" t="s">
        <v>1886</v>
      </c>
      <c r="R1854" s="13" t="s">
        <v>0</v>
      </c>
      <c r="S1854" s="13" t="s">
        <v>0</v>
      </c>
      <c r="T1854" s="13" t="s">
        <v>9</v>
      </c>
      <c r="U1854" s="13" t="s">
        <v>0</v>
      </c>
      <c r="V1854" s="13" t="s">
        <v>0</v>
      </c>
      <c r="W1854" s="13" t="s">
        <v>0</v>
      </c>
      <c r="X1854" s="13" t="s">
        <v>0</v>
      </c>
      <c r="Y1854" s="13" t="s">
        <v>10</v>
      </c>
      <c r="Z1854" s="13" t="s">
        <v>0</v>
      </c>
      <c r="AA1854" s="14"/>
      <c r="AB1854" s="13" t="s">
        <v>0</v>
      </c>
      <c r="AC1854" s="13" t="s">
        <v>0</v>
      </c>
      <c r="AD1854" s="13" t="s">
        <v>0</v>
      </c>
      <c r="AE1854" s="15">
        <v>0</v>
      </c>
    </row>
    <row r="1855" spans="1:31" ht="14.15" customHeight="1" x14ac:dyDescent="0.25">
      <c r="A1855" s="12" t="s">
        <v>0</v>
      </c>
      <c r="B1855" s="13" t="s">
        <v>1</v>
      </c>
      <c r="C1855" s="13" t="s">
        <v>1705</v>
      </c>
      <c r="D1855" s="14">
        <v>44174</v>
      </c>
      <c r="E1855" s="14">
        <v>44174</v>
      </c>
      <c r="F1855" s="14">
        <v>44185</v>
      </c>
      <c r="G1855" s="13" t="s">
        <v>3</v>
      </c>
      <c r="H1855" s="13" t="s">
        <v>4</v>
      </c>
      <c r="I1855" s="15">
        <v>-7405.68</v>
      </c>
      <c r="J1855" s="13" t="s">
        <v>5</v>
      </c>
      <c r="K1855" s="13" t="s">
        <v>6</v>
      </c>
      <c r="L1855" s="15">
        <v>-621706.84</v>
      </c>
      <c r="M1855" s="15">
        <v>-7405.68</v>
      </c>
      <c r="N1855" s="16" t="str">
        <f>IF(M1855="","",IF(M1855&lt;0,-M1855&amp;"_"&amp;COUNTIF(M$2:M1855,M1855),M1855&amp;"_"&amp;COUNTIF(M$2:M1855,M1855)))</f>
        <v>7405.68_1</v>
      </c>
      <c r="O1855" s="17" t="str">
        <f t="shared" si="28"/>
        <v/>
      </c>
      <c r="P1855" s="13" t="s">
        <v>1706</v>
      </c>
      <c r="Q1855" s="13" t="s">
        <v>1704</v>
      </c>
      <c r="R1855" s="13" t="s">
        <v>0</v>
      </c>
      <c r="S1855" s="13" t="s">
        <v>0</v>
      </c>
      <c r="T1855" s="13" t="s">
        <v>9</v>
      </c>
      <c r="U1855" s="13" t="s">
        <v>0</v>
      </c>
      <c r="V1855" s="13" t="s">
        <v>0</v>
      </c>
      <c r="W1855" s="13" t="s">
        <v>0</v>
      </c>
      <c r="X1855" s="13" t="s">
        <v>0</v>
      </c>
      <c r="Y1855" s="13" t="s">
        <v>10</v>
      </c>
      <c r="Z1855" s="13" t="s">
        <v>0</v>
      </c>
      <c r="AA1855" s="14"/>
      <c r="AB1855" s="13" t="s">
        <v>0</v>
      </c>
      <c r="AC1855" s="13" t="s">
        <v>0</v>
      </c>
      <c r="AD1855" s="13" t="s">
        <v>0</v>
      </c>
      <c r="AE1855" s="15">
        <v>0</v>
      </c>
    </row>
    <row r="1856" spans="1:31" ht="14.15" customHeight="1" x14ac:dyDescent="0.25">
      <c r="A1856" s="12" t="s">
        <v>0</v>
      </c>
      <c r="B1856" s="13" t="s">
        <v>1</v>
      </c>
      <c r="C1856" s="13" t="s">
        <v>3299</v>
      </c>
      <c r="D1856" s="14">
        <v>44314</v>
      </c>
      <c r="E1856" s="14">
        <v>44314</v>
      </c>
      <c r="F1856" s="14">
        <v>44322</v>
      </c>
      <c r="G1856" s="13" t="s">
        <v>3</v>
      </c>
      <c r="H1856" s="13" t="s">
        <v>4</v>
      </c>
      <c r="I1856" s="15">
        <v>-7390.36</v>
      </c>
      <c r="J1856" s="13" t="s">
        <v>5</v>
      </c>
      <c r="K1856" s="13" t="s">
        <v>6</v>
      </c>
      <c r="L1856" s="15">
        <v>-620420.72</v>
      </c>
      <c r="M1856" s="15">
        <v>-7390.36</v>
      </c>
      <c r="N1856" s="16" t="str">
        <f>IF(M1856="","",IF(M1856&lt;0,-M1856&amp;"_"&amp;COUNTIF(M$2:M1856,M1856),M1856&amp;"_"&amp;COUNTIF(M$2:M1856,M1856)))</f>
        <v>7390.36_1</v>
      </c>
      <c r="O1856" s="17" t="str">
        <f t="shared" si="28"/>
        <v/>
      </c>
      <c r="P1856" s="13" t="s">
        <v>3300</v>
      </c>
      <c r="Q1856" s="13" t="s">
        <v>3284</v>
      </c>
      <c r="R1856" s="13" t="s">
        <v>0</v>
      </c>
      <c r="S1856" s="13" t="s">
        <v>0</v>
      </c>
      <c r="T1856" s="13" t="s">
        <v>9</v>
      </c>
      <c r="U1856" s="13" t="s">
        <v>0</v>
      </c>
      <c r="V1856" s="13" t="s">
        <v>0</v>
      </c>
      <c r="W1856" s="13" t="s">
        <v>0</v>
      </c>
      <c r="X1856" s="13" t="s">
        <v>0</v>
      </c>
      <c r="Y1856" s="13" t="s">
        <v>10</v>
      </c>
      <c r="Z1856" s="13" t="s">
        <v>0</v>
      </c>
      <c r="AA1856" s="14"/>
      <c r="AB1856" s="13" t="s">
        <v>0</v>
      </c>
      <c r="AC1856" s="13" t="s">
        <v>0</v>
      </c>
      <c r="AD1856" s="13" t="s">
        <v>0</v>
      </c>
      <c r="AE1856" s="15">
        <v>0</v>
      </c>
    </row>
    <row r="1857" spans="1:31" ht="14.15" customHeight="1" x14ac:dyDescent="0.25">
      <c r="A1857" s="12" t="s">
        <v>0</v>
      </c>
      <c r="B1857" s="13" t="s">
        <v>1</v>
      </c>
      <c r="C1857" s="13" t="s">
        <v>3876</v>
      </c>
      <c r="D1857" s="14">
        <v>44352</v>
      </c>
      <c r="E1857" s="14">
        <v>44352</v>
      </c>
      <c r="F1857" s="14">
        <v>44356</v>
      </c>
      <c r="G1857" s="13" t="s">
        <v>3</v>
      </c>
      <c r="H1857" s="13" t="s">
        <v>4</v>
      </c>
      <c r="I1857" s="15">
        <v>-7379.37</v>
      </c>
      <c r="J1857" s="13" t="s">
        <v>5</v>
      </c>
      <c r="K1857" s="13" t="s">
        <v>6</v>
      </c>
      <c r="L1857" s="15">
        <v>-619498.11</v>
      </c>
      <c r="M1857" s="15">
        <v>-7379.37</v>
      </c>
      <c r="N1857" s="16" t="str">
        <f>IF(M1857="","",IF(M1857&lt;0,-M1857&amp;"_"&amp;COUNTIF(M$2:M1857,M1857),M1857&amp;"_"&amp;COUNTIF(M$2:M1857,M1857)))</f>
        <v>7379.37_1</v>
      </c>
      <c r="O1857" s="17" t="str">
        <f t="shared" si="28"/>
        <v/>
      </c>
      <c r="P1857" s="13" t="s">
        <v>3877</v>
      </c>
      <c r="Q1857" s="13" t="s">
        <v>3873</v>
      </c>
      <c r="R1857" s="13" t="s">
        <v>0</v>
      </c>
      <c r="S1857" s="13" t="s">
        <v>0</v>
      </c>
      <c r="T1857" s="13" t="s">
        <v>9</v>
      </c>
      <c r="U1857" s="13" t="s">
        <v>0</v>
      </c>
      <c r="V1857" s="13" t="s">
        <v>0</v>
      </c>
      <c r="W1857" s="13" t="s">
        <v>0</v>
      </c>
      <c r="X1857" s="13" t="s">
        <v>0</v>
      </c>
      <c r="Y1857" s="13" t="s">
        <v>10</v>
      </c>
      <c r="Z1857" s="13" t="s">
        <v>0</v>
      </c>
      <c r="AA1857" s="14"/>
      <c r="AB1857" s="13" t="s">
        <v>0</v>
      </c>
      <c r="AC1857" s="13" t="s">
        <v>0</v>
      </c>
      <c r="AD1857" s="13" t="s">
        <v>0</v>
      </c>
      <c r="AE1857" s="15">
        <v>0</v>
      </c>
    </row>
    <row r="1858" spans="1:31" ht="14.15" customHeight="1" x14ac:dyDescent="0.25">
      <c r="A1858" s="12" t="s">
        <v>0</v>
      </c>
      <c r="B1858" s="13" t="s">
        <v>1</v>
      </c>
      <c r="C1858" s="13" t="s">
        <v>1819</v>
      </c>
      <c r="D1858" s="14">
        <v>44183</v>
      </c>
      <c r="E1858" s="14">
        <v>44183</v>
      </c>
      <c r="F1858" s="14">
        <v>44188</v>
      </c>
      <c r="G1858" s="13" t="s">
        <v>3</v>
      </c>
      <c r="H1858" s="13" t="s">
        <v>4</v>
      </c>
      <c r="I1858" s="15">
        <v>-7376.74</v>
      </c>
      <c r="J1858" s="13" t="s">
        <v>5</v>
      </c>
      <c r="K1858" s="13" t="s">
        <v>6</v>
      </c>
      <c r="L1858" s="15">
        <v>-619277.31999999995</v>
      </c>
      <c r="M1858" s="15">
        <v>-7376.74</v>
      </c>
      <c r="N1858" s="16" t="str">
        <f>IF(M1858="","",IF(M1858&lt;0,-M1858&amp;"_"&amp;COUNTIF(M$2:M1858,M1858),M1858&amp;"_"&amp;COUNTIF(M$2:M1858,M1858)))</f>
        <v>7376.74_1</v>
      </c>
      <c r="O1858" s="17" t="str">
        <f t="shared" ref="O1858:O1921" si="29">IF(COUNTIF(N:N,N1858)=2,"x","")</f>
        <v/>
      </c>
      <c r="P1858" s="13" t="s">
        <v>1820</v>
      </c>
      <c r="Q1858" s="13" t="s">
        <v>1792</v>
      </c>
      <c r="R1858" s="13" t="s">
        <v>0</v>
      </c>
      <c r="S1858" s="13" t="s">
        <v>0</v>
      </c>
      <c r="T1858" s="13" t="s">
        <v>9</v>
      </c>
      <c r="U1858" s="13" t="s">
        <v>0</v>
      </c>
      <c r="V1858" s="13" t="s">
        <v>0</v>
      </c>
      <c r="W1858" s="13" t="s">
        <v>0</v>
      </c>
      <c r="X1858" s="13" t="s">
        <v>0</v>
      </c>
      <c r="Y1858" s="13" t="s">
        <v>10</v>
      </c>
      <c r="Z1858" s="13" t="s">
        <v>0</v>
      </c>
      <c r="AA1858" s="14"/>
      <c r="AB1858" s="13" t="s">
        <v>0</v>
      </c>
      <c r="AC1858" s="13" t="s">
        <v>0</v>
      </c>
      <c r="AD1858" s="13" t="s">
        <v>0</v>
      </c>
      <c r="AE1858" s="15">
        <v>0</v>
      </c>
    </row>
    <row r="1859" spans="1:31" ht="14.15" customHeight="1" x14ac:dyDescent="0.25">
      <c r="A1859" s="12" t="s">
        <v>0</v>
      </c>
      <c r="B1859" s="13" t="s">
        <v>1</v>
      </c>
      <c r="C1859" s="13" t="s">
        <v>1580</v>
      </c>
      <c r="D1859" s="14">
        <v>44166</v>
      </c>
      <c r="E1859" s="14">
        <v>44166</v>
      </c>
      <c r="F1859" s="14">
        <v>44174</v>
      </c>
      <c r="G1859" s="13" t="s">
        <v>3</v>
      </c>
      <c r="H1859" s="13" t="s">
        <v>4</v>
      </c>
      <c r="I1859" s="15">
        <v>-7365.71</v>
      </c>
      <c r="J1859" s="13" t="s">
        <v>5</v>
      </c>
      <c r="K1859" s="13" t="s">
        <v>6</v>
      </c>
      <c r="L1859" s="15">
        <v>-618351.35</v>
      </c>
      <c r="M1859" s="15">
        <v>-7365.71</v>
      </c>
      <c r="N1859" s="16" t="str">
        <f>IF(M1859="","",IF(M1859&lt;0,-M1859&amp;"_"&amp;COUNTIF(M$2:M1859,M1859),M1859&amp;"_"&amp;COUNTIF(M$2:M1859,M1859)))</f>
        <v>7365.71_1</v>
      </c>
      <c r="O1859" s="17" t="str">
        <f t="shared" si="29"/>
        <v/>
      </c>
      <c r="P1859" s="13" t="s">
        <v>1581</v>
      </c>
      <c r="Q1859" s="13" t="s">
        <v>1579</v>
      </c>
      <c r="R1859" s="13" t="s">
        <v>0</v>
      </c>
      <c r="S1859" s="13" t="s">
        <v>0</v>
      </c>
      <c r="T1859" s="13" t="s">
        <v>9</v>
      </c>
      <c r="U1859" s="13" t="s">
        <v>0</v>
      </c>
      <c r="V1859" s="13" t="s">
        <v>0</v>
      </c>
      <c r="W1859" s="13" t="s">
        <v>0</v>
      </c>
      <c r="X1859" s="13" t="s">
        <v>0</v>
      </c>
      <c r="Y1859" s="13" t="s">
        <v>10</v>
      </c>
      <c r="Z1859" s="13" t="s">
        <v>0</v>
      </c>
      <c r="AA1859" s="14"/>
      <c r="AB1859" s="13" t="s">
        <v>0</v>
      </c>
      <c r="AC1859" s="13" t="s">
        <v>0</v>
      </c>
      <c r="AD1859" s="13" t="s">
        <v>0</v>
      </c>
      <c r="AE1859" s="15">
        <v>0</v>
      </c>
    </row>
    <row r="1860" spans="1:31" ht="14.15" customHeight="1" x14ac:dyDescent="0.25">
      <c r="A1860" s="12" t="s">
        <v>0</v>
      </c>
      <c r="B1860" s="13" t="s">
        <v>1</v>
      </c>
      <c r="C1860" s="13" t="s">
        <v>2172</v>
      </c>
      <c r="D1860" s="14">
        <v>44209</v>
      </c>
      <c r="E1860" s="14">
        <v>44209</v>
      </c>
      <c r="F1860" s="14">
        <v>44228</v>
      </c>
      <c r="G1860" s="13" t="s">
        <v>3</v>
      </c>
      <c r="H1860" s="13" t="s">
        <v>4</v>
      </c>
      <c r="I1860" s="15">
        <v>-7362.87</v>
      </c>
      <c r="J1860" s="13" t="s">
        <v>5</v>
      </c>
      <c r="K1860" s="13" t="s">
        <v>6</v>
      </c>
      <c r="L1860" s="15">
        <v>-618112.93999999994</v>
      </c>
      <c r="M1860" s="15">
        <v>-7362.87</v>
      </c>
      <c r="N1860" s="16" t="str">
        <f>IF(M1860="","",IF(M1860&lt;0,-M1860&amp;"_"&amp;COUNTIF(M$2:M1860,M1860),M1860&amp;"_"&amp;COUNTIF(M$2:M1860,M1860)))</f>
        <v>7362.87_1</v>
      </c>
      <c r="O1860" s="17" t="str">
        <f t="shared" si="29"/>
        <v/>
      </c>
      <c r="P1860" s="13" t="s">
        <v>2173</v>
      </c>
      <c r="Q1860" s="13" t="s">
        <v>2159</v>
      </c>
      <c r="R1860" s="13" t="s">
        <v>0</v>
      </c>
      <c r="S1860" s="13" t="s">
        <v>0</v>
      </c>
      <c r="T1860" s="13" t="s">
        <v>9</v>
      </c>
      <c r="U1860" s="13" t="s">
        <v>0</v>
      </c>
      <c r="V1860" s="13" t="s">
        <v>0</v>
      </c>
      <c r="W1860" s="13" t="s">
        <v>0</v>
      </c>
      <c r="X1860" s="13" t="s">
        <v>0</v>
      </c>
      <c r="Y1860" s="13" t="s">
        <v>10</v>
      </c>
      <c r="Z1860" s="13" t="s">
        <v>0</v>
      </c>
      <c r="AA1860" s="14"/>
      <c r="AB1860" s="13" t="s">
        <v>0</v>
      </c>
      <c r="AC1860" s="13" t="s">
        <v>0</v>
      </c>
      <c r="AD1860" s="13" t="s">
        <v>0</v>
      </c>
      <c r="AE1860" s="15">
        <v>0</v>
      </c>
    </row>
    <row r="1861" spans="1:31" ht="14.15" customHeight="1" x14ac:dyDescent="0.25">
      <c r="A1861" s="12" t="s">
        <v>0</v>
      </c>
      <c r="B1861" s="13" t="s">
        <v>1</v>
      </c>
      <c r="C1861" s="13" t="s">
        <v>3029</v>
      </c>
      <c r="D1861" s="14">
        <v>44281</v>
      </c>
      <c r="E1861" s="14">
        <v>44281</v>
      </c>
      <c r="F1861" s="14">
        <v>44290</v>
      </c>
      <c r="G1861" s="13" t="s">
        <v>3</v>
      </c>
      <c r="H1861" s="13" t="s">
        <v>4</v>
      </c>
      <c r="I1861" s="15">
        <v>-7361.65</v>
      </c>
      <c r="J1861" s="13" t="s">
        <v>5</v>
      </c>
      <c r="K1861" s="13" t="s">
        <v>6</v>
      </c>
      <c r="L1861" s="15">
        <v>-618010.52</v>
      </c>
      <c r="M1861" s="15">
        <v>-7361.65</v>
      </c>
      <c r="N1861" s="16" t="str">
        <f>IF(M1861="","",IF(M1861&lt;0,-M1861&amp;"_"&amp;COUNTIF(M$2:M1861,M1861),M1861&amp;"_"&amp;COUNTIF(M$2:M1861,M1861)))</f>
        <v>7361.65_1</v>
      </c>
      <c r="O1861" s="17" t="str">
        <f t="shared" si="29"/>
        <v/>
      </c>
      <c r="P1861" s="13" t="s">
        <v>3030</v>
      </c>
      <c r="Q1861" s="13" t="s">
        <v>3014</v>
      </c>
      <c r="R1861" s="13" t="s">
        <v>0</v>
      </c>
      <c r="S1861" s="13" t="s">
        <v>0</v>
      </c>
      <c r="T1861" s="13" t="s">
        <v>9</v>
      </c>
      <c r="U1861" s="13" t="s">
        <v>0</v>
      </c>
      <c r="V1861" s="13" t="s">
        <v>0</v>
      </c>
      <c r="W1861" s="13" t="s">
        <v>0</v>
      </c>
      <c r="X1861" s="13" t="s">
        <v>0</v>
      </c>
      <c r="Y1861" s="13" t="s">
        <v>10</v>
      </c>
      <c r="Z1861" s="13" t="s">
        <v>0</v>
      </c>
      <c r="AA1861" s="14"/>
      <c r="AB1861" s="13" t="s">
        <v>0</v>
      </c>
      <c r="AC1861" s="13" t="s">
        <v>0</v>
      </c>
      <c r="AD1861" s="13" t="s">
        <v>0</v>
      </c>
      <c r="AE1861" s="15">
        <v>0</v>
      </c>
    </row>
    <row r="1862" spans="1:31" ht="14.15" customHeight="1" x14ac:dyDescent="0.25">
      <c r="A1862" s="12" t="s">
        <v>0</v>
      </c>
      <c r="B1862" s="13" t="s">
        <v>1</v>
      </c>
      <c r="C1862" s="13" t="s">
        <v>1204</v>
      </c>
      <c r="D1862" s="14">
        <v>44140</v>
      </c>
      <c r="E1862" s="14">
        <v>44140</v>
      </c>
      <c r="F1862" s="14">
        <v>44146</v>
      </c>
      <c r="G1862" s="13" t="s">
        <v>3</v>
      </c>
      <c r="H1862" s="13" t="s">
        <v>4</v>
      </c>
      <c r="I1862" s="15">
        <v>-7357.52</v>
      </c>
      <c r="J1862" s="13" t="s">
        <v>5</v>
      </c>
      <c r="K1862" s="13" t="s">
        <v>6</v>
      </c>
      <c r="L1862" s="15">
        <v>-617663.80000000005</v>
      </c>
      <c r="M1862" s="15">
        <v>-7357.52</v>
      </c>
      <c r="N1862" s="16" t="str">
        <f>IF(M1862="","",IF(M1862&lt;0,-M1862&amp;"_"&amp;COUNTIF(M$2:M1862,M1862),M1862&amp;"_"&amp;COUNTIF(M$2:M1862,M1862)))</f>
        <v>7357.52_1</v>
      </c>
      <c r="O1862" s="17" t="str">
        <f t="shared" si="29"/>
        <v/>
      </c>
      <c r="P1862" s="13" t="s">
        <v>1205</v>
      </c>
      <c r="Q1862" s="13" t="s">
        <v>1165</v>
      </c>
      <c r="R1862" s="13" t="s">
        <v>0</v>
      </c>
      <c r="S1862" s="13" t="s">
        <v>0</v>
      </c>
      <c r="T1862" s="13" t="s">
        <v>9</v>
      </c>
      <c r="U1862" s="13" t="s">
        <v>0</v>
      </c>
      <c r="V1862" s="13" t="s">
        <v>0</v>
      </c>
      <c r="W1862" s="13" t="s">
        <v>0</v>
      </c>
      <c r="X1862" s="13" t="s">
        <v>0</v>
      </c>
      <c r="Y1862" s="13" t="s">
        <v>10</v>
      </c>
      <c r="Z1862" s="13" t="s">
        <v>0</v>
      </c>
      <c r="AA1862" s="14"/>
      <c r="AB1862" s="13" t="s">
        <v>0</v>
      </c>
      <c r="AC1862" s="13" t="s">
        <v>0</v>
      </c>
      <c r="AD1862" s="13" t="s">
        <v>0</v>
      </c>
      <c r="AE1862" s="15">
        <v>0</v>
      </c>
    </row>
    <row r="1863" spans="1:31" ht="14.15" customHeight="1" x14ac:dyDescent="0.25">
      <c r="A1863" s="12" t="s">
        <v>0</v>
      </c>
      <c r="B1863" s="13" t="s">
        <v>1</v>
      </c>
      <c r="C1863" s="13" t="s">
        <v>1208</v>
      </c>
      <c r="D1863" s="14">
        <v>44140</v>
      </c>
      <c r="E1863" s="14">
        <v>44140</v>
      </c>
      <c r="F1863" s="14">
        <v>44149</v>
      </c>
      <c r="G1863" s="13" t="s">
        <v>3</v>
      </c>
      <c r="H1863" s="13" t="s">
        <v>4</v>
      </c>
      <c r="I1863" s="15">
        <v>-7343.45</v>
      </c>
      <c r="J1863" s="13" t="s">
        <v>5</v>
      </c>
      <c r="K1863" s="13" t="s">
        <v>6</v>
      </c>
      <c r="L1863" s="15">
        <v>-616482.63</v>
      </c>
      <c r="M1863" s="15">
        <v>-7343.45</v>
      </c>
      <c r="N1863" s="16" t="str">
        <f>IF(M1863="","",IF(M1863&lt;0,-M1863&amp;"_"&amp;COUNTIF(M$2:M1863,M1863),M1863&amp;"_"&amp;COUNTIF(M$2:M1863,M1863)))</f>
        <v>7343.45_1</v>
      </c>
      <c r="O1863" s="17" t="str">
        <f t="shared" si="29"/>
        <v/>
      </c>
      <c r="P1863" s="13" t="s">
        <v>1209</v>
      </c>
      <c r="Q1863" s="13" t="s">
        <v>1165</v>
      </c>
      <c r="R1863" s="13" t="s">
        <v>0</v>
      </c>
      <c r="S1863" s="13" t="s">
        <v>0</v>
      </c>
      <c r="T1863" s="13" t="s">
        <v>9</v>
      </c>
      <c r="U1863" s="13" t="s">
        <v>0</v>
      </c>
      <c r="V1863" s="13" t="s">
        <v>0</v>
      </c>
      <c r="W1863" s="13" t="s">
        <v>0</v>
      </c>
      <c r="X1863" s="13" t="s">
        <v>0</v>
      </c>
      <c r="Y1863" s="13" t="s">
        <v>10</v>
      </c>
      <c r="Z1863" s="13" t="s">
        <v>0</v>
      </c>
      <c r="AA1863" s="14"/>
      <c r="AB1863" s="13" t="s">
        <v>0</v>
      </c>
      <c r="AC1863" s="13" t="s">
        <v>0</v>
      </c>
      <c r="AD1863" s="13" t="s">
        <v>0</v>
      </c>
      <c r="AE1863" s="15">
        <v>0</v>
      </c>
    </row>
    <row r="1864" spans="1:31" ht="14.15" customHeight="1" x14ac:dyDescent="0.25">
      <c r="A1864" s="12" t="s">
        <v>0</v>
      </c>
      <c r="B1864" s="13" t="s">
        <v>1</v>
      </c>
      <c r="C1864" s="13" t="s">
        <v>452</v>
      </c>
      <c r="D1864" s="14">
        <v>44066</v>
      </c>
      <c r="E1864" s="14">
        <v>44066</v>
      </c>
      <c r="F1864" s="14">
        <v>44084</v>
      </c>
      <c r="G1864" s="13" t="s">
        <v>3</v>
      </c>
      <c r="H1864" s="13" t="s">
        <v>4</v>
      </c>
      <c r="I1864" s="15">
        <v>-7342.97</v>
      </c>
      <c r="J1864" s="13" t="s">
        <v>5</v>
      </c>
      <c r="K1864" s="13" t="s">
        <v>6</v>
      </c>
      <c r="L1864" s="15">
        <v>-616442.32999999996</v>
      </c>
      <c r="M1864" s="15">
        <v>-7342.97</v>
      </c>
      <c r="N1864" s="16" t="str">
        <f>IF(M1864="","",IF(M1864&lt;0,-M1864&amp;"_"&amp;COUNTIF(M$2:M1864,M1864),M1864&amp;"_"&amp;COUNTIF(M$2:M1864,M1864)))</f>
        <v>7342.97_1</v>
      </c>
      <c r="O1864" s="17" t="str">
        <f t="shared" si="29"/>
        <v/>
      </c>
      <c r="P1864" s="13" t="s">
        <v>453</v>
      </c>
      <c r="Q1864" s="13" t="s">
        <v>445</v>
      </c>
      <c r="R1864" s="13" t="s">
        <v>0</v>
      </c>
      <c r="S1864" s="13" t="s">
        <v>0</v>
      </c>
      <c r="T1864" s="13" t="s">
        <v>9</v>
      </c>
      <c r="U1864" s="13" t="s">
        <v>0</v>
      </c>
      <c r="V1864" s="13" t="s">
        <v>0</v>
      </c>
      <c r="W1864" s="13" t="s">
        <v>0</v>
      </c>
      <c r="X1864" s="13" t="s">
        <v>0</v>
      </c>
      <c r="Y1864" s="13" t="s">
        <v>10</v>
      </c>
      <c r="Z1864" s="13" t="s">
        <v>0</v>
      </c>
      <c r="AA1864" s="14"/>
      <c r="AB1864" s="13" t="s">
        <v>0</v>
      </c>
      <c r="AC1864" s="13" t="s">
        <v>0</v>
      </c>
      <c r="AD1864" s="13" t="s">
        <v>0</v>
      </c>
      <c r="AE1864" s="15">
        <v>0</v>
      </c>
    </row>
    <row r="1865" spans="1:31" ht="14.15" customHeight="1" x14ac:dyDescent="0.25">
      <c r="A1865" s="12" t="s">
        <v>0</v>
      </c>
      <c r="B1865" s="13" t="s">
        <v>1</v>
      </c>
      <c r="C1865" s="13" t="s">
        <v>1468</v>
      </c>
      <c r="D1865" s="14">
        <v>44160</v>
      </c>
      <c r="E1865" s="14">
        <v>44160</v>
      </c>
      <c r="F1865" s="14">
        <v>44163</v>
      </c>
      <c r="G1865" s="13" t="s">
        <v>3</v>
      </c>
      <c r="H1865" s="13" t="s">
        <v>4</v>
      </c>
      <c r="I1865" s="15">
        <v>-7330</v>
      </c>
      <c r="J1865" s="13" t="s">
        <v>5</v>
      </c>
      <c r="K1865" s="13" t="s">
        <v>6</v>
      </c>
      <c r="L1865" s="15">
        <v>-615353.5</v>
      </c>
      <c r="M1865" s="15">
        <v>-7330</v>
      </c>
      <c r="N1865" s="16" t="str">
        <f>IF(M1865="","",IF(M1865&lt;0,-M1865&amp;"_"&amp;COUNTIF(M$2:M1865,M1865),M1865&amp;"_"&amp;COUNTIF(M$2:M1865,M1865)))</f>
        <v>7330_1</v>
      </c>
      <c r="O1865" s="17" t="str">
        <f t="shared" si="29"/>
        <v/>
      </c>
      <c r="P1865" s="13" t="s">
        <v>1469</v>
      </c>
      <c r="Q1865" s="13" t="s">
        <v>1470</v>
      </c>
      <c r="R1865" s="13" t="s">
        <v>0</v>
      </c>
      <c r="S1865" s="13" t="s">
        <v>0</v>
      </c>
      <c r="T1865" s="13" t="s">
        <v>9</v>
      </c>
      <c r="U1865" s="13" t="s">
        <v>0</v>
      </c>
      <c r="V1865" s="13" t="s">
        <v>0</v>
      </c>
      <c r="W1865" s="13" t="s">
        <v>0</v>
      </c>
      <c r="X1865" s="13" t="s">
        <v>0</v>
      </c>
      <c r="Y1865" s="13" t="s">
        <v>10</v>
      </c>
      <c r="Z1865" s="13" t="s">
        <v>0</v>
      </c>
      <c r="AA1865" s="14"/>
      <c r="AB1865" s="13" t="s">
        <v>0</v>
      </c>
      <c r="AC1865" s="13" t="s">
        <v>0</v>
      </c>
      <c r="AD1865" s="13" t="s">
        <v>0</v>
      </c>
      <c r="AE1865" s="15">
        <v>0</v>
      </c>
    </row>
    <row r="1866" spans="1:31" ht="14.15" customHeight="1" x14ac:dyDescent="0.25">
      <c r="A1866" s="12" t="s">
        <v>0</v>
      </c>
      <c r="B1866" s="13" t="s">
        <v>1</v>
      </c>
      <c r="C1866" s="13" t="s">
        <v>2262</v>
      </c>
      <c r="D1866" s="14">
        <v>44216</v>
      </c>
      <c r="E1866" s="14">
        <v>44216</v>
      </c>
      <c r="F1866" s="14">
        <v>44223</v>
      </c>
      <c r="G1866" s="13" t="s">
        <v>3</v>
      </c>
      <c r="H1866" s="13" t="s">
        <v>4</v>
      </c>
      <c r="I1866" s="15">
        <v>-7329.66</v>
      </c>
      <c r="J1866" s="13" t="s">
        <v>5</v>
      </c>
      <c r="K1866" s="13" t="s">
        <v>6</v>
      </c>
      <c r="L1866" s="15">
        <v>-615324.96</v>
      </c>
      <c r="M1866" s="15">
        <v>-7329.66</v>
      </c>
      <c r="N1866" s="16" t="str">
        <f>IF(M1866="","",IF(M1866&lt;0,-M1866&amp;"_"&amp;COUNTIF(M$2:M1866,M1866),M1866&amp;"_"&amp;COUNTIF(M$2:M1866,M1866)))</f>
        <v>7329.66_1</v>
      </c>
      <c r="O1866" s="17" t="str">
        <f t="shared" si="29"/>
        <v/>
      </c>
      <c r="P1866" s="13" t="s">
        <v>2263</v>
      </c>
      <c r="Q1866" s="13" t="s">
        <v>2255</v>
      </c>
      <c r="R1866" s="13" t="s">
        <v>0</v>
      </c>
      <c r="S1866" s="13" t="s">
        <v>0</v>
      </c>
      <c r="T1866" s="13" t="s">
        <v>9</v>
      </c>
      <c r="U1866" s="13" t="s">
        <v>0</v>
      </c>
      <c r="V1866" s="13" t="s">
        <v>0</v>
      </c>
      <c r="W1866" s="13" t="s">
        <v>0</v>
      </c>
      <c r="X1866" s="13" t="s">
        <v>0</v>
      </c>
      <c r="Y1866" s="13" t="s">
        <v>10</v>
      </c>
      <c r="Z1866" s="13" t="s">
        <v>0</v>
      </c>
      <c r="AA1866" s="14"/>
      <c r="AB1866" s="13" t="s">
        <v>0</v>
      </c>
      <c r="AC1866" s="13" t="s">
        <v>0</v>
      </c>
      <c r="AD1866" s="13" t="s">
        <v>0</v>
      </c>
      <c r="AE1866" s="15">
        <v>0</v>
      </c>
    </row>
    <row r="1867" spans="1:31" ht="14.15" customHeight="1" x14ac:dyDescent="0.25">
      <c r="A1867" s="12" t="s">
        <v>0</v>
      </c>
      <c r="B1867" s="13" t="s">
        <v>1</v>
      </c>
      <c r="C1867" s="13" t="s">
        <v>1058</v>
      </c>
      <c r="D1867" s="14">
        <v>44132</v>
      </c>
      <c r="E1867" s="14">
        <v>44132</v>
      </c>
      <c r="F1867" s="14">
        <v>44137</v>
      </c>
      <c r="G1867" s="13" t="s">
        <v>3</v>
      </c>
      <c r="H1867" s="13" t="s">
        <v>4</v>
      </c>
      <c r="I1867" s="15">
        <v>-7324</v>
      </c>
      <c r="J1867" s="13" t="s">
        <v>5</v>
      </c>
      <c r="K1867" s="13" t="s">
        <v>6</v>
      </c>
      <c r="L1867" s="15">
        <v>-614849.80000000005</v>
      </c>
      <c r="M1867" s="15">
        <v>-7324</v>
      </c>
      <c r="N1867" s="16" t="str">
        <f>IF(M1867="","",IF(M1867&lt;0,-M1867&amp;"_"&amp;COUNTIF(M$2:M1867,M1867),M1867&amp;"_"&amp;COUNTIF(M$2:M1867,M1867)))</f>
        <v>7324_1</v>
      </c>
      <c r="O1867" s="17" t="str">
        <f t="shared" si="29"/>
        <v/>
      </c>
      <c r="P1867" s="13" t="s">
        <v>1059</v>
      </c>
      <c r="Q1867" s="13" t="s">
        <v>1060</v>
      </c>
      <c r="R1867" s="13" t="s">
        <v>0</v>
      </c>
      <c r="S1867" s="13" t="s">
        <v>0</v>
      </c>
      <c r="T1867" s="13" t="s">
        <v>9</v>
      </c>
      <c r="U1867" s="13" t="s">
        <v>0</v>
      </c>
      <c r="V1867" s="13" t="s">
        <v>0</v>
      </c>
      <c r="W1867" s="13" t="s">
        <v>0</v>
      </c>
      <c r="X1867" s="13" t="s">
        <v>0</v>
      </c>
      <c r="Y1867" s="13" t="s">
        <v>10</v>
      </c>
      <c r="Z1867" s="13" t="s">
        <v>0</v>
      </c>
      <c r="AA1867" s="14"/>
      <c r="AB1867" s="13" t="s">
        <v>0</v>
      </c>
      <c r="AC1867" s="13" t="s">
        <v>0</v>
      </c>
      <c r="AD1867" s="13" t="s">
        <v>0</v>
      </c>
      <c r="AE1867" s="15">
        <v>0</v>
      </c>
    </row>
    <row r="1868" spans="1:31" ht="14.15" customHeight="1" x14ac:dyDescent="0.25">
      <c r="A1868" s="12" t="s">
        <v>0</v>
      </c>
      <c r="B1868" s="13" t="s">
        <v>1</v>
      </c>
      <c r="C1868" s="13" t="s">
        <v>3126</v>
      </c>
      <c r="D1868" s="14">
        <v>44291</v>
      </c>
      <c r="E1868" s="14">
        <v>44291</v>
      </c>
      <c r="F1868" s="14">
        <v>44297</v>
      </c>
      <c r="G1868" s="13" t="s">
        <v>3</v>
      </c>
      <c r="H1868" s="13" t="s">
        <v>4</v>
      </c>
      <c r="I1868" s="15">
        <v>-7320.59</v>
      </c>
      <c r="J1868" s="13" t="s">
        <v>5</v>
      </c>
      <c r="K1868" s="13" t="s">
        <v>6</v>
      </c>
      <c r="L1868" s="15">
        <v>-614563.53</v>
      </c>
      <c r="M1868" s="15">
        <v>-7320.59</v>
      </c>
      <c r="N1868" s="16" t="str">
        <f>IF(M1868="","",IF(M1868&lt;0,-M1868&amp;"_"&amp;COUNTIF(M$2:M1868,M1868),M1868&amp;"_"&amp;COUNTIF(M$2:M1868,M1868)))</f>
        <v>7320.59_1</v>
      </c>
      <c r="O1868" s="17" t="str">
        <f t="shared" si="29"/>
        <v/>
      </c>
      <c r="P1868" s="13" t="s">
        <v>3127</v>
      </c>
      <c r="Q1868" s="13" t="s">
        <v>3125</v>
      </c>
      <c r="R1868" s="13" t="s">
        <v>0</v>
      </c>
      <c r="S1868" s="13" t="s">
        <v>0</v>
      </c>
      <c r="T1868" s="13" t="s">
        <v>9</v>
      </c>
      <c r="U1868" s="13" t="s">
        <v>0</v>
      </c>
      <c r="V1868" s="13" t="s">
        <v>0</v>
      </c>
      <c r="W1868" s="13" t="s">
        <v>0</v>
      </c>
      <c r="X1868" s="13" t="s">
        <v>0</v>
      </c>
      <c r="Y1868" s="13" t="s">
        <v>10</v>
      </c>
      <c r="Z1868" s="13" t="s">
        <v>0</v>
      </c>
      <c r="AA1868" s="14"/>
      <c r="AB1868" s="13" t="s">
        <v>0</v>
      </c>
      <c r="AC1868" s="13" t="s">
        <v>0</v>
      </c>
      <c r="AD1868" s="13" t="s">
        <v>0</v>
      </c>
      <c r="AE1868" s="15">
        <v>0</v>
      </c>
    </row>
    <row r="1869" spans="1:31" ht="14.15" customHeight="1" x14ac:dyDescent="0.25">
      <c r="A1869" s="12" t="s">
        <v>0</v>
      </c>
      <c r="B1869" s="13" t="s">
        <v>1</v>
      </c>
      <c r="C1869" s="13" t="s">
        <v>2114</v>
      </c>
      <c r="D1869" s="14">
        <v>44201</v>
      </c>
      <c r="E1869" s="14">
        <v>44201</v>
      </c>
      <c r="F1869" s="14">
        <v>44206</v>
      </c>
      <c r="G1869" s="13" t="s">
        <v>3</v>
      </c>
      <c r="H1869" s="13" t="s">
        <v>4</v>
      </c>
      <c r="I1869" s="15">
        <v>-7291.58</v>
      </c>
      <c r="J1869" s="13" t="s">
        <v>5</v>
      </c>
      <c r="K1869" s="13" t="s">
        <v>6</v>
      </c>
      <c r="L1869" s="15">
        <v>-612128.15</v>
      </c>
      <c r="M1869" s="15">
        <v>-7291.58</v>
      </c>
      <c r="N1869" s="16" t="str">
        <f>IF(M1869="","",IF(M1869&lt;0,-M1869&amp;"_"&amp;COUNTIF(M$2:M1869,M1869),M1869&amp;"_"&amp;COUNTIF(M$2:M1869,M1869)))</f>
        <v>7291.58_1</v>
      </c>
      <c r="O1869" s="17" t="str">
        <f t="shared" si="29"/>
        <v/>
      </c>
      <c r="P1869" s="13" t="s">
        <v>2115</v>
      </c>
      <c r="Q1869" s="13" t="s">
        <v>2116</v>
      </c>
      <c r="R1869" s="13" t="s">
        <v>0</v>
      </c>
      <c r="S1869" s="13" t="s">
        <v>0</v>
      </c>
      <c r="T1869" s="13" t="s">
        <v>9</v>
      </c>
      <c r="U1869" s="13" t="s">
        <v>0</v>
      </c>
      <c r="V1869" s="13" t="s">
        <v>0</v>
      </c>
      <c r="W1869" s="13" t="s">
        <v>0</v>
      </c>
      <c r="X1869" s="13" t="s">
        <v>0</v>
      </c>
      <c r="Y1869" s="13" t="s">
        <v>10</v>
      </c>
      <c r="Z1869" s="13" t="s">
        <v>0</v>
      </c>
      <c r="AA1869" s="14"/>
      <c r="AB1869" s="13" t="s">
        <v>0</v>
      </c>
      <c r="AC1869" s="13" t="s">
        <v>0</v>
      </c>
      <c r="AD1869" s="13" t="s">
        <v>0</v>
      </c>
      <c r="AE1869" s="15">
        <v>0</v>
      </c>
    </row>
    <row r="1870" spans="1:31" ht="14.15" customHeight="1" x14ac:dyDescent="0.25">
      <c r="A1870" s="12" t="s">
        <v>0</v>
      </c>
      <c r="B1870" s="13" t="s">
        <v>1</v>
      </c>
      <c r="C1870" s="13" t="s">
        <v>2153</v>
      </c>
      <c r="D1870" s="14">
        <v>44208</v>
      </c>
      <c r="E1870" s="14">
        <v>44208</v>
      </c>
      <c r="F1870" s="14">
        <v>44216</v>
      </c>
      <c r="G1870" s="13" t="s">
        <v>3</v>
      </c>
      <c r="H1870" s="13" t="s">
        <v>4</v>
      </c>
      <c r="I1870" s="15">
        <v>-7281.91</v>
      </c>
      <c r="J1870" s="13" t="s">
        <v>5</v>
      </c>
      <c r="K1870" s="13" t="s">
        <v>6</v>
      </c>
      <c r="L1870" s="15">
        <v>-611316.34</v>
      </c>
      <c r="M1870" s="15">
        <v>-7281.91</v>
      </c>
      <c r="N1870" s="16" t="str">
        <f>IF(M1870="","",IF(M1870&lt;0,-M1870&amp;"_"&amp;COUNTIF(M$2:M1870,M1870),M1870&amp;"_"&amp;COUNTIF(M$2:M1870,M1870)))</f>
        <v>7281.91_1</v>
      </c>
      <c r="O1870" s="17" t="str">
        <f t="shared" si="29"/>
        <v/>
      </c>
      <c r="P1870" s="13" t="s">
        <v>2154</v>
      </c>
      <c r="Q1870" s="13" t="s">
        <v>2152</v>
      </c>
      <c r="R1870" s="13" t="s">
        <v>0</v>
      </c>
      <c r="S1870" s="13" t="s">
        <v>0</v>
      </c>
      <c r="T1870" s="13" t="s">
        <v>9</v>
      </c>
      <c r="U1870" s="13" t="s">
        <v>0</v>
      </c>
      <c r="V1870" s="13" t="s">
        <v>0</v>
      </c>
      <c r="W1870" s="13" t="s">
        <v>0</v>
      </c>
      <c r="X1870" s="13" t="s">
        <v>0</v>
      </c>
      <c r="Y1870" s="13" t="s">
        <v>10</v>
      </c>
      <c r="Z1870" s="13" t="s">
        <v>0</v>
      </c>
      <c r="AA1870" s="14"/>
      <c r="AB1870" s="13" t="s">
        <v>0</v>
      </c>
      <c r="AC1870" s="13" t="s">
        <v>0</v>
      </c>
      <c r="AD1870" s="13" t="s">
        <v>0</v>
      </c>
      <c r="AE1870" s="15">
        <v>0</v>
      </c>
    </row>
    <row r="1871" spans="1:31" ht="14.15" customHeight="1" x14ac:dyDescent="0.25">
      <c r="A1871" s="12" t="s">
        <v>0</v>
      </c>
      <c r="B1871" s="13" t="s">
        <v>1</v>
      </c>
      <c r="C1871" s="13" t="s">
        <v>585</v>
      </c>
      <c r="D1871" s="14">
        <v>44079</v>
      </c>
      <c r="E1871" s="14">
        <v>44079</v>
      </c>
      <c r="F1871" s="14">
        <v>44082</v>
      </c>
      <c r="G1871" s="13" t="s">
        <v>3</v>
      </c>
      <c r="H1871" s="13" t="s">
        <v>4</v>
      </c>
      <c r="I1871" s="15">
        <v>-7267.65</v>
      </c>
      <c r="J1871" s="13" t="s">
        <v>5</v>
      </c>
      <c r="K1871" s="13" t="s">
        <v>6</v>
      </c>
      <c r="L1871" s="15">
        <v>-610119.21</v>
      </c>
      <c r="M1871" s="15">
        <v>-7267.65</v>
      </c>
      <c r="N1871" s="16" t="str">
        <f>IF(M1871="","",IF(M1871&lt;0,-M1871&amp;"_"&amp;COUNTIF(M$2:M1871,M1871),M1871&amp;"_"&amp;COUNTIF(M$2:M1871,M1871)))</f>
        <v>7267.65_1</v>
      </c>
      <c r="O1871" s="17" t="str">
        <f t="shared" si="29"/>
        <v/>
      </c>
      <c r="P1871" s="13" t="s">
        <v>586</v>
      </c>
      <c r="Q1871" s="13" t="s">
        <v>587</v>
      </c>
      <c r="R1871" s="13" t="s">
        <v>0</v>
      </c>
      <c r="S1871" s="13" t="s">
        <v>0</v>
      </c>
      <c r="T1871" s="13" t="s">
        <v>9</v>
      </c>
      <c r="U1871" s="13" t="s">
        <v>0</v>
      </c>
      <c r="V1871" s="13" t="s">
        <v>0</v>
      </c>
      <c r="W1871" s="13" t="s">
        <v>0</v>
      </c>
      <c r="X1871" s="13" t="s">
        <v>0</v>
      </c>
      <c r="Y1871" s="13" t="s">
        <v>10</v>
      </c>
      <c r="Z1871" s="13" t="s">
        <v>0</v>
      </c>
      <c r="AA1871" s="14"/>
      <c r="AB1871" s="13" t="s">
        <v>0</v>
      </c>
      <c r="AC1871" s="13" t="s">
        <v>0</v>
      </c>
      <c r="AD1871" s="13" t="s">
        <v>0</v>
      </c>
      <c r="AE1871" s="15">
        <v>0</v>
      </c>
    </row>
    <row r="1872" spans="1:31" ht="14.15" customHeight="1" x14ac:dyDescent="0.25">
      <c r="A1872" s="12" t="s">
        <v>0</v>
      </c>
      <c r="B1872" s="13" t="s">
        <v>1</v>
      </c>
      <c r="C1872" s="13" t="s">
        <v>2096</v>
      </c>
      <c r="D1872" s="14">
        <v>44199</v>
      </c>
      <c r="E1872" s="14">
        <v>44199</v>
      </c>
      <c r="F1872" s="14">
        <v>44202</v>
      </c>
      <c r="G1872" s="13" t="s">
        <v>3</v>
      </c>
      <c r="H1872" s="13" t="s">
        <v>4</v>
      </c>
      <c r="I1872" s="15">
        <v>-7266.13</v>
      </c>
      <c r="J1872" s="13" t="s">
        <v>5</v>
      </c>
      <c r="K1872" s="13" t="s">
        <v>6</v>
      </c>
      <c r="L1872" s="15">
        <v>-609991.62</v>
      </c>
      <c r="M1872" s="15">
        <v>-7266.13</v>
      </c>
      <c r="N1872" s="16" t="str">
        <f>IF(M1872="","",IF(M1872&lt;0,-M1872&amp;"_"&amp;COUNTIF(M$2:M1872,M1872),M1872&amp;"_"&amp;COUNTIF(M$2:M1872,M1872)))</f>
        <v>7266.13_1</v>
      </c>
      <c r="O1872" s="17" t="str">
        <f t="shared" si="29"/>
        <v/>
      </c>
      <c r="P1872" s="13" t="s">
        <v>2097</v>
      </c>
      <c r="Q1872" s="13" t="s">
        <v>2093</v>
      </c>
      <c r="R1872" s="13" t="s">
        <v>0</v>
      </c>
      <c r="S1872" s="13" t="s">
        <v>0</v>
      </c>
      <c r="T1872" s="13" t="s">
        <v>9</v>
      </c>
      <c r="U1872" s="13" t="s">
        <v>0</v>
      </c>
      <c r="V1872" s="13" t="s">
        <v>0</v>
      </c>
      <c r="W1872" s="13" t="s">
        <v>0</v>
      </c>
      <c r="X1872" s="13" t="s">
        <v>0</v>
      </c>
      <c r="Y1872" s="13" t="s">
        <v>10</v>
      </c>
      <c r="Z1872" s="13" t="s">
        <v>0</v>
      </c>
      <c r="AA1872" s="14"/>
      <c r="AB1872" s="13" t="s">
        <v>0</v>
      </c>
      <c r="AC1872" s="13" t="s">
        <v>0</v>
      </c>
      <c r="AD1872" s="13" t="s">
        <v>0</v>
      </c>
      <c r="AE1872" s="15">
        <v>0</v>
      </c>
    </row>
    <row r="1873" spans="1:31" ht="14.15" customHeight="1" x14ac:dyDescent="0.25">
      <c r="A1873" s="12" t="s">
        <v>0</v>
      </c>
      <c r="B1873" s="13" t="s">
        <v>1</v>
      </c>
      <c r="C1873" s="13" t="s">
        <v>871</v>
      </c>
      <c r="D1873" s="14">
        <v>44111</v>
      </c>
      <c r="E1873" s="14">
        <v>44111</v>
      </c>
      <c r="F1873" s="14">
        <v>44118</v>
      </c>
      <c r="G1873" s="13" t="s">
        <v>3</v>
      </c>
      <c r="H1873" s="13" t="s">
        <v>4</v>
      </c>
      <c r="I1873" s="15">
        <v>-7233.65</v>
      </c>
      <c r="J1873" s="13" t="s">
        <v>5</v>
      </c>
      <c r="K1873" s="13" t="s">
        <v>6</v>
      </c>
      <c r="L1873" s="15">
        <v>-607264.92000000004</v>
      </c>
      <c r="M1873" s="15">
        <v>-7233.65</v>
      </c>
      <c r="N1873" s="16" t="str">
        <f>IF(M1873="","",IF(M1873&lt;0,-M1873&amp;"_"&amp;COUNTIF(M$2:M1873,M1873),M1873&amp;"_"&amp;COUNTIF(M$2:M1873,M1873)))</f>
        <v>7233.65_1</v>
      </c>
      <c r="O1873" s="17" t="str">
        <f t="shared" si="29"/>
        <v/>
      </c>
      <c r="P1873" s="13" t="s">
        <v>872</v>
      </c>
      <c r="Q1873" s="13" t="s">
        <v>866</v>
      </c>
      <c r="R1873" s="13" t="s">
        <v>0</v>
      </c>
      <c r="S1873" s="13" t="s">
        <v>0</v>
      </c>
      <c r="T1873" s="13" t="s">
        <v>9</v>
      </c>
      <c r="U1873" s="13" t="s">
        <v>0</v>
      </c>
      <c r="V1873" s="13" t="s">
        <v>0</v>
      </c>
      <c r="W1873" s="13" t="s">
        <v>0</v>
      </c>
      <c r="X1873" s="13" t="s">
        <v>0</v>
      </c>
      <c r="Y1873" s="13" t="s">
        <v>10</v>
      </c>
      <c r="Z1873" s="13" t="s">
        <v>0</v>
      </c>
      <c r="AA1873" s="14"/>
      <c r="AB1873" s="13" t="s">
        <v>0</v>
      </c>
      <c r="AC1873" s="13" t="s">
        <v>0</v>
      </c>
      <c r="AD1873" s="13" t="s">
        <v>0</v>
      </c>
      <c r="AE1873" s="15">
        <v>0</v>
      </c>
    </row>
    <row r="1874" spans="1:31" ht="14.15" customHeight="1" x14ac:dyDescent="0.25">
      <c r="A1874" s="12" t="s">
        <v>0</v>
      </c>
      <c r="B1874" s="13" t="s">
        <v>1</v>
      </c>
      <c r="C1874" s="13" t="s">
        <v>973</v>
      </c>
      <c r="D1874" s="14">
        <v>44123</v>
      </c>
      <c r="E1874" s="14">
        <v>44123</v>
      </c>
      <c r="F1874" s="14">
        <v>44137</v>
      </c>
      <c r="G1874" s="13" t="s">
        <v>3</v>
      </c>
      <c r="H1874" s="13" t="s">
        <v>4</v>
      </c>
      <c r="I1874" s="15">
        <v>-7213.61</v>
      </c>
      <c r="J1874" s="13" t="s">
        <v>5</v>
      </c>
      <c r="K1874" s="13" t="s">
        <v>6</v>
      </c>
      <c r="L1874" s="15">
        <v>-605582.56000000006</v>
      </c>
      <c r="M1874" s="15">
        <v>-7213.61</v>
      </c>
      <c r="N1874" s="16" t="str">
        <f>IF(M1874="","",IF(M1874&lt;0,-M1874&amp;"_"&amp;COUNTIF(M$2:M1874,M1874),M1874&amp;"_"&amp;COUNTIF(M$2:M1874,M1874)))</f>
        <v>7213.61_1</v>
      </c>
      <c r="O1874" s="17" t="str">
        <f t="shared" si="29"/>
        <v/>
      </c>
      <c r="P1874" s="13" t="s">
        <v>974</v>
      </c>
      <c r="Q1874" s="13" t="s">
        <v>958</v>
      </c>
      <c r="R1874" s="13" t="s">
        <v>0</v>
      </c>
      <c r="S1874" s="13" t="s">
        <v>0</v>
      </c>
      <c r="T1874" s="13" t="s">
        <v>9</v>
      </c>
      <c r="U1874" s="13" t="s">
        <v>0</v>
      </c>
      <c r="V1874" s="13" t="s">
        <v>0</v>
      </c>
      <c r="W1874" s="13" t="s">
        <v>0</v>
      </c>
      <c r="X1874" s="13" t="s">
        <v>0</v>
      </c>
      <c r="Y1874" s="13" t="s">
        <v>10</v>
      </c>
      <c r="Z1874" s="13" t="s">
        <v>0</v>
      </c>
      <c r="AA1874" s="14"/>
      <c r="AB1874" s="13" t="s">
        <v>0</v>
      </c>
      <c r="AC1874" s="13" t="s">
        <v>0</v>
      </c>
      <c r="AD1874" s="13" t="s">
        <v>0</v>
      </c>
      <c r="AE1874" s="15">
        <v>0</v>
      </c>
    </row>
    <row r="1875" spans="1:31" ht="14.15" customHeight="1" x14ac:dyDescent="0.25">
      <c r="A1875" s="12" t="s">
        <v>0</v>
      </c>
      <c r="B1875" s="13" t="s">
        <v>1</v>
      </c>
      <c r="C1875" s="13" t="s">
        <v>4039</v>
      </c>
      <c r="D1875" s="14">
        <v>44358</v>
      </c>
      <c r="E1875" s="14">
        <v>44358</v>
      </c>
      <c r="F1875" s="14">
        <v>44364</v>
      </c>
      <c r="G1875" s="13" t="s">
        <v>3</v>
      </c>
      <c r="H1875" s="13" t="s">
        <v>4</v>
      </c>
      <c r="I1875" s="15">
        <v>-7203.63</v>
      </c>
      <c r="J1875" s="13" t="s">
        <v>5</v>
      </c>
      <c r="K1875" s="13" t="s">
        <v>6</v>
      </c>
      <c r="L1875" s="15">
        <v>-604744.74</v>
      </c>
      <c r="M1875" s="15">
        <v>-7203.63</v>
      </c>
      <c r="N1875" s="16" t="str">
        <f>IF(M1875="","",IF(M1875&lt;0,-M1875&amp;"_"&amp;COUNTIF(M$2:M1875,M1875),M1875&amp;"_"&amp;COUNTIF(M$2:M1875,M1875)))</f>
        <v>7203.63_1</v>
      </c>
      <c r="O1875" s="17" t="str">
        <f t="shared" si="29"/>
        <v/>
      </c>
      <c r="P1875" s="13" t="s">
        <v>4040</v>
      </c>
      <c r="Q1875" s="13" t="s">
        <v>4006</v>
      </c>
      <c r="R1875" s="13" t="s">
        <v>0</v>
      </c>
      <c r="S1875" s="13" t="s">
        <v>0</v>
      </c>
      <c r="T1875" s="13" t="s">
        <v>9</v>
      </c>
      <c r="U1875" s="13" t="s">
        <v>0</v>
      </c>
      <c r="V1875" s="13" t="s">
        <v>0</v>
      </c>
      <c r="W1875" s="13" t="s">
        <v>0</v>
      </c>
      <c r="X1875" s="13" t="s">
        <v>0</v>
      </c>
      <c r="Y1875" s="13" t="s">
        <v>10</v>
      </c>
      <c r="Z1875" s="13" t="s">
        <v>0</v>
      </c>
      <c r="AA1875" s="14"/>
      <c r="AB1875" s="13" t="s">
        <v>0</v>
      </c>
      <c r="AC1875" s="13" t="s">
        <v>0</v>
      </c>
      <c r="AD1875" s="13" t="s">
        <v>0</v>
      </c>
      <c r="AE1875" s="15">
        <v>0</v>
      </c>
    </row>
    <row r="1876" spans="1:31" ht="14.15" customHeight="1" x14ac:dyDescent="0.25">
      <c r="A1876" s="12" t="s">
        <v>0</v>
      </c>
      <c r="B1876" s="13" t="s">
        <v>1</v>
      </c>
      <c r="C1876" s="13" t="s">
        <v>1606</v>
      </c>
      <c r="D1876" s="14">
        <v>44168</v>
      </c>
      <c r="E1876" s="14">
        <v>44168</v>
      </c>
      <c r="F1876" s="14">
        <v>44174</v>
      </c>
      <c r="G1876" s="13" t="s">
        <v>3</v>
      </c>
      <c r="H1876" s="13" t="s">
        <v>4</v>
      </c>
      <c r="I1876" s="15">
        <v>-7199.55</v>
      </c>
      <c r="J1876" s="13" t="s">
        <v>5</v>
      </c>
      <c r="K1876" s="13" t="s">
        <v>6</v>
      </c>
      <c r="L1876" s="15">
        <v>-604402.22</v>
      </c>
      <c r="M1876" s="15">
        <v>-7199.55</v>
      </c>
      <c r="N1876" s="16" t="str">
        <f>IF(M1876="","",IF(M1876&lt;0,-M1876&amp;"_"&amp;COUNTIF(M$2:M1876,M1876),M1876&amp;"_"&amp;COUNTIF(M$2:M1876,M1876)))</f>
        <v>7199.55_1</v>
      </c>
      <c r="O1876" s="17" t="str">
        <f t="shared" si="29"/>
        <v/>
      </c>
      <c r="P1876" s="13" t="s">
        <v>1607</v>
      </c>
      <c r="Q1876" s="13" t="s">
        <v>1605</v>
      </c>
      <c r="R1876" s="13" t="s">
        <v>0</v>
      </c>
      <c r="S1876" s="13" t="s">
        <v>0</v>
      </c>
      <c r="T1876" s="13" t="s">
        <v>9</v>
      </c>
      <c r="U1876" s="13" t="s">
        <v>0</v>
      </c>
      <c r="V1876" s="13" t="s">
        <v>0</v>
      </c>
      <c r="W1876" s="13" t="s">
        <v>0</v>
      </c>
      <c r="X1876" s="13" t="s">
        <v>0</v>
      </c>
      <c r="Y1876" s="13" t="s">
        <v>10</v>
      </c>
      <c r="Z1876" s="13" t="s">
        <v>0</v>
      </c>
      <c r="AA1876" s="14"/>
      <c r="AB1876" s="13" t="s">
        <v>0</v>
      </c>
      <c r="AC1876" s="13" t="s">
        <v>0</v>
      </c>
      <c r="AD1876" s="13" t="s">
        <v>0</v>
      </c>
      <c r="AE1876" s="15">
        <v>0</v>
      </c>
    </row>
    <row r="1877" spans="1:31" ht="14.15" customHeight="1" x14ac:dyDescent="0.25">
      <c r="A1877" s="12" t="s">
        <v>0</v>
      </c>
      <c r="B1877" s="13" t="s">
        <v>1</v>
      </c>
      <c r="C1877" s="13" t="s">
        <v>967</v>
      </c>
      <c r="D1877" s="14">
        <v>44123</v>
      </c>
      <c r="E1877" s="14">
        <v>44123</v>
      </c>
      <c r="F1877" s="14">
        <v>44128</v>
      </c>
      <c r="G1877" s="13" t="s">
        <v>3</v>
      </c>
      <c r="H1877" s="13" t="s">
        <v>4</v>
      </c>
      <c r="I1877" s="15">
        <v>-7186.15</v>
      </c>
      <c r="J1877" s="13" t="s">
        <v>5</v>
      </c>
      <c r="K1877" s="13" t="s">
        <v>6</v>
      </c>
      <c r="L1877" s="15">
        <v>-603277.29</v>
      </c>
      <c r="M1877" s="15">
        <v>-7186.15</v>
      </c>
      <c r="N1877" s="16" t="str">
        <f>IF(M1877="","",IF(M1877&lt;0,-M1877&amp;"_"&amp;COUNTIF(M$2:M1877,M1877),M1877&amp;"_"&amp;COUNTIF(M$2:M1877,M1877)))</f>
        <v>7186.15_1</v>
      </c>
      <c r="O1877" s="17" t="str">
        <f t="shared" si="29"/>
        <v/>
      </c>
      <c r="P1877" s="13" t="s">
        <v>968</v>
      </c>
      <c r="Q1877" s="13" t="s">
        <v>958</v>
      </c>
      <c r="R1877" s="13" t="s">
        <v>0</v>
      </c>
      <c r="S1877" s="13" t="s">
        <v>0</v>
      </c>
      <c r="T1877" s="13" t="s">
        <v>9</v>
      </c>
      <c r="U1877" s="13" t="s">
        <v>0</v>
      </c>
      <c r="V1877" s="13" t="s">
        <v>0</v>
      </c>
      <c r="W1877" s="13" t="s">
        <v>0</v>
      </c>
      <c r="X1877" s="13" t="s">
        <v>0</v>
      </c>
      <c r="Y1877" s="13" t="s">
        <v>10</v>
      </c>
      <c r="Z1877" s="13" t="s">
        <v>0</v>
      </c>
      <c r="AA1877" s="14"/>
      <c r="AB1877" s="13" t="s">
        <v>0</v>
      </c>
      <c r="AC1877" s="13" t="s">
        <v>0</v>
      </c>
      <c r="AD1877" s="13" t="s">
        <v>0</v>
      </c>
      <c r="AE1877" s="15">
        <v>0</v>
      </c>
    </row>
    <row r="1878" spans="1:31" ht="14.15" customHeight="1" x14ac:dyDescent="0.25">
      <c r="A1878" s="12" t="s">
        <v>0</v>
      </c>
      <c r="B1878" s="13" t="s">
        <v>1</v>
      </c>
      <c r="C1878" s="13" t="s">
        <v>867</v>
      </c>
      <c r="D1878" s="14">
        <v>44111</v>
      </c>
      <c r="E1878" s="14">
        <v>44111</v>
      </c>
      <c r="F1878" s="14">
        <v>44114</v>
      </c>
      <c r="G1878" s="13" t="s">
        <v>3</v>
      </c>
      <c r="H1878" s="13" t="s">
        <v>4</v>
      </c>
      <c r="I1878" s="15">
        <v>-7158.51</v>
      </c>
      <c r="J1878" s="13" t="s">
        <v>5</v>
      </c>
      <c r="K1878" s="13" t="s">
        <v>6</v>
      </c>
      <c r="L1878" s="15">
        <v>-600956.91</v>
      </c>
      <c r="M1878" s="15">
        <v>-7158.51</v>
      </c>
      <c r="N1878" s="16" t="str">
        <f>IF(M1878="","",IF(M1878&lt;0,-M1878&amp;"_"&amp;COUNTIF(M$2:M1878,M1878),M1878&amp;"_"&amp;COUNTIF(M$2:M1878,M1878)))</f>
        <v>7158.51_1</v>
      </c>
      <c r="O1878" s="17" t="str">
        <f t="shared" si="29"/>
        <v/>
      </c>
      <c r="P1878" s="13" t="s">
        <v>868</v>
      </c>
      <c r="Q1878" s="13" t="s">
        <v>866</v>
      </c>
      <c r="R1878" s="13" t="s">
        <v>0</v>
      </c>
      <c r="S1878" s="13" t="s">
        <v>0</v>
      </c>
      <c r="T1878" s="13" t="s">
        <v>9</v>
      </c>
      <c r="U1878" s="13" t="s">
        <v>0</v>
      </c>
      <c r="V1878" s="13" t="s">
        <v>0</v>
      </c>
      <c r="W1878" s="13" t="s">
        <v>0</v>
      </c>
      <c r="X1878" s="13" t="s">
        <v>0</v>
      </c>
      <c r="Y1878" s="13" t="s">
        <v>10</v>
      </c>
      <c r="Z1878" s="13" t="s">
        <v>0</v>
      </c>
      <c r="AA1878" s="14"/>
      <c r="AB1878" s="13" t="s">
        <v>0</v>
      </c>
      <c r="AC1878" s="13" t="s">
        <v>0</v>
      </c>
      <c r="AD1878" s="13" t="s">
        <v>0</v>
      </c>
      <c r="AE1878" s="15">
        <v>0</v>
      </c>
    </row>
    <row r="1879" spans="1:31" ht="14.15" customHeight="1" x14ac:dyDescent="0.25">
      <c r="A1879" s="12" t="s">
        <v>0</v>
      </c>
      <c r="B1879" s="13" t="s">
        <v>1</v>
      </c>
      <c r="C1879" s="13" t="s">
        <v>1842</v>
      </c>
      <c r="D1879" s="14">
        <v>44184</v>
      </c>
      <c r="E1879" s="14">
        <v>44184</v>
      </c>
      <c r="F1879" s="14">
        <v>44202</v>
      </c>
      <c r="G1879" s="13" t="s">
        <v>3</v>
      </c>
      <c r="H1879" s="13" t="s">
        <v>4</v>
      </c>
      <c r="I1879" s="15">
        <v>-7150.67</v>
      </c>
      <c r="J1879" s="13" t="s">
        <v>5</v>
      </c>
      <c r="K1879" s="13" t="s">
        <v>6</v>
      </c>
      <c r="L1879" s="15">
        <v>-600298.74</v>
      </c>
      <c r="M1879" s="15">
        <v>-7150.67</v>
      </c>
      <c r="N1879" s="16" t="str">
        <f>IF(M1879="","",IF(M1879&lt;0,-M1879&amp;"_"&amp;COUNTIF(M$2:M1879,M1879),M1879&amp;"_"&amp;COUNTIF(M$2:M1879,M1879)))</f>
        <v>7150.67_1</v>
      </c>
      <c r="O1879" s="17" t="str">
        <f t="shared" si="29"/>
        <v/>
      </c>
      <c r="P1879" s="13" t="s">
        <v>1843</v>
      </c>
      <c r="Q1879" s="13" t="s">
        <v>1831</v>
      </c>
      <c r="R1879" s="13" t="s">
        <v>0</v>
      </c>
      <c r="S1879" s="13" t="s">
        <v>0</v>
      </c>
      <c r="T1879" s="13" t="s">
        <v>9</v>
      </c>
      <c r="U1879" s="13" t="s">
        <v>0</v>
      </c>
      <c r="V1879" s="13" t="s">
        <v>0</v>
      </c>
      <c r="W1879" s="13" t="s">
        <v>0</v>
      </c>
      <c r="X1879" s="13" t="s">
        <v>0</v>
      </c>
      <c r="Y1879" s="13" t="s">
        <v>10</v>
      </c>
      <c r="Z1879" s="13" t="s">
        <v>0</v>
      </c>
      <c r="AA1879" s="14"/>
      <c r="AB1879" s="13" t="s">
        <v>0</v>
      </c>
      <c r="AC1879" s="13" t="s">
        <v>0</v>
      </c>
      <c r="AD1879" s="13" t="s">
        <v>0</v>
      </c>
      <c r="AE1879" s="15">
        <v>0</v>
      </c>
    </row>
    <row r="1880" spans="1:31" ht="14.15" customHeight="1" x14ac:dyDescent="0.25">
      <c r="A1880" s="12" t="s">
        <v>0</v>
      </c>
      <c r="B1880" s="13" t="s">
        <v>1</v>
      </c>
      <c r="C1880" s="13" t="s">
        <v>3150</v>
      </c>
      <c r="D1880" s="14">
        <v>44297</v>
      </c>
      <c r="E1880" s="14">
        <v>44297</v>
      </c>
      <c r="F1880" s="14">
        <v>44306</v>
      </c>
      <c r="G1880" s="13" t="s">
        <v>3</v>
      </c>
      <c r="H1880" s="13" t="s">
        <v>4</v>
      </c>
      <c r="I1880" s="15">
        <v>-7149.98</v>
      </c>
      <c r="J1880" s="13" t="s">
        <v>5</v>
      </c>
      <c r="K1880" s="13" t="s">
        <v>6</v>
      </c>
      <c r="L1880" s="15">
        <v>-600240.81999999995</v>
      </c>
      <c r="M1880" s="15">
        <v>-7149.98</v>
      </c>
      <c r="N1880" s="16" t="str">
        <f>IF(M1880="","",IF(M1880&lt;0,-M1880&amp;"_"&amp;COUNTIF(M$2:M1880,M1880),M1880&amp;"_"&amp;COUNTIF(M$2:M1880,M1880)))</f>
        <v>7149.98_1</v>
      </c>
      <c r="O1880" s="17" t="str">
        <f t="shared" si="29"/>
        <v/>
      </c>
      <c r="P1880" s="13" t="s">
        <v>3151</v>
      </c>
      <c r="Q1880" s="13" t="s">
        <v>3152</v>
      </c>
      <c r="R1880" s="13" t="s">
        <v>0</v>
      </c>
      <c r="S1880" s="13" t="s">
        <v>0</v>
      </c>
      <c r="T1880" s="13" t="s">
        <v>9</v>
      </c>
      <c r="U1880" s="13" t="s">
        <v>0</v>
      </c>
      <c r="V1880" s="13" t="s">
        <v>0</v>
      </c>
      <c r="W1880" s="13" t="s">
        <v>0</v>
      </c>
      <c r="X1880" s="13" t="s">
        <v>0</v>
      </c>
      <c r="Y1880" s="13" t="s">
        <v>10</v>
      </c>
      <c r="Z1880" s="13" t="s">
        <v>0</v>
      </c>
      <c r="AA1880" s="14"/>
      <c r="AB1880" s="13" t="s">
        <v>0</v>
      </c>
      <c r="AC1880" s="13" t="s">
        <v>0</v>
      </c>
      <c r="AD1880" s="13" t="s">
        <v>0</v>
      </c>
      <c r="AE1880" s="15">
        <v>0</v>
      </c>
    </row>
    <row r="1881" spans="1:31" ht="14.15" customHeight="1" x14ac:dyDescent="0.25">
      <c r="A1881" s="12" t="s">
        <v>0</v>
      </c>
      <c r="B1881" s="13" t="s">
        <v>1</v>
      </c>
      <c r="C1881" s="13" t="s">
        <v>3889</v>
      </c>
      <c r="D1881" s="14">
        <v>44353</v>
      </c>
      <c r="E1881" s="14">
        <v>44353</v>
      </c>
      <c r="F1881" s="14">
        <v>44356</v>
      </c>
      <c r="G1881" s="13" t="s">
        <v>3</v>
      </c>
      <c r="H1881" s="13" t="s">
        <v>4</v>
      </c>
      <c r="I1881" s="15">
        <v>-7136.47</v>
      </c>
      <c r="J1881" s="13" t="s">
        <v>5</v>
      </c>
      <c r="K1881" s="13" t="s">
        <v>6</v>
      </c>
      <c r="L1881" s="15">
        <v>-599106.66</v>
      </c>
      <c r="M1881" s="15">
        <v>-7136.47</v>
      </c>
      <c r="N1881" s="16" t="str">
        <f>IF(M1881="","",IF(M1881&lt;0,-M1881&amp;"_"&amp;COUNTIF(M$2:M1881,M1881),M1881&amp;"_"&amp;COUNTIF(M$2:M1881,M1881)))</f>
        <v>7136.47_1</v>
      </c>
      <c r="O1881" s="17" t="str">
        <f t="shared" si="29"/>
        <v/>
      </c>
      <c r="P1881" s="13" t="s">
        <v>3890</v>
      </c>
      <c r="Q1881" s="13" t="s">
        <v>3886</v>
      </c>
      <c r="R1881" s="13" t="s">
        <v>0</v>
      </c>
      <c r="S1881" s="13" t="s">
        <v>0</v>
      </c>
      <c r="T1881" s="13" t="s">
        <v>9</v>
      </c>
      <c r="U1881" s="13" t="s">
        <v>0</v>
      </c>
      <c r="V1881" s="13" t="s">
        <v>0</v>
      </c>
      <c r="W1881" s="13" t="s">
        <v>0</v>
      </c>
      <c r="X1881" s="13" t="s">
        <v>0</v>
      </c>
      <c r="Y1881" s="13" t="s">
        <v>10</v>
      </c>
      <c r="Z1881" s="13" t="s">
        <v>0</v>
      </c>
      <c r="AA1881" s="14"/>
      <c r="AB1881" s="13" t="s">
        <v>0</v>
      </c>
      <c r="AC1881" s="13" t="s">
        <v>0</v>
      </c>
      <c r="AD1881" s="13" t="s">
        <v>0</v>
      </c>
      <c r="AE1881" s="15">
        <v>0</v>
      </c>
    </row>
    <row r="1882" spans="1:31" ht="14.15" customHeight="1" x14ac:dyDescent="0.25">
      <c r="A1882" s="12" t="s">
        <v>0</v>
      </c>
      <c r="B1882" s="13" t="s">
        <v>1</v>
      </c>
      <c r="C1882" s="13" t="s">
        <v>2157</v>
      </c>
      <c r="D1882" s="14">
        <v>44209</v>
      </c>
      <c r="E1882" s="14">
        <v>44209</v>
      </c>
      <c r="F1882" s="14">
        <v>44216</v>
      </c>
      <c r="G1882" s="13" t="s">
        <v>3</v>
      </c>
      <c r="H1882" s="13" t="s">
        <v>4</v>
      </c>
      <c r="I1882" s="15">
        <v>-7135.69</v>
      </c>
      <c r="J1882" s="13" t="s">
        <v>5</v>
      </c>
      <c r="K1882" s="13" t="s">
        <v>6</v>
      </c>
      <c r="L1882" s="15">
        <v>-599041.18000000005</v>
      </c>
      <c r="M1882" s="15">
        <v>-7135.69</v>
      </c>
      <c r="N1882" s="16" t="str">
        <f>IF(M1882="","",IF(M1882&lt;0,-M1882&amp;"_"&amp;COUNTIF(M$2:M1882,M1882),M1882&amp;"_"&amp;COUNTIF(M$2:M1882,M1882)))</f>
        <v>7135.69_1</v>
      </c>
      <c r="O1882" s="17" t="str">
        <f t="shared" si="29"/>
        <v/>
      </c>
      <c r="P1882" s="13" t="s">
        <v>2158</v>
      </c>
      <c r="Q1882" s="13" t="s">
        <v>2159</v>
      </c>
      <c r="R1882" s="13" t="s">
        <v>0</v>
      </c>
      <c r="S1882" s="13" t="s">
        <v>0</v>
      </c>
      <c r="T1882" s="13" t="s">
        <v>9</v>
      </c>
      <c r="U1882" s="13" t="s">
        <v>0</v>
      </c>
      <c r="V1882" s="13" t="s">
        <v>0</v>
      </c>
      <c r="W1882" s="13" t="s">
        <v>0</v>
      </c>
      <c r="X1882" s="13" t="s">
        <v>0</v>
      </c>
      <c r="Y1882" s="13" t="s">
        <v>10</v>
      </c>
      <c r="Z1882" s="13" t="s">
        <v>0</v>
      </c>
      <c r="AA1882" s="14"/>
      <c r="AB1882" s="13" t="s">
        <v>0</v>
      </c>
      <c r="AC1882" s="13" t="s">
        <v>0</v>
      </c>
      <c r="AD1882" s="13" t="s">
        <v>0</v>
      </c>
      <c r="AE1882" s="15">
        <v>0</v>
      </c>
    </row>
    <row r="1883" spans="1:31" ht="14.15" customHeight="1" x14ac:dyDescent="0.25">
      <c r="A1883" s="12" t="s">
        <v>0</v>
      </c>
      <c r="B1883" s="13" t="s">
        <v>1</v>
      </c>
      <c r="C1883" s="13" t="s">
        <v>2143</v>
      </c>
      <c r="D1883" s="14">
        <v>44207</v>
      </c>
      <c r="E1883" s="14">
        <v>44207</v>
      </c>
      <c r="F1883" s="14">
        <v>44214</v>
      </c>
      <c r="G1883" s="13" t="s">
        <v>3</v>
      </c>
      <c r="H1883" s="13" t="s">
        <v>4</v>
      </c>
      <c r="I1883" s="15">
        <v>-7105.3</v>
      </c>
      <c r="J1883" s="13" t="s">
        <v>5</v>
      </c>
      <c r="K1883" s="13" t="s">
        <v>6</v>
      </c>
      <c r="L1883" s="15">
        <v>-596489.93999999994</v>
      </c>
      <c r="M1883" s="15">
        <v>-7105.3</v>
      </c>
      <c r="N1883" s="16" t="str">
        <f>IF(M1883="","",IF(M1883&lt;0,-M1883&amp;"_"&amp;COUNTIF(M$2:M1883,M1883),M1883&amp;"_"&amp;COUNTIF(M$2:M1883,M1883)))</f>
        <v>7105.3_1</v>
      </c>
      <c r="O1883" s="17" t="str">
        <f t="shared" si="29"/>
        <v/>
      </c>
      <c r="P1883" s="13" t="s">
        <v>2144</v>
      </c>
      <c r="Q1883" s="13" t="s">
        <v>2145</v>
      </c>
      <c r="R1883" s="13" t="s">
        <v>0</v>
      </c>
      <c r="S1883" s="13" t="s">
        <v>0</v>
      </c>
      <c r="T1883" s="13" t="s">
        <v>9</v>
      </c>
      <c r="U1883" s="13" t="s">
        <v>0</v>
      </c>
      <c r="V1883" s="13" t="s">
        <v>0</v>
      </c>
      <c r="W1883" s="13" t="s">
        <v>0</v>
      </c>
      <c r="X1883" s="13" t="s">
        <v>0</v>
      </c>
      <c r="Y1883" s="13" t="s">
        <v>10</v>
      </c>
      <c r="Z1883" s="13" t="s">
        <v>0</v>
      </c>
      <c r="AA1883" s="14"/>
      <c r="AB1883" s="13" t="s">
        <v>0</v>
      </c>
      <c r="AC1883" s="13" t="s">
        <v>0</v>
      </c>
      <c r="AD1883" s="13" t="s">
        <v>0</v>
      </c>
      <c r="AE1883" s="15">
        <v>0</v>
      </c>
    </row>
    <row r="1884" spans="1:31" ht="14.15" customHeight="1" x14ac:dyDescent="0.25">
      <c r="A1884" s="12" t="s">
        <v>0</v>
      </c>
      <c r="B1884" s="13" t="s">
        <v>1</v>
      </c>
      <c r="C1884" s="13" t="s">
        <v>1216</v>
      </c>
      <c r="D1884" s="14">
        <v>44140</v>
      </c>
      <c r="E1884" s="14">
        <v>44140</v>
      </c>
      <c r="F1884" s="14">
        <v>44151</v>
      </c>
      <c r="G1884" s="13" t="s">
        <v>3</v>
      </c>
      <c r="H1884" s="13" t="s">
        <v>4</v>
      </c>
      <c r="I1884" s="15">
        <v>-7091.02</v>
      </c>
      <c r="J1884" s="13" t="s">
        <v>5</v>
      </c>
      <c r="K1884" s="13" t="s">
        <v>6</v>
      </c>
      <c r="L1884" s="15">
        <v>-595291.13</v>
      </c>
      <c r="M1884" s="15">
        <v>-7091.02</v>
      </c>
      <c r="N1884" s="16" t="str">
        <f>IF(M1884="","",IF(M1884&lt;0,-M1884&amp;"_"&amp;COUNTIF(M$2:M1884,M1884),M1884&amp;"_"&amp;COUNTIF(M$2:M1884,M1884)))</f>
        <v>7091.02_1</v>
      </c>
      <c r="O1884" s="17" t="str">
        <f t="shared" si="29"/>
        <v/>
      </c>
      <c r="P1884" s="13" t="s">
        <v>1217</v>
      </c>
      <c r="Q1884" s="13" t="s">
        <v>1165</v>
      </c>
      <c r="R1884" s="13" t="s">
        <v>0</v>
      </c>
      <c r="S1884" s="13" t="s">
        <v>0</v>
      </c>
      <c r="T1884" s="13" t="s">
        <v>9</v>
      </c>
      <c r="U1884" s="13" t="s">
        <v>0</v>
      </c>
      <c r="V1884" s="13" t="s">
        <v>0</v>
      </c>
      <c r="W1884" s="13" t="s">
        <v>0</v>
      </c>
      <c r="X1884" s="13" t="s">
        <v>0</v>
      </c>
      <c r="Y1884" s="13" t="s">
        <v>10</v>
      </c>
      <c r="Z1884" s="13" t="s">
        <v>0</v>
      </c>
      <c r="AA1884" s="14"/>
      <c r="AB1884" s="13" t="s">
        <v>0</v>
      </c>
      <c r="AC1884" s="13" t="s">
        <v>0</v>
      </c>
      <c r="AD1884" s="13" t="s">
        <v>0</v>
      </c>
      <c r="AE1884" s="15">
        <v>0</v>
      </c>
    </row>
    <row r="1885" spans="1:31" ht="14.15" customHeight="1" x14ac:dyDescent="0.25">
      <c r="A1885" s="12" t="s">
        <v>0</v>
      </c>
      <c r="B1885" s="13" t="s">
        <v>1</v>
      </c>
      <c r="C1885" s="13" t="s">
        <v>1844</v>
      </c>
      <c r="D1885" s="14">
        <v>44184</v>
      </c>
      <c r="E1885" s="14">
        <v>44184</v>
      </c>
      <c r="F1885" s="14">
        <v>44202</v>
      </c>
      <c r="G1885" s="13" t="s">
        <v>3</v>
      </c>
      <c r="H1885" s="13" t="s">
        <v>4</v>
      </c>
      <c r="I1885" s="15">
        <v>-7086.17</v>
      </c>
      <c r="J1885" s="13" t="s">
        <v>5</v>
      </c>
      <c r="K1885" s="13" t="s">
        <v>6</v>
      </c>
      <c r="L1885" s="15">
        <v>-594883.97</v>
      </c>
      <c r="M1885" s="15">
        <v>-7086.17</v>
      </c>
      <c r="N1885" s="16" t="str">
        <f>IF(M1885="","",IF(M1885&lt;0,-M1885&amp;"_"&amp;COUNTIF(M$2:M1885,M1885),M1885&amp;"_"&amp;COUNTIF(M$2:M1885,M1885)))</f>
        <v>7086.17_1</v>
      </c>
      <c r="O1885" s="17" t="str">
        <f t="shared" si="29"/>
        <v/>
      </c>
      <c r="P1885" s="13" t="s">
        <v>1845</v>
      </c>
      <c r="Q1885" s="13" t="s">
        <v>1831</v>
      </c>
      <c r="R1885" s="13" t="s">
        <v>0</v>
      </c>
      <c r="S1885" s="13" t="s">
        <v>0</v>
      </c>
      <c r="T1885" s="13" t="s">
        <v>9</v>
      </c>
      <c r="U1885" s="13" t="s">
        <v>0</v>
      </c>
      <c r="V1885" s="13" t="s">
        <v>0</v>
      </c>
      <c r="W1885" s="13" t="s">
        <v>0</v>
      </c>
      <c r="X1885" s="13" t="s">
        <v>0</v>
      </c>
      <c r="Y1885" s="13" t="s">
        <v>10</v>
      </c>
      <c r="Z1885" s="13" t="s">
        <v>0</v>
      </c>
      <c r="AA1885" s="14"/>
      <c r="AB1885" s="13" t="s">
        <v>0</v>
      </c>
      <c r="AC1885" s="13" t="s">
        <v>0</v>
      </c>
      <c r="AD1885" s="13" t="s">
        <v>0</v>
      </c>
      <c r="AE1885" s="15">
        <v>0</v>
      </c>
    </row>
    <row r="1886" spans="1:31" ht="14.15" customHeight="1" x14ac:dyDescent="0.25">
      <c r="A1886" s="12" t="s">
        <v>0</v>
      </c>
      <c r="B1886" s="13" t="s">
        <v>1</v>
      </c>
      <c r="C1886" s="13" t="s">
        <v>2583</v>
      </c>
      <c r="D1886" s="14">
        <v>44243</v>
      </c>
      <c r="E1886" s="14">
        <v>44243</v>
      </c>
      <c r="F1886" s="14">
        <v>44249</v>
      </c>
      <c r="G1886" s="13" t="s">
        <v>3</v>
      </c>
      <c r="H1886" s="13" t="s">
        <v>4</v>
      </c>
      <c r="I1886" s="15">
        <v>-7062.48</v>
      </c>
      <c r="J1886" s="13" t="s">
        <v>5</v>
      </c>
      <c r="K1886" s="13" t="s">
        <v>6</v>
      </c>
      <c r="L1886" s="15">
        <v>-592895.19999999995</v>
      </c>
      <c r="M1886" s="15">
        <v>-7062.48</v>
      </c>
      <c r="N1886" s="16" t="str">
        <f>IF(M1886="","",IF(M1886&lt;0,-M1886&amp;"_"&amp;COUNTIF(M$2:M1886,M1886),M1886&amp;"_"&amp;COUNTIF(M$2:M1886,M1886)))</f>
        <v>7062.48_1</v>
      </c>
      <c r="O1886" s="17" t="str">
        <f t="shared" si="29"/>
        <v/>
      </c>
      <c r="P1886" s="13" t="s">
        <v>2584</v>
      </c>
      <c r="Q1886" s="13" t="s">
        <v>2574</v>
      </c>
      <c r="R1886" s="13" t="s">
        <v>0</v>
      </c>
      <c r="S1886" s="13" t="s">
        <v>0</v>
      </c>
      <c r="T1886" s="13" t="s">
        <v>9</v>
      </c>
      <c r="U1886" s="13" t="s">
        <v>0</v>
      </c>
      <c r="V1886" s="13" t="s">
        <v>0</v>
      </c>
      <c r="W1886" s="13" t="s">
        <v>0</v>
      </c>
      <c r="X1886" s="13" t="s">
        <v>0</v>
      </c>
      <c r="Y1886" s="13" t="s">
        <v>10</v>
      </c>
      <c r="Z1886" s="13" t="s">
        <v>0</v>
      </c>
      <c r="AA1886" s="14"/>
      <c r="AB1886" s="13" t="s">
        <v>0</v>
      </c>
      <c r="AC1886" s="13" t="s">
        <v>0</v>
      </c>
      <c r="AD1886" s="13" t="s">
        <v>0</v>
      </c>
      <c r="AE1886" s="15">
        <v>0</v>
      </c>
    </row>
    <row r="1887" spans="1:31" ht="14.15" customHeight="1" x14ac:dyDescent="0.25">
      <c r="A1887" s="12" t="s">
        <v>0</v>
      </c>
      <c r="B1887" s="13" t="s">
        <v>1</v>
      </c>
      <c r="C1887" s="13" t="s">
        <v>3166</v>
      </c>
      <c r="D1887" s="14">
        <v>44298</v>
      </c>
      <c r="E1887" s="14">
        <v>44298</v>
      </c>
      <c r="F1887" s="14">
        <v>44308</v>
      </c>
      <c r="G1887" s="13" t="s">
        <v>3</v>
      </c>
      <c r="H1887" s="13" t="s">
        <v>4</v>
      </c>
      <c r="I1887" s="15">
        <v>-7062.48</v>
      </c>
      <c r="J1887" s="13" t="s">
        <v>5</v>
      </c>
      <c r="K1887" s="13" t="s">
        <v>6</v>
      </c>
      <c r="L1887" s="15">
        <v>-592895.19999999995</v>
      </c>
      <c r="M1887" s="15">
        <v>-7062.48</v>
      </c>
      <c r="N1887" s="16" t="str">
        <f>IF(M1887="","",IF(M1887&lt;0,-M1887&amp;"_"&amp;COUNTIF(M$2:M1887,M1887),M1887&amp;"_"&amp;COUNTIF(M$2:M1887,M1887)))</f>
        <v>7062.48_2</v>
      </c>
      <c r="O1887" s="17" t="str">
        <f t="shared" si="29"/>
        <v/>
      </c>
      <c r="P1887" s="13" t="s">
        <v>3167</v>
      </c>
      <c r="Q1887" s="13" t="s">
        <v>3163</v>
      </c>
      <c r="R1887" s="13" t="s">
        <v>0</v>
      </c>
      <c r="S1887" s="13" t="s">
        <v>0</v>
      </c>
      <c r="T1887" s="13" t="s">
        <v>9</v>
      </c>
      <c r="U1887" s="13" t="s">
        <v>0</v>
      </c>
      <c r="V1887" s="13" t="s">
        <v>0</v>
      </c>
      <c r="W1887" s="13" t="s">
        <v>0</v>
      </c>
      <c r="X1887" s="13" t="s">
        <v>0</v>
      </c>
      <c r="Y1887" s="13" t="s">
        <v>10</v>
      </c>
      <c r="Z1887" s="13" t="s">
        <v>0</v>
      </c>
      <c r="AA1887" s="14"/>
      <c r="AB1887" s="13" t="s">
        <v>0</v>
      </c>
      <c r="AC1887" s="13" t="s">
        <v>0</v>
      </c>
      <c r="AD1887" s="13" t="s">
        <v>0</v>
      </c>
      <c r="AE1887" s="15">
        <v>0</v>
      </c>
    </row>
    <row r="1888" spans="1:31" ht="14.15" customHeight="1" x14ac:dyDescent="0.25">
      <c r="A1888" s="12" t="s">
        <v>0</v>
      </c>
      <c r="B1888" s="13" t="s">
        <v>1</v>
      </c>
      <c r="C1888" s="13" t="s">
        <v>1836</v>
      </c>
      <c r="D1888" s="14">
        <v>44184</v>
      </c>
      <c r="E1888" s="14">
        <v>44184</v>
      </c>
      <c r="F1888" s="14">
        <v>44196</v>
      </c>
      <c r="G1888" s="13" t="s">
        <v>3</v>
      </c>
      <c r="H1888" s="13" t="s">
        <v>4</v>
      </c>
      <c r="I1888" s="15">
        <v>-7060.15</v>
      </c>
      <c r="J1888" s="13" t="s">
        <v>5</v>
      </c>
      <c r="K1888" s="13" t="s">
        <v>6</v>
      </c>
      <c r="L1888" s="15">
        <v>-592699.59</v>
      </c>
      <c r="M1888" s="15">
        <v>-7060.15</v>
      </c>
      <c r="N1888" s="16" t="str">
        <f>IF(M1888="","",IF(M1888&lt;0,-M1888&amp;"_"&amp;COUNTIF(M$2:M1888,M1888),M1888&amp;"_"&amp;COUNTIF(M$2:M1888,M1888)))</f>
        <v>7060.15_1</v>
      </c>
      <c r="O1888" s="17" t="str">
        <f t="shared" si="29"/>
        <v/>
      </c>
      <c r="P1888" s="13" t="s">
        <v>1837</v>
      </c>
      <c r="Q1888" s="13" t="s">
        <v>1831</v>
      </c>
      <c r="R1888" s="13" t="s">
        <v>0</v>
      </c>
      <c r="S1888" s="13" t="s">
        <v>0</v>
      </c>
      <c r="T1888" s="13" t="s">
        <v>9</v>
      </c>
      <c r="U1888" s="13" t="s">
        <v>0</v>
      </c>
      <c r="V1888" s="13" t="s">
        <v>0</v>
      </c>
      <c r="W1888" s="13" t="s">
        <v>0</v>
      </c>
      <c r="X1888" s="13" t="s">
        <v>0</v>
      </c>
      <c r="Y1888" s="13" t="s">
        <v>10</v>
      </c>
      <c r="Z1888" s="13" t="s">
        <v>0</v>
      </c>
      <c r="AA1888" s="14"/>
      <c r="AB1888" s="13" t="s">
        <v>0</v>
      </c>
      <c r="AC1888" s="13" t="s">
        <v>0</v>
      </c>
      <c r="AD1888" s="13" t="s">
        <v>0</v>
      </c>
      <c r="AE1888" s="15">
        <v>0</v>
      </c>
    </row>
    <row r="1889" spans="1:31" ht="14.15" customHeight="1" x14ac:dyDescent="0.25">
      <c r="A1889" s="12" t="s">
        <v>0</v>
      </c>
      <c r="B1889" s="13" t="s">
        <v>1</v>
      </c>
      <c r="C1889" s="13" t="s">
        <v>2187</v>
      </c>
      <c r="D1889" s="14">
        <v>44210</v>
      </c>
      <c r="E1889" s="14">
        <v>44210</v>
      </c>
      <c r="F1889" s="14">
        <v>44217</v>
      </c>
      <c r="G1889" s="13" t="s">
        <v>3</v>
      </c>
      <c r="H1889" s="13" t="s">
        <v>4</v>
      </c>
      <c r="I1889" s="15">
        <v>-7045.37</v>
      </c>
      <c r="J1889" s="13" t="s">
        <v>5</v>
      </c>
      <c r="K1889" s="13" t="s">
        <v>6</v>
      </c>
      <c r="L1889" s="15">
        <v>-591458.81000000006</v>
      </c>
      <c r="M1889" s="15">
        <v>-7045.37</v>
      </c>
      <c r="N1889" s="16" t="str">
        <f>IF(M1889="","",IF(M1889&lt;0,-M1889&amp;"_"&amp;COUNTIF(M$2:M1889,M1889),M1889&amp;"_"&amp;COUNTIF(M$2:M1889,M1889)))</f>
        <v>7045.37_1</v>
      </c>
      <c r="O1889" s="17" t="str">
        <f t="shared" si="29"/>
        <v/>
      </c>
      <c r="P1889" s="13" t="s">
        <v>2188</v>
      </c>
      <c r="Q1889" s="13" t="s">
        <v>2176</v>
      </c>
      <c r="R1889" s="13" t="s">
        <v>0</v>
      </c>
      <c r="S1889" s="13" t="s">
        <v>0</v>
      </c>
      <c r="T1889" s="13" t="s">
        <v>9</v>
      </c>
      <c r="U1889" s="13" t="s">
        <v>0</v>
      </c>
      <c r="V1889" s="13" t="s">
        <v>0</v>
      </c>
      <c r="W1889" s="13" t="s">
        <v>0</v>
      </c>
      <c r="X1889" s="13" t="s">
        <v>0</v>
      </c>
      <c r="Y1889" s="13" t="s">
        <v>10</v>
      </c>
      <c r="Z1889" s="13" t="s">
        <v>0</v>
      </c>
      <c r="AA1889" s="14"/>
      <c r="AB1889" s="13" t="s">
        <v>0</v>
      </c>
      <c r="AC1889" s="13" t="s">
        <v>0</v>
      </c>
      <c r="AD1889" s="13" t="s">
        <v>0</v>
      </c>
      <c r="AE1889" s="15">
        <v>0</v>
      </c>
    </row>
    <row r="1890" spans="1:31" ht="14.15" customHeight="1" x14ac:dyDescent="0.25">
      <c r="A1890" s="12" t="s">
        <v>0</v>
      </c>
      <c r="B1890" s="13" t="s">
        <v>1</v>
      </c>
      <c r="C1890" s="13" t="s">
        <v>2974</v>
      </c>
      <c r="D1890" s="14">
        <v>44278</v>
      </c>
      <c r="E1890" s="14">
        <v>44278</v>
      </c>
      <c r="F1890" s="14">
        <v>44292</v>
      </c>
      <c r="G1890" s="13" t="s">
        <v>3</v>
      </c>
      <c r="H1890" s="13" t="s">
        <v>4</v>
      </c>
      <c r="I1890" s="15">
        <v>-7037.69</v>
      </c>
      <c r="J1890" s="13" t="s">
        <v>5</v>
      </c>
      <c r="K1890" s="13" t="s">
        <v>6</v>
      </c>
      <c r="L1890" s="15">
        <v>-590814.06999999995</v>
      </c>
      <c r="M1890" s="15">
        <v>-7037.69</v>
      </c>
      <c r="N1890" s="16" t="str">
        <f>IF(M1890="","",IF(M1890&lt;0,-M1890&amp;"_"&amp;COUNTIF(M$2:M1890,M1890),M1890&amp;"_"&amp;COUNTIF(M$2:M1890,M1890)))</f>
        <v>7037.69_1</v>
      </c>
      <c r="O1890" s="17" t="str">
        <f t="shared" si="29"/>
        <v/>
      </c>
      <c r="P1890" s="13" t="s">
        <v>2975</v>
      </c>
      <c r="Q1890" s="13" t="s">
        <v>2964</v>
      </c>
      <c r="R1890" s="13" t="s">
        <v>0</v>
      </c>
      <c r="S1890" s="13" t="s">
        <v>0</v>
      </c>
      <c r="T1890" s="13" t="s">
        <v>9</v>
      </c>
      <c r="U1890" s="13" t="s">
        <v>0</v>
      </c>
      <c r="V1890" s="13" t="s">
        <v>0</v>
      </c>
      <c r="W1890" s="13" t="s">
        <v>0</v>
      </c>
      <c r="X1890" s="13" t="s">
        <v>0</v>
      </c>
      <c r="Y1890" s="13" t="s">
        <v>10</v>
      </c>
      <c r="Z1890" s="13" t="s">
        <v>0</v>
      </c>
      <c r="AA1890" s="14"/>
      <c r="AB1890" s="13" t="s">
        <v>0</v>
      </c>
      <c r="AC1890" s="13" t="s">
        <v>0</v>
      </c>
      <c r="AD1890" s="13" t="s">
        <v>0</v>
      </c>
      <c r="AE1890" s="15">
        <v>0</v>
      </c>
    </row>
    <row r="1891" spans="1:31" ht="14.15" customHeight="1" x14ac:dyDescent="0.25">
      <c r="A1891" s="12" t="s">
        <v>0</v>
      </c>
      <c r="B1891" s="13" t="s">
        <v>1</v>
      </c>
      <c r="C1891" s="13" t="s">
        <v>81</v>
      </c>
      <c r="D1891" s="14">
        <v>44020</v>
      </c>
      <c r="E1891" s="14">
        <v>44020</v>
      </c>
      <c r="F1891" s="14">
        <v>44037</v>
      </c>
      <c r="G1891" s="13" t="s">
        <v>3</v>
      </c>
      <c r="H1891" s="13" t="s">
        <v>4</v>
      </c>
      <c r="I1891" s="15">
        <v>-7036.58</v>
      </c>
      <c r="J1891" s="13" t="s">
        <v>5</v>
      </c>
      <c r="K1891" s="13" t="s">
        <v>6</v>
      </c>
      <c r="L1891" s="15">
        <v>-590720.89</v>
      </c>
      <c r="M1891" s="15">
        <v>-7036.58</v>
      </c>
      <c r="N1891" s="16" t="str">
        <f>IF(M1891="","",IF(M1891&lt;0,-M1891&amp;"_"&amp;COUNTIF(M$2:M1891,M1891),M1891&amp;"_"&amp;COUNTIF(M$2:M1891,M1891)))</f>
        <v>7036.58_1</v>
      </c>
      <c r="O1891" s="17" t="str">
        <f t="shared" si="29"/>
        <v/>
      </c>
      <c r="P1891" s="13" t="s">
        <v>82</v>
      </c>
      <c r="Q1891" s="13" t="s">
        <v>70</v>
      </c>
      <c r="R1891" s="13" t="s">
        <v>0</v>
      </c>
      <c r="S1891" s="13" t="s">
        <v>0</v>
      </c>
      <c r="T1891" s="13" t="s">
        <v>9</v>
      </c>
      <c r="U1891" s="13" t="s">
        <v>0</v>
      </c>
      <c r="V1891" s="13" t="s">
        <v>0</v>
      </c>
      <c r="W1891" s="13" t="s">
        <v>0</v>
      </c>
      <c r="X1891" s="13" t="s">
        <v>0</v>
      </c>
      <c r="Y1891" s="13" t="s">
        <v>10</v>
      </c>
      <c r="Z1891" s="13" t="s">
        <v>0</v>
      </c>
      <c r="AA1891" s="14"/>
      <c r="AB1891" s="13" t="s">
        <v>0</v>
      </c>
      <c r="AC1891" s="13" t="s">
        <v>0</v>
      </c>
      <c r="AD1891" s="13" t="s">
        <v>0</v>
      </c>
      <c r="AE1891" s="15">
        <v>0</v>
      </c>
    </row>
    <row r="1892" spans="1:31" ht="14.15" customHeight="1" x14ac:dyDescent="0.25">
      <c r="A1892" s="12" t="s">
        <v>0</v>
      </c>
      <c r="B1892" s="13" t="s">
        <v>1</v>
      </c>
      <c r="C1892" s="13" t="s">
        <v>3249</v>
      </c>
      <c r="D1892" s="14">
        <v>44308</v>
      </c>
      <c r="E1892" s="14">
        <v>44308</v>
      </c>
      <c r="F1892" s="14">
        <v>44312</v>
      </c>
      <c r="G1892" s="13" t="s">
        <v>3</v>
      </c>
      <c r="H1892" s="13" t="s">
        <v>4</v>
      </c>
      <c r="I1892" s="15">
        <v>-7034.61</v>
      </c>
      <c r="J1892" s="13" t="s">
        <v>5</v>
      </c>
      <c r="K1892" s="13" t="s">
        <v>6</v>
      </c>
      <c r="L1892" s="15">
        <v>-590555.51</v>
      </c>
      <c r="M1892" s="15">
        <v>-7034.61</v>
      </c>
      <c r="N1892" s="16" t="str">
        <f>IF(M1892="","",IF(M1892&lt;0,-M1892&amp;"_"&amp;COUNTIF(M$2:M1892,M1892),M1892&amp;"_"&amp;COUNTIF(M$2:M1892,M1892)))</f>
        <v>7034.61_1</v>
      </c>
      <c r="O1892" s="17" t="str">
        <f t="shared" si="29"/>
        <v/>
      </c>
      <c r="P1892" s="13" t="s">
        <v>3250</v>
      </c>
      <c r="Q1892" s="13" t="s">
        <v>3251</v>
      </c>
      <c r="R1892" s="13" t="s">
        <v>0</v>
      </c>
      <c r="S1892" s="13" t="s">
        <v>0</v>
      </c>
      <c r="T1892" s="13" t="s">
        <v>9</v>
      </c>
      <c r="U1892" s="13" t="s">
        <v>0</v>
      </c>
      <c r="V1892" s="13" t="s">
        <v>0</v>
      </c>
      <c r="W1892" s="13" t="s">
        <v>0</v>
      </c>
      <c r="X1892" s="13" t="s">
        <v>0</v>
      </c>
      <c r="Y1892" s="13" t="s">
        <v>10</v>
      </c>
      <c r="Z1892" s="13" t="s">
        <v>0</v>
      </c>
      <c r="AA1892" s="14"/>
      <c r="AB1892" s="13" t="s">
        <v>0</v>
      </c>
      <c r="AC1892" s="13" t="s">
        <v>0</v>
      </c>
      <c r="AD1892" s="13" t="s">
        <v>0</v>
      </c>
      <c r="AE1892" s="15">
        <v>0</v>
      </c>
    </row>
    <row r="1893" spans="1:31" ht="14.15" customHeight="1" x14ac:dyDescent="0.25">
      <c r="A1893" s="12" t="s">
        <v>0</v>
      </c>
      <c r="B1893" s="13" t="s">
        <v>1</v>
      </c>
      <c r="C1893" s="13" t="s">
        <v>1957</v>
      </c>
      <c r="D1893" s="14">
        <v>44195</v>
      </c>
      <c r="E1893" s="14">
        <v>44195</v>
      </c>
      <c r="F1893" s="14">
        <v>44199</v>
      </c>
      <c r="G1893" s="13" t="s">
        <v>3</v>
      </c>
      <c r="H1893" s="13" t="s">
        <v>4</v>
      </c>
      <c r="I1893" s="15">
        <v>-7031.48</v>
      </c>
      <c r="J1893" s="13" t="s">
        <v>5</v>
      </c>
      <c r="K1893" s="13" t="s">
        <v>6</v>
      </c>
      <c r="L1893" s="15">
        <v>-590292.75</v>
      </c>
      <c r="M1893" s="15">
        <v>-7031.48</v>
      </c>
      <c r="N1893" s="16" t="str">
        <f>IF(M1893="","",IF(M1893&lt;0,-M1893&amp;"_"&amp;COUNTIF(M$2:M1893,M1893),M1893&amp;"_"&amp;COUNTIF(M$2:M1893,M1893)))</f>
        <v>7031.48_1</v>
      </c>
      <c r="O1893" s="17" t="str">
        <f t="shared" si="29"/>
        <v/>
      </c>
      <c r="P1893" s="13" t="s">
        <v>1958</v>
      </c>
      <c r="Q1893" s="13" t="s">
        <v>1956</v>
      </c>
      <c r="R1893" s="13" t="s">
        <v>0</v>
      </c>
      <c r="S1893" s="13" t="s">
        <v>0</v>
      </c>
      <c r="T1893" s="13" t="s">
        <v>9</v>
      </c>
      <c r="U1893" s="13" t="s">
        <v>0</v>
      </c>
      <c r="V1893" s="13" t="s">
        <v>0</v>
      </c>
      <c r="W1893" s="13" t="s">
        <v>0</v>
      </c>
      <c r="X1893" s="13" t="s">
        <v>0</v>
      </c>
      <c r="Y1893" s="13" t="s">
        <v>10</v>
      </c>
      <c r="Z1893" s="13" t="s">
        <v>0</v>
      </c>
      <c r="AA1893" s="14"/>
      <c r="AB1893" s="13" t="s">
        <v>0</v>
      </c>
      <c r="AC1893" s="13" t="s">
        <v>0</v>
      </c>
      <c r="AD1893" s="13" t="s">
        <v>0</v>
      </c>
      <c r="AE1893" s="15">
        <v>0</v>
      </c>
    </row>
    <row r="1894" spans="1:31" ht="14.15" customHeight="1" x14ac:dyDescent="0.25">
      <c r="A1894" s="12" t="s">
        <v>0</v>
      </c>
      <c r="B1894" s="13" t="s">
        <v>1</v>
      </c>
      <c r="C1894" s="13" t="s">
        <v>3029</v>
      </c>
      <c r="D1894" s="14">
        <v>44281</v>
      </c>
      <c r="E1894" s="14">
        <v>44281</v>
      </c>
      <c r="F1894" s="14">
        <v>44290</v>
      </c>
      <c r="G1894" s="13" t="s">
        <v>3</v>
      </c>
      <c r="H1894" s="13" t="s">
        <v>4</v>
      </c>
      <c r="I1894" s="15">
        <v>-7022.58</v>
      </c>
      <c r="J1894" s="13" t="s">
        <v>5</v>
      </c>
      <c r="K1894" s="13" t="s">
        <v>6</v>
      </c>
      <c r="L1894" s="15">
        <v>-589545.59</v>
      </c>
      <c r="M1894" s="15">
        <v>-7022.58</v>
      </c>
      <c r="N1894" s="16" t="str">
        <f>IF(M1894="","",IF(M1894&lt;0,-M1894&amp;"_"&amp;COUNTIF(M$2:M1894,M1894),M1894&amp;"_"&amp;COUNTIF(M$2:M1894,M1894)))</f>
        <v>7022.58_1</v>
      </c>
      <c r="O1894" s="17" t="str">
        <f t="shared" si="29"/>
        <v/>
      </c>
      <c r="P1894" s="13" t="s">
        <v>3030</v>
      </c>
      <c r="Q1894" s="13" t="s">
        <v>3014</v>
      </c>
      <c r="R1894" s="13" t="s">
        <v>0</v>
      </c>
      <c r="S1894" s="13" t="s">
        <v>0</v>
      </c>
      <c r="T1894" s="13" t="s">
        <v>9</v>
      </c>
      <c r="U1894" s="13" t="s">
        <v>0</v>
      </c>
      <c r="V1894" s="13" t="s">
        <v>0</v>
      </c>
      <c r="W1894" s="13" t="s">
        <v>0</v>
      </c>
      <c r="X1894" s="13" t="s">
        <v>0</v>
      </c>
      <c r="Y1894" s="13" t="s">
        <v>10</v>
      </c>
      <c r="Z1894" s="13" t="s">
        <v>0</v>
      </c>
      <c r="AA1894" s="14"/>
      <c r="AB1894" s="13" t="s">
        <v>0</v>
      </c>
      <c r="AC1894" s="13" t="s">
        <v>0</v>
      </c>
      <c r="AD1894" s="13" t="s">
        <v>0</v>
      </c>
      <c r="AE1894" s="15">
        <v>0</v>
      </c>
    </row>
    <row r="1895" spans="1:31" ht="14.15" customHeight="1" x14ac:dyDescent="0.25">
      <c r="A1895" s="12" t="s">
        <v>0</v>
      </c>
      <c r="B1895" s="13" t="s">
        <v>1</v>
      </c>
      <c r="C1895" s="13" t="s">
        <v>279</v>
      </c>
      <c r="D1895" s="14">
        <v>44042</v>
      </c>
      <c r="E1895" s="14">
        <v>44042</v>
      </c>
      <c r="F1895" s="14">
        <v>44053</v>
      </c>
      <c r="G1895" s="13" t="s">
        <v>3</v>
      </c>
      <c r="H1895" s="13" t="s">
        <v>4</v>
      </c>
      <c r="I1895" s="15">
        <v>-7019.18</v>
      </c>
      <c r="J1895" s="13" t="s">
        <v>5</v>
      </c>
      <c r="K1895" s="13" t="s">
        <v>6</v>
      </c>
      <c r="L1895" s="15">
        <v>-589260.16</v>
      </c>
      <c r="M1895" s="15">
        <v>-7019.18</v>
      </c>
      <c r="N1895" s="16" t="str">
        <f>IF(M1895="","",IF(M1895&lt;0,-M1895&amp;"_"&amp;COUNTIF(M$2:M1895,M1895),M1895&amp;"_"&amp;COUNTIF(M$2:M1895,M1895)))</f>
        <v>7019.18_1</v>
      </c>
      <c r="O1895" s="17" t="str">
        <f t="shared" si="29"/>
        <v/>
      </c>
      <c r="P1895" s="13" t="s">
        <v>280</v>
      </c>
      <c r="Q1895" s="13" t="s">
        <v>268</v>
      </c>
      <c r="R1895" s="13" t="s">
        <v>0</v>
      </c>
      <c r="S1895" s="13" t="s">
        <v>0</v>
      </c>
      <c r="T1895" s="13" t="s">
        <v>9</v>
      </c>
      <c r="U1895" s="13" t="s">
        <v>0</v>
      </c>
      <c r="V1895" s="13" t="s">
        <v>0</v>
      </c>
      <c r="W1895" s="13" t="s">
        <v>0</v>
      </c>
      <c r="X1895" s="13" t="s">
        <v>0</v>
      </c>
      <c r="Y1895" s="13" t="s">
        <v>10</v>
      </c>
      <c r="Z1895" s="13" t="s">
        <v>0</v>
      </c>
      <c r="AA1895" s="14"/>
      <c r="AB1895" s="13" t="s">
        <v>0</v>
      </c>
      <c r="AC1895" s="13" t="s">
        <v>0</v>
      </c>
      <c r="AD1895" s="13" t="s">
        <v>0</v>
      </c>
      <c r="AE1895" s="15">
        <v>0</v>
      </c>
    </row>
    <row r="1896" spans="1:31" ht="14.15" customHeight="1" x14ac:dyDescent="0.25">
      <c r="A1896" s="12" t="s">
        <v>0</v>
      </c>
      <c r="B1896" s="13" t="s">
        <v>1</v>
      </c>
      <c r="C1896" s="13" t="s">
        <v>4276</v>
      </c>
      <c r="D1896" s="14">
        <v>44370</v>
      </c>
      <c r="E1896" s="14">
        <v>44370</v>
      </c>
      <c r="F1896" s="14">
        <v>44375</v>
      </c>
      <c r="G1896" s="13" t="s">
        <v>3</v>
      </c>
      <c r="H1896" s="13" t="s">
        <v>4</v>
      </c>
      <c r="I1896" s="15">
        <v>-7018.75</v>
      </c>
      <c r="J1896" s="13" t="s">
        <v>5</v>
      </c>
      <c r="K1896" s="13" t="s">
        <v>6</v>
      </c>
      <c r="L1896" s="15">
        <v>-589224.06000000006</v>
      </c>
      <c r="M1896" s="15">
        <v>-7018.75</v>
      </c>
      <c r="N1896" s="16" t="str">
        <f>IF(M1896="","",IF(M1896&lt;0,-M1896&amp;"_"&amp;COUNTIF(M$2:M1896,M1896),M1896&amp;"_"&amp;COUNTIF(M$2:M1896,M1896)))</f>
        <v>7018.75_1</v>
      </c>
      <c r="O1896" s="17" t="str">
        <f t="shared" si="29"/>
        <v/>
      </c>
      <c r="P1896" s="13" t="s">
        <v>4277</v>
      </c>
      <c r="Q1896" s="13" t="s">
        <v>4269</v>
      </c>
      <c r="R1896" s="13" t="s">
        <v>0</v>
      </c>
      <c r="S1896" s="13" t="s">
        <v>0</v>
      </c>
      <c r="T1896" s="13" t="s">
        <v>9</v>
      </c>
      <c r="U1896" s="13" t="s">
        <v>0</v>
      </c>
      <c r="V1896" s="13" t="s">
        <v>0</v>
      </c>
      <c r="W1896" s="13" t="s">
        <v>0</v>
      </c>
      <c r="X1896" s="13" t="s">
        <v>0</v>
      </c>
      <c r="Y1896" s="13" t="s">
        <v>10</v>
      </c>
      <c r="Z1896" s="13" t="s">
        <v>0</v>
      </c>
      <c r="AA1896" s="14"/>
      <c r="AB1896" s="13" t="s">
        <v>0</v>
      </c>
      <c r="AC1896" s="13" t="s">
        <v>0</v>
      </c>
      <c r="AD1896" s="13" t="s">
        <v>0</v>
      </c>
      <c r="AE1896" s="15">
        <v>0</v>
      </c>
    </row>
    <row r="1897" spans="1:31" ht="14.15" customHeight="1" x14ac:dyDescent="0.25">
      <c r="A1897" s="12" t="s">
        <v>0</v>
      </c>
      <c r="B1897" s="13" t="s">
        <v>1</v>
      </c>
      <c r="C1897" s="13" t="s">
        <v>2340</v>
      </c>
      <c r="D1897" s="14">
        <v>44223</v>
      </c>
      <c r="E1897" s="14">
        <v>44223</v>
      </c>
      <c r="F1897" s="14">
        <v>44231</v>
      </c>
      <c r="G1897" s="13" t="s">
        <v>3</v>
      </c>
      <c r="H1897" s="13" t="s">
        <v>4</v>
      </c>
      <c r="I1897" s="15">
        <v>-7017.26</v>
      </c>
      <c r="J1897" s="13" t="s">
        <v>5</v>
      </c>
      <c r="K1897" s="13" t="s">
        <v>6</v>
      </c>
      <c r="L1897" s="15">
        <v>-589098.98</v>
      </c>
      <c r="M1897" s="15">
        <v>-7017.26</v>
      </c>
      <c r="N1897" s="16" t="str">
        <f>IF(M1897="","",IF(M1897&lt;0,-M1897&amp;"_"&amp;COUNTIF(M$2:M1897,M1897),M1897&amp;"_"&amp;COUNTIF(M$2:M1897,M1897)))</f>
        <v>7017.26_1</v>
      </c>
      <c r="O1897" s="17" t="str">
        <f t="shared" si="29"/>
        <v/>
      </c>
      <c r="P1897" s="13" t="s">
        <v>2341</v>
      </c>
      <c r="Q1897" s="13" t="s">
        <v>2342</v>
      </c>
      <c r="R1897" s="13" t="s">
        <v>0</v>
      </c>
      <c r="S1897" s="13" t="s">
        <v>0</v>
      </c>
      <c r="T1897" s="13" t="s">
        <v>9</v>
      </c>
      <c r="U1897" s="13" t="s">
        <v>0</v>
      </c>
      <c r="V1897" s="13" t="s">
        <v>0</v>
      </c>
      <c r="W1897" s="13" t="s">
        <v>0</v>
      </c>
      <c r="X1897" s="13" t="s">
        <v>0</v>
      </c>
      <c r="Y1897" s="13" t="s">
        <v>10</v>
      </c>
      <c r="Z1897" s="13" t="s">
        <v>0</v>
      </c>
      <c r="AA1897" s="14"/>
      <c r="AB1897" s="13" t="s">
        <v>0</v>
      </c>
      <c r="AC1897" s="13" t="s">
        <v>0</v>
      </c>
      <c r="AD1897" s="13" t="s">
        <v>0</v>
      </c>
      <c r="AE1897" s="15">
        <v>0</v>
      </c>
    </row>
    <row r="1898" spans="1:31" ht="14.15" customHeight="1" x14ac:dyDescent="0.25">
      <c r="A1898" s="12" t="s">
        <v>0</v>
      </c>
      <c r="B1898" s="13" t="s">
        <v>1</v>
      </c>
      <c r="C1898" s="13" t="s">
        <v>347</v>
      </c>
      <c r="D1898" s="14">
        <v>44046</v>
      </c>
      <c r="E1898" s="14">
        <v>44046</v>
      </c>
      <c r="F1898" s="14">
        <v>44053</v>
      </c>
      <c r="G1898" s="13" t="s">
        <v>3</v>
      </c>
      <c r="H1898" s="13" t="s">
        <v>4</v>
      </c>
      <c r="I1898" s="15">
        <v>-7001.32</v>
      </c>
      <c r="J1898" s="13" t="s">
        <v>5</v>
      </c>
      <c r="K1898" s="13" t="s">
        <v>6</v>
      </c>
      <c r="L1898" s="15">
        <v>-587760.81000000006</v>
      </c>
      <c r="M1898" s="15">
        <v>-7001.32</v>
      </c>
      <c r="N1898" s="16" t="str">
        <f>IF(M1898="","",IF(M1898&lt;0,-M1898&amp;"_"&amp;COUNTIF(M$2:M1898,M1898),M1898&amp;"_"&amp;COUNTIF(M$2:M1898,M1898)))</f>
        <v>7001.32_1</v>
      </c>
      <c r="O1898" s="17" t="str">
        <f t="shared" si="29"/>
        <v/>
      </c>
      <c r="P1898" s="13" t="s">
        <v>348</v>
      </c>
      <c r="Q1898" s="13" t="s">
        <v>338</v>
      </c>
      <c r="R1898" s="13" t="s">
        <v>0</v>
      </c>
      <c r="S1898" s="13" t="s">
        <v>0</v>
      </c>
      <c r="T1898" s="13" t="s">
        <v>9</v>
      </c>
      <c r="U1898" s="13" t="s">
        <v>0</v>
      </c>
      <c r="V1898" s="13" t="s">
        <v>0</v>
      </c>
      <c r="W1898" s="13" t="s">
        <v>0</v>
      </c>
      <c r="X1898" s="13" t="s">
        <v>0</v>
      </c>
      <c r="Y1898" s="13" t="s">
        <v>10</v>
      </c>
      <c r="Z1898" s="13" t="s">
        <v>0</v>
      </c>
      <c r="AA1898" s="14"/>
      <c r="AB1898" s="13" t="s">
        <v>0</v>
      </c>
      <c r="AC1898" s="13" t="s">
        <v>0</v>
      </c>
      <c r="AD1898" s="13" t="s">
        <v>0</v>
      </c>
      <c r="AE1898" s="15">
        <v>0</v>
      </c>
    </row>
    <row r="1899" spans="1:31" ht="14.15" customHeight="1" x14ac:dyDescent="0.25">
      <c r="A1899" s="12" t="s">
        <v>0</v>
      </c>
      <c r="B1899" s="13" t="s">
        <v>1</v>
      </c>
      <c r="C1899" s="13" t="s">
        <v>4049</v>
      </c>
      <c r="D1899" s="14">
        <v>44358</v>
      </c>
      <c r="E1899" s="14">
        <v>44358</v>
      </c>
      <c r="F1899" s="14">
        <v>44366</v>
      </c>
      <c r="G1899" s="13" t="s">
        <v>3</v>
      </c>
      <c r="H1899" s="13" t="s">
        <v>4</v>
      </c>
      <c r="I1899" s="15">
        <v>-6999.22</v>
      </c>
      <c r="J1899" s="13" t="s">
        <v>5</v>
      </c>
      <c r="K1899" s="13" t="s">
        <v>6</v>
      </c>
      <c r="L1899" s="15">
        <v>-587584.52</v>
      </c>
      <c r="M1899" s="15">
        <v>-6999.22</v>
      </c>
      <c r="N1899" s="16" t="str">
        <f>IF(M1899="","",IF(M1899&lt;0,-M1899&amp;"_"&amp;COUNTIF(M$2:M1899,M1899),M1899&amp;"_"&amp;COUNTIF(M$2:M1899,M1899)))</f>
        <v>6999.22_1</v>
      </c>
      <c r="O1899" s="17" t="str">
        <f t="shared" si="29"/>
        <v/>
      </c>
      <c r="P1899" s="13" t="s">
        <v>4050</v>
      </c>
      <c r="Q1899" s="13" t="s">
        <v>4006</v>
      </c>
      <c r="R1899" s="13" t="s">
        <v>0</v>
      </c>
      <c r="S1899" s="13" t="s">
        <v>0</v>
      </c>
      <c r="T1899" s="13" t="s">
        <v>9</v>
      </c>
      <c r="U1899" s="13" t="s">
        <v>0</v>
      </c>
      <c r="V1899" s="13" t="s">
        <v>0</v>
      </c>
      <c r="W1899" s="13" t="s">
        <v>0</v>
      </c>
      <c r="X1899" s="13" t="s">
        <v>0</v>
      </c>
      <c r="Y1899" s="13" t="s">
        <v>10</v>
      </c>
      <c r="Z1899" s="13" t="s">
        <v>0</v>
      </c>
      <c r="AA1899" s="14"/>
      <c r="AB1899" s="13" t="s">
        <v>0</v>
      </c>
      <c r="AC1899" s="13" t="s">
        <v>0</v>
      </c>
      <c r="AD1899" s="13" t="s">
        <v>0</v>
      </c>
      <c r="AE1899" s="15">
        <v>0</v>
      </c>
    </row>
    <row r="1900" spans="1:31" ht="14.15" customHeight="1" x14ac:dyDescent="0.25">
      <c r="A1900" s="12" t="s">
        <v>0</v>
      </c>
      <c r="B1900" s="13" t="s">
        <v>1</v>
      </c>
      <c r="C1900" s="13" t="s">
        <v>3159</v>
      </c>
      <c r="D1900" s="14">
        <v>44297</v>
      </c>
      <c r="E1900" s="14">
        <v>44297</v>
      </c>
      <c r="F1900" s="14">
        <v>44308</v>
      </c>
      <c r="G1900" s="13" t="s">
        <v>3</v>
      </c>
      <c r="H1900" s="13" t="s">
        <v>4</v>
      </c>
      <c r="I1900" s="15">
        <v>-6981.84</v>
      </c>
      <c r="J1900" s="13" t="s">
        <v>5</v>
      </c>
      <c r="K1900" s="13" t="s">
        <v>6</v>
      </c>
      <c r="L1900" s="15">
        <v>-586125.47</v>
      </c>
      <c r="M1900" s="15">
        <v>-6981.84</v>
      </c>
      <c r="N1900" s="16" t="str">
        <f>IF(M1900="","",IF(M1900&lt;0,-M1900&amp;"_"&amp;COUNTIF(M$2:M1900,M1900),M1900&amp;"_"&amp;COUNTIF(M$2:M1900,M1900)))</f>
        <v>6981.84_1</v>
      </c>
      <c r="O1900" s="17" t="str">
        <f t="shared" si="29"/>
        <v/>
      </c>
      <c r="P1900" s="13" t="s">
        <v>3160</v>
      </c>
      <c r="Q1900" s="13" t="s">
        <v>3152</v>
      </c>
      <c r="R1900" s="13" t="s">
        <v>0</v>
      </c>
      <c r="S1900" s="13" t="s">
        <v>0</v>
      </c>
      <c r="T1900" s="13" t="s">
        <v>9</v>
      </c>
      <c r="U1900" s="13" t="s">
        <v>0</v>
      </c>
      <c r="V1900" s="13" t="s">
        <v>0</v>
      </c>
      <c r="W1900" s="13" t="s">
        <v>0</v>
      </c>
      <c r="X1900" s="13" t="s">
        <v>0</v>
      </c>
      <c r="Y1900" s="13" t="s">
        <v>10</v>
      </c>
      <c r="Z1900" s="13" t="s">
        <v>0</v>
      </c>
      <c r="AA1900" s="14"/>
      <c r="AB1900" s="13" t="s">
        <v>0</v>
      </c>
      <c r="AC1900" s="13" t="s">
        <v>0</v>
      </c>
      <c r="AD1900" s="13" t="s">
        <v>0</v>
      </c>
      <c r="AE1900" s="15">
        <v>0</v>
      </c>
    </row>
    <row r="1901" spans="1:31" ht="14.15" customHeight="1" x14ac:dyDescent="0.25">
      <c r="A1901" s="12" t="s">
        <v>0</v>
      </c>
      <c r="B1901" s="13" t="s">
        <v>1</v>
      </c>
      <c r="C1901" s="13" t="s">
        <v>685</v>
      </c>
      <c r="D1901" s="14">
        <v>44090</v>
      </c>
      <c r="E1901" s="14">
        <v>44090</v>
      </c>
      <c r="F1901" s="14">
        <v>44096</v>
      </c>
      <c r="G1901" s="13" t="s">
        <v>3</v>
      </c>
      <c r="H1901" s="13" t="s">
        <v>4</v>
      </c>
      <c r="I1901" s="15">
        <v>-6957.32</v>
      </c>
      <c r="J1901" s="13" t="s">
        <v>5</v>
      </c>
      <c r="K1901" s="13" t="s">
        <v>6</v>
      </c>
      <c r="L1901" s="15">
        <v>-584067.01</v>
      </c>
      <c r="M1901" s="15">
        <v>-6957.32</v>
      </c>
      <c r="N1901" s="16" t="str">
        <f>IF(M1901="","",IF(M1901&lt;0,-M1901&amp;"_"&amp;COUNTIF(M$2:M1901,M1901),M1901&amp;"_"&amp;COUNTIF(M$2:M1901,M1901)))</f>
        <v>6957.32_1</v>
      </c>
      <c r="O1901" s="17" t="str">
        <f t="shared" si="29"/>
        <v/>
      </c>
      <c r="P1901" s="13" t="s">
        <v>686</v>
      </c>
      <c r="Q1901" s="13" t="s">
        <v>687</v>
      </c>
      <c r="R1901" s="13" t="s">
        <v>0</v>
      </c>
      <c r="S1901" s="13" t="s">
        <v>0</v>
      </c>
      <c r="T1901" s="13" t="s">
        <v>9</v>
      </c>
      <c r="U1901" s="13" t="s">
        <v>0</v>
      </c>
      <c r="V1901" s="13" t="s">
        <v>0</v>
      </c>
      <c r="W1901" s="13" t="s">
        <v>0</v>
      </c>
      <c r="X1901" s="13" t="s">
        <v>0</v>
      </c>
      <c r="Y1901" s="13" t="s">
        <v>10</v>
      </c>
      <c r="Z1901" s="13" t="s">
        <v>0</v>
      </c>
      <c r="AA1901" s="14"/>
      <c r="AB1901" s="13" t="s">
        <v>0</v>
      </c>
      <c r="AC1901" s="13" t="s">
        <v>0</v>
      </c>
      <c r="AD1901" s="13" t="s">
        <v>0</v>
      </c>
      <c r="AE1901" s="15">
        <v>0</v>
      </c>
    </row>
    <row r="1902" spans="1:31" ht="14.15" customHeight="1" x14ac:dyDescent="0.25">
      <c r="A1902" s="12" t="s">
        <v>0</v>
      </c>
      <c r="B1902" s="13" t="s">
        <v>1</v>
      </c>
      <c r="C1902" s="13" t="s">
        <v>620</v>
      </c>
      <c r="D1902" s="14">
        <v>44082</v>
      </c>
      <c r="E1902" s="14">
        <v>44082</v>
      </c>
      <c r="F1902" s="14">
        <v>44104</v>
      </c>
      <c r="G1902" s="13" t="s">
        <v>3</v>
      </c>
      <c r="H1902" s="13" t="s">
        <v>4</v>
      </c>
      <c r="I1902" s="15">
        <v>-6952.88</v>
      </c>
      <c r="J1902" s="13" t="s">
        <v>5</v>
      </c>
      <c r="K1902" s="13" t="s">
        <v>6</v>
      </c>
      <c r="L1902" s="15">
        <v>-583694.28</v>
      </c>
      <c r="M1902" s="15">
        <v>-6952.88</v>
      </c>
      <c r="N1902" s="16" t="str">
        <f>IF(M1902="","",IF(M1902&lt;0,-M1902&amp;"_"&amp;COUNTIF(M$2:M1902,M1902),M1902&amp;"_"&amp;COUNTIF(M$2:M1902,M1902)))</f>
        <v>6952.88_1</v>
      </c>
      <c r="O1902" s="17" t="str">
        <f t="shared" si="29"/>
        <v/>
      </c>
      <c r="P1902" s="13" t="s">
        <v>621</v>
      </c>
      <c r="Q1902" s="13" t="s">
        <v>603</v>
      </c>
      <c r="R1902" s="13" t="s">
        <v>0</v>
      </c>
      <c r="S1902" s="13" t="s">
        <v>0</v>
      </c>
      <c r="T1902" s="13" t="s">
        <v>9</v>
      </c>
      <c r="U1902" s="13" t="s">
        <v>0</v>
      </c>
      <c r="V1902" s="13" t="s">
        <v>0</v>
      </c>
      <c r="W1902" s="13" t="s">
        <v>0</v>
      </c>
      <c r="X1902" s="13" t="s">
        <v>0</v>
      </c>
      <c r="Y1902" s="13" t="s">
        <v>10</v>
      </c>
      <c r="Z1902" s="13" t="s">
        <v>0</v>
      </c>
      <c r="AA1902" s="14"/>
      <c r="AB1902" s="13" t="s">
        <v>0</v>
      </c>
      <c r="AC1902" s="13" t="s">
        <v>0</v>
      </c>
      <c r="AD1902" s="13" t="s">
        <v>0</v>
      </c>
      <c r="AE1902" s="15">
        <v>0</v>
      </c>
    </row>
    <row r="1903" spans="1:31" ht="14.15" customHeight="1" x14ac:dyDescent="0.25">
      <c r="A1903" s="12" t="s">
        <v>0</v>
      </c>
      <c r="B1903" s="13" t="s">
        <v>1</v>
      </c>
      <c r="C1903" s="13" t="s">
        <v>2929</v>
      </c>
      <c r="D1903" s="14">
        <v>44276</v>
      </c>
      <c r="E1903" s="14">
        <v>44276</v>
      </c>
      <c r="F1903" s="14">
        <v>44283</v>
      </c>
      <c r="G1903" s="13" t="s">
        <v>3</v>
      </c>
      <c r="H1903" s="13" t="s">
        <v>4</v>
      </c>
      <c r="I1903" s="15">
        <v>-6949.53</v>
      </c>
      <c r="J1903" s="13" t="s">
        <v>5</v>
      </c>
      <c r="K1903" s="13" t="s">
        <v>6</v>
      </c>
      <c r="L1903" s="15">
        <v>-583413.04</v>
      </c>
      <c r="M1903" s="15">
        <v>-6949.53</v>
      </c>
      <c r="N1903" s="16" t="str">
        <f>IF(M1903="","",IF(M1903&lt;0,-M1903&amp;"_"&amp;COUNTIF(M$2:M1903,M1903),M1903&amp;"_"&amp;COUNTIF(M$2:M1903,M1903)))</f>
        <v>6949.53_1</v>
      </c>
      <c r="O1903" s="17" t="str">
        <f t="shared" si="29"/>
        <v/>
      </c>
      <c r="P1903" s="13" t="s">
        <v>2930</v>
      </c>
      <c r="Q1903" s="13" t="s">
        <v>2922</v>
      </c>
      <c r="R1903" s="13" t="s">
        <v>0</v>
      </c>
      <c r="S1903" s="13" t="s">
        <v>0</v>
      </c>
      <c r="T1903" s="13" t="s">
        <v>9</v>
      </c>
      <c r="U1903" s="13" t="s">
        <v>0</v>
      </c>
      <c r="V1903" s="13" t="s">
        <v>0</v>
      </c>
      <c r="W1903" s="13" t="s">
        <v>0</v>
      </c>
      <c r="X1903" s="13" t="s">
        <v>0</v>
      </c>
      <c r="Y1903" s="13" t="s">
        <v>10</v>
      </c>
      <c r="Z1903" s="13" t="s">
        <v>0</v>
      </c>
      <c r="AA1903" s="14"/>
      <c r="AB1903" s="13" t="s">
        <v>0</v>
      </c>
      <c r="AC1903" s="13" t="s">
        <v>0</v>
      </c>
      <c r="AD1903" s="13" t="s">
        <v>0</v>
      </c>
      <c r="AE1903" s="15">
        <v>0</v>
      </c>
    </row>
    <row r="1904" spans="1:31" ht="14.15" customHeight="1" x14ac:dyDescent="0.25">
      <c r="A1904" s="12" t="s">
        <v>0</v>
      </c>
      <c r="B1904" s="13" t="s">
        <v>1</v>
      </c>
      <c r="C1904" s="13" t="s">
        <v>3595</v>
      </c>
      <c r="D1904" s="14">
        <v>44328</v>
      </c>
      <c r="E1904" s="14">
        <v>44328</v>
      </c>
      <c r="F1904" s="14">
        <v>44336</v>
      </c>
      <c r="G1904" s="13" t="s">
        <v>3</v>
      </c>
      <c r="H1904" s="13" t="s">
        <v>4</v>
      </c>
      <c r="I1904" s="15">
        <v>-6946.9</v>
      </c>
      <c r="J1904" s="13" t="s">
        <v>5</v>
      </c>
      <c r="K1904" s="13" t="s">
        <v>6</v>
      </c>
      <c r="L1904" s="15">
        <v>-583192.26</v>
      </c>
      <c r="M1904" s="15">
        <v>-6946.9</v>
      </c>
      <c r="N1904" s="16" t="str">
        <f>IF(M1904="","",IF(M1904&lt;0,-M1904&amp;"_"&amp;COUNTIF(M$2:M1904,M1904),M1904&amp;"_"&amp;COUNTIF(M$2:M1904,M1904)))</f>
        <v>6946.9_1</v>
      </c>
      <c r="O1904" s="17" t="str">
        <f t="shared" si="29"/>
        <v/>
      </c>
      <c r="P1904" s="13" t="s">
        <v>3596</v>
      </c>
      <c r="Q1904" s="13" t="s">
        <v>3590</v>
      </c>
      <c r="R1904" s="13" t="s">
        <v>0</v>
      </c>
      <c r="S1904" s="13" t="s">
        <v>0</v>
      </c>
      <c r="T1904" s="13" t="s">
        <v>9</v>
      </c>
      <c r="U1904" s="13" t="s">
        <v>0</v>
      </c>
      <c r="V1904" s="13" t="s">
        <v>0</v>
      </c>
      <c r="W1904" s="13" t="s">
        <v>0</v>
      </c>
      <c r="X1904" s="13" t="s">
        <v>0</v>
      </c>
      <c r="Y1904" s="13" t="s">
        <v>10</v>
      </c>
      <c r="Z1904" s="13" t="s">
        <v>0</v>
      </c>
      <c r="AA1904" s="14"/>
      <c r="AB1904" s="13" t="s">
        <v>0</v>
      </c>
      <c r="AC1904" s="13" t="s">
        <v>0</v>
      </c>
      <c r="AD1904" s="13" t="s">
        <v>0</v>
      </c>
      <c r="AE1904" s="15">
        <v>0</v>
      </c>
    </row>
    <row r="1905" spans="1:31" ht="14.15" customHeight="1" x14ac:dyDescent="0.25">
      <c r="A1905" s="12" t="s">
        <v>0</v>
      </c>
      <c r="B1905" s="13" t="s">
        <v>1</v>
      </c>
      <c r="C1905" s="13" t="s">
        <v>2749</v>
      </c>
      <c r="D1905" s="14">
        <v>44260</v>
      </c>
      <c r="E1905" s="14">
        <v>44260</v>
      </c>
      <c r="F1905" s="14">
        <v>44265</v>
      </c>
      <c r="G1905" s="13" t="s">
        <v>3</v>
      </c>
      <c r="H1905" s="13" t="s">
        <v>4</v>
      </c>
      <c r="I1905" s="15">
        <v>-6946.67</v>
      </c>
      <c r="J1905" s="13" t="s">
        <v>5</v>
      </c>
      <c r="K1905" s="13" t="s">
        <v>6</v>
      </c>
      <c r="L1905" s="15">
        <v>-583172.94999999995</v>
      </c>
      <c r="M1905" s="15">
        <v>-6946.67</v>
      </c>
      <c r="N1905" s="16" t="str">
        <f>IF(M1905="","",IF(M1905&lt;0,-M1905&amp;"_"&amp;COUNTIF(M$2:M1905,M1905),M1905&amp;"_"&amp;COUNTIF(M$2:M1905,M1905)))</f>
        <v>6946.67_1</v>
      </c>
      <c r="O1905" s="17" t="str">
        <f t="shared" si="29"/>
        <v/>
      </c>
      <c r="P1905" s="13" t="s">
        <v>2750</v>
      </c>
      <c r="Q1905" s="13" t="s">
        <v>2746</v>
      </c>
      <c r="R1905" s="13" t="s">
        <v>0</v>
      </c>
      <c r="S1905" s="13" t="s">
        <v>0</v>
      </c>
      <c r="T1905" s="13" t="s">
        <v>9</v>
      </c>
      <c r="U1905" s="13" t="s">
        <v>0</v>
      </c>
      <c r="V1905" s="13" t="s">
        <v>0</v>
      </c>
      <c r="W1905" s="13" t="s">
        <v>0</v>
      </c>
      <c r="X1905" s="13" t="s">
        <v>0</v>
      </c>
      <c r="Y1905" s="13" t="s">
        <v>10</v>
      </c>
      <c r="Z1905" s="13" t="s">
        <v>0</v>
      </c>
      <c r="AA1905" s="14"/>
      <c r="AB1905" s="13" t="s">
        <v>0</v>
      </c>
      <c r="AC1905" s="13" t="s">
        <v>0</v>
      </c>
      <c r="AD1905" s="13" t="s">
        <v>0</v>
      </c>
      <c r="AE1905" s="15">
        <v>0</v>
      </c>
    </row>
    <row r="1906" spans="1:31" ht="14.15" customHeight="1" x14ac:dyDescent="0.25">
      <c r="A1906" s="12" t="s">
        <v>0</v>
      </c>
      <c r="B1906" s="13" t="s">
        <v>1</v>
      </c>
      <c r="C1906" s="13" t="s">
        <v>556</v>
      </c>
      <c r="D1906" s="14">
        <v>44075</v>
      </c>
      <c r="E1906" s="14">
        <v>44075</v>
      </c>
      <c r="F1906" s="14">
        <v>44082</v>
      </c>
      <c r="G1906" s="13" t="s">
        <v>3</v>
      </c>
      <c r="H1906" s="13" t="s">
        <v>4</v>
      </c>
      <c r="I1906" s="15">
        <v>-6922.15</v>
      </c>
      <c r="J1906" s="13" t="s">
        <v>5</v>
      </c>
      <c r="K1906" s="13" t="s">
        <v>6</v>
      </c>
      <c r="L1906" s="15">
        <v>-581114.49</v>
      </c>
      <c r="M1906" s="15">
        <v>-6922.15</v>
      </c>
      <c r="N1906" s="16" t="str">
        <f>IF(M1906="","",IF(M1906&lt;0,-M1906&amp;"_"&amp;COUNTIF(M$2:M1906,M1906),M1906&amp;"_"&amp;COUNTIF(M$2:M1906,M1906)))</f>
        <v>6922.15_1</v>
      </c>
      <c r="O1906" s="17" t="str">
        <f t="shared" si="29"/>
        <v/>
      </c>
      <c r="P1906" s="13" t="s">
        <v>557</v>
      </c>
      <c r="Q1906" s="13" t="s">
        <v>558</v>
      </c>
      <c r="R1906" s="13" t="s">
        <v>0</v>
      </c>
      <c r="S1906" s="13" t="s">
        <v>0</v>
      </c>
      <c r="T1906" s="13" t="s">
        <v>9</v>
      </c>
      <c r="U1906" s="13" t="s">
        <v>0</v>
      </c>
      <c r="V1906" s="13" t="s">
        <v>0</v>
      </c>
      <c r="W1906" s="13" t="s">
        <v>0</v>
      </c>
      <c r="X1906" s="13" t="s">
        <v>0</v>
      </c>
      <c r="Y1906" s="13" t="s">
        <v>10</v>
      </c>
      <c r="Z1906" s="13" t="s">
        <v>0</v>
      </c>
      <c r="AA1906" s="14"/>
      <c r="AB1906" s="13" t="s">
        <v>0</v>
      </c>
      <c r="AC1906" s="13" t="s">
        <v>0</v>
      </c>
      <c r="AD1906" s="13" t="s">
        <v>0</v>
      </c>
      <c r="AE1906" s="15">
        <v>0</v>
      </c>
    </row>
    <row r="1907" spans="1:31" ht="14.15" customHeight="1" x14ac:dyDescent="0.25">
      <c r="A1907" s="12" t="s">
        <v>0</v>
      </c>
      <c r="B1907" s="13" t="s">
        <v>1</v>
      </c>
      <c r="C1907" s="13" t="s">
        <v>681</v>
      </c>
      <c r="D1907" s="14">
        <v>44089</v>
      </c>
      <c r="E1907" s="14">
        <v>44089</v>
      </c>
      <c r="F1907" s="14">
        <v>44091</v>
      </c>
      <c r="G1907" s="13" t="s">
        <v>3</v>
      </c>
      <c r="H1907" s="13" t="s">
        <v>4</v>
      </c>
      <c r="I1907" s="15">
        <v>-6910.97</v>
      </c>
      <c r="J1907" s="13" t="s">
        <v>5</v>
      </c>
      <c r="K1907" s="13" t="s">
        <v>6</v>
      </c>
      <c r="L1907" s="15">
        <v>-580175.93000000005</v>
      </c>
      <c r="M1907" s="15">
        <v>-6910.97</v>
      </c>
      <c r="N1907" s="16" t="str">
        <f>IF(M1907="","",IF(M1907&lt;0,-M1907&amp;"_"&amp;COUNTIF(M$2:M1907,M1907),M1907&amp;"_"&amp;COUNTIF(M$2:M1907,M1907)))</f>
        <v>6910.97_1</v>
      </c>
      <c r="O1907" s="17" t="str">
        <f t="shared" si="29"/>
        <v/>
      </c>
      <c r="P1907" s="13" t="s">
        <v>682</v>
      </c>
      <c r="Q1907" s="13" t="s">
        <v>680</v>
      </c>
      <c r="R1907" s="13" t="s">
        <v>0</v>
      </c>
      <c r="S1907" s="13" t="s">
        <v>0</v>
      </c>
      <c r="T1907" s="13" t="s">
        <v>9</v>
      </c>
      <c r="U1907" s="13" t="s">
        <v>0</v>
      </c>
      <c r="V1907" s="13" t="s">
        <v>0</v>
      </c>
      <c r="W1907" s="13" t="s">
        <v>0</v>
      </c>
      <c r="X1907" s="13" t="s">
        <v>0</v>
      </c>
      <c r="Y1907" s="13" t="s">
        <v>10</v>
      </c>
      <c r="Z1907" s="13" t="s">
        <v>0</v>
      </c>
      <c r="AA1907" s="14"/>
      <c r="AB1907" s="13" t="s">
        <v>0</v>
      </c>
      <c r="AC1907" s="13" t="s">
        <v>0</v>
      </c>
      <c r="AD1907" s="13" t="s">
        <v>0</v>
      </c>
      <c r="AE1907" s="15">
        <v>0</v>
      </c>
    </row>
    <row r="1908" spans="1:31" ht="14.15" customHeight="1" x14ac:dyDescent="0.25">
      <c r="A1908" s="12" t="s">
        <v>0</v>
      </c>
      <c r="B1908" s="13" t="s">
        <v>1</v>
      </c>
      <c r="C1908" s="13" t="s">
        <v>3141</v>
      </c>
      <c r="D1908" s="14">
        <v>44294</v>
      </c>
      <c r="E1908" s="14">
        <v>44294</v>
      </c>
      <c r="F1908" s="14">
        <v>44298</v>
      </c>
      <c r="G1908" s="13" t="s">
        <v>3</v>
      </c>
      <c r="H1908" s="13" t="s">
        <v>4</v>
      </c>
      <c r="I1908" s="15">
        <v>-6903.1</v>
      </c>
      <c r="J1908" s="13" t="s">
        <v>5</v>
      </c>
      <c r="K1908" s="13" t="s">
        <v>6</v>
      </c>
      <c r="L1908" s="15">
        <v>-579515.24</v>
      </c>
      <c r="M1908" s="15">
        <v>-6903.1</v>
      </c>
      <c r="N1908" s="16" t="str">
        <f>IF(M1908="","",IF(M1908&lt;0,-M1908&amp;"_"&amp;COUNTIF(M$2:M1908,M1908),M1908&amp;"_"&amp;COUNTIF(M$2:M1908,M1908)))</f>
        <v>6903.1_1</v>
      </c>
      <c r="O1908" s="17" t="str">
        <f t="shared" si="29"/>
        <v/>
      </c>
      <c r="P1908" s="13" t="s">
        <v>3142</v>
      </c>
      <c r="Q1908" s="13" t="s">
        <v>3138</v>
      </c>
      <c r="R1908" s="13" t="s">
        <v>0</v>
      </c>
      <c r="S1908" s="13" t="s">
        <v>0</v>
      </c>
      <c r="T1908" s="13" t="s">
        <v>9</v>
      </c>
      <c r="U1908" s="13" t="s">
        <v>0</v>
      </c>
      <c r="V1908" s="13" t="s">
        <v>0</v>
      </c>
      <c r="W1908" s="13" t="s">
        <v>0</v>
      </c>
      <c r="X1908" s="13" t="s">
        <v>0</v>
      </c>
      <c r="Y1908" s="13" t="s">
        <v>10</v>
      </c>
      <c r="Z1908" s="13" t="s">
        <v>0</v>
      </c>
      <c r="AA1908" s="14"/>
      <c r="AB1908" s="13" t="s">
        <v>0</v>
      </c>
      <c r="AC1908" s="13" t="s">
        <v>0</v>
      </c>
      <c r="AD1908" s="13" t="s">
        <v>0</v>
      </c>
      <c r="AE1908" s="15">
        <v>0</v>
      </c>
    </row>
    <row r="1909" spans="1:31" ht="14.15" customHeight="1" x14ac:dyDescent="0.25">
      <c r="A1909" s="12" t="s">
        <v>0</v>
      </c>
      <c r="B1909" s="13" t="s">
        <v>1</v>
      </c>
      <c r="C1909" s="13" t="s">
        <v>1268</v>
      </c>
      <c r="D1909" s="14">
        <v>44144</v>
      </c>
      <c r="E1909" s="14">
        <v>44144</v>
      </c>
      <c r="F1909" s="14">
        <v>44149</v>
      </c>
      <c r="G1909" s="13" t="s">
        <v>3</v>
      </c>
      <c r="H1909" s="13" t="s">
        <v>4</v>
      </c>
      <c r="I1909" s="15">
        <v>-6899.72</v>
      </c>
      <c r="J1909" s="13" t="s">
        <v>5</v>
      </c>
      <c r="K1909" s="13" t="s">
        <v>6</v>
      </c>
      <c r="L1909" s="15">
        <v>-579231.49</v>
      </c>
      <c r="M1909" s="15">
        <v>-6899.72</v>
      </c>
      <c r="N1909" s="16" t="str">
        <f>IF(M1909="","",IF(M1909&lt;0,-M1909&amp;"_"&amp;COUNTIF(M$2:M1909,M1909),M1909&amp;"_"&amp;COUNTIF(M$2:M1909,M1909)))</f>
        <v>6899.72_1</v>
      </c>
      <c r="O1909" s="17" t="str">
        <f t="shared" si="29"/>
        <v/>
      </c>
      <c r="P1909" s="13" t="s">
        <v>1269</v>
      </c>
      <c r="Q1909" s="13" t="s">
        <v>1270</v>
      </c>
      <c r="R1909" s="13" t="s">
        <v>0</v>
      </c>
      <c r="S1909" s="13" t="s">
        <v>0</v>
      </c>
      <c r="T1909" s="13" t="s">
        <v>9</v>
      </c>
      <c r="U1909" s="13" t="s">
        <v>0</v>
      </c>
      <c r="V1909" s="13" t="s">
        <v>0</v>
      </c>
      <c r="W1909" s="13" t="s">
        <v>0</v>
      </c>
      <c r="X1909" s="13" t="s">
        <v>0</v>
      </c>
      <c r="Y1909" s="13" t="s">
        <v>10</v>
      </c>
      <c r="Z1909" s="13" t="s">
        <v>0</v>
      </c>
      <c r="AA1909" s="14"/>
      <c r="AB1909" s="13" t="s">
        <v>0</v>
      </c>
      <c r="AC1909" s="13" t="s">
        <v>0</v>
      </c>
      <c r="AD1909" s="13" t="s">
        <v>0</v>
      </c>
      <c r="AE1909" s="15">
        <v>0</v>
      </c>
    </row>
    <row r="1910" spans="1:31" ht="14.15" customHeight="1" x14ac:dyDescent="0.25">
      <c r="A1910" s="12" t="s">
        <v>0</v>
      </c>
      <c r="B1910" s="13" t="s">
        <v>1</v>
      </c>
      <c r="C1910" s="13" t="s">
        <v>119</v>
      </c>
      <c r="D1910" s="14">
        <v>44026</v>
      </c>
      <c r="E1910" s="14">
        <v>44026</v>
      </c>
      <c r="F1910" s="14">
        <v>44030</v>
      </c>
      <c r="G1910" s="13" t="s">
        <v>3</v>
      </c>
      <c r="H1910" s="13" t="s">
        <v>4</v>
      </c>
      <c r="I1910" s="15">
        <v>-6894.36</v>
      </c>
      <c r="J1910" s="13" t="s">
        <v>5</v>
      </c>
      <c r="K1910" s="13" t="s">
        <v>6</v>
      </c>
      <c r="L1910" s="15">
        <v>-578781.52</v>
      </c>
      <c r="M1910" s="15">
        <v>-6894.36</v>
      </c>
      <c r="N1910" s="16" t="str">
        <f>IF(M1910="","",IF(M1910&lt;0,-M1910&amp;"_"&amp;COUNTIF(M$2:M1910,M1910),M1910&amp;"_"&amp;COUNTIF(M$2:M1910,M1910)))</f>
        <v>6894.36_1</v>
      </c>
      <c r="O1910" s="17" t="str">
        <f t="shared" si="29"/>
        <v/>
      </c>
      <c r="P1910" s="13" t="s">
        <v>120</v>
      </c>
      <c r="Q1910" s="13" t="s">
        <v>121</v>
      </c>
      <c r="R1910" s="13" t="s">
        <v>0</v>
      </c>
      <c r="S1910" s="13" t="s">
        <v>0</v>
      </c>
      <c r="T1910" s="13" t="s">
        <v>9</v>
      </c>
      <c r="U1910" s="13" t="s">
        <v>0</v>
      </c>
      <c r="V1910" s="13" t="s">
        <v>0</v>
      </c>
      <c r="W1910" s="13" t="s">
        <v>0</v>
      </c>
      <c r="X1910" s="13" t="s">
        <v>0</v>
      </c>
      <c r="Y1910" s="13" t="s">
        <v>10</v>
      </c>
      <c r="Z1910" s="13" t="s">
        <v>0</v>
      </c>
      <c r="AA1910" s="14"/>
      <c r="AB1910" s="13" t="s">
        <v>0</v>
      </c>
      <c r="AC1910" s="13" t="s">
        <v>0</v>
      </c>
      <c r="AD1910" s="13" t="s">
        <v>0</v>
      </c>
      <c r="AE1910" s="15">
        <v>0</v>
      </c>
    </row>
    <row r="1911" spans="1:31" ht="14.15" customHeight="1" x14ac:dyDescent="0.25">
      <c r="A1911" s="12" t="s">
        <v>0</v>
      </c>
      <c r="B1911" s="13" t="s">
        <v>1</v>
      </c>
      <c r="C1911" s="13" t="s">
        <v>1440</v>
      </c>
      <c r="D1911" s="14">
        <v>44157</v>
      </c>
      <c r="E1911" s="14">
        <v>44157</v>
      </c>
      <c r="F1911" s="14">
        <v>44168</v>
      </c>
      <c r="G1911" s="13" t="s">
        <v>3</v>
      </c>
      <c r="H1911" s="13" t="s">
        <v>4</v>
      </c>
      <c r="I1911" s="15">
        <v>-6891.15</v>
      </c>
      <c r="J1911" s="13" t="s">
        <v>5</v>
      </c>
      <c r="K1911" s="13" t="s">
        <v>6</v>
      </c>
      <c r="L1911" s="15">
        <v>-578512.04</v>
      </c>
      <c r="M1911" s="15">
        <v>-6891.15</v>
      </c>
      <c r="N1911" s="16" t="str">
        <f>IF(M1911="","",IF(M1911&lt;0,-M1911&amp;"_"&amp;COUNTIF(M$2:M1911,M1911),M1911&amp;"_"&amp;COUNTIF(M$2:M1911,M1911)))</f>
        <v>6891.15_1</v>
      </c>
      <c r="O1911" s="17" t="str">
        <f t="shared" si="29"/>
        <v/>
      </c>
      <c r="P1911" s="13" t="s">
        <v>1441</v>
      </c>
      <c r="Q1911" s="13" t="s">
        <v>1435</v>
      </c>
      <c r="R1911" s="13" t="s">
        <v>0</v>
      </c>
      <c r="S1911" s="13" t="s">
        <v>0</v>
      </c>
      <c r="T1911" s="13" t="s">
        <v>9</v>
      </c>
      <c r="U1911" s="13" t="s">
        <v>0</v>
      </c>
      <c r="V1911" s="13" t="s">
        <v>0</v>
      </c>
      <c r="W1911" s="13" t="s">
        <v>0</v>
      </c>
      <c r="X1911" s="13" t="s">
        <v>0</v>
      </c>
      <c r="Y1911" s="13" t="s">
        <v>10</v>
      </c>
      <c r="Z1911" s="13" t="s">
        <v>0</v>
      </c>
      <c r="AA1911" s="14"/>
      <c r="AB1911" s="13" t="s">
        <v>0</v>
      </c>
      <c r="AC1911" s="13" t="s">
        <v>0</v>
      </c>
      <c r="AD1911" s="13" t="s">
        <v>0</v>
      </c>
      <c r="AE1911" s="15">
        <v>0</v>
      </c>
    </row>
    <row r="1912" spans="1:31" ht="14.15" customHeight="1" x14ac:dyDescent="0.25">
      <c r="A1912" s="12" t="s">
        <v>0</v>
      </c>
      <c r="B1912" s="13" t="s">
        <v>1</v>
      </c>
      <c r="C1912" s="13" t="s">
        <v>3901</v>
      </c>
      <c r="D1912" s="14">
        <v>44353</v>
      </c>
      <c r="E1912" s="14">
        <v>44353</v>
      </c>
      <c r="F1912" s="14">
        <v>44364</v>
      </c>
      <c r="G1912" s="13" t="s">
        <v>3</v>
      </c>
      <c r="H1912" s="13" t="s">
        <v>4</v>
      </c>
      <c r="I1912" s="15">
        <v>-6882.72</v>
      </c>
      <c r="J1912" s="13" t="s">
        <v>5</v>
      </c>
      <c r="K1912" s="13" t="s">
        <v>6</v>
      </c>
      <c r="L1912" s="15">
        <v>-577804.34</v>
      </c>
      <c r="M1912" s="15">
        <v>-6882.72</v>
      </c>
      <c r="N1912" s="16" t="str">
        <f>IF(M1912="","",IF(M1912&lt;0,-M1912&amp;"_"&amp;COUNTIF(M$2:M1912,M1912),M1912&amp;"_"&amp;COUNTIF(M$2:M1912,M1912)))</f>
        <v>6882.72_1</v>
      </c>
      <c r="O1912" s="17" t="str">
        <f t="shared" si="29"/>
        <v/>
      </c>
      <c r="P1912" s="13" t="s">
        <v>3902</v>
      </c>
      <c r="Q1912" s="13" t="s">
        <v>3886</v>
      </c>
      <c r="R1912" s="13" t="s">
        <v>0</v>
      </c>
      <c r="S1912" s="13" t="s">
        <v>0</v>
      </c>
      <c r="T1912" s="13" t="s">
        <v>9</v>
      </c>
      <c r="U1912" s="13" t="s">
        <v>0</v>
      </c>
      <c r="V1912" s="13" t="s">
        <v>0</v>
      </c>
      <c r="W1912" s="13" t="s">
        <v>0</v>
      </c>
      <c r="X1912" s="13" t="s">
        <v>0</v>
      </c>
      <c r="Y1912" s="13" t="s">
        <v>10</v>
      </c>
      <c r="Z1912" s="13" t="s">
        <v>0</v>
      </c>
      <c r="AA1912" s="14"/>
      <c r="AB1912" s="13" t="s">
        <v>0</v>
      </c>
      <c r="AC1912" s="13" t="s">
        <v>0</v>
      </c>
      <c r="AD1912" s="13" t="s">
        <v>0</v>
      </c>
      <c r="AE1912" s="15">
        <v>0</v>
      </c>
    </row>
    <row r="1913" spans="1:31" ht="14.15" customHeight="1" x14ac:dyDescent="0.25">
      <c r="A1913" s="12" t="s">
        <v>0</v>
      </c>
      <c r="B1913" s="13" t="s">
        <v>1</v>
      </c>
      <c r="C1913" s="13" t="s">
        <v>2925</v>
      </c>
      <c r="D1913" s="14">
        <v>44276</v>
      </c>
      <c r="E1913" s="14">
        <v>44276</v>
      </c>
      <c r="F1913" s="14">
        <v>44280</v>
      </c>
      <c r="G1913" s="13" t="s">
        <v>3</v>
      </c>
      <c r="H1913" s="13" t="s">
        <v>4</v>
      </c>
      <c r="I1913" s="15">
        <v>-6869.32</v>
      </c>
      <c r="J1913" s="13" t="s">
        <v>5</v>
      </c>
      <c r="K1913" s="13" t="s">
        <v>6</v>
      </c>
      <c r="L1913" s="15">
        <v>-576679.41</v>
      </c>
      <c r="M1913" s="15">
        <v>-6869.32</v>
      </c>
      <c r="N1913" s="16" t="str">
        <f>IF(M1913="","",IF(M1913&lt;0,-M1913&amp;"_"&amp;COUNTIF(M$2:M1913,M1913),M1913&amp;"_"&amp;COUNTIF(M$2:M1913,M1913)))</f>
        <v>6869.32_1</v>
      </c>
      <c r="O1913" s="17" t="str">
        <f t="shared" si="29"/>
        <v/>
      </c>
      <c r="P1913" s="13" t="s">
        <v>2926</v>
      </c>
      <c r="Q1913" s="13" t="s">
        <v>2922</v>
      </c>
      <c r="R1913" s="13" t="s">
        <v>0</v>
      </c>
      <c r="S1913" s="13" t="s">
        <v>0</v>
      </c>
      <c r="T1913" s="13" t="s">
        <v>9</v>
      </c>
      <c r="U1913" s="13" t="s">
        <v>0</v>
      </c>
      <c r="V1913" s="13" t="s">
        <v>0</v>
      </c>
      <c r="W1913" s="13" t="s">
        <v>0</v>
      </c>
      <c r="X1913" s="13" t="s">
        <v>0</v>
      </c>
      <c r="Y1913" s="13" t="s">
        <v>10</v>
      </c>
      <c r="Z1913" s="13" t="s">
        <v>0</v>
      </c>
      <c r="AA1913" s="14"/>
      <c r="AB1913" s="13" t="s">
        <v>0</v>
      </c>
      <c r="AC1913" s="13" t="s">
        <v>0</v>
      </c>
      <c r="AD1913" s="13" t="s">
        <v>0</v>
      </c>
      <c r="AE1913" s="15">
        <v>0</v>
      </c>
    </row>
    <row r="1914" spans="1:31" ht="14.15" customHeight="1" x14ac:dyDescent="0.25">
      <c r="A1914" s="12" t="s">
        <v>0</v>
      </c>
      <c r="B1914" s="13" t="s">
        <v>1</v>
      </c>
      <c r="C1914" s="13" t="s">
        <v>3066</v>
      </c>
      <c r="D1914" s="14">
        <v>44284</v>
      </c>
      <c r="E1914" s="14">
        <v>44284</v>
      </c>
      <c r="F1914" s="14">
        <v>44290</v>
      </c>
      <c r="G1914" s="13" t="s">
        <v>3</v>
      </c>
      <c r="H1914" s="13" t="s">
        <v>4</v>
      </c>
      <c r="I1914" s="15">
        <v>-6858.54</v>
      </c>
      <c r="J1914" s="13" t="s">
        <v>5</v>
      </c>
      <c r="K1914" s="13" t="s">
        <v>6</v>
      </c>
      <c r="L1914" s="15">
        <v>-575774.43000000005</v>
      </c>
      <c r="M1914" s="15">
        <v>-6858.54</v>
      </c>
      <c r="N1914" s="16" t="str">
        <f>IF(M1914="","",IF(M1914&lt;0,-M1914&amp;"_"&amp;COUNTIF(M$2:M1914,M1914),M1914&amp;"_"&amp;COUNTIF(M$2:M1914,M1914)))</f>
        <v>6858.54_1</v>
      </c>
      <c r="O1914" s="17" t="str">
        <f t="shared" si="29"/>
        <v/>
      </c>
      <c r="P1914" s="13" t="s">
        <v>3067</v>
      </c>
      <c r="Q1914" s="13" t="s">
        <v>3061</v>
      </c>
      <c r="R1914" s="13" t="s">
        <v>0</v>
      </c>
      <c r="S1914" s="13" t="s">
        <v>0</v>
      </c>
      <c r="T1914" s="13" t="s">
        <v>9</v>
      </c>
      <c r="U1914" s="13" t="s">
        <v>0</v>
      </c>
      <c r="V1914" s="13" t="s">
        <v>0</v>
      </c>
      <c r="W1914" s="13" t="s">
        <v>0</v>
      </c>
      <c r="X1914" s="13" t="s">
        <v>0</v>
      </c>
      <c r="Y1914" s="13" t="s">
        <v>10</v>
      </c>
      <c r="Z1914" s="13" t="s">
        <v>0</v>
      </c>
      <c r="AA1914" s="14"/>
      <c r="AB1914" s="13" t="s">
        <v>0</v>
      </c>
      <c r="AC1914" s="13" t="s">
        <v>0</v>
      </c>
      <c r="AD1914" s="13" t="s">
        <v>0</v>
      </c>
      <c r="AE1914" s="15">
        <v>0</v>
      </c>
    </row>
    <row r="1915" spans="1:31" ht="14.15" customHeight="1" x14ac:dyDescent="0.25">
      <c r="A1915" s="12" t="s">
        <v>0</v>
      </c>
      <c r="B1915" s="13" t="s">
        <v>1</v>
      </c>
      <c r="C1915" s="13" t="s">
        <v>2533</v>
      </c>
      <c r="D1915" s="14">
        <v>44238</v>
      </c>
      <c r="E1915" s="14">
        <v>44238</v>
      </c>
      <c r="F1915" s="14">
        <v>44243</v>
      </c>
      <c r="G1915" s="13" t="s">
        <v>3</v>
      </c>
      <c r="H1915" s="13" t="s">
        <v>4</v>
      </c>
      <c r="I1915" s="15">
        <v>-6854.76</v>
      </c>
      <c r="J1915" s="13" t="s">
        <v>5</v>
      </c>
      <c r="K1915" s="13" t="s">
        <v>6</v>
      </c>
      <c r="L1915" s="15">
        <v>-575457.1</v>
      </c>
      <c r="M1915" s="15">
        <v>-6854.76</v>
      </c>
      <c r="N1915" s="16" t="str">
        <f>IF(M1915="","",IF(M1915&lt;0,-M1915&amp;"_"&amp;COUNTIF(M$2:M1915,M1915),M1915&amp;"_"&amp;COUNTIF(M$2:M1915,M1915)))</f>
        <v>6854.76_1</v>
      </c>
      <c r="O1915" s="17" t="str">
        <f t="shared" si="29"/>
        <v/>
      </c>
      <c r="P1915" s="13" t="s">
        <v>2534</v>
      </c>
      <c r="Q1915" s="13" t="s">
        <v>2528</v>
      </c>
      <c r="R1915" s="13" t="s">
        <v>0</v>
      </c>
      <c r="S1915" s="13" t="s">
        <v>0</v>
      </c>
      <c r="T1915" s="13" t="s">
        <v>9</v>
      </c>
      <c r="U1915" s="13" t="s">
        <v>0</v>
      </c>
      <c r="V1915" s="13" t="s">
        <v>0</v>
      </c>
      <c r="W1915" s="13" t="s">
        <v>0</v>
      </c>
      <c r="X1915" s="13" t="s">
        <v>0</v>
      </c>
      <c r="Y1915" s="13" t="s">
        <v>10</v>
      </c>
      <c r="Z1915" s="13" t="s">
        <v>0</v>
      </c>
      <c r="AA1915" s="14"/>
      <c r="AB1915" s="13" t="s">
        <v>0</v>
      </c>
      <c r="AC1915" s="13" t="s">
        <v>0</v>
      </c>
      <c r="AD1915" s="13" t="s">
        <v>0</v>
      </c>
      <c r="AE1915" s="15">
        <v>0</v>
      </c>
    </row>
    <row r="1916" spans="1:31" ht="14.15" customHeight="1" x14ac:dyDescent="0.25">
      <c r="A1916" s="12" t="s">
        <v>0</v>
      </c>
      <c r="B1916" s="13" t="s">
        <v>1</v>
      </c>
      <c r="C1916" s="13" t="s">
        <v>2554</v>
      </c>
      <c r="D1916" s="14">
        <v>44239</v>
      </c>
      <c r="E1916" s="14">
        <v>44239</v>
      </c>
      <c r="F1916" s="14">
        <v>44243</v>
      </c>
      <c r="G1916" s="13" t="s">
        <v>3</v>
      </c>
      <c r="H1916" s="13" t="s">
        <v>4</v>
      </c>
      <c r="I1916" s="15">
        <v>-6827.51</v>
      </c>
      <c r="J1916" s="13" t="s">
        <v>5</v>
      </c>
      <c r="K1916" s="13" t="s">
        <v>6</v>
      </c>
      <c r="L1916" s="15">
        <v>-573169.46</v>
      </c>
      <c r="M1916" s="15">
        <v>-6827.51</v>
      </c>
      <c r="N1916" s="16" t="str">
        <f>IF(M1916="","",IF(M1916&lt;0,-M1916&amp;"_"&amp;COUNTIF(M$2:M1916,M1916),M1916&amp;"_"&amp;COUNTIF(M$2:M1916,M1916)))</f>
        <v>6827.51_1</v>
      </c>
      <c r="O1916" s="17" t="str">
        <f t="shared" si="29"/>
        <v/>
      </c>
      <c r="P1916" s="13" t="s">
        <v>2555</v>
      </c>
      <c r="Q1916" s="13" t="s">
        <v>2549</v>
      </c>
      <c r="R1916" s="13" t="s">
        <v>0</v>
      </c>
      <c r="S1916" s="13" t="s">
        <v>0</v>
      </c>
      <c r="T1916" s="13" t="s">
        <v>9</v>
      </c>
      <c r="U1916" s="13" t="s">
        <v>0</v>
      </c>
      <c r="V1916" s="13" t="s">
        <v>0</v>
      </c>
      <c r="W1916" s="13" t="s">
        <v>0</v>
      </c>
      <c r="X1916" s="13" t="s">
        <v>0</v>
      </c>
      <c r="Y1916" s="13" t="s">
        <v>10</v>
      </c>
      <c r="Z1916" s="13" t="s">
        <v>0</v>
      </c>
      <c r="AA1916" s="14"/>
      <c r="AB1916" s="13" t="s">
        <v>0</v>
      </c>
      <c r="AC1916" s="13" t="s">
        <v>0</v>
      </c>
      <c r="AD1916" s="13" t="s">
        <v>0</v>
      </c>
      <c r="AE1916" s="15">
        <v>0</v>
      </c>
    </row>
    <row r="1917" spans="1:31" ht="14.15" customHeight="1" x14ac:dyDescent="0.25">
      <c r="A1917" s="12" t="s">
        <v>0</v>
      </c>
      <c r="B1917" s="13" t="s">
        <v>1</v>
      </c>
      <c r="C1917" s="13" t="s">
        <v>122</v>
      </c>
      <c r="D1917" s="14">
        <v>44026</v>
      </c>
      <c r="E1917" s="14">
        <v>44026</v>
      </c>
      <c r="F1917" s="14">
        <v>44032</v>
      </c>
      <c r="G1917" s="13" t="s">
        <v>3</v>
      </c>
      <c r="H1917" s="13" t="s">
        <v>4</v>
      </c>
      <c r="I1917" s="15">
        <v>-6814.49</v>
      </c>
      <c r="J1917" s="13" t="s">
        <v>5</v>
      </c>
      <c r="K1917" s="13" t="s">
        <v>6</v>
      </c>
      <c r="L1917" s="15">
        <v>-572076.43999999994</v>
      </c>
      <c r="M1917" s="15">
        <v>-6814.49</v>
      </c>
      <c r="N1917" s="16" t="str">
        <f>IF(M1917="","",IF(M1917&lt;0,-M1917&amp;"_"&amp;COUNTIF(M$2:M1917,M1917),M1917&amp;"_"&amp;COUNTIF(M$2:M1917,M1917)))</f>
        <v>6814.49_1</v>
      </c>
      <c r="O1917" s="17" t="str">
        <f t="shared" si="29"/>
        <v/>
      </c>
      <c r="P1917" s="13" t="s">
        <v>123</v>
      </c>
      <c r="Q1917" s="13" t="s">
        <v>121</v>
      </c>
      <c r="R1917" s="13" t="s">
        <v>0</v>
      </c>
      <c r="S1917" s="13" t="s">
        <v>0</v>
      </c>
      <c r="T1917" s="13" t="s">
        <v>9</v>
      </c>
      <c r="U1917" s="13" t="s">
        <v>0</v>
      </c>
      <c r="V1917" s="13" t="s">
        <v>0</v>
      </c>
      <c r="W1917" s="13" t="s">
        <v>0</v>
      </c>
      <c r="X1917" s="13" t="s">
        <v>0</v>
      </c>
      <c r="Y1917" s="13" t="s">
        <v>10</v>
      </c>
      <c r="Z1917" s="13" t="s">
        <v>0</v>
      </c>
      <c r="AA1917" s="14"/>
      <c r="AB1917" s="13" t="s">
        <v>0</v>
      </c>
      <c r="AC1917" s="13" t="s">
        <v>0</v>
      </c>
      <c r="AD1917" s="13" t="s">
        <v>0</v>
      </c>
      <c r="AE1917" s="15">
        <v>0</v>
      </c>
    </row>
    <row r="1918" spans="1:31" ht="14.15" customHeight="1" x14ac:dyDescent="0.25">
      <c r="A1918" s="12" t="s">
        <v>0</v>
      </c>
      <c r="B1918" s="13" t="s">
        <v>1</v>
      </c>
      <c r="C1918" s="13" t="s">
        <v>2579</v>
      </c>
      <c r="D1918" s="14">
        <v>44243</v>
      </c>
      <c r="E1918" s="14">
        <v>44243</v>
      </c>
      <c r="F1918" s="14">
        <v>44249</v>
      </c>
      <c r="G1918" s="13" t="s">
        <v>3</v>
      </c>
      <c r="H1918" s="13" t="s">
        <v>4</v>
      </c>
      <c r="I1918" s="15">
        <v>-6813.22</v>
      </c>
      <c r="J1918" s="13" t="s">
        <v>5</v>
      </c>
      <c r="K1918" s="13" t="s">
        <v>6</v>
      </c>
      <c r="L1918" s="15">
        <v>-571969.81999999995</v>
      </c>
      <c r="M1918" s="15">
        <v>-6813.22</v>
      </c>
      <c r="N1918" s="16" t="str">
        <f>IF(M1918="","",IF(M1918&lt;0,-M1918&amp;"_"&amp;COUNTIF(M$2:M1918,M1918),M1918&amp;"_"&amp;COUNTIF(M$2:M1918,M1918)))</f>
        <v>6813.22_1</v>
      </c>
      <c r="O1918" s="17" t="str">
        <f t="shared" si="29"/>
        <v/>
      </c>
      <c r="P1918" s="13" t="s">
        <v>2580</v>
      </c>
      <c r="Q1918" s="13" t="s">
        <v>2574</v>
      </c>
      <c r="R1918" s="13" t="s">
        <v>0</v>
      </c>
      <c r="S1918" s="13" t="s">
        <v>0</v>
      </c>
      <c r="T1918" s="13" t="s">
        <v>9</v>
      </c>
      <c r="U1918" s="13" t="s">
        <v>0</v>
      </c>
      <c r="V1918" s="13" t="s">
        <v>0</v>
      </c>
      <c r="W1918" s="13" t="s">
        <v>0</v>
      </c>
      <c r="X1918" s="13" t="s">
        <v>0</v>
      </c>
      <c r="Y1918" s="13" t="s">
        <v>10</v>
      </c>
      <c r="Z1918" s="13" t="s">
        <v>0</v>
      </c>
      <c r="AA1918" s="14"/>
      <c r="AB1918" s="13" t="s">
        <v>0</v>
      </c>
      <c r="AC1918" s="13" t="s">
        <v>0</v>
      </c>
      <c r="AD1918" s="13" t="s">
        <v>0</v>
      </c>
      <c r="AE1918" s="15">
        <v>0</v>
      </c>
    </row>
    <row r="1919" spans="1:31" ht="14.15" customHeight="1" x14ac:dyDescent="0.25">
      <c r="A1919" s="12" t="s">
        <v>0</v>
      </c>
      <c r="B1919" s="13" t="s">
        <v>1</v>
      </c>
      <c r="C1919" s="13" t="s">
        <v>685</v>
      </c>
      <c r="D1919" s="14">
        <v>44090</v>
      </c>
      <c r="E1919" s="14">
        <v>44090</v>
      </c>
      <c r="F1919" s="14">
        <v>44096</v>
      </c>
      <c r="G1919" s="13" t="s">
        <v>3</v>
      </c>
      <c r="H1919" s="13" t="s">
        <v>4</v>
      </c>
      <c r="I1919" s="15">
        <v>-6803.76</v>
      </c>
      <c r="J1919" s="13" t="s">
        <v>5</v>
      </c>
      <c r="K1919" s="13" t="s">
        <v>6</v>
      </c>
      <c r="L1919" s="15">
        <v>-571175.66</v>
      </c>
      <c r="M1919" s="15">
        <v>-6803.76</v>
      </c>
      <c r="N1919" s="16" t="str">
        <f>IF(M1919="","",IF(M1919&lt;0,-M1919&amp;"_"&amp;COUNTIF(M$2:M1919,M1919),M1919&amp;"_"&amp;COUNTIF(M$2:M1919,M1919)))</f>
        <v>6803.76_1</v>
      </c>
      <c r="O1919" s="17" t="str">
        <f t="shared" si="29"/>
        <v/>
      </c>
      <c r="P1919" s="13" t="s">
        <v>686</v>
      </c>
      <c r="Q1919" s="13" t="s">
        <v>687</v>
      </c>
      <c r="R1919" s="13" t="s">
        <v>0</v>
      </c>
      <c r="S1919" s="13" t="s">
        <v>0</v>
      </c>
      <c r="T1919" s="13" t="s">
        <v>9</v>
      </c>
      <c r="U1919" s="13" t="s">
        <v>0</v>
      </c>
      <c r="V1919" s="13" t="s">
        <v>0</v>
      </c>
      <c r="W1919" s="13" t="s">
        <v>0</v>
      </c>
      <c r="X1919" s="13" t="s">
        <v>0</v>
      </c>
      <c r="Y1919" s="13" t="s">
        <v>10</v>
      </c>
      <c r="Z1919" s="13" t="s">
        <v>0</v>
      </c>
      <c r="AA1919" s="14"/>
      <c r="AB1919" s="13" t="s">
        <v>0</v>
      </c>
      <c r="AC1919" s="13" t="s">
        <v>0</v>
      </c>
      <c r="AD1919" s="13" t="s">
        <v>0</v>
      </c>
      <c r="AE1919" s="15">
        <v>0</v>
      </c>
    </row>
    <row r="1920" spans="1:31" ht="14.15" customHeight="1" x14ac:dyDescent="0.25">
      <c r="A1920" s="12" t="s">
        <v>0</v>
      </c>
      <c r="B1920" s="13" t="s">
        <v>1</v>
      </c>
      <c r="C1920" s="13" t="s">
        <v>813</v>
      </c>
      <c r="D1920" s="14">
        <v>44104</v>
      </c>
      <c r="E1920" s="14">
        <v>44104</v>
      </c>
      <c r="F1920" s="14">
        <v>44108</v>
      </c>
      <c r="G1920" s="13" t="s">
        <v>3</v>
      </c>
      <c r="H1920" s="13" t="s">
        <v>4</v>
      </c>
      <c r="I1920" s="15">
        <v>-6798.78</v>
      </c>
      <c r="J1920" s="13" t="s">
        <v>5</v>
      </c>
      <c r="K1920" s="13" t="s">
        <v>6</v>
      </c>
      <c r="L1920" s="15">
        <v>-570757.57999999996</v>
      </c>
      <c r="M1920" s="15">
        <v>-6798.78</v>
      </c>
      <c r="N1920" s="16" t="str">
        <f>IF(M1920="","",IF(M1920&lt;0,-M1920&amp;"_"&amp;COUNTIF(M$2:M1920,M1920),M1920&amp;"_"&amp;COUNTIF(M$2:M1920,M1920)))</f>
        <v>6798.78_1</v>
      </c>
      <c r="O1920" s="17" t="str">
        <f t="shared" si="29"/>
        <v/>
      </c>
      <c r="P1920" s="13" t="s">
        <v>814</v>
      </c>
      <c r="Q1920" s="13" t="s">
        <v>812</v>
      </c>
      <c r="R1920" s="13" t="s">
        <v>0</v>
      </c>
      <c r="S1920" s="13" t="s">
        <v>0</v>
      </c>
      <c r="T1920" s="13" t="s">
        <v>9</v>
      </c>
      <c r="U1920" s="13" t="s">
        <v>0</v>
      </c>
      <c r="V1920" s="13" t="s">
        <v>0</v>
      </c>
      <c r="W1920" s="13" t="s">
        <v>0</v>
      </c>
      <c r="X1920" s="13" t="s">
        <v>0</v>
      </c>
      <c r="Y1920" s="13" t="s">
        <v>10</v>
      </c>
      <c r="Z1920" s="13" t="s">
        <v>0</v>
      </c>
      <c r="AA1920" s="14"/>
      <c r="AB1920" s="13" t="s">
        <v>0</v>
      </c>
      <c r="AC1920" s="13" t="s">
        <v>0</v>
      </c>
      <c r="AD1920" s="13" t="s">
        <v>0</v>
      </c>
      <c r="AE1920" s="15">
        <v>0</v>
      </c>
    </row>
    <row r="1921" spans="1:31" ht="14.15" customHeight="1" x14ac:dyDescent="0.25">
      <c r="A1921" s="12" t="s">
        <v>0</v>
      </c>
      <c r="B1921" s="13" t="s">
        <v>1</v>
      </c>
      <c r="C1921" s="13" t="s">
        <v>3209</v>
      </c>
      <c r="D1921" s="14">
        <v>44302</v>
      </c>
      <c r="E1921" s="14">
        <v>44302</v>
      </c>
      <c r="F1921" s="14">
        <v>44308</v>
      </c>
      <c r="G1921" s="13" t="s">
        <v>3</v>
      </c>
      <c r="H1921" s="13" t="s">
        <v>4</v>
      </c>
      <c r="I1921" s="15">
        <v>-6794.28</v>
      </c>
      <c r="J1921" s="13" t="s">
        <v>5</v>
      </c>
      <c r="K1921" s="13" t="s">
        <v>6</v>
      </c>
      <c r="L1921" s="15">
        <v>-570379.81000000006</v>
      </c>
      <c r="M1921" s="15">
        <v>-6794.28</v>
      </c>
      <c r="N1921" s="16" t="str">
        <f>IF(M1921="","",IF(M1921&lt;0,-M1921&amp;"_"&amp;COUNTIF(M$2:M1921,M1921),M1921&amp;"_"&amp;COUNTIF(M$2:M1921,M1921)))</f>
        <v>6794.28_1</v>
      </c>
      <c r="O1921" s="17" t="str">
        <f t="shared" si="29"/>
        <v/>
      </c>
      <c r="P1921" s="13" t="s">
        <v>3210</v>
      </c>
      <c r="Q1921" s="13" t="s">
        <v>3196</v>
      </c>
      <c r="R1921" s="13" t="s">
        <v>0</v>
      </c>
      <c r="S1921" s="13" t="s">
        <v>0</v>
      </c>
      <c r="T1921" s="13" t="s">
        <v>9</v>
      </c>
      <c r="U1921" s="13" t="s">
        <v>0</v>
      </c>
      <c r="V1921" s="13" t="s">
        <v>0</v>
      </c>
      <c r="W1921" s="13" t="s">
        <v>0</v>
      </c>
      <c r="X1921" s="13" t="s">
        <v>0</v>
      </c>
      <c r="Y1921" s="13" t="s">
        <v>10</v>
      </c>
      <c r="Z1921" s="13" t="s">
        <v>0</v>
      </c>
      <c r="AA1921" s="14"/>
      <c r="AB1921" s="13" t="s">
        <v>0</v>
      </c>
      <c r="AC1921" s="13" t="s">
        <v>0</v>
      </c>
      <c r="AD1921" s="13" t="s">
        <v>0</v>
      </c>
      <c r="AE1921" s="15">
        <v>0</v>
      </c>
    </row>
    <row r="1922" spans="1:31" ht="14.15" customHeight="1" x14ac:dyDescent="0.25">
      <c r="A1922" s="12" t="s">
        <v>0</v>
      </c>
      <c r="B1922" s="13" t="s">
        <v>1</v>
      </c>
      <c r="C1922" s="13" t="s">
        <v>2340</v>
      </c>
      <c r="D1922" s="14">
        <v>44223</v>
      </c>
      <c r="E1922" s="14">
        <v>44223</v>
      </c>
      <c r="F1922" s="14">
        <v>44231</v>
      </c>
      <c r="G1922" s="13" t="s">
        <v>3</v>
      </c>
      <c r="H1922" s="13" t="s">
        <v>4</v>
      </c>
      <c r="I1922" s="15">
        <v>-6789.36</v>
      </c>
      <c r="J1922" s="13" t="s">
        <v>5</v>
      </c>
      <c r="K1922" s="13" t="s">
        <v>6</v>
      </c>
      <c r="L1922" s="15">
        <v>-569966.77</v>
      </c>
      <c r="M1922" s="15">
        <v>-6789.36</v>
      </c>
      <c r="N1922" s="16" t="str">
        <f>IF(M1922="","",IF(M1922&lt;0,-M1922&amp;"_"&amp;COUNTIF(M$2:M1922,M1922),M1922&amp;"_"&amp;COUNTIF(M$2:M1922,M1922)))</f>
        <v>6789.36_1</v>
      </c>
      <c r="O1922" s="17" t="str">
        <f t="shared" ref="O1922:O1985" si="30">IF(COUNTIF(N:N,N1922)=2,"x","")</f>
        <v/>
      </c>
      <c r="P1922" s="13" t="s">
        <v>2341</v>
      </c>
      <c r="Q1922" s="13" t="s">
        <v>2342</v>
      </c>
      <c r="R1922" s="13" t="s">
        <v>0</v>
      </c>
      <c r="S1922" s="13" t="s">
        <v>0</v>
      </c>
      <c r="T1922" s="13" t="s">
        <v>9</v>
      </c>
      <c r="U1922" s="13" t="s">
        <v>0</v>
      </c>
      <c r="V1922" s="13" t="s">
        <v>0</v>
      </c>
      <c r="W1922" s="13" t="s">
        <v>0</v>
      </c>
      <c r="X1922" s="13" t="s">
        <v>0</v>
      </c>
      <c r="Y1922" s="13" t="s">
        <v>10</v>
      </c>
      <c r="Z1922" s="13" t="s">
        <v>0</v>
      </c>
      <c r="AA1922" s="14"/>
      <c r="AB1922" s="13" t="s">
        <v>0</v>
      </c>
      <c r="AC1922" s="13" t="s">
        <v>0</v>
      </c>
      <c r="AD1922" s="13" t="s">
        <v>0</v>
      </c>
      <c r="AE1922" s="15">
        <v>0</v>
      </c>
    </row>
    <row r="1923" spans="1:31" ht="14.15" customHeight="1" x14ac:dyDescent="0.25">
      <c r="A1923" s="12" t="s">
        <v>0</v>
      </c>
      <c r="B1923" s="13" t="s">
        <v>1</v>
      </c>
      <c r="C1923" s="13" t="s">
        <v>1512</v>
      </c>
      <c r="D1923" s="14">
        <v>44163</v>
      </c>
      <c r="E1923" s="14">
        <v>44163</v>
      </c>
      <c r="F1923" s="14">
        <v>44168</v>
      </c>
      <c r="G1923" s="13" t="s">
        <v>3</v>
      </c>
      <c r="H1923" s="13" t="s">
        <v>4</v>
      </c>
      <c r="I1923" s="15">
        <v>-6785.89</v>
      </c>
      <c r="J1923" s="13" t="s">
        <v>5</v>
      </c>
      <c r="K1923" s="13" t="s">
        <v>6</v>
      </c>
      <c r="L1923" s="15">
        <v>-569675.47</v>
      </c>
      <c r="M1923" s="15">
        <v>-6785.89</v>
      </c>
      <c r="N1923" s="16" t="str">
        <f>IF(M1923="","",IF(M1923&lt;0,-M1923&amp;"_"&amp;COUNTIF(M$2:M1923,M1923),M1923&amp;"_"&amp;COUNTIF(M$2:M1923,M1923)))</f>
        <v>6785.89_1</v>
      </c>
      <c r="O1923" s="17" t="str">
        <f t="shared" si="30"/>
        <v/>
      </c>
      <c r="P1923" s="13" t="s">
        <v>1513</v>
      </c>
      <c r="Q1923" s="13" t="s">
        <v>1509</v>
      </c>
      <c r="R1923" s="13" t="s">
        <v>0</v>
      </c>
      <c r="S1923" s="13" t="s">
        <v>0</v>
      </c>
      <c r="T1923" s="13" t="s">
        <v>9</v>
      </c>
      <c r="U1923" s="13" t="s">
        <v>0</v>
      </c>
      <c r="V1923" s="13" t="s">
        <v>0</v>
      </c>
      <c r="W1923" s="13" t="s">
        <v>0</v>
      </c>
      <c r="X1923" s="13" t="s">
        <v>0</v>
      </c>
      <c r="Y1923" s="13" t="s">
        <v>10</v>
      </c>
      <c r="Z1923" s="13" t="s">
        <v>0</v>
      </c>
      <c r="AA1923" s="14"/>
      <c r="AB1923" s="13" t="s">
        <v>0</v>
      </c>
      <c r="AC1923" s="13" t="s">
        <v>0</v>
      </c>
      <c r="AD1923" s="13" t="s">
        <v>0</v>
      </c>
      <c r="AE1923" s="15">
        <v>0</v>
      </c>
    </row>
    <row r="1924" spans="1:31" ht="14.15" customHeight="1" x14ac:dyDescent="0.25">
      <c r="A1924" s="12" t="s">
        <v>0</v>
      </c>
      <c r="B1924" s="13" t="s">
        <v>1</v>
      </c>
      <c r="C1924" s="13" t="s">
        <v>122</v>
      </c>
      <c r="D1924" s="14">
        <v>44026</v>
      </c>
      <c r="E1924" s="14">
        <v>44026</v>
      </c>
      <c r="F1924" s="14">
        <v>44032</v>
      </c>
      <c r="G1924" s="13" t="s">
        <v>3</v>
      </c>
      <c r="H1924" s="13" t="s">
        <v>4</v>
      </c>
      <c r="I1924" s="15">
        <v>-6774.16</v>
      </c>
      <c r="J1924" s="13" t="s">
        <v>5</v>
      </c>
      <c r="K1924" s="13" t="s">
        <v>6</v>
      </c>
      <c r="L1924" s="15">
        <v>-568690.73</v>
      </c>
      <c r="M1924" s="15">
        <v>-6774.16</v>
      </c>
      <c r="N1924" s="16" t="str">
        <f>IF(M1924="","",IF(M1924&lt;0,-M1924&amp;"_"&amp;COUNTIF(M$2:M1924,M1924),M1924&amp;"_"&amp;COUNTIF(M$2:M1924,M1924)))</f>
        <v>6774.16_1</v>
      </c>
      <c r="O1924" s="17" t="str">
        <f t="shared" si="30"/>
        <v/>
      </c>
      <c r="P1924" s="13" t="s">
        <v>123</v>
      </c>
      <c r="Q1924" s="13" t="s">
        <v>121</v>
      </c>
      <c r="R1924" s="13" t="s">
        <v>0</v>
      </c>
      <c r="S1924" s="13" t="s">
        <v>0</v>
      </c>
      <c r="T1924" s="13" t="s">
        <v>9</v>
      </c>
      <c r="U1924" s="13" t="s">
        <v>0</v>
      </c>
      <c r="V1924" s="13" t="s">
        <v>0</v>
      </c>
      <c r="W1924" s="13" t="s">
        <v>0</v>
      </c>
      <c r="X1924" s="13" t="s">
        <v>0</v>
      </c>
      <c r="Y1924" s="13" t="s">
        <v>10</v>
      </c>
      <c r="Z1924" s="13" t="s">
        <v>0</v>
      </c>
      <c r="AA1924" s="14"/>
      <c r="AB1924" s="13" t="s">
        <v>0</v>
      </c>
      <c r="AC1924" s="13" t="s">
        <v>0</v>
      </c>
      <c r="AD1924" s="13" t="s">
        <v>0</v>
      </c>
      <c r="AE1924" s="15">
        <v>0</v>
      </c>
    </row>
    <row r="1925" spans="1:31" ht="14.15" customHeight="1" x14ac:dyDescent="0.25">
      <c r="A1925" s="12" t="s">
        <v>0</v>
      </c>
      <c r="B1925" s="13" t="s">
        <v>1</v>
      </c>
      <c r="C1925" s="13" t="s">
        <v>3493</v>
      </c>
      <c r="D1925" s="14">
        <v>44321</v>
      </c>
      <c r="E1925" s="14">
        <v>44321</v>
      </c>
      <c r="F1925" s="14">
        <v>44326</v>
      </c>
      <c r="G1925" s="13" t="s">
        <v>3</v>
      </c>
      <c r="H1925" s="13" t="s">
        <v>4</v>
      </c>
      <c r="I1925" s="15">
        <v>-6770.34</v>
      </c>
      <c r="J1925" s="13" t="s">
        <v>5</v>
      </c>
      <c r="K1925" s="13" t="s">
        <v>6</v>
      </c>
      <c r="L1925" s="15">
        <v>-568370.04</v>
      </c>
      <c r="M1925" s="15">
        <v>-6770.34</v>
      </c>
      <c r="N1925" s="16" t="str">
        <f>IF(M1925="","",IF(M1925&lt;0,-M1925&amp;"_"&amp;COUNTIF(M$2:M1925,M1925),M1925&amp;"_"&amp;COUNTIF(M$2:M1925,M1925)))</f>
        <v>6770.34_1</v>
      </c>
      <c r="O1925" s="17" t="str">
        <f t="shared" si="30"/>
        <v/>
      </c>
      <c r="P1925" s="13" t="s">
        <v>3494</v>
      </c>
      <c r="Q1925" s="13" t="s">
        <v>3490</v>
      </c>
      <c r="R1925" s="13" t="s">
        <v>0</v>
      </c>
      <c r="S1925" s="13" t="s">
        <v>0</v>
      </c>
      <c r="T1925" s="13" t="s">
        <v>9</v>
      </c>
      <c r="U1925" s="13" t="s">
        <v>0</v>
      </c>
      <c r="V1925" s="13" t="s">
        <v>0</v>
      </c>
      <c r="W1925" s="13" t="s">
        <v>0</v>
      </c>
      <c r="X1925" s="13" t="s">
        <v>0</v>
      </c>
      <c r="Y1925" s="13" t="s">
        <v>10</v>
      </c>
      <c r="Z1925" s="13" t="s">
        <v>0</v>
      </c>
      <c r="AA1925" s="14"/>
      <c r="AB1925" s="13" t="s">
        <v>0</v>
      </c>
      <c r="AC1925" s="13" t="s">
        <v>0</v>
      </c>
      <c r="AD1925" s="13" t="s">
        <v>0</v>
      </c>
      <c r="AE1925" s="15">
        <v>0</v>
      </c>
    </row>
    <row r="1926" spans="1:31" ht="14.15" customHeight="1" x14ac:dyDescent="0.25">
      <c r="A1926" s="12" t="s">
        <v>0</v>
      </c>
      <c r="B1926" s="13" t="s">
        <v>1</v>
      </c>
      <c r="C1926" s="13" t="s">
        <v>3515</v>
      </c>
      <c r="D1926" s="14">
        <v>44324</v>
      </c>
      <c r="E1926" s="14">
        <v>44324</v>
      </c>
      <c r="F1926" s="14">
        <v>44329</v>
      </c>
      <c r="G1926" s="13" t="s">
        <v>3</v>
      </c>
      <c r="H1926" s="13" t="s">
        <v>4</v>
      </c>
      <c r="I1926" s="15">
        <v>-6751.69</v>
      </c>
      <c r="J1926" s="13" t="s">
        <v>5</v>
      </c>
      <c r="K1926" s="13" t="s">
        <v>6</v>
      </c>
      <c r="L1926" s="15">
        <v>-566804.38</v>
      </c>
      <c r="M1926" s="15">
        <v>-6751.69</v>
      </c>
      <c r="N1926" s="16" t="str">
        <f>IF(M1926="","",IF(M1926&lt;0,-M1926&amp;"_"&amp;COUNTIF(M$2:M1926,M1926),M1926&amp;"_"&amp;COUNTIF(M$2:M1926,M1926)))</f>
        <v>6751.69_1</v>
      </c>
      <c r="O1926" s="17" t="str">
        <f t="shared" si="30"/>
        <v/>
      </c>
      <c r="P1926" s="13" t="s">
        <v>3516</v>
      </c>
      <c r="Q1926" s="13" t="s">
        <v>3512</v>
      </c>
      <c r="R1926" s="13" t="s">
        <v>0</v>
      </c>
      <c r="S1926" s="13" t="s">
        <v>0</v>
      </c>
      <c r="T1926" s="13" t="s">
        <v>9</v>
      </c>
      <c r="U1926" s="13" t="s">
        <v>0</v>
      </c>
      <c r="V1926" s="13" t="s">
        <v>0</v>
      </c>
      <c r="W1926" s="13" t="s">
        <v>0</v>
      </c>
      <c r="X1926" s="13" t="s">
        <v>0</v>
      </c>
      <c r="Y1926" s="13" t="s">
        <v>10</v>
      </c>
      <c r="Z1926" s="13" t="s">
        <v>0</v>
      </c>
      <c r="AA1926" s="14"/>
      <c r="AB1926" s="13" t="s">
        <v>0</v>
      </c>
      <c r="AC1926" s="13" t="s">
        <v>0</v>
      </c>
      <c r="AD1926" s="13" t="s">
        <v>0</v>
      </c>
      <c r="AE1926" s="15">
        <v>0</v>
      </c>
    </row>
    <row r="1927" spans="1:31" ht="14.15" customHeight="1" x14ac:dyDescent="0.25">
      <c r="A1927" s="12" t="s">
        <v>0</v>
      </c>
      <c r="B1927" s="13" t="s">
        <v>1</v>
      </c>
      <c r="C1927" s="13" t="s">
        <v>3893</v>
      </c>
      <c r="D1927" s="14">
        <v>44353</v>
      </c>
      <c r="E1927" s="14">
        <v>44353</v>
      </c>
      <c r="F1927" s="14">
        <v>44357</v>
      </c>
      <c r="G1927" s="13" t="s">
        <v>3</v>
      </c>
      <c r="H1927" s="13" t="s">
        <v>4</v>
      </c>
      <c r="I1927" s="15">
        <v>-6751.69</v>
      </c>
      <c r="J1927" s="13" t="s">
        <v>5</v>
      </c>
      <c r="K1927" s="13" t="s">
        <v>6</v>
      </c>
      <c r="L1927" s="15">
        <v>-566804.38</v>
      </c>
      <c r="M1927" s="15">
        <v>-6751.69</v>
      </c>
      <c r="N1927" s="16" t="str">
        <f>IF(M1927="","",IF(M1927&lt;0,-M1927&amp;"_"&amp;COUNTIF(M$2:M1927,M1927),M1927&amp;"_"&amp;COUNTIF(M$2:M1927,M1927)))</f>
        <v>6751.69_2</v>
      </c>
      <c r="O1927" s="17" t="str">
        <f t="shared" si="30"/>
        <v/>
      </c>
      <c r="P1927" s="13" t="s">
        <v>3894</v>
      </c>
      <c r="Q1927" s="13" t="s">
        <v>3886</v>
      </c>
      <c r="R1927" s="13" t="s">
        <v>0</v>
      </c>
      <c r="S1927" s="13" t="s">
        <v>0</v>
      </c>
      <c r="T1927" s="13" t="s">
        <v>9</v>
      </c>
      <c r="U1927" s="13" t="s">
        <v>0</v>
      </c>
      <c r="V1927" s="13" t="s">
        <v>0</v>
      </c>
      <c r="W1927" s="13" t="s">
        <v>0</v>
      </c>
      <c r="X1927" s="13" t="s">
        <v>0</v>
      </c>
      <c r="Y1927" s="13" t="s">
        <v>10</v>
      </c>
      <c r="Z1927" s="13" t="s">
        <v>0</v>
      </c>
      <c r="AA1927" s="14"/>
      <c r="AB1927" s="13" t="s">
        <v>0</v>
      </c>
      <c r="AC1927" s="13" t="s">
        <v>0</v>
      </c>
      <c r="AD1927" s="13" t="s">
        <v>0</v>
      </c>
      <c r="AE1927" s="15">
        <v>0</v>
      </c>
    </row>
    <row r="1928" spans="1:31" ht="14.15" customHeight="1" x14ac:dyDescent="0.25">
      <c r="A1928" s="12" t="s">
        <v>0</v>
      </c>
      <c r="B1928" s="13" t="s">
        <v>1</v>
      </c>
      <c r="C1928" s="13" t="s">
        <v>1394</v>
      </c>
      <c r="D1928" s="14">
        <v>44153</v>
      </c>
      <c r="E1928" s="14">
        <v>44153</v>
      </c>
      <c r="F1928" s="14">
        <v>44160</v>
      </c>
      <c r="G1928" s="13" t="s">
        <v>3</v>
      </c>
      <c r="H1928" s="13" t="s">
        <v>4</v>
      </c>
      <c r="I1928" s="15">
        <v>-6739.3</v>
      </c>
      <c r="J1928" s="13" t="s">
        <v>5</v>
      </c>
      <c r="K1928" s="13" t="s">
        <v>6</v>
      </c>
      <c r="L1928" s="15">
        <v>-565764.24</v>
      </c>
      <c r="M1928" s="15">
        <v>-6739.3</v>
      </c>
      <c r="N1928" s="16" t="str">
        <f>IF(M1928="","",IF(M1928&lt;0,-M1928&amp;"_"&amp;COUNTIF(M$2:M1928,M1928),M1928&amp;"_"&amp;COUNTIF(M$2:M1928,M1928)))</f>
        <v>6739.3_1</v>
      </c>
      <c r="O1928" s="17" t="str">
        <f t="shared" si="30"/>
        <v/>
      </c>
      <c r="P1928" s="13" t="s">
        <v>1395</v>
      </c>
      <c r="Q1928" s="13" t="s">
        <v>1381</v>
      </c>
      <c r="R1928" s="13" t="s">
        <v>0</v>
      </c>
      <c r="S1928" s="13" t="s">
        <v>0</v>
      </c>
      <c r="T1928" s="13" t="s">
        <v>9</v>
      </c>
      <c r="U1928" s="13" t="s">
        <v>0</v>
      </c>
      <c r="V1928" s="13" t="s">
        <v>0</v>
      </c>
      <c r="W1928" s="13" t="s">
        <v>0</v>
      </c>
      <c r="X1928" s="13" t="s">
        <v>0</v>
      </c>
      <c r="Y1928" s="13" t="s">
        <v>10</v>
      </c>
      <c r="Z1928" s="13" t="s">
        <v>0</v>
      </c>
      <c r="AA1928" s="14"/>
      <c r="AB1928" s="13" t="s">
        <v>0</v>
      </c>
      <c r="AC1928" s="13" t="s">
        <v>0</v>
      </c>
      <c r="AD1928" s="13" t="s">
        <v>0</v>
      </c>
      <c r="AE1928" s="15">
        <v>0</v>
      </c>
    </row>
    <row r="1929" spans="1:31" ht="14.15" customHeight="1" x14ac:dyDescent="0.25">
      <c r="A1929" s="12" t="s">
        <v>0</v>
      </c>
      <c r="B1929" s="13" t="s">
        <v>1</v>
      </c>
      <c r="C1929" s="13" t="s">
        <v>2513</v>
      </c>
      <c r="D1929" s="14">
        <v>44236</v>
      </c>
      <c r="E1929" s="14">
        <v>44236</v>
      </c>
      <c r="F1929" s="14">
        <v>44243</v>
      </c>
      <c r="G1929" s="13" t="s">
        <v>3</v>
      </c>
      <c r="H1929" s="13" t="s">
        <v>4</v>
      </c>
      <c r="I1929" s="15">
        <v>-6721.28</v>
      </c>
      <c r="J1929" s="13" t="s">
        <v>5</v>
      </c>
      <c r="K1929" s="13" t="s">
        <v>6</v>
      </c>
      <c r="L1929" s="15">
        <v>-564251.46</v>
      </c>
      <c r="M1929" s="15">
        <v>-6721.28</v>
      </c>
      <c r="N1929" s="16" t="str">
        <f>IF(M1929="","",IF(M1929&lt;0,-M1929&amp;"_"&amp;COUNTIF(M$2:M1929,M1929),M1929&amp;"_"&amp;COUNTIF(M$2:M1929,M1929)))</f>
        <v>6721.28_1</v>
      </c>
      <c r="O1929" s="17" t="str">
        <f t="shared" si="30"/>
        <v/>
      </c>
      <c r="P1929" s="13" t="s">
        <v>2514</v>
      </c>
      <c r="Q1929" s="13" t="s">
        <v>2510</v>
      </c>
      <c r="R1929" s="13" t="s">
        <v>0</v>
      </c>
      <c r="S1929" s="13" t="s">
        <v>0</v>
      </c>
      <c r="T1929" s="13" t="s">
        <v>9</v>
      </c>
      <c r="U1929" s="13" t="s">
        <v>0</v>
      </c>
      <c r="V1929" s="13" t="s">
        <v>0</v>
      </c>
      <c r="W1929" s="13" t="s">
        <v>0</v>
      </c>
      <c r="X1929" s="13" t="s">
        <v>0</v>
      </c>
      <c r="Y1929" s="13" t="s">
        <v>10</v>
      </c>
      <c r="Z1929" s="13" t="s">
        <v>0</v>
      </c>
      <c r="AA1929" s="14"/>
      <c r="AB1929" s="13" t="s">
        <v>0</v>
      </c>
      <c r="AC1929" s="13" t="s">
        <v>0</v>
      </c>
      <c r="AD1929" s="13" t="s">
        <v>0</v>
      </c>
      <c r="AE1929" s="15">
        <v>0</v>
      </c>
    </row>
    <row r="1930" spans="1:31" ht="14.15" customHeight="1" x14ac:dyDescent="0.25">
      <c r="A1930" s="12" t="s">
        <v>0</v>
      </c>
      <c r="B1930" s="13" t="s">
        <v>1</v>
      </c>
      <c r="C1930" s="13" t="s">
        <v>1168</v>
      </c>
      <c r="D1930" s="14">
        <v>44140</v>
      </c>
      <c r="E1930" s="14">
        <v>44140</v>
      </c>
      <c r="F1930" s="14">
        <v>44145</v>
      </c>
      <c r="G1930" s="13" t="s">
        <v>3</v>
      </c>
      <c r="H1930" s="13" t="s">
        <v>4</v>
      </c>
      <c r="I1930" s="15">
        <v>-6712.42</v>
      </c>
      <c r="J1930" s="13" t="s">
        <v>5</v>
      </c>
      <c r="K1930" s="13" t="s">
        <v>6</v>
      </c>
      <c r="L1930" s="15">
        <v>-563507.66</v>
      </c>
      <c r="M1930" s="15">
        <v>-6712.42</v>
      </c>
      <c r="N1930" s="16" t="str">
        <f>IF(M1930="","",IF(M1930&lt;0,-M1930&amp;"_"&amp;COUNTIF(M$2:M1930,M1930),M1930&amp;"_"&amp;COUNTIF(M$2:M1930,M1930)))</f>
        <v>6712.42_1</v>
      </c>
      <c r="O1930" s="17" t="str">
        <f t="shared" si="30"/>
        <v/>
      </c>
      <c r="P1930" s="13" t="s">
        <v>1169</v>
      </c>
      <c r="Q1930" s="13" t="s">
        <v>1165</v>
      </c>
      <c r="R1930" s="13" t="s">
        <v>0</v>
      </c>
      <c r="S1930" s="13" t="s">
        <v>0</v>
      </c>
      <c r="T1930" s="13" t="s">
        <v>9</v>
      </c>
      <c r="U1930" s="13" t="s">
        <v>0</v>
      </c>
      <c r="V1930" s="13" t="s">
        <v>0</v>
      </c>
      <c r="W1930" s="13" t="s">
        <v>0</v>
      </c>
      <c r="X1930" s="13" t="s">
        <v>0</v>
      </c>
      <c r="Y1930" s="13" t="s">
        <v>10</v>
      </c>
      <c r="Z1930" s="13" t="s">
        <v>0</v>
      </c>
      <c r="AA1930" s="14"/>
      <c r="AB1930" s="13" t="s">
        <v>0</v>
      </c>
      <c r="AC1930" s="13" t="s">
        <v>0</v>
      </c>
      <c r="AD1930" s="13" t="s">
        <v>0</v>
      </c>
      <c r="AE1930" s="15">
        <v>0</v>
      </c>
    </row>
    <row r="1931" spans="1:31" ht="14.15" customHeight="1" x14ac:dyDescent="0.25">
      <c r="A1931" s="12" t="s">
        <v>0</v>
      </c>
      <c r="B1931" s="13" t="s">
        <v>1</v>
      </c>
      <c r="C1931" s="13" t="s">
        <v>2780</v>
      </c>
      <c r="D1931" s="14">
        <v>44263</v>
      </c>
      <c r="E1931" s="14">
        <v>44263</v>
      </c>
      <c r="F1931" s="14">
        <v>44266</v>
      </c>
      <c r="G1931" s="13" t="s">
        <v>3</v>
      </c>
      <c r="H1931" s="13" t="s">
        <v>4</v>
      </c>
      <c r="I1931" s="15">
        <v>-6712.42</v>
      </c>
      <c r="J1931" s="13" t="s">
        <v>5</v>
      </c>
      <c r="K1931" s="13" t="s">
        <v>6</v>
      </c>
      <c r="L1931" s="15">
        <v>-563507.66</v>
      </c>
      <c r="M1931" s="15">
        <v>-6712.42</v>
      </c>
      <c r="N1931" s="16" t="str">
        <f>IF(M1931="","",IF(M1931&lt;0,-M1931&amp;"_"&amp;COUNTIF(M$2:M1931,M1931),M1931&amp;"_"&amp;COUNTIF(M$2:M1931,M1931)))</f>
        <v>6712.42_2</v>
      </c>
      <c r="O1931" s="17" t="str">
        <f t="shared" si="30"/>
        <v/>
      </c>
      <c r="P1931" s="13" t="s">
        <v>2781</v>
      </c>
      <c r="Q1931" s="13" t="s">
        <v>2779</v>
      </c>
      <c r="R1931" s="13" t="s">
        <v>0</v>
      </c>
      <c r="S1931" s="13" t="s">
        <v>0</v>
      </c>
      <c r="T1931" s="13" t="s">
        <v>9</v>
      </c>
      <c r="U1931" s="13" t="s">
        <v>0</v>
      </c>
      <c r="V1931" s="13" t="s">
        <v>0</v>
      </c>
      <c r="W1931" s="13" t="s">
        <v>0</v>
      </c>
      <c r="X1931" s="13" t="s">
        <v>0</v>
      </c>
      <c r="Y1931" s="13" t="s">
        <v>10</v>
      </c>
      <c r="Z1931" s="13" t="s">
        <v>0</v>
      </c>
      <c r="AA1931" s="14"/>
      <c r="AB1931" s="13" t="s">
        <v>0</v>
      </c>
      <c r="AC1931" s="13" t="s">
        <v>0</v>
      </c>
      <c r="AD1931" s="13" t="s">
        <v>0</v>
      </c>
      <c r="AE1931" s="15">
        <v>0</v>
      </c>
    </row>
    <row r="1932" spans="1:31" ht="14.15" customHeight="1" x14ac:dyDescent="0.25">
      <c r="A1932" s="12" t="s">
        <v>0</v>
      </c>
      <c r="B1932" s="13" t="s">
        <v>1</v>
      </c>
      <c r="C1932" s="13" t="s">
        <v>196</v>
      </c>
      <c r="D1932" s="14">
        <v>44034</v>
      </c>
      <c r="E1932" s="14">
        <v>44034</v>
      </c>
      <c r="F1932" s="14">
        <v>44049</v>
      </c>
      <c r="G1932" s="13" t="s">
        <v>3</v>
      </c>
      <c r="H1932" s="13" t="s">
        <v>4</v>
      </c>
      <c r="I1932" s="15">
        <v>-6708.91</v>
      </c>
      <c r="J1932" s="13" t="s">
        <v>5</v>
      </c>
      <c r="K1932" s="13" t="s">
        <v>6</v>
      </c>
      <c r="L1932" s="15">
        <v>-563212.99</v>
      </c>
      <c r="M1932" s="15">
        <v>-6708.91</v>
      </c>
      <c r="N1932" s="16" t="str">
        <f>IF(M1932="","",IF(M1932&lt;0,-M1932&amp;"_"&amp;COUNTIF(M$2:M1932,M1932),M1932&amp;"_"&amp;COUNTIF(M$2:M1932,M1932)))</f>
        <v>6708.91_1</v>
      </c>
      <c r="O1932" s="17" t="str">
        <f t="shared" si="30"/>
        <v/>
      </c>
      <c r="P1932" s="13" t="s">
        <v>197</v>
      </c>
      <c r="Q1932" s="13" t="s">
        <v>175</v>
      </c>
      <c r="R1932" s="13" t="s">
        <v>0</v>
      </c>
      <c r="S1932" s="13" t="s">
        <v>0</v>
      </c>
      <c r="T1932" s="13" t="s">
        <v>9</v>
      </c>
      <c r="U1932" s="13" t="s">
        <v>0</v>
      </c>
      <c r="V1932" s="13" t="s">
        <v>0</v>
      </c>
      <c r="W1932" s="13" t="s">
        <v>0</v>
      </c>
      <c r="X1932" s="13" t="s">
        <v>0</v>
      </c>
      <c r="Y1932" s="13" t="s">
        <v>10</v>
      </c>
      <c r="Z1932" s="13" t="s">
        <v>0</v>
      </c>
      <c r="AA1932" s="14"/>
      <c r="AB1932" s="13" t="s">
        <v>0</v>
      </c>
      <c r="AC1932" s="13" t="s">
        <v>0</v>
      </c>
      <c r="AD1932" s="13" t="s">
        <v>0</v>
      </c>
      <c r="AE1932" s="15">
        <v>0</v>
      </c>
    </row>
    <row r="1933" spans="1:31" ht="14.15" customHeight="1" x14ac:dyDescent="0.25">
      <c r="A1933" s="12" t="s">
        <v>0</v>
      </c>
      <c r="B1933" s="13" t="s">
        <v>1</v>
      </c>
      <c r="C1933" s="13" t="s">
        <v>2256</v>
      </c>
      <c r="D1933" s="14">
        <v>44216</v>
      </c>
      <c r="E1933" s="14">
        <v>44216</v>
      </c>
      <c r="F1933" s="14">
        <v>44223</v>
      </c>
      <c r="G1933" s="13" t="s">
        <v>3</v>
      </c>
      <c r="H1933" s="13" t="s">
        <v>4</v>
      </c>
      <c r="I1933" s="15">
        <v>-6702.78</v>
      </c>
      <c r="J1933" s="13" t="s">
        <v>5</v>
      </c>
      <c r="K1933" s="13" t="s">
        <v>6</v>
      </c>
      <c r="L1933" s="15">
        <v>-562698.38</v>
      </c>
      <c r="M1933" s="15">
        <v>-6702.78</v>
      </c>
      <c r="N1933" s="16" t="str">
        <f>IF(M1933="","",IF(M1933&lt;0,-M1933&amp;"_"&amp;COUNTIF(M$2:M1933,M1933),M1933&amp;"_"&amp;COUNTIF(M$2:M1933,M1933)))</f>
        <v>6702.78_1</v>
      </c>
      <c r="O1933" s="17" t="str">
        <f t="shared" si="30"/>
        <v/>
      </c>
      <c r="P1933" s="13" t="s">
        <v>2257</v>
      </c>
      <c r="Q1933" s="13" t="s">
        <v>2255</v>
      </c>
      <c r="R1933" s="13" t="s">
        <v>0</v>
      </c>
      <c r="S1933" s="13" t="s">
        <v>0</v>
      </c>
      <c r="T1933" s="13" t="s">
        <v>9</v>
      </c>
      <c r="U1933" s="13" t="s">
        <v>0</v>
      </c>
      <c r="V1933" s="13" t="s">
        <v>0</v>
      </c>
      <c r="W1933" s="13" t="s">
        <v>0</v>
      </c>
      <c r="X1933" s="13" t="s">
        <v>0</v>
      </c>
      <c r="Y1933" s="13" t="s">
        <v>10</v>
      </c>
      <c r="Z1933" s="13" t="s">
        <v>0</v>
      </c>
      <c r="AA1933" s="14"/>
      <c r="AB1933" s="13" t="s">
        <v>0</v>
      </c>
      <c r="AC1933" s="13" t="s">
        <v>0</v>
      </c>
      <c r="AD1933" s="13" t="s">
        <v>0</v>
      </c>
      <c r="AE1933" s="15">
        <v>0</v>
      </c>
    </row>
    <row r="1934" spans="1:31" ht="14.15" customHeight="1" x14ac:dyDescent="0.25">
      <c r="A1934" s="12" t="s">
        <v>0</v>
      </c>
      <c r="B1934" s="13" t="s">
        <v>1</v>
      </c>
      <c r="C1934" s="13" t="s">
        <v>4357</v>
      </c>
      <c r="D1934" s="14">
        <v>44376</v>
      </c>
      <c r="E1934" s="14">
        <v>44376</v>
      </c>
      <c r="F1934" s="14">
        <v>44381</v>
      </c>
      <c r="G1934" s="13" t="s">
        <v>3</v>
      </c>
      <c r="H1934" s="13" t="s">
        <v>4</v>
      </c>
      <c r="I1934" s="15">
        <v>-6688.17</v>
      </c>
      <c r="J1934" s="13" t="s">
        <v>5</v>
      </c>
      <c r="K1934" s="13" t="s">
        <v>6</v>
      </c>
      <c r="L1934" s="15">
        <v>-561471.87</v>
      </c>
      <c r="M1934" s="15">
        <v>-6688.17</v>
      </c>
      <c r="N1934" s="16" t="str">
        <f>IF(M1934="","",IF(M1934&lt;0,-M1934&amp;"_"&amp;COUNTIF(M$2:M1934,M1934),M1934&amp;"_"&amp;COUNTIF(M$2:M1934,M1934)))</f>
        <v>6688.17_1</v>
      </c>
      <c r="O1934" s="17" t="str">
        <f t="shared" si="30"/>
        <v/>
      </c>
      <c r="P1934" s="13" t="s">
        <v>4358</v>
      </c>
      <c r="Q1934" s="13" t="s">
        <v>4350</v>
      </c>
      <c r="R1934" s="13" t="s">
        <v>0</v>
      </c>
      <c r="S1934" s="13" t="s">
        <v>0</v>
      </c>
      <c r="T1934" s="13" t="s">
        <v>9</v>
      </c>
      <c r="U1934" s="13" t="s">
        <v>0</v>
      </c>
      <c r="V1934" s="13" t="s">
        <v>0</v>
      </c>
      <c r="W1934" s="13" t="s">
        <v>0</v>
      </c>
      <c r="X1934" s="13" t="s">
        <v>0</v>
      </c>
      <c r="Y1934" s="13" t="s">
        <v>10</v>
      </c>
      <c r="Z1934" s="13" t="s">
        <v>0</v>
      </c>
      <c r="AA1934" s="14"/>
      <c r="AB1934" s="13" t="s">
        <v>0</v>
      </c>
      <c r="AC1934" s="13" t="s">
        <v>0</v>
      </c>
      <c r="AD1934" s="13" t="s">
        <v>0</v>
      </c>
      <c r="AE1934" s="15">
        <v>0</v>
      </c>
    </row>
    <row r="1935" spans="1:31" ht="14.15" customHeight="1" x14ac:dyDescent="0.25">
      <c r="A1935" s="12" t="s">
        <v>0</v>
      </c>
      <c r="B1935" s="13" t="s">
        <v>1</v>
      </c>
      <c r="C1935" s="13" t="s">
        <v>45</v>
      </c>
      <c r="D1935" s="14">
        <v>44016</v>
      </c>
      <c r="E1935" s="14">
        <v>44016</v>
      </c>
      <c r="F1935" s="14">
        <v>44019</v>
      </c>
      <c r="G1935" s="13" t="s">
        <v>3</v>
      </c>
      <c r="H1935" s="13" t="s">
        <v>4</v>
      </c>
      <c r="I1935" s="15">
        <v>-6664.55</v>
      </c>
      <c r="J1935" s="13" t="s">
        <v>5</v>
      </c>
      <c r="K1935" s="13" t="s">
        <v>6</v>
      </c>
      <c r="L1935" s="15">
        <v>-559488.97</v>
      </c>
      <c r="M1935" s="15">
        <v>-6664.55</v>
      </c>
      <c r="N1935" s="16" t="str">
        <f>IF(M1935="","",IF(M1935&lt;0,-M1935&amp;"_"&amp;COUNTIF(M$2:M1935,M1935),M1935&amp;"_"&amp;COUNTIF(M$2:M1935,M1935)))</f>
        <v>6664.55_1</v>
      </c>
      <c r="O1935" s="17" t="str">
        <f t="shared" si="30"/>
        <v/>
      </c>
      <c r="P1935" s="13" t="s">
        <v>46</v>
      </c>
      <c r="Q1935" s="13" t="s">
        <v>42</v>
      </c>
      <c r="R1935" s="13" t="s">
        <v>0</v>
      </c>
      <c r="S1935" s="13" t="s">
        <v>0</v>
      </c>
      <c r="T1935" s="13" t="s">
        <v>9</v>
      </c>
      <c r="U1935" s="13" t="s">
        <v>0</v>
      </c>
      <c r="V1935" s="13" t="s">
        <v>0</v>
      </c>
      <c r="W1935" s="13" t="s">
        <v>0</v>
      </c>
      <c r="X1935" s="13" t="s">
        <v>0</v>
      </c>
      <c r="Y1935" s="13" t="s">
        <v>10</v>
      </c>
      <c r="Z1935" s="13" t="s">
        <v>0</v>
      </c>
      <c r="AA1935" s="14"/>
      <c r="AB1935" s="13" t="s">
        <v>0</v>
      </c>
      <c r="AC1935" s="13" t="s">
        <v>0</v>
      </c>
      <c r="AD1935" s="13" t="s">
        <v>0</v>
      </c>
      <c r="AE1935" s="15">
        <v>0</v>
      </c>
    </row>
    <row r="1936" spans="1:31" ht="14.15" customHeight="1" x14ac:dyDescent="0.25">
      <c r="A1936" s="12" t="s">
        <v>0</v>
      </c>
      <c r="B1936" s="13" t="s">
        <v>1</v>
      </c>
      <c r="C1936" s="13" t="s">
        <v>2244</v>
      </c>
      <c r="D1936" s="14">
        <v>44214</v>
      </c>
      <c r="E1936" s="14">
        <v>44214</v>
      </c>
      <c r="F1936" s="14">
        <v>44219</v>
      </c>
      <c r="G1936" s="13" t="s">
        <v>3</v>
      </c>
      <c r="H1936" s="13" t="s">
        <v>4</v>
      </c>
      <c r="I1936" s="15">
        <v>-6660.23</v>
      </c>
      <c r="J1936" s="13" t="s">
        <v>5</v>
      </c>
      <c r="K1936" s="13" t="s">
        <v>6</v>
      </c>
      <c r="L1936" s="15">
        <v>-559126.31000000006</v>
      </c>
      <c r="M1936" s="15">
        <v>-6660.23</v>
      </c>
      <c r="N1936" s="16" t="str">
        <f>IF(M1936="","",IF(M1936&lt;0,-M1936&amp;"_"&amp;COUNTIF(M$2:M1936,M1936),M1936&amp;"_"&amp;COUNTIF(M$2:M1936,M1936)))</f>
        <v>6660.23_1</v>
      </c>
      <c r="O1936" s="17" t="str">
        <f t="shared" si="30"/>
        <v/>
      </c>
      <c r="P1936" s="13" t="s">
        <v>2245</v>
      </c>
      <c r="Q1936" s="13" t="s">
        <v>2243</v>
      </c>
      <c r="R1936" s="13" t="s">
        <v>0</v>
      </c>
      <c r="S1936" s="13" t="s">
        <v>0</v>
      </c>
      <c r="T1936" s="13" t="s">
        <v>9</v>
      </c>
      <c r="U1936" s="13" t="s">
        <v>0</v>
      </c>
      <c r="V1936" s="13" t="s">
        <v>0</v>
      </c>
      <c r="W1936" s="13" t="s">
        <v>0</v>
      </c>
      <c r="X1936" s="13" t="s">
        <v>0</v>
      </c>
      <c r="Y1936" s="13" t="s">
        <v>10</v>
      </c>
      <c r="Z1936" s="13" t="s">
        <v>0</v>
      </c>
      <c r="AA1936" s="14"/>
      <c r="AB1936" s="13" t="s">
        <v>0</v>
      </c>
      <c r="AC1936" s="13" t="s">
        <v>0</v>
      </c>
      <c r="AD1936" s="13" t="s">
        <v>0</v>
      </c>
      <c r="AE1936" s="15">
        <v>0</v>
      </c>
    </row>
    <row r="1937" spans="1:31" ht="14.15" customHeight="1" x14ac:dyDescent="0.25">
      <c r="A1937" s="12" t="s">
        <v>0</v>
      </c>
      <c r="B1937" s="13" t="s">
        <v>1</v>
      </c>
      <c r="C1937" s="13" t="s">
        <v>367</v>
      </c>
      <c r="D1937" s="14">
        <v>44050</v>
      </c>
      <c r="E1937" s="14">
        <v>44050</v>
      </c>
      <c r="F1937" s="14">
        <v>44059</v>
      </c>
      <c r="G1937" s="13" t="s">
        <v>3</v>
      </c>
      <c r="H1937" s="13" t="s">
        <v>4</v>
      </c>
      <c r="I1937" s="15">
        <v>-6653.12</v>
      </c>
      <c r="J1937" s="13" t="s">
        <v>5</v>
      </c>
      <c r="K1937" s="13" t="s">
        <v>6</v>
      </c>
      <c r="L1937" s="15">
        <v>-558529.42000000004</v>
      </c>
      <c r="M1937" s="15">
        <v>-6653.12</v>
      </c>
      <c r="N1937" s="16" t="str">
        <f>IF(M1937="","",IF(M1937&lt;0,-M1937&amp;"_"&amp;COUNTIF(M$2:M1937,M1937),M1937&amp;"_"&amp;COUNTIF(M$2:M1937,M1937)))</f>
        <v>6653.12_1</v>
      </c>
      <c r="O1937" s="17" t="str">
        <f t="shared" si="30"/>
        <v/>
      </c>
      <c r="P1937" s="13" t="s">
        <v>368</v>
      </c>
      <c r="Q1937" s="13" t="s">
        <v>362</v>
      </c>
      <c r="R1937" s="13" t="s">
        <v>0</v>
      </c>
      <c r="S1937" s="13" t="s">
        <v>0</v>
      </c>
      <c r="T1937" s="13" t="s">
        <v>9</v>
      </c>
      <c r="U1937" s="13" t="s">
        <v>0</v>
      </c>
      <c r="V1937" s="13" t="s">
        <v>0</v>
      </c>
      <c r="W1937" s="13" t="s">
        <v>0</v>
      </c>
      <c r="X1937" s="13" t="s">
        <v>0</v>
      </c>
      <c r="Y1937" s="13" t="s">
        <v>10</v>
      </c>
      <c r="Z1937" s="13" t="s">
        <v>0</v>
      </c>
      <c r="AA1937" s="14"/>
      <c r="AB1937" s="13" t="s">
        <v>0</v>
      </c>
      <c r="AC1937" s="13" t="s">
        <v>0</v>
      </c>
      <c r="AD1937" s="13" t="s">
        <v>0</v>
      </c>
      <c r="AE1937" s="15">
        <v>0</v>
      </c>
    </row>
    <row r="1938" spans="1:31" ht="14.15" customHeight="1" x14ac:dyDescent="0.25">
      <c r="A1938" s="12" t="s">
        <v>0</v>
      </c>
      <c r="B1938" s="13" t="s">
        <v>1</v>
      </c>
      <c r="C1938" s="13" t="s">
        <v>1058</v>
      </c>
      <c r="D1938" s="14">
        <v>44132</v>
      </c>
      <c r="E1938" s="14">
        <v>44132</v>
      </c>
      <c r="F1938" s="14">
        <v>44137</v>
      </c>
      <c r="G1938" s="13" t="s">
        <v>3</v>
      </c>
      <c r="H1938" s="13" t="s">
        <v>4</v>
      </c>
      <c r="I1938" s="15">
        <v>-6637</v>
      </c>
      <c r="J1938" s="13" t="s">
        <v>5</v>
      </c>
      <c r="K1938" s="13" t="s">
        <v>6</v>
      </c>
      <c r="L1938" s="15">
        <v>-557176.15</v>
      </c>
      <c r="M1938" s="15">
        <v>-6637</v>
      </c>
      <c r="N1938" s="16" t="str">
        <f>IF(M1938="","",IF(M1938&lt;0,-M1938&amp;"_"&amp;COUNTIF(M$2:M1938,M1938),M1938&amp;"_"&amp;COUNTIF(M$2:M1938,M1938)))</f>
        <v>6637_1</v>
      </c>
      <c r="O1938" s="17" t="str">
        <f t="shared" si="30"/>
        <v/>
      </c>
      <c r="P1938" s="13" t="s">
        <v>1059</v>
      </c>
      <c r="Q1938" s="13" t="s">
        <v>1060</v>
      </c>
      <c r="R1938" s="13" t="s">
        <v>0</v>
      </c>
      <c r="S1938" s="13" t="s">
        <v>0</v>
      </c>
      <c r="T1938" s="13" t="s">
        <v>9</v>
      </c>
      <c r="U1938" s="13" t="s">
        <v>0</v>
      </c>
      <c r="V1938" s="13" t="s">
        <v>0</v>
      </c>
      <c r="W1938" s="13" t="s">
        <v>0</v>
      </c>
      <c r="X1938" s="13" t="s">
        <v>0</v>
      </c>
      <c r="Y1938" s="13" t="s">
        <v>10</v>
      </c>
      <c r="Z1938" s="13" t="s">
        <v>0</v>
      </c>
      <c r="AA1938" s="14"/>
      <c r="AB1938" s="13" t="s">
        <v>0</v>
      </c>
      <c r="AC1938" s="13" t="s">
        <v>0</v>
      </c>
      <c r="AD1938" s="13" t="s">
        <v>0</v>
      </c>
      <c r="AE1938" s="15">
        <v>0</v>
      </c>
    </row>
    <row r="1939" spans="1:31" ht="14.15" customHeight="1" x14ac:dyDescent="0.25">
      <c r="A1939" s="12" t="s">
        <v>0</v>
      </c>
      <c r="B1939" s="13" t="s">
        <v>303</v>
      </c>
      <c r="C1939" s="13" t="s">
        <v>3096</v>
      </c>
      <c r="D1939" s="14">
        <v>44286</v>
      </c>
      <c r="E1939" s="14">
        <v>44286</v>
      </c>
      <c r="F1939" s="14">
        <v>44292</v>
      </c>
      <c r="G1939" s="13" t="s">
        <v>48</v>
      </c>
      <c r="H1939" s="13" t="s">
        <v>4</v>
      </c>
      <c r="I1939" s="15">
        <v>-6635.3</v>
      </c>
      <c r="J1939" s="13" t="s">
        <v>5</v>
      </c>
      <c r="K1939" s="13" t="s">
        <v>6</v>
      </c>
      <c r="L1939" s="15">
        <v>-557033.43999999994</v>
      </c>
      <c r="M1939" s="15">
        <v>-6635.3</v>
      </c>
      <c r="N1939" s="16" t="str">
        <f>IF(M1939="","",IF(M1939&lt;0,-M1939&amp;"_"&amp;COUNTIF(M$2:M1939,M1939),M1939&amp;"_"&amp;COUNTIF(M$2:M1939,M1939)))</f>
        <v>6635.3_1</v>
      </c>
      <c r="O1939" s="17" t="str">
        <f t="shared" si="30"/>
        <v/>
      </c>
      <c r="P1939" s="13" t="s">
        <v>3097</v>
      </c>
      <c r="Q1939" s="13" t="s">
        <v>3097</v>
      </c>
      <c r="R1939" s="13" t="s">
        <v>2002</v>
      </c>
      <c r="S1939" s="13" t="s">
        <v>0</v>
      </c>
      <c r="T1939" s="13" t="s">
        <v>9</v>
      </c>
      <c r="U1939" s="13" t="s">
        <v>3095</v>
      </c>
      <c r="V1939" s="13" t="s">
        <v>0</v>
      </c>
      <c r="W1939" s="13" t="s">
        <v>0</v>
      </c>
      <c r="X1939" s="13" t="s">
        <v>0</v>
      </c>
      <c r="Y1939" s="13" t="s">
        <v>0</v>
      </c>
      <c r="Z1939" s="13" t="s">
        <v>0</v>
      </c>
      <c r="AA1939" s="14"/>
      <c r="AB1939" s="13" t="s">
        <v>0</v>
      </c>
      <c r="AC1939" s="13" t="s">
        <v>0</v>
      </c>
      <c r="AD1939" s="13" t="s">
        <v>0</v>
      </c>
      <c r="AE1939" s="15">
        <v>0</v>
      </c>
    </row>
    <row r="1940" spans="1:31" ht="14.15" customHeight="1" x14ac:dyDescent="0.25">
      <c r="A1940" s="12" t="s">
        <v>0</v>
      </c>
      <c r="B1940" s="13" t="s">
        <v>1</v>
      </c>
      <c r="C1940" s="13" t="s">
        <v>1950</v>
      </c>
      <c r="D1940" s="14">
        <v>44194</v>
      </c>
      <c r="E1940" s="14">
        <v>44194</v>
      </c>
      <c r="F1940" s="14">
        <v>44199</v>
      </c>
      <c r="G1940" s="13" t="s">
        <v>3</v>
      </c>
      <c r="H1940" s="13" t="s">
        <v>4</v>
      </c>
      <c r="I1940" s="15">
        <v>-6629.14</v>
      </c>
      <c r="J1940" s="13" t="s">
        <v>5</v>
      </c>
      <c r="K1940" s="13" t="s">
        <v>6</v>
      </c>
      <c r="L1940" s="15">
        <v>-556516.30000000005</v>
      </c>
      <c r="M1940" s="15">
        <v>-6629.14</v>
      </c>
      <c r="N1940" s="16" t="str">
        <f>IF(M1940="","",IF(M1940&lt;0,-M1940&amp;"_"&amp;COUNTIF(M$2:M1940,M1940),M1940&amp;"_"&amp;COUNTIF(M$2:M1940,M1940)))</f>
        <v>6629.14_1</v>
      </c>
      <c r="O1940" s="17" t="str">
        <f t="shared" si="30"/>
        <v/>
      </c>
      <c r="P1940" s="13" t="s">
        <v>1951</v>
      </c>
      <c r="Q1940" s="13" t="s">
        <v>1949</v>
      </c>
      <c r="R1940" s="13" t="s">
        <v>0</v>
      </c>
      <c r="S1940" s="13" t="s">
        <v>0</v>
      </c>
      <c r="T1940" s="13" t="s">
        <v>9</v>
      </c>
      <c r="U1940" s="13" t="s">
        <v>0</v>
      </c>
      <c r="V1940" s="13" t="s">
        <v>0</v>
      </c>
      <c r="W1940" s="13" t="s">
        <v>0</v>
      </c>
      <c r="X1940" s="13" t="s">
        <v>0</v>
      </c>
      <c r="Y1940" s="13" t="s">
        <v>10</v>
      </c>
      <c r="Z1940" s="13" t="s">
        <v>0</v>
      </c>
      <c r="AA1940" s="14"/>
      <c r="AB1940" s="13" t="s">
        <v>0</v>
      </c>
      <c r="AC1940" s="13" t="s">
        <v>0</v>
      </c>
      <c r="AD1940" s="13" t="s">
        <v>0</v>
      </c>
      <c r="AE1940" s="15">
        <v>0</v>
      </c>
    </row>
    <row r="1941" spans="1:31" ht="14.15" customHeight="1" x14ac:dyDescent="0.25">
      <c r="A1941" s="12" t="s">
        <v>0</v>
      </c>
      <c r="B1941" s="13" t="s">
        <v>1</v>
      </c>
      <c r="C1941" s="13" t="s">
        <v>2108</v>
      </c>
      <c r="D1941" s="14">
        <v>44199</v>
      </c>
      <c r="E1941" s="14">
        <v>44199</v>
      </c>
      <c r="F1941" s="14">
        <v>44208</v>
      </c>
      <c r="G1941" s="13" t="s">
        <v>3</v>
      </c>
      <c r="H1941" s="13" t="s">
        <v>4</v>
      </c>
      <c r="I1941" s="15">
        <v>-6629.14</v>
      </c>
      <c r="J1941" s="13" t="s">
        <v>5</v>
      </c>
      <c r="K1941" s="13" t="s">
        <v>6</v>
      </c>
      <c r="L1941" s="15">
        <v>-556516.30000000005</v>
      </c>
      <c r="M1941" s="15">
        <v>-6629.14</v>
      </c>
      <c r="N1941" s="16" t="str">
        <f>IF(M1941="","",IF(M1941&lt;0,-M1941&amp;"_"&amp;COUNTIF(M$2:M1941,M1941),M1941&amp;"_"&amp;COUNTIF(M$2:M1941,M1941)))</f>
        <v>6629.14_2</v>
      </c>
      <c r="O1941" s="17" t="str">
        <f t="shared" si="30"/>
        <v/>
      </c>
      <c r="P1941" s="13" t="s">
        <v>2109</v>
      </c>
      <c r="Q1941" s="13" t="s">
        <v>2093</v>
      </c>
      <c r="R1941" s="13" t="s">
        <v>0</v>
      </c>
      <c r="S1941" s="13" t="s">
        <v>0</v>
      </c>
      <c r="T1941" s="13" t="s">
        <v>9</v>
      </c>
      <c r="U1941" s="13" t="s">
        <v>0</v>
      </c>
      <c r="V1941" s="13" t="s">
        <v>0</v>
      </c>
      <c r="W1941" s="13" t="s">
        <v>0</v>
      </c>
      <c r="X1941" s="13" t="s">
        <v>0</v>
      </c>
      <c r="Y1941" s="13" t="s">
        <v>10</v>
      </c>
      <c r="Z1941" s="13" t="s">
        <v>0</v>
      </c>
      <c r="AA1941" s="14"/>
      <c r="AB1941" s="13" t="s">
        <v>0</v>
      </c>
      <c r="AC1941" s="13" t="s">
        <v>0</v>
      </c>
      <c r="AD1941" s="13" t="s">
        <v>0</v>
      </c>
      <c r="AE1941" s="15">
        <v>0</v>
      </c>
    </row>
    <row r="1942" spans="1:31" ht="14.15" customHeight="1" x14ac:dyDescent="0.25">
      <c r="A1942" s="12" t="s">
        <v>0</v>
      </c>
      <c r="B1942" s="13" t="s">
        <v>1</v>
      </c>
      <c r="C1942" s="13" t="s">
        <v>1058</v>
      </c>
      <c r="D1942" s="14">
        <v>44132</v>
      </c>
      <c r="E1942" s="14">
        <v>44132</v>
      </c>
      <c r="F1942" s="14">
        <v>44137</v>
      </c>
      <c r="G1942" s="13" t="s">
        <v>3</v>
      </c>
      <c r="H1942" s="13" t="s">
        <v>4</v>
      </c>
      <c r="I1942" s="15">
        <v>-6625.06</v>
      </c>
      <c r="J1942" s="13" t="s">
        <v>5</v>
      </c>
      <c r="K1942" s="13" t="s">
        <v>6</v>
      </c>
      <c r="L1942" s="15">
        <v>-556173.79</v>
      </c>
      <c r="M1942" s="15">
        <v>-6625.06</v>
      </c>
      <c r="N1942" s="16" t="str">
        <f>IF(M1942="","",IF(M1942&lt;0,-M1942&amp;"_"&amp;COUNTIF(M$2:M1942,M1942),M1942&amp;"_"&amp;COUNTIF(M$2:M1942,M1942)))</f>
        <v>6625.06_1</v>
      </c>
      <c r="O1942" s="17" t="str">
        <f t="shared" si="30"/>
        <v/>
      </c>
      <c r="P1942" s="13" t="s">
        <v>1059</v>
      </c>
      <c r="Q1942" s="13" t="s">
        <v>1060</v>
      </c>
      <c r="R1942" s="13" t="s">
        <v>0</v>
      </c>
      <c r="S1942" s="13" t="s">
        <v>0</v>
      </c>
      <c r="T1942" s="13" t="s">
        <v>9</v>
      </c>
      <c r="U1942" s="13" t="s">
        <v>0</v>
      </c>
      <c r="V1942" s="13" t="s">
        <v>0</v>
      </c>
      <c r="W1942" s="13" t="s">
        <v>0</v>
      </c>
      <c r="X1942" s="13" t="s">
        <v>0</v>
      </c>
      <c r="Y1942" s="13" t="s">
        <v>10</v>
      </c>
      <c r="Z1942" s="13" t="s">
        <v>0</v>
      </c>
      <c r="AA1942" s="14"/>
      <c r="AB1942" s="13" t="s">
        <v>0</v>
      </c>
      <c r="AC1942" s="13" t="s">
        <v>0</v>
      </c>
      <c r="AD1942" s="13" t="s">
        <v>0</v>
      </c>
      <c r="AE1942" s="15">
        <v>0</v>
      </c>
    </row>
    <row r="1943" spans="1:31" ht="14.15" customHeight="1" x14ac:dyDescent="0.25">
      <c r="A1943" s="12" t="s">
        <v>0</v>
      </c>
      <c r="B1943" s="13" t="s">
        <v>1</v>
      </c>
      <c r="C1943" s="13" t="s">
        <v>1003</v>
      </c>
      <c r="D1943" s="14">
        <v>44126</v>
      </c>
      <c r="E1943" s="14">
        <v>44126</v>
      </c>
      <c r="F1943" s="14">
        <v>44136</v>
      </c>
      <c r="G1943" s="13" t="s">
        <v>3</v>
      </c>
      <c r="H1943" s="13" t="s">
        <v>4</v>
      </c>
      <c r="I1943" s="15">
        <v>-6615.01</v>
      </c>
      <c r="J1943" s="13" t="s">
        <v>5</v>
      </c>
      <c r="K1943" s="13" t="s">
        <v>6</v>
      </c>
      <c r="L1943" s="15">
        <v>-555330.09</v>
      </c>
      <c r="M1943" s="15">
        <v>-6615.01</v>
      </c>
      <c r="N1943" s="16" t="str">
        <f>IF(M1943="","",IF(M1943&lt;0,-M1943&amp;"_"&amp;COUNTIF(M$2:M1943,M1943),M1943&amp;"_"&amp;COUNTIF(M$2:M1943,M1943)))</f>
        <v>6615.01_1</v>
      </c>
      <c r="O1943" s="17" t="str">
        <f t="shared" si="30"/>
        <v/>
      </c>
      <c r="P1943" s="13" t="s">
        <v>1004</v>
      </c>
      <c r="Q1943" s="13" t="s">
        <v>992</v>
      </c>
      <c r="R1943" s="13" t="s">
        <v>0</v>
      </c>
      <c r="S1943" s="13" t="s">
        <v>0</v>
      </c>
      <c r="T1943" s="13" t="s">
        <v>9</v>
      </c>
      <c r="U1943" s="13" t="s">
        <v>0</v>
      </c>
      <c r="V1943" s="13" t="s">
        <v>0</v>
      </c>
      <c r="W1943" s="13" t="s">
        <v>0</v>
      </c>
      <c r="X1943" s="13" t="s">
        <v>0</v>
      </c>
      <c r="Y1943" s="13" t="s">
        <v>10</v>
      </c>
      <c r="Z1943" s="13" t="s">
        <v>0</v>
      </c>
      <c r="AA1943" s="14"/>
      <c r="AB1943" s="13" t="s">
        <v>0</v>
      </c>
      <c r="AC1943" s="13" t="s">
        <v>0</v>
      </c>
      <c r="AD1943" s="13" t="s">
        <v>0</v>
      </c>
      <c r="AE1943" s="15">
        <v>0</v>
      </c>
    </row>
    <row r="1944" spans="1:31" ht="14.15" customHeight="1" x14ac:dyDescent="0.25">
      <c r="A1944" s="12" t="s">
        <v>0</v>
      </c>
      <c r="B1944" s="13" t="s">
        <v>1</v>
      </c>
      <c r="C1944" s="13" t="s">
        <v>4259</v>
      </c>
      <c r="D1944" s="14">
        <v>44369</v>
      </c>
      <c r="E1944" s="14">
        <v>44369</v>
      </c>
      <c r="F1944" s="14">
        <v>44371</v>
      </c>
      <c r="G1944" s="13" t="s">
        <v>3</v>
      </c>
      <c r="H1944" s="13" t="s">
        <v>4</v>
      </c>
      <c r="I1944" s="15">
        <v>-6605.7</v>
      </c>
      <c r="J1944" s="13" t="s">
        <v>5</v>
      </c>
      <c r="K1944" s="13" t="s">
        <v>6</v>
      </c>
      <c r="L1944" s="15">
        <v>-554548.52</v>
      </c>
      <c r="M1944" s="15">
        <v>-6605.7</v>
      </c>
      <c r="N1944" s="16" t="str">
        <f>IF(M1944="","",IF(M1944&lt;0,-M1944&amp;"_"&amp;COUNTIF(M$2:M1944,M1944),M1944&amp;"_"&amp;COUNTIF(M$2:M1944,M1944)))</f>
        <v>6605.7_1</v>
      </c>
      <c r="O1944" s="17" t="str">
        <f t="shared" si="30"/>
        <v/>
      </c>
      <c r="P1944" s="13" t="s">
        <v>4260</v>
      </c>
      <c r="Q1944" s="13" t="s">
        <v>4248</v>
      </c>
      <c r="R1944" s="13" t="s">
        <v>0</v>
      </c>
      <c r="S1944" s="13" t="s">
        <v>0</v>
      </c>
      <c r="T1944" s="13" t="s">
        <v>9</v>
      </c>
      <c r="U1944" s="13" t="s">
        <v>0</v>
      </c>
      <c r="V1944" s="13" t="s">
        <v>0</v>
      </c>
      <c r="W1944" s="13" t="s">
        <v>0</v>
      </c>
      <c r="X1944" s="13" t="s">
        <v>0</v>
      </c>
      <c r="Y1944" s="13" t="s">
        <v>10</v>
      </c>
      <c r="Z1944" s="13" t="s">
        <v>0</v>
      </c>
      <c r="AA1944" s="14"/>
      <c r="AB1944" s="13" t="s">
        <v>0</v>
      </c>
      <c r="AC1944" s="13" t="s">
        <v>0</v>
      </c>
      <c r="AD1944" s="13" t="s">
        <v>0</v>
      </c>
      <c r="AE1944" s="15">
        <v>0</v>
      </c>
    </row>
    <row r="1945" spans="1:31" ht="14.15" customHeight="1" x14ac:dyDescent="0.25">
      <c r="A1945" s="12" t="s">
        <v>0</v>
      </c>
      <c r="B1945" s="13" t="s">
        <v>1</v>
      </c>
      <c r="C1945" s="13" t="s">
        <v>3203</v>
      </c>
      <c r="D1945" s="14">
        <v>44302</v>
      </c>
      <c r="E1945" s="14">
        <v>44302</v>
      </c>
      <c r="F1945" s="14">
        <v>44308</v>
      </c>
      <c r="G1945" s="13" t="s">
        <v>3</v>
      </c>
      <c r="H1945" s="13" t="s">
        <v>4</v>
      </c>
      <c r="I1945" s="15">
        <v>-6605.55</v>
      </c>
      <c r="J1945" s="13" t="s">
        <v>5</v>
      </c>
      <c r="K1945" s="13" t="s">
        <v>6</v>
      </c>
      <c r="L1945" s="15">
        <v>-554535.92000000004</v>
      </c>
      <c r="M1945" s="15">
        <v>-6605.55</v>
      </c>
      <c r="N1945" s="16" t="str">
        <f>IF(M1945="","",IF(M1945&lt;0,-M1945&amp;"_"&amp;COUNTIF(M$2:M1945,M1945),M1945&amp;"_"&amp;COUNTIF(M$2:M1945,M1945)))</f>
        <v>6605.55_1</v>
      </c>
      <c r="O1945" s="17" t="str">
        <f t="shared" si="30"/>
        <v/>
      </c>
      <c r="P1945" s="13" t="s">
        <v>3204</v>
      </c>
      <c r="Q1945" s="13" t="s">
        <v>3196</v>
      </c>
      <c r="R1945" s="13" t="s">
        <v>0</v>
      </c>
      <c r="S1945" s="13" t="s">
        <v>0</v>
      </c>
      <c r="T1945" s="13" t="s">
        <v>9</v>
      </c>
      <c r="U1945" s="13" t="s">
        <v>0</v>
      </c>
      <c r="V1945" s="13" t="s">
        <v>0</v>
      </c>
      <c r="W1945" s="13" t="s">
        <v>0</v>
      </c>
      <c r="X1945" s="13" t="s">
        <v>0</v>
      </c>
      <c r="Y1945" s="13" t="s">
        <v>10</v>
      </c>
      <c r="Z1945" s="13" t="s">
        <v>0</v>
      </c>
      <c r="AA1945" s="14"/>
      <c r="AB1945" s="13" t="s">
        <v>0</v>
      </c>
      <c r="AC1945" s="13" t="s">
        <v>0</v>
      </c>
      <c r="AD1945" s="13" t="s">
        <v>0</v>
      </c>
      <c r="AE1945" s="15">
        <v>0</v>
      </c>
    </row>
    <row r="1946" spans="1:31" ht="14.15" customHeight="1" x14ac:dyDescent="0.25">
      <c r="A1946" s="12" t="s">
        <v>0</v>
      </c>
      <c r="B1946" s="13" t="s">
        <v>1</v>
      </c>
      <c r="C1946" s="13" t="s">
        <v>3319</v>
      </c>
      <c r="D1946" s="14">
        <v>44314</v>
      </c>
      <c r="E1946" s="14">
        <v>44314</v>
      </c>
      <c r="F1946" s="14">
        <v>44323</v>
      </c>
      <c r="G1946" s="13" t="s">
        <v>3</v>
      </c>
      <c r="H1946" s="13" t="s">
        <v>4</v>
      </c>
      <c r="I1946" s="15">
        <v>-6605.55</v>
      </c>
      <c r="J1946" s="13" t="s">
        <v>5</v>
      </c>
      <c r="K1946" s="13" t="s">
        <v>6</v>
      </c>
      <c r="L1946" s="15">
        <v>-554535.92000000004</v>
      </c>
      <c r="M1946" s="15">
        <v>-6605.55</v>
      </c>
      <c r="N1946" s="16" t="str">
        <f>IF(M1946="","",IF(M1946&lt;0,-M1946&amp;"_"&amp;COUNTIF(M$2:M1946,M1946),M1946&amp;"_"&amp;COUNTIF(M$2:M1946,M1946)))</f>
        <v>6605.55_2</v>
      </c>
      <c r="O1946" s="17" t="str">
        <f t="shared" si="30"/>
        <v/>
      </c>
      <c r="P1946" s="13" t="s">
        <v>3320</v>
      </c>
      <c r="Q1946" s="13" t="s">
        <v>3284</v>
      </c>
      <c r="R1946" s="13" t="s">
        <v>0</v>
      </c>
      <c r="S1946" s="13" t="s">
        <v>0</v>
      </c>
      <c r="T1946" s="13" t="s">
        <v>9</v>
      </c>
      <c r="U1946" s="13" t="s">
        <v>0</v>
      </c>
      <c r="V1946" s="13" t="s">
        <v>0</v>
      </c>
      <c r="W1946" s="13" t="s">
        <v>0</v>
      </c>
      <c r="X1946" s="13" t="s">
        <v>0</v>
      </c>
      <c r="Y1946" s="13" t="s">
        <v>10</v>
      </c>
      <c r="Z1946" s="13" t="s">
        <v>0</v>
      </c>
      <c r="AA1946" s="14"/>
      <c r="AB1946" s="13" t="s">
        <v>0</v>
      </c>
      <c r="AC1946" s="13" t="s">
        <v>0</v>
      </c>
      <c r="AD1946" s="13" t="s">
        <v>0</v>
      </c>
      <c r="AE1946" s="15">
        <v>0</v>
      </c>
    </row>
    <row r="1947" spans="1:31" ht="14.15" customHeight="1" x14ac:dyDescent="0.25">
      <c r="A1947" s="12" t="s">
        <v>0</v>
      </c>
      <c r="B1947" s="13" t="s">
        <v>1</v>
      </c>
      <c r="C1947" s="13" t="s">
        <v>2172</v>
      </c>
      <c r="D1947" s="14">
        <v>44209</v>
      </c>
      <c r="E1947" s="14">
        <v>44209</v>
      </c>
      <c r="F1947" s="14">
        <v>44228</v>
      </c>
      <c r="G1947" s="13" t="s">
        <v>3</v>
      </c>
      <c r="H1947" s="13" t="s">
        <v>4</v>
      </c>
      <c r="I1947" s="15">
        <v>-6600.5</v>
      </c>
      <c r="J1947" s="13" t="s">
        <v>5</v>
      </c>
      <c r="K1947" s="13" t="s">
        <v>6</v>
      </c>
      <c r="L1947" s="15">
        <v>-554111.98</v>
      </c>
      <c r="M1947" s="15">
        <v>-6600.5</v>
      </c>
      <c r="N1947" s="16" t="str">
        <f>IF(M1947="","",IF(M1947&lt;0,-M1947&amp;"_"&amp;COUNTIF(M$2:M1947,M1947),M1947&amp;"_"&amp;COUNTIF(M$2:M1947,M1947)))</f>
        <v>6600.5_1</v>
      </c>
      <c r="O1947" s="17" t="str">
        <f t="shared" si="30"/>
        <v/>
      </c>
      <c r="P1947" s="13" t="s">
        <v>2173</v>
      </c>
      <c r="Q1947" s="13" t="s">
        <v>2159</v>
      </c>
      <c r="R1947" s="13" t="s">
        <v>0</v>
      </c>
      <c r="S1947" s="13" t="s">
        <v>0</v>
      </c>
      <c r="T1947" s="13" t="s">
        <v>9</v>
      </c>
      <c r="U1947" s="13" t="s">
        <v>0</v>
      </c>
      <c r="V1947" s="13" t="s">
        <v>0</v>
      </c>
      <c r="W1947" s="13" t="s">
        <v>0</v>
      </c>
      <c r="X1947" s="13" t="s">
        <v>0</v>
      </c>
      <c r="Y1947" s="13" t="s">
        <v>10</v>
      </c>
      <c r="Z1947" s="13" t="s">
        <v>0</v>
      </c>
      <c r="AA1947" s="14"/>
      <c r="AB1947" s="13" t="s">
        <v>0</v>
      </c>
      <c r="AC1947" s="13" t="s">
        <v>0</v>
      </c>
      <c r="AD1947" s="13" t="s">
        <v>0</v>
      </c>
      <c r="AE1947" s="15">
        <v>0</v>
      </c>
    </row>
    <row r="1948" spans="1:31" ht="14.15" customHeight="1" x14ac:dyDescent="0.25">
      <c r="A1948" s="12" t="s">
        <v>0</v>
      </c>
      <c r="B1948" s="13" t="s">
        <v>1</v>
      </c>
      <c r="C1948" s="13" t="s">
        <v>3531</v>
      </c>
      <c r="D1948" s="14">
        <v>44324</v>
      </c>
      <c r="E1948" s="14">
        <v>44324</v>
      </c>
      <c r="F1948" s="14">
        <v>44333</v>
      </c>
      <c r="G1948" s="13" t="s">
        <v>3</v>
      </c>
      <c r="H1948" s="13" t="s">
        <v>4</v>
      </c>
      <c r="I1948" s="15">
        <v>-6572.01</v>
      </c>
      <c r="J1948" s="13" t="s">
        <v>5</v>
      </c>
      <c r="K1948" s="13" t="s">
        <v>6</v>
      </c>
      <c r="L1948" s="15">
        <v>-551720.24</v>
      </c>
      <c r="M1948" s="15">
        <v>-6572.01</v>
      </c>
      <c r="N1948" s="16" t="str">
        <f>IF(M1948="","",IF(M1948&lt;0,-M1948&amp;"_"&amp;COUNTIF(M$2:M1948,M1948),M1948&amp;"_"&amp;COUNTIF(M$2:M1948,M1948)))</f>
        <v>6572.01_1</v>
      </c>
      <c r="O1948" s="17" t="str">
        <f t="shared" si="30"/>
        <v/>
      </c>
      <c r="P1948" s="13" t="s">
        <v>3532</v>
      </c>
      <c r="Q1948" s="13" t="s">
        <v>3512</v>
      </c>
      <c r="R1948" s="13" t="s">
        <v>0</v>
      </c>
      <c r="S1948" s="13" t="s">
        <v>0</v>
      </c>
      <c r="T1948" s="13" t="s">
        <v>9</v>
      </c>
      <c r="U1948" s="13" t="s">
        <v>0</v>
      </c>
      <c r="V1948" s="13" t="s">
        <v>0</v>
      </c>
      <c r="W1948" s="13" t="s">
        <v>0</v>
      </c>
      <c r="X1948" s="13" t="s">
        <v>0</v>
      </c>
      <c r="Y1948" s="13" t="s">
        <v>10</v>
      </c>
      <c r="Z1948" s="13" t="s">
        <v>0</v>
      </c>
      <c r="AA1948" s="14"/>
      <c r="AB1948" s="13" t="s">
        <v>0</v>
      </c>
      <c r="AC1948" s="13" t="s">
        <v>0</v>
      </c>
      <c r="AD1948" s="13" t="s">
        <v>0</v>
      </c>
      <c r="AE1948" s="15">
        <v>0</v>
      </c>
    </row>
    <row r="1949" spans="1:31" ht="14.15" customHeight="1" x14ac:dyDescent="0.25">
      <c r="A1949" s="12" t="s">
        <v>0</v>
      </c>
      <c r="B1949" s="13" t="s">
        <v>1</v>
      </c>
      <c r="C1949" s="13" t="s">
        <v>188</v>
      </c>
      <c r="D1949" s="14">
        <v>44034</v>
      </c>
      <c r="E1949" s="14">
        <v>44034</v>
      </c>
      <c r="F1949" s="14">
        <v>44040</v>
      </c>
      <c r="G1949" s="13" t="s">
        <v>3</v>
      </c>
      <c r="H1949" s="13" t="s">
        <v>4</v>
      </c>
      <c r="I1949" s="15">
        <v>-6559.82</v>
      </c>
      <c r="J1949" s="13" t="s">
        <v>5</v>
      </c>
      <c r="K1949" s="13" t="s">
        <v>6</v>
      </c>
      <c r="L1949" s="15">
        <v>-550696.89</v>
      </c>
      <c r="M1949" s="15">
        <v>-6559.82</v>
      </c>
      <c r="N1949" s="16" t="str">
        <f>IF(M1949="","",IF(M1949&lt;0,-M1949&amp;"_"&amp;COUNTIF(M$2:M1949,M1949),M1949&amp;"_"&amp;COUNTIF(M$2:M1949,M1949)))</f>
        <v>6559.82_1</v>
      </c>
      <c r="O1949" s="17" t="str">
        <f t="shared" si="30"/>
        <v/>
      </c>
      <c r="P1949" s="13" t="s">
        <v>189</v>
      </c>
      <c r="Q1949" s="13" t="s">
        <v>175</v>
      </c>
      <c r="R1949" s="13" t="s">
        <v>0</v>
      </c>
      <c r="S1949" s="13" t="s">
        <v>0</v>
      </c>
      <c r="T1949" s="13" t="s">
        <v>9</v>
      </c>
      <c r="U1949" s="13" t="s">
        <v>0</v>
      </c>
      <c r="V1949" s="13" t="s">
        <v>0</v>
      </c>
      <c r="W1949" s="13" t="s">
        <v>0</v>
      </c>
      <c r="X1949" s="13" t="s">
        <v>0</v>
      </c>
      <c r="Y1949" s="13" t="s">
        <v>10</v>
      </c>
      <c r="Z1949" s="13" t="s">
        <v>0</v>
      </c>
      <c r="AA1949" s="14"/>
      <c r="AB1949" s="13" t="s">
        <v>0</v>
      </c>
      <c r="AC1949" s="13" t="s">
        <v>0</v>
      </c>
      <c r="AD1949" s="13" t="s">
        <v>0</v>
      </c>
      <c r="AE1949" s="15">
        <v>0</v>
      </c>
    </row>
    <row r="1950" spans="1:31" ht="14.15" customHeight="1" x14ac:dyDescent="0.25">
      <c r="A1950" s="12" t="s">
        <v>0</v>
      </c>
      <c r="B1950" s="13" t="s">
        <v>1</v>
      </c>
      <c r="C1950" s="13" t="s">
        <v>3062</v>
      </c>
      <c r="D1950" s="14">
        <v>44284</v>
      </c>
      <c r="E1950" s="14">
        <v>44284</v>
      </c>
      <c r="F1950" s="14">
        <v>44290</v>
      </c>
      <c r="G1950" s="13" t="s">
        <v>3</v>
      </c>
      <c r="H1950" s="13" t="s">
        <v>4</v>
      </c>
      <c r="I1950" s="15">
        <v>-6546.63</v>
      </c>
      <c r="J1950" s="13" t="s">
        <v>5</v>
      </c>
      <c r="K1950" s="13" t="s">
        <v>6</v>
      </c>
      <c r="L1950" s="15">
        <v>-549589.59</v>
      </c>
      <c r="M1950" s="15">
        <v>-6546.63</v>
      </c>
      <c r="N1950" s="16" t="str">
        <f>IF(M1950="","",IF(M1950&lt;0,-M1950&amp;"_"&amp;COUNTIF(M$2:M1950,M1950),M1950&amp;"_"&amp;COUNTIF(M$2:M1950,M1950)))</f>
        <v>6546.63_1</v>
      </c>
      <c r="O1950" s="17" t="str">
        <f t="shared" si="30"/>
        <v/>
      </c>
      <c r="P1950" s="13" t="s">
        <v>3063</v>
      </c>
      <c r="Q1950" s="13" t="s">
        <v>3061</v>
      </c>
      <c r="R1950" s="13" t="s">
        <v>0</v>
      </c>
      <c r="S1950" s="13" t="s">
        <v>0</v>
      </c>
      <c r="T1950" s="13" t="s">
        <v>9</v>
      </c>
      <c r="U1950" s="13" t="s">
        <v>0</v>
      </c>
      <c r="V1950" s="13" t="s">
        <v>0</v>
      </c>
      <c r="W1950" s="13" t="s">
        <v>0</v>
      </c>
      <c r="X1950" s="13" t="s">
        <v>0</v>
      </c>
      <c r="Y1950" s="13" t="s">
        <v>10</v>
      </c>
      <c r="Z1950" s="13" t="s">
        <v>0</v>
      </c>
      <c r="AA1950" s="14"/>
      <c r="AB1950" s="13" t="s">
        <v>0</v>
      </c>
      <c r="AC1950" s="13" t="s">
        <v>0</v>
      </c>
      <c r="AD1950" s="13" t="s">
        <v>0</v>
      </c>
      <c r="AE1950" s="15">
        <v>0</v>
      </c>
    </row>
    <row r="1951" spans="1:31" ht="14.15" customHeight="1" x14ac:dyDescent="0.25">
      <c r="A1951" s="12" t="s">
        <v>0</v>
      </c>
      <c r="B1951" s="13" t="s">
        <v>1</v>
      </c>
      <c r="C1951" s="13" t="s">
        <v>3543</v>
      </c>
      <c r="D1951" s="14">
        <v>44324</v>
      </c>
      <c r="E1951" s="14">
        <v>44324</v>
      </c>
      <c r="F1951" s="14">
        <v>44340</v>
      </c>
      <c r="G1951" s="13" t="s">
        <v>3</v>
      </c>
      <c r="H1951" s="13" t="s">
        <v>4</v>
      </c>
      <c r="I1951" s="15">
        <v>-6545.95</v>
      </c>
      <c r="J1951" s="13" t="s">
        <v>5</v>
      </c>
      <c r="K1951" s="13" t="s">
        <v>6</v>
      </c>
      <c r="L1951" s="15">
        <v>-549532.5</v>
      </c>
      <c r="M1951" s="15">
        <v>-6545.95</v>
      </c>
      <c r="N1951" s="16" t="str">
        <f>IF(M1951="","",IF(M1951&lt;0,-M1951&amp;"_"&amp;COUNTIF(M$2:M1951,M1951),M1951&amp;"_"&amp;COUNTIF(M$2:M1951,M1951)))</f>
        <v>6545.95_1</v>
      </c>
      <c r="O1951" s="17" t="str">
        <f t="shared" si="30"/>
        <v/>
      </c>
      <c r="P1951" s="13" t="s">
        <v>3544</v>
      </c>
      <c r="Q1951" s="13" t="s">
        <v>3512</v>
      </c>
      <c r="R1951" s="13" t="s">
        <v>0</v>
      </c>
      <c r="S1951" s="13" t="s">
        <v>0</v>
      </c>
      <c r="T1951" s="13" t="s">
        <v>9</v>
      </c>
      <c r="U1951" s="13" t="s">
        <v>0</v>
      </c>
      <c r="V1951" s="13" t="s">
        <v>0</v>
      </c>
      <c r="W1951" s="13" t="s">
        <v>0</v>
      </c>
      <c r="X1951" s="13" t="s">
        <v>0</v>
      </c>
      <c r="Y1951" s="13" t="s">
        <v>10</v>
      </c>
      <c r="Z1951" s="13" t="s">
        <v>0</v>
      </c>
      <c r="AA1951" s="14"/>
      <c r="AB1951" s="13" t="s">
        <v>0</v>
      </c>
      <c r="AC1951" s="13" t="s">
        <v>0</v>
      </c>
      <c r="AD1951" s="13" t="s">
        <v>0</v>
      </c>
      <c r="AE1951" s="15">
        <v>0</v>
      </c>
    </row>
    <row r="1952" spans="1:31" ht="14.15" customHeight="1" x14ac:dyDescent="0.25">
      <c r="A1952" s="12" t="s">
        <v>0</v>
      </c>
      <c r="B1952" s="13" t="s">
        <v>1</v>
      </c>
      <c r="C1952" s="13" t="s">
        <v>3168</v>
      </c>
      <c r="D1952" s="14">
        <v>44299</v>
      </c>
      <c r="E1952" s="14">
        <v>44299</v>
      </c>
      <c r="F1952" s="14">
        <v>44306</v>
      </c>
      <c r="G1952" s="13" t="s">
        <v>3</v>
      </c>
      <c r="H1952" s="13" t="s">
        <v>4</v>
      </c>
      <c r="I1952" s="15">
        <v>-6541.19</v>
      </c>
      <c r="J1952" s="13" t="s">
        <v>5</v>
      </c>
      <c r="K1952" s="13" t="s">
        <v>6</v>
      </c>
      <c r="L1952" s="15">
        <v>-549132.9</v>
      </c>
      <c r="M1952" s="15">
        <v>-6541.19</v>
      </c>
      <c r="N1952" s="16" t="str">
        <f>IF(M1952="","",IF(M1952&lt;0,-M1952&amp;"_"&amp;COUNTIF(M$2:M1952,M1952),M1952&amp;"_"&amp;COUNTIF(M$2:M1952,M1952)))</f>
        <v>6541.19_1</v>
      </c>
      <c r="O1952" s="17" t="str">
        <f t="shared" si="30"/>
        <v/>
      </c>
      <c r="P1952" s="13" t="s">
        <v>3169</v>
      </c>
      <c r="Q1952" s="13" t="s">
        <v>3170</v>
      </c>
      <c r="R1952" s="13" t="s">
        <v>0</v>
      </c>
      <c r="S1952" s="13" t="s">
        <v>0</v>
      </c>
      <c r="T1952" s="13" t="s">
        <v>9</v>
      </c>
      <c r="U1952" s="13" t="s">
        <v>0</v>
      </c>
      <c r="V1952" s="13" t="s">
        <v>0</v>
      </c>
      <c r="W1952" s="13" t="s">
        <v>0</v>
      </c>
      <c r="X1952" s="13" t="s">
        <v>0</v>
      </c>
      <c r="Y1952" s="13" t="s">
        <v>10</v>
      </c>
      <c r="Z1952" s="13" t="s">
        <v>0</v>
      </c>
      <c r="AA1952" s="14"/>
      <c r="AB1952" s="13" t="s">
        <v>0</v>
      </c>
      <c r="AC1952" s="13" t="s">
        <v>0</v>
      </c>
      <c r="AD1952" s="13" t="s">
        <v>0</v>
      </c>
      <c r="AE1952" s="15">
        <v>0</v>
      </c>
    </row>
    <row r="1953" spans="1:31" ht="14.15" customHeight="1" x14ac:dyDescent="0.25">
      <c r="A1953" s="12" t="s">
        <v>0</v>
      </c>
      <c r="B1953" s="13" t="s">
        <v>1</v>
      </c>
      <c r="C1953" s="13" t="s">
        <v>2043</v>
      </c>
      <c r="D1953" s="14">
        <v>44197</v>
      </c>
      <c r="E1953" s="14">
        <v>44197</v>
      </c>
      <c r="F1953" s="14">
        <v>44202</v>
      </c>
      <c r="G1953" s="13" t="s">
        <v>3</v>
      </c>
      <c r="H1953" s="13" t="s">
        <v>4</v>
      </c>
      <c r="I1953" s="15">
        <v>-6537.76</v>
      </c>
      <c r="J1953" s="13" t="s">
        <v>5</v>
      </c>
      <c r="K1953" s="13" t="s">
        <v>6</v>
      </c>
      <c r="L1953" s="15">
        <v>-548844.94999999995</v>
      </c>
      <c r="M1953" s="15">
        <v>-6537.76</v>
      </c>
      <c r="N1953" s="16" t="str">
        <f>IF(M1953="","",IF(M1953&lt;0,-M1953&amp;"_"&amp;COUNTIF(M$2:M1953,M1953),M1953&amp;"_"&amp;COUNTIF(M$2:M1953,M1953)))</f>
        <v>6537.76_1</v>
      </c>
      <c r="O1953" s="17" t="str">
        <f t="shared" si="30"/>
        <v/>
      </c>
      <c r="P1953" s="13" t="s">
        <v>2044</v>
      </c>
      <c r="Q1953" s="13" t="s">
        <v>2034</v>
      </c>
      <c r="R1953" s="13" t="s">
        <v>0</v>
      </c>
      <c r="S1953" s="13" t="s">
        <v>0</v>
      </c>
      <c r="T1953" s="13" t="s">
        <v>9</v>
      </c>
      <c r="U1953" s="13" t="s">
        <v>0</v>
      </c>
      <c r="V1953" s="13" t="s">
        <v>0</v>
      </c>
      <c r="W1953" s="13" t="s">
        <v>0</v>
      </c>
      <c r="X1953" s="13" t="s">
        <v>0</v>
      </c>
      <c r="Y1953" s="13" t="s">
        <v>10</v>
      </c>
      <c r="Z1953" s="13" t="s">
        <v>0</v>
      </c>
      <c r="AA1953" s="14"/>
      <c r="AB1953" s="13" t="s">
        <v>0</v>
      </c>
      <c r="AC1953" s="13" t="s">
        <v>0</v>
      </c>
      <c r="AD1953" s="13" t="s">
        <v>0</v>
      </c>
      <c r="AE1953" s="15">
        <v>0</v>
      </c>
    </row>
    <row r="1954" spans="1:31" ht="14.15" customHeight="1" x14ac:dyDescent="0.25">
      <c r="A1954" s="12" t="s">
        <v>0</v>
      </c>
      <c r="B1954" s="13" t="s">
        <v>1</v>
      </c>
      <c r="C1954" s="13" t="s">
        <v>3285</v>
      </c>
      <c r="D1954" s="14">
        <v>44314</v>
      </c>
      <c r="E1954" s="14">
        <v>44314</v>
      </c>
      <c r="F1954" s="14">
        <v>44319</v>
      </c>
      <c r="G1954" s="13" t="s">
        <v>3</v>
      </c>
      <c r="H1954" s="13" t="s">
        <v>4</v>
      </c>
      <c r="I1954" s="15">
        <v>-6511.2</v>
      </c>
      <c r="J1954" s="13" t="s">
        <v>5</v>
      </c>
      <c r="K1954" s="13" t="s">
        <v>6</v>
      </c>
      <c r="L1954" s="15">
        <v>-546615.24</v>
      </c>
      <c r="M1954" s="15">
        <v>-6511.2</v>
      </c>
      <c r="N1954" s="16" t="str">
        <f>IF(M1954="","",IF(M1954&lt;0,-M1954&amp;"_"&amp;COUNTIF(M$2:M1954,M1954),M1954&amp;"_"&amp;COUNTIF(M$2:M1954,M1954)))</f>
        <v>6511.2_1</v>
      </c>
      <c r="O1954" s="17" t="str">
        <f t="shared" si="30"/>
        <v/>
      </c>
      <c r="P1954" s="13" t="s">
        <v>3286</v>
      </c>
      <c r="Q1954" s="13" t="s">
        <v>3284</v>
      </c>
      <c r="R1954" s="13" t="s">
        <v>0</v>
      </c>
      <c r="S1954" s="13" t="s">
        <v>0</v>
      </c>
      <c r="T1954" s="13" t="s">
        <v>9</v>
      </c>
      <c r="U1954" s="13" t="s">
        <v>0</v>
      </c>
      <c r="V1954" s="13" t="s">
        <v>0</v>
      </c>
      <c r="W1954" s="13" t="s">
        <v>0</v>
      </c>
      <c r="X1954" s="13" t="s">
        <v>0</v>
      </c>
      <c r="Y1954" s="13" t="s">
        <v>10</v>
      </c>
      <c r="Z1954" s="13" t="s">
        <v>0</v>
      </c>
      <c r="AA1954" s="14"/>
      <c r="AB1954" s="13" t="s">
        <v>0</v>
      </c>
      <c r="AC1954" s="13" t="s">
        <v>0</v>
      </c>
      <c r="AD1954" s="13" t="s">
        <v>0</v>
      </c>
      <c r="AE1954" s="15">
        <v>0</v>
      </c>
    </row>
    <row r="1955" spans="1:31" ht="14.15" customHeight="1" x14ac:dyDescent="0.25">
      <c r="A1955" s="12" t="s">
        <v>0</v>
      </c>
      <c r="B1955" s="13" t="s">
        <v>1</v>
      </c>
      <c r="C1955" s="13" t="s">
        <v>2804</v>
      </c>
      <c r="D1955" s="14">
        <v>44265</v>
      </c>
      <c r="E1955" s="14">
        <v>44265</v>
      </c>
      <c r="F1955" s="14">
        <v>44272</v>
      </c>
      <c r="G1955" s="13" t="s">
        <v>3</v>
      </c>
      <c r="H1955" s="13" t="s">
        <v>4</v>
      </c>
      <c r="I1955" s="15">
        <v>-6502.95</v>
      </c>
      <c r="J1955" s="13" t="s">
        <v>5</v>
      </c>
      <c r="K1955" s="13" t="s">
        <v>6</v>
      </c>
      <c r="L1955" s="15">
        <v>-545922.65</v>
      </c>
      <c r="M1955" s="15">
        <v>-6502.95</v>
      </c>
      <c r="N1955" s="16" t="str">
        <f>IF(M1955="","",IF(M1955&lt;0,-M1955&amp;"_"&amp;COUNTIF(M$2:M1955,M1955),M1955&amp;"_"&amp;COUNTIF(M$2:M1955,M1955)))</f>
        <v>6502.95_1</v>
      </c>
      <c r="O1955" s="17" t="str">
        <f t="shared" si="30"/>
        <v/>
      </c>
      <c r="P1955" s="13" t="s">
        <v>2805</v>
      </c>
      <c r="Q1955" s="13" t="s">
        <v>2801</v>
      </c>
      <c r="R1955" s="13" t="s">
        <v>0</v>
      </c>
      <c r="S1955" s="13" t="s">
        <v>0</v>
      </c>
      <c r="T1955" s="13" t="s">
        <v>9</v>
      </c>
      <c r="U1955" s="13" t="s">
        <v>0</v>
      </c>
      <c r="V1955" s="13" t="s">
        <v>0</v>
      </c>
      <c r="W1955" s="13" t="s">
        <v>0</v>
      </c>
      <c r="X1955" s="13" t="s">
        <v>0</v>
      </c>
      <c r="Y1955" s="13" t="s">
        <v>10</v>
      </c>
      <c r="Z1955" s="13" t="s">
        <v>0</v>
      </c>
      <c r="AA1955" s="14"/>
      <c r="AB1955" s="13" t="s">
        <v>0</v>
      </c>
      <c r="AC1955" s="13" t="s">
        <v>0</v>
      </c>
      <c r="AD1955" s="13" t="s">
        <v>0</v>
      </c>
      <c r="AE1955" s="15">
        <v>0</v>
      </c>
    </row>
    <row r="1956" spans="1:31" ht="14.15" customHeight="1" x14ac:dyDescent="0.25">
      <c r="A1956" s="12" t="s">
        <v>0</v>
      </c>
      <c r="B1956" s="13" t="s">
        <v>1</v>
      </c>
      <c r="C1956" s="13" t="s">
        <v>530</v>
      </c>
      <c r="D1956" s="14">
        <v>44073</v>
      </c>
      <c r="E1956" s="14">
        <v>44073</v>
      </c>
      <c r="F1956" s="14">
        <v>44082</v>
      </c>
      <c r="G1956" s="13" t="s">
        <v>3</v>
      </c>
      <c r="H1956" s="13" t="s">
        <v>4</v>
      </c>
      <c r="I1956" s="15">
        <v>-6499.43</v>
      </c>
      <c r="J1956" s="13" t="s">
        <v>5</v>
      </c>
      <c r="K1956" s="13" t="s">
        <v>6</v>
      </c>
      <c r="L1956" s="15">
        <v>-545627.15</v>
      </c>
      <c r="M1956" s="15">
        <v>-6499.43</v>
      </c>
      <c r="N1956" s="16" t="str">
        <f>IF(M1956="","",IF(M1956&lt;0,-M1956&amp;"_"&amp;COUNTIF(M$2:M1956,M1956),M1956&amp;"_"&amp;COUNTIF(M$2:M1956,M1956)))</f>
        <v>6499.43_1</v>
      </c>
      <c r="O1956" s="17" t="str">
        <f t="shared" si="30"/>
        <v/>
      </c>
      <c r="P1956" s="13" t="s">
        <v>531</v>
      </c>
      <c r="Q1956" s="13" t="s">
        <v>525</v>
      </c>
      <c r="R1956" s="13" t="s">
        <v>0</v>
      </c>
      <c r="S1956" s="13" t="s">
        <v>0</v>
      </c>
      <c r="T1956" s="13" t="s">
        <v>9</v>
      </c>
      <c r="U1956" s="13" t="s">
        <v>0</v>
      </c>
      <c r="V1956" s="13" t="s">
        <v>0</v>
      </c>
      <c r="W1956" s="13" t="s">
        <v>0</v>
      </c>
      <c r="X1956" s="13" t="s">
        <v>0</v>
      </c>
      <c r="Y1956" s="13" t="s">
        <v>10</v>
      </c>
      <c r="Z1956" s="13" t="s">
        <v>0</v>
      </c>
      <c r="AA1956" s="14"/>
      <c r="AB1956" s="13" t="s">
        <v>0</v>
      </c>
      <c r="AC1956" s="13" t="s">
        <v>0</v>
      </c>
      <c r="AD1956" s="13" t="s">
        <v>0</v>
      </c>
      <c r="AE1956" s="15">
        <v>0</v>
      </c>
    </row>
    <row r="1957" spans="1:31" ht="14.15" customHeight="1" x14ac:dyDescent="0.25">
      <c r="A1957" s="12" t="s">
        <v>0</v>
      </c>
      <c r="B1957" s="13" t="s">
        <v>1</v>
      </c>
      <c r="C1957" s="13" t="s">
        <v>2318</v>
      </c>
      <c r="D1957" s="14">
        <v>44220</v>
      </c>
      <c r="E1957" s="14">
        <v>44220</v>
      </c>
      <c r="F1957" s="14">
        <v>44224</v>
      </c>
      <c r="G1957" s="13" t="s">
        <v>3</v>
      </c>
      <c r="H1957" s="13" t="s">
        <v>4</v>
      </c>
      <c r="I1957" s="15">
        <v>-6493.73</v>
      </c>
      <c r="J1957" s="13" t="s">
        <v>5</v>
      </c>
      <c r="K1957" s="13" t="s">
        <v>6</v>
      </c>
      <c r="L1957" s="15">
        <v>-545148.63</v>
      </c>
      <c r="M1957" s="15">
        <v>-6493.73</v>
      </c>
      <c r="N1957" s="16" t="str">
        <f>IF(M1957="","",IF(M1957&lt;0,-M1957&amp;"_"&amp;COUNTIF(M$2:M1957,M1957),M1957&amp;"_"&amp;COUNTIF(M$2:M1957,M1957)))</f>
        <v>6493.73_1</v>
      </c>
      <c r="O1957" s="17" t="str">
        <f t="shared" si="30"/>
        <v/>
      </c>
      <c r="P1957" s="13" t="s">
        <v>2319</v>
      </c>
      <c r="Q1957" s="13" t="s">
        <v>2317</v>
      </c>
      <c r="R1957" s="13" t="s">
        <v>0</v>
      </c>
      <c r="S1957" s="13" t="s">
        <v>0</v>
      </c>
      <c r="T1957" s="13" t="s">
        <v>9</v>
      </c>
      <c r="U1957" s="13" t="s">
        <v>0</v>
      </c>
      <c r="V1957" s="13" t="s">
        <v>0</v>
      </c>
      <c r="W1957" s="13" t="s">
        <v>0</v>
      </c>
      <c r="X1957" s="13" t="s">
        <v>0</v>
      </c>
      <c r="Y1957" s="13" t="s">
        <v>10</v>
      </c>
      <c r="Z1957" s="13" t="s">
        <v>0</v>
      </c>
      <c r="AA1957" s="14"/>
      <c r="AB1957" s="13" t="s">
        <v>0</v>
      </c>
      <c r="AC1957" s="13" t="s">
        <v>0</v>
      </c>
      <c r="AD1957" s="13" t="s">
        <v>0</v>
      </c>
      <c r="AE1957" s="15">
        <v>0</v>
      </c>
    </row>
    <row r="1958" spans="1:31" ht="14.15" customHeight="1" x14ac:dyDescent="0.25">
      <c r="A1958" s="12" t="s">
        <v>0</v>
      </c>
      <c r="B1958" s="13" t="s">
        <v>1</v>
      </c>
      <c r="C1958" s="13" t="s">
        <v>2679</v>
      </c>
      <c r="D1958" s="14">
        <v>44253</v>
      </c>
      <c r="E1958" s="14">
        <v>44253</v>
      </c>
      <c r="F1958" s="14">
        <v>44258</v>
      </c>
      <c r="G1958" s="13" t="s">
        <v>3</v>
      </c>
      <c r="H1958" s="13" t="s">
        <v>4</v>
      </c>
      <c r="I1958" s="15">
        <v>-6483.54</v>
      </c>
      <c r="J1958" s="13" t="s">
        <v>5</v>
      </c>
      <c r="K1958" s="13" t="s">
        <v>6</v>
      </c>
      <c r="L1958" s="15">
        <v>-544293.18000000005</v>
      </c>
      <c r="M1958" s="15">
        <v>-6483.54</v>
      </c>
      <c r="N1958" s="16" t="str">
        <f>IF(M1958="","",IF(M1958&lt;0,-M1958&amp;"_"&amp;COUNTIF(M$2:M1958,M1958),M1958&amp;"_"&amp;COUNTIF(M$2:M1958,M1958)))</f>
        <v>6483.54_1</v>
      </c>
      <c r="O1958" s="17" t="str">
        <f t="shared" si="30"/>
        <v/>
      </c>
      <c r="P1958" s="13" t="s">
        <v>2680</v>
      </c>
      <c r="Q1958" s="13" t="s">
        <v>2660</v>
      </c>
      <c r="R1958" s="13" t="s">
        <v>0</v>
      </c>
      <c r="S1958" s="13" t="s">
        <v>0</v>
      </c>
      <c r="T1958" s="13" t="s">
        <v>9</v>
      </c>
      <c r="U1958" s="13" t="s">
        <v>0</v>
      </c>
      <c r="V1958" s="13" t="s">
        <v>0</v>
      </c>
      <c r="W1958" s="13" t="s">
        <v>0</v>
      </c>
      <c r="X1958" s="13" t="s">
        <v>0</v>
      </c>
      <c r="Y1958" s="13" t="s">
        <v>10</v>
      </c>
      <c r="Z1958" s="13" t="s">
        <v>0</v>
      </c>
      <c r="AA1958" s="14"/>
      <c r="AB1958" s="13" t="s">
        <v>0</v>
      </c>
      <c r="AC1958" s="13" t="s">
        <v>0</v>
      </c>
      <c r="AD1958" s="13" t="s">
        <v>0</v>
      </c>
      <c r="AE1958" s="15">
        <v>0</v>
      </c>
    </row>
    <row r="1959" spans="1:31" ht="14.15" customHeight="1" x14ac:dyDescent="0.25">
      <c r="A1959" s="12" t="s">
        <v>0</v>
      </c>
      <c r="B1959" s="13" t="s">
        <v>1</v>
      </c>
      <c r="C1959" s="13" t="s">
        <v>678</v>
      </c>
      <c r="D1959" s="14">
        <v>44089</v>
      </c>
      <c r="E1959" s="14">
        <v>44089</v>
      </c>
      <c r="F1959" s="14">
        <v>44091</v>
      </c>
      <c r="G1959" s="13" t="s">
        <v>3</v>
      </c>
      <c r="H1959" s="13" t="s">
        <v>4</v>
      </c>
      <c r="I1959" s="15">
        <v>-6460.37</v>
      </c>
      <c r="J1959" s="13" t="s">
        <v>5</v>
      </c>
      <c r="K1959" s="13" t="s">
        <v>6</v>
      </c>
      <c r="L1959" s="15">
        <v>-542348.06000000006</v>
      </c>
      <c r="M1959" s="15">
        <v>-6460.37</v>
      </c>
      <c r="N1959" s="16" t="str">
        <f>IF(M1959="","",IF(M1959&lt;0,-M1959&amp;"_"&amp;COUNTIF(M$2:M1959,M1959),M1959&amp;"_"&amp;COUNTIF(M$2:M1959,M1959)))</f>
        <v>6460.37_1</v>
      </c>
      <c r="O1959" s="17" t="str">
        <f t="shared" si="30"/>
        <v/>
      </c>
      <c r="P1959" s="13" t="s">
        <v>679</v>
      </c>
      <c r="Q1959" s="13" t="s">
        <v>680</v>
      </c>
      <c r="R1959" s="13" t="s">
        <v>0</v>
      </c>
      <c r="S1959" s="13" t="s">
        <v>0</v>
      </c>
      <c r="T1959" s="13" t="s">
        <v>9</v>
      </c>
      <c r="U1959" s="13" t="s">
        <v>0</v>
      </c>
      <c r="V1959" s="13" t="s">
        <v>0</v>
      </c>
      <c r="W1959" s="13" t="s">
        <v>0</v>
      </c>
      <c r="X1959" s="13" t="s">
        <v>0</v>
      </c>
      <c r="Y1959" s="13" t="s">
        <v>10</v>
      </c>
      <c r="Z1959" s="13" t="s">
        <v>0</v>
      </c>
      <c r="AA1959" s="14"/>
      <c r="AB1959" s="13" t="s">
        <v>0</v>
      </c>
      <c r="AC1959" s="13" t="s">
        <v>0</v>
      </c>
      <c r="AD1959" s="13" t="s">
        <v>0</v>
      </c>
      <c r="AE1959" s="15">
        <v>0</v>
      </c>
    </row>
    <row r="1960" spans="1:31" ht="14.15" customHeight="1" x14ac:dyDescent="0.25">
      <c r="A1960" s="12" t="s">
        <v>0</v>
      </c>
      <c r="B1960" s="13" t="s">
        <v>1</v>
      </c>
      <c r="C1960" s="13" t="s">
        <v>932</v>
      </c>
      <c r="D1960" s="14">
        <v>44118</v>
      </c>
      <c r="E1960" s="14">
        <v>44118</v>
      </c>
      <c r="F1960" s="14">
        <v>44132</v>
      </c>
      <c r="G1960" s="13" t="s">
        <v>3</v>
      </c>
      <c r="H1960" s="13" t="s">
        <v>4</v>
      </c>
      <c r="I1960" s="15">
        <v>-6460.37</v>
      </c>
      <c r="J1960" s="13" t="s">
        <v>5</v>
      </c>
      <c r="K1960" s="13" t="s">
        <v>6</v>
      </c>
      <c r="L1960" s="15">
        <v>-542348.06000000006</v>
      </c>
      <c r="M1960" s="15">
        <v>-6460.37</v>
      </c>
      <c r="N1960" s="16" t="str">
        <f>IF(M1960="","",IF(M1960&lt;0,-M1960&amp;"_"&amp;COUNTIF(M$2:M1960,M1960),M1960&amp;"_"&amp;COUNTIF(M$2:M1960,M1960)))</f>
        <v>6460.37_2</v>
      </c>
      <c r="O1960" s="17" t="str">
        <f t="shared" si="30"/>
        <v/>
      </c>
      <c r="P1960" s="13" t="s">
        <v>933</v>
      </c>
      <c r="Q1960" s="13" t="s">
        <v>934</v>
      </c>
      <c r="R1960" s="13" t="s">
        <v>0</v>
      </c>
      <c r="S1960" s="13" t="s">
        <v>0</v>
      </c>
      <c r="T1960" s="13" t="s">
        <v>9</v>
      </c>
      <c r="U1960" s="13" t="s">
        <v>0</v>
      </c>
      <c r="V1960" s="13" t="s">
        <v>0</v>
      </c>
      <c r="W1960" s="13" t="s">
        <v>0</v>
      </c>
      <c r="X1960" s="13" t="s">
        <v>0</v>
      </c>
      <c r="Y1960" s="13" t="s">
        <v>10</v>
      </c>
      <c r="Z1960" s="13" t="s">
        <v>0</v>
      </c>
      <c r="AA1960" s="14"/>
      <c r="AB1960" s="13" t="s">
        <v>0</v>
      </c>
      <c r="AC1960" s="13" t="s">
        <v>0</v>
      </c>
      <c r="AD1960" s="13" t="s">
        <v>0</v>
      </c>
      <c r="AE1960" s="15">
        <v>0</v>
      </c>
    </row>
    <row r="1961" spans="1:31" ht="14.15" customHeight="1" x14ac:dyDescent="0.25">
      <c r="A1961" s="12" t="s">
        <v>0</v>
      </c>
      <c r="B1961" s="13" t="s">
        <v>1</v>
      </c>
      <c r="C1961" s="13" t="s">
        <v>4193</v>
      </c>
      <c r="D1961" s="14">
        <v>44364</v>
      </c>
      <c r="E1961" s="14">
        <v>44364</v>
      </c>
      <c r="F1961" s="14">
        <v>44370</v>
      </c>
      <c r="G1961" s="13" t="s">
        <v>3</v>
      </c>
      <c r="H1961" s="13" t="s">
        <v>4</v>
      </c>
      <c r="I1961" s="15">
        <v>-6451.71</v>
      </c>
      <c r="J1961" s="13" t="s">
        <v>5</v>
      </c>
      <c r="K1961" s="13" t="s">
        <v>6</v>
      </c>
      <c r="L1961" s="15">
        <v>-541621.05000000005</v>
      </c>
      <c r="M1961" s="15">
        <v>-6451.71</v>
      </c>
      <c r="N1961" s="16" t="str">
        <f>IF(M1961="","",IF(M1961&lt;0,-M1961&amp;"_"&amp;COUNTIF(M$2:M1961,M1961),M1961&amp;"_"&amp;COUNTIF(M$2:M1961,M1961)))</f>
        <v>6451.71_1</v>
      </c>
      <c r="O1961" s="17" t="str">
        <f t="shared" si="30"/>
        <v/>
      </c>
      <c r="P1961" s="13" t="s">
        <v>4194</v>
      </c>
      <c r="Q1961" s="13" t="s">
        <v>4180</v>
      </c>
      <c r="R1961" s="13" t="s">
        <v>0</v>
      </c>
      <c r="S1961" s="13" t="s">
        <v>0</v>
      </c>
      <c r="T1961" s="13" t="s">
        <v>9</v>
      </c>
      <c r="U1961" s="13" t="s">
        <v>0</v>
      </c>
      <c r="V1961" s="13" t="s">
        <v>0</v>
      </c>
      <c r="W1961" s="13" t="s">
        <v>0</v>
      </c>
      <c r="X1961" s="13" t="s">
        <v>0</v>
      </c>
      <c r="Y1961" s="13" t="s">
        <v>10</v>
      </c>
      <c r="Z1961" s="13" t="s">
        <v>0</v>
      </c>
      <c r="AA1961" s="14"/>
      <c r="AB1961" s="13" t="s">
        <v>0</v>
      </c>
      <c r="AC1961" s="13" t="s">
        <v>0</v>
      </c>
      <c r="AD1961" s="13" t="s">
        <v>0</v>
      </c>
      <c r="AE1961" s="15">
        <v>0</v>
      </c>
    </row>
    <row r="1962" spans="1:31" ht="14.15" customHeight="1" x14ac:dyDescent="0.25">
      <c r="A1962" s="12" t="s">
        <v>0</v>
      </c>
      <c r="B1962" s="13" t="s">
        <v>1</v>
      </c>
      <c r="C1962" s="13" t="s">
        <v>1599</v>
      </c>
      <c r="D1962" s="14">
        <v>44167</v>
      </c>
      <c r="E1962" s="14">
        <v>44167</v>
      </c>
      <c r="F1962" s="14">
        <v>44174</v>
      </c>
      <c r="G1962" s="13" t="s">
        <v>3</v>
      </c>
      <c r="H1962" s="13" t="s">
        <v>4</v>
      </c>
      <c r="I1962" s="15">
        <v>-6449.81</v>
      </c>
      <c r="J1962" s="13" t="s">
        <v>5</v>
      </c>
      <c r="K1962" s="13" t="s">
        <v>6</v>
      </c>
      <c r="L1962" s="15">
        <v>-541461.55000000005</v>
      </c>
      <c r="M1962" s="15">
        <v>-6449.81</v>
      </c>
      <c r="N1962" s="16" t="str">
        <f>IF(M1962="","",IF(M1962&lt;0,-M1962&amp;"_"&amp;COUNTIF(M$2:M1962,M1962),M1962&amp;"_"&amp;COUNTIF(M$2:M1962,M1962)))</f>
        <v>6449.81_1</v>
      </c>
      <c r="O1962" s="17" t="str">
        <f t="shared" si="30"/>
        <v/>
      </c>
      <c r="P1962" s="13" t="s">
        <v>1600</v>
      </c>
      <c r="Q1962" s="13" t="s">
        <v>1592</v>
      </c>
      <c r="R1962" s="13" t="s">
        <v>0</v>
      </c>
      <c r="S1962" s="13" t="s">
        <v>0</v>
      </c>
      <c r="T1962" s="13" t="s">
        <v>9</v>
      </c>
      <c r="U1962" s="13" t="s">
        <v>0</v>
      </c>
      <c r="V1962" s="13" t="s">
        <v>0</v>
      </c>
      <c r="W1962" s="13" t="s">
        <v>0</v>
      </c>
      <c r="X1962" s="13" t="s">
        <v>0</v>
      </c>
      <c r="Y1962" s="13" t="s">
        <v>10</v>
      </c>
      <c r="Z1962" s="13" t="s">
        <v>0</v>
      </c>
      <c r="AA1962" s="14"/>
      <c r="AB1962" s="13" t="s">
        <v>0</v>
      </c>
      <c r="AC1962" s="13" t="s">
        <v>0</v>
      </c>
      <c r="AD1962" s="13" t="s">
        <v>0</v>
      </c>
      <c r="AE1962" s="15">
        <v>0</v>
      </c>
    </row>
    <row r="1963" spans="1:31" ht="14.15" customHeight="1" x14ac:dyDescent="0.25">
      <c r="A1963" s="12" t="s">
        <v>0</v>
      </c>
      <c r="B1963" s="13" t="s">
        <v>1</v>
      </c>
      <c r="C1963" s="13" t="s">
        <v>2618</v>
      </c>
      <c r="D1963" s="14">
        <v>44245</v>
      </c>
      <c r="E1963" s="14">
        <v>44245</v>
      </c>
      <c r="F1963" s="14">
        <v>44254</v>
      </c>
      <c r="G1963" s="13" t="s">
        <v>3</v>
      </c>
      <c r="H1963" s="13" t="s">
        <v>4</v>
      </c>
      <c r="I1963" s="15">
        <v>-6447.92</v>
      </c>
      <c r="J1963" s="13" t="s">
        <v>5</v>
      </c>
      <c r="K1963" s="13" t="s">
        <v>6</v>
      </c>
      <c r="L1963" s="15">
        <v>-541302.88</v>
      </c>
      <c r="M1963" s="15">
        <v>-6447.92</v>
      </c>
      <c r="N1963" s="16" t="str">
        <f>IF(M1963="","",IF(M1963&lt;0,-M1963&amp;"_"&amp;COUNTIF(M$2:M1963,M1963),M1963&amp;"_"&amp;COUNTIF(M$2:M1963,M1963)))</f>
        <v>6447.92_1</v>
      </c>
      <c r="O1963" s="17" t="str">
        <f t="shared" si="30"/>
        <v/>
      </c>
      <c r="P1963" s="13" t="s">
        <v>2619</v>
      </c>
      <c r="Q1963" s="13" t="s">
        <v>2613</v>
      </c>
      <c r="R1963" s="13" t="s">
        <v>0</v>
      </c>
      <c r="S1963" s="13" t="s">
        <v>0</v>
      </c>
      <c r="T1963" s="13" t="s">
        <v>9</v>
      </c>
      <c r="U1963" s="13" t="s">
        <v>0</v>
      </c>
      <c r="V1963" s="13" t="s">
        <v>0</v>
      </c>
      <c r="W1963" s="13" t="s">
        <v>0</v>
      </c>
      <c r="X1963" s="13" t="s">
        <v>0</v>
      </c>
      <c r="Y1963" s="13" t="s">
        <v>10</v>
      </c>
      <c r="Z1963" s="13" t="s">
        <v>0</v>
      </c>
      <c r="AA1963" s="14"/>
      <c r="AB1963" s="13" t="s">
        <v>0</v>
      </c>
      <c r="AC1963" s="13" t="s">
        <v>0</v>
      </c>
      <c r="AD1963" s="13" t="s">
        <v>0</v>
      </c>
      <c r="AE1963" s="15">
        <v>0</v>
      </c>
    </row>
    <row r="1964" spans="1:31" ht="14.15" customHeight="1" x14ac:dyDescent="0.25">
      <c r="A1964" s="12" t="s">
        <v>0</v>
      </c>
      <c r="B1964" s="13" t="s">
        <v>1</v>
      </c>
      <c r="C1964" s="13" t="s">
        <v>1287</v>
      </c>
      <c r="D1964" s="14">
        <v>44146</v>
      </c>
      <c r="E1964" s="14">
        <v>44146</v>
      </c>
      <c r="F1964" s="14">
        <v>44151</v>
      </c>
      <c r="G1964" s="13" t="s">
        <v>3</v>
      </c>
      <c r="H1964" s="13" t="s">
        <v>4</v>
      </c>
      <c r="I1964" s="15">
        <v>-6438.61</v>
      </c>
      <c r="J1964" s="13" t="s">
        <v>5</v>
      </c>
      <c r="K1964" s="13" t="s">
        <v>6</v>
      </c>
      <c r="L1964" s="15">
        <v>-540521.31000000006</v>
      </c>
      <c r="M1964" s="15">
        <v>-6438.61</v>
      </c>
      <c r="N1964" s="16" t="str">
        <f>IF(M1964="","",IF(M1964&lt;0,-M1964&amp;"_"&amp;COUNTIF(M$2:M1964,M1964),M1964&amp;"_"&amp;COUNTIF(M$2:M1964,M1964)))</f>
        <v>6438.61_1</v>
      </c>
      <c r="O1964" s="17" t="str">
        <f t="shared" si="30"/>
        <v/>
      </c>
      <c r="P1964" s="13" t="s">
        <v>1288</v>
      </c>
      <c r="Q1964" s="13" t="s">
        <v>1282</v>
      </c>
      <c r="R1964" s="13" t="s">
        <v>0</v>
      </c>
      <c r="S1964" s="13" t="s">
        <v>0</v>
      </c>
      <c r="T1964" s="13" t="s">
        <v>9</v>
      </c>
      <c r="U1964" s="13" t="s">
        <v>0</v>
      </c>
      <c r="V1964" s="13" t="s">
        <v>0</v>
      </c>
      <c r="W1964" s="13" t="s">
        <v>0</v>
      </c>
      <c r="X1964" s="13" t="s">
        <v>0</v>
      </c>
      <c r="Y1964" s="13" t="s">
        <v>10</v>
      </c>
      <c r="Z1964" s="13" t="s">
        <v>0</v>
      </c>
      <c r="AA1964" s="14"/>
      <c r="AB1964" s="13" t="s">
        <v>0</v>
      </c>
      <c r="AC1964" s="13" t="s">
        <v>0</v>
      </c>
      <c r="AD1964" s="13" t="s">
        <v>0</v>
      </c>
      <c r="AE1964" s="15">
        <v>0</v>
      </c>
    </row>
    <row r="1965" spans="1:31" ht="14.15" customHeight="1" x14ac:dyDescent="0.25">
      <c r="A1965" s="12" t="s">
        <v>0</v>
      </c>
      <c r="B1965" s="13" t="s">
        <v>1</v>
      </c>
      <c r="C1965" s="13" t="s">
        <v>2858</v>
      </c>
      <c r="D1965" s="14">
        <v>44273</v>
      </c>
      <c r="E1965" s="14">
        <v>44273</v>
      </c>
      <c r="F1965" s="14">
        <v>44279</v>
      </c>
      <c r="G1965" s="13" t="s">
        <v>3</v>
      </c>
      <c r="H1965" s="13" t="s">
        <v>4</v>
      </c>
      <c r="I1965" s="15">
        <v>-6431.78</v>
      </c>
      <c r="J1965" s="13" t="s">
        <v>5</v>
      </c>
      <c r="K1965" s="13" t="s">
        <v>6</v>
      </c>
      <c r="L1965" s="15">
        <v>-539947.93000000005</v>
      </c>
      <c r="M1965" s="15">
        <v>-6431.78</v>
      </c>
      <c r="N1965" s="16" t="str">
        <f>IF(M1965="","",IF(M1965&lt;0,-M1965&amp;"_"&amp;COUNTIF(M$2:M1965,M1965),M1965&amp;"_"&amp;COUNTIF(M$2:M1965,M1965)))</f>
        <v>6431.78_1</v>
      </c>
      <c r="O1965" s="17" t="str">
        <f t="shared" si="30"/>
        <v/>
      </c>
      <c r="P1965" s="13" t="s">
        <v>2859</v>
      </c>
      <c r="Q1965" s="13" t="s">
        <v>2857</v>
      </c>
      <c r="R1965" s="13" t="s">
        <v>0</v>
      </c>
      <c r="S1965" s="13" t="s">
        <v>0</v>
      </c>
      <c r="T1965" s="13" t="s">
        <v>9</v>
      </c>
      <c r="U1965" s="13" t="s">
        <v>0</v>
      </c>
      <c r="V1965" s="13" t="s">
        <v>0</v>
      </c>
      <c r="W1965" s="13" t="s">
        <v>0</v>
      </c>
      <c r="X1965" s="13" t="s">
        <v>0</v>
      </c>
      <c r="Y1965" s="13" t="s">
        <v>10</v>
      </c>
      <c r="Z1965" s="13" t="s">
        <v>0</v>
      </c>
      <c r="AA1965" s="14"/>
      <c r="AB1965" s="13" t="s">
        <v>0</v>
      </c>
      <c r="AC1965" s="13" t="s">
        <v>0</v>
      </c>
      <c r="AD1965" s="13" t="s">
        <v>0</v>
      </c>
      <c r="AE1965" s="15">
        <v>0</v>
      </c>
    </row>
    <row r="1966" spans="1:31" ht="14.15" customHeight="1" x14ac:dyDescent="0.25">
      <c r="A1966" s="12" t="s">
        <v>0</v>
      </c>
      <c r="B1966" s="13" t="s">
        <v>1</v>
      </c>
      <c r="C1966" s="13" t="s">
        <v>2136</v>
      </c>
      <c r="D1966" s="14">
        <v>44205</v>
      </c>
      <c r="E1966" s="14">
        <v>44205</v>
      </c>
      <c r="F1966" s="14">
        <v>44214</v>
      </c>
      <c r="G1966" s="13" t="s">
        <v>3</v>
      </c>
      <c r="H1966" s="13" t="s">
        <v>4</v>
      </c>
      <c r="I1966" s="15">
        <v>-6424.21</v>
      </c>
      <c r="J1966" s="13" t="s">
        <v>5</v>
      </c>
      <c r="K1966" s="13" t="s">
        <v>6</v>
      </c>
      <c r="L1966" s="15">
        <v>-539312.43000000005</v>
      </c>
      <c r="M1966" s="15">
        <v>-6424.21</v>
      </c>
      <c r="N1966" s="16" t="str">
        <f>IF(M1966="","",IF(M1966&lt;0,-M1966&amp;"_"&amp;COUNTIF(M$2:M1966,M1966),M1966&amp;"_"&amp;COUNTIF(M$2:M1966,M1966)))</f>
        <v>6424.21_1</v>
      </c>
      <c r="O1966" s="17" t="str">
        <f t="shared" si="30"/>
        <v/>
      </c>
      <c r="P1966" s="13" t="s">
        <v>2137</v>
      </c>
      <c r="Q1966" s="13" t="s">
        <v>2135</v>
      </c>
      <c r="R1966" s="13" t="s">
        <v>0</v>
      </c>
      <c r="S1966" s="13" t="s">
        <v>0</v>
      </c>
      <c r="T1966" s="13" t="s">
        <v>9</v>
      </c>
      <c r="U1966" s="13" t="s">
        <v>0</v>
      </c>
      <c r="V1966" s="13" t="s">
        <v>0</v>
      </c>
      <c r="W1966" s="13" t="s">
        <v>0</v>
      </c>
      <c r="X1966" s="13" t="s">
        <v>0</v>
      </c>
      <c r="Y1966" s="13" t="s">
        <v>10</v>
      </c>
      <c r="Z1966" s="13" t="s">
        <v>0</v>
      </c>
      <c r="AA1966" s="14"/>
      <c r="AB1966" s="13" t="s">
        <v>0</v>
      </c>
      <c r="AC1966" s="13" t="s">
        <v>0</v>
      </c>
      <c r="AD1966" s="13" t="s">
        <v>0</v>
      </c>
      <c r="AE1966" s="15">
        <v>0</v>
      </c>
    </row>
    <row r="1967" spans="1:31" ht="14.15" customHeight="1" x14ac:dyDescent="0.25">
      <c r="A1967" s="12" t="s">
        <v>0</v>
      </c>
      <c r="B1967" s="13" t="s">
        <v>1</v>
      </c>
      <c r="C1967" s="13" t="s">
        <v>2976</v>
      </c>
      <c r="D1967" s="14">
        <v>44279</v>
      </c>
      <c r="E1967" s="14">
        <v>44279</v>
      </c>
      <c r="F1967" s="14">
        <v>44286</v>
      </c>
      <c r="G1967" s="13" t="s">
        <v>3</v>
      </c>
      <c r="H1967" s="13" t="s">
        <v>4</v>
      </c>
      <c r="I1967" s="15">
        <v>-6419.17</v>
      </c>
      <c r="J1967" s="13" t="s">
        <v>5</v>
      </c>
      <c r="K1967" s="13" t="s">
        <v>6</v>
      </c>
      <c r="L1967" s="15">
        <v>-538889.31999999995</v>
      </c>
      <c r="M1967" s="15">
        <v>-6419.17</v>
      </c>
      <c r="N1967" s="16" t="str">
        <f>IF(M1967="","",IF(M1967&lt;0,-M1967&amp;"_"&amp;COUNTIF(M$2:M1967,M1967),M1967&amp;"_"&amp;COUNTIF(M$2:M1967,M1967)))</f>
        <v>6419.17_1</v>
      </c>
      <c r="O1967" s="17" t="str">
        <f t="shared" si="30"/>
        <v/>
      </c>
      <c r="P1967" s="13" t="s">
        <v>2977</v>
      </c>
      <c r="Q1967" s="13" t="s">
        <v>2978</v>
      </c>
      <c r="R1967" s="13" t="s">
        <v>0</v>
      </c>
      <c r="S1967" s="13" t="s">
        <v>0</v>
      </c>
      <c r="T1967" s="13" t="s">
        <v>9</v>
      </c>
      <c r="U1967" s="13" t="s">
        <v>0</v>
      </c>
      <c r="V1967" s="13" t="s">
        <v>0</v>
      </c>
      <c r="W1967" s="13" t="s">
        <v>0</v>
      </c>
      <c r="X1967" s="13" t="s">
        <v>0</v>
      </c>
      <c r="Y1967" s="13" t="s">
        <v>10</v>
      </c>
      <c r="Z1967" s="13" t="s">
        <v>0</v>
      </c>
      <c r="AA1967" s="14"/>
      <c r="AB1967" s="13" t="s">
        <v>0</v>
      </c>
      <c r="AC1967" s="13" t="s">
        <v>0</v>
      </c>
      <c r="AD1967" s="13" t="s">
        <v>0</v>
      </c>
      <c r="AE1967" s="15">
        <v>0</v>
      </c>
    </row>
    <row r="1968" spans="1:31" ht="14.15" customHeight="1" x14ac:dyDescent="0.25">
      <c r="A1968" s="12" t="s">
        <v>0</v>
      </c>
      <c r="B1968" s="13" t="s">
        <v>1</v>
      </c>
      <c r="C1968" s="13" t="s">
        <v>2278</v>
      </c>
      <c r="D1968" s="14">
        <v>44218</v>
      </c>
      <c r="E1968" s="14">
        <v>44218</v>
      </c>
      <c r="F1968" s="14">
        <v>44229</v>
      </c>
      <c r="G1968" s="13" t="s">
        <v>3</v>
      </c>
      <c r="H1968" s="13" t="s">
        <v>4</v>
      </c>
      <c r="I1968" s="15">
        <v>-6415.72</v>
      </c>
      <c r="J1968" s="13" t="s">
        <v>5</v>
      </c>
      <c r="K1968" s="13" t="s">
        <v>6</v>
      </c>
      <c r="L1968" s="15">
        <v>-538599.68999999994</v>
      </c>
      <c r="M1968" s="15">
        <v>-6415.72</v>
      </c>
      <c r="N1968" s="16" t="str">
        <f>IF(M1968="","",IF(M1968&lt;0,-M1968&amp;"_"&amp;COUNTIF(M$2:M1968,M1968),M1968&amp;"_"&amp;COUNTIF(M$2:M1968,M1968)))</f>
        <v>6415.72_1</v>
      </c>
      <c r="O1968" s="17" t="str">
        <f t="shared" si="30"/>
        <v/>
      </c>
      <c r="P1968" s="13" t="s">
        <v>2279</v>
      </c>
      <c r="Q1968" s="13" t="s">
        <v>2274</v>
      </c>
      <c r="R1968" s="13" t="s">
        <v>0</v>
      </c>
      <c r="S1968" s="13" t="s">
        <v>0</v>
      </c>
      <c r="T1968" s="13" t="s">
        <v>9</v>
      </c>
      <c r="U1968" s="13" t="s">
        <v>0</v>
      </c>
      <c r="V1968" s="13" t="s">
        <v>0</v>
      </c>
      <c r="W1968" s="13" t="s">
        <v>0</v>
      </c>
      <c r="X1968" s="13" t="s">
        <v>0</v>
      </c>
      <c r="Y1968" s="13" t="s">
        <v>10</v>
      </c>
      <c r="Z1968" s="13" t="s">
        <v>0</v>
      </c>
      <c r="AA1968" s="14"/>
      <c r="AB1968" s="13" t="s">
        <v>0</v>
      </c>
      <c r="AC1968" s="13" t="s">
        <v>0</v>
      </c>
      <c r="AD1968" s="13" t="s">
        <v>0</v>
      </c>
      <c r="AE1968" s="15">
        <v>0</v>
      </c>
    </row>
    <row r="1969" spans="1:31" ht="14.15" customHeight="1" x14ac:dyDescent="0.25">
      <c r="A1969" s="12" t="s">
        <v>0</v>
      </c>
      <c r="B1969" s="13" t="s">
        <v>1</v>
      </c>
      <c r="C1969" s="13" t="s">
        <v>207</v>
      </c>
      <c r="D1969" s="14">
        <v>44036</v>
      </c>
      <c r="E1969" s="14">
        <v>44036</v>
      </c>
      <c r="F1969" s="14">
        <v>44040</v>
      </c>
      <c r="G1969" s="13" t="s">
        <v>3</v>
      </c>
      <c r="H1969" s="13" t="s">
        <v>4</v>
      </c>
      <c r="I1969" s="15">
        <v>-6414.85</v>
      </c>
      <c r="J1969" s="13" t="s">
        <v>5</v>
      </c>
      <c r="K1969" s="13" t="s">
        <v>6</v>
      </c>
      <c r="L1969" s="15">
        <v>-538526.66</v>
      </c>
      <c r="M1969" s="15">
        <v>-6414.85</v>
      </c>
      <c r="N1969" s="16" t="str">
        <f>IF(M1969="","",IF(M1969&lt;0,-M1969&amp;"_"&amp;COUNTIF(M$2:M1969,M1969),M1969&amp;"_"&amp;COUNTIF(M$2:M1969,M1969)))</f>
        <v>6414.85_1</v>
      </c>
      <c r="O1969" s="17" t="str">
        <f t="shared" si="30"/>
        <v/>
      </c>
      <c r="P1969" s="13" t="s">
        <v>208</v>
      </c>
      <c r="Q1969" s="13" t="s">
        <v>206</v>
      </c>
      <c r="R1969" s="13" t="s">
        <v>0</v>
      </c>
      <c r="S1969" s="13" t="s">
        <v>0</v>
      </c>
      <c r="T1969" s="13" t="s">
        <v>9</v>
      </c>
      <c r="U1969" s="13" t="s">
        <v>0</v>
      </c>
      <c r="V1969" s="13" t="s">
        <v>0</v>
      </c>
      <c r="W1969" s="13" t="s">
        <v>0</v>
      </c>
      <c r="X1969" s="13" t="s">
        <v>0</v>
      </c>
      <c r="Y1969" s="13" t="s">
        <v>10</v>
      </c>
      <c r="Z1969" s="13" t="s">
        <v>0</v>
      </c>
      <c r="AA1969" s="14"/>
      <c r="AB1969" s="13" t="s">
        <v>0</v>
      </c>
      <c r="AC1969" s="13" t="s">
        <v>0</v>
      </c>
      <c r="AD1969" s="13" t="s">
        <v>0</v>
      </c>
      <c r="AE1969" s="15">
        <v>0</v>
      </c>
    </row>
    <row r="1970" spans="1:31" ht="14.15" customHeight="1" x14ac:dyDescent="0.25">
      <c r="A1970" s="12" t="s">
        <v>0</v>
      </c>
      <c r="B1970" s="13" t="s">
        <v>1</v>
      </c>
      <c r="C1970" s="13" t="s">
        <v>3070</v>
      </c>
      <c r="D1970" s="14">
        <v>44284</v>
      </c>
      <c r="E1970" s="14">
        <v>44284</v>
      </c>
      <c r="F1970" s="14">
        <v>44291</v>
      </c>
      <c r="G1970" s="13" t="s">
        <v>3</v>
      </c>
      <c r="H1970" s="13" t="s">
        <v>4</v>
      </c>
      <c r="I1970" s="15">
        <v>-6373.09</v>
      </c>
      <c r="J1970" s="13" t="s">
        <v>5</v>
      </c>
      <c r="K1970" s="13" t="s">
        <v>6</v>
      </c>
      <c r="L1970" s="15">
        <v>-535020.91</v>
      </c>
      <c r="M1970" s="15">
        <v>-6373.09</v>
      </c>
      <c r="N1970" s="16" t="str">
        <f>IF(M1970="","",IF(M1970&lt;0,-M1970&amp;"_"&amp;COUNTIF(M$2:M1970,M1970),M1970&amp;"_"&amp;COUNTIF(M$2:M1970,M1970)))</f>
        <v>6373.09_1</v>
      </c>
      <c r="O1970" s="17" t="str">
        <f t="shared" si="30"/>
        <v/>
      </c>
      <c r="P1970" s="13" t="s">
        <v>3071</v>
      </c>
      <c r="Q1970" s="13" t="s">
        <v>3061</v>
      </c>
      <c r="R1970" s="13" t="s">
        <v>0</v>
      </c>
      <c r="S1970" s="13" t="s">
        <v>0</v>
      </c>
      <c r="T1970" s="13" t="s">
        <v>9</v>
      </c>
      <c r="U1970" s="13" t="s">
        <v>0</v>
      </c>
      <c r="V1970" s="13" t="s">
        <v>0</v>
      </c>
      <c r="W1970" s="13" t="s">
        <v>0</v>
      </c>
      <c r="X1970" s="13" t="s">
        <v>0</v>
      </c>
      <c r="Y1970" s="13" t="s">
        <v>10</v>
      </c>
      <c r="Z1970" s="13" t="s">
        <v>0</v>
      </c>
      <c r="AA1970" s="14"/>
      <c r="AB1970" s="13" t="s">
        <v>0</v>
      </c>
      <c r="AC1970" s="13" t="s">
        <v>0</v>
      </c>
      <c r="AD1970" s="13" t="s">
        <v>0</v>
      </c>
      <c r="AE1970" s="15">
        <v>0</v>
      </c>
    </row>
    <row r="1971" spans="1:31" ht="14.15" customHeight="1" x14ac:dyDescent="0.25">
      <c r="A1971" s="12" t="s">
        <v>0</v>
      </c>
      <c r="B1971" s="13" t="s">
        <v>1</v>
      </c>
      <c r="C1971" s="13" t="s">
        <v>2640</v>
      </c>
      <c r="D1971" s="14">
        <v>44248</v>
      </c>
      <c r="E1971" s="14">
        <v>44248</v>
      </c>
      <c r="F1971" s="14">
        <v>44262</v>
      </c>
      <c r="G1971" s="13" t="s">
        <v>3</v>
      </c>
      <c r="H1971" s="13" t="s">
        <v>4</v>
      </c>
      <c r="I1971" s="15">
        <v>-6371.67</v>
      </c>
      <c r="J1971" s="13" t="s">
        <v>5</v>
      </c>
      <c r="K1971" s="13" t="s">
        <v>6</v>
      </c>
      <c r="L1971" s="15">
        <v>-534901.69999999995</v>
      </c>
      <c r="M1971" s="15">
        <v>-6371.67</v>
      </c>
      <c r="N1971" s="16" t="str">
        <f>IF(M1971="","",IF(M1971&lt;0,-M1971&amp;"_"&amp;COUNTIF(M$2:M1971,M1971),M1971&amp;"_"&amp;COUNTIF(M$2:M1971,M1971)))</f>
        <v>6371.67_1</v>
      </c>
      <c r="O1971" s="17" t="str">
        <f t="shared" si="30"/>
        <v/>
      </c>
      <c r="P1971" s="13" t="s">
        <v>2641</v>
      </c>
      <c r="Q1971" s="13" t="s">
        <v>2637</v>
      </c>
      <c r="R1971" s="13" t="s">
        <v>0</v>
      </c>
      <c r="S1971" s="13" t="s">
        <v>0</v>
      </c>
      <c r="T1971" s="13" t="s">
        <v>9</v>
      </c>
      <c r="U1971" s="13" t="s">
        <v>0</v>
      </c>
      <c r="V1971" s="13" t="s">
        <v>0</v>
      </c>
      <c r="W1971" s="13" t="s">
        <v>0</v>
      </c>
      <c r="X1971" s="13" t="s">
        <v>0</v>
      </c>
      <c r="Y1971" s="13" t="s">
        <v>10</v>
      </c>
      <c r="Z1971" s="13" t="s">
        <v>0</v>
      </c>
      <c r="AA1971" s="14"/>
      <c r="AB1971" s="13" t="s">
        <v>0</v>
      </c>
      <c r="AC1971" s="13" t="s">
        <v>0</v>
      </c>
      <c r="AD1971" s="13" t="s">
        <v>0</v>
      </c>
      <c r="AE1971" s="15">
        <v>0</v>
      </c>
    </row>
    <row r="1972" spans="1:31" ht="14.15" customHeight="1" x14ac:dyDescent="0.25">
      <c r="A1972" s="12" t="s">
        <v>0</v>
      </c>
      <c r="B1972" s="13" t="s">
        <v>1</v>
      </c>
      <c r="C1972" s="13" t="s">
        <v>4353</v>
      </c>
      <c r="D1972" s="14">
        <v>44376</v>
      </c>
      <c r="E1972" s="14">
        <v>44376</v>
      </c>
      <c r="F1972" s="14">
        <v>44377</v>
      </c>
      <c r="G1972" s="13" t="s">
        <v>3</v>
      </c>
      <c r="H1972" s="13" t="s">
        <v>4</v>
      </c>
      <c r="I1972" s="15">
        <v>-6365.45</v>
      </c>
      <c r="J1972" s="13" t="s">
        <v>5</v>
      </c>
      <c r="K1972" s="13" t="s">
        <v>6</v>
      </c>
      <c r="L1972" s="15">
        <v>-534379.53</v>
      </c>
      <c r="M1972" s="15">
        <v>-6365.45</v>
      </c>
      <c r="N1972" s="16" t="str">
        <f>IF(M1972="","",IF(M1972&lt;0,-M1972&amp;"_"&amp;COUNTIF(M$2:M1972,M1972),M1972&amp;"_"&amp;COUNTIF(M$2:M1972,M1972)))</f>
        <v>6365.45_1</v>
      </c>
      <c r="O1972" s="17" t="str">
        <f t="shared" si="30"/>
        <v/>
      </c>
      <c r="P1972" s="13" t="s">
        <v>4354</v>
      </c>
      <c r="Q1972" s="13" t="s">
        <v>4350</v>
      </c>
      <c r="R1972" s="13" t="s">
        <v>0</v>
      </c>
      <c r="S1972" s="13" t="s">
        <v>0</v>
      </c>
      <c r="T1972" s="13" t="s">
        <v>9</v>
      </c>
      <c r="U1972" s="13" t="s">
        <v>0</v>
      </c>
      <c r="V1972" s="13" t="s">
        <v>0</v>
      </c>
      <c r="W1972" s="13" t="s">
        <v>0</v>
      </c>
      <c r="X1972" s="13" t="s">
        <v>0</v>
      </c>
      <c r="Y1972" s="13" t="s">
        <v>10</v>
      </c>
      <c r="Z1972" s="13" t="s">
        <v>0</v>
      </c>
      <c r="AA1972" s="14"/>
      <c r="AB1972" s="13" t="s">
        <v>0</v>
      </c>
      <c r="AC1972" s="13" t="s">
        <v>0</v>
      </c>
      <c r="AD1972" s="13" t="s">
        <v>0</v>
      </c>
      <c r="AE1972" s="15">
        <v>0</v>
      </c>
    </row>
    <row r="1973" spans="1:31" ht="14.15" customHeight="1" x14ac:dyDescent="0.25">
      <c r="A1973" s="12" t="s">
        <v>0</v>
      </c>
      <c r="B1973" s="13" t="s">
        <v>1</v>
      </c>
      <c r="C1973" s="13" t="s">
        <v>2410</v>
      </c>
      <c r="D1973" s="14">
        <v>44228</v>
      </c>
      <c r="E1973" s="14">
        <v>44228</v>
      </c>
      <c r="F1973" s="14">
        <v>44238</v>
      </c>
      <c r="G1973" s="13" t="s">
        <v>3</v>
      </c>
      <c r="H1973" s="13" t="s">
        <v>4</v>
      </c>
      <c r="I1973" s="15">
        <v>-6362.53</v>
      </c>
      <c r="J1973" s="13" t="s">
        <v>5</v>
      </c>
      <c r="K1973" s="13" t="s">
        <v>6</v>
      </c>
      <c r="L1973" s="15">
        <v>-534134.4</v>
      </c>
      <c r="M1973" s="15">
        <v>-6362.53</v>
      </c>
      <c r="N1973" s="16" t="str">
        <f>IF(M1973="","",IF(M1973&lt;0,-M1973&amp;"_"&amp;COUNTIF(M$2:M1973,M1973),M1973&amp;"_"&amp;COUNTIF(M$2:M1973,M1973)))</f>
        <v>6362.53_1</v>
      </c>
      <c r="O1973" s="17" t="str">
        <f t="shared" si="30"/>
        <v/>
      </c>
      <c r="P1973" s="13" t="s">
        <v>2411</v>
      </c>
      <c r="Q1973" s="13" t="s">
        <v>2412</v>
      </c>
      <c r="R1973" s="13" t="s">
        <v>0</v>
      </c>
      <c r="S1973" s="13" t="s">
        <v>0</v>
      </c>
      <c r="T1973" s="13" t="s">
        <v>9</v>
      </c>
      <c r="U1973" s="13" t="s">
        <v>0</v>
      </c>
      <c r="V1973" s="13" t="s">
        <v>0</v>
      </c>
      <c r="W1973" s="13" t="s">
        <v>0</v>
      </c>
      <c r="X1973" s="13" t="s">
        <v>0</v>
      </c>
      <c r="Y1973" s="13" t="s">
        <v>10</v>
      </c>
      <c r="Z1973" s="13" t="s">
        <v>0</v>
      </c>
      <c r="AA1973" s="14"/>
      <c r="AB1973" s="13" t="s">
        <v>0</v>
      </c>
      <c r="AC1973" s="13" t="s">
        <v>0</v>
      </c>
      <c r="AD1973" s="13" t="s">
        <v>0</v>
      </c>
      <c r="AE1973" s="15">
        <v>0</v>
      </c>
    </row>
    <row r="1974" spans="1:31" ht="14.15" customHeight="1" x14ac:dyDescent="0.25">
      <c r="A1974" s="12" t="s">
        <v>0</v>
      </c>
      <c r="B1974" s="13" t="s">
        <v>1</v>
      </c>
      <c r="C1974" s="13" t="s">
        <v>1361</v>
      </c>
      <c r="D1974" s="14">
        <v>44151</v>
      </c>
      <c r="E1974" s="14">
        <v>44151</v>
      </c>
      <c r="F1974" s="14">
        <v>44151</v>
      </c>
      <c r="G1974" s="13" t="s">
        <v>3</v>
      </c>
      <c r="H1974" s="13" t="s">
        <v>4</v>
      </c>
      <c r="I1974" s="15">
        <v>-6357.19</v>
      </c>
      <c r="J1974" s="13" t="s">
        <v>5</v>
      </c>
      <c r="K1974" s="13" t="s">
        <v>6</v>
      </c>
      <c r="L1974" s="15">
        <v>-533686.1</v>
      </c>
      <c r="M1974" s="15">
        <v>-6357.19</v>
      </c>
      <c r="N1974" s="16" t="str">
        <f>IF(M1974="","",IF(M1974&lt;0,-M1974&amp;"_"&amp;COUNTIF(M$2:M1974,M1974),M1974&amp;"_"&amp;COUNTIF(M$2:M1974,M1974)))</f>
        <v>6357.19_1</v>
      </c>
      <c r="O1974" s="17" t="str">
        <f t="shared" si="30"/>
        <v/>
      </c>
      <c r="P1974" s="13" t="s">
        <v>1362</v>
      </c>
      <c r="Q1974" s="13" t="s">
        <v>1363</v>
      </c>
      <c r="R1974" s="13" t="s">
        <v>0</v>
      </c>
      <c r="S1974" s="13" t="s">
        <v>0</v>
      </c>
      <c r="T1974" s="13" t="s">
        <v>9</v>
      </c>
      <c r="U1974" s="13" t="s">
        <v>0</v>
      </c>
      <c r="V1974" s="13" t="s">
        <v>0</v>
      </c>
      <c r="W1974" s="13" t="s">
        <v>0</v>
      </c>
      <c r="X1974" s="13" t="s">
        <v>0</v>
      </c>
      <c r="Y1974" s="13" t="s">
        <v>10</v>
      </c>
      <c r="Z1974" s="13" t="s">
        <v>0</v>
      </c>
      <c r="AA1974" s="14"/>
      <c r="AB1974" s="13" t="s">
        <v>0</v>
      </c>
      <c r="AC1974" s="13" t="s">
        <v>0</v>
      </c>
      <c r="AD1974" s="13" t="s">
        <v>0</v>
      </c>
      <c r="AE1974" s="15">
        <v>0</v>
      </c>
    </row>
    <row r="1975" spans="1:31" ht="14.15" customHeight="1" x14ac:dyDescent="0.25">
      <c r="A1975" s="12" t="s">
        <v>0</v>
      </c>
      <c r="B1975" s="13" t="s">
        <v>1</v>
      </c>
      <c r="C1975" s="13" t="s">
        <v>4071</v>
      </c>
      <c r="D1975" s="14">
        <v>44360</v>
      </c>
      <c r="E1975" s="14">
        <v>44360</v>
      </c>
      <c r="F1975" s="14">
        <v>44384</v>
      </c>
      <c r="G1975" s="13" t="s">
        <v>3</v>
      </c>
      <c r="H1975" s="13" t="s">
        <v>4</v>
      </c>
      <c r="I1975" s="15">
        <v>-6352.47</v>
      </c>
      <c r="J1975" s="13" t="s">
        <v>5</v>
      </c>
      <c r="K1975" s="13" t="s">
        <v>6</v>
      </c>
      <c r="L1975" s="15">
        <v>-533289.86</v>
      </c>
      <c r="M1975" s="15">
        <v>-6352.47</v>
      </c>
      <c r="N1975" s="16" t="str">
        <f>IF(M1975="","",IF(M1975&lt;0,-M1975&amp;"_"&amp;COUNTIF(M$2:M1975,M1975),M1975&amp;"_"&amp;COUNTIF(M$2:M1975,M1975)))</f>
        <v>6352.47_1</v>
      </c>
      <c r="O1975" s="17" t="str">
        <f t="shared" si="30"/>
        <v/>
      </c>
      <c r="P1975" s="13" t="s">
        <v>4072</v>
      </c>
      <c r="Q1975" s="13" t="s">
        <v>4062</v>
      </c>
      <c r="R1975" s="13" t="s">
        <v>0</v>
      </c>
      <c r="S1975" s="13" t="s">
        <v>0</v>
      </c>
      <c r="T1975" s="13" t="s">
        <v>9</v>
      </c>
      <c r="U1975" s="13" t="s">
        <v>0</v>
      </c>
      <c r="V1975" s="13" t="s">
        <v>0</v>
      </c>
      <c r="W1975" s="13" t="s">
        <v>0</v>
      </c>
      <c r="X1975" s="13" t="s">
        <v>0</v>
      </c>
      <c r="Y1975" s="13" t="s">
        <v>10</v>
      </c>
      <c r="Z1975" s="13" t="s">
        <v>0</v>
      </c>
      <c r="AA1975" s="14"/>
      <c r="AB1975" s="13" t="s">
        <v>0</v>
      </c>
      <c r="AC1975" s="13" t="s">
        <v>0</v>
      </c>
      <c r="AD1975" s="13" t="s">
        <v>0</v>
      </c>
      <c r="AE1975" s="15">
        <v>0</v>
      </c>
    </row>
    <row r="1976" spans="1:31" ht="14.15" customHeight="1" x14ac:dyDescent="0.25">
      <c r="A1976" s="12" t="s">
        <v>0</v>
      </c>
      <c r="B1976" s="13" t="s">
        <v>1</v>
      </c>
      <c r="C1976" s="13" t="s">
        <v>1941</v>
      </c>
      <c r="D1976" s="14">
        <v>44192</v>
      </c>
      <c r="E1976" s="14">
        <v>44192</v>
      </c>
      <c r="F1976" s="14">
        <v>44198</v>
      </c>
      <c r="G1976" s="13" t="s">
        <v>3</v>
      </c>
      <c r="H1976" s="13" t="s">
        <v>4</v>
      </c>
      <c r="I1976" s="15">
        <v>-6343.19</v>
      </c>
      <c r="J1976" s="13" t="s">
        <v>5</v>
      </c>
      <c r="K1976" s="13" t="s">
        <v>6</v>
      </c>
      <c r="L1976" s="15">
        <v>-532510.80000000005</v>
      </c>
      <c r="M1976" s="15">
        <v>-6343.19</v>
      </c>
      <c r="N1976" s="16" t="str">
        <f>IF(M1976="","",IF(M1976&lt;0,-M1976&amp;"_"&amp;COUNTIF(M$2:M1976,M1976),M1976&amp;"_"&amp;COUNTIF(M$2:M1976,M1976)))</f>
        <v>6343.19_1</v>
      </c>
      <c r="O1976" s="17" t="str">
        <f t="shared" si="30"/>
        <v/>
      </c>
      <c r="P1976" s="13" t="s">
        <v>1942</v>
      </c>
      <c r="Q1976" s="13" t="s">
        <v>1932</v>
      </c>
      <c r="R1976" s="13" t="s">
        <v>0</v>
      </c>
      <c r="S1976" s="13" t="s">
        <v>0</v>
      </c>
      <c r="T1976" s="13" t="s">
        <v>9</v>
      </c>
      <c r="U1976" s="13" t="s">
        <v>0</v>
      </c>
      <c r="V1976" s="13" t="s">
        <v>0</v>
      </c>
      <c r="W1976" s="13" t="s">
        <v>0</v>
      </c>
      <c r="X1976" s="13" t="s">
        <v>0</v>
      </c>
      <c r="Y1976" s="13" t="s">
        <v>10</v>
      </c>
      <c r="Z1976" s="13" t="s">
        <v>0</v>
      </c>
      <c r="AA1976" s="14"/>
      <c r="AB1976" s="13" t="s">
        <v>0</v>
      </c>
      <c r="AC1976" s="13" t="s">
        <v>0</v>
      </c>
      <c r="AD1976" s="13" t="s">
        <v>0</v>
      </c>
      <c r="AE1976" s="15">
        <v>0</v>
      </c>
    </row>
    <row r="1977" spans="1:31" ht="14.15" customHeight="1" x14ac:dyDescent="0.25">
      <c r="A1977" s="12" t="s">
        <v>0</v>
      </c>
      <c r="B1977" s="13" t="s">
        <v>1</v>
      </c>
      <c r="C1977" s="13" t="s">
        <v>2216</v>
      </c>
      <c r="D1977" s="14">
        <v>44213</v>
      </c>
      <c r="E1977" s="14">
        <v>44213</v>
      </c>
      <c r="F1977" s="14">
        <v>44219</v>
      </c>
      <c r="G1977" s="13" t="s">
        <v>3</v>
      </c>
      <c r="H1977" s="13" t="s">
        <v>4</v>
      </c>
      <c r="I1977" s="15">
        <v>-6338.8</v>
      </c>
      <c r="J1977" s="13" t="s">
        <v>5</v>
      </c>
      <c r="K1977" s="13" t="s">
        <v>6</v>
      </c>
      <c r="L1977" s="15">
        <v>-532142.26</v>
      </c>
      <c r="M1977" s="15">
        <v>-6338.8</v>
      </c>
      <c r="N1977" s="16" t="str">
        <f>IF(M1977="","",IF(M1977&lt;0,-M1977&amp;"_"&amp;COUNTIF(M$2:M1977,M1977),M1977&amp;"_"&amp;COUNTIF(M$2:M1977,M1977)))</f>
        <v>6338.8_1</v>
      </c>
      <c r="O1977" s="17" t="str">
        <f t="shared" si="30"/>
        <v/>
      </c>
      <c r="P1977" s="13" t="s">
        <v>2217</v>
      </c>
      <c r="Q1977" s="13" t="s">
        <v>2211</v>
      </c>
      <c r="R1977" s="13" t="s">
        <v>0</v>
      </c>
      <c r="S1977" s="13" t="s">
        <v>0</v>
      </c>
      <c r="T1977" s="13" t="s">
        <v>9</v>
      </c>
      <c r="U1977" s="13" t="s">
        <v>0</v>
      </c>
      <c r="V1977" s="13" t="s">
        <v>0</v>
      </c>
      <c r="W1977" s="13" t="s">
        <v>0</v>
      </c>
      <c r="X1977" s="13" t="s">
        <v>0</v>
      </c>
      <c r="Y1977" s="13" t="s">
        <v>10</v>
      </c>
      <c r="Z1977" s="13" t="s">
        <v>0</v>
      </c>
      <c r="AA1977" s="14"/>
      <c r="AB1977" s="13" t="s">
        <v>0</v>
      </c>
      <c r="AC1977" s="13" t="s">
        <v>0</v>
      </c>
      <c r="AD1977" s="13" t="s">
        <v>0</v>
      </c>
      <c r="AE1977" s="15">
        <v>0</v>
      </c>
    </row>
    <row r="1978" spans="1:31" ht="14.15" customHeight="1" x14ac:dyDescent="0.25">
      <c r="A1978" s="12" t="s">
        <v>0</v>
      </c>
      <c r="B1978" s="13" t="s">
        <v>1</v>
      </c>
      <c r="C1978" s="13" t="s">
        <v>901</v>
      </c>
      <c r="D1978" s="14">
        <v>44114</v>
      </c>
      <c r="E1978" s="14">
        <v>44114</v>
      </c>
      <c r="F1978" s="14">
        <v>44126</v>
      </c>
      <c r="G1978" s="13" t="s">
        <v>3</v>
      </c>
      <c r="H1978" s="13" t="s">
        <v>4</v>
      </c>
      <c r="I1978" s="15">
        <v>-6330.6</v>
      </c>
      <c r="J1978" s="13" t="s">
        <v>5</v>
      </c>
      <c r="K1978" s="13" t="s">
        <v>6</v>
      </c>
      <c r="L1978" s="15">
        <v>-531453.87</v>
      </c>
      <c r="M1978" s="15">
        <v>-6330.6</v>
      </c>
      <c r="N1978" s="16" t="str">
        <f>IF(M1978="","",IF(M1978&lt;0,-M1978&amp;"_"&amp;COUNTIF(M$2:M1978,M1978),M1978&amp;"_"&amp;COUNTIF(M$2:M1978,M1978)))</f>
        <v>6330.6_1</v>
      </c>
      <c r="O1978" s="17" t="str">
        <f t="shared" si="30"/>
        <v/>
      </c>
      <c r="P1978" s="13" t="s">
        <v>902</v>
      </c>
      <c r="Q1978" s="13" t="s">
        <v>900</v>
      </c>
      <c r="R1978" s="13" t="s">
        <v>0</v>
      </c>
      <c r="S1978" s="13" t="s">
        <v>0</v>
      </c>
      <c r="T1978" s="13" t="s">
        <v>9</v>
      </c>
      <c r="U1978" s="13" t="s">
        <v>0</v>
      </c>
      <c r="V1978" s="13" t="s">
        <v>0</v>
      </c>
      <c r="W1978" s="13" t="s">
        <v>0</v>
      </c>
      <c r="X1978" s="13" t="s">
        <v>0</v>
      </c>
      <c r="Y1978" s="13" t="s">
        <v>10</v>
      </c>
      <c r="Z1978" s="13" t="s">
        <v>0</v>
      </c>
      <c r="AA1978" s="14"/>
      <c r="AB1978" s="13" t="s">
        <v>0</v>
      </c>
      <c r="AC1978" s="13" t="s">
        <v>0</v>
      </c>
      <c r="AD1978" s="13" t="s">
        <v>0</v>
      </c>
      <c r="AE1978" s="15">
        <v>0</v>
      </c>
    </row>
    <row r="1979" spans="1:31" ht="14.15" customHeight="1" x14ac:dyDescent="0.25">
      <c r="A1979" s="12" t="s">
        <v>0</v>
      </c>
      <c r="B1979" s="13" t="s">
        <v>1</v>
      </c>
      <c r="C1979" s="13" t="s">
        <v>3031</v>
      </c>
      <c r="D1979" s="14">
        <v>44281</v>
      </c>
      <c r="E1979" s="14">
        <v>44281</v>
      </c>
      <c r="F1979" s="14">
        <v>44290</v>
      </c>
      <c r="G1979" s="13" t="s">
        <v>3</v>
      </c>
      <c r="H1979" s="13" t="s">
        <v>4</v>
      </c>
      <c r="I1979" s="15">
        <v>-6321.64</v>
      </c>
      <c r="J1979" s="13" t="s">
        <v>5</v>
      </c>
      <c r="K1979" s="13" t="s">
        <v>6</v>
      </c>
      <c r="L1979" s="15">
        <v>-530701.67000000004</v>
      </c>
      <c r="M1979" s="15">
        <v>-6321.64</v>
      </c>
      <c r="N1979" s="16" t="str">
        <f>IF(M1979="","",IF(M1979&lt;0,-M1979&amp;"_"&amp;COUNTIF(M$2:M1979,M1979),M1979&amp;"_"&amp;COUNTIF(M$2:M1979,M1979)))</f>
        <v>6321.64_1</v>
      </c>
      <c r="O1979" s="17" t="str">
        <f t="shared" si="30"/>
        <v/>
      </c>
      <c r="P1979" s="13" t="s">
        <v>3032</v>
      </c>
      <c r="Q1979" s="13" t="s">
        <v>3014</v>
      </c>
      <c r="R1979" s="13" t="s">
        <v>0</v>
      </c>
      <c r="S1979" s="13" t="s">
        <v>0</v>
      </c>
      <c r="T1979" s="13" t="s">
        <v>9</v>
      </c>
      <c r="U1979" s="13" t="s">
        <v>0</v>
      </c>
      <c r="V1979" s="13" t="s">
        <v>0</v>
      </c>
      <c r="W1979" s="13" t="s">
        <v>0</v>
      </c>
      <c r="X1979" s="13" t="s">
        <v>0</v>
      </c>
      <c r="Y1979" s="13" t="s">
        <v>10</v>
      </c>
      <c r="Z1979" s="13" t="s">
        <v>0</v>
      </c>
      <c r="AA1979" s="14"/>
      <c r="AB1979" s="13" t="s">
        <v>0</v>
      </c>
      <c r="AC1979" s="13" t="s">
        <v>0</v>
      </c>
      <c r="AD1979" s="13" t="s">
        <v>0</v>
      </c>
      <c r="AE1979" s="15">
        <v>0</v>
      </c>
    </row>
    <row r="1980" spans="1:31" ht="14.15" customHeight="1" x14ac:dyDescent="0.25">
      <c r="A1980" s="12" t="s">
        <v>0</v>
      </c>
      <c r="B1980" s="13" t="s">
        <v>1</v>
      </c>
      <c r="C1980" s="13" t="s">
        <v>3887</v>
      </c>
      <c r="D1980" s="14">
        <v>44353</v>
      </c>
      <c r="E1980" s="14">
        <v>44353</v>
      </c>
      <c r="F1980" s="14">
        <v>44356</v>
      </c>
      <c r="G1980" s="13" t="s">
        <v>3</v>
      </c>
      <c r="H1980" s="13" t="s">
        <v>4</v>
      </c>
      <c r="I1980" s="15">
        <v>-6312.17</v>
      </c>
      <c r="J1980" s="13" t="s">
        <v>5</v>
      </c>
      <c r="K1980" s="13" t="s">
        <v>6</v>
      </c>
      <c r="L1980" s="15">
        <v>-529906.67000000004</v>
      </c>
      <c r="M1980" s="15">
        <v>-6312.17</v>
      </c>
      <c r="N1980" s="16" t="str">
        <f>IF(M1980="","",IF(M1980&lt;0,-M1980&amp;"_"&amp;COUNTIF(M$2:M1980,M1980),M1980&amp;"_"&amp;COUNTIF(M$2:M1980,M1980)))</f>
        <v>6312.17_1</v>
      </c>
      <c r="O1980" s="17" t="str">
        <f t="shared" si="30"/>
        <v/>
      </c>
      <c r="P1980" s="13" t="s">
        <v>3888</v>
      </c>
      <c r="Q1980" s="13" t="s">
        <v>3886</v>
      </c>
      <c r="R1980" s="13" t="s">
        <v>0</v>
      </c>
      <c r="S1980" s="13" t="s">
        <v>0</v>
      </c>
      <c r="T1980" s="13" t="s">
        <v>9</v>
      </c>
      <c r="U1980" s="13" t="s">
        <v>0</v>
      </c>
      <c r="V1980" s="13" t="s">
        <v>0</v>
      </c>
      <c r="W1980" s="13" t="s">
        <v>0</v>
      </c>
      <c r="X1980" s="13" t="s">
        <v>0</v>
      </c>
      <c r="Y1980" s="13" t="s">
        <v>10</v>
      </c>
      <c r="Z1980" s="13" t="s">
        <v>0</v>
      </c>
      <c r="AA1980" s="14"/>
      <c r="AB1980" s="13" t="s">
        <v>0</v>
      </c>
      <c r="AC1980" s="13" t="s">
        <v>0</v>
      </c>
      <c r="AD1980" s="13" t="s">
        <v>0</v>
      </c>
      <c r="AE1980" s="15">
        <v>0</v>
      </c>
    </row>
    <row r="1981" spans="1:31" ht="14.15" customHeight="1" x14ac:dyDescent="0.25">
      <c r="A1981" s="12" t="s">
        <v>0</v>
      </c>
      <c r="B1981" s="13" t="s">
        <v>1</v>
      </c>
      <c r="C1981" s="13" t="s">
        <v>614</v>
      </c>
      <c r="D1981" s="14">
        <v>44082</v>
      </c>
      <c r="E1981" s="14">
        <v>44082</v>
      </c>
      <c r="F1981" s="14">
        <v>44086</v>
      </c>
      <c r="G1981" s="13" t="s">
        <v>3</v>
      </c>
      <c r="H1981" s="13" t="s">
        <v>4</v>
      </c>
      <c r="I1981" s="15">
        <v>-6294.72</v>
      </c>
      <c r="J1981" s="13" t="s">
        <v>5</v>
      </c>
      <c r="K1981" s="13" t="s">
        <v>6</v>
      </c>
      <c r="L1981" s="15">
        <v>-528441.74</v>
      </c>
      <c r="M1981" s="15">
        <v>-6294.72</v>
      </c>
      <c r="N1981" s="16" t="str">
        <f>IF(M1981="","",IF(M1981&lt;0,-M1981&amp;"_"&amp;COUNTIF(M$2:M1981,M1981),M1981&amp;"_"&amp;COUNTIF(M$2:M1981,M1981)))</f>
        <v>6294.72_1</v>
      </c>
      <c r="O1981" s="17" t="str">
        <f t="shared" si="30"/>
        <v/>
      </c>
      <c r="P1981" s="13" t="s">
        <v>615</v>
      </c>
      <c r="Q1981" s="13" t="s">
        <v>603</v>
      </c>
      <c r="R1981" s="13" t="s">
        <v>0</v>
      </c>
      <c r="S1981" s="13" t="s">
        <v>0</v>
      </c>
      <c r="T1981" s="13" t="s">
        <v>9</v>
      </c>
      <c r="U1981" s="13" t="s">
        <v>0</v>
      </c>
      <c r="V1981" s="13" t="s">
        <v>0</v>
      </c>
      <c r="W1981" s="13" t="s">
        <v>0</v>
      </c>
      <c r="X1981" s="13" t="s">
        <v>0</v>
      </c>
      <c r="Y1981" s="13" t="s">
        <v>10</v>
      </c>
      <c r="Z1981" s="13" t="s">
        <v>0</v>
      </c>
      <c r="AA1981" s="14"/>
      <c r="AB1981" s="13" t="s">
        <v>0</v>
      </c>
      <c r="AC1981" s="13" t="s">
        <v>0</v>
      </c>
      <c r="AD1981" s="13" t="s">
        <v>0</v>
      </c>
      <c r="AE1981" s="15">
        <v>0</v>
      </c>
    </row>
    <row r="1982" spans="1:31" ht="14.15" customHeight="1" x14ac:dyDescent="0.25">
      <c r="A1982" s="12" t="s">
        <v>0</v>
      </c>
      <c r="B1982" s="13" t="s">
        <v>1</v>
      </c>
      <c r="C1982" s="13" t="s">
        <v>1884</v>
      </c>
      <c r="D1982" s="14">
        <v>44189</v>
      </c>
      <c r="E1982" s="14">
        <v>44189</v>
      </c>
      <c r="F1982" s="14">
        <v>44194</v>
      </c>
      <c r="G1982" s="13" t="s">
        <v>3</v>
      </c>
      <c r="H1982" s="13" t="s">
        <v>4</v>
      </c>
      <c r="I1982" s="15">
        <v>-6268.07</v>
      </c>
      <c r="J1982" s="13" t="s">
        <v>5</v>
      </c>
      <c r="K1982" s="13" t="s">
        <v>6</v>
      </c>
      <c r="L1982" s="15">
        <v>-526204.48</v>
      </c>
      <c r="M1982" s="15">
        <v>-6268.07</v>
      </c>
      <c r="N1982" s="16" t="str">
        <f>IF(M1982="","",IF(M1982&lt;0,-M1982&amp;"_"&amp;COUNTIF(M$2:M1982,M1982),M1982&amp;"_"&amp;COUNTIF(M$2:M1982,M1982)))</f>
        <v>6268.07_1</v>
      </c>
      <c r="O1982" s="17" t="str">
        <f t="shared" si="30"/>
        <v/>
      </c>
      <c r="P1982" s="13" t="s">
        <v>1885</v>
      </c>
      <c r="Q1982" s="13" t="s">
        <v>1886</v>
      </c>
      <c r="R1982" s="13" t="s">
        <v>0</v>
      </c>
      <c r="S1982" s="13" t="s">
        <v>0</v>
      </c>
      <c r="T1982" s="13" t="s">
        <v>9</v>
      </c>
      <c r="U1982" s="13" t="s">
        <v>0</v>
      </c>
      <c r="V1982" s="13" t="s">
        <v>0</v>
      </c>
      <c r="W1982" s="13" t="s">
        <v>0</v>
      </c>
      <c r="X1982" s="13" t="s">
        <v>0</v>
      </c>
      <c r="Y1982" s="13" t="s">
        <v>10</v>
      </c>
      <c r="Z1982" s="13" t="s">
        <v>0</v>
      </c>
      <c r="AA1982" s="14"/>
      <c r="AB1982" s="13" t="s">
        <v>0</v>
      </c>
      <c r="AC1982" s="13" t="s">
        <v>0</v>
      </c>
      <c r="AD1982" s="13" t="s">
        <v>0</v>
      </c>
      <c r="AE1982" s="15">
        <v>0</v>
      </c>
    </row>
    <row r="1983" spans="1:31" ht="14.15" customHeight="1" x14ac:dyDescent="0.25">
      <c r="A1983" s="12" t="s">
        <v>0</v>
      </c>
      <c r="B1983" s="13" t="s">
        <v>1</v>
      </c>
      <c r="C1983" s="13" t="s">
        <v>3168</v>
      </c>
      <c r="D1983" s="14">
        <v>44299</v>
      </c>
      <c r="E1983" s="14">
        <v>44299</v>
      </c>
      <c r="F1983" s="14">
        <v>44306</v>
      </c>
      <c r="G1983" s="13" t="s">
        <v>3</v>
      </c>
      <c r="H1983" s="13" t="s">
        <v>4</v>
      </c>
      <c r="I1983" s="15">
        <v>-6260.85</v>
      </c>
      <c r="J1983" s="13" t="s">
        <v>5</v>
      </c>
      <c r="K1983" s="13" t="s">
        <v>6</v>
      </c>
      <c r="L1983" s="15">
        <v>-525598.35</v>
      </c>
      <c r="M1983" s="15">
        <v>-6260.85</v>
      </c>
      <c r="N1983" s="16" t="str">
        <f>IF(M1983="","",IF(M1983&lt;0,-M1983&amp;"_"&amp;COUNTIF(M$2:M1983,M1983),M1983&amp;"_"&amp;COUNTIF(M$2:M1983,M1983)))</f>
        <v>6260.85_1</v>
      </c>
      <c r="O1983" s="17" t="str">
        <f t="shared" si="30"/>
        <v/>
      </c>
      <c r="P1983" s="13" t="s">
        <v>3169</v>
      </c>
      <c r="Q1983" s="13" t="s">
        <v>3170</v>
      </c>
      <c r="R1983" s="13" t="s">
        <v>0</v>
      </c>
      <c r="S1983" s="13" t="s">
        <v>0</v>
      </c>
      <c r="T1983" s="13" t="s">
        <v>9</v>
      </c>
      <c r="U1983" s="13" t="s">
        <v>0</v>
      </c>
      <c r="V1983" s="13" t="s">
        <v>0</v>
      </c>
      <c r="W1983" s="13" t="s">
        <v>0</v>
      </c>
      <c r="X1983" s="13" t="s">
        <v>0</v>
      </c>
      <c r="Y1983" s="13" t="s">
        <v>10</v>
      </c>
      <c r="Z1983" s="13" t="s">
        <v>0</v>
      </c>
      <c r="AA1983" s="14"/>
      <c r="AB1983" s="13" t="s">
        <v>0</v>
      </c>
      <c r="AC1983" s="13" t="s">
        <v>0</v>
      </c>
      <c r="AD1983" s="13" t="s">
        <v>0</v>
      </c>
      <c r="AE1983" s="15">
        <v>0</v>
      </c>
    </row>
    <row r="1984" spans="1:31" ht="14.15" customHeight="1" x14ac:dyDescent="0.25">
      <c r="A1984" s="12" t="s">
        <v>0</v>
      </c>
      <c r="B1984" s="13" t="s">
        <v>1</v>
      </c>
      <c r="C1984" s="13" t="s">
        <v>778</v>
      </c>
      <c r="D1984" s="14">
        <v>44100</v>
      </c>
      <c r="E1984" s="14">
        <v>44100</v>
      </c>
      <c r="F1984" s="14">
        <v>44104</v>
      </c>
      <c r="G1984" s="13" t="s">
        <v>3</v>
      </c>
      <c r="H1984" s="13" t="s">
        <v>4</v>
      </c>
      <c r="I1984" s="15">
        <v>-6248.66</v>
      </c>
      <c r="J1984" s="13" t="s">
        <v>5</v>
      </c>
      <c r="K1984" s="13" t="s">
        <v>6</v>
      </c>
      <c r="L1984" s="15">
        <v>-524575.01</v>
      </c>
      <c r="M1984" s="15">
        <v>-6248.66</v>
      </c>
      <c r="N1984" s="16" t="str">
        <f>IF(M1984="","",IF(M1984&lt;0,-M1984&amp;"_"&amp;COUNTIF(M$2:M1984,M1984),M1984&amp;"_"&amp;COUNTIF(M$2:M1984,M1984)))</f>
        <v>6248.66_1</v>
      </c>
      <c r="O1984" s="17" t="str">
        <f t="shared" si="30"/>
        <v/>
      </c>
      <c r="P1984" s="13" t="s">
        <v>779</v>
      </c>
      <c r="Q1984" s="13" t="s">
        <v>775</v>
      </c>
      <c r="R1984" s="13" t="s">
        <v>0</v>
      </c>
      <c r="S1984" s="13" t="s">
        <v>0</v>
      </c>
      <c r="T1984" s="13" t="s">
        <v>9</v>
      </c>
      <c r="U1984" s="13" t="s">
        <v>0</v>
      </c>
      <c r="V1984" s="13" t="s">
        <v>0</v>
      </c>
      <c r="W1984" s="13" t="s">
        <v>0</v>
      </c>
      <c r="X1984" s="13" t="s">
        <v>0</v>
      </c>
      <c r="Y1984" s="13" t="s">
        <v>10</v>
      </c>
      <c r="Z1984" s="13" t="s">
        <v>0</v>
      </c>
      <c r="AA1984" s="14"/>
      <c r="AB1984" s="13" t="s">
        <v>0</v>
      </c>
      <c r="AC1984" s="13" t="s">
        <v>0</v>
      </c>
      <c r="AD1984" s="13" t="s">
        <v>0</v>
      </c>
      <c r="AE1984" s="15">
        <v>0</v>
      </c>
    </row>
    <row r="1985" spans="1:31" ht="14.15" customHeight="1" x14ac:dyDescent="0.25">
      <c r="A1985" s="12" t="s">
        <v>0</v>
      </c>
      <c r="B1985" s="13" t="s">
        <v>1</v>
      </c>
      <c r="C1985" s="13" t="s">
        <v>4367</v>
      </c>
      <c r="D1985" s="14">
        <v>44376</v>
      </c>
      <c r="E1985" s="14">
        <v>44376</v>
      </c>
      <c r="F1985" s="14">
        <v>44384</v>
      </c>
      <c r="G1985" s="13" t="s">
        <v>3</v>
      </c>
      <c r="H1985" s="13" t="s">
        <v>4</v>
      </c>
      <c r="I1985" s="15">
        <v>-6247.18</v>
      </c>
      <c r="J1985" s="13" t="s">
        <v>5</v>
      </c>
      <c r="K1985" s="13" t="s">
        <v>6</v>
      </c>
      <c r="L1985" s="15">
        <v>-524450.76</v>
      </c>
      <c r="M1985" s="15">
        <v>-6247.18</v>
      </c>
      <c r="N1985" s="16" t="str">
        <f>IF(M1985="","",IF(M1985&lt;0,-M1985&amp;"_"&amp;COUNTIF(M$2:M1985,M1985),M1985&amp;"_"&amp;COUNTIF(M$2:M1985,M1985)))</f>
        <v>6247.18_1</v>
      </c>
      <c r="O1985" s="17" t="str">
        <f t="shared" si="30"/>
        <v/>
      </c>
      <c r="P1985" s="13" t="s">
        <v>4368</v>
      </c>
      <c r="Q1985" s="13" t="s">
        <v>4350</v>
      </c>
      <c r="R1985" s="13" t="s">
        <v>0</v>
      </c>
      <c r="S1985" s="13" t="s">
        <v>0</v>
      </c>
      <c r="T1985" s="13" t="s">
        <v>9</v>
      </c>
      <c r="U1985" s="13" t="s">
        <v>0</v>
      </c>
      <c r="V1985" s="13" t="s">
        <v>0</v>
      </c>
      <c r="W1985" s="13" t="s">
        <v>0</v>
      </c>
      <c r="X1985" s="13" t="s">
        <v>0</v>
      </c>
      <c r="Y1985" s="13" t="s">
        <v>10</v>
      </c>
      <c r="Z1985" s="13" t="s">
        <v>0</v>
      </c>
      <c r="AA1985" s="14"/>
      <c r="AB1985" s="13" t="s">
        <v>0</v>
      </c>
      <c r="AC1985" s="13" t="s">
        <v>0</v>
      </c>
      <c r="AD1985" s="13" t="s">
        <v>0</v>
      </c>
      <c r="AE1985" s="15">
        <v>0</v>
      </c>
    </row>
    <row r="1986" spans="1:31" ht="14.15" customHeight="1" x14ac:dyDescent="0.25">
      <c r="A1986" s="12" t="s">
        <v>0</v>
      </c>
      <c r="B1986" s="13" t="s">
        <v>1</v>
      </c>
      <c r="C1986" s="13" t="s">
        <v>1884</v>
      </c>
      <c r="D1986" s="14">
        <v>44189</v>
      </c>
      <c r="E1986" s="14">
        <v>44189</v>
      </c>
      <c r="F1986" s="14">
        <v>44194</v>
      </c>
      <c r="G1986" s="13" t="s">
        <v>3</v>
      </c>
      <c r="H1986" s="13" t="s">
        <v>4</v>
      </c>
      <c r="I1986" s="15">
        <v>-6240.17</v>
      </c>
      <c r="J1986" s="13" t="s">
        <v>5</v>
      </c>
      <c r="K1986" s="13" t="s">
        <v>6</v>
      </c>
      <c r="L1986" s="15">
        <v>-523862.27</v>
      </c>
      <c r="M1986" s="15">
        <v>-6240.17</v>
      </c>
      <c r="N1986" s="16" t="str">
        <f>IF(M1986="","",IF(M1986&lt;0,-M1986&amp;"_"&amp;COUNTIF(M$2:M1986,M1986),M1986&amp;"_"&amp;COUNTIF(M$2:M1986,M1986)))</f>
        <v>6240.17_1</v>
      </c>
      <c r="O1986" s="17" t="str">
        <f t="shared" ref="O1986:O2049" si="31">IF(COUNTIF(N:N,N1986)=2,"x","")</f>
        <v/>
      </c>
      <c r="P1986" s="13" t="s">
        <v>1885</v>
      </c>
      <c r="Q1986" s="13" t="s">
        <v>1886</v>
      </c>
      <c r="R1986" s="13" t="s">
        <v>0</v>
      </c>
      <c r="S1986" s="13" t="s">
        <v>0</v>
      </c>
      <c r="T1986" s="13" t="s">
        <v>9</v>
      </c>
      <c r="U1986" s="13" t="s">
        <v>0</v>
      </c>
      <c r="V1986" s="13" t="s">
        <v>0</v>
      </c>
      <c r="W1986" s="13" t="s">
        <v>0</v>
      </c>
      <c r="X1986" s="13" t="s">
        <v>0</v>
      </c>
      <c r="Y1986" s="13" t="s">
        <v>10</v>
      </c>
      <c r="Z1986" s="13" t="s">
        <v>0</v>
      </c>
      <c r="AA1986" s="14"/>
      <c r="AB1986" s="13" t="s">
        <v>0</v>
      </c>
      <c r="AC1986" s="13" t="s">
        <v>0</v>
      </c>
      <c r="AD1986" s="13" t="s">
        <v>0</v>
      </c>
      <c r="AE1986" s="15">
        <v>0</v>
      </c>
    </row>
    <row r="1987" spans="1:31" ht="14.15" customHeight="1" x14ac:dyDescent="0.25">
      <c r="A1987" s="12" t="s">
        <v>0</v>
      </c>
      <c r="B1987" s="13" t="s">
        <v>1</v>
      </c>
      <c r="C1987" s="13" t="s">
        <v>4088</v>
      </c>
      <c r="D1987" s="14">
        <v>44361</v>
      </c>
      <c r="E1987" s="14">
        <v>44361</v>
      </c>
      <c r="F1987" s="14">
        <v>44364</v>
      </c>
      <c r="G1987" s="13" t="s">
        <v>3</v>
      </c>
      <c r="H1987" s="13" t="s">
        <v>4</v>
      </c>
      <c r="I1987" s="15">
        <v>-6224.35</v>
      </c>
      <c r="J1987" s="13" t="s">
        <v>5</v>
      </c>
      <c r="K1987" s="13" t="s">
        <v>6</v>
      </c>
      <c r="L1987" s="15">
        <v>-522534.2</v>
      </c>
      <c r="M1987" s="15">
        <v>-6224.35</v>
      </c>
      <c r="N1987" s="16" t="str">
        <f>IF(M1987="","",IF(M1987&lt;0,-M1987&amp;"_"&amp;COUNTIF(M$2:M1987,M1987),M1987&amp;"_"&amp;COUNTIF(M$2:M1987,M1987)))</f>
        <v>6224.35_1</v>
      </c>
      <c r="O1987" s="17" t="str">
        <f t="shared" si="31"/>
        <v/>
      </c>
      <c r="P1987" s="13" t="s">
        <v>4089</v>
      </c>
      <c r="Q1987" s="13" t="s">
        <v>4075</v>
      </c>
      <c r="R1987" s="13" t="s">
        <v>0</v>
      </c>
      <c r="S1987" s="13" t="s">
        <v>0</v>
      </c>
      <c r="T1987" s="13" t="s">
        <v>9</v>
      </c>
      <c r="U1987" s="13" t="s">
        <v>0</v>
      </c>
      <c r="V1987" s="13" t="s">
        <v>0</v>
      </c>
      <c r="W1987" s="13" t="s">
        <v>0</v>
      </c>
      <c r="X1987" s="13" t="s">
        <v>0</v>
      </c>
      <c r="Y1987" s="13" t="s">
        <v>10</v>
      </c>
      <c r="Z1987" s="13" t="s">
        <v>0</v>
      </c>
      <c r="AA1987" s="14"/>
      <c r="AB1987" s="13" t="s">
        <v>0</v>
      </c>
      <c r="AC1987" s="13" t="s">
        <v>0</v>
      </c>
      <c r="AD1987" s="13" t="s">
        <v>0</v>
      </c>
      <c r="AE1987" s="15">
        <v>0</v>
      </c>
    </row>
    <row r="1988" spans="1:31" ht="14.15" customHeight="1" x14ac:dyDescent="0.25">
      <c r="A1988" s="12" t="s">
        <v>0</v>
      </c>
      <c r="B1988" s="13" t="s">
        <v>1</v>
      </c>
      <c r="C1988" s="13" t="s">
        <v>122</v>
      </c>
      <c r="D1988" s="14">
        <v>44026</v>
      </c>
      <c r="E1988" s="14">
        <v>44026</v>
      </c>
      <c r="F1988" s="14">
        <v>44032</v>
      </c>
      <c r="G1988" s="13" t="s">
        <v>3</v>
      </c>
      <c r="H1988" s="13" t="s">
        <v>4</v>
      </c>
      <c r="I1988" s="15">
        <v>-6223.14</v>
      </c>
      <c r="J1988" s="13" t="s">
        <v>5</v>
      </c>
      <c r="K1988" s="13" t="s">
        <v>6</v>
      </c>
      <c r="L1988" s="15">
        <v>-522432.6</v>
      </c>
      <c r="M1988" s="15">
        <v>-6223.14</v>
      </c>
      <c r="N1988" s="16" t="str">
        <f>IF(M1988="","",IF(M1988&lt;0,-M1988&amp;"_"&amp;COUNTIF(M$2:M1988,M1988),M1988&amp;"_"&amp;COUNTIF(M$2:M1988,M1988)))</f>
        <v>6223.14_1</v>
      </c>
      <c r="O1988" s="17" t="str">
        <f t="shared" si="31"/>
        <v/>
      </c>
      <c r="P1988" s="13" t="s">
        <v>123</v>
      </c>
      <c r="Q1988" s="13" t="s">
        <v>121</v>
      </c>
      <c r="R1988" s="13" t="s">
        <v>0</v>
      </c>
      <c r="S1988" s="13" t="s">
        <v>0</v>
      </c>
      <c r="T1988" s="13" t="s">
        <v>9</v>
      </c>
      <c r="U1988" s="13" t="s">
        <v>0</v>
      </c>
      <c r="V1988" s="13" t="s">
        <v>0</v>
      </c>
      <c r="W1988" s="13" t="s">
        <v>0</v>
      </c>
      <c r="X1988" s="13" t="s">
        <v>0</v>
      </c>
      <c r="Y1988" s="13" t="s">
        <v>10</v>
      </c>
      <c r="Z1988" s="13" t="s">
        <v>0</v>
      </c>
      <c r="AA1988" s="14"/>
      <c r="AB1988" s="13" t="s">
        <v>0</v>
      </c>
      <c r="AC1988" s="13" t="s">
        <v>0</v>
      </c>
      <c r="AD1988" s="13" t="s">
        <v>0</v>
      </c>
      <c r="AE1988" s="15">
        <v>0</v>
      </c>
    </row>
    <row r="1989" spans="1:31" ht="14.15" customHeight="1" x14ac:dyDescent="0.25">
      <c r="A1989" s="12" t="s">
        <v>0</v>
      </c>
      <c r="B1989" s="13" t="s">
        <v>1</v>
      </c>
      <c r="C1989" s="13" t="s">
        <v>1033</v>
      </c>
      <c r="D1989" s="14">
        <v>44130</v>
      </c>
      <c r="E1989" s="14">
        <v>44130</v>
      </c>
      <c r="F1989" s="14">
        <v>44138</v>
      </c>
      <c r="G1989" s="13" t="s">
        <v>3</v>
      </c>
      <c r="H1989" s="13" t="s">
        <v>4</v>
      </c>
      <c r="I1989" s="15">
        <v>-6222.64</v>
      </c>
      <c r="J1989" s="13" t="s">
        <v>5</v>
      </c>
      <c r="K1989" s="13" t="s">
        <v>6</v>
      </c>
      <c r="L1989" s="15">
        <v>-522390.63</v>
      </c>
      <c r="M1989" s="15">
        <v>-6222.64</v>
      </c>
      <c r="N1989" s="16" t="str">
        <f>IF(M1989="","",IF(M1989&lt;0,-M1989&amp;"_"&amp;COUNTIF(M$2:M1989,M1989),M1989&amp;"_"&amp;COUNTIF(M$2:M1989,M1989)))</f>
        <v>6222.64_1</v>
      </c>
      <c r="O1989" s="17" t="str">
        <f t="shared" si="31"/>
        <v/>
      </c>
      <c r="P1989" s="13" t="s">
        <v>1034</v>
      </c>
      <c r="Q1989" s="13" t="s">
        <v>1024</v>
      </c>
      <c r="R1989" s="13" t="s">
        <v>0</v>
      </c>
      <c r="S1989" s="13" t="s">
        <v>0</v>
      </c>
      <c r="T1989" s="13" t="s">
        <v>9</v>
      </c>
      <c r="U1989" s="13" t="s">
        <v>0</v>
      </c>
      <c r="V1989" s="13" t="s">
        <v>0</v>
      </c>
      <c r="W1989" s="13" t="s">
        <v>0</v>
      </c>
      <c r="X1989" s="13" t="s">
        <v>0</v>
      </c>
      <c r="Y1989" s="13" t="s">
        <v>10</v>
      </c>
      <c r="Z1989" s="13" t="s">
        <v>0</v>
      </c>
      <c r="AA1989" s="14"/>
      <c r="AB1989" s="13" t="s">
        <v>0</v>
      </c>
      <c r="AC1989" s="13" t="s">
        <v>0</v>
      </c>
      <c r="AD1989" s="13" t="s">
        <v>0</v>
      </c>
      <c r="AE1989" s="15">
        <v>0</v>
      </c>
    </row>
    <row r="1990" spans="1:31" ht="14.15" customHeight="1" x14ac:dyDescent="0.25">
      <c r="A1990" s="12" t="s">
        <v>0</v>
      </c>
      <c r="B1990" s="13" t="s">
        <v>1</v>
      </c>
      <c r="C1990" s="13" t="s">
        <v>2749</v>
      </c>
      <c r="D1990" s="14">
        <v>44260</v>
      </c>
      <c r="E1990" s="14">
        <v>44260</v>
      </c>
      <c r="F1990" s="14">
        <v>44265</v>
      </c>
      <c r="G1990" s="13" t="s">
        <v>3</v>
      </c>
      <c r="H1990" s="13" t="s">
        <v>4</v>
      </c>
      <c r="I1990" s="15">
        <v>-6217.18</v>
      </c>
      <c r="J1990" s="13" t="s">
        <v>5</v>
      </c>
      <c r="K1990" s="13" t="s">
        <v>6</v>
      </c>
      <c r="L1990" s="15">
        <v>-521932.26</v>
      </c>
      <c r="M1990" s="15">
        <v>-6217.18</v>
      </c>
      <c r="N1990" s="16" t="str">
        <f>IF(M1990="","",IF(M1990&lt;0,-M1990&amp;"_"&amp;COUNTIF(M$2:M1990,M1990),M1990&amp;"_"&amp;COUNTIF(M$2:M1990,M1990)))</f>
        <v>6217.18_1</v>
      </c>
      <c r="O1990" s="17" t="str">
        <f t="shared" si="31"/>
        <v/>
      </c>
      <c r="P1990" s="13" t="s">
        <v>2750</v>
      </c>
      <c r="Q1990" s="13" t="s">
        <v>2746</v>
      </c>
      <c r="R1990" s="13" t="s">
        <v>0</v>
      </c>
      <c r="S1990" s="13" t="s">
        <v>0</v>
      </c>
      <c r="T1990" s="13" t="s">
        <v>9</v>
      </c>
      <c r="U1990" s="13" t="s">
        <v>0</v>
      </c>
      <c r="V1990" s="13" t="s">
        <v>0</v>
      </c>
      <c r="W1990" s="13" t="s">
        <v>0</v>
      </c>
      <c r="X1990" s="13" t="s">
        <v>0</v>
      </c>
      <c r="Y1990" s="13" t="s">
        <v>10</v>
      </c>
      <c r="Z1990" s="13" t="s">
        <v>0</v>
      </c>
      <c r="AA1990" s="14"/>
      <c r="AB1990" s="13" t="s">
        <v>0</v>
      </c>
      <c r="AC1990" s="13" t="s">
        <v>0</v>
      </c>
      <c r="AD1990" s="13" t="s">
        <v>0</v>
      </c>
      <c r="AE1990" s="15">
        <v>0</v>
      </c>
    </row>
    <row r="1991" spans="1:31" ht="14.15" customHeight="1" x14ac:dyDescent="0.25">
      <c r="A1991" s="12" t="s">
        <v>0</v>
      </c>
      <c r="B1991" s="13" t="s">
        <v>1</v>
      </c>
      <c r="C1991" s="13" t="s">
        <v>102</v>
      </c>
      <c r="D1991" s="14">
        <v>44025</v>
      </c>
      <c r="E1991" s="14">
        <v>44025</v>
      </c>
      <c r="F1991" s="14">
        <v>44027</v>
      </c>
      <c r="G1991" s="13" t="s">
        <v>3</v>
      </c>
      <c r="H1991" s="13" t="s">
        <v>4</v>
      </c>
      <c r="I1991" s="15">
        <v>-6211.15</v>
      </c>
      <c r="J1991" s="13" t="s">
        <v>5</v>
      </c>
      <c r="K1991" s="13" t="s">
        <v>6</v>
      </c>
      <c r="L1991" s="15">
        <v>-521426.04</v>
      </c>
      <c r="M1991" s="15">
        <v>-6211.15</v>
      </c>
      <c r="N1991" s="16" t="str">
        <f>IF(M1991="","",IF(M1991&lt;0,-M1991&amp;"_"&amp;COUNTIF(M$2:M1991,M1991),M1991&amp;"_"&amp;COUNTIF(M$2:M1991,M1991)))</f>
        <v>6211.15_1</v>
      </c>
      <c r="O1991" s="17" t="str">
        <f t="shared" si="31"/>
        <v/>
      </c>
      <c r="P1991" s="13" t="s">
        <v>103</v>
      </c>
      <c r="Q1991" s="13" t="s">
        <v>104</v>
      </c>
      <c r="R1991" s="13" t="s">
        <v>0</v>
      </c>
      <c r="S1991" s="13" t="s">
        <v>0</v>
      </c>
      <c r="T1991" s="13" t="s">
        <v>9</v>
      </c>
      <c r="U1991" s="13" t="s">
        <v>0</v>
      </c>
      <c r="V1991" s="13" t="s">
        <v>0</v>
      </c>
      <c r="W1991" s="13" t="s">
        <v>0</v>
      </c>
      <c r="X1991" s="13" t="s">
        <v>0</v>
      </c>
      <c r="Y1991" s="13" t="s">
        <v>10</v>
      </c>
      <c r="Z1991" s="13" t="s">
        <v>0</v>
      </c>
      <c r="AA1991" s="14"/>
      <c r="AB1991" s="13" t="s">
        <v>0</v>
      </c>
      <c r="AC1991" s="13" t="s">
        <v>0</v>
      </c>
      <c r="AD1991" s="13" t="s">
        <v>0</v>
      </c>
      <c r="AE1991" s="15">
        <v>0</v>
      </c>
    </row>
    <row r="1992" spans="1:31" ht="14.15" customHeight="1" x14ac:dyDescent="0.25">
      <c r="A1992" s="12" t="s">
        <v>0</v>
      </c>
      <c r="B1992" s="13" t="s">
        <v>1</v>
      </c>
      <c r="C1992" s="13" t="s">
        <v>2614</v>
      </c>
      <c r="D1992" s="14">
        <v>44245</v>
      </c>
      <c r="E1992" s="14">
        <v>44245</v>
      </c>
      <c r="F1992" s="14">
        <v>44254</v>
      </c>
      <c r="G1992" s="13" t="s">
        <v>3</v>
      </c>
      <c r="H1992" s="13" t="s">
        <v>4</v>
      </c>
      <c r="I1992" s="15">
        <v>-6202.07</v>
      </c>
      <c r="J1992" s="13" t="s">
        <v>5</v>
      </c>
      <c r="K1992" s="13" t="s">
        <v>6</v>
      </c>
      <c r="L1992" s="15">
        <v>-520663.78</v>
      </c>
      <c r="M1992" s="15">
        <v>-6202.07</v>
      </c>
      <c r="N1992" s="16" t="str">
        <f>IF(M1992="","",IF(M1992&lt;0,-M1992&amp;"_"&amp;COUNTIF(M$2:M1992,M1992),M1992&amp;"_"&amp;COUNTIF(M$2:M1992,M1992)))</f>
        <v>6202.07_1</v>
      </c>
      <c r="O1992" s="17" t="str">
        <f t="shared" si="31"/>
        <v/>
      </c>
      <c r="P1992" s="13" t="s">
        <v>2615</v>
      </c>
      <c r="Q1992" s="13" t="s">
        <v>2613</v>
      </c>
      <c r="R1992" s="13" t="s">
        <v>0</v>
      </c>
      <c r="S1992" s="13" t="s">
        <v>0</v>
      </c>
      <c r="T1992" s="13" t="s">
        <v>9</v>
      </c>
      <c r="U1992" s="13" t="s">
        <v>0</v>
      </c>
      <c r="V1992" s="13" t="s">
        <v>0</v>
      </c>
      <c r="W1992" s="13" t="s">
        <v>0</v>
      </c>
      <c r="X1992" s="13" t="s">
        <v>0</v>
      </c>
      <c r="Y1992" s="13" t="s">
        <v>10</v>
      </c>
      <c r="Z1992" s="13" t="s">
        <v>0</v>
      </c>
      <c r="AA1992" s="14"/>
      <c r="AB1992" s="13" t="s">
        <v>0</v>
      </c>
      <c r="AC1992" s="13" t="s">
        <v>0</v>
      </c>
      <c r="AD1992" s="13" t="s">
        <v>0</v>
      </c>
      <c r="AE1992" s="15">
        <v>0</v>
      </c>
    </row>
    <row r="1993" spans="1:31" ht="14.15" customHeight="1" x14ac:dyDescent="0.25">
      <c r="A1993" s="12" t="s">
        <v>0</v>
      </c>
      <c r="B1993" s="13" t="s">
        <v>1</v>
      </c>
      <c r="C1993" s="13" t="s">
        <v>4047</v>
      </c>
      <c r="D1993" s="14">
        <v>44358</v>
      </c>
      <c r="E1993" s="14">
        <v>44358</v>
      </c>
      <c r="F1993" s="14">
        <v>44366</v>
      </c>
      <c r="G1993" s="13" t="s">
        <v>3</v>
      </c>
      <c r="H1993" s="13" t="s">
        <v>4</v>
      </c>
      <c r="I1993" s="15">
        <v>-6194</v>
      </c>
      <c r="J1993" s="13" t="s">
        <v>5</v>
      </c>
      <c r="K1993" s="13" t="s">
        <v>6</v>
      </c>
      <c r="L1993" s="15">
        <v>-519986.3</v>
      </c>
      <c r="M1993" s="15">
        <v>-6194</v>
      </c>
      <c r="N1993" s="16" t="str">
        <f>IF(M1993="","",IF(M1993&lt;0,-M1993&amp;"_"&amp;COUNTIF(M$2:M1993,M1993),M1993&amp;"_"&amp;COUNTIF(M$2:M1993,M1993)))</f>
        <v>6194_1</v>
      </c>
      <c r="O1993" s="17" t="str">
        <f t="shared" si="31"/>
        <v/>
      </c>
      <c r="P1993" s="13" t="s">
        <v>4048</v>
      </c>
      <c r="Q1993" s="13" t="s">
        <v>4006</v>
      </c>
      <c r="R1993" s="13" t="s">
        <v>0</v>
      </c>
      <c r="S1993" s="13" t="s">
        <v>0</v>
      </c>
      <c r="T1993" s="13" t="s">
        <v>9</v>
      </c>
      <c r="U1993" s="13" t="s">
        <v>0</v>
      </c>
      <c r="V1993" s="13" t="s">
        <v>0</v>
      </c>
      <c r="W1993" s="13" t="s">
        <v>0</v>
      </c>
      <c r="X1993" s="13" t="s">
        <v>0</v>
      </c>
      <c r="Y1993" s="13" t="s">
        <v>10</v>
      </c>
      <c r="Z1993" s="13" t="s">
        <v>0</v>
      </c>
      <c r="AA1993" s="14"/>
      <c r="AB1993" s="13" t="s">
        <v>0</v>
      </c>
      <c r="AC1993" s="13" t="s">
        <v>0</v>
      </c>
      <c r="AD1993" s="13" t="s">
        <v>0</v>
      </c>
      <c r="AE1993" s="15">
        <v>0</v>
      </c>
    </row>
    <row r="1994" spans="1:31" ht="14.15" customHeight="1" x14ac:dyDescent="0.25">
      <c r="A1994" s="12" t="s">
        <v>0</v>
      </c>
      <c r="B1994" s="13" t="s">
        <v>1</v>
      </c>
      <c r="C1994" s="13" t="s">
        <v>1468</v>
      </c>
      <c r="D1994" s="14">
        <v>44160</v>
      </c>
      <c r="E1994" s="14">
        <v>44160</v>
      </c>
      <c r="F1994" s="14">
        <v>44163</v>
      </c>
      <c r="G1994" s="13" t="s">
        <v>3</v>
      </c>
      <c r="H1994" s="13" t="s">
        <v>4</v>
      </c>
      <c r="I1994" s="15">
        <v>-6149.94</v>
      </c>
      <c r="J1994" s="13" t="s">
        <v>5</v>
      </c>
      <c r="K1994" s="13" t="s">
        <v>6</v>
      </c>
      <c r="L1994" s="15">
        <v>-516287.46</v>
      </c>
      <c r="M1994" s="15">
        <v>-6149.94</v>
      </c>
      <c r="N1994" s="16" t="str">
        <f>IF(M1994="","",IF(M1994&lt;0,-M1994&amp;"_"&amp;COUNTIF(M$2:M1994,M1994),M1994&amp;"_"&amp;COUNTIF(M$2:M1994,M1994)))</f>
        <v>6149.94_1</v>
      </c>
      <c r="O1994" s="17" t="str">
        <f t="shared" si="31"/>
        <v/>
      </c>
      <c r="P1994" s="13" t="s">
        <v>1469</v>
      </c>
      <c r="Q1994" s="13" t="s">
        <v>1470</v>
      </c>
      <c r="R1994" s="13" t="s">
        <v>0</v>
      </c>
      <c r="S1994" s="13" t="s">
        <v>0</v>
      </c>
      <c r="T1994" s="13" t="s">
        <v>9</v>
      </c>
      <c r="U1994" s="13" t="s">
        <v>0</v>
      </c>
      <c r="V1994" s="13" t="s">
        <v>0</v>
      </c>
      <c r="W1994" s="13" t="s">
        <v>0</v>
      </c>
      <c r="X1994" s="13" t="s">
        <v>0</v>
      </c>
      <c r="Y1994" s="13" t="s">
        <v>10</v>
      </c>
      <c r="Z1994" s="13" t="s">
        <v>0</v>
      </c>
      <c r="AA1994" s="14"/>
      <c r="AB1994" s="13" t="s">
        <v>0</v>
      </c>
      <c r="AC1994" s="13" t="s">
        <v>0</v>
      </c>
      <c r="AD1994" s="13" t="s">
        <v>0</v>
      </c>
      <c r="AE1994" s="15">
        <v>0</v>
      </c>
    </row>
    <row r="1995" spans="1:31" ht="14.15" customHeight="1" x14ac:dyDescent="0.25">
      <c r="A1995" s="12" t="s">
        <v>0</v>
      </c>
      <c r="B1995" s="13" t="s">
        <v>1</v>
      </c>
      <c r="C1995" s="13" t="s">
        <v>2463</v>
      </c>
      <c r="D1995" s="14">
        <v>44234</v>
      </c>
      <c r="E1995" s="14">
        <v>44234</v>
      </c>
      <c r="F1995" s="14">
        <v>44241</v>
      </c>
      <c r="G1995" s="13" t="s">
        <v>3</v>
      </c>
      <c r="H1995" s="13" t="s">
        <v>4</v>
      </c>
      <c r="I1995" s="15">
        <v>-6142.11</v>
      </c>
      <c r="J1995" s="13" t="s">
        <v>5</v>
      </c>
      <c r="K1995" s="13" t="s">
        <v>6</v>
      </c>
      <c r="L1995" s="15">
        <v>-515630.13</v>
      </c>
      <c r="M1995" s="15">
        <v>-6142.11</v>
      </c>
      <c r="N1995" s="16" t="str">
        <f>IF(M1995="","",IF(M1995&lt;0,-M1995&amp;"_"&amp;COUNTIF(M$2:M1995,M1995),M1995&amp;"_"&amp;COUNTIF(M$2:M1995,M1995)))</f>
        <v>6142.11_1</v>
      </c>
      <c r="O1995" s="17" t="str">
        <f t="shared" si="31"/>
        <v/>
      </c>
      <c r="P1995" s="13" t="s">
        <v>2464</v>
      </c>
      <c r="Q1995" s="13" t="s">
        <v>2462</v>
      </c>
      <c r="R1995" s="13" t="s">
        <v>0</v>
      </c>
      <c r="S1995" s="13" t="s">
        <v>0</v>
      </c>
      <c r="T1995" s="13" t="s">
        <v>9</v>
      </c>
      <c r="U1995" s="13" t="s">
        <v>0</v>
      </c>
      <c r="V1995" s="13" t="s">
        <v>0</v>
      </c>
      <c r="W1995" s="13" t="s">
        <v>0</v>
      </c>
      <c r="X1995" s="13" t="s">
        <v>0</v>
      </c>
      <c r="Y1995" s="13" t="s">
        <v>10</v>
      </c>
      <c r="Z1995" s="13" t="s">
        <v>0</v>
      </c>
      <c r="AA1995" s="14"/>
      <c r="AB1995" s="13" t="s">
        <v>0</v>
      </c>
      <c r="AC1995" s="13" t="s">
        <v>0</v>
      </c>
      <c r="AD1995" s="13" t="s">
        <v>0</v>
      </c>
      <c r="AE1995" s="15">
        <v>0</v>
      </c>
    </row>
    <row r="1996" spans="1:31" ht="14.15" customHeight="1" x14ac:dyDescent="0.25">
      <c r="A1996" s="12" t="s">
        <v>0</v>
      </c>
      <c r="B1996" s="13" t="s">
        <v>1</v>
      </c>
      <c r="C1996" s="13" t="s">
        <v>1577</v>
      </c>
      <c r="D1996" s="14">
        <v>44166</v>
      </c>
      <c r="E1996" s="14">
        <v>44166</v>
      </c>
      <c r="F1996" s="14">
        <v>44170</v>
      </c>
      <c r="G1996" s="13" t="s">
        <v>3</v>
      </c>
      <c r="H1996" s="13" t="s">
        <v>4</v>
      </c>
      <c r="I1996" s="15">
        <v>-6141.3</v>
      </c>
      <c r="J1996" s="13" t="s">
        <v>5</v>
      </c>
      <c r="K1996" s="13" t="s">
        <v>6</v>
      </c>
      <c r="L1996" s="15">
        <v>-515562.14</v>
      </c>
      <c r="M1996" s="15">
        <v>-6141.3</v>
      </c>
      <c r="N1996" s="16" t="str">
        <f>IF(M1996="","",IF(M1996&lt;0,-M1996&amp;"_"&amp;COUNTIF(M$2:M1996,M1996),M1996&amp;"_"&amp;COUNTIF(M$2:M1996,M1996)))</f>
        <v>6141.3_1</v>
      </c>
      <c r="O1996" s="17" t="str">
        <f t="shared" si="31"/>
        <v/>
      </c>
      <c r="P1996" s="13" t="s">
        <v>1578</v>
      </c>
      <c r="Q1996" s="13" t="s">
        <v>1579</v>
      </c>
      <c r="R1996" s="13" t="s">
        <v>0</v>
      </c>
      <c r="S1996" s="13" t="s">
        <v>0</v>
      </c>
      <c r="T1996" s="13" t="s">
        <v>9</v>
      </c>
      <c r="U1996" s="13" t="s">
        <v>0</v>
      </c>
      <c r="V1996" s="13" t="s">
        <v>0</v>
      </c>
      <c r="W1996" s="13" t="s">
        <v>0</v>
      </c>
      <c r="X1996" s="13" t="s">
        <v>0</v>
      </c>
      <c r="Y1996" s="13" t="s">
        <v>10</v>
      </c>
      <c r="Z1996" s="13" t="s">
        <v>0</v>
      </c>
      <c r="AA1996" s="14"/>
      <c r="AB1996" s="13" t="s">
        <v>0</v>
      </c>
      <c r="AC1996" s="13" t="s">
        <v>0</v>
      </c>
      <c r="AD1996" s="13" t="s">
        <v>0</v>
      </c>
      <c r="AE1996" s="15">
        <v>0</v>
      </c>
    </row>
    <row r="1997" spans="1:31" ht="14.15" customHeight="1" x14ac:dyDescent="0.25">
      <c r="A1997" s="12" t="s">
        <v>0</v>
      </c>
      <c r="B1997" s="13" t="s">
        <v>1</v>
      </c>
      <c r="C1997" s="13" t="s">
        <v>1440</v>
      </c>
      <c r="D1997" s="14">
        <v>44157</v>
      </c>
      <c r="E1997" s="14">
        <v>44157</v>
      </c>
      <c r="F1997" s="14">
        <v>44168</v>
      </c>
      <c r="G1997" s="13" t="s">
        <v>3</v>
      </c>
      <c r="H1997" s="13" t="s">
        <v>4</v>
      </c>
      <c r="I1997" s="15">
        <v>-6137.87</v>
      </c>
      <c r="J1997" s="13" t="s">
        <v>5</v>
      </c>
      <c r="K1997" s="13" t="s">
        <v>6</v>
      </c>
      <c r="L1997" s="15">
        <v>-515274.19</v>
      </c>
      <c r="M1997" s="15">
        <v>-6137.87</v>
      </c>
      <c r="N1997" s="16" t="str">
        <f>IF(M1997="","",IF(M1997&lt;0,-M1997&amp;"_"&amp;COUNTIF(M$2:M1997,M1997),M1997&amp;"_"&amp;COUNTIF(M$2:M1997,M1997)))</f>
        <v>6137.87_1</v>
      </c>
      <c r="O1997" s="17" t="str">
        <f t="shared" si="31"/>
        <v/>
      </c>
      <c r="P1997" s="13" t="s">
        <v>1441</v>
      </c>
      <c r="Q1997" s="13" t="s">
        <v>1435</v>
      </c>
      <c r="R1997" s="13" t="s">
        <v>0</v>
      </c>
      <c r="S1997" s="13" t="s">
        <v>0</v>
      </c>
      <c r="T1997" s="13" t="s">
        <v>9</v>
      </c>
      <c r="U1997" s="13" t="s">
        <v>0</v>
      </c>
      <c r="V1997" s="13" t="s">
        <v>0</v>
      </c>
      <c r="W1997" s="13" t="s">
        <v>0</v>
      </c>
      <c r="X1997" s="13" t="s">
        <v>0</v>
      </c>
      <c r="Y1997" s="13" t="s">
        <v>10</v>
      </c>
      <c r="Z1997" s="13" t="s">
        <v>0</v>
      </c>
      <c r="AA1997" s="14"/>
      <c r="AB1997" s="13" t="s">
        <v>0</v>
      </c>
      <c r="AC1997" s="13" t="s">
        <v>0</v>
      </c>
      <c r="AD1997" s="13" t="s">
        <v>0</v>
      </c>
      <c r="AE1997" s="15">
        <v>0</v>
      </c>
    </row>
    <row r="1998" spans="1:31" ht="14.15" customHeight="1" x14ac:dyDescent="0.25">
      <c r="A1998" s="12" t="s">
        <v>0</v>
      </c>
      <c r="B1998" s="13" t="s">
        <v>1</v>
      </c>
      <c r="C1998" s="13" t="s">
        <v>2102</v>
      </c>
      <c r="D1998" s="14">
        <v>44199</v>
      </c>
      <c r="E1998" s="14">
        <v>44199</v>
      </c>
      <c r="F1998" s="14">
        <v>44202</v>
      </c>
      <c r="G1998" s="13" t="s">
        <v>3</v>
      </c>
      <c r="H1998" s="13" t="s">
        <v>4</v>
      </c>
      <c r="I1998" s="15">
        <v>-6133.92</v>
      </c>
      <c r="J1998" s="13" t="s">
        <v>5</v>
      </c>
      <c r="K1998" s="13" t="s">
        <v>6</v>
      </c>
      <c r="L1998" s="15">
        <v>-514942.59</v>
      </c>
      <c r="M1998" s="15">
        <v>-6133.92</v>
      </c>
      <c r="N1998" s="16" t="str">
        <f>IF(M1998="","",IF(M1998&lt;0,-M1998&amp;"_"&amp;COUNTIF(M$2:M1998,M1998),M1998&amp;"_"&amp;COUNTIF(M$2:M1998,M1998)))</f>
        <v>6133.92_1</v>
      </c>
      <c r="O1998" s="17" t="str">
        <f t="shared" si="31"/>
        <v/>
      </c>
      <c r="P1998" s="13" t="s">
        <v>2103</v>
      </c>
      <c r="Q1998" s="13" t="s">
        <v>2093</v>
      </c>
      <c r="R1998" s="13" t="s">
        <v>0</v>
      </c>
      <c r="S1998" s="13" t="s">
        <v>0</v>
      </c>
      <c r="T1998" s="13" t="s">
        <v>9</v>
      </c>
      <c r="U1998" s="13" t="s">
        <v>0</v>
      </c>
      <c r="V1998" s="13" t="s">
        <v>0</v>
      </c>
      <c r="W1998" s="13" t="s">
        <v>0</v>
      </c>
      <c r="X1998" s="13" t="s">
        <v>0</v>
      </c>
      <c r="Y1998" s="13" t="s">
        <v>10</v>
      </c>
      <c r="Z1998" s="13" t="s">
        <v>0</v>
      </c>
      <c r="AA1998" s="14"/>
      <c r="AB1998" s="13" t="s">
        <v>0</v>
      </c>
      <c r="AC1998" s="13" t="s">
        <v>0</v>
      </c>
      <c r="AD1998" s="13" t="s">
        <v>0</v>
      </c>
      <c r="AE1998" s="15">
        <v>0</v>
      </c>
    </row>
    <row r="1999" spans="1:31" ht="14.15" customHeight="1" x14ac:dyDescent="0.25">
      <c r="A1999" s="12" t="s">
        <v>0</v>
      </c>
      <c r="B1999" s="13" t="s">
        <v>1</v>
      </c>
      <c r="C1999" s="13" t="s">
        <v>2102</v>
      </c>
      <c r="D1999" s="14">
        <v>44199</v>
      </c>
      <c r="E1999" s="14">
        <v>44199</v>
      </c>
      <c r="F1999" s="14">
        <v>44202</v>
      </c>
      <c r="G1999" s="13" t="s">
        <v>3</v>
      </c>
      <c r="H1999" s="13" t="s">
        <v>4</v>
      </c>
      <c r="I1999" s="15">
        <v>-6133.92</v>
      </c>
      <c r="J1999" s="13" t="s">
        <v>5</v>
      </c>
      <c r="K1999" s="13" t="s">
        <v>6</v>
      </c>
      <c r="L1999" s="15">
        <v>-514942.58</v>
      </c>
      <c r="M1999" s="15">
        <v>-6133.92</v>
      </c>
      <c r="N1999" s="16" t="str">
        <f>IF(M1999="","",IF(M1999&lt;0,-M1999&amp;"_"&amp;COUNTIF(M$2:M1999,M1999),M1999&amp;"_"&amp;COUNTIF(M$2:M1999,M1999)))</f>
        <v>6133.92_2</v>
      </c>
      <c r="O1999" s="17" t="str">
        <f t="shared" si="31"/>
        <v/>
      </c>
      <c r="P1999" s="13" t="s">
        <v>2103</v>
      </c>
      <c r="Q1999" s="13" t="s">
        <v>2093</v>
      </c>
      <c r="R1999" s="13" t="s">
        <v>0</v>
      </c>
      <c r="S1999" s="13" t="s">
        <v>0</v>
      </c>
      <c r="T1999" s="13" t="s">
        <v>9</v>
      </c>
      <c r="U1999" s="13" t="s">
        <v>0</v>
      </c>
      <c r="V1999" s="13" t="s">
        <v>0</v>
      </c>
      <c r="W1999" s="13" t="s">
        <v>0</v>
      </c>
      <c r="X1999" s="13" t="s">
        <v>0</v>
      </c>
      <c r="Y1999" s="13" t="s">
        <v>10</v>
      </c>
      <c r="Z1999" s="13" t="s">
        <v>0</v>
      </c>
      <c r="AA1999" s="14"/>
      <c r="AB1999" s="13" t="s">
        <v>0</v>
      </c>
      <c r="AC1999" s="13" t="s">
        <v>0</v>
      </c>
      <c r="AD1999" s="13" t="s">
        <v>0</v>
      </c>
      <c r="AE1999" s="15">
        <v>0</v>
      </c>
    </row>
    <row r="2000" spans="1:31" ht="14.15" customHeight="1" x14ac:dyDescent="0.25">
      <c r="A2000" s="12" t="s">
        <v>0</v>
      </c>
      <c r="B2000" s="13" t="s">
        <v>1</v>
      </c>
      <c r="C2000" s="13" t="s">
        <v>614</v>
      </c>
      <c r="D2000" s="14">
        <v>44082</v>
      </c>
      <c r="E2000" s="14">
        <v>44082</v>
      </c>
      <c r="F2000" s="14">
        <v>44086</v>
      </c>
      <c r="G2000" s="13" t="s">
        <v>3</v>
      </c>
      <c r="H2000" s="13" t="s">
        <v>4</v>
      </c>
      <c r="I2000" s="15">
        <v>-6129.06</v>
      </c>
      <c r="J2000" s="13" t="s">
        <v>5</v>
      </c>
      <c r="K2000" s="13" t="s">
        <v>6</v>
      </c>
      <c r="L2000" s="15">
        <v>-514534.59</v>
      </c>
      <c r="M2000" s="15">
        <v>-6129.06</v>
      </c>
      <c r="N2000" s="16" t="str">
        <f>IF(M2000="","",IF(M2000&lt;0,-M2000&amp;"_"&amp;COUNTIF(M$2:M2000,M2000),M2000&amp;"_"&amp;COUNTIF(M$2:M2000,M2000)))</f>
        <v>6129.06_1</v>
      </c>
      <c r="O2000" s="17" t="str">
        <f t="shared" si="31"/>
        <v/>
      </c>
      <c r="P2000" s="13" t="s">
        <v>615</v>
      </c>
      <c r="Q2000" s="13" t="s">
        <v>603</v>
      </c>
      <c r="R2000" s="13" t="s">
        <v>0</v>
      </c>
      <c r="S2000" s="13" t="s">
        <v>0</v>
      </c>
      <c r="T2000" s="13" t="s">
        <v>9</v>
      </c>
      <c r="U2000" s="13" t="s">
        <v>0</v>
      </c>
      <c r="V2000" s="13" t="s">
        <v>0</v>
      </c>
      <c r="W2000" s="13" t="s">
        <v>0</v>
      </c>
      <c r="X2000" s="13" t="s">
        <v>0</v>
      </c>
      <c r="Y2000" s="13" t="s">
        <v>10</v>
      </c>
      <c r="Z2000" s="13" t="s">
        <v>0</v>
      </c>
      <c r="AA2000" s="14"/>
      <c r="AB2000" s="13" t="s">
        <v>0</v>
      </c>
      <c r="AC2000" s="13" t="s">
        <v>0</v>
      </c>
      <c r="AD2000" s="13" t="s">
        <v>0</v>
      </c>
      <c r="AE2000" s="15">
        <v>0</v>
      </c>
    </row>
    <row r="2001" spans="1:31" ht="14.15" customHeight="1" x14ac:dyDescent="0.25">
      <c r="A2001" s="12" t="s">
        <v>0</v>
      </c>
      <c r="B2001" s="13" t="s">
        <v>1</v>
      </c>
      <c r="C2001" s="13" t="s">
        <v>3800</v>
      </c>
      <c r="D2001" s="14">
        <v>44344</v>
      </c>
      <c r="E2001" s="14">
        <v>44344</v>
      </c>
      <c r="F2001" s="14">
        <v>44348</v>
      </c>
      <c r="G2001" s="13" t="s">
        <v>3</v>
      </c>
      <c r="H2001" s="13" t="s">
        <v>4</v>
      </c>
      <c r="I2001" s="15">
        <v>-6128.84</v>
      </c>
      <c r="J2001" s="13" t="s">
        <v>5</v>
      </c>
      <c r="K2001" s="13" t="s">
        <v>6</v>
      </c>
      <c r="L2001" s="15">
        <v>-514516.12</v>
      </c>
      <c r="M2001" s="15">
        <v>-6128.84</v>
      </c>
      <c r="N2001" s="16" t="str">
        <f>IF(M2001="","",IF(M2001&lt;0,-M2001&amp;"_"&amp;COUNTIF(M$2:M2001,M2001),M2001&amp;"_"&amp;COUNTIF(M$2:M2001,M2001)))</f>
        <v>6128.84_1</v>
      </c>
      <c r="O2001" s="17" t="str">
        <f t="shared" si="31"/>
        <v/>
      </c>
      <c r="P2001" s="13" t="s">
        <v>3801</v>
      </c>
      <c r="Q2001" s="13" t="s">
        <v>3778</v>
      </c>
      <c r="R2001" s="13" t="s">
        <v>0</v>
      </c>
      <c r="S2001" s="13" t="s">
        <v>0</v>
      </c>
      <c r="T2001" s="13" t="s">
        <v>9</v>
      </c>
      <c r="U2001" s="13" t="s">
        <v>0</v>
      </c>
      <c r="V2001" s="13" t="s">
        <v>0</v>
      </c>
      <c r="W2001" s="13" t="s">
        <v>0</v>
      </c>
      <c r="X2001" s="13" t="s">
        <v>0</v>
      </c>
      <c r="Y2001" s="13" t="s">
        <v>10</v>
      </c>
      <c r="Z2001" s="13" t="s">
        <v>0</v>
      </c>
      <c r="AA2001" s="14"/>
      <c r="AB2001" s="13" t="s">
        <v>0</v>
      </c>
      <c r="AC2001" s="13" t="s">
        <v>0</v>
      </c>
      <c r="AD2001" s="13" t="s">
        <v>0</v>
      </c>
      <c r="AE2001" s="15">
        <v>0</v>
      </c>
    </row>
    <row r="2002" spans="1:31" ht="14.15" customHeight="1" x14ac:dyDescent="0.25">
      <c r="A2002" s="12" t="s">
        <v>0</v>
      </c>
      <c r="B2002" s="13" t="s">
        <v>1</v>
      </c>
      <c r="C2002" s="13" t="s">
        <v>3213</v>
      </c>
      <c r="D2002" s="14">
        <v>44303</v>
      </c>
      <c r="E2002" s="14">
        <v>44303</v>
      </c>
      <c r="F2002" s="14">
        <v>44308</v>
      </c>
      <c r="G2002" s="13" t="s">
        <v>3</v>
      </c>
      <c r="H2002" s="13" t="s">
        <v>4</v>
      </c>
      <c r="I2002" s="15">
        <v>-6113.12</v>
      </c>
      <c r="J2002" s="13" t="s">
        <v>5</v>
      </c>
      <c r="K2002" s="13" t="s">
        <v>6</v>
      </c>
      <c r="L2002" s="15">
        <v>-513196.42</v>
      </c>
      <c r="M2002" s="15">
        <v>-6113.12</v>
      </c>
      <c r="N2002" s="16" t="str">
        <f>IF(M2002="","",IF(M2002&lt;0,-M2002&amp;"_"&amp;COUNTIF(M$2:M2002,M2002),M2002&amp;"_"&amp;COUNTIF(M$2:M2002,M2002)))</f>
        <v>6113.12_1</v>
      </c>
      <c r="O2002" s="17" t="str">
        <f t="shared" si="31"/>
        <v/>
      </c>
      <c r="P2002" s="13" t="s">
        <v>3214</v>
      </c>
      <c r="Q2002" s="13" t="s">
        <v>3215</v>
      </c>
      <c r="R2002" s="13" t="s">
        <v>0</v>
      </c>
      <c r="S2002" s="13" t="s">
        <v>0</v>
      </c>
      <c r="T2002" s="13" t="s">
        <v>9</v>
      </c>
      <c r="U2002" s="13" t="s">
        <v>0</v>
      </c>
      <c r="V2002" s="13" t="s">
        <v>0</v>
      </c>
      <c r="W2002" s="13" t="s">
        <v>0</v>
      </c>
      <c r="X2002" s="13" t="s">
        <v>0</v>
      </c>
      <c r="Y2002" s="13" t="s">
        <v>10</v>
      </c>
      <c r="Z2002" s="13" t="s">
        <v>0</v>
      </c>
      <c r="AA2002" s="14"/>
      <c r="AB2002" s="13" t="s">
        <v>0</v>
      </c>
      <c r="AC2002" s="13" t="s">
        <v>0</v>
      </c>
      <c r="AD2002" s="13" t="s">
        <v>0</v>
      </c>
      <c r="AE2002" s="15">
        <v>0</v>
      </c>
    </row>
    <row r="2003" spans="1:31" ht="14.15" customHeight="1" x14ac:dyDescent="0.25">
      <c r="A2003" s="12" t="s">
        <v>0</v>
      </c>
      <c r="B2003" s="13" t="s">
        <v>1</v>
      </c>
      <c r="C2003" s="13" t="s">
        <v>1168</v>
      </c>
      <c r="D2003" s="14">
        <v>44140</v>
      </c>
      <c r="E2003" s="14">
        <v>44140</v>
      </c>
      <c r="F2003" s="14">
        <v>44145</v>
      </c>
      <c r="G2003" s="13" t="s">
        <v>3</v>
      </c>
      <c r="H2003" s="13" t="s">
        <v>4</v>
      </c>
      <c r="I2003" s="15">
        <v>-6102.2</v>
      </c>
      <c r="J2003" s="13" t="s">
        <v>5</v>
      </c>
      <c r="K2003" s="13" t="s">
        <v>6</v>
      </c>
      <c r="L2003" s="15">
        <v>-512279.69</v>
      </c>
      <c r="M2003" s="15">
        <v>-6102.2</v>
      </c>
      <c r="N2003" s="16" t="str">
        <f>IF(M2003="","",IF(M2003&lt;0,-M2003&amp;"_"&amp;COUNTIF(M$2:M2003,M2003),M2003&amp;"_"&amp;COUNTIF(M$2:M2003,M2003)))</f>
        <v>6102.2_1</v>
      </c>
      <c r="O2003" s="17" t="str">
        <f t="shared" si="31"/>
        <v/>
      </c>
      <c r="P2003" s="13" t="s">
        <v>1169</v>
      </c>
      <c r="Q2003" s="13" t="s">
        <v>1165</v>
      </c>
      <c r="R2003" s="13" t="s">
        <v>0</v>
      </c>
      <c r="S2003" s="13" t="s">
        <v>0</v>
      </c>
      <c r="T2003" s="13" t="s">
        <v>9</v>
      </c>
      <c r="U2003" s="13" t="s">
        <v>0</v>
      </c>
      <c r="V2003" s="13" t="s">
        <v>0</v>
      </c>
      <c r="W2003" s="13" t="s">
        <v>0</v>
      </c>
      <c r="X2003" s="13" t="s">
        <v>0</v>
      </c>
      <c r="Y2003" s="13" t="s">
        <v>10</v>
      </c>
      <c r="Z2003" s="13" t="s">
        <v>0</v>
      </c>
      <c r="AA2003" s="14"/>
      <c r="AB2003" s="13" t="s">
        <v>0</v>
      </c>
      <c r="AC2003" s="13" t="s">
        <v>0</v>
      </c>
      <c r="AD2003" s="13" t="s">
        <v>0</v>
      </c>
      <c r="AE2003" s="15">
        <v>0</v>
      </c>
    </row>
    <row r="2004" spans="1:31" ht="14.15" customHeight="1" x14ac:dyDescent="0.25">
      <c r="A2004" s="12" t="s">
        <v>0</v>
      </c>
      <c r="B2004" s="13" t="s">
        <v>1</v>
      </c>
      <c r="C2004" s="13" t="s">
        <v>3066</v>
      </c>
      <c r="D2004" s="14">
        <v>44284</v>
      </c>
      <c r="E2004" s="14">
        <v>44284</v>
      </c>
      <c r="F2004" s="14">
        <v>44290</v>
      </c>
      <c r="G2004" s="13" t="s">
        <v>3</v>
      </c>
      <c r="H2004" s="13" t="s">
        <v>4</v>
      </c>
      <c r="I2004" s="15">
        <v>-6090.88</v>
      </c>
      <c r="J2004" s="13" t="s">
        <v>5</v>
      </c>
      <c r="K2004" s="13" t="s">
        <v>6</v>
      </c>
      <c r="L2004" s="15">
        <v>-511329.38</v>
      </c>
      <c r="M2004" s="15">
        <v>-6090.88</v>
      </c>
      <c r="N2004" s="16" t="str">
        <f>IF(M2004="","",IF(M2004&lt;0,-M2004&amp;"_"&amp;COUNTIF(M$2:M2004,M2004),M2004&amp;"_"&amp;COUNTIF(M$2:M2004,M2004)))</f>
        <v>6090.88_1</v>
      </c>
      <c r="O2004" s="17" t="str">
        <f t="shared" si="31"/>
        <v/>
      </c>
      <c r="P2004" s="13" t="s">
        <v>3067</v>
      </c>
      <c r="Q2004" s="13" t="s">
        <v>3061</v>
      </c>
      <c r="R2004" s="13" t="s">
        <v>0</v>
      </c>
      <c r="S2004" s="13" t="s">
        <v>0</v>
      </c>
      <c r="T2004" s="13" t="s">
        <v>9</v>
      </c>
      <c r="U2004" s="13" t="s">
        <v>0</v>
      </c>
      <c r="V2004" s="13" t="s">
        <v>0</v>
      </c>
      <c r="W2004" s="13" t="s">
        <v>0</v>
      </c>
      <c r="X2004" s="13" t="s">
        <v>0</v>
      </c>
      <c r="Y2004" s="13" t="s">
        <v>10</v>
      </c>
      <c r="Z2004" s="13" t="s">
        <v>0</v>
      </c>
      <c r="AA2004" s="14"/>
      <c r="AB2004" s="13" t="s">
        <v>0</v>
      </c>
      <c r="AC2004" s="13" t="s">
        <v>0</v>
      </c>
      <c r="AD2004" s="13" t="s">
        <v>0</v>
      </c>
      <c r="AE2004" s="15">
        <v>0</v>
      </c>
    </row>
    <row r="2005" spans="1:31" ht="14.15" customHeight="1" x14ac:dyDescent="0.25">
      <c r="A2005" s="12" t="s">
        <v>0</v>
      </c>
      <c r="B2005" s="13" t="s">
        <v>1</v>
      </c>
      <c r="C2005" s="13" t="s">
        <v>2467</v>
      </c>
      <c r="D2005" s="14">
        <v>44234</v>
      </c>
      <c r="E2005" s="14">
        <v>44234</v>
      </c>
      <c r="F2005" s="14">
        <v>44241</v>
      </c>
      <c r="G2005" s="13" t="s">
        <v>3</v>
      </c>
      <c r="H2005" s="13" t="s">
        <v>4</v>
      </c>
      <c r="I2005" s="15">
        <v>-6086.2</v>
      </c>
      <c r="J2005" s="13" t="s">
        <v>5</v>
      </c>
      <c r="K2005" s="13" t="s">
        <v>6</v>
      </c>
      <c r="L2005" s="15">
        <v>-510936.49</v>
      </c>
      <c r="M2005" s="15">
        <v>-6086.2</v>
      </c>
      <c r="N2005" s="16" t="str">
        <f>IF(M2005="","",IF(M2005&lt;0,-M2005&amp;"_"&amp;COUNTIF(M$2:M2005,M2005),M2005&amp;"_"&amp;COUNTIF(M$2:M2005,M2005)))</f>
        <v>6086.2_1</v>
      </c>
      <c r="O2005" s="17" t="str">
        <f t="shared" si="31"/>
        <v/>
      </c>
      <c r="P2005" s="13" t="s">
        <v>2468</v>
      </c>
      <c r="Q2005" s="13" t="s">
        <v>2462</v>
      </c>
      <c r="R2005" s="13" t="s">
        <v>0</v>
      </c>
      <c r="S2005" s="13" t="s">
        <v>0</v>
      </c>
      <c r="T2005" s="13" t="s">
        <v>9</v>
      </c>
      <c r="U2005" s="13" t="s">
        <v>0</v>
      </c>
      <c r="V2005" s="13" t="s">
        <v>0</v>
      </c>
      <c r="W2005" s="13" t="s">
        <v>0</v>
      </c>
      <c r="X2005" s="13" t="s">
        <v>0</v>
      </c>
      <c r="Y2005" s="13" t="s">
        <v>10</v>
      </c>
      <c r="Z2005" s="13" t="s">
        <v>0</v>
      </c>
      <c r="AA2005" s="14"/>
      <c r="AB2005" s="13" t="s">
        <v>0</v>
      </c>
      <c r="AC2005" s="13" t="s">
        <v>0</v>
      </c>
      <c r="AD2005" s="13" t="s">
        <v>0</v>
      </c>
      <c r="AE2005" s="15">
        <v>0</v>
      </c>
    </row>
    <row r="2006" spans="1:31" ht="14.15" customHeight="1" x14ac:dyDescent="0.25">
      <c r="A2006" s="12" t="s">
        <v>0</v>
      </c>
      <c r="B2006" s="13" t="s">
        <v>1</v>
      </c>
      <c r="C2006" s="13" t="s">
        <v>3110</v>
      </c>
      <c r="D2006" s="14">
        <v>44288</v>
      </c>
      <c r="E2006" s="14">
        <v>44288</v>
      </c>
      <c r="F2006" s="14">
        <v>44305</v>
      </c>
      <c r="G2006" s="13" t="s">
        <v>48</v>
      </c>
      <c r="H2006" s="13" t="s">
        <v>4</v>
      </c>
      <c r="I2006" s="15">
        <v>-6077.97</v>
      </c>
      <c r="J2006" s="13" t="s">
        <v>5</v>
      </c>
      <c r="K2006" s="13" t="s">
        <v>6</v>
      </c>
      <c r="L2006" s="15">
        <v>-510245.58</v>
      </c>
      <c r="M2006" s="15">
        <v>-6077.97</v>
      </c>
      <c r="N2006" s="16" t="str">
        <f>IF(M2006="","",IF(M2006&lt;0,-M2006&amp;"_"&amp;COUNTIF(M$2:M2006,M2006),M2006&amp;"_"&amp;COUNTIF(M$2:M2006,M2006)))</f>
        <v>6077.97_1</v>
      </c>
      <c r="O2006" s="17" t="str">
        <f t="shared" si="31"/>
        <v/>
      </c>
      <c r="P2006" s="13" t="s">
        <v>3111</v>
      </c>
      <c r="Q2006" s="13" t="s">
        <v>3111</v>
      </c>
      <c r="R2006" s="13" t="s">
        <v>2733</v>
      </c>
      <c r="S2006" s="13" t="s">
        <v>0</v>
      </c>
      <c r="T2006" s="13" t="s">
        <v>9</v>
      </c>
      <c r="U2006" s="13" t="s">
        <v>2733</v>
      </c>
      <c r="V2006" s="13" t="s">
        <v>0</v>
      </c>
      <c r="W2006" s="13" t="s">
        <v>0</v>
      </c>
      <c r="X2006" s="13" t="s">
        <v>0</v>
      </c>
      <c r="Y2006" s="13" t="s">
        <v>10</v>
      </c>
      <c r="Z2006" s="13" t="s">
        <v>0</v>
      </c>
      <c r="AA2006" s="14"/>
      <c r="AB2006" s="13" t="s">
        <v>0</v>
      </c>
      <c r="AC2006" s="13" t="s">
        <v>0</v>
      </c>
      <c r="AD2006" s="13" t="s">
        <v>0</v>
      </c>
      <c r="AE2006" s="15">
        <v>0</v>
      </c>
    </row>
    <row r="2007" spans="1:31" ht="14.15" customHeight="1" x14ac:dyDescent="0.25">
      <c r="A2007" s="12" t="s">
        <v>0</v>
      </c>
      <c r="B2007" s="13" t="s">
        <v>289</v>
      </c>
      <c r="C2007" s="13" t="s">
        <v>3830</v>
      </c>
      <c r="D2007" s="14">
        <v>44347</v>
      </c>
      <c r="E2007" s="14">
        <v>44347</v>
      </c>
      <c r="F2007" s="14">
        <v>44353</v>
      </c>
      <c r="G2007" s="13" t="s">
        <v>48</v>
      </c>
      <c r="H2007" s="13" t="s">
        <v>4</v>
      </c>
      <c r="I2007" s="15">
        <v>-6071.4</v>
      </c>
      <c r="J2007" s="13" t="s">
        <v>5</v>
      </c>
      <c r="K2007" s="13" t="s">
        <v>6</v>
      </c>
      <c r="L2007" s="15">
        <v>-509694.03</v>
      </c>
      <c r="M2007" s="15">
        <v>-6071.4</v>
      </c>
      <c r="N2007" s="16" t="str">
        <f>IF(M2007="","",IF(M2007&lt;0,-M2007&amp;"_"&amp;COUNTIF(M$2:M2007,M2007),M2007&amp;"_"&amp;COUNTIF(M$2:M2007,M2007)))</f>
        <v>6071.4_1</v>
      </c>
      <c r="O2007" s="17" t="str">
        <f t="shared" si="31"/>
        <v/>
      </c>
      <c r="P2007" s="13" t="s">
        <v>3831</v>
      </c>
      <c r="Q2007" s="13" t="s">
        <v>3831</v>
      </c>
      <c r="R2007" s="13" t="s">
        <v>1994</v>
      </c>
      <c r="S2007" s="13" t="s">
        <v>0</v>
      </c>
      <c r="T2007" s="13" t="s">
        <v>9</v>
      </c>
      <c r="U2007" s="13" t="s">
        <v>1995</v>
      </c>
      <c r="V2007" s="13" t="s">
        <v>0</v>
      </c>
      <c r="W2007" s="13" t="s">
        <v>0</v>
      </c>
      <c r="X2007" s="13" t="s">
        <v>0</v>
      </c>
      <c r="Y2007" s="13" t="s">
        <v>0</v>
      </c>
      <c r="Z2007" s="13" t="s">
        <v>0</v>
      </c>
      <c r="AA2007" s="14"/>
      <c r="AB2007" s="13" t="s">
        <v>0</v>
      </c>
      <c r="AC2007" s="13" t="s">
        <v>0</v>
      </c>
      <c r="AD2007" s="13" t="s">
        <v>0</v>
      </c>
      <c r="AE2007" s="15">
        <v>0</v>
      </c>
    </row>
    <row r="2008" spans="1:31" ht="14.15" customHeight="1" x14ac:dyDescent="0.25">
      <c r="A2008" s="12" t="s">
        <v>0</v>
      </c>
      <c r="B2008" s="13" t="s">
        <v>303</v>
      </c>
      <c r="C2008" s="13" t="s">
        <v>1575</v>
      </c>
      <c r="D2008" s="14">
        <v>44165</v>
      </c>
      <c r="E2008" s="14">
        <v>44165</v>
      </c>
      <c r="F2008" s="14">
        <v>44171</v>
      </c>
      <c r="G2008" s="13" t="s">
        <v>48</v>
      </c>
      <c r="H2008" s="13" t="s">
        <v>4</v>
      </c>
      <c r="I2008" s="15">
        <v>-6058.53</v>
      </c>
      <c r="J2008" s="13" t="s">
        <v>5</v>
      </c>
      <c r="K2008" s="13" t="s">
        <v>6</v>
      </c>
      <c r="L2008" s="15">
        <v>-508613.59</v>
      </c>
      <c r="M2008" s="15">
        <v>-6058.53</v>
      </c>
      <c r="N2008" s="16" t="str">
        <f>IF(M2008="","",IF(M2008&lt;0,-M2008&amp;"_"&amp;COUNTIF(M$2:M2008,M2008),M2008&amp;"_"&amp;COUNTIF(M$2:M2008,M2008)))</f>
        <v>6058.53_1</v>
      </c>
      <c r="O2008" s="17" t="str">
        <f t="shared" si="31"/>
        <v/>
      </c>
      <c r="P2008" s="13" t="s">
        <v>1576</v>
      </c>
      <c r="Q2008" s="13" t="s">
        <v>1576</v>
      </c>
      <c r="R2008" s="13" t="s">
        <v>306</v>
      </c>
      <c r="S2008" s="13" t="s">
        <v>0</v>
      </c>
      <c r="T2008" s="13" t="s">
        <v>9</v>
      </c>
      <c r="U2008" s="13" t="s">
        <v>307</v>
      </c>
      <c r="V2008" s="13" t="s">
        <v>0</v>
      </c>
      <c r="W2008" s="13" t="s">
        <v>0</v>
      </c>
      <c r="X2008" s="13" t="s">
        <v>0</v>
      </c>
      <c r="Y2008" s="13" t="s">
        <v>291</v>
      </c>
      <c r="Z2008" s="13" t="s">
        <v>0</v>
      </c>
      <c r="AA2008" s="14"/>
      <c r="AB2008" s="13" t="s">
        <v>0</v>
      </c>
      <c r="AC2008" s="13" t="s">
        <v>0</v>
      </c>
      <c r="AD2008" s="13" t="s">
        <v>0</v>
      </c>
      <c r="AE2008" s="15">
        <v>0</v>
      </c>
    </row>
    <row r="2009" spans="1:31" ht="14.15" customHeight="1" x14ac:dyDescent="0.25">
      <c r="A2009" s="12" t="s">
        <v>0</v>
      </c>
      <c r="B2009" s="13" t="s">
        <v>1</v>
      </c>
      <c r="C2009" s="13" t="s">
        <v>237</v>
      </c>
      <c r="D2009" s="14">
        <v>44039</v>
      </c>
      <c r="E2009" s="14">
        <v>44039</v>
      </c>
      <c r="F2009" s="14">
        <v>44042</v>
      </c>
      <c r="G2009" s="13" t="s">
        <v>3</v>
      </c>
      <c r="H2009" s="13" t="s">
        <v>4</v>
      </c>
      <c r="I2009" s="15">
        <v>-6057.03</v>
      </c>
      <c r="J2009" s="13" t="s">
        <v>5</v>
      </c>
      <c r="K2009" s="13" t="s">
        <v>6</v>
      </c>
      <c r="L2009" s="15">
        <v>-508487.67</v>
      </c>
      <c r="M2009" s="15">
        <v>-6057.03</v>
      </c>
      <c r="N2009" s="16" t="str">
        <f>IF(M2009="","",IF(M2009&lt;0,-M2009&amp;"_"&amp;COUNTIF(M$2:M2009,M2009),M2009&amp;"_"&amp;COUNTIF(M$2:M2009,M2009)))</f>
        <v>6057.03_1</v>
      </c>
      <c r="O2009" s="17" t="str">
        <f t="shared" si="31"/>
        <v/>
      </c>
      <c r="P2009" s="13" t="s">
        <v>238</v>
      </c>
      <c r="Q2009" s="13" t="s">
        <v>230</v>
      </c>
      <c r="R2009" s="13" t="s">
        <v>0</v>
      </c>
      <c r="S2009" s="13" t="s">
        <v>0</v>
      </c>
      <c r="T2009" s="13" t="s">
        <v>9</v>
      </c>
      <c r="U2009" s="13" t="s">
        <v>0</v>
      </c>
      <c r="V2009" s="13" t="s">
        <v>0</v>
      </c>
      <c r="W2009" s="13" t="s">
        <v>0</v>
      </c>
      <c r="X2009" s="13" t="s">
        <v>0</v>
      </c>
      <c r="Y2009" s="13" t="s">
        <v>10</v>
      </c>
      <c r="Z2009" s="13" t="s">
        <v>0</v>
      </c>
      <c r="AA2009" s="14"/>
      <c r="AB2009" s="13" t="s">
        <v>0</v>
      </c>
      <c r="AC2009" s="13" t="s">
        <v>0</v>
      </c>
      <c r="AD2009" s="13" t="s">
        <v>0</v>
      </c>
      <c r="AE2009" s="15">
        <v>0</v>
      </c>
    </row>
    <row r="2010" spans="1:31" ht="14.15" customHeight="1" x14ac:dyDescent="0.25">
      <c r="A2010" s="12" t="s">
        <v>0</v>
      </c>
      <c r="B2010" s="13" t="s">
        <v>1</v>
      </c>
      <c r="C2010" s="13" t="s">
        <v>880</v>
      </c>
      <c r="D2010" s="14">
        <v>44113</v>
      </c>
      <c r="E2010" s="14">
        <v>44113</v>
      </c>
      <c r="F2010" s="14">
        <v>44117</v>
      </c>
      <c r="G2010" s="13" t="s">
        <v>3</v>
      </c>
      <c r="H2010" s="13" t="s">
        <v>4</v>
      </c>
      <c r="I2010" s="15">
        <v>-6052.31</v>
      </c>
      <c r="J2010" s="13" t="s">
        <v>5</v>
      </c>
      <c r="K2010" s="13" t="s">
        <v>6</v>
      </c>
      <c r="L2010" s="15">
        <v>-508091.42</v>
      </c>
      <c r="M2010" s="15">
        <v>-6052.31</v>
      </c>
      <c r="N2010" s="16" t="str">
        <f>IF(M2010="","",IF(M2010&lt;0,-M2010&amp;"_"&amp;COUNTIF(M$2:M2010,M2010),M2010&amp;"_"&amp;COUNTIF(M$2:M2010,M2010)))</f>
        <v>6052.31_1</v>
      </c>
      <c r="O2010" s="17" t="str">
        <f t="shared" si="31"/>
        <v/>
      </c>
      <c r="P2010" s="13" t="s">
        <v>881</v>
      </c>
      <c r="Q2010" s="13" t="s">
        <v>882</v>
      </c>
      <c r="R2010" s="13" t="s">
        <v>0</v>
      </c>
      <c r="S2010" s="13" t="s">
        <v>0</v>
      </c>
      <c r="T2010" s="13" t="s">
        <v>9</v>
      </c>
      <c r="U2010" s="13" t="s">
        <v>0</v>
      </c>
      <c r="V2010" s="13" t="s">
        <v>0</v>
      </c>
      <c r="W2010" s="13" t="s">
        <v>0</v>
      </c>
      <c r="X2010" s="13" t="s">
        <v>0</v>
      </c>
      <c r="Y2010" s="13" t="s">
        <v>10</v>
      </c>
      <c r="Z2010" s="13" t="s">
        <v>0</v>
      </c>
      <c r="AA2010" s="14"/>
      <c r="AB2010" s="13" t="s">
        <v>0</v>
      </c>
      <c r="AC2010" s="13" t="s">
        <v>0</v>
      </c>
      <c r="AD2010" s="13" t="s">
        <v>0</v>
      </c>
      <c r="AE2010" s="15">
        <v>0</v>
      </c>
    </row>
    <row r="2011" spans="1:31" ht="14.15" customHeight="1" x14ac:dyDescent="0.25">
      <c r="A2011" s="12" t="s">
        <v>0</v>
      </c>
      <c r="B2011" s="13" t="s">
        <v>1</v>
      </c>
      <c r="C2011" s="13" t="s">
        <v>2824</v>
      </c>
      <c r="D2011" s="14">
        <v>44267</v>
      </c>
      <c r="E2011" s="14">
        <v>44267</v>
      </c>
      <c r="F2011" s="14">
        <v>44272</v>
      </c>
      <c r="G2011" s="13" t="s">
        <v>3</v>
      </c>
      <c r="H2011" s="13" t="s">
        <v>4</v>
      </c>
      <c r="I2011" s="15">
        <v>-6047.39</v>
      </c>
      <c r="J2011" s="13" t="s">
        <v>5</v>
      </c>
      <c r="K2011" s="13" t="s">
        <v>6</v>
      </c>
      <c r="L2011" s="15">
        <v>-507678.39</v>
      </c>
      <c r="M2011" s="15">
        <v>-6047.39</v>
      </c>
      <c r="N2011" s="16" t="str">
        <f>IF(M2011="","",IF(M2011&lt;0,-M2011&amp;"_"&amp;COUNTIF(M$2:M2011,M2011),M2011&amp;"_"&amp;COUNTIF(M$2:M2011,M2011)))</f>
        <v>6047.39_1</v>
      </c>
      <c r="O2011" s="17" t="str">
        <f t="shared" si="31"/>
        <v/>
      </c>
      <c r="P2011" s="13" t="s">
        <v>2825</v>
      </c>
      <c r="Q2011" s="13" t="s">
        <v>2823</v>
      </c>
      <c r="R2011" s="13" t="s">
        <v>0</v>
      </c>
      <c r="S2011" s="13" t="s">
        <v>0</v>
      </c>
      <c r="T2011" s="13" t="s">
        <v>9</v>
      </c>
      <c r="U2011" s="13" t="s">
        <v>0</v>
      </c>
      <c r="V2011" s="13" t="s">
        <v>0</v>
      </c>
      <c r="W2011" s="13" t="s">
        <v>0</v>
      </c>
      <c r="X2011" s="13" t="s">
        <v>0</v>
      </c>
      <c r="Y2011" s="13" t="s">
        <v>10</v>
      </c>
      <c r="Z2011" s="13" t="s">
        <v>0</v>
      </c>
      <c r="AA2011" s="14"/>
      <c r="AB2011" s="13" t="s">
        <v>0</v>
      </c>
      <c r="AC2011" s="13" t="s">
        <v>0</v>
      </c>
      <c r="AD2011" s="13" t="s">
        <v>0</v>
      </c>
      <c r="AE2011" s="15">
        <v>0</v>
      </c>
    </row>
    <row r="2012" spans="1:31" ht="14.15" customHeight="1" x14ac:dyDescent="0.25">
      <c r="A2012" s="12" t="s">
        <v>0</v>
      </c>
      <c r="B2012" s="13" t="s">
        <v>1</v>
      </c>
      <c r="C2012" s="13" t="s">
        <v>717</v>
      </c>
      <c r="D2012" s="14">
        <v>44094</v>
      </c>
      <c r="E2012" s="14">
        <v>44094</v>
      </c>
      <c r="F2012" s="14">
        <v>44098</v>
      </c>
      <c r="G2012" s="13" t="s">
        <v>3</v>
      </c>
      <c r="H2012" s="13" t="s">
        <v>4</v>
      </c>
      <c r="I2012" s="15">
        <v>-6024.66</v>
      </c>
      <c r="J2012" s="13" t="s">
        <v>5</v>
      </c>
      <c r="K2012" s="13" t="s">
        <v>6</v>
      </c>
      <c r="L2012" s="15">
        <v>-505770.21</v>
      </c>
      <c r="M2012" s="15">
        <v>-6024.66</v>
      </c>
      <c r="N2012" s="16" t="str">
        <f>IF(M2012="","",IF(M2012&lt;0,-M2012&amp;"_"&amp;COUNTIF(M$2:M2012,M2012),M2012&amp;"_"&amp;COUNTIF(M$2:M2012,M2012)))</f>
        <v>6024.66_1</v>
      </c>
      <c r="O2012" s="17" t="str">
        <f t="shared" si="31"/>
        <v/>
      </c>
      <c r="P2012" s="13" t="s">
        <v>718</v>
      </c>
      <c r="Q2012" s="13" t="s">
        <v>719</v>
      </c>
      <c r="R2012" s="13" t="s">
        <v>0</v>
      </c>
      <c r="S2012" s="13" t="s">
        <v>0</v>
      </c>
      <c r="T2012" s="13" t="s">
        <v>9</v>
      </c>
      <c r="U2012" s="13" t="s">
        <v>0</v>
      </c>
      <c r="V2012" s="13" t="s">
        <v>0</v>
      </c>
      <c r="W2012" s="13" t="s">
        <v>0</v>
      </c>
      <c r="X2012" s="13" t="s">
        <v>0</v>
      </c>
      <c r="Y2012" s="13" t="s">
        <v>10</v>
      </c>
      <c r="Z2012" s="13" t="s">
        <v>0</v>
      </c>
      <c r="AA2012" s="14"/>
      <c r="AB2012" s="13" t="s">
        <v>0</v>
      </c>
      <c r="AC2012" s="13" t="s">
        <v>0</v>
      </c>
      <c r="AD2012" s="13" t="s">
        <v>0</v>
      </c>
      <c r="AE2012" s="15">
        <v>0</v>
      </c>
    </row>
    <row r="2013" spans="1:31" ht="14.15" customHeight="1" x14ac:dyDescent="0.25">
      <c r="A2013" s="12" t="s">
        <v>0</v>
      </c>
      <c r="B2013" s="13" t="s">
        <v>1</v>
      </c>
      <c r="C2013" s="13" t="s">
        <v>1959</v>
      </c>
      <c r="D2013" s="14">
        <v>44195</v>
      </c>
      <c r="E2013" s="14">
        <v>44195</v>
      </c>
      <c r="F2013" s="14">
        <v>44199</v>
      </c>
      <c r="G2013" s="13" t="s">
        <v>3</v>
      </c>
      <c r="H2013" s="13" t="s">
        <v>4</v>
      </c>
      <c r="I2013" s="15">
        <v>-6020.63</v>
      </c>
      <c r="J2013" s="13" t="s">
        <v>5</v>
      </c>
      <c r="K2013" s="13" t="s">
        <v>6</v>
      </c>
      <c r="L2013" s="15">
        <v>-505431.89</v>
      </c>
      <c r="M2013" s="15">
        <v>-6020.63</v>
      </c>
      <c r="N2013" s="16" t="str">
        <f>IF(M2013="","",IF(M2013&lt;0,-M2013&amp;"_"&amp;COUNTIF(M$2:M2013,M2013),M2013&amp;"_"&amp;COUNTIF(M$2:M2013,M2013)))</f>
        <v>6020.63_1</v>
      </c>
      <c r="O2013" s="17" t="str">
        <f t="shared" si="31"/>
        <v/>
      </c>
      <c r="P2013" s="13" t="s">
        <v>1960</v>
      </c>
      <c r="Q2013" s="13" t="s">
        <v>1956</v>
      </c>
      <c r="R2013" s="13" t="s">
        <v>0</v>
      </c>
      <c r="S2013" s="13" t="s">
        <v>0</v>
      </c>
      <c r="T2013" s="13" t="s">
        <v>9</v>
      </c>
      <c r="U2013" s="13" t="s">
        <v>0</v>
      </c>
      <c r="V2013" s="13" t="s">
        <v>0</v>
      </c>
      <c r="W2013" s="13" t="s">
        <v>0</v>
      </c>
      <c r="X2013" s="13" t="s">
        <v>0</v>
      </c>
      <c r="Y2013" s="13" t="s">
        <v>10</v>
      </c>
      <c r="Z2013" s="13" t="s">
        <v>0</v>
      </c>
      <c r="AA2013" s="14"/>
      <c r="AB2013" s="13" t="s">
        <v>0</v>
      </c>
      <c r="AC2013" s="13" t="s">
        <v>0</v>
      </c>
      <c r="AD2013" s="13" t="s">
        <v>0</v>
      </c>
      <c r="AE2013" s="15">
        <v>0</v>
      </c>
    </row>
    <row r="2014" spans="1:31" ht="14.15" customHeight="1" x14ac:dyDescent="0.25">
      <c r="A2014" s="12" t="s">
        <v>0</v>
      </c>
      <c r="B2014" s="13" t="s">
        <v>1</v>
      </c>
      <c r="C2014" s="13" t="s">
        <v>1840</v>
      </c>
      <c r="D2014" s="14">
        <v>44184</v>
      </c>
      <c r="E2014" s="14">
        <v>44184</v>
      </c>
      <c r="F2014" s="14">
        <v>44202</v>
      </c>
      <c r="G2014" s="13" t="s">
        <v>3</v>
      </c>
      <c r="H2014" s="13" t="s">
        <v>4</v>
      </c>
      <c r="I2014" s="15">
        <v>-5999.9</v>
      </c>
      <c r="J2014" s="13" t="s">
        <v>5</v>
      </c>
      <c r="K2014" s="13" t="s">
        <v>6</v>
      </c>
      <c r="L2014" s="15">
        <v>-503691.6</v>
      </c>
      <c r="M2014" s="15">
        <v>-5999.9</v>
      </c>
      <c r="N2014" s="16" t="str">
        <f>IF(M2014="","",IF(M2014&lt;0,-M2014&amp;"_"&amp;COUNTIF(M$2:M2014,M2014),M2014&amp;"_"&amp;COUNTIF(M$2:M2014,M2014)))</f>
        <v>5999.9_1</v>
      </c>
      <c r="O2014" s="17" t="str">
        <f t="shared" si="31"/>
        <v/>
      </c>
      <c r="P2014" s="13" t="s">
        <v>1841</v>
      </c>
      <c r="Q2014" s="13" t="s">
        <v>1831</v>
      </c>
      <c r="R2014" s="13" t="s">
        <v>0</v>
      </c>
      <c r="S2014" s="13" t="s">
        <v>0</v>
      </c>
      <c r="T2014" s="13" t="s">
        <v>9</v>
      </c>
      <c r="U2014" s="13" t="s">
        <v>0</v>
      </c>
      <c r="V2014" s="13" t="s">
        <v>0</v>
      </c>
      <c r="W2014" s="13" t="s">
        <v>0</v>
      </c>
      <c r="X2014" s="13" t="s">
        <v>0</v>
      </c>
      <c r="Y2014" s="13" t="s">
        <v>10</v>
      </c>
      <c r="Z2014" s="13" t="s">
        <v>0</v>
      </c>
      <c r="AA2014" s="14"/>
      <c r="AB2014" s="13" t="s">
        <v>0</v>
      </c>
      <c r="AC2014" s="13" t="s">
        <v>0</v>
      </c>
      <c r="AD2014" s="13" t="s">
        <v>0</v>
      </c>
      <c r="AE2014" s="15">
        <v>0</v>
      </c>
    </row>
    <row r="2015" spans="1:31" ht="14.15" customHeight="1" x14ac:dyDescent="0.25">
      <c r="A2015" s="12" t="s">
        <v>0</v>
      </c>
      <c r="B2015" s="13" t="s">
        <v>1</v>
      </c>
      <c r="C2015" s="13" t="s">
        <v>1058</v>
      </c>
      <c r="D2015" s="14">
        <v>44132</v>
      </c>
      <c r="E2015" s="14">
        <v>44132</v>
      </c>
      <c r="F2015" s="14">
        <v>44137</v>
      </c>
      <c r="G2015" s="13" t="s">
        <v>3</v>
      </c>
      <c r="H2015" s="13" t="s">
        <v>4</v>
      </c>
      <c r="I2015" s="15">
        <v>-5997.17</v>
      </c>
      <c r="J2015" s="13" t="s">
        <v>5</v>
      </c>
      <c r="K2015" s="13" t="s">
        <v>6</v>
      </c>
      <c r="L2015" s="15">
        <v>-503462.42</v>
      </c>
      <c r="M2015" s="15">
        <v>-5997.17</v>
      </c>
      <c r="N2015" s="16" t="str">
        <f>IF(M2015="","",IF(M2015&lt;0,-M2015&amp;"_"&amp;COUNTIF(M$2:M2015,M2015),M2015&amp;"_"&amp;COUNTIF(M$2:M2015,M2015)))</f>
        <v>5997.17_1</v>
      </c>
      <c r="O2015" s="17" t="str">
        <f t="shared" si="31"/>
        <v/>
      </c>
      <c r="P2015" s="13" t="s">
        <v>1059</v>
      </c>
      <c r="Q2015" s="13" t="s">
        <v>1060</v>
      </c>
      <c r="R2015" s="13" t="s">
        <v>0</v>
      </c>
      <c r="S2015" s="13" t="s">
        <v>0</v>
      </c>
      <c r="T2015" s="13" t="s">
        <v>9</v>
      </c>
      <c r="U2015" s="13" t="s">
        <v>0</v>
      </c>
      <c r="V2015" s="13" t="s">
        <v>0</v>
      </c>
      <c r="W2015" s="13" t="s">
        <v>0</v>
      </c>
      <c r="X2015" s="13" t="s">
        <v>0</v>
      </c>
      <c r="Y2015" s="13" t="s">
        <v>10</v>
      </c>
      <c r="Z2015" s="13" t="s">
        <v>0</v>
      </c>
      <c r="AA2015" s="14"/>
      <c r="AB2015" s="13" t="s">
        <v>0</v>
      </c>
      <c r="AC2015" s="13" t="s">
        <v>0</v>
      </c>
      <c r="AD2015" s="13" t="s">
        <v>0</v>
      </c>
      <c r="AE2015" s="15">
        <v>0</v>
      </c>
    </row>
    <row r="2016" spans="1:31" ht="14.15" customHeight="1" x14ac:dyDescent="0.25">
      <c r="A2016" s="12" t="s">
        <v>0</v>
      </c>
      <c r="B2016" s="13" t="s">
        <v>1</v>
      </c>
      <c r="C2016" s="13" t="s">
        <v>1773</v>
      </c>
      <c r="D2016" s="14">
        <v>44181</v>
      </c>
      <c r="E2016" s="14">
        <v>44181</v>
      </c>
      <c r="F2016" s="14">
        <v>44187</v>
      </c>
      <c r="G2016" s="13" t="s">
        <v>3</v>
      </c>
      <c r="H2016" s="13" t="s">
        <v>4</v>
      </c>
      <c r="I2016" s="15">
        <v>-5988.76</v>
      </c>
      <c r="J2016" s="13" t="s">
        <v>5</v>
      </c>
      <c r="K2016" s="13" t="s">
        <v>6</v>
      </c>
      <c r="L2016" s="15">
        <v>-502756.41</v>
      </c>
      <c r="M2016" s="15">
        <v>-5988.76</v>
      </c>
      <c r="N2016" s="16" t="str">
        <f>IF(M2016="","",IF(M2016&lt;0,-M2016&amp;"_"&amp;COUNTIF(M$2:M2016,M2016),M2016&amp;"_"&amp;COUNTIF(M$2:M2016,M2016)))</f>
        <v>5988.76_1</v>
      </c>
      <c r="O2016" s="17" t="str">
        <f t="shared" si="31"/>
        <v/>
      </c>
      <c r="P2016" s="13" t="s">
        <v>1774</v>
      </c>
      <c r="Q2016" s="13" t="s">
        <v>1766</v>
      </c>
      <c r="R2016" s="13" t="s">
        <v>0</v>
      </c>
      <c r="S2016" s="13" t="s">
        <v>0</v>
      </c>
      <c r="T2016" s="13" t="s">
        <v>9</v>
      </c>
      <c r="U2016" s="13" t="s">
        <v>0</v>
      </c>
      <c r="V2016" s="13" t="s">
        <v>0</v>
      </c>
      <c r="W2016" s="13" t="s">
        <v>0</v>
      </c>
      <c r="X2016" s="13" t="s">
        <v>0</v>
      </c>
      <c r="Y2016" s="13" t="s">
        <v>10</v>
      </c>
      <c r="Z2016" s="13" t="s">
        <v>0</v>
      </c>
      <c r="AA2016" s="14"/>
      <c r="AB2016" s="13" t="s">
        <v>0</v>
      </c>
      <c r="AC2016" s="13" t="s">
        <v>0</v>
      </c>
      <c r="AD2016" s="13" t="s">
        <v>0</v>
      </c>
      <c r="AE2016" s="15">
        <v>0</v>
      </c>
    </row>
    <row r="2017" spans="1:31" ht="14.15" customHeight="1" x14ac:dyDescent="0.25">
      <c r="A2017" s="12" t="s">
        <v>0</v>
      </c>
      <c r="B2017" s="13" t="s">
        <v>1</v>
      </c>
      <c r="C2017" s="13" t="s">
        <v>1063</v>
      </c>
      <c r="D2017" s="14">
        <v>44133</v>
      </c>
      <c r="E2017" s="14">
        <v>44133</v>
      </c>
      <c r="F2017" s="14">
        <v>44137</v>
      </c>
      <c r="G2017" s="13" t="s">
        <v>3</v>
      </c>
      <c r="H2017" s="13" t="s">
        <v>4</v>
      </c>
      <c r="I2017" s="15">
        <v>-5978.1</v>
      </c>
      <c r="J2017" s="13" t="s">
        <v>5</v>
      </c>
      <c r="K2017" s="13" t="s">
        <v>6</v>
      </c>
      <c r="L2017" s="15">
        <v>-501861.5</v>
      </c>
      <c r="M2017" s="15">
        <v>-5978.1</v>
      </c>
      <c r="N2017" s="16" t="str">
        <f>IF(M2017="","",IF(M2017&lt;0,-M2017&amp;"_"&amp;COUNTIF(M$2:M2017,M2017),M2017&amp;"_"&amp;COUNTIF(M$2:M2017,M2017)))</f>
        <v>5978.1_1</v>
      </c>
      <c r="O2017" s="17" t="str">
        <f t="shared" si="31"/>
        <v/>
      </c>
      <c r="P2017" s="13" t="s">
        <v>1064</v>
      </c>
      <c r="Q2017" s="13" t="s">
        <v>1065</v>
      </c>
      <c r="R2017" s="13" t="s">
        <v>0</v>
      </c>
      <c r="S2017" s="13" t="s">
        <v>0</v>
      </c>
      <c r="T2017" s="13" t="s">
        <v>9</v>
      </c>
      <c r="U2017" s="13" t="s">
        <v>0</v>
      </c>
      <c r="V2017" s="13" t="s">
        <v>0</v>
      </c>
      <c r="W2017" s="13" t="s">
        <v>0</v>
      </c>
      <c r="X2017" s="13" t="s">
        <v>0</v>
      </c>
      <c r="Y2017" s="13" t="s">
        <v>10</v>
      </c>
      <c r="Z2017" s="13" t="s">
        <v>0</v>
      </c>
      <c r="AA2017" s="14"/>
      <c r="AB2017" s="13" t="s">
        <v>0</v>
      </c>
      <c r="AC2017" s="13" t="s">
        <v>0</v>
      </c>
      <c r="AD2017" s="13" t="s">
        <v>0</v>
      </c>
      <c r="AE2017" s="15">
        <v>0</v>
      </c>
    </row>
    <row r="2018" spans="1:31" ht="14.15" customHeight="1" x14ac:dyDescent="0.25">
      <c r="A2018" s="12" t="s">
        <v>0</v>
      </c>
      <c r="B2018" s="13" t="s">
        <v>1</v>
      </c>
      <c r="C2018" s="13" t="s">
        <v>2454</v>
      </c>
      <c r="D2018" s="14">
        <v>44231</v>
      </c>
      <c r="E2018" s="14">
        <v>44231</v>
      </c>
      <c r="F2018" s="14">
        <v>44237</v>
      </c>
      <c r="G2018" s="13" t="s">
        <v>3</v>
      </c>
      <c r="H2018" s="13" t="s">
        <v>4</v>
      </c>
      <c r="I2018" s="15">
        <v>-5976.1</v>
      </c>
      <c r="J2018" s="13" t="s">
        <v>5</v>
      </c>
      <c r="K2018" s="13" t="s">
        <v>6</v>
      </c>
      <c r="L2018" s="15">
        <v>-501693.6</v>
      </c>
      <c r="M2018" s="15">
        <v>-5976.1</v>
      </c>
      <c r="N2018" s="16" t="str">
        <f>IF(M2018="","",IF(M2018&lt;0,-M2018&amp;"_"&amp;COUNTIF(M$2:M2018,M2018),M2018&amp;"_"&amp;COUNTIF(M$2:M2018,M2018)))</f>
        <v>5976.1_1</v>
      </c>
      <c r="O2018" s="17" t="str">
        <f t="shared" si="31"/>
        <v/>
      </c>
      <c r="P2018" s="13" t="s">
        <v>2455</v>
      </c>
      <c r="Q2018" s="13" t="s">
        <v>2427</v>
      </c>
      <c r="R2018" s="13" t="s">
        <v>0</v>
      </c>
      <c r="S2018" s="13" t="s">
        <v>0</v>
      </c>
      <c r="T2018" s="13" t="s">
        <v>9</v>
      </c>
      <c r="U2018" s="13" t="s">
        <v>0</v>
      </c>
      <c r="V2018" s="13" t="s">
        <v>0</v>
      </c>
      <c r="W2018" s="13" t="s">
        <v>0</v>
      </c>
      <c r="X2018" s="13" t="s">
        <v>0</v>
      </c>
      <c r="Y2018" s="13" t="s">
        <v>10</v>
      </c>
      <c r="Z2018" s="13" t="s">
        <v>0</v>
      </c>
      <c r="AA2018" s="14"/>
      <c r="AB2018" s="13" t="s">
        <v>0</v>
      </c>
      <c r="AC2018" s="13" t="s">
        <v>0</v>
      </c>
      <c r="AD2018" s="13" t="s">
        <v>0</v>
      </c>
      <c r="AE2018" s="15">
        <v>0</v>
      </c>
    </row>
    <row r="2019" spans="1:31" ht="14.15" customHeight="1" x14ac:dyDescent="0.25">
      <c r="A2019" s="12" t="s">
        <v>0</v>
      </c>
      <c r="B2019" s="13" t="s">
        <v>1</v>
      </c>
      <c r="C2019" s="13" t="s">
        <v>2343</v>
      </c>
      <c r="D2019" s="14">
        <v>44224</v>
      </c>
      <c r="E2019" s="14">
        <v>44224</v>
      </c>
      <c r="F2019" s="14">
        <v>44228</v>
      </c>
      <c r="G2019" s="13" t="s">
        <v>3</v>
      </c>
      <c r="H2019" s="13" t="s">
        <v>4</v>
      </c>
      <c r="I2019" s="15">
        <v>-5968.2</v>
      </c>
      <c r="J2019" s="13" t="s">
        <v>5</v>
      </c>
      <c r="K2019" s="13" t="s">
        <v>6</v>
      </c>
      <c r="L2019" s="15">
        <v>-501030.39</v>
      </c>
      <c r="M2019" s="15">
        <v>-5968.2</v>
      </c>
      <c r="N2019" s="16" t="str">
        <f>IF(M2019="","",IF(M2019&lt;0,-M2019&amp;"_"&amp;COUNTIF(M$2:M2019,M2019),M2019&amp;"_"&amp;COUNTIF(M$2:M2019,M2019)))</f>
        <v>5968.2_1</v>
      </c>
      <c r="O2019" s="17" t="str">
        <f t="shared" si="31"/>
        <v/>
      </c>
      <c r="P2019" s="13" t="s">
        <v>2344</v>
      </c>
      <c r="Q2019" s="13" t="s">
        <v>2345</v>
      </c>
      <c r="R2019" s="13" t="s">
        <v>0</v>
      </c>
      <c r="S2019" s="13" t="s">
        <v>0</v>
      </c>
      <c r="T2019" s="13" t="s">
        <v>9</v>
      </c>
      <c r="U2019" s="13" t="s">
        <v>0</v>
      </c>
      <c r="V2019" s="13" t="s">
        <v>0</v>
      </c>
      <c r="W2019" s="13" t="s">
        <v>0</v>
      </c>
      <c r="X2019" s="13" t="s">
        <v>0</v>
      </c>
      <c r="Y2019" s="13" t="s">
        <v>10</v>
      </c>
      <c r="Z2019" s="13" t="s">
        <v>0</v>
      </c>
      <c r="AA2019" s="14"/>
      <c r="AB2019" s="13" t="s">
        <v>0</v>
      </c>
      <c r="AC2019" s="13" t="s">
        <v>0</v>
      </c>
      <c r="AD2019" s="13" t="s">
        <v>0</v>
      </c>
      <c r="AE2019" s="15">
        <v>0</v>
      </c>
    </row>
    <row r="2020" spans="1:31" ht="14.15" customHeight="1" x14ac:dyDescent="0.25">
      <c r="A2020" s="12" t="s">
        <v>0</v>
      </c>
      <c r="B2020" s="13" t="s">
        <v>1</v>
      </c>
      <c r="C2020" s="13" t="s">
        <v>4232</v>
      </c>
      <c r="D2020" s="14">
        <v>44367</v>
      </c>
      <c r="E2020" s="14">
        <v>44367</v>
      </c>
      <c r="F2020" s="14">
        <v>44373</v>
      </c>
      <c r="G2020" s="13" t="s">
        <v>3</v>
      </c>
      <c r="H2020" s="13" t="s">
        <v>4</v>
      </c>
      <c r="I2020" s="15">
        <v>-5947.06</v>
      </c>
      <c r="J2020" s="13" t="s">
        <v>5</v>
      </c>
      <c r="K2020" s="13" t="s">
        <v>6</v>
      </c>
      <c r="L2020" s="15">
        <v>-499255.69</v>
      </c>
      <c r="M2020" s="15">
        <v>-5947.06</v>
      </c>
      <c r="N2020" s="16" t="str">
        <f>IF(M2020="","",IF(M2020&lt;0,-M2020&amp;"_"&amp;COUNTIF(M$2:M2020,M2020),M2020&amp;"_"&amp;COUNTIF(M$2:M2020,M2020)))</f>
        <v>5947.06_1</v>
      </c>
      <c r="O2020" s="17" t="str">
        <f t="shared" si="31"/>
        <v/>
      </c>
      <c r="P2020" s="13" t="s">
        <v>4233</v>
      </c>
      <c r="Q2020" s="13" t="s">
        <v>4227</v>
      </c>
      <c r="R2020" s="13" t="s">
        <v>0</v>
      </c>
      <c r="S2020" s="13" t="s">
        <v>0</v>
      </c>
      <c r="T2020" s="13" t="s">
        <v>9</v>
      </c>
      <c r="U2020" s="13" t="s">
        <v>0</v>
      </c>
      <c r="V2020" s="13" t="s">
        <v>0</v>
      </c>
      <c r="W2020" s="13" t="s">
        <v>0</v>
      </c>
      <c r="X2020" s="13" t="s">
        <v>0</v>
      </c>
      <c r="Y2020" s="13" t="s">
        <v>10</v>
      </c>
      <c r="Z2020" s="13" t="s">
        <v>0</v>
      </c>
      <c r="AA2020" s="14"/>
      <c r="AB2020" s="13" t="s">
        <v>0</v>
      </c>
      <c r="AC2020" s="13" t="s">
        <v>0</v>
      </c>
      <c r="AD2020" s="13" t="s">
        <v>0</v>
      </c>
      <c r="AE2020" s="15">
        <v>0</v>
      </c>
    </row>
    <row r="2021" spans="1:31" ht="14.15" customHeight="1" x14ac:dyDescent="0.25">
      <c r="A2021" s="12" t="s">
        <v>0</v>
      </c>
      <c r="B2021" s="13" t="s">
        <v>1</v>
      </c>
      <c r="C2021" s="13" t="s">
        <v>1379</v>
      </c>
      <c r="D2021" s="14">
        <v>44153</v>
      </c>
      <c r="E2021" s="14">
        <v>44153</v>
      </c>
      <c r="F2021" s="14">
        <v>44159</v>
      </c>
      <c r="G2021" s="13" t="s">
        <v>3</v>
      </c>
      <c r="H2021" s="13" t="s">
        <v>4</v>
      </c>
      <c r="I2021" s="15">
        <v>-5935.21</v>
      </c>
      <c r="J2021" s="13" t="s">
        <v>5</v>
      </c>
      <c r="K2021" s="13" t="s">
        <v>6</v>
      </c>
      <c r="L2021" s="15">
        <v>-498260.88</v>
      </c>
      <c r="M2021" s="15">
        <v>-5935.21</v>
      </c>
      <c r="N2021" s="16" t="str">
        <f>IF(M2021="","",IF(M2021&lt;0,-M2021&amp;"_"&amp;COUNTIF(M$2:M2021,M2021),M2021&amp;"_"&amp;COUNTIF(M$2:M2021,M2021)))</f>
        <v>5935.21_1</v>
      </c>
      <c r="O2021" s="17" t="str">
        <f t="shared" si="31"/>
        <v/>
      </c>
      <c r="P2021" s="13" t="s">
        <v>1380</v>
      </c>
      <c r="Q2021" s="13" t="s">
        <v>1381</v>
      </c>
      <c r="R2021" s="13" t="s">
        <v>0</v>
      </c>
      <c r="S2021" s="13" t="s">
        <v>0</v>
      </c>
      <c r="T2021" s="13" t="s">
        <v>9</v>
      </c>
      <c r="U2021" s="13" t="s">
        <v>0</v>
      </c>
      <c r="V2021" s="13" t="s">
        <v>0</v>
      </c>
      <c r="W2021" s="13" t="s">
        <v>0</v>
      </c>
      <c r="X2021" s="13" t="s">
        <v>0</v>
      </c>
      <c r="Y2021" s="13" t="s">
        <v>10</v>
      </c>
      <c r="Z2021" s="13" t="s">
        <v>0</v>
      </c>
      <c r="AA2021" s="14"/>
      <c r="AB2021" s="13" t="s">
        <v>0</v>
      </c>
      <c r="AC2021" s="13" t="s">
        <v>0</v>
      </c>
      <c r="AD2021" s="13" t="s">
        <v>0</v>
      </c>
      <c r="AE2021" s="15">
        <v>0</v>
      </c>
    </row>
    <row r="2022" spans="1:31" ht="14.15" customHeight="1" x14ac:dyDescent="0.25">
      <c r="A2022" s="12" t="s">
        <v>0</v>
      </c>
      <c r="B2022" s="13" t="s">
        <v>1</v>
      </c>
      <c r="C2022" s="13" t="s">
        <v>735</v>
      </c>
      <c r="D2022" s="14">
        <v>44095</v>
      </c>
      <c r="E2022" s="14">
        <v>44095</v>
      </c>
      <c r="F2022" s="14">
        <v>44100</v>
      </c>
      <c r="G2022" s="13" t="s">
        <v>3</v>
      </c>
      <c r="H2022" s="13" t="s">
        <v>4</v>
      </c>
      <c r="I2022" s="15">
        <v>-5926.6</v>
      </c>
      <c r="J2022" s="13" t="s">
        <v>5</v>
      </c>
      <c r="K2022" s="13" t="s">
        <v>6</v>
      </c>
      <c r="L2022" s="15">
        <v>-497538.07</v>
      </c>
      <c r="M2022" s="15">
        <v>-5926.6</v>
      </c>
      <c r="N2022" s="16" t="str">
        <f>IF(M2022="","",IF(M2022&lt;0,-M2022&amp;"_"&amp;COUNTIF(M$2:M2022,M2022),M2022&amp;"_"&amp;COUNTIF(M$2:M2022,M2022)))</f>
        <v>5926.6_1</v>
      </c>
      <c r="O2022" s="17" t="str">
        <f t="shared" si="31"/>
        <v/>
      </c>
      <c r="P2022" s="13" t="s">
        <v>736</v>
      </c>
      <c r="Q2022" s="13" t="s">
        <v>726</v>
      </c>
      <c r="R2022" s="13" t="s">
        <v>0</v>
      </c>
      <c r="S2022" s="13" t="s">
        <v>0</v>
      </c>
      <c r="T2022" s="13" t="s">
        <v>9</v>
      </c>
      <c r="U2022" s="13" t="s">
        <v>0</v>
      </c>
      <c r="V2022" s="13" t="s">
        <v>0</v>
      </c>
      <c r="W2022" s="13" t="s">
        <v>0</v>
      </c>
      <c r="X2022" s="13" t="s">
        <v>0</v>
      </c>
      <c r="Y2022" s="13" t="s">
        <v>10</v>
      </c>
      <c r="Z2022" s="13" t="s">
        <v>0</v>
      </c>
      <c r="AA2022" s="14"/>
      <c r="AB2022" s="13" t="s">
        <v>0</v>
      </c>
      <c r="AC2022" s="13" t="s">
        <v>0</v>
      </c>
      <c r="AD2022" s="13" t="s">
        <v>0</v>
      </c>
      <c r="AE2022" s="15">
        <v>0</v>
      </c>
    </row>
    <row r="2023" spans="1:31" ht="14.15" customHeight="1" x14ac:dyDescent="0.25">
      <c r="A2023" s="12" t="s">
        <v>0</v>
      </c>
      <c r="B2023" s="13" t="s">
        <v>1</v>
      </c>
      <c r="C2023" s="13" t="s">
        <v>717</v>
      </c>
      <c r="D2023" s="14">
        <v>44094</v>
      </c>
      <c r="E2023" s="14">
        <v>44094</v>
      </c>
      <c r="F2023" s="14">
        <v>44098</v>
      </c>
      <c r="G2023" s="13" t="s">
        <v>3</v>
      </c>
      <c r="H2023" s="13" t="s">
        <v>4</v>
      </c>
      <c r="I2023" s="15">
        <v>-5914.66</v>
      </c>
      <c r="J2023" s="13" t="s">
        <v>5</v>
      </c>
      <c r="K2023" s="13" t="s">
        <v>6</v>
      </c>
      <c r="L2023" s="15">
        <v>-496535.71</v>
      </c>
      <c r="M2023" s="15">
        <v>-5914.66</v>
      </c>
      <c r="N2023" s="16" t="str">
        <f>IF(M2023="","",IF(M2023&lt;0,-M2023&amp;"_"&amp;COUNTIF(M$2:M2023,M2023),M2023&amp;"_"&amp;COUNTIF(M$2:M2023,M2023)))</f>
        <v>5914.66_1</v>
      </c>
      <c r="O2023" s="17" t="str">
        <f t="shared" si="31"/>
        <v/>
      </c>
      <c r="P2023" s="13" t="s">
        <v>718</v>
      </c>
      <c r="Q2023" s="13" t="s">
        <v>719</v>
      </c>
      <c r="R2023" s="13" t="s">
        <v>0</v>
      </c>
      <c r="S2023" s="13" t="s">
        <v>0</v>
      </c>
      <c r="T2023" s="13" t="s">
        <v>9</v>
      </c>
      <c r="U2023" s="13" t="s">
        <v>0</v>
      </c>
      <c r="V2023" s="13" t="s">
        <v>0</v>
      </c>
      <c r="W2023" s="13" t="s">
        <v>0</v>
      </c>
      <c r="X2023" s="13" t="s">
        <v>0</v>
      </c>
      <c r="Y2023" s="13" t="s">
        <v>10</v>
      </c>
      <c r="Z2023" s="13" t="s">
        <v>0</v>
      </c>
      <c r="AA2023" s="14"/>
      <c r="AB2023" s="13" t="s">
        <v>0</v>
      </c>
      <c r="AC2023" s="13" t="s">
        <v>0</v>
      </c>
      <c r="AD2023" s="13" t="s">
        <v>0</v>
      </c>
      <c r="AE2023" s="15">
        <v>0</v>
      </c>
    </row>
    <row r="2024" spans="1:31" ht="14.15" customHeight="1" x14ac:dyDescent="0.25">
      <c r="A2024" s="12" t="s">
        <v>0</v>
      </c>
      <c r="B2024" s="13" t="s">
        <v>1</v>
      </c>
      <c r="C2024" s="13" t="s">
        <v>4041</v>
      </c>
      <c r="D2024" s="14">
        <v>44358</v>
      </c>
      <c r="E2024" s="14">
        <v>44358</v>
      </c>
      <c r="F2024" s="14">
        <v>44364</v>
      </c>
      <c r="G2024" s="13" t="s">
        <v>3</v>
      </c>
      <c r="H2024" s="13" t="s">
        <v>4</v>
      </c>
      <c r="I2024" s="15">
        <v>-5912.9</v>
      </c>
      <c r="J2024" s="13" t="s">
        <v>5</v>
      </c>
      <c r="K2024" s="13" t="s">
        <v>6</v>
      </c>
      <c r="L2024" s="15">
        <v>-496387.96</v>
      </c>
      <c r="M2024" s="15">
        <v>-5912.9</v>
      </c>
      <c r="N2024" s="16" t="str">
        <f>IF(M2024="","",IF(M2024&lt;0,-M2024&amp;"_"&amp;COUNTIF(M$2:M2024,M2024),M2024&amp;"_"&amp;COUNTIF(M$2:M2024,M2024)))</f>
        <v>5912.9_1</v>
      </c>
      <c r="O2024" s="17" t="str">
        <f t="shared" si="31"/>
        <v/>
      </c>
      <c r="P2024" s="13" t="s">
        <v>4042</v>
      </c>
      <c r="Q2024" s="13" t="s">
        <v>4006</v>
      </c>
      <c r="R2024" s="13" t="s">
        <v>0</v>
      </c>
      <c r="S2024" s="13" t="s">
        <v>0</v>
      </c>
      <c r="T2024" s="13" t="s">
        <v>9</v>
      </c>
      <c r="U2024" s="13" t="s">
        <v>0</v>
      </c>
      <c r="V2024" s="13" t="s">
        <v>0</v>
      </c>
      <c r="W2024" s="13" t="s">
        <v>0</v>
      </c>
      <c r="X2024" s="13" t="s">
        <v>0</v>
      </c>
      <c r="Y2024" s="13" t="s">
        <v>10</v>
      </c>
      <c r="Z2024" s="13" t="s">
        <v>0</v>
      </c>
      <c r="AA2024" s="14"/>
      <c r="AB2024" s="13" t="s">
        <v>0</v>
      </c>
      <c r="AC2024" s="13" t="s">
        <v>0</v>
      </c>
      <c r="AD2024" s="13" t="s">
        <v>0</v>
      </c>
      <c r="AE2024" s="15">
        <v>0</v>
      </c>
    </row>
    <row r="2025" spans="1:31" ht="14.15" customHeight="1" x14ac:dyDescent="0.25">
      <c r="A2025" s="12" t="s">
        <v>0</v>
      </c>
      <c r="B2025" s="13" t="s">
        <v>1</v>
      </c>
      <c r="C2025" s="13" t="s">
        <v>1386</v>
      </c>
      <c r="D2025" s="14">
        <v>44153</v>
      </c>
      <c r="E2025" s="14">
        <v>44153</v>
      </c>
      <c r="F2025" s="14">
        <v>44159</v>
      </c>
      <c r="G2025" s="13" t="s">
        <v>3</v>
      </c>
      <c r="H2025" s="13" t="s">
        <v>4</v>
      </c>
      <c r="I2025" s="15">
        <v>-5910.04</v>
      </c>
      <c r="J2025" s="13" t="s">
        <v>5</v>
      </c>
      <c r="K2025" s="13" t="s">
        <v>6</v>
      </c>
      <c r="L2025" s="15">
        <v>-496147.86</v>
      </c>
      <c r="M2025" s="15">
        <v>-5910.04</v>
      </c>
      <c r="N2025" s="16" t="str">
        <f>IF(M2025="","",IF(M2025&lt;0,-M2025&amp;"_"&amp;COUNTIF(M$2:M2025,M2025),M2025&amp;"_"&amp;COUNTIF(M$2:M2025,M2025)))</f>
        <v>5910.04_1</v>
      </c>
      <c r="O2025" s="17" t="str">
        <f t="shared" si="31"/>
        <v/>
      </c>
      <c r="P2025" s="13" t="s">
        <v>1387</v>
      </c>
      <c r="Q2025" s="13" t="s">
        <v>1381</v>
      </c>
      <c r="R2025" s="13" t="s">
        <v>0</v>
      </c>
      <c r="S2025" s="13" t="s">
        <v>0</v>
      </c>
      <c r="T2025" s="13" t="s">
        <v>9</v>
      </c>
      <c r="U2025" s="13" t="s">
        <v>0</v>
      </c>
      <c r="V2025" s="13" t="s">
        <v>0</v>
      </c>
      <c r="W2025" s="13" t="s">
        <v>0</v>
      </c>
      <c r="X2025" s="13" t="s">
        <v>0</v>
      </c>
      <c r="Y2025" s="13" t="s">
        <v>10</v>
      </c>
      <c r="Z2025" s="13" t="s">
        <v>0</v>
      </c>
      <c r="AA2025" s="14"/>
      <c r="AB2025" s="13" t="s">
        <v>0</v>
      </c>
      <c r="AC2025" s="13" t="s">
        <v>0</v>
      </c>
      <c r="AD2025" s="13" t="s">
        <v>0</v>
      </c>
      <c r="AE2025" s="15">
        <v>0</v>
      </c>
    </row>
    <row r="2026" spans="1:31" ht="14.15" customHeight="1" x14ac:dyDescent="0.25">
      <c r="A2026" s="12" t="s">
        <v>0</v>
      </c>
      <c r="B2026" s="13" t="s">
        <v>1</v>
      </c>
      <c r="C2026" s="13" t="s">
        <v>1963</v>
      </c>
      <c r="D2026" s="14">
        <v>44195</v>
      </c>
      <c r="E2026" s="14">
        <v>44195</v>
      </c>
      <c r="F2026" s="14">
        <v>44201</v>
      </c>
      <c r="G2026" s="13" t="s">
        <v>3</v>
      </c>
      <c r="H2026" s="13" t="s">
        <v>4</v>
      </c>
      <c r="I2026" s="15">
        <v>-5904.45</v>
      </c>
      <c r="J2026" s="13" t="s">
        <v>5</v>
      </c>
      <c r="K2026" s="13" t="s">
        <v>6</v>
      </c>
      <c r="L2026" s="15">
        <v>-495678.58</v>
      </c>
      <c r="M2026" s="15">
        <v>-5904.45</v>
      </c>
      <c r="N2026" s="16" t="str">
        <f>IF(M2026="","",IF(M2026&lt;0,-M2026&amp;"_"&amp;COUNTIF(M$2:M2026,M2026),M2026&amp;"_"&amp;COUNTIF(M$2:M2026,M2026)))</f>
        <v>5904.45_1</v>
      </c>
      <c r="O2026" s="17" t="str">
        <f t="shared" si="31"/>
        <v/>
      </c>
      <c r="P2026" s="13" t="s">
        <v>1964</v>
      </c>
      <c r="Q2026" s="13" t="s">
        <v>1956</v>
      </c>
      <c r="R2026" s="13" t="s">
        <v>0</v>
      </c>
      <c r="S2026" s="13" t="s">
        <v>0</v>
      </c>
      <c r="T2026" s="13" t="s">
        <v>9</v>
      </c>
      <c r="U2026" s="13" t="s">
        <v>0</v>
      </c>
      <c r="V2026" s="13" t="s">
        <v>0</v>
      </c>
      <c r="W2026" s="13" t="s">
        <v>0</v>
      </c>
      <c r="X2026" s="13" t="s">
        <v>0</v>
      </c>
      <c r="Y2026" s="13" t="s">
        <v>10</v>
      </c>
      <c r="Z2026" s="13" t="s">
        <v>0</v>
      </c>
      <c r="AA2026" s="14"/>
      <c r="AB2026" s="13" t="s">
        <v>0</v>
      </c>
      <c r="AC2026" s="13" t="s">
        <v>0</v>
      </c>
      <c r="AD2026" s="13" t="s">
        <v>0</v>
      </c>
      <c r="AE2026" s="15">
        <v>0</v>
      </c>
    </row>
    <row r="2027" spans="1:31" ht="14.15" customHeight="1" x14ac:dyDescent="0.25">
      <c r="A2027" s="12" t="s">
        <v>0</v>
      </c>
      <c r="B2027" s="13" t="s">
        <v>1</v>
      </c>
      <c r="C2027" s="13" t="s">
        <v>3027</v>
      </c>
      <c r="D2027" s="14">
        <v>44281</v>
      </c>
      <c r="E2027" s="14">
        <v>44281</v>
      </c>
      <c r="F2027" s="14">
        <v>44290</v>
      </c>
      <c r="G2027" s="13" t="s">
        <v>3</v>
      </c>
      <c r="H2027" s="13" t="s">
        <v>4</v>
      </c>
      <c r="I2027" s="15">
        <v>-5903.76</v>
      </c>
      <c r="J2027" s="13" t="s">
        <v>5</v>
      </c>
      <c r="K2027" s="13" t="s">
        <v>6</v>
      </c>
      <c r="L2027" s="15">
        <v>-495620.65</v>
      </c>
      <c r="M2027" s="15">
        <v>-5903.76</v>
      </c>
      <c r="N2027" s="16" t="str">
        <f>IF(M2027="","",IF(M2027&lt;0,-M2027&amp;"_"&amp;COUNTIF(M$2:M2027,M2027),M2027&amp;"_"&amp;COUNTIF(M$2:M2027,M2027)))</f>
        <v>5903.76_1</v>
      </c>
      <c r="O2027" s="17" t="str">
        <f t="shared" si="31"/>
        <v/>
      </c>
      <c r="P2027" s="13" t="s">
        <v>3028</v>
      </c>
      <c r="Q2027" s="13" t="s">
        <v>3014</v>
      </c>
      <c r="R2027" s="13" t="s">
        <v>0</v>
      </c>
      <c r="S2027" s="13" t="s">
        <v>0</v>
      </c>
      <c r="T2027" s="13" t="s">
        <v>9</v>
      </c>
      <c r="U2027" s="13" t="s">
        <v>0</v>
      </c>
      <c r="V2027" s="13" t="s">
        <v>0</v>
      </c>
      <c r="W2027" s="13" t="s">
        <v>0</v>
      </c>
      <c r="X2027" s="13" t="s">
        <v>0</v>
      </c>
      <c r="Y2027" s="13" t="s">
        <v>10</v>
      </c>
      <c r="Z2027" s="13" t="s">
        <v>0</v>
      </c>
      <c r="AA2027" s="14"/>
      <c r="AB2027" s="13" t="s">
        <v>0</v>
      </c>
      <c r="AC2027" s="13" t="s">
        <v>0</v>
      </c>
      <c r="AD2027" s="13" t="s">
        <v>0</v>
      </c>
      <c r="AE2027" s="15">
        <v>0</v>
      </c>
    </row>
    <row r="2028" spans="1:31" ht="14.15" customHeight="1" x14ac:dyDescent="0.25">
      <c r="A2028" s="12" t="s">
        <v>0</v>
      </c>
      <c r="B2028" s="13" t="s">
        <v>1</v>
      </c>
      <c r="C2028" s="13" t="s">
        <v>4212</v>
      </c>
      <c r="D2028" s="14">
        <v>44366</v>
      </c>
      <c r="E2028" s="14">
        <v>44366</v>
      </c>
      <c r="F2028" s="14">
        <v>44376</v>
      </c>
      <c r="G2028" s="13" t="s">
        <v>48</v>
      </c>
      <c r="H2028" s="13" t="s">
        <v>4</v>
      </c>
      <c r="I2028" s="15">
        <v>-5896</v>
      </c>
      <c r="J2028" s="13" t="s">
        <v>5</v>
      </c>
      <c r="K2028" s="13" t="s">
        <v>6</v>
      </c>
      <c r="L2028" s="15">
        <v>-494969.2</v>
      </c>
      <c r="M2028" s="15">
        <v>-5896</v>
      </c>
      <c r="N2028" s="16" t="str">
        <f>IF(M2028="","",IF(M2028&lt;0,-M2028&amp;"_"&amp;COUNTIF(M$2:M2028,M2028),M2028&amp;"_"&amp;COUNTIF(M$2:M2028,M2028)))</f>
        <v>5896_1</v>
      </c>
      <c r="O2028" s="17" t="str">
        <f t="shared" si="31"/>
        <v/>
      </c>
      <c r="P2028" s="13" t="s">
        <v>4213</v>
      </c>
      <c r="Q2028" s="13" t="s">
        <v>4213</v>
      </c>
      <c r="R2028" s="13" t="s">
        <v>2733</v>
      </c>
      <c r="S2028" s="13" t="s">
        <v>0</v>
      </c>
      <c r="T2028" s="13" t="s">
        <v>9</v>
      </c>
      <c r="U2028" s="13" t="s">
        <v>2733</v>
      </c>
      <c r="V2028" s="13" t="s">
        <v>0</v>
      </c>
      <c r="W2028" s="13" t="s">
        <v>0</v>
      </c>
      <c r="X2028" s="13" t="s">
        <v>0</v>
      </c>
      <c r="Y2028" s="13" t="s">
        <v>10</v>
      </c>
      <c r="Z2028" s="13" t="s">
        <v>0</v>
      </c>
      <c r="AA2028" s="14"/>
      <c r="AB2028" s="13" t="s">
        <v>0</v>
      </c>
      <c r="AC2028" s="13" t="s">
        <v>0</v>
      </c>
      <c r="AD2028" s="13" t="s">
        <v>0</v>
      </c>
      <c r="AE2028" s="15">
        <v>0</v>
      </c>
    </row>
    <row r="2029" spans="1:31" ht="14.15" customHeight="1" x14ac:dyDescent="0.25">
      <c r="A2029" s="12" t="s">
        <v>0</v>
      </c>
      <c r="B2029" s="13" t="s">
        <v>1</v>
      </c>
      <c r="C2029" s="13" t="s">
        <v>4110</v>
      </c>
      <c r="D2029" s="14">
        <v>44363</v>
      </c>
      <c r="E2029" s="14">
        <v>44363</v>
      </c>
      <c r="F2029" s="14">
        <v>44367</v>
      </c>
      <c r="G2029" s="13" t="s">
        <v>3</v>
      </c>
      <c r="H2029" s="13" t="s">
        <v>4</v>
      </c>
      <c r="I2029" s="15">
        <v>-5880.21</v>
      </c>
      <c r="J2029" s="13" t="s">
        <v>5</v>
      </c>
      <c r="K2029" s="13" t="s">
        <v>6</v>
      </c>
      <c r="L2029" s="15">
        <v>-493643.63</v>
      </c>
      <c r="M2029" s="15">
        <v>-5880.21</v>
      </c>
      <c r="N2029" s="16" t="str">
        <f>IF(M2029="","",IF(M2029&lt;0,-M2029&amp;"_"&amp;COUNTIF(M$2:M2029,M2029),M2029&amp;"_"&amp;COUNTIF(M$2:M2029,M2029)))</f>
        <v>5880.21_1</v>
      </c>
      <c r="O2029" s="17" t="str">
        <f t="shared" si="31"/>
        <v/>
      </c>
      <c r="P2029" s="13" t="s">
        <v>4111</v>
      </c>
      <c r="Q2029" s="13" t="s">
        <v>4107</v>
      </c>
      <c r="R2029" s="13" t="s">
        <v>0</v>
      </c>
      <c r="S2029" s="13" t="s">
        <v>0</v>
      </c>
      <c r="T2029" s="13" t="s">
        <v>9</v>
      </c>
      <c r="U2029" s="13" t="s">
        <v>0</v>
      </c>
      <c r="V2029" s="13" t="s">
        <v>0</v>
      </c>
      <c r="W2029" s="13" t="s">
        <v>0</v>
      </c>
      <c r="X2029" s="13" t="s">
        <v>0</v>
      </c>
      <c r="Y2029" s="13" t="s">
        <v>10</v>
      </c>
      <c r="Z2029" s="13" t="s">
        <v>0</v>
      </c>
      <c r="AA2029" s="14"/>
      <c r="AB2029" s="13" t="s">
        <v>0</v>
      </c>
      <c r="AC2029" s="13" t="s">
        <v>0</v>
      </c>
      <c r="AD2029" s="13" t="s">
        <v>0</v>
      </c>
      <c r="AE2029" s="15">
        <v>0</v>
      </c>
    </row>
    <row r="2030" spans="1:31" ht="14.15" customHeight="1" x14ac:dyDescent="0.25">
      <c r="A2030" s="12" t="s">
        <v>0</v>
      </c>
      <c r="B2030" s="13" t="s">
        <v>1</v>
      </c>
      <c r="C2030" s="13" t="s">
        <v>1941</v>
      </c>
      <c r="D2030" s="14">
        <v>44192</v>
      </c>
      <c r="E2030" s="14">
        <v>44192</v>
      </c>
      <c r="F2030" s="14">
        <v>44198</v>
      </c>
      <c r="G2030" s="13" t="s">
        <v>3</v>
      </c>
      <c r="H2030" s="13" t="s">
        <v>4</v>
      </c>
      <c r="I2030" s="15">
        <v>-5873.32</v>
      </c>
      <c r="J2030" s="13" t="s">
        <v>5</v>
      </c>
      <c r="K2030" s="13" t="s">
        <v>6</v>
      </c>
      <c r="L2030" s="15">
        <v>-493065.21</v>
      </c>
      <c r="M2030" s="15">
        <v>-5873.32</v>
      </c>
      <c r="N2030" s="16" t="str">
        <f>IF(M2030="","",IF(M2030&lt;0,-M2030&amp;"_"&amp;COUNTIF(M$2:M2030,M2030),M2030&amp;"_"&amp;COUNTIF(M$2:M2030,M2030)))</f>
        <v>5873.32_1</v>
      </c>
      <c r="O2030" s="17" t="str">
        <f t="shared" si="31"/>
        <v/>
      </c>
      <c r="P2030" s="13" t="s">
        <v>1942</v>
      </c>
      <c r="Q2030" s="13" t="s">
        <v>1932</v>
      </c>
      <c r="R2030" s="13" t="s">
        <v>0</v>
      </c>
      <c r="S2030" s="13" t="s">
        <v>0</v>
      </c>
      <c r="T2030" s="13" t="s">
        <v>9</v>
      </c>
      <c r="U2030" s="13" t="s">
        <v>0</v>
      </c>
      <c r="V2030" s="13" t="s">
        <v>0</v>
      </c>
      <c r="W2030" s="13" t="s">
        <v>0</v>
      </c>
      <c r="X2030" s="13" t="s">
        <v>0</v>
      </c>
      <c r="Y2030" s="13" t="s">
        <v>10</v>
      </c>
      <c r="Z2030" s="13" t="s">
        <v>0</v>
      </c>
      <c r="AA2030" s="14"/>
      <c r="AB2030" s="13" t="s">
        <v>0</v>
      </c>
      <c r="AC2030" s="13" t="s">
        <v>0</v>
      </c>
      <c r="AD2030" s="13" t="s">
        <v>0</v>
      </c>
      <c r="AE2030" s="15">
        <v>0</v>
      </c>
    </row>
    <row r="2031" spans="1:31" ht="14.15" customHeight="1" x14ac:dyDescent="0.25">
      <c r="A2031" s="12" t="s">
        <v>0</v>
      </c>
      <c r="B2031" s="13" t="s">
        <v>1</v>
      </c>
      <c r="C2031" s="13" t="s">
        <v>2191</v>
      </c>
      <c r="D2031" s="14">
        <v>44210</v>
      </c>
      <c r="E2031" s="14">
        <v>44210</v>
      </c>
      <c r="F2031" s="14">
        <v>44217</v>
      </c>
      <c r="G2031" s="13" t="s">
        <v>3</v>
      </c>
      <c r="H2031" s="13" t="s">
        <v>4</v>
      </c>
      <c r="I2031" s="15">
        <v>-5871.14</v>
      </c>
      <c r="J2031" s="13" t="s">
        <v>5</v>
      </c>
      <c r="K2031" s="13" t="s">
        <v>6</v>
      </c>
      <c r="L2031" s="15">
        <v>-492882.2</v>
      </c>
      <c r="M2031" s="15">
        <v>-5871.14</v>
      </c>
      <c r="N2031" s="16" t="str">
        <f>IF(M2031="","",IF(M2031&lt;0,-M2031&amp;"_"&amp;COUNTIF(M$2:M2031,M2031),M2031&amp;"_"&amp;COUNTIF(M$2:M2031,M2031)))</f>
        <v>5871.14_1</v>
      </c>
      <c r="O2031" s="17" t="str">
        <f t="shared" si="31"/>
        <v/>
      </c>
      <c r="P2031" s="13" t="s">
        <v>2192</v>
      </c>
      <c r="Q2031" s="13" t="s">
        <v>2176</v>
      </c>
      <c r="R2031" s="13" t="s">
        <v>0</v>
      </c>
      <c r="S2031" s="13" t="s">
        <v>0</v>
      </c>
      <c r="T2031" s="13" t="s">
        <v>9</v>
      </c>
      <c r="U2031" s="13" t="s">
        <v>0</v>
      </c>
      <c r="V2031" s="13" t="s">
        <v>0</v>
      </c>
      <c r="W2031" s="13" t="s">
        <v>0</v>
      </c>
      <c r="X2031" s="13" t="s">
        <v>0</v>
      </c>
      <c r="Y2031" s="13" t="s">
        <v>10</v>
      </c>
      <c r="Z2031" s="13" t="s">
        <v>0</v>
      </c>
      <c r="AA2031" s="14"/>
      <c r="AB2031" s="13" t="s">
        <v>0</v>
      </c>
      <c r="AC2031" s="13" t="s">
        <v>0</v>
      </c>
      <c r="AD2031" s="13" t="s">
        <v>0</v>
      </c>
      <c r="AE2031" s="15">
        <v>0</v>
      </c>
    </row>
    <row r="2032" spans="1:31" ht="14.15" customHeight="1" x14ac:dyDescent="0.25">
      <c r="A2032" s="12" t="s">
        <v>0</v>
      </c>
      <c r="B2032" s="13" t="s">
        <v>1</v>
      </c>
      <c r="C2032" s="13" t="s">
        <v>2518</v>
      </c>
      <c r="D2032" s="14">
        <v>44237</v>
      </c>
      <c r="E2032" s="14">
        <v>44237</v>
      </c>
      <c r="F2032" s="14">
        <v>44243</v>
      </c>
      <c r="G2032" s="13" t="s">
        <v>3</v>
      </c>
      <c r="H2032" s="13" t="s">
        <v>4</v>
      </c>
      <c r="I2032" s="15">
        <v>-5871.14</v>
      </c>
      <c r="J2032" s="13" t="s">
        <v>5</v>
      </c>
      <c r="K2032" s="13" t="s">
        <v>6</v>
      </c>
      <c r="L2032" s="15">
        <v>-492882.2</v>
      </c>
      <c r="M2032" s="15">
        <v>-5871.14</v>
      </c>
      <c r="N2032" s="16" t="str">
        <f>IF(M2032="","",IF(M2032&lt;0,-M2032&amp;"_"&amp;COUNTIF(M$2:M2032,M2032),M2032&amp;"_"&amp;COUNTIF(M$2:M2032,M2032)))</f>
        <v>5871.14_2</v>
      </c>
      <c r="O2032" s="17" t="str">
        <f t="shared" si="31"/>
        <v/>
      </c>
      <c r="P2032" s="13" t="s">
        <v>2519</v>
      </c>
      <c r="Q2032" s="13" t="s">
        <v>2517</v>
      </c>
      <c r="R2032" s="13" t="s">
        <v>0</v>
      </c>
      <c r="S2032" s="13" t="s">
        <v>0</v>
      </c>
      <c r="T2032" s="13" t="s">
        <v>9</v>
      </c>
      <c r="U2032" s="13" t="s">
        <v>0</v>
      </c>
      <c r="V2032" s="13" t="s">
        <v>0</v>
      </c>
      <c r="W2032" s="13" t="s">
        <v>0</v>
      </c>
      <c r="X2032" s="13" t="s">
        <v>0</v>
      </c>
      <c r="Y2032" s="13" t="s">
        <v>10</v>
      </c>
      <c r="Z2032" s="13" t="s">
        <v>0</v>
      </c>
      <c r="AA2032" s="14"/>
      <c r="AB2032" s="13" t="s">
        <v>0</v>
      </c>
      <c r="AC2032" s="13" t="s">
        <v>0</v>
      </c>
      <c r="AD2032" s="13" t="s">
        <v>0</v>
      </c>
      <c r="AE2032" s="15">
        <v>0</v>
      </c>
    </row>
    <row r="2033" spans="1:31" ht="14.15" customHeight="1" x14ac:dyDescent="0.25">
      <c r="A2033" s="12" t="s">
        <v>0</v>
      </c>
      <c r="B2033" s="13" t="s">
        <v>1</v>
      </c>
      <c r="C2033" s="13" t="s">
        <v>4039</v>
      </c>
      <c r="D2033" s="14">
        <v>44358</v>
      </c>
      <c r="E2033" s="14">
        <v>44358</v>
      </c>
      <c r="F2033" s="14">
        <v>44364</v>
      </c>
      <c r="G2033" s="13" t="s">
        <v>3</v>
      </c>
      <c r="H2033" s="13" t="s">
        <v>4</v>
      </c>
      <c r="I2033" s="15">
        <v>-5865.1</v>
      </c>
      <c r="J2033" s="13" t="s">
        <v>5</v>
      </c>
      <c r="K2033" s="13" t="s">
        <v>6</v>
      </c>
      <c r="L2033" s="15">
        <v>-492375.15</v>
      </c>
      <c r="M2033" s="15">
        <v>-5865.1</v>
      </c>
      <c r="N2033" s="16" t="str">
        <f>IF(M2033="","",IF(M2033&lt;0,-M2033&amp;"_"&amp;COUNTIF(M$2:M2033,M2033),M2033&amp;"_"&amp;COUNTIF(M$2:M2033,M2033)))</f>
        <v>5865.1_1</v>
      </c>
      <c r="O2033" s="17" t="str">
        <f t="shared" si="31"/>
        <v/>
      </c>
      <c r="P2033" s="13" t="s">
        <v>4040</v>
      </c>
      <c r="Q2033" s="13" t="s">
        <v>4006</v>
      </c>
      <c r="R2033" s="13" t="s">
        <v>0</v>
      </c>
      <c r="S2033" s="13" t="s">
        <v>0</v>
      </c>
      <c r="T2033" s="13" t="s">
        <v>9</v>
      </c>
      <c r="U2033" s="13" t="s">
        <v>0</v>
      </c>
      <c r="V2033" s="13" t="s">
        <v>0</v>
      </c>
      <c r="W2033" s="13" t="s">
        <v>0</v>
      </c>
      <c r="X2033" s="13" t="s">
        <v>0</v>
      </c>
      <c r="Y2033" s="13" t="s">
        <v>10</v>
      </c>
      <c r="Z2033" s="13" t="s">
        <v>0</v>
      </c>
      <c r="AA2033" s="14"/>
      <c r="AB2033" s="13" t="s">
        <v>0</v>
      </c>
      <c r="AC2033" s="13" t="s">
        <v>0</v>
      </c>
      <c r="AD2033" s="13" t="s">
        <v>0</v>
      </c>
      <c r="AE2033" s="15">
        <v>0</v>
      </c>
    </row>
    <row r="2034" spans="1:31" ht="14.15" customHeight="1" x14ac:dyDescent="0.25">
      <c r="A2034" s="12" t="s">
        <v>0</v>
      </c>
      <c r="B2034" s="13" t="s">
        <v>1</v>
      </c>
      <c r="C2034" s="13" t="s">
        <v>2209</v>
      </c>
      <c r="D2034" s="14">
        <v>44213</v>
      </c>
      <c r="E2034" s="14">
        <v>44213</v>
      </c>
      <c r="F2034" s="14">
        <v>44219</v>
      </c>
      <c r="G2034" s="13" t="s">
        <v>3</v>
      </c>
      <c r="H2034" s="13" t="s">
        <v>4</v>
      </c>
      <c r="I2034" s="15">
        <v>-5863.52</v>
      </c>
      <c r="J2034" s="13" t="s">
        <v>5</v>
      </c>
      <c r="K2034" s="13" t="s">
        <v>6</v>
      </c>
      <c r="L2034" s="15">
        <v>-492242.5</v>
      </c>
      <c r="M2034" s="15">
        <v>-5863.52</v>
      </c>
      <c r="N2034" s="16" t="str">
        <f>IF(M2034="","",IF(M2034&lt;0,-M2034&amp;"_"&amp;COUNTIF(M$2:M2034,M2034),M2034&amp;"_"&amp;COUNTIF(M$2:M2034,M2034)))</f>
        <v>5863.52_1</v>
      </c>
      <c r="O2034" s="17" t="str">
        <f t="shared" si="31"/>
        <v/>
      </c>
      <c r="P2034" s="13" t="s">
        <v>2210</v>
      </c>
      <c r="Q2034" s="13" t="s">
        <v>2211</v>
      </c>
      <c r="R2034" s="13" t="s">
        <v>0</v>
      </c>
      <c r="S2034" s="13" t="s">
        <v>0</v>
      </c>
      <c r="T2034" s="13" t="s">
        <v>9</v>
      </c>
      <c r="U2034" s="13" t="s">
        <v>0</v>
      </c>
      <c r="V2034" s="13" t="s">
        <v>0</v>
      </c>
      <c r="W2034" s="13" t="s">
        <v>0</v>
      </c>
      <c r="X2034" s="13" t="s">
        <v>0</v>
      </c>
      <c r="Y2034" s="13" t="s">
        <v>10</v>
      </c>
      <c r="Z2034" s="13" t="s">
        <v>0</v>
      </c>
      <c r="AA2034" s="14"/>
      <c r="AB2034" s="13" t="s">
        <v>0</v>
      </c>
      <c r="AC2034" s="13" t="s">
        <v>0</v>
      </c>
      <c r="AD2034" s="13" t="s">
        <v>0</v>
      </c>
      <c r="AE2034" s="15">
        <v>0</v>
      </c>
    </row>
    <row r="2035" spans="1:31" ht="14.15" customHeight="1" x14ac:dyDescent="0.25">
      <c r="A2035" s="12" t="s">
        <v>0</v>
      </c>
      <c r="B2035" s="13" t="s">
        <v>1</v>
      </c>
      <c r="C2035" s="13" t="s">
        <v>263</v>
      </c>
      <c r="D2035" s="14">
        <v>44041</v>
      </c>
      <c r="E2035" s="14">
        <v>44041</v>
      </c>
      <c r="F2035" s="14">
        <v>44057</v>
      </c>
      <c r="G2035" s="13" t="s">
        <v>3</v>
      </c>
      <c r="H2035" s="13" t="s">
        <v>4</v>
      </c>
      <c r="I2035" s="15">
        <v>-5848.64</v>
      </c>
      <c r="J2035" s="13" t="s">
        <v>5</v>
      </c>
      <c r="K2035" s="13" t="s">
        <v>6</v>
      </c>
      <c r="L2035" s="15">
        <v>-490993.33</v>
      </c>
      <c r="M2035" s="15">
        <v>-5848.64</v>
      </c>
      <c r="N2035" s="16" t="str">
        <f>IF(M2035="","",IF(M2035&lt;0,-M2035&amp;"_"&amp;COUNTIF(M$2:M2035,M2035),M2035&amp;"_"&amp;COUNTIF(M$2:M2035,M2035)))</f>
        <v>5848.64_1</v>
      </c>
      <c r="O2035" s="17" t="str">
        <f t="shared" si="31"/>
        <v/>
      </c>
      <c r="P2035" s="13" t="s">
        <v>264</v>
      </c>
      <c r="Q2035" s="13" t="s">
        <v>250</v>
      </c>
      <c r="R2035" s="13" t="s">
        <v>0</v>
      </c>
      <c r="S2035" s="13" t="s">
        <v>0</v>
      </c>
      <c r="T2035" s="13" t="s">
        <v>9</v>
      </c>
      <c r="U2035" s="13" t="s">
        <v>0</v>
      </c>
      <c r="V2035" s="13" t="s">
        <v>0</v>
      </c>
      <c r="W2035" s="13" t="s">
        <v>0</v>
      </c>
      <c r="X2035" s="13" t="s">
        <v>0</v>
      </c>
      <c r="Y2035" s="13" t="s">
        <v>10</v>
      </c>
      <c r="Z2035" s="13" t="s">
        <v>0</v>
      </c>
      <c r="AA2035" s="14"/>
      <c r="AB2035" s="13" t="s">
        <v>0</v>
      </c>
      <c r="AC2035" s="13" t="s">
        <v>0</v>
      </c>
      <c r="AD2035" s="13" t="s">
        <v>0</v>
      </c>
      <c r="AE2035" s="15">
        <v>0</v>
      </c>
    </row>
    <row r="2036" spans="1:31" ht="14.15" customHeight="1" x14ac:dyDescent="0.25">
      <c r="A2036" s="12" t="s">
        <v>0</v>
      </c>
      <c r="B2036" s="13" t="s">
        <v>1</v>
      </c>
      <c r="C2036" s="13" t="s">
        <v>2841</v>
      </c>
      <c r="D2036" s="14">
        <v>44271</v>
      </c>
      <c r="E2036" s="14">
        <v>44271</v>
      </c>
      <c r="F2036" s="14">
        <v>44275</v>
      </c>
      <c r="G2036" s="13" t="s">
        <v>3</v>
      </c>
      <c r="H2036" s="13" t="s">
        <v>4</v>
      </c>
      <c r="I2036" s="15">
        <v>-5807.62</v>
      </c>
      <c r="J2036" s="13" t="s">
        <v>5</v>
      </c>
      <c r="K2036" s="13" t="s">
        <v>6</v>
      </c>
      <c r="L2036" s="15">
        <v>-487549.7</v>
      </c>
      <c r="M2036" s="15">
        <v>-5807.62</v>
      </c>
      <c r="N2036" s="16" t="str">
        <f>IF(M2036="","",IF(M2036&lt;0,-M2036&amp;"_"&amp;COUNTIF(M$2:M2036,M2036),M2036&amp;"_"&amp;COUNTIF(M$2:M2036,M2036)))</f>
        <v>5807.62_1</v>
      </c>
      <c r="O2036" s="17" t="str">
        <f t="shared" si="31"/>
        <v/>
      </c>
      <c r="P2036" s="13" t="s">
        <v>2842</v>
      </c>
      <c r="Q2036" s="13" t="s">
        <v>2843</v>
      </c>
      <c r="R2036" s="13" t="s">
        <v>0</v>
      </c>
      <c r="S2036" s="13" t="s">
        <v>0</v>
      </c>
      <c r="T2036" s="13" t="s">
        <v>9</v>
      </c>
      <c r="U2036" s="13" t="s">
        <v>0</v>
      </c>
      <c r="V2036" s="13" t="s">
        <v>0</v>
      </c>
      <c r="W2036" s="13" t="s">
        <v>0</v>
      </c>
      <c r="X2036" s="13" t="s">
        <v>0</v>
      </c>
      <c r="Y2036" s="13" t="s">
        <v>10</v>
      </c>
      <c r="Z2036" s="13" t="s">
        <v>0</v>
      </c>
      <c r="AA2036" s="14"/>
      <c r="AB2036" s="13" t="s">
        <v>0</v>
      </c>
      <c r="AC2036" s="13" t="s">
        <v>0</v>
      </c>
      <c r="AD2036" s="13" t="s">
        <v>0</v>
      </c>
      <c r="AE2036" s="15">
        <v>0</v>
      </c>
    </row>
    <row r="2037" spans="1:31" ht="14.15" customHeight="1" x14ac:dyDescent="0.25">
      <c r="A2037" s="12" t="s">
        <v>0</v>
      </c>
      <c r="B2037" s="13" t="s">
        <v>1</v>
      </c>
      <c r="C2037" s="13" t="s">
        <v>75</v>
      </c>
      <c r="D2037" s="14">
        <v>44020</v>
      </c>
      <c r="E2037" s="14">
        <v>44020</v>
      </c>
      <c r="F2037" s="14">
        <v>44027</v>
      </c>
      <c r="G2037" s="13" t="s">
        <v>3</v>
      </c>
      <c r="H2037" s="13" t="s">
        <v>4</v>
      </c>
      <c r="I2037" s="15">
        <v>-5797.41</v>
      </c>
      <c r="J2037" s="13" t="s">
        <v>5</v>
      </c>
      <c r="K2037" s="13" t="s">
        <v>6</v>
      </c>
      <c r="L2037" s="15">
        <v>-486692.57</v>
      </c>
      <c r="M2037" s="15">
        <v>-5797.41</v>
      </c>
      <c r="N2037" s="16" t="str">
        <f>IF(M2037="","",IF(M2037&lt;0,-M2037&amp;"_"&amp;COUNTIF(M$2:M2037,M2037),M2037&amp;"_"&amp;COUNTIF(M$2:M2037,M2037)))</f>
        <v>5797.41_1</v>
      </c>
      <c r="O2037" s="17" t="str">
        <f t="shared" si="31"/>
        <v/>
      </c>
      <c r="P2037" s="13" t="s">
        <v>76</v>
      </c>
      <c r="Q2037" s="13" t="s">
        <v>70</v>
      </c>
      <c r="R2037" s="13" t="s">
        <v>0</v>
      </c>
      <c r="S2037" s="13" t="s">
        <v>0</v>
      </c>
      <c r="T2037" s="13" t="s">
        <v>9</v>
      </c>
      <c r="U2037" s="13" t="s">
        <v>0</v>
      </c>
      <c r="V2037" s="13" t="s">
        <v>0</v>
      </c>
      <c r="W2037" s="13" t="s">
        <v>0</v>
      </c>
      <c r="X2037" s="13" t="s">
        <v>0</v>
      </c>
      <c r="Y2037" s="13" t="s">
        <v>10</v>
      </c>
      <c r="Z2037" s="13" t="s">
        <v>0</v>
      </c>
      <c r="AA2037" s="14"/>
      <c r="AB2037" s="13" t="s">
        <v>0</v>
      </c>
      <c r="AC2037" s="13" t="s">
        <v>0</v>
      </c>
      <c r="AD2037" s="13" t="s">
        <v>0</v>
      </c>
      <c r="AE2037" s="15">
        <v>0</v>
      </c>
    </row>
    <row r="2038" spans="1:31" ht="14.15" customHeight="1" x14ac:dyDescent="0.25">
      <c r="A2038" s="12" t="s">
        <v>0</v>
      </c>
      <c r="B2038" s="13" t="s">
        <v>1</v>
      </c>
      <c r="C2038" s="13" t="s">
        <v>1926</v>
      </c>
      <c r="D2038" s="14">
        <v>44191</v>
      </c>
      <c r="E2038" s="14">
        <v>44191</v>
      </c>
      <c r="F2038" s="14">
        <v>44194</v>
      </c>
      <c r="G2038" s="13" t="s">
        <v>3</v>
      </c>
      <c r="H2038" s="13" t="s">
        <v>4</v>
      </c>
      <c r="I2038" s="15">
        <v>-5796.9</v>
      </c>
      <c r="J2038" s="13" t="s">
        <v>5</v>
      </c>
      <c r="K2038" s="13" t="s">
        <v>6</v>
      </c>
      <c r="L2038" s="15">
        <v>-486649.76</v>
      </c>
      <c r="M2038" s="15">
        <v>-5796.9</v>
      </c>
      <c r="N2038" s="16" t="str">
        <f>IF(M2038="","",IF(M2038&lt;0,-M2038&amp;"_"&amp;COUNTIF(M$2:M2038,M2038),M2038&amp;"_"&amp;COUNTIF(M$2:M2038,M2038)))</f>
        <v>5796.9_1</v>
      </c>
      <c r="O2038" s="17" t="str">
        <f t="shared" si="31"/>
        <v/>
      </c>
      <c r="P2038" s="13" t="s">
        <v>1927</v>
      </c>
      <c r="Q2038" s="13" t="s">
        <v>1908</v>
      </c>
      <c r="R2038" s="13" t="s">
        <v>0</v>
      </c>
      <c r="S2038" s="13" t="s">
        <v>0</v>
      </c>
      <c r="T2038" s="13" t="s">
        <v>9</v>
      </c>
      <c r="U2038" s="13" t="s">
        <v>0</v>
      </c>
      <c r="V2038" s="13" t="s">
        <v>0</v>
      </c>
      <c r="W2038" s="13" t="s">
        <v>0</v>
      </c>
      <c r="X2038" s="13" t="s">
        <v>0</v>
      </c>
      <c r="Y2038" s="13" t="s">
        <v>10</v>
      </c>
      <c r="Z2038" s="13" t="s">
        <v>0</v>
      </c>
      <c r="AA2038" s="14"/>
      <c r="AB2038" s="13" t="s">
        <v>0</v>
      </c>
      <c r="AC2038" s="13" t="s">
        <v>0</v>
      </c>
      <c r="AD2038" s="13" t="s">
        <v>0</v>
      </c>
      <c r="AE2038" s="15">
        <v>0</v>
      </c>
    </row>
    <row r="2039" spans="1:31" ht="14.15" customHeight="1" x14ac:dyDescent="0.25">
      <c r="A2039" s="12" t="s">
        <v>0</v>
      </c>
      <c r="B2039" s="13" t="s">
        <v>1</v>
      </c>
      <c r="C2039" s="13" t="s">
        <v>1052</v>
      </c>
      <c r="D2039" s="14">
        <v>44131</v>
      </c>
      <c r="E2039" s="14">
        <v>44131</v>
      </c>
      <c r="F2039" s="14">
        <v>44138</v>
      </c>
      <c r="G2039" s="13" t="s">
        <v>3</v>
      </c>
      <c r="H2039" s="13" t="s">
        <v>4</v>
      </c>
      <c r="I2039" s="15">
        <v>-5778.16</v>
      </c>
      <c r="J2039" s="13" t="s">
        <v>5</v>
      </c>
      <c r="K2039" s="13" t="s">
        <v>6</v>
      </c>
      <c r="L2039" s="15">
        <v>-485076.53</v>
      </c>
      <c r="M2039" s="15">
        <v>-5778.16</v>
      </c>
      <c r="N2039" s="16" t="str">
        <f>IF(M2039="","",IF(M2039&lt;0,-M2039&amp;"_"&amp;COUNTIF(M$2:M2039,M2039),M2039&amp;"_"&amp;COUNTIF(M$2:M2039,M2039)))</f>
        <v>5778.16_1</v>
      </c>
      <c r="O2039" s="17" t="str">
        <f t="shared" si="31"/>
        <v/>
      </c>
      <c r="P2039" s="13" t="s">
        <v>1053</v>
      </c>
      <c r="Q2039" s="13" t="s">
        <v>1041</v>
      </c>
      <c r="R2039" s="13" t="s">
        <v>0</v>
      </c>
      <c r="S2039" s="13" t="s">
        <v>0</v>
      </c>
      <c r="T2039" s="13" t="s">
        <v>9</v>
      </c>
      <c r="U2039" s="13" t="s">
        <v>0</v>
      </c>
      <c r="V2039" s="13" t="s">
        <v>0</v>
      </c>
      <c r="W2039" s="13" t="s">
        <v>0</v>
      </c>
      <c r="X2039" s="13" t="s">
        <v>0</v>
      </c>
      <c r="Y2039" s="13" t="s">
        <v>10</v>
      </c>
      <c r="Z2039" s="13" t="s">
        <v>0</v>
      </c>
      <c r="AA2039" s="14"/>
      <c r="AB2039" s="13" t="s">
        <v>0</v>
      </c>
      <c r="AC2039" s="13" t="s">
        <v>0</v>
      </c>
      <c r="AD2039" s="13" t="s">
        <v>0</v>
      </c>
      <c r="AE2039" s="15">
        <v>0</v>
      </c>
    </row>
    <row r="2040" spans="1:31" ht="14.15" customHeight="1" x14ac:dyDescent="0.25">
      <c r="A2040" s="12" t="s">
        <v>0</v>
      </c>
      <c r="B2040" s="13" t="s">
        <v>1</v>
      </c>
      <c r="C2040" s="13" t="s">
        <v>3545</v>
      </c>
      <c r="D2040" s="14">
        <v>44324</v>
      </c>
      <c r="E2040" s="14">
        <v>44324</v>
      </c>
      <c r="F2040" s="14">
        <v>44340</v>
      </c>
      <c r="G2040" s="13" t="s">
        <v>3</v>
      </c>
      <c r="H2040" s="13" t="s">
        <v>4</v>
      </c>
      <c r="I2040" s="15">
        <v>-5776.97</v>
      </c>
      <c r="J2040" s="13" t="s">
        <v>5</v>
      </c>
      <c r="K2040" s="13" t="s">
        <v>6</v>
      </c>
      <c r="L2040" s="15">
        <v>-484976.63</v>
      </c>
      <c r="M2040" s="15">
        <v>-5776.97</v>
      </c>
      <c r="N2040" s="16" t="str">
        <f>IF(M2040="","",IF(M2040&lt;0,-M2040&amp;"_"&amp;COUNTIF(M$2:M2040,M2040),M2040&amp;"_"&amp;COUNTIF(M$2:M2040,M2040)))</f>
        <v>5776.97_1</v>
      </c>
      <c r="O2040" s="17" t="str">
        <f t="shared" si="31"/>
        <v/>
      </c>
      <c r="P2040" s="13" t="s">
        <v>3546</v>
      </c>
      <c r="Q2040" s="13" t="s">
        <v>3512</v>
      </c>
      <c r="R2040" s="13" t="s">
        <v>0</v>
      </c>
      <c r="S2040" s="13" t="s">
        <v>0</v>
      </c>
      <c r="T2040" s="13" t="s">
        <v>9</v>
      </c>
      <c r="U2040" s="13" t="s">
        <v>0</v>
      </c>
      <c r="V2040" s="13" t="s">
        <v>0</v>
      </c>
      <c r="W2040" s="13" t="s">
        <v>0</v>
      </c>
      <c r="X2040" s="13" t="s">
        <v>0</v>
      </c>
      <c r="Y2040" s="13" t="s">
        <v>10</v>
      </c>
      <c r="Z2040" s="13" t="s">
        <v>0</v>
      </c>
      <c r="AA2040" s="14"/>
      <c r="AB2040" s="13" t="s">
        <v>0</v>
      </c>
      <c r="AC2040" s="13" t="s">
        <v>0</v>
      </c>
      <c r="AD2040" s="13" t="s">
        <v>0</v>
      </c>
      <c r="AE2040" s="15">
        <v>0</v>
      </c>
    </row>
    <row r="2041" spans="1:31" ht="14.15" customHeight="1" x14ac:dyDescent="0.25">
      <c r="A2041" s="12" t="s">
        <v>0</v>
      </c>
      <c r="B2041" s="13" t="s">
        <v>1</v>
      </c>
      <c r="C2041" s="13" t="s">
        <v>1959</v>
      </c>
      <c r="D2041" s="14">
        <v>44195</v>
      </c>
      <c r="E2041" s="14">
        <v>44195</v>
      </c>
      <c r="F2041" s="14">
        <v>44199</v>
      </c>
      <c r="G2041" s="13" t="s">
        <v>3</v>
      </c>
      <c r="H2041" s="13" t="s">
        <v>4</v>
      </c>
      <c r="I2041" s="15">
        <v>-5776.57</v>
      </c>
      <c r="J2041" s="13" t="s">
        <v>5</v>
      </c>
      <c r="K2041" s="13" t="s">
        <v>6</v>
      </c>
      <c r="L2041" s="15">
        <v>-484943.05</v>
      </c>
      <c r="M2041" s="15">
        <v>-5776.57</v>
      </c>
      <c r="N2041" s="16" t="str">
        <f>IF(M2041="","",IF(M2041&lt;0,-M2041&amp;"_"&amp;COUNTIF(M$2:M2041,M2041),M2041&amp;"_"&amp;COUNTIF(M$2:M2041,M2041)))</f>
        <v>5776.57_1</v>
      </c>
      <c r="O2041" s="17" t="str">
        <f t="shared" si="31"/>
        <v/>
      </c>
      <c r="P2041" s="13" t="s">
        <v>1960</v>
      </c>
      <c r="Q2041" s="13" t="s">
        <v>1956</v>
      </c>
      <c r="R2041" s="13" t="s">
        <v>0</v>
      </c>
      <c r="S2041" s="13" t="s">
        <v>0</v>
      </c>
      <c r="T2041" s="13" t="s">
        <v>9</v>
      </c>
      <c r="U2041" s="13" t="s">
        <v>0</v>
      </c>
      <c r="V2041" s="13" t="s">
        <v>0</v>
      </c>
      <c r="W2041" s="13" t="s">
        <v>0</v>
      </c>
      <c r="X2041" s="13" t="s">
        <v>0</v>
      </c>
      <c r="Y2041" s="13" t="s">
        <v>10</v>
      </c>
      <c r="Z2041" s="13" t="s">
        <v>0</v>
      </c>
      <c r="AA2041" s="14"/>
      <c r="AB2041" s="13" t="s">
        <v>0</v>
      </c>
      <c r="AC2041" s="13" t="s">
        <v>0</v>
      </c>
      <c r="AD2041" s="13" t="s">
        <v>0</v>
      </c>
      <c r="AE2041" s="15">
        <v>0</v>
      </c>
    </row>
    <row r="2042" spans="1:31" ht="14.15" customHeight="1" x14ac:dyDescent="0.25">
      <c r="A2042" s="12" t="s">
        <v>0</v>
      </c>
      <c r="B2042" s="13" t="s">
        <v>1</v>
      </c>
      <c r="C2042" s="13" t="s">
        <v>3040</v>
      </c>
      <c r="D2042" s="14">
        <v>44282</v>
      </c>
      <c r="E2042" s="14">
        <v>44282</v>
      </c>
      <c r="F2042" s="14">
        <v>44287</v>
      </c>
      <c r="G2042" s="13" t="s">
        <v>3</v>
      </c>
      <c r="H2042" s="13" t="s">
        <v>4</v>
      </c>
      <c r="I2042" s="15">
        <v>-5774.62</v>
      </c>
      <c r="J2042" s="13" t="s">
        <v>5</v>
      </c>
      <c r="K2042" s="13" t="s">
        <v>6</v>
      </c>
      <c r="L2042" s="15">
        <v>-484779.35</v>
      </c>
      <c r="M2042" s="15">
        <v>-5774.62</v>
      </c>
      <c r="N2042" s="16" t="str">
        <f>IF(M2042="","",IF(M2042&lt;0,-M2042&amp;"_"&amp;COUNTIF(M$2:M2042,M2042),M2042&amp;"_"&amp;COUNTIF(M$2:M2042,M2042)))</f>
        <v>5774.62_1</v>
      </c>
      <c r="O2042" s="17" t="str">
        <f t="shared" si="31"/>
        <v/>
      </c>
      <c r="P2042" s="13" t="s">
        <v>3041</v>
      </c>
      <c r="Q2042" s="13" t="s">
        <v>3035</v>
      </c>
      <c r="R2042" s="13" t="s">
        <v>0</v>
      </c>
      <c r="S2042" s="13" t="s">
        <v>0</v>
      </c>
      <c r="T2042" s="13" t="s">
        <v>9</v>
      </c>
      <c r="U2042" s="13" t="s">
        <v>0</v>
      </c>
      <c r="V2042" s="13" t="s">
        <v>0</v>
      </c>
      <c r="W2042" s="13" t="s">
        <v>0</v>
      </c>
      <c r="X2042" s="13" t="s">
        <v>0</v>
      </c>
      <c r="Y2042" s="13" t="s">
        <v>10</v>
      </c>
      <c r="Z2042" s="13" t="s">
        <v>0</v>
      </c>
      <c r="AA2042" s="14"/>
      <c r="AB2042" s="13" t="s">
        <v>0</v>
      </c>
      <c r="AC2042" s="13" t="s">
        <v>0</v>
      </c>
      <c r="AD2042" s="13" t="s">
        <v>0</v>
      </c>
      <c r="AE2042" s="15">
        <v>0</v>
      </c>
    </row>
    <row r="2043" spans="1:31" ht="14.15" customHeight="1" x14ac:dyDescent="0.25">
      <c r="A2043" s="12" t="s">
        <v>0</v>
      </c>
      <c r="B2043" s="13" t="s">
        <v>1</v>
      </c>
      <c r="C2043" s="13" t="s">
        <v>2346</v>
      </c>
      <c r="D2043" s="14">
        <v>44224</v>
      </c>
      <c r="E2043" s="14">
        <v>44224</v>
      </c>
      <c r="F2043" s="14">
        <v>44228</v>
      </c>
      <c r="G2043" s="13" t="s">
        <v>3</v>
      </c>
      <c r="H2043" s="13" t="s">
        <v>4</v>
      </c>
      <c r="I2043" s="15">
        <v>-5763.77</v>
      </c>
      <c r="J2043" s="13" t="s">
        <v>5</v>
      </c>
      <c r="K2043" s="13" t="s">
        <v>6</v>
      </c>
      <c r="L2043" s="15">
        <v>-483868.49</v>
      </c>
      <c r="M2043" s="15">
        <v>-5763.77</v>
      </c>
      <c r="N2043" s="16" t="str">
        <f>IF(M2043="","",IF(M2043&lt;0,-M2043&amp;"_"&amp;COUNTIF(M$2:M2043,M2043),M2043&amp;"_"&amp;COUNTIF(M$2:M2043,M2043)))</f>
        <v>5763.77_1</v>
      </c>
      <c r="O2043" s="17" t="str">
        <f t="shared" si="31"/>
        <v/>
      </c>
      <c r="P2043" s="13" t="s">
        <v>2347</v>
      </c>
      <c r="Q2043" s="13" t="s">
        <v>2345</v>
      </c>
      <c r="R2043" s="13" t="s">
        <v>0</v>
      </c>
      <c r="S2043" s="13" t="s">
        <v>0</v>
      </c>
      <c r="T2043" s="13" t="s">
        <v>9</v>
      </c>
      <c r="U2043" s="13" t="s">
        <v>0</v>
      </c>
      <c r="V2043" s="13" t="s">
        <v>0</v>
      </c>
      <c r="W2043" s="13" t="s">
        <v>0</v>
      </c>
      <c r="X2043" s="13" t="s">
        <v>0</v>
      </c>
      <c r="Y2043" s="13" t="s">
        <v>10</v>
      </c>
      <c r="Z2043" s="13" t="s">
        <v>0</v>
      </c>
      <c r="AA2043" s="14"/>
      <c r="AB2043" s="13" t="s">
        <v>0</v>
      </c>
      <c r="AC2043" s="13" t="s">
        <v>0</v>
      </c>
      <c r="AD2043" s="13" t="s">
        <v>0</v>
      </c>
      <c r="AE2043" s="15">
        <v>0</v>
      </c>
    </row>
    <row r="2044" spans="1:31" ht="14.15" customHeight="1" x14ac:dyDescent="0.25">
      <c r="A2044" s="12" t="s">
        <v>0</v>
      </c>
      <c r="B2044" s="13" t="s">
        <v>1</v>
      </c>
      <c r="C2044" s="13" t="s">
        <v>1118</v>
      </c>
      <c r="D2044" s="14">
        <v>44137</v>
      </c>
      <c r="E2044" s="14">
        <v>44137</v>
      </c>
      <c r="F2044" s="14">
        <v>44139</v>
      </c>
      <c r="G2044" s="13" t="s">
        <v>3</v>
      </c>
      <c r="H2044" s="13" t="s">
        <v>4</v>
      </c>
      <c r="I2044" s="15">
        <v>-5744.59</v>
      </c>
      <c r="J2044" s="13" t="s">
        <v>5</v>
      </c>
      <c r="K2044" s="13" t="s">
        <v>6</v>
      </c>
      <c r="L2044" s="15">
        <v>-482258.33</v>
      </c>
      <c r="M2044" s="15">
        <v>-5744.59</v>
      </c>
      <c r="N2044" s="16" t="str">
        <f>IF(M2044="","",IF(M2044&lt;0,-M2044&amp;"_"&amp;COUNTIF(M$2:M2044,M2044),M2044&amp;"_"&amp;COUNTIF(M$2:M2044,M2044)))</f>
        <v>5744.59_1</v>
      </c>
      <c r="O2044" s="17" t="str">
        <f t="shared" si="31"/>
        <v/>
      </c>
      <c r="P2044" s="13" t="s">
        <v>1119</v>
      </c>
      <c r="Q2044" s="13" t="s">
        <v>1120</v>
      </c>
      <c r="R2044" s="13" t="s">
        <v>0</v>
      </c>
      <c r="S2044" s="13" t="s">
        <v>0</v>
      </c>
      <c r="T2044" s="13" t="s">
        <v>9</v>
      </c>
      <c r="U2044" s="13" t="s">
        <v>0</v>
      </c>
      <c r="V2044" s="13" t="s">
        <v>0</v>
      </c>
      <c r="W2044" s="13" t="s">
        <v>0</v>
      </c>
      <c r="X2044" s="13" t="s">
        <v>0</v>
      </c>
      <c r="Y2044" s="13" t="s">
        <v>10</v>
      </c>
      <c r="Z2044" s="13" t="s">
        <v>0</v>
      </c>
      <c r="AA2044" s="14"/>
      <c r="AB2044" s="13" t="s">
        <v>0</v>
      </c>
      <c r="AC2044" s="13" t="s">
        <v>0</v>
      </c>
      <c r="AD2044" s="13" t="s">
        <v>0</v>
      </c>
      <c r="AE2044" s="15">
        <v>0</v>
      </c>
    </row>
    <row r="2045" spans="1:31" ht="14.15" customHeight="1" x14ac:dyDescent="0.25">
      <c r="A2045" s="12" t="s">
        <v>0</v>
      </c>
      <c r="B2045" s="13" t="s">
        <v>1</v>
      </c>
      <c r="C2045" s="13" t="s">
        <v>1819</v>
      </c>
      <c r="D2045" s="14">
        <v>44183</v>
      </c>
      <c r="E2045" s="14">
        <v>44183</v>
      </c>
      <c r="F2045" s="14">
        <v>44188</v>
      </c>
      <c r="G2045" s="13" t="s">
        <v>3</v>
      </c>
      <c r="H2045" s="13" t="s">
        <v>4</v>
      </c>
      <c r="I2045" s="15">
        <v>-5735.82</v>
      </c>
      <c r="J2045" s="13" t="s">
        <v>5</v>
      </c>
      <c r="K2045" s="13" t="s">
        <v>6</v>
      </c>
      <c r="L2045" s="15">
        <v>-481522.09</v>
      </c>
      <c r="M2045" s="15">
        <v>-5735.82</v>
      </c>
      <c r="N2045" s="16" t="str">
        <f>IF(M2045="","",IF(M2045&lt;0,-M2045&amp;"_"&amp;COUNTIF(M$2:M2045,M2045),M2045&amp;"_"&amp;COUNTIF(M$2:M2045,M2045)))</f>
        <v>5735.82_1</v>
      </c>
      <c r="O2045" s="17" t="str">
        <f t="shared" si="31"/>
        <v/>
      </c>
      <c r="P2045" s="13" t="s">
        <v>1820</v>
      </c>
      <c r="Q2045" s="13" t="s">
        <v>1792</v>
      </c>
      <c r="R2045" s="13" t="s">
        <v>0</v>
      </c>
      <c r="S2045" s="13" t="s">
        <v>0</v>
      </c>
      <c r="T2045" s="13" t="s">
        <v>9</v>
      </c>
      <c r="U2045" s="13" t="s">
        <v>0</v>
      </c>
      <c r="V2045" s="13" t="s">
        <v>0</v>
      </c>
      <c r="W2045" s="13" t="s">
        <v>0</v>
      </c>
      <c r="X2045" s="13" t="s">
        <v>0</v>
      </c>
      <c r="Y2045" s="13" t="s">
        <v>10</v>
      </c>
      <c r="Z2045" s="13" t="s">
        <v>0</v>
      </c>
      <c r="AA2045" s="14"/>
      <c r="AB2045" s="13" t="s">
        <v>0</v>
      </c>
      <c r="AC2045" s="13" t="s">
        <v>0</v>
      </c>
      <c r="AD2045" s="13" t="s">
        <v>0</v>
      </c>
      <c r="AE2045" s="15">
        <v>0</v>
      </c>
    </row>
    <row r="2046" spans="1:31" ht="14.15" customHeight="1" x14ac:dyDescent="0.25">
      <c r="A2046" s="12" t="s">
        <v>0</v>
      </c>
      <c r="B2046" s="13" t="s">
        <v>1</v>
      </c>
      <c r="C2046" s="13" t="s">
        <v>4098</v>
      </c>
      <c r="D2046" s="14">
        <v>44362</v>
      </c>
      <c r="E2046" s="14">
        <v>44362</v>
      </c>
      <c r="F2046" s="14">
        <v>44366</v>
      </c>
      <c r="G2046" s="13" t="s">
        <v>3</v>
      </c>
      <c r="H2046" s="13" t="s">
        <v>4</v>
      </c>
      <c r="I2046" s="15">
        <v>-5730.85</v>
      </c>
      <c r="J2046" s="13" t="s">
        <v>5</v>
      </c>
      <c r="K2046" s="13" t="s">
        <v>6</v>
      </c>
      <c r="L2046" s="15">
        <v>-481104.86</v>
      </c>
      <c r="M2046" s="15">
        <v>-5730.85</v>
      </c>
      <c r="N2046" s="16" t="str">
        <f>IF(M2046="","",IF(M2046&lt;0,-M2046&amp;"_"&amp;COUNTIF(M$2:M2046,M2046),M2046&amp;"_"&amp;COUNTIF(M$2:M2046,M2046)))</f>
        <v>5730.85_1</v>
      </c>
      <c r="O2046" s="17" t="str">
        <f t="shared" si="31"/>
        <v/>
      </c>
      <c r="P2046" s="13" t="s">
        <v>4099</v>
      </c>
      <c r="Q2046" s="13" t="s">
        <v>4100</v>
      </c>
      <c r="R2046" s="13" t="s">
        <v>0</v>
      </c>
      <c r="S2046" s="13" t="s">
        <v>0</v>
      </c>
      <c r="T2046" s="13" t="s">
        <v>9</v>
      </c>
      <c r="U2046" s="13" t="s">
        <v>0</v>
      </c>
      <c r="V2046" s="13" t="s">
        <v>0</v>
      </c>
      <c r="W2046" s="13" t="s">
        <v>0</v>
      </c>
      <c r="X2046" s="13" t="s">
        <v>0</v>
      </c>
      <c r="Y2046" s="13" t="s">
        <v>10</v>
      </c>
      <c r="Z2046" s="13" t="s">
        <v>0</v>
      </c>
      <c r="AA2046" s="14"/>
      <c r="AB2046" s="13" t="s">
        <v>0</v>
      </c>
      <c r="AC2046" s="13" t="s">
        <v>0</v>
      </c>
      <c r="AD2046" s="13" t="s">
        <v>0</v>
      </c>
      <c r="AE2046" s="15">
        <v>0</v>
      </c>
    </row>
    <row r="2047" spans="1:31" ht="14.15" customHeight="1" x14ac:dyDescent="0.25">
      <c r="A2047" s="12" t="s">
        <v>0</v>
      </c>
      <c r="B2047" s="13" t="s">
        <v>1</v>
      </c>
      <c r="C2047" s="13" t="s">
        <v>1865</v>
      </c>
      <c r="D2047" s="14">
        <v>44187</v>
      </c>
      <c r="E2047" s="14">
        <v>44187</v>
      </c>
      <c r="F2047" s="14">
        <v>44198</v>
      </c>
      <c r="G2047" s="13" t="s">
        <v>3</v>
      </c>
      <c r="H2047" s="13" t="s">
        <v>4</v>
      </c>
      <c r="I2047" s="15">
        <v>-5722.06</v>
      </c>
      <c r="J2047" s="13" t="s">
        <v>5</v>
      </c>
      <c r="K2047" s="13" t="s">
        <v>6</v>
      </c>
      <c r="L2047" s="15">
        <v>-480366.94</v>
      </c>
      <c r="M2047" s="15">
        <v>-5722.06</v>
      </c>
      <c r="N2047" s="16" t="str">
        <f>IF(M2047="","",IF(M2047&lt;0,-M2047&amp;"_"&amp;COUNTIF(M$2:M2047,M2047),M2047&amp;"_"&amp;COUNTIF(M$2:M2047,M2047)))</f>
        <v>5722.06_1</v>
      </c>
      <c r="O2047" s="17" t="str">
        <f t="shared" si="31"/>
        <v/>
      </c>
      <c r="P2047" s="13" t="s">
        <v>1866</v>
      </c>
      <c r="Q2047" s="13" t="s">
        <v>1862</v>
      </c>
      <c r="R2047" s="13" t="s">
        <v>0</v>
      </c>
      <c r="S2047" s="13" t="s">
        <v>0</v>
      </c>
      <c r="T2047" s="13" t="s">
        <v>9</v>
      </c>
      <c r="U2047" s="13" t="s">
        <v>0</v>
      </c>
      <c r="V2047" s="13" t="s">
        <v>0</v>
      </c>
      <c r="W2047" s="13" t="s">
        <v>0</v>
      </c>
      <c r="X2047" s="13" t="s">
        <v>0</v>
      </c>
      <c r="Y2047" s="13" t="s">
        <v>10</v>
      </c>
      <c r="Z2047" s="13" t="s">
        <v>0</v>
      </c>
      <c r="AA2047" s="14"/>
      <c r="AB2047" s="13" t="s">
        <v>0</v>
      </c>
      <c r="AC2047" s="13" t="s">
        <v>0</v>
      </c>
      <c r="AD2047" s="13" t="s">
        <v>0</v>
      </c>
      <c r="AE2047" s="15">
        <v>0</v>
      </c>
    </row>
    <row r="2048" spans="1:31" ht="14.15" customHeight="1" x14ac:dyDescent="0.25">
      <c r="A2048" s="12" t="s">
        <v>0</v>
      </c>
      <c r="B2048" s="13" t="s">
        <v>1</v>
      </c>
      <c r="C2048" s="13" t="s">
        <v>2908</v>
      </c>
      <c r="D2048" s="14">
        <v>44275</v>
      </c>
      <c r="E2048" s="14">
        <v>44275</v>
      </c>
      <c r="F2048" s="14">
        <v>44286</v>
      </c>
      <c r="G2048" s="13" t="s">
        <v>3</v>
      </c>
      <c r="H2048" s="13" t="s">
        <v>4</v>
      </c>
      <c r="I2048" s="15">
        <v>-5699.8</v>
      </c>
      <c r="J2048" s="13" t="s">
        <v>5</v>
      </c>
      <c r="K2048" s="13" t="s">
        <v>6</v>
      </c>
      <c r="L2048" s="15">
        <v>-478498.21</v>
      </c>
      <c r="M2048" s="15">
        <v>-5699.8</v>
      </c>
      <c r="N2048" s="16" t="str">
        <f>IF(M2048="","",IF(M2048&lt;0,-M2048&amp;"_"&amp;COUNTIF(M$2:M2048,M2048),M2048&amp;"_"&amp;COUNTIF(M$2:M2048,M2048)))</f>
        <v>5699.8_1</v>
      </c>
      <c r="O2048" s="17" t="str">
        <f t="shared" si="31"/>
        <v/>
      </c>
      <c r="P2048" s="13" t="s">
        <v>2909</v>
      </c>
      <c r="Q2048" s="13" t="s">
        <v>2881</v>
      </c>
      <c r="R2048" s="13" t="s">
        <v>0</v>
      </c>
      <c r="S2048" s="13" t="s">
        <v>0</v>
      </c>
      <c r="T2048" s="13" t="s">
        <v>9</v>
      </c>
      <c r="U2048" s="13" t="s">
        <v>0</v>
      </c>
      <c r="V2048" s="13" t="s">
        <v>0</v>
      </c>
      <c r="W2048" s="13" t="s">
        <v>0</v>
      </c>
      <c r="X2048" s="13" t="s">
        <v>0</v>
      </c>
      <c r="Y2048" s="13" t="s">
        <v>10</v>
      </c>
      <c r="Z2048" s="13" t="s">
        <v>0</v>
      </c>
      <c r="AA2048" s="14"/>
      <c r="AB2048" s="13" t="s">
        <v>0</v>
      </c>
      <c r="AC2048" s="13" t="s">
        <v>0</v>
      </c>
      <c r="AD2048" s="13" t="s">
        <v>0</v>
      </c>
      <c r="AE2048" s="15">
        <v>0</v>
      </c>
    </row>
    <row r="2049" spans="1:31" ht="14.15" customHeight="1" x14ac:dyDescent="0.25">
      <c r="A2049" s="12" t="s">
        <v>0</v>
      </c>
      <c r="B2049" s="13" t="s">
        <v>1</v>
      </c>
      <c r="C2049" s="13" t="s">
        <v>1853</v>
      </c>
      <c r="D2049" s="14">
        <v>44186</v>
      </c>
      <c r="E2049" s="14">
        <v>44186</v>
      </c>
      <c r="F2049" s="14">
        <v>44189</v>
      </c>
      <c r="G2049" s="13" t="s">
        <v>3</v>
      </c>
      <c r="H2049" s="13" t="s">
        <v>4</v>
      </c>
      <c r="I2049" s="15">
        <v>-5695.54</v>
      </c>
      <c r="J2049" s="13" t="s">
        <v>5</v>
      </c>
      <c r="K2049" s="13" t="s">
        <v>6</v>
      </c>
      <c r="L2049" s="15">
        <v>-478140.58</v>
      </c>
      <c r="M2049" s="15">
        <v>-5695.54</v>
      </c>
      <c r="N2049" s="16" t="str">
        <f>IF(M2049="","",IF(M2049&lt;0,-M2049&amp;"_"&amp;COUNTIF(M$2:M2049,M2049),M2049&amp;"_"&amp;COUNTIF(M$2:M2049,M2049)))</f>
        <v>5695.54_1</v>
      </c>
      <c r="O2049" s="17" t="str">
        <f t="shared" si="31"/>
        <v/>
      </c>
      <c r="P2049" s="13" t="s">
        <v>1854</v>
      </c>
      <c r="Q2049" s="13" t="s">
        <v>1855</v>
      </c>
      <c r="R2049" s="13" t="s">
        <v>0</v>
      </c>
      <c r="S2049" s="13" t="s">
        <v>0</v>
      </c>
      <c r="T2049" s="13" t="s">
        <v>9</v>
      </c>
      <c r="U2049" s="13" t="s">
        <v>0</v>
      </c>
      <c r="V2049" s="13" t="s">
        <v>0</v>
      </c>
      <c r="W2049" s="13" t="s">
        <v>0</v>
      </c>
      <c r="X2049" s="13" t="s">
        <v>0</v>
      </c>
      <c r="Y2049" s="13" t="s">
        <v>10</v>
      </c>
      <c r="Z2049" s="13" t="s">
        <v>0</v>
      </c>
      <c r="AA2049" s="14"/>
      <c r="AB2049" s="13" t="s">
        <v>0</v>
      </c>
      <c r="AC2049" s="13" t="s">
        <v>0</v>
      </c>
      <c r="AD2049" s="13" t="s">
        <v>0</v>
      </c>
      <c r="AE2049" s="15">
        <v>0</v>
      </c>
    </row>
    <row r="2050" spans="1:31" ht="14.15" customHeight="1" x14ac:dyDescent="0.25">
      <c r="A2050" s="12" t="s">
        <v>0</v>
      </c>
      <c r="B2050" s="13" t="s">
        <v>1</v>
      </c>
      <c r="C2050" s="13" t="s">
        <v>2337</v>
      </c>
      <c r="D2050" s="14">
        <v>44222</v>
      </c>
      <c r="E2050" s="14">
        <v>44222</v>
      </c>
      <c r="F2050" s="14">
        <v>44227</v>
      </c>
      <c r="G2050" s="13" t="s">
        <v>3</v>
      </c>
      <c r="H2050" s="13" t="s">
        <v>4</v>
      </c>
      <c r="I2050" s="15">
        <v>-5685.27</v>
      </c>
      <c r="J2050" s="13" t="s">
        <v>5</v>
      </c>
      <c r="K2050" s="13" t="s">
        <v>6</v>
      </c>
      <c r="L2050" s="15">
        <v>-477278.42</v>
      </c>
      <c r="M2050" s="15">
        <v>-5685.27</v>
      </c>
      <c r="N2050" s="16" t="str">
        <f>IF(M2050="","",IF(M2050&lt;0,-M2050&amp;"_"&amp;COUNTIF(M$2:M2050,M2050),M2050&amp;"_"&amp;COUNTIF(M$2:M2050,M2050)))</f>
        <v>5685.27_1</v>
      </c>
      <c r="O2050" s="17" t="str">
        <f t="shared" ref="O2050:O2113" si="32">IF(COUNTIF(N:N,N2050)=2,"x","")</f>
        <v/>
      </c>
      <c r="P2050" s="13" t="s">
        <v>2338</v>
      </c>
      <c r="Q2050" s="13" t="s">
        <v>2339</v>
      </c>
      <c r="R2050" s="13" t="s">
        <v>0</v>
      </c>
      <c r="S2050" s="13" t="s">
        <v>0</v>
      </c>
      <c r="T2050" s="13" t="s">
        <v>9</v>
      </c>
      <c r="U2050" s="13" t="s">
        <v>0</v>
      </c>
      <c r="V2050" s="13" t="s">
        <v>0</v>
      </c>
      <c r="W2050" s="13" t="s">
        <v>0</v>
      </c>
      <c r="X2050" s="13" t="s">
        <v>0</v>
      </c>
      <c r="Y2050" s="13" t="s">
        <v>10</v>
      </c>
      <c r="Z2050" s="13" t="s">
        <v>0</v>
      </c>
      <c r="AA2050" s="14"/>
      <c r="AB2050" s="13" t="s">
        <v>0</v>
      </c>
      <c r="AC2050" s="13" t="s">
        <v>0</v>
      </c>
      <c r="AD2050" s="13" t="s">
        <v>0</v>
      </c>
      <c r="AE2050" s="15">
        <v>0</v>
      </c>
    </row>
    <row r="2051" spans="1:31" ht="14.15" customHeight="1" x14ac:dyDescent="0.25">
      <c r="A2051" s="12" t="s">
        <v>0</v>
      </c>
      <c r="B2051" s="13" t="s">
        <v>1</v>
      </c>
      <c r="C2051" s="13" t="s">
        <v>65</v>
      </c>
      <c r="D2051" s="14">
        <v>44018</v>
      </c>
      <c r="E2051" s="14">
        <v>44018</v>
      </c>
      <c r="F2051" s="14">
        <v>44025</v>
      </c>
      <c r="G2051" s="13" t="s">
        <v>3</v>
      </c>
      <c r="H2051" s="13" t="s">
        <v>4</v>
      </c>
      <c r="I2051" s="15">
        <v>-5675.54</v>
      </c>
      <c r="J2051" s="13" t="s">
        <v>5</v>
      </c>
      <c r="K2051" s="13" t="s">
        <v>6</v>
      </c>
      <c r="L2051" s="15">
        <v>-476461.58</v>
      </c>
      <c r="M2051" s="15">
        <v>-5675.54</v>
      </c>
      <c r="N2051" s="16" t="str">
        <f>IF(M2051="","",IF(M2051&lt;0,-M2051&amp;"_"&amp;COUNTIF(M$2:M2051,M2051),M2051&amp;"_"&amp;COUNTIF(M$2:M2051,M2051)))</f>
        <v>5675.54_1</v>
      </c>
      <c r="O2051" s="17" t="str">
        <f t="shared" si="32"/>
        <v/>
      </c>
      <c r="P2051" s="13" t="s">
        <v>66</v>
      </c>
      <c r="Q2051" s="13" t="s">
        <v>62</v>
      </c>
      <c r="R2051" s="13" t="s">
        <v>0</v>
      </c>
      <c r="S2051" s="13" t="s">
        <v>0</v>
      </c>
      <c r="T2051" s="13" t="s">
        <v>9</v>
      </c>
      <c r="U2051" s="13" t="s">
        <v>0</v>
      </c>
      <c r="V2051" s="13" t="s">
        <v>0</v>
      </c>
      <c r="W2051" s="13" t="s">
        <v>0</v>
      </c>
      <c r="X2051" s="13" t="s">
        <v>0</v>
      </c>
      <c r="Y2051" s="13" t="s">
        <v>10</v>
      </c>
      <c r="Z2051" s="13" t="s">
        <v>0</v>
      </c>
      <c r="AA2051" s="14"/>
      <c r="AB2051" s="13" t="s">
        <v>0</v>
      </c>
      <c r="AC2051" s="13" t="s">
        <v>0</v>
      </c>
      <c r="AD2051" s="13" t="s">
        <v>0</v>
      </c>
      <c r="AE2051" s="15">
        <v>0</v>
      </c>
    </row>
    <row r="2052" spans="1:31" ht="14.15" customHeight="1" x14ac:dyDescent="0.25">
      <c r="A2052" s="12" t="s">
        <v>0</v>
      </c>
      <c r="B2052" s="13" t="s">
        <v>1</v>
      </c>
      <c r="C2052" s="13" t="s">
        <v>2098</v>
      </c>
      <c r="D2052" s="14">
        <v>44199</v>
      </c>
      <c r="E2052" s="14">
        <v>44199</v>
      </c>
      <c r="F2052" s="14">
        <v>44202</v>
      </c>
      <c r="G2052" s="13" t="s">
        <v>3</v>
      </c>
      <c r="H2052" s="13" t="s">
        <v>4</v>
      </c>
      <c r="I2052" s="15">
        <v>-5658.95</v>
      </c>
      <c r="J2052" s="13" t="s">
        <v>5</v>
      </c>
      <c r="K2052" s="13" t="s">
        <v>6</v>
      </c>
      <c r="L2052" s="15">
        <v>-475068.85</v>
      </c>
      <c r="M2052" s="15">
        <v>-5658.95</v>
      </c>
      <c r="N2052" s="16" t="str">
        <f>IF(M2052="","",IF(M2052&lt;0,-M2052&amp;"_"&amp;COUNTIF(M$2:M2052,M2052),M2052&amp;"_"&amp;COUNTIF(M$2:M2052,M2052)))</f>
        <v>5658.95_1</v>
      </c>
      <c r="O2052" s="17" t="str">
        <f t="shared" si="32"/>
        <v/>
      </c>
      <c r="P2052" s="13" t="s">
        <v>2099</v>
      </c>
      <c r="Q2052" s="13" t="s">
        <v>2093</v>
      </c>
      <c r="R2052" s="13" t="s">
        <v>0</v>
      </c>
      <c r="S2052" s="13" t="s">
        <v>0</v>
      </c>
      <c r="T2052" s="13" t="s">
        <v>9</v>
      </c>
      <c r="U2052" s="13" t="s">
        <v>0</v>
      </c>
      <c r="V2052" s="13" t="s">
        <v>0</v>
      </c>
      <c r="W2052" s="13" t="s">
        <v>0</v>
      </c>
      <c r="X2052" s="13" t="s">
        <v>0</v>
      </c>
      <c r="Y2052" s="13" t="s">
        <v>10</v>
      </c>
      <c r="Z2052" s="13" t="s">
        <v>0</v>
      </c>
      <c r="AA2052" s="14"/>
      <c r="AB2052" s="13" t="s">
        <v>0</v>
      </c>
      <c r="AC2052" s="13" t="s">
        <v>0</v>
      </c>
      <c r="AD2052" s="13" t="s">
        <v>0</v>
      </c>
      <c r="AE2052" s="15">
        <v>0</v>
      </c>
    </row>
    <row r="2053" spans="1:31" ht="14.15" customHeight="1" x14ac:dyDescent="0.25">
      <c r="A2053" s="12" t="s">
        <v>0</v>
      </c>
      <c r="B2053" s="13" t="s">
        <v>1</v>
      </c>
      <c r="C2053" s="13" t="s">
        <v>1606</v>
      </c>
      <c r="D2053" s="14">
        <v>44168</v>
      </c>
      <c r="E2053" s="14">
        <v>44168</v>
      </c>
      <c r="F2053" s="14">
        <v>44174</v>
      </c>
      <c r="G2053" s="13" t="s">
        <v>3</v>
      </c>
      <c r="H2053" s="13" t="s">
        <v>4</v>
      </c>
      <c r="I2053" s="15">
        <v>-5644.69</v>
      </c>
      <c r="J2053" s="13" t="s">
        <v>5</v>
      </c>
      <c r="K2053" s="13" t="s">
        <v>6</v>
      </c>
      <c r="L2053" s="15">
        <v>-473871.73</v>
      </c>
      <c r="M2053" s="15">
        <v>-5644.69</v>
      </c>
      <c r="N2053" s="16" t="str">
        <f>IF(M2053="","",IF(M2053&lt;0,-M2053&amp;"_"&amp;COUNTIF(M$2:M2053,M2053),M2053&amp;"_"&amp;COUNTIF(M$2:M2053,M2053)))</f>
        <v>5644.69_1</v>
      </c>
      <c r="O2053" s="17" t="str">
        <f t="shared" si="32"/>
        <v/>
      </c>
      <c r="P2053" s="13" t="s">
        <v>1607</v>
      </c>
      <c r="Q2053" s="13" t="s">
        <v>1605</v>
      </c>
      <c r="R2053" s="13" t="s">
        <v>0</v>
      </c>
      <c r="S2053" s="13" t="s">
        <v>0</v>
      </c>
      <c r="T2053" s="13" t="s">
        <v>9</v>
      </c>
      <c r="U2053" s="13" t="s">
        <v>0</v>
      </c>
      <c r="V2053" s="13" t="s">
        <v>0</v>
      </c>
      <c r="W2053" s="13" t="s">
        <v>0</v>
      </c>
      <c r="X2053" s="13" t="s">
        <v>0</v>
      </c>
      <c r="Y2053" s="13" t="s">
        <v>10</v>
      </c>
      <c r="Z2053" s="13" t="s">
        <v>0</v>
      </c>
      <c r="AA2053" s="14"/>
      <c r="AB2053" s="13" t="s">
        <v>0</v>
      </c>
      <c r="AC2053" s="13" t="s">
        <v>0</v>
      </c>
      <c r="AD2053" s="13" t="s">
        <v>0</v>
      </c>
      <c r="AE2053" s="15">
        <v>0</v>
      </c>
    </row>
    <row r="2054" spans="1:31" ht="14.15" customHeight="1" x14ac:dyDescent="0.25">
      <c r="A2054" s="12" t="s">
        <v>0</v>
      </c>
      <c r="B2054" s="13" t="s">
        <v>1</v>
      </c>
      <c r="C2054" s="13" t="s">
        <v>2106</v>
      </c>
      <c r="D2054" s="14">
        <v>44199</v>
      </c>
      <c r="E2054" s="14">
        <v>44199</v>
      </c>
      <c r="F2054" s="14">
        <v>44208</v>
      </c>
      <c r="G2054" s="13" t="s">
        <v>3</v>
      </c>
      <c r="H2054" s="13" t="s">
        <v>4</v>
      </c>
      <c r="I2054" s="15">
        <v>-5639.72</v>
      </c>
      <c r="J2054" s="13" t="s">
        <v>5</v>
      </c>
      <c r="K2054" s="13" t="s">
        <v>6</v>
      </c>
      <c r="L2054" s="15">
        <v>-473454.49</v>
      </c>
      <c r="M2054" s="15">
        <v>-5639.72</v>
      </c>
      <c r="N2054" s="16" t="str">
        <f>IF(M2054="","",IF(M2054&lt;0,-M2054&amp;"_"&amp;COUNTIF(M$2:M2054,M2054),M2054&amp;"_"&amp;COUNTIF(M$2:M2054,M2054)))</f>
        <v>5639.72_1</v>
      </c>
      <c r="O2054" s="17" t="str">
        <f t="shared" si="32"/>
        <v/>
      </c>
      <c r="P2054" s="13" t="s">
        <v>2107</v>
      </c>
      <c r="Q2054" s="13" t="s">
        <v>2093</v>
      </c>
      <c r="R2054" s="13" t="s">
        <v>0</v>
      </c>
      <c r="S2054" s="13" t="s">
        <v>0</v>
      </c>
      <c r="T2054" s="13" t="s">
        <v>9</v>
      </c>
      <c r="U2054" s="13" t="s">
        <v>0</v>
      </c>
      <c r="V2054" s="13" t="s">
        <v>0</v>
      </c>
      <c r="W2054" s="13" t="s">
        <v>0</v>
      </c>
      <c r="X2054" s="13" t="s">
        <v>0</v>
      </c>
      <c r="Y2054" s="13" t="s">
        <v>10</v>
      </c>
      <c r="Z2054" s="13" t="s">
        <v>0</v>
      </c>
      <c r="AA2054" s="14"/>
      <c r="AB2054" s="13" t="s">
        <v>0</v>
      </c>
      <c r="AC2054" s="13" t="s">
        <v>0</v>
      </c>
      <c r="AD2054" s="13" t="s">
        <v>0</v>
      </c>
      <c r="AE2054" s="15">
        <v>0</v>
      </c>
    </row>
    <row r="2055" spans="1:31" ht="14.15" customHeight="1" x14ac:dyDescent="0.25">
      <c r="A2055" s="12" t="s">
        <v>0</v>
      </c>
      <c r="B2055" s="13" t="s">
        <v>1</v>
      </c>
      <c r="C2055" s="13" t="s">
        <v>3478</v>
      </c>
      <c r="D2055" s="14">
        <v>44320</v>
      </c>
      <c r="E2055" s="14">
        <v>44320</v>
      </c>
      <c r="F2055" s="14">
        <v>44328</v>
      </c>
      <c r="G2055" s="13" t="s">
        <v>3</v>
      </c>
      <c r="H2055" s="13" t="s">
        <v>4</v>
      </c>
      <c r="I2055" s="15">
        <v>-5638.57</v>
      </c>
      <c r="J2055" s="13" t="s">
        <v>5</v>
      </c>
      <c r="K2055" s="13" t="s">
        <v>6</v>
      </c>
      <c r="L2055" s="15">
        <v>-473357.95</v>
      </c>
      <c r="M2055" s="15">
        <v>-5638.57</v>
      </c>
      <c r="N2055" s="16" t="str">
        <f>IF(M2055="","",IF(M2055&lt;0,-M2055&amp;"_"&amp;COUNTIF(M$2:M2055,M2055),M2055&amp;"_"&amp;COUNTIF(M$2:M2055,M2055)))</f>
        <v>5638.57_1</v>
      </c>
      <c r="O2055" s="17" t="str">
        <f t="shared" si="32"/>
        <v/>
      </c>
      <c r="P2055" s="13" t="s">
        <v>3479</v>
      </c>
      <c r="Q2055" s="13" t="s">
        <v>3453</v>
      </c>
      <c r="R2055" s="13" t="s">
        <v>0</v>
      </c>
      <c r="S2055" s="13" t="s">
        <v>0</v>
      </c>
      <c r="T2055" s="13" t="s">
        <v>9</v>
      </c>
      <c r="U2055" s="13" t="s">
        <v>0</v>
      </c>
      <c r="V2055" s="13" t="s">
        <v>0</v>
      </c>
      <c r="W2055" s="13" t="s">
        <v>0</v>
      </c>
      <c r="X2055" s="13" t="s">
        <v>0</v>
      </c>
      <c r="Y2055" s="13" t="s">
        <v>10</v>
      </c>
      <c r="Z2055" s="13" t="s">
        <v>0</v>
      </c>
      <c r="AA2055" s="14"/>
      <c r="AB2055" s="13" t="s">
        <v>0</v>
      </c>
      <c r="AC2055" s="13" t="s">
        <v>0</v>
      </c>
      <c r="AD2055" s="13" t="s">
        <v>0</v>
      </c>
      <c r="AE2055" s="15">
        <v>0</v>
      </c>
    </row>
    <row r="2056" spans="1:31" ht="14.15" customHeight="1" x14ac:dyDescent="0.25">
      <c r="A2056" s="12" t="s">
        <v>0</v>
      </c>
      <c r="B2056" s="13" t="s">
        <v>1</v>
      </c>
      <c r="C2056" s="13" t="s">
        <v>2100</v>
      </c>
      <c r="D2056" s="14">
        <v>44199</v>
      </c>
      <c r="E2056" s="14">
        <v>44199</v>
      </c>
      <c r="F2056" s="14">
        <v>44202</v>
      </c>
      <c r="G2056" s="13" t="s">
        <v>3</v>
      </c>
      <c r="H2056" s="13" t="s">
        <v>4</v>
      </c>
      <c r="I2056" s="15">
        <v>-5634.78</v>
      </c>
      <c r="J2056" s="13" t="s">
        <v>5</v>
      </c>
      <c r="K2056" s="13" t="s">
        <v>6</v>
      </c>
      <c r="L2056" s="15">
        <v>-473039.78</v>
      </c>
      <c r="M2056" s="15">
        <v>-5634.78</v>
      </c>
      <c r="N2056" s="16" t="str">
        <f>IF(M2056="","",IF(M2056&lt;0,-M2056&amp;"_"&amp;COUNTIF(M$2:M2056,M2056),M2056&amp;"_"&amp;COUNTIF(M$2:M2056,M2056)))</f>
        <v>5634.78_1</v>
      </c>
      <c r="O2056" s="17" t="str">
        <f t="shared" si="32"/>
        <v/>
      </c>
      <c r="P2056" s="13" t="s">
        <v>2101</v>
      </c>
      <c r="Q2056" s="13" t="s">
        <v>2093</v>
      </c>
      <c r="R2056" s="13" t="s">
        <v>0</v>
      </c>
      <c r="S2056" s="13" t="s">
        <v>0</v>
      </c>
      <c r="T2056" s="13" t="s">
        <v>9</v>
      </c>
      <c r="U2056" s="13" t="s">
        <v>0</v>
      </c>
      <c r="V2056" s="13" t="s">
        <v>0</v>
      </c>
      <c r="W2056" s="13" t="s">
        <v>0</v>
      </c>
      <c r="X2056" s="13" t="s">
        <v>0</v>
      </c>
      <c r="Y2056" s="13" t="s">
        <v>10</v>
      </c>
      <c r="Z2056" s="13" t="s">
        <v>0</v>
      </c>
      <c r="AA2056" s="14"/>
      <c r="AB2056" s="13" t="s">
        <v>0</v>
      </c>
      <c r="AC2056" s="13" t="s">
        <v>0</v>
      </c>
      <c r="AD2056" s="13" t="s">
        <v>0</v>
      </c>
      <c r="AE2056" s="15">
        <v>0</v>
      </c>
    </row>
    <row r="2057" spans="1:31" ht="14.15" customHeight="1" x14ac:dyDescent="0.25">
      <c r="A2057" s="12" t="s">
        <v>0</v>
      </c>
      <c r="B2057" s="13" t="s">
        <v>1</v>
      </c>
      <c r="C2057" s="13" t="s">
        <v>2100</v>
      </c>
      <c r="D2057" s="14">
        <v>44199</v>
      </c>
      <c r="E2057" s="14">
        <v>44199</v>
      </c>
      <c r="F2057" s="14">
        <v>44202</v>
      </c>
      <c r="G2057" s="13" t="s">
        <v>3</v>
      </c>
      <c r="H2057" s="13" t="s">
        <v>4</v>
      </c>
      <c r="I2057" s="15">
        <v>-5634.78</v>
      </c>
      <c r="J2057" s="13" t="s">
        <v>5</v>
      </c>
      <c r="K2057" s="13" t="s">
        <v>6</v>
      </c>
      <c r="L2057" s="15">
        <v>-473039.78</v>
      </c>
      <c r="M2057" s="15">
        <v>-5634.78</v>
      </c>
      <c r="N2057" s="16" t="str">
        <f>IF(M2057="","",IF(M2057&lt;0,-M2057&amp;"_"&amp;COUNTIF(M$2:M2057,M2057),M2057&amp;"_"&amp;COUNTIF(M$2:M2057,M2057)))</f>
        <v>5634.78_2</v>
      </c>
      <c r="O2057" s="17" t="str">
        <f t="shared" si="32"/>
        <v/>
      </c>
      <c r="P2057" s="13" t="s">
        <v>2101</v>
      </c>
      <c r="Q2057" s="13" t="s">
        <v>2093</v>
      </c>
      <c r="R2057" s="13" t="s">
        <v>0</v>
      </c>
      <c r="S2057" s="13" t="s">
        <v>0</v>
      </c>
      <c r="T2057" s="13" t="s">
        <v>9</v>
      </c>
      <c r="U2057" s="13" t="s">
        <v>0</v>
      </c>
      <c r="V2057" s="13" t="s">
        <v>0</v>
      </c>
      <c r="W2057" s="13" t="s">
        <v>0</v>
      </c>
      <c r="X2057" s="13" t="s">
        <v>0</v>
      </c>
      <c r="Y2057" s="13" t="s">
        <v>10</v>
      </c>
      <c r="Z2057" s="13" t="s">
        <v>0</v>
      </c>
      <c r="AA2057" s="14"/>
      <c r="AB2057" s="13" t="s">
        <v>0</v>
      </c>
      <c r="AC2057" s="13" t="s">
        <v>0</v>
      </c>
      <c r="AD2057" s="13" t="s">
        <v>0</v>
      </c>
      <c r="AE2057" s="15">
        <v>0</v>
      </c>
    </row>
    <row r="2058" spans="1:31" ht="14.15" customHeight="1" x14ac:dyDescent="0.25">
      <c r="A2058" s="12" t="s">
        <v>0</v>
      </c>
      <c r="B2058" s="13" t="s">
        <v>1</v>
      </c>
      <c r="C2058" s="13" t="s">
        <v>599</v>
      </c>
      <c r="D2058" s="14">
        <v>44080</v>
      </c>
      <c r="E2058" s="14">
        <v>44080</v>
      </c>
      <c r="F2058" s="14">
        <v>44104</v>
      </c>
      <c r="G2058" s="13" t="s">
        <v>3</v>
      </c>
      <c r="H2058" s="13" t="s">
        <v>4</v>
      </c>
      <c r="I2058" s="15">
        <v>-5634.52</v>
      </c>
      <c r="J2058" s="13" t="s">
        <v>5</v>
      </c>
      <c r="K2058" s="13" t="s">
        <v>6</v>
      </c>
      <c r="L2058" s="15">
        <v>-473017.95</v>
      </c>
      <c r="M2058" s="15">
        <v>-5634.52</v>
      </c>
      <c r="N2058" s="16" t="str">
        <f>IF(M2058="","",IF(M2058&lt;0,-M2058&amp;"_"&amp;COUNTIF(M$2:M2058,M2058),M2058&amp;"_"&amp;COUNTIF(M$2:M2058,M2058)))</f>
        <v>5634.52_1</v>
      </c>
      <c r="O2058" s="17" t="str">
        <f t="shared" si="32"/>
        <v/>
      </c>
      <c r="P2058" s="13" t="s">
        <v>600</v>
      </c>
      <c r="Q2058" s="13" t="s">
        <v>594</v>
      </c>
      <c r="R2058" s="13" t="s">
        <v>0</v>
      </c>
      <c r="S2058" s="13" t="s">
        <v>0</v>
      </c>
      <c r="T2058" s="13" t="s">
        <v>9</v>
      </c>
      <c r="U2058" s="13" t="s">
        <v>0</v>
      </c>
      <c r="V2058" s="13" t="s">
        <v>0</v>
      </c>
      <c r="W2058" s="13" t="s">
        <v>0</v>
      </c>
      <c r="X2058" s="13" t="s">
        <v>0</v>
      </c>
      <c r="Y2058" s="13" t="s">
        <v>10</v>
      </c>
      <c r="Z2058" s="13" t="s">
        <v>0</v>
      </c>
      <c r="AA2058" s="14"/>
      <c r="AB2058" s="13" t="s">
        <v>0</v>
      </c>
      <c r="AC2058" s="13" t="s">
        <v>0</v>
      </c>
      <c r="AD2058" s="13" t="s">
        <v>0</v>
      </c>
      <c r="AE2058" s="15">
        <v>0</v>
      </c>
    </row>
    <row r="2059" spans="1:31" ht="14.15" customHeight="1" x14ac:dyDescent="0.25">
      <c r="A2059" s="12" t="s">
        <v>0</v>
      </c>
      <c r="B2059" s="13" t="s">
        <v>1</v>
      </c>
      <c r="C2059" s="13" t="s">
        <v>978</v>
      </c>
      <c r="D2059" s="14">
        <v>44125</v>
      </c>
      <c r="E2059" s="14">
        <v>44125</v>
      </c>
      <c r="F2059" s="14">
        <v>44132</v>
      </c>
      <c r="G2059" s="13" t="s">
        <v>3</v>
      </c>
      <c r="H2059" s="13" t="s">
        <v>4</v>
      </c>
      <c r="I2059" s="15">
        <v>-5616.46</v>
      </c>
      <c r="J2059" s="13" t="s">
        <v>5</v>
      </c>
      <c r="K2059" s="13" t="s">
        <v>6</v>
      </c>
      <c r="L2059" s="15">
        <v>-471501.82</v>
      </c>
      <c r="M2059" s="15">
        <v>-5616.46</v>
      </c>
      <c r="N2059" s="16" t="str">
        <f>IF(M2059="","",IF(M2059&lt;0,-M2059&amp;"_"&amp;COUNTIF(M$2:M2059,M2059),M2059&amp;"_"&amp;COUNTIF(M$2:M2059,M2059)))</f>
        <v>5616.46_1</v>
      </c>
      <c r="O2059" s="17" t="str">
        <f t="shared" si="32"/>
        <v/>
      </c>
      <c r="P2059" s="13" t="s">
        <v>979</v>
      </c>
      <c r="Q2059" s="13" t="s">
        <v>977</v>
      </c>
      <c r="R2059" s="13" t="s">
        <v>0</v>
      </c>
      <c r="S2059" s="13" t="s">
        <v>0</v>
      </c>
      <c r="T2059" s="13" t="s">
        <v>9</v>
      </c>
      <c r="U2059" s="13" t="s">
        <v>0</v>
      </c>
      <c r="V2059" s="13" t="s">
        <v>0</v>
      </c>
      <c r="W2059" s="13" t="s">
        <v>0</v>
      </c>
      <c r="X2059" s="13" t="s">
        <v>0</v>
      </c>
      <c r="Y2059" s="13" t="s">
        <v>10</v>
      </c>
      <c r="Z2059" s="13" t="s">
        <v>0</v>
      </c>
      <c r="AA2059" s="14"/>
      <c r="AB2059" s="13" t="s">
        <v>0</v>
      </c>
      <c r="AC2059" s="13" t="s">
        <v>0</v>
      </c>
      <c r="AD2059" s="13" t="s">
        <v>0</v>
      </c>
      <c r="AE2059" s="15">
        <v>0</v>
      </c>
    </row>
    <row r="2060" spans="1:31" ht="14.15" customHeight="1" x14ac:dyDescent="0.25">
      <c r="A2060" s="12" t="s">
        <v>0</v>
      </c>
      <c r="B2060" s="13" t="s">
        <v>1</v>
      </c>
      <c r="C2060" s="13" t="s">
        <v>3765</v>
      </c>
      <c r="D2060" s="14">
        <v>44341</v>
      </c>
      <c r="E2060" s="14">
        <v>44341</v>
      </c>
      <c r="F2060" s="14">
        <v>44348</v>
      </c>
      <c r="G2060" s="13" t="s">
        <v>3</v>
      </c>
      <c r="H2060" s="13" t="s">
        <v>4</v>
      </c>
      <c r="I2060" s="15">
        <v>-5598.44</v>
      </c>
      <c r="J2060" s="13" t="s">
        <v>5</v>
      </c>
      <c r="K2060" s="13" t="s">
        <v>6</v>
      </c>
      <c r="L2060" s="15">
        <v>-469989.04</v>
      </c>
      <c r="M2060" s="15">
        <v>-5598.44</v>
      </c>
      <c r="N2060" s="16" t="str">
        <f>IF(M2060="","",IF(M2060&lt;0,-M2060&amp;"_"&amp;COUNTIF(M$2:M2060,M2060),M2060&amp;"_"&amp;COUNTIF(M$2:M2060,M2060)))</f>
        <v>5598.44_1</v>
      </c>
      <c r="O2060" s="17" t="str">
        <f t="shared" si="32"/>
        <v/>
      </c>
      <c r="P2060" s="13" t="s">
        <v>3766</v>
      </c>
      <c r="Q2060" s="13" t="s">
        <v>3762</v>
      </c>
      <c r="R2060" s="13" t="s">
        <v>0</v>
      </c>
      <c r="S2060" s="13" t="s">
        <v>0</v>
      </c>
      <c r="T2060" s="13" t="s">
        <v>9</v>
      </c>
      <c r="U2060" s="13" t="s">
        <v>0</v>
      </c>
      <c r="V2060" s="13" t="s">
        <v>0</v>
      </c>
      <c r="W2060" s="13" t="s">
        <v>0</v>
      </c>
      <c r="X2060" s="13" t="s">
        <v>0</v>
      </c>
      <c r="Y2060" s="13" t="s">
        <v>10</v>
      </c>
      <c r="Z2060" s="13" t="s">
        <v>0</v>
      </c>
      <c r="AA2060" s="14"/>
      <c r="AB2060" s="13" t="s">
        <v>0</v>
      </c>
      <c r="AC2060" s="13" t="s">
        <v>0</v>
      </c>
      <c r="AD2060" s="13" t="s">
        <v>0</v>
      </c>
      <c r="AE2060" s="15">
        <v>0</v>
      </c>
    </row>
    <row r="2061" spans="1:31" ht="14.15" customHeight="1" x14ac:dyDescent="0.25">
      <c r="A2061" s="12" t="s">
        <v>0</v>
      </c>
      <c r="B2061" s="13" t="s">
        <v>1</v>
      </c>
      <c r="C2061" s="13" t="s">
        <v>599</v>
      </c>
      <c r="D2061" s="14">
        <v>44080</v>
      </c>
      <c r="E2061" s="14">
        <v>44080</v>
      </c>
      <c r="F2061" s="14">
        <v>44104</v>
      </c>
      <c r="G2061" s="13" t="s">
        <v>3</v>
      </c>
      <c r="H2061" s="13" t="s">
        <v>4</v>
      </c>
      <c r="I2061" s="15">
        <v>-5592.54</v>
      </c>
      <c r="J2061" s="13" t="s">
        <v>5</v>
      </c>
      <c r="K2061" s="13" t="s">
        <v>6</v>
      </c>
      <c r="L2061" s="15">
        <v>-469493.73</v>
      </c>
      <c r="M2061" s="15">
        <v>-5592.54</v>
      </c>
      <c r="N2061" s="16" t="str">
        <f>IF(M2061="","",IF(M2061&lt;0,-M2061&amp;"_"&amp;COUNTIF(M$2:M2061,M2061),M2061&amp;"_"&amp;COUNTIF(M$2:M2061,M2061)))</f>
        <v>5592.54_1</v>
      </c>
      <c r="O2061" s="17" t="str">
        <f t="shared" si="32"/>
        <v/>
      </c>
      <c r="P2061" s="13" t="s">
        <v>600</v>
      </c>
      <c r="Q2061" s="13" t="s">
        <v>594</v>
      </c>
      <c r="R2061" s="13" t="s">
        <v>0</v>
      </c>
      <c r="S2061" s="13" t="s">
        <v>0</v>
      </c>
      <c r="T2061" s="13" t="s">
        <v>9</v>
      </c>
      <c r="U2061" s="13" t="s">
        <v>0</v>
      </c>
      <c r="V2061" s="13" t="s">
        <v>0</v>
      </c>
      <c r="W2061" s="13" t="s">
        <v>0</v>
      </c>
      <c r="X2061" s="13" t="s">
        <v>0</v>
      </c>
      <c r="Y2061" s="13" t="s">
        <v>10</v>
      </c>
      <c r="Z2061" s="13" t="s">
        <v>0</v>
      </c>
      <c r="AA2061" s="14"/>
      <c r="AB2061" s="13" t="s">
        <v>0</v>
      </c>
      <c r="AC2061" s="13" t="s">
        <v>0</v>
      </c>
      <c r="AD2061" s="13" t="s">
        <v>0</v>
      </c>
      <c r="AE2061" s="15">
        <v>0</v>
      </c>
    </row>
    <row r="2062" spans="1:31" ht="14.15" customHeight="1" x14ac:dyDescent="0.25">
      <c r="A2062" s="12" t="s">
        <v>0</v>
      </c>
      <c r="B2062" s="13" t="s">
        <v>1</v>
      </c>
      <c r="C2062" s="13" t="s">
        <v>2904</v>
      </c>
      <c r="D2062" s="14">
        <v>44275</v>
      </c>
      <c r="E2062" s="14">
        <v>44275</v>
      </c>
      <c r="F2062" s="14">
        <v>44286</v>
      </c>
      <c r="G2062" s="13" t="s">
        <v>3</v>
      </c>
      <c r="H2062" s="13" t="s">
        <v>4</v>
      </c>
      <c r="I2062" s="15">
        <v>-5574.17</v>
      </c>
      <c r="J2062" s="13" t="s">
        <v>5</v>
      </c>
      <c r="K2062" s="13" t="s">
        <v>6</v>
      </c>
      <c r="L2062" s="15">
        <v>-467951.57</v>
      </c>
      <c r="M2062" s="15">
        <v>-5574.17</v>
      </c>
      <c r="N2062" s="16" t="str">
        <f>IF(M2062="","",IF(M2062&lt;0,-M2062&amp;"_"&amp;COUNTIF(M$2:M2062,M2062),M2062&amp;"_"&amp;COUNTIF(M$2:M2062,M2062)))</f>
        <v>5574.17_1</v>
      </c>
      <c r="O2062" s="17" t="str">
        <f t="shared" si="32"/>
        <v/>
      </c>
      <c r="P2062" s="13" t="s">
        <v>2905</v>
      </c>
      <c r="Q2062" s="13" t="s">
        <v>2881</v>
      </c>
      <c r="R2062" s="13" t="s">
        <v>0</v>
      </c>
      <c r="S2062" s="13" t="s">
        <v>0</v>
      </c>
      <c r="T2062" s="13" t="s">
        <v>9</v>
      </c>
      <c r="U2062" s="13" t="s">
        <v>0</v>
      </c>
      <c r="V2062" s="13" t="s">
        <v>0</v>
      </c>
      <c r="W2062" s="13" t="s">
        <v>0</v>
      </c>
      <c r="X2062" s="13" t="s">
        <v>0</v>
      </c>
      <c r="Y2062" s="13" t="s">
        <v>10</v>
      </c>
      <c r="Z2062" s="13" t="s">
        <v>0</v>
      </c>
      <c r="AA2062" s="14"/>
      <c r="AB2062" s="13" t="s">
        <v>0</v>
      </c>
      <c r="AC2062" s="13" t="s">
        <v>0</v>
      </c>
      <c r="AD2062" s="13" t="s">
        <v>0</v>
      </c>
      <c r="AE2062" s="15">
        <v>0</v>
      </c>
    </row>
    <row r="2063" spans="1:31" ht="14.15" customHeight="1" x14ac:dyDescent="0.25">
      <c r="A2063" s="12" t="s">
        <v>0</v>
      </c>
      <c r="B2063" s="13" t="s">
        <v>1</v>
      </c>
      <c r="C2063" s="13" t="s">
        <v>2906</v>
      </c>
      <c r="D2063" s="14">
        <v>44275</v>
      </c>
      <c r="E2063" s="14">
        <v>44275</v>
      </c>
      <c r="F2063" s="14">
        <v>44286</v>
      </c>
      <c r="G2063" s="13" t="s">
        <v>3</v>
      </c>
      <c r="H2063" s="13" t="s">
        <v>4</v>
      </c>
      <c r="I2063" s="15">
        <v>-5574.17</v>
      </c>
      <c r="J2063" s="13" t="s">
        <v>5</v>
      </c>
      <c r="K2063" s="13" t="s">
        <v>6</v>
      </c>
      <c r="L2063" s="15">
        <v>-467951.57</v>
      </c>
      <c r="M2063" s="15">
        <v>-5574.17</v>
      </c>
      <c r="N2063" s="16" t="str">
        <f>IF(M2063="","",IF(M2063&lt;0,-M2063&amp;"_"&amp;COUNTIF(M$2:M2063,M2063),M2063&amp;"_"&amp;COUNTIF(M$2:M2063,M2063)))</f>
        <v>5574.17_2</v>
      </c>
      <c r="O2063" s="17" t="str">
        <f t="shared" si="32"/>
        <v/>
      </c>
      <c r="P2063" s="13" t="s">
        <v>2907</v>
      </c>
      <c r="Q2063" s="13" t="s">
        <v>2881</v>
      </c>
      <c r="R2063" s="13" t="s">
        <v>0</v>
      </c>
      <c r="S2063" s="13" t="s">
        <v>0</v>
      </c>
      <c r="T2063" s="13" t="s">
        <v>9</v>
      </c>
      <c r="U2063" s="13" t="s">
        <v>0</v>
      </c>
      <c r="V2063" s="13" t="s">
        <v>0</v>
      </c>
      <c r="W2063" s="13" t="s">
        <v>0</v>
      </c>
      <c r="X2063" s="13" t="s">
        <v>0</v>
      </c>
      <c r="Y2063" s="13" t="s">
        <v>10</v>
      </c>
      <c r="Z2063" s="13" t="s">
        <v>0</v>
      </c>
      <c r="AA2063" s="14"/>
      <c r="AB2063" s="13" t="s">
        <v>0</v>
      </c>
      <c r="AC2063" s="13" t="s">
        <v>0</v>
      </c>
      <c r="AD2063" s="13" t="s">
        <v>0</v>
      </c>
      <c r="AE2063" s="15">
        <v>0</v>
      </c>
    </row>
    <row r="2064" spans="1:31" ht="14.15" customHeight="1" x14ac:dyDescent="0.25">
      <c r="A2064" s="12" t="s">
        <v>0</v>
      </c>
      <c r="B2064" s="13" t="s">
        <v>1</v>
      </c>
      <c r="C2064" s="13" t="s">
        <v>2910</v>
      </c>
      <c r="D2064" s="14">
        <v>44275</v>
      </c>
      <c r="E2064" s="14">
        <v>44275</v>
      </c>
      <c r="F2064" s="14">
        <v>44286</v>
      </c>
      <c r="G2064" s="13" t="s">
        <v>3</v>
      </c>
      <c r="H2064" s="13" t="s">
        <v>4</v>
      </c>
      <c r="I2064" s="15">
        <v>-5574.17</v>
      </c>
      <c r="J2064" s="13" t="s">
        <v>5</v>
      </c>
      <c r="K2064" s="13" t="s">
        <v>6</v>
      </c>
      <c r="L2064" s="15">
        <v>-467951.57</v>
      </c>
      <c r="M2064" s="15">
        <v>-5574.17</v>
      </c>
      <c r="N2064" s="16" t="str">
        <f>IF(M2064="","",IF(M2064&lt;0,-M2064&amp;"_"&amp;COUNTIF(M$2:M2064,M2064),M2064&amp;"_"&amp;COUNTIF(M$2:M2064,M2064)))</f>
        <v>5574.17_3</v>
      </c>
      <c r="O2064" s="17" t="str">
        <f t="shared" si="32"/>
        <v/>
      </c>
      <c r="P2064" s="13" t="s">
        <v>2911</v>
      </c>
      <c r="Q2064" s="13" t="s">
        <v>2881</v>
      </c>
      <c r="R2064" s="13" t="s">
        <v>0</v>
      </c>
      <c r="S2064" s="13" t="s">
        <v>0</v>
      </c>
      <c r="T2064" s="13" t="s">
        <v>9</v>
      </c>
      <c r="U2064" s="13" t="s">
        <v>0</v>
      </c>
      <c r="V2064" s="13" t="s">
        <v>0</v>
      </c>
      <c r="W2064" s="13" t="s">
        <v>0</v>
      </c>
      <c r="X2064" s="13" t="s">
        <v>0</v>
      </c>
      <c r="Y2064" s="13" t="s">
        <v>10</v>
      </c>
      <c r="Z2064" s="13" t="s">
        <v>0</v>
      </c>
      <c r="AA2064" s="14"/>
      <c r="AB2064" s="13" t="s">
        <v>0</v>
      </c>
      <c r="AC2064" s="13" t="s">
        <v>0</v>
      </c>
      <c r="AD2064" s="13" t="s">
        <v>0</v>
      </c>
      <c r="AE2064" s="15">
        <v>0</v>
      </c>
    </row>
    <row r="2065" spans="1:31" ht="14.15" customHeight="1" x14ac:dyDescent="0.25">
      <c r="A2065" s="12" t="s">
        <v>0</v>
      </c>
      <c r="B2065" s="13" t="s">
        <v>1</v>
      </c>
      <c r="C2065" s="13" t="s">
        <v>1821</v>
      </c>
      <c r="D2065" s="14">
        <v>44183</v>
      </c>
      <c r="E2065" s="14">
        <v>44183</v>
      </c>
      <c r="F2065" s="14">
        <v>44189</v>
      </c>
      <c r="G2065" s="13" t="s">
        <v>3</v>
      </c>
      <c r="H2065" s="13" t="s">
        <v>4</v>
      </c>
      <c r="I2065" s="15">
        <v>-5564.61</v>
      </c>
      <c r="J2065" s="13" t="s">
        <v>5</v>
      </c>
      <c r="K2065" s="13" t="s">
        <v>6</v>
      </c>
      <c r="L2065" s="15">
        <v>-467149.01</v>
      </c>
      <c r="M2065" s="15">
        <v>-5564.61</v>
      </c>
      <c r="N2065" s="16" t="str">
        <f>IF(M2065="","",IF(M2065&lt;0,-M2065&amp;"_"&amp;COUNTIF(M$2:M2065,M2065),M2065&amp;"_"&amp;COUNTIF(M$2:M2065,M2065)))</f>
        <v>5564.61_1</v>
      </c>
      <c r="O2065" s="17" t="str">
        <f t="shared" si="32"/>
        <v/>
      </c>
      <c r="P2065" s="13" t="s">
        <v>1822</v>
      </c>
      <c r="Q2065" s="13" t="s">
        <v>1792</v>
      </c>
      <c r="R2065" s="13" t="s">
        <v>0</v>
      </c>
      <c r="S2065" s="13" t="s">
        <v>0</v>
      </c>
      <c r="T2065" s="13" t="s">
        <v>9</v>
      </c>
      <c r="U2065" s="13" t="s">
        <v>0</v>
      </c>
      <c r="V2065" s="13" t="s">
        <v>0</v>
      </c>
      <c r="W2065" s="13" t="s">
        <v>0</v>
      </c>
      <c r="X2065" s="13" t="s">
        <v>0</v>
      </c>
      <c r="Y2065" s="13" t="s">
        <v>10</v>
      </c>
      <c r="Z2065" s="13" t="s">
        <v>0</v>
      </c>
      <c r="AA2065" s="14"/>
      <c r="AB2065" s="13" t="s">
        <v>0</v>
      </c>
      <c r="AC2065" s="13" t="s">
        <v>0</v>
      </c>
      <c r="AD2065" s="13" t="s">
        <v>0</v>
      </c>
      <c r="AE2065" s="15">
        <v>0</v>
      </c>
    </row>
    <row r="2066" spans="1:31" ht="14.15" customHeight="1" x14ac:dyDescent="0.25">
      <c r="A2066" s="12" t="s">
        <v>0</v>
      </c>
      <c r="B2066" s="13" t="s">
        <v>1</v>
      </c>
      <c r="C2066" s="13" t="s">
        <v>2035</v>
      </c>
      <c r="D2066" s="14">
        <v>44197</v>
      </c>
      <c r="E2066" s="14">
        <v>44197</v>
      </c>
      <c r="F2066" s="14">
        <v>44201</v>
      </c>
      <c r="G2066" s="13" t="s">
        <v>3</v>
      </c>
      <c r="H2066" s="13" t="s">
        <v>4</v>
      </c>
      <c r="I2066" s="15">
        <v>-5560.24</v>
      </c>
      <c r="J2066" s="13" t="s">
        <v>5</v>
      </c>
      <c r="K2066" s="13" t="s">
        <v>6</v>
      </c>
      <c r="L2066" s="15">
        <v>-466782.15</v>
      </c>
      <c r="M2066" s="15">
        <v>-5560.24</v>
      </c>
      <c r="N2066" s="16" t="str">
        <f>IF(M2066="","",IF(M2066&lt;0,-M2066&amp;"_"&amp;COUNTIF(M$2:M2066,M2066),M2066&amp;"_"&amp;COUNTIF(M$2:M2066,M2066)))</f>
        <v>5560.24_1</v>
      </c>
      <c r="O2066" s="17" t="str">
        <f t="shared" si="32"/>
        <v/>
      </c>
      <c r="P2066" s="13" t="s">
        <v>2036</v>
      </c>
      <c r="Q2066" s="13" t="s">
        <v>2034</v>
      </c>
      <c r="R2066" s="13" t="s">
        <v>0</v>
      </c>
      <c r="S2066" s="13" t="s">
        <v>0</v>
      </c>
      <c r="T2066" s="13" t="s">
        <v>9</v>
      </c>
      <c r="U2066" s="13" t="s">
        <v>0</v>
      </c>
      <c r="V2066" s="13" t="s">
        <v>0</v>
      </c>
      <c r="W2066" s="13" t="s">
        <v>0</v>
      </c>
      <c r="X2066" s="13" t="s">
        <v>0</v>
      </c>
      <c r="Y2066" s="13" t="s">
        <v>10</v>
      </c>
      <c r="Z2066" s="13" t="s">
        <v>0</v>
      </c>
      <c r="AA2066" s="14"/>
      <c r="AB2066" s="13" t="s">
        <v>0</v>
      </c>
      <c r="AC2066" s="13" t="s">
        <v>0</v>
      </c>
      <c r="AD2066" s="13" t="s">
        <v>0</v>
      </c>
      <c r="AE2066" s="15">
        <v>0</v>
      </c>
    </row>
    <row r="2067" spans="1:31" ht="14.15" customHeight="1" x14ac:dyDescent="0.25">
      <c r="A2067" s="12" t="s">
        <v>0</v>
      </c>
      <c r="B2067" s="13" t="s">
        <v>1</v>
      </c>
      <c r="C2067" s="13" t="s">
        <v>1243</v>
      </c>
      <c r="D2067" s="14">
        <v>44143</v>
      </c>
      <c r="E2067" s="14">
        <v>44143</v>
      </c>
      <c r="F2067" s="14">
        <v>44146</v>
      </c>
      <c r="G2067" s="13" t="s">
        <v>3</v>
      </c>
      <c r="H2067" s="13" t="s">
        <v>4</v>
      </c>
      <c r="I2067" s="15">
        <v>-5558.85</v>
      </c>
      <c r="J2067" s="13" t="s">
        <v>5</v>
      </c>
      <c r="K2067" s="13" t="s">
        <v>6</v>
      </c>
      <c r="L2067" s="15">
        <v>-466665.46</v>
      </c>
      <c r="M2067" s="15">
        <v>-5558.85</v>
      </c>
      <c r="N2067" s="16" t="str">
        <f>IF(M2067="","",IF(M2067&lt;0,-M2067&amp;"_"&amp;COUNTIF(M$2:M2067,M2067),M2067&amp;"_"&amp;COUNTIF(M$2:M2067,M2067)))</f>
        <v>5558.85_1</v>
      </c>
      <c r="O2067" s="17" t="str">
        <f t="shared" si="32"/>
        <v/>
      </c>
      <c r="P2067" s="13" t="s">
        <v>1244</v>
      </c>
      <c r="Q2067" s="13" t="s">
        <v>1245</v>
      </c>
      <c r="R2067" s="13" t="s">
        <v>0</v>
      </c>
      <c r="S2067" s="13" t="s">
        <v>0</v>
      </c>
      <c r="T2067" s="13" t="s">
        <v>9</v>
      </c>
      <c r="U2067" s="13" t="s">
        <v>0</v>
      </c>
      <c r="V2067" s="13" t="s">
        <v>0</v>
      </c>
      <c r="W2067" s="13" t="s">
        <v>0</v>
      </c>
      <c r="X2067" s="13" t="s">
        <v>0</v>
      </c>
      <c r="Y2067" s="13" t="s">
        <v>10</v>
      </c>
      <c r="Z2067" s="13" t="s">
        <v>0</v>
      </c>
      <c r="AA2067" s="14"/>
      <c r="AB2067" s="13" t="s">
        <v>0</v>
      </c>
      <c r="AC2067" s="13" t="s">
        <v>0</v>
      </c>
      <c r="AD2067" s="13" t="s">
        <v>0</v>
      </c>
      <c r="AE2067" s="15">
        <v>0</v>
      </c>
    </row>
    <row r="2068" spans="1:31" ht="14.15" customHeight="1" x14ac:dyDescent="0.25">
      <c r="A2068" s="12" t="s">
        <v>0</v>
      </c>
      <c r="B2068" s="13" t="s">
        <v>1</v>
      </c>
      <c r="C2068" s="13" t="s">
        <v>2925</v>
      </c>
      <c r="D2068" s="14">
        <v>44276</v>
      </c>
      <c r="E2068" s="14">
        <v>44276</v>
      </c>
      <c r="F2068" s="14">
        <v>44280</v>
      </c>
      <c r="G2068" s="13" t="s">
        <v>3</v>
      </c>
      <c r="H2068" s="13" t="s">
        <v>4</v>
      </c>
      <c r="I2068" s="15">
        <v>-5555.6</v>
      </c>
      <c r="J2068" s="13" t="s">
        <v>5</v>
      </c>
      <c r="K2068" s="13" t="s">
        <v>6</v>
      </c>
      <c r="L2068" s="15">
        <v>-466392.62</v>
      </c>
      <c r="M2068" s="15">
        <v>-5555.6</v>
      </c>
      <c r="N2068" s="16" t="str">
        <f>IF(M2068="","",IF(M2068&lt;0,-M2068&amp;"_"&amp;COUNTIF(M$2:M2068,M2068),M2068&amp;"_"&amp;COUNTIF(M$2:M2068,M2068)))</f>
        <v>5555.6_1</v>
      </c>
      <c r="O2068" s="17" t="str">
        <f t="shared" si="32"/>
        <v/>
      </c>
      <c r="P2068" s="13" t="s">
        <v>2926</v>
      </c>
      <c r="Q2068" s="13" t="s">
        <v>2922</v>
      </c>
      <c r="R2068" s="13" t="s">
        <v>0</v>
      </c>
      <c r="S2068" s="13" t="s">
        <v>0</v>
      </c>
      <c r="T2068" s="13" t="s">
        <v>9</v>
      </c>
      <c r="U2068" s="13" t="s">
        <v>0</v>
      </c>
      <c r="V2068" s="13" t="s">
        <v>0</v>
      </c>
      <c r="W2068" s="13" t="s">
        <v>0</v>
      </c>
      <c r="X2068" s="13" t="s">
        <v>0</v>
      </c>
      <c r="Y2068" s="13" t="s">
        <v>10</v>
      </c>
      <c r="Z2068" s="13" t="s">
        <v>0</v>
      </c>
      <c r="AA2068" s="14"/>
      <c r="AB2068" s="13" t="s">
        <v>0</v>
      </c>
      <c r="AC2068" s="13" t="s">
        <v>0</v>
      </c>
      <c r="AD2068" s="13" t="s">
        <v>0</v>
      </c>
      <c r="AE2068" s="15">
        <v>0</v>
      </c>
    </row>
    <row r="2069" spans="1:31" ht="14.15" customHeight="1" x14ac:dyDescent="0.25">
      <c r="A2069" s="12" t="s">
        <v>0</v>
      </c>
      <c r="B2069" s="13" t="s">
        <v>1</v>
      </c>
      <c r="C2069" s="13" t="s">
        <v>1118</v>
      </c>
      <c r="D2069" s="14">
        <v>44137</v>
      </c>
      <c r="E2069" s="14">
        <v>44137</v>
      </c>
      <c r="F2069" s="14">
        <v>44139</v>
      </c>
      <c r="G2069" s="13" t="s">
        <v>3</v>
      </c>
      <c r="H2069" s="13" t="s">
        <v>4</v>
      </c>
      <c r="I2069" s="15">
        <v>-5550.6</v>
      </c>
      <c r="J2069" s="13" t="s">
        <v>5</v>
      </c>
      <c r="K2069" s="13" t="s">
        <v>6</v>
      </c>
      <c r="L2069" s="15">
        <v>-465972.87</v>
      </c>
      <c r="M2069" s="15">
        <v>-5550.6</v>
      </c>
      <c r="N2069" s="16" t="str">
        <f>IF(M2069="","",IF(M2069&lt;0,-M2069&amp;"_"&amp;COUNTIF(M$2:M2069,M2069),M2069&amp;"_"&amp;COUNTIF(M$2:M2069,M2069)))</f>
        <v>5550.6_1</v>
      </c>
      <c r="O2069" s="17" t="str">
        <f t="shared" si="32"/>
        <v/>
      </c>
      <c r="P2069" s="13" t="s">
        <v>1119</v>
      </c>
      <c r="Q2069" s="13" t="s">
        <v>1120</v>
      </c>
      <c r="R2069" s="13" t="s">
        <v>0</v>
      </c>
      <c r="S2069" s="13" t="s">
        <v>0</v>
      </c>
      <c r="T2069" s="13" t="s">
        <v>9</v>
      </c>
      <c r="U2069" s="13" t="s">
        <v>0</v>
      </c>
      <c r="V2069" s="13" t="s">
        <v>0</v>
      </c>
      <c r="W2069" s="13" t="s">
        <v>0</v>
      </c>
      <c r="X2069" s="13" t="s">
        <v>0</v>
      </c>
      <c r="Y2069" s="13" t="s">
        <v>10</v>
      </c>
      <c r="Z2069" s="13" t="s">
        <v>0</v>
      </c>
      <c r="AA2069" s="14"/>
      <c r="AB2069" s="13" t="s">
        <v>0</v>
      </c>
      <c r="AC2069" s="13" t="s">
        <v>0</v>
      </c>
      <c r="AD2069" s="13" t="s">
        <v>0</v>
      </c>
      <c r="AE2069" s="15">
        <v>0</v>
      </c>
    </row>
    <row r="2070" spans="1:31" ht="14.15" customHeight="1" x14ac:dyDescent="0.25">
      <c r="A2070" s="12" t="s">
        <v>0</v>
      </c>
      <c r="B2070" s="13" t="s">
        <v>1</v>
      </c>
      <c r="C2070" s="13" t="s">
        <v>1453</v>
      </c>
      <c r="D2070" s="14">
        <v>44159</v>
      </c>
      <c r="E2070" s="14">
        <v>44159</v>
      </c>
      <c r="F2070" s="14">
        <v>44163</v>
      </c>
      <c r="G2070" s="13" t="s">
        <v>3</v>
      </c>
      <c r="H2070" s="13" t="s">
        <v>4</v>
      </c>
      <c r="I2070" s="15">
        <v>-5541.19</v>
      </c>
      <c r="J2070" s="13" t="s">
        <v>5</v>
      </c>
      <c r="K2070" s="13" t="s">
        <v>6</v>
      </c>
      <c r="L2070" s="15">
        <v>-465182.9</v>
      </c>
      <c r="M2070" s="15">
        <v>-5541.19</v>
      </c>
      <c r="N2070" s="16" t="str">
        <f>IF(M2070="","",IF(M2070&lt;0,-M2070&amp;"_"&amp;COUNTIF(M$2:M2070,M2070),M2070&amp;"_"&amp;COUNTIF(M$2:M2070,M2070)))</f>
        <v>5541.19_1</v>
      </c>
      <c r="O2070" s="17" t="str">
        <f t="shared" si="32"/>
        <v/>
      </c>
      <c r="P2070" s="13" t="s">
        <v>1454</v>
      </c>
      <c r="Q2070" s="13" t="s">
        <v>1455</v>
      </c>
      <c r="R2070" s="13" t="s">
        <v>0</v>
      </c>
      <c r="S2070" s="13" t="s">
        <v>0</v>
      </c>
      <c r="T2070" s="13" t="s">
        <v>9</v>
      </c>
      <c r="U2070" s="13" t="s">
        <v>0</v>
      </c>
      <c r="V2070" s="13" t="s">
        <v>0</v>
      </c>
      <c r="W2070" s="13" t="s">
        <v>0</v>
      </c>
      <c r="X2070" s="13" t="s">
        <v>0</v>
      </c>
      <c r="Y2070" s="13" t="s">
        <v>10</v>
      </c>
      <c r="Z2070" s="13" t="s">
        <v>0</v>
      </c>
      <c r="AA2070" s="14"/>
      <c r="AB2070" s="13" t="s">
        <v>0</v>
      </c>
      <c r="AC2070" s="13" t="s">
        <v>0</v>
      </c>
      <c r="AD2070" s="13" t="s">
        <v>0</v>
      </c>
      <c r="AE2070" s="15">
        <v>0</v>
      </c>
    </row>
    <row r="2071" spans="1:31" ht="14.15" customHeight="1" x14ac:dyDescent="0.25">
      <c r="A2071" s="12" t="s">
        <v>0</v>
      </c>
      <c r="B2071" s="13" t="s">
        <v>1</v>
      </c>
      <c r="C2071" s="13" t="s">
        <v>4112</v>
      </c>
      <c r="D2071" s="14">
        <v>44363</v>
      </c>
      <c r="E2071" s="14">
        <v>44363</v>
      </c>
      <c r="F2071" s="14">
        <v>44367</v>
      </c>
      <c r="G2071" s="13" t="s">
        <v>3</v>
      </c>
      <c r="H2071" s="13" t="s">
        <v>4</v>
      </c>
      <c r="I2071" s="15">
        <v>-5534.52</v>
      </c>
      <c r="J2071" s="13" t="s">
        <v>5</v>
      </c>
      <c r="K2071" s="13" t="s">
        <v>6</v>
      </c>
      <c r="L2071" s="15">
        <v>-464622.95</v>
      </c>
      <c r="M2071" s="15">
        <v>-5534.52</v>
      </c>
      <c r="N2071" s="16" t="str">
        <f>IF(M2071="","",IF(M2071&lt;0,-M2071&amp;"_"&amp;COUNTIF(M$2:M2071,M2071),M2071&amp;"_"&amp;COUNTIF(M$2:M2071,M2071)))</f>
        <v>5534.52_1</v>
      </c>
      <c r="O2071" s="17" t="str">
        <f t="shared" si="32"/>
        <v/>
      </c>
      <c r="P2071" s="13" t="s">
        <v>4113</v>
      </c>
      <c r="Q2071" s="13" t="s">
        <v>4107</v>
      </c>
      <c r="R2071" s="13" t="s">
        <v>0</v>
      </c>
      <c r="S2071" s="13" t="s">
        <v>0</v>
      </c>
      <c r="T2071" s="13" t="s">
        <v>9</v>
      </c>
      <c r="U2071" s="13" t="s">
        <v>0</v>
      </c>
      <c r="V2071" s="13" t="s">
        <v>0</v>
      </c>
      <c r="W2071" s="13" t="s">
        <v>0</v>
      </c>
      <c r="X2071" s="13" t="s">
        <v>0</v>
      </c>
      <c r="Y2071" s="13" t="s">
        <v>10</v>
      </c>
      <c r="Z2071" s="13" t="s">
        <v>0</v>
      </c>
      <c r="AA2071" s="14"/>
      <c r="AB2071" s="13" t="s">
        <v>0</v>
      </c>
      <c r="AC2071" s="13" t="s">
        <v>0</v>
      </c>
      <c r="AD2071" s="13" t="s">
        <v>0</v>
      </c>
      <c r="AE2071" s="15">
        <v>0</v>
      </c>
    </row>
    <row r="2072" spans="1:31" ht="14.15" customHeight="1" x14ac:dyDescent="0.25">
      <c r="A2072" s="12" t="s">
        <v>0</v>
      </c>
      <c r="B2072" s="13" t="s">
        <v>1</v>
      </c>
      <c r="C2072" s="13" t="s">
        <v>1453</v>
      </c>
      <c r="D2072" s="14">
        <v>44159</v>
      </c>
      <c r="E2072" s="14">
        <v>44159</v>
      </c>
      <c r="F2072" s="14">
        <v>44163</v>
      </c>
      <c r="G2072" s="13" t="s">
        <v>3</v>
      </c>
      <c r="H2072" s="13" t="s">
        <v>4</v>
      </c>
      <c r="I2072" s="15">
        <v>-5532.41</v>
      </c>
      <c r="J2072" s="13" t="s">
        <v>5</v>
      </c>
      <c r="K2072" s="13" t="s">
        <v>6</v>
      </c>
      <c r="L2072" s="15">
        <v>-464445.82</v>
      </c>
      <c r="M2072" s="15">
        <v>-5532.41</v>
      </c>
      <c r="N2072" s="16" t="str">
        <f>IF(M2072="","",IF(M2072&lt;0,-M2072&amp;"_"&amp;COUNTIF(M$2:M2072,M2072),M2072&amp;"_"&amp;COUNTIF(M$2:M2072,M2072)))</f>
        <v>5532.41_1</v>
      </c>
      <c r="O2072" s="17" t="str">
        <f t="shared" si="32"/>
        <v/>
      </c>
      <c r="P2072" s="13" t="s">
        <v>1454</v>
      </c>
      <c r="Q2072" s="13" t="s">
        <v>1455</v>
      </c>
      <c r="R2072" s="13" t="s">
        <v>0</v>
      </c>
      <c r="S2072" s="13" t="s">
        <v>0</v>
      </c>
      <c r="T2072" s="13" t="s">
        <v>9</v>
      </c>
      <c r="U2072" s="13" t="s">
        <v>0</v>
      </c>
      <c r="V2072" s="13" t="s">
        <v>0</v>
      </c>
      <c r="W2072" s="13" t="s">
        <v>0</v>
      </c>
      <c r="X2072" s="13" t="s">
        <v>0</v>
      </c>
      <c r="Y2072" s="13" t="s">
        <v>10</v>
      </c>
      <c r="Z2072" s="13" t="s">
        <v>0</v>
      </c>
      <c r="AA2072" s="14"/>
      <c r="AB2072" s="13" t="s">
        <v>0</v>
      </c>
      <c r="AC2072" s="13" t="s">
        <v>0</v>
      </c>
      <c r="AD2072" s="13" t="s">
        <v>0</v>
      </c>
      <c r="AE2072" s="15">
        <v>0</v>
      </c>
    </row>
    <row r="2073" spans="1:31" ht="14.15" customHeight="1" x14ac:dyDescent="0.25">
      <c r="A2073" s="12" t="s">
        <v>0</v>
      </c>
      <c r="B2073" s="13" t="s">
        <v>1</v>
      </c>
      <c r="C2073" s="13" t="s">
        <v>1357</v>
      </c>
      <c r="D2073" s="14">
        <v>44150</v>
      </c>
      <c r="E2073" s="14">
        <v>44150</v>
      </c>
      <c r="F2073" s="14">
        <v>44159</v>
      </c>
      <c r="G2073" s="13" t="s">
        <v>3</v>
      </c>
      <c r="H2073" s="13" t="s">
        <v>4</v>
      </c>
      <c r="I2073" s="15">
        <v>-5520.29</v>
      </c>
      <c r="J2073" s="13" t="s">
        <v>5</v>
      </c>
      <c r="K2073" s="13" t="s">
        <v>6</v>
      </c>
      <c r="L2073" s="15">
        <v>-463428.35</v>
      </c>
      <c r="M2073" s="15">
        <v>-5520.29</v>
      </c>
      <c r="N2073" s="16" t="str">
        <f>IF(M2073="","",IF(M2073&lt;0,-M2073&amp;"_"&amp;COUNTIF(M$2:M2073,M2073),M2073&amp;"_"&amp;COUNTIF(M$2:M2073,M2073)))</f>
        <v>5520.29_1</v>
      </c>
      <c r="O2073" s="17" t="str">
        <f t="shared" si="32"/>
        <v/>
      </c>
      <c r="P2073" s="13" t="s">
        <v>1358</v>
      </c>
      <c r="Q2073" s="13" t="s">
        <v>1338</v>
      </c>
      <c r="R2073" s="13" t="s">
        <v>0</v>
      </c>
      <c r="S2073" s="13" t="s">
        <v>0</v>
      </c>
      <c r="T2073" s="13" t="s">
        <v>9</v>
      </c>
      <c r="U2073" s="13" t="s">
        <v>0</v>
      </c>
      <c r="V2073" s="13" t="s">
        <v>0</v>
      </c>
      <c r="W2073" s="13" t="s">
        <v>0</v>
      </c>
      <c r="X2073" s="13" t="s">
        <v>0</v>
      </c>
      <c r="Y2073" s="13" t="s">
        <v>10</v>
      </c>
      <c r="Z2073" s="13" t="s">
        <v>0</v>
      </c>
      <c r="AA2073" s="14"/>
      <c r="AB2073" s="13" t="s">
        <v>0</v>
      </c>
      <c r="AC2073" s="13" t="s">
        <v>0</v>
      </c>
      <c r="AD2073" s="13" t="s">
        <v>0</v>
      </c>
      <c r="AE2073" s="15">
        <v>0</v>
      </c>
    </row>
    <row r="2074" spans="1:31" ht="14.15" customHeight="1" x14ac:dyDescent="0.25">
      <c r="A2074" s="12" t="s">
        <v>0</v>
      </c>
      <c r="B2074" s="13" t="s">
        <v>1</v>
      </c>
      <c r="C2074" s="13" t="s">
        <v>3822</v>
      </c>
      <c r="D2074" s="14">
        <v>44347</v>
      </c>
      <c r="E2074" s="14">
        <v>44347</v>
      </c>
      <c r="F2074" s="14">
        <v>44350</v>
      </c>
      <c r="G2074" s="13" t="s">
        <v>3</v>
      </c>
      <c r="H2074" s="13" t="s">
        <v>4</v>
      </c>
      <c r="I2074" s="15">
        <v>-5517.87</v>
      </c>
      <c r="J2074" s="13" t="s">
        <v>5</v>
      </c>
      <c r="K2074" s="13" t="s">
        <v>6</v>
      </c>
      <c r="L2074" s="15">
        <v>-463225.19</v>
      </c>
      <c r="M2074" s="15">
        <v>-5517.87</v>
      </c>
      <c r="N2074" s="16" t="str">
        <f>IF(M2074="","",IF(M2074&lt;0,-M2074&amp;"_"&amp;COUNTIF(M$2:M2074,M2074),M2074&amp;"_"&amp;COUNTIF(M$2:M2074,M2074)))</f>
        <v>5517.87_1</v>
      </c>
      <c r="O2074" s="17" t="str">
        <f t="shared" si="32"/>
        <v/>
      </c>
      <c r="P2074" s="13" t="s">
        <v>3823</v>
      </c>
      <c r="Q2074" s="13" t="s">
        <v>3824</v>
      </c>
      <c r="R2074" s="13" t="s">
        <v>0</v>
      </c>
      <c r="S2074" s="13" t="s">
        <v>0</v>
      </c>
      <c r="T2074" s="13" t="s">
        <v>9</v>
      </c>
      <c r="U2074" s="13" t="s">
        <v>0</v>
      </c>
      <c r="V2074" s="13" t="s">
        <v>0</v>
      </c>
      <c r="W2074" s="13" t="s">
        <v>0</v>
      </c>
      <c r="X2074" s="13" t="s">
        <v>0</v>
      </c>
      <c r="Y2074" s="13" t="s">
        <v>10</v>
      </c>
      <c r="Z2074" s="13" t="s">
        <v>0</v>
      </c>
      <c r="AA2074" s="14"/>
      <c r="AB2074" s="13" t="s">
        <v>0</v>
      </c>
      <c r="AC2074" s="13" t="s">
        <v>0</v>
      </c>
      <c r="AD2074" s="13" t="s">
        <v>0</v>
      </c>
      <c r="AE2074" s="15">
        <v>0</v>
      </c>
    </row>
    <row r="2075" spans="1:31" ht="14.15" customHeight="1" x14ac:dyDescent="0.25">
      <c r="A2075" s="12" t="s">
        <v>0</v>
      </c>
      <c r="B2075" s="13" t="s">
        <v>1</v>
      </c>
      <c r="C2075" s="13" t="s">
        <v>196</v>
      </c>
      <c r="D2075" s="14">
        <v>44034</v>
      </c>
      <c r="E2075" s="14">
        <v>44034</v>
      </c>
      <c r="F2075" s="14">
        <v>44049</v>
      </c>
      <c r="G2075" s="13" t="s">
        <v>3</v>
      </c>
      <c r="H2075" s="13" t="s">
        <v>4</v>
      </c>
      <c r="I2075" s="15">
        <v>-5516.21</v>
      </c>
      <c r="J2075" s="13" t="s">
        <v>5</v>
      </c>
      <c r="K2075" s="13" t="s">
        <v>6</v>
      </c>
      <c r="L2075" s="15">
        <v>-463085.83</v>
      </c>
      <c r="M2075" s="15">
        <v>-5516.21</v>
      </c>
      <c r="N2075" s="16" t="str">
        <f>IF(M2075="","",IF(M2075&lt;0,-M2075&amp;"_"&amp;COUNTIF(M$2:M2075,M2075),M2075&amp;"_"&amp;COUNTIF(M$2:M2075,M2075)))</f>
        <v>5516.21_1</v>
      </c>
      <c r="O2075" s="17" t="str">
        <f t="shared" si="32"/>
        <v/>
      </c>
      <c r="P2075" s="13" t="s">
        <v>197</v>
      </c>
      <c r="Q2075" s="13" t="s">
        <v>175</v>
      </c>
      <c r="R2075" s="13" t="s">
        <v>0</v>
      </c>
      <c r="S2075" s="13" t="s">
        <v>0</v>
      </c>
      <c r="T2075" s="13" t="s">
        <v>9</v>
      </c>
      <c r="U2075" s="13" t="s">
        <v>0</v>
      </c>
      <c r="V2075" s="13" t="s">
        <v>0</v>
      </c>
      <c r="W2075" s="13" t="s">
        <v>0</v>
      </c>
      <c r="X2075" s="13" t="s">
        <v>0</v>
      </c>
      <c r="Y2075" s="13" t="s">
        <v>10</v>
      </c>
      <c r="Z2075" s="13" t="s">
        <v>0</v>
      </c>
      <c r="AA2075" s="14"/>
      <c r="AB2075" s="13" t="s">
        <v>0</v>
      </c>
      <c r="AC2075" s="13" t="s">
        <v>0</v>
      </c>
      <c r="AD2075" s="13" t="s">
        <v>0</v>
      </c>
      <c r="AE2075" s="15">
        <v>0</v>
      </c>
    </row>
    <row r="2076" spans="1:31" ht="14.15" customHeight="1" x14ac:dyDescent="0.25">
      <c r="A2076" s="12" t="s">
        <v>0</v>
      </c>
      <c r="B2076" s="13" t="s">
        <v>1</v>
      </c>
      <c r="C2076" s="13" t="s">
        <v>3661</v>
      </c>
      <c r="D2076" s="14">
        <v>44334</v>
      </c>
      <c r="E2076" s="14">
        <v>44334</v>
      </c>
      <c r="F2076" s="14">
        <v>44340</v>
      </c>
      <c r="G2076" s="13" t="s">
        <v>3</v>
      </c>
      <c r="H2076" s="13" t="s">
        <v>4</v>
      </c>
      <c r="I2076" s="15">
        <v>-5510.69</v>
      </c>
      <c r="J2076" s="13" t="s">
        <v>5</v>
      </c>
      <c r="K2076" s="13" t="s">
        <v>6</v>
      </c>
      <c r="L2076" s="15">
        <v>-462622.43</v>
      </c>
      <c r="M2076" s="15">
        <v>-5510.69</v>
      </c>
      <c r="N2076" s="16" t="str">
        <f>IF(M2076="","",IF(M2076&lt;0,-M2076&amp;"_"&amp;COUNTIF(M$2:M2076,M2076),M2076&amp;"_"&amp;COUNTIF(M$2:M2076,M2076)))</f>
        <v>5510.69_1</v>
      </c>
      <c r="O2076" s="17" t="str">
        <f t="shared" si="32"/>
        <v/>
      </c>
      <c r="P2076" s="13" t="s">
        <v>3662</v>
      </c>
      <c r="Q2076" s="13" t="s">
        <v>3660</v>
      </c>
      <c r="R2076" s="13" t="s">
        <v>0</v>
      </c>
      <c r="S2076" s="13" t="s">
        <v>0</v>
      </c>
      <c r="T2076" s="13" t="s">
        <v>9</v>
      </c>
      <c r="U2076" s="13" t="s">
        <v>0</v>
      </c>
      <c r="V2076" s="13" t="s">
        <v>0</v>
      </c>
      <c r="W2076" s="13" t="s">
        <v>0</v>
      </c>
      <c r="X2076" s="13" t="s">
        <v>0</v>
      </c>
      <c r="Y2076" s="13" t="s">
        <v>10</v>
      </c>
      <c r="Z2076" s="13" t="s">
        <v>0</v>
      </c>
      <c r="AA2076" s="14"/>
      <c r="AB2076" s="13" t="s">
        <v>0</v>
      </c>
      <c r="AC2076" s="13" t="s">
        <v>0</v>
      </c>
      <c r="AD2076" s="13" t="s">
        <v>0</v>
      </c>
      <c r="AE2076" s="15">
        <v>0</v>
      </c>
    </row>
    <row r="2077" spans="1:31" ht="14.15" customHeight="1" x14ac:dyDescent="0.25">
      <c r="A2077" s="12" t="s">
        <v>0</v>
      </c>
      <c r="B2077" s="13" t="s">
        <v>1</v>
      </c>
      <c r="C2077" s="13" t="s">
        <v>1456</v>
      </c>
      <c r="D2077" s="14">
        <v>44159</v>
      </c>
      <c r="E2077" s="14">
        <v>44159</v>
      </c>
      <c r="F2077" s="14">
        <v>44163</v>
      </c>
      <c r="G2077" s="13" t="s">
        <v>3</v>
      </c>
      <c r="H2077" s="13" t="s">
        <v>4</v>
      </c>
      <c r="I2077" s="15">
        <v>-5509.42</v>
      </c>
      <c r="J2077" s="13" t="s">
        <v>5</v>
      </c>
      <c r="K2077" s="13" t="s">
        <v>6</v>
      </c>
      <c r="L2077" s="15">
        <v>-462515.81</v>
      </c>
      <c r="M2077" s="15">
        <v>-5509.42</v>
      </c>
      <c r="N2077" s="16" t="str">
        <f>IF(M2077="","",IF(M2077&lt;0,-M2077&amp;"_"&amp;COUNTIF(M$2:M2077,M2077),M2077&amp;"_"&amp;COUNTIF(M$2:M2077,M2077)))</f>
        <v>5509.42_1</v>
      </c>
      <c r="O2077" s="17" t="str">
        <f t="shared" si="32"/>
        <v/>
      </c>
      <c r="P2077" s="13" t="s">
        <v>1457</v>
      </c>
      <c r="Q2077" s="13" t="s">
        <v>1455</v>
      </c>
      <c r="R2077" s="13" t="s">
        <v>0</v>
      </c>
      <c r="S2077" s="13" t="s">
        <v>0</v>
      </c>
      <c r="T2077" s="13" t="s">
        <v>9</v>
      </c>
      <c r="U2077" s="13" t="s">
        <v>0</v>
      </c>
      <c r="V2077" s="13" t="s">
        <v>0</v>
      </c>
      <c r="W2077" s="13" t="s">
        <v>0</v>
      </c>
      <c r="X2077" s="13" t="s">
        <v>0</v>
      </c>
      <c r="Y2077" s="13" t="s">
        <v>10</v>
      </c>
      <c r="Z2077" s="13" t="s">
        <v>0</v>
      </c>
      <c r="AA2077" s="14"/>
      <c r="AB2077" s="13" t="s">
        <v>0</v>
      </c>
      <c r="AC2077" s="13" t="s">
        <v>0</v>
      </c>
      <c r="AD2077" s="13" t="s">
        <v>0</v>
      </c>
      <c r="AE2077" s="15">
        <v>0</v>
      </c>
    </row>
    <row r="2078" spans="1:31" ht="14.15" customHeight="1" x14ac:dyDescent="0.25">
      <c r="A2078" s="12" t="s">
        <v>0</v>
      </c>
      <c r="B2078" s="13" t="s">
        <v>1</v>
      </c>
      <c r="C2078" s="13" t="s">
        <v>1825</v>
      </c>
      <c r="D2078" s="14">
        <v>44183</v>
      </c>
      <c r="E2078" s="14">
        <v>44183</v>
      </c>
      <c r="F2078" s="14">
        <v>44195</v>
      </c>
      <c r="G2078" s="13" t="s">
        <v>3</v>
      </c>
      <c r="H2078" s="13" t="s">
        <v>4</v>
      </c>
      <c r="I2078" s="15">
        <v>-5499.14</v>
      </c>
      <c r="J2078" s="13" t="s">
        <v>5</v>
      </c>
      <c r="K2078" s="13" t="s">
        <v>6</v>
      </c>
      <c r="L2078" s="15">
        <v>-461652.8</v>
      </c>
      <c r="M2078" s="15">
        <v>-5499.14</v>
      </c>
      <c r="N2078" s="16" t="str">
        <f>IF(M2078="","",IF(M2078&lt;0,-M2078&amp;"_"&amp;COUNTIF(M$2:M2078,M2078),M2078&amp;"_"&amp;COUNTIF(M$2:M2078,M2078)))</f>
        <v>5499.14_1</v>
      </c>
      <c r="O2078" s="17" t="str">
        <f t="shared" si="32"/>
        <v/>
      </c>
      <c r="P2078" s="13" t="s">
        <v>1826</v>
      </c>
      <c r="Q2078" s="13" t="s">
        <v>1792</v>
      </c>
      <c r="R2078" s="13" t="s">
        <v>0</v>
      </c>
      <c r="S2078" s="13" t="s">
        <v>0</v>
      </c>
      <c r="T2078" s="13" t="s">
        <v>9</v>
      </c>
      <c r="U2078" s="13" t="s">
        <v>0</v>
      </c>
      <c r="V2078" s="13" t="s">
        <v>0</v>
      </c>
      <c r="W2078" s="13" t="s">
        <v>0</v>
      </c>
      <c r="X2078" s="13" t="s">
        <v>0</v>
      </c>
      <c r="Y2078" s="13" t="s">
        <v>10</v>
      </c>
      <c r="Z2078" s="13" t="s">
        <v>0</v>
      </c>
      <c r="AA2078" s="14"/>
      <c r="AB2078" s="13" t="s">
        <v>0</v>
      </c>
      <c r="AC2078" s="13" t="s">
        <v>0</v>
      </c>
      <c r="AD2078" s="13" t="s">
        <v>0</v>
      </c>
      <c r="AE2078" s="15">
        <v>0</v>
      </c>
    </row>
    <row r="2079" spans="1:31" ht="14.15" customHeight="1" x14ac:dyDescent="0.25">
      <c r="A2079" s="12" t="s">
        <v>0</v>
      </c>
      <c r="B2079" s="13" t="s">
        <v>1</v>
      </c>
      <c r="C2079" s="13" t="s">
        <v>1963</v>
      </c>
      <c r="D2079" s="14">
        <v>44195</v>
      </c>
      <c r="E2079" s="14">
        <v>44195</v>
      </c>
      <c r="F2079" s="14">
        <v>44201</v>
      </c>
      <c r="G2079" s="13" t="s">
        <v>3</v>
      </c>
      <c r="H2079" s="13" t="s">
        <v>4</v>
      </c>
      <c r="I2079" s="15">
        <v>-5497.24</v>
      </c>
      <c r="J2079" s="13" t="s">
        <v>5</v>
      </c>
      <c r="K2079" s="13" t="s">
        <v>6</v>
      </c>
      <c r="L2079" s="15">
        <v>-461493.3</v>
      </c>
      <c r="M2079" s="15">
        <v>-5497.24</v>
      </c>
      <c r="N2079" s="16" t="str">
        <f>IF(M2079="","",IF(M2079&lt;0,-M2079&amp;"_"&amp;COUNTIF(M$2:M2079,M2079),M2079&amp;"_"&amp;COUNTIF(M$2:M2079,M2079)))</f>
        <v>5497.24_1</v>
      </c>
      <c r="O2079" s="17" t="str">
        <f t="shared" si="32"/>
        <v/>
      </c>
      <c r="P2079" s="13" t="s">
        <v>1964</v>
      </c>
      <c r="Q2079" s="13" t="s">
        <v>1956</v>
      </c>
      <c r="R2079" s="13" t="s">
        <v>0</v>
      </c>
      <c r="S2079" s="13" t="s">
        <v>0</v>
      </c>
      <c r="T2079" s="13" t="s">
        <v>9</v>
      </c>
      <c r="U2079" s="13" t="s">
        <v>0</v>
      </c>
      <c r="V2079" s="13" t="s">
        <v>0</v>
      </c>
      <c r="W2079" s="13" t="s">
        <v>0</v>
      </c>
      <c r="X2079" s="13" t="s">
        <v>0</v>
      </c>
      <c r="Y2079" s="13" t="s">
        <v>10</v>
      </c>
      <c r="Z2079" s="13" t="s">
        <v>0</v>
      </c>
      <c r="AA2079" s="14"/>
      <c r="AB2079" s="13" t="s">
        <v>0</v>
      </c>
      <c r="AC2079" s="13" t="s">
        <v>0</v>
      </c>
      <c r="AD2079" s="13" t="s">
        <v>0</v>
      </c>
      <c r="AE2079" s="15">
        <v>0</v>
      </c>
    </row>
    <row r="2080" spans="1:31" ht="14.15" customHeight="1" x14ac:dyDescent="0.25">
      <c r="A2080" s="12" t="s">
        <v>0</v>
      </c>
      <c r="B2080" s="13" t="s">
        <v>1</v>
      </c>
      <c r="C2080" s="13" t="s">
        <v>2272</v>
      </c>
      <c r="D2080" s="14">
        <v>44218</v>
      </c>
      <c r="E2080" s="14">
        <v>44218</v>
      </c>
      <c r="F2080" s="14">
        <v>44222</v>
      </c>
      <c r="G2080" s="13" t="s">
        <v>3</v>
      </c>
      <c r="H2080" s="13" t="s">
        <v>4</v>
      </c>
      <c r="I2080" s="15">
        <v>-5481.37</v>
      </c>
      <c r="J2080" s="13" t="s">
        <v>5</v>
      </c>
      <c r="K2080" s="13" t="s">
        <v>6</v>
      </c>
      <c r="L2080" s="15">
        <v>-460161.02</v>
      </c>
      <c r="M2080" s="15">
        <v>-5481.37</v>
      </c>
      <c r="N2080" s="16" t="str">
        <f>IF(M2080="","",IF(M2080&lt;0,-M2080&amp;"_"&amp;COUNTIF(M$2:M2080,M2080),M2080&amp;"_"&amp;COUNTIF(M$2:M2080,M2080)))</f>
        <v>5481.37_1</v>
      </c>
      <c r="O2080" s="17" t="str">
        <f t="shared" si="32"/>
        <v/>
      </c>
      <c r="P2080" s="13" t="s">
        <v>2273</v>
      </c>
      <c r="Q2080" s="13" t="s">
        <v>2274</v>
      </c>
      <c r="R2080" s="13" t="s">
        <v>0</v>
      </c>
      <c r="S2080" s="13" t="s">
        <v>0</v>
      </c>
      <c r="T2080" s="13" t="s">
        <v>9</v>
      </c>
      <c r="U2080" s="13" t="s">
        <v>0</v>
      </c>
      <c r="V2080" s="13" t="s">
        <v>0</v>
      </c>
      <c r="W2080" s="13" t="s">
        <v>0</v>
      </c>
      <c r="X2080" s="13" t="s">
        <v>0</v>
      </c>
      <c r="Y2080" s="13" t="s">
        <v>10</v>
      </c>
      <c r="Z2080" s="13" t="s">
        <v>0</v>
      </c>
      <c r="AA2080" s="14"/>
      <c r="AB2080" s="13" t="s">
        <v>0</v>
      </c>
      <c r="AC2080" s="13" t="s">
        <v>0</v>
      </c>
      <c r="AD2080" s="13" t="s">
        <v>0</v>
      </c>
      <c r="AE2080" s="15">
        <v>0</v>
      </c>
    </row>
    <row r="2081" spans="1:31" ht="14.15" customHeight="1" x14ac:dyDescent="0.25">
      <c r="A2081" s="12" t="s">
        <v>0</v>
      </c>
      <c r="B2081" s="13" t="s">
        <v>1</v>
      </c>
      <c r="C2081" s="13" t="s">
        <v>4328</v>
      </c>
      <c r="D2081" s="14">
        <v>44373</v>
      </c>
      <c r="E2081" s="14">
        <v>44373</v>
      </c>
      <c r="F2081" s="14">
        <v>44376</v>
      </c>
      <c r="G2081" s="13" t="s">
        <v>3</v>
      </c>
      <c r="H2081" s="13" t="s">
        <v>4</v>
      </c>
      <c r="I2081" s="15">
        <v>-5476.68</v>
      </c>
      <c r="J2081" s="13" t="s">
        <v>5</v>
      </c>
      <c r="K2081" s="13" t="s">
        <v>6</v>
      </c>
      <c r="L2081" s="15">
        <v>-459767.29</v>
      </c>
      <c r="M2081" s="15">
        <v>-5476.68</v>
      </c>
      <c r="N2081" s="16" t="str">
        <f>IF(M2081="","",IF(M2081&lt;0,-M2081&amp;"_"&amp;COUNTIF(M$2:M2081,M2081),M2081&amp;"_"&amp;COUNTIF(M$2:M2081,M2081)))</f>
        <v>5476.68_1</v>
      </c>
      <c r="O2081" s="17" t="str">
        <f t="shared" si="32"/>
        <v/>
      </c>
      <c r="P2081" s="13" t="s">
        <v>4329</v>
      </c>
      <c r="Q2081" s="13" t="s">
        <v>4325</v>
      </c>
      <c r="R2081" s="13" t="s">
        <v>0</v>
      </c>
      <c r="S2081" s="13" t="s">
        <v>0</v>
      </c>
      <c r="T2081" s="13" t="s">
        <v>9</v>
      </c>
      <c r="U2081" s="13" t="s">
        <v>0</v>
      </c>
      <c r="V2081" s="13" t="s">
        <v>0</v>
      </c>
      <c r="W2081" s="13" t="s">
        <v>0</v>
      </c>
      <c r="X2081" s="13" t="s">
        <v>0</v>
      </c>
      <c r="Y2081" s="13" t="s">
        <v>10</v>
      </c>
      <c r="Z2081" s="13" t="s">
        <v>0</v>
      </c>
      <c r="AA2081" s="14"/>
      <c r="AB2081" s="13" t="s">
        <v>0</v>
      </c>
      <c r="AC2081" s="13" t="s">
        <v>0</v>
      </c>
      <c r="AD2081" s="13" t="s">
        <v>0</v>
      </c>
      <c r="AE2081" s="15">
        <v>0</v>
      </c>
    </row>
    <row r="2082" spans="1:31" ht="14.15" customHeight="1" x14ac:dyDescent="0.25">
      <c r="A2082" s="12" t="s">
        <v>0</v>
      </c>
      <c r="B2082" s="13" t="s">
        <v>1</v>
      </c>
      <c r="C2082" s="13" t="s">
        <v>2806</v>
      </c>
      <c r="D2082" s="14">
        <v>44265</v>
      </c>
      <c r="E2082" s="14">
        <v>44265</v>
      </c>
      <c r="F2082" s="14">
        <v>44272</v>
      </c>
      <c r="G2082" s="13" t="s">
        <v>3</v>
      </c>
      <c r="H2082" s="13" t="s">
        <v>4</v>
      </c>
      <c r="I2082" s="15">
        <v>-5475.6</v>
      </c>
      <c r="J2082" s="13" t="s">
        <v>5</v>
      </c>
      <c r="K2082" s="13" t="s">
        <v>6</v>
      </c>
      <c r="L2082" s="15">
        <v>-459676.62</v>
      </c>
      <c r="M2082" s="15">
        <v>-5475.6</v>
      </c>
      <c r="N2082" s="16" t="str">
        <f>IF(M2082="","",IF(M2082&lt;0,-M2082&amp;"_"&amp;COUNTIF(M$2:M2082,M2082),M2082&amp;"_"&amp;COUNTIF(M$2:M2082,M2082)))</f>
        <v>5475.6_1</v>
      </c>
      <c r="O2082" s="17" t="str">
        <f t="shared" si="32"/>
        <v/>
      </c>
      <c r="P2082" s="13" t="s">
        <v>2807</v>
      </c>
      <c r="Q2082" s="13" t="s">
        <v>2801</v>
      </c>
      <c r="R2082" s="13" t="s">
        <v>0</v>
      </c>
      <c r="S2082" s="13" t="s">
        <v>0</v>
      </c>
      <c r="T2082" s="13" t="s">
        <v>9</v>
      </c>
      <c r="U2082" s="13" t="s">
        <v>0</v>
      </c>
      <c r="V2082" s="13" t="s">
        <v>0</v>
      </c>
      <c r="W2082" s="13" t="s">
        <v>0</v>
      </c>
      <c r="X2082" s="13" t="s">
        <v>0</v>
      </c>
      <c r="Y2082" s="13" t="s">
        <v>10</v>
      </c>
      <c r="Z2082" s="13" t="s">
        <v>0</v>
      </c>
      <c r="AA2082" s="14"/>
      <c r="AB2082" s="13" t="s">
        <v>0</v>
      </c>
      <c r="AC2082" s="13" t="s">
        <v>0</v>
      </c>
      <c r="AD2082" s="13" t="s">
        <v>0</v>
      </c>
      <c r="AE2082" s="15">
        <v>0</v>
      </c>
    </row>
    <row r="2083" spans="1:31" ht="14.15" customHeight="1" x14ac:dyDescent="0.25">
      <c r="A2083" s="12" t="s">
        <v>0</v>
      </c>
      <c r="B2083" s="13" t="s">
        <v>1</v>
      </c>
      <c r="C2083" s="13" t="s">
        <v>3187</v>
      </c>
      <c r="D2083" s="14">
        <v>44299</v>
      </c>
      <c r="E2083" s="14">
        <v>44299</v>
      </c>
      <c r="F2083" s="14">
        <v>44308</v>
      </c>
      <c r="G2083" s="13" t="s">
        <v>3</v>
      </c>
      <c r="H2083" s="13" t="s">
        <v>4</v>
      </c>
      <c r="I2083" s="15">
        <v>-5473.17</v>
      </c>
      <c r="J2083" s="13" t="s">
        <v>5</v>
      </c>
      <c r="K2083" s="13" t="s">
        <v>6</v>
      </c>
      <c r="L2083" s="15">
        <v>-459472.62</v>
      </c>
      <c r="M2083" s="15">
        <v>-5473.17</v>
      </c>
      <c r="N2083" s="16" t="str">
        <f>IF(M2083="","",IF(M2083&lt;0,-M2083&amp;"_"&amp;COUNTIF(M$2:M2083,M2083),M2083&amp;"_"&amp;COUNTIF(M$2:M2083,M2083)))</f>
        <v>5473.17_1</v>
      </c>
      <c r="O2083" s="17" t="str">
        <f t="shared" si="32"/>
        <v/>
      </c>
      <c r="P2083" s="13" t="s">
        <v>3188</v>
      </c>
      <c r="Q2083" s="13" t="s">
        <v>3170</v>
      </c>
      <c r="R2083" s="13" t="s">
        <v>0</v>
      </c>
      <c r="S2083" s="13" t="s">
        <v>0</v>
      </c>
      <c r="T2083" s="13" t="s">
        <v>9</v>
      </c>
      <c r="U2083" s="13" t="s">
        <v>0</v>
      </c>
      <c r="V2083" s="13" t="s">
        <v>0</v>
      </c>
      <c r="W2083" s="13" t="s">
        <v>0</v>
      </c>
      <c r="X2083" s="13" t="s">
        <v>0</v>
      </c>
      <c r="Y2083" s="13" t="s">
        <v>10</v>
      </c>
      <c r="Z2083" s="13" t="s">
        <v>0</v>
      </c>
      <c r="AA2083" s="14"/>
      <c r="AB2083" s="13" t="s">
        <v>0</v>
      </c>
      <c r="AC2083" s="13" t="s">
        <v>0</v>
      </c>
      <c r="AD2083" s="13" t="s">
        <v>0</v>
      </c>
      <c r="AE2083" s="15">
        <v>0</v>
      </c>
    </row>
    <row r="2084" spans="1:31" ht="14.15" customHeight="1" x14ac:dyDescent="0.25">
      <c r="A2084" s="12" t="s">
        <v>0</v>
      </c>
      <c r="B2084" s="13" t="s">
        <v>1</v>
      </c>
      <c r="C2084" s="13" t="s">
        <v>4053</v>
      </c>
      <c r="D2084" s="14">
        <v>44359</v>
      </c>
      <c r="E2084" s="14">
        <v>44359</v>
      </c>
      <c r="F2084" s="14">
        <v>44363</v>
      </c>
      <c r="G2084" s="13" t="s">
        <v>3</v>
      </c>
      <c r="H2084" s="13" t="s">
        <v>4</v>
      </c>
      <c r="I2084" s="15">
        <v>-5468.66</v>
      </c>
      <c r="J2084" s="13" t="s">
        <v>5</v>
      </c>
      <c r="K2084" s="13" t="s">
        <v>6</v>
      </c>
      <c r="L2084" s="15">
        <v>-459094.01</v>
      </c>
      <c r="M2084" s="15">
        <v>-5468.66</v>
      </c>
      <c r="N2084" s="16" t="str">
        <f>IF(M2084="","",IF(M2084&lt;0,-M2084&amp;"_"&amp;COUNTIF(M$2:M2084,M2084),M2084&amp;"_"&amp;COUNTIF(M$2:M2084,M2084)))</f>
        <v>5468.66_1</v>
      </c>
      <c r="O2084" s="17" t="str">
        <f t="shared" si="32"/>
        <v/>
      </c>
      <c r="P2084" s="13" t="s">
        <v>4054</v>
      </c>
      <c r="Q2084" s="13" t="s">
        <v>4055</v>
      </c>
      <c r="R2084" s="13" t="s">
        <v>0</v>
      </c>
      <c r="S2084" s="13" t="s">
        <v>0</v>
      </c>
      <c r="T2084" s="13" t="s">
        <v>9</v>
      </c>
      <c r="U2084" s="13" t="s">
        <v>0</v>
      </c>
      <c r="V2084" s="13" t="s">
        <v>0</v>
      </c>
      <c r="W2084" s="13" t="s">
        <v>0</v>
      </c>
      <c r="X2084" s="13" t="s">
        <v>0</v>
      </c>
      <c r="Y2084" s="13" t="s">
        <v>10</v>
      </c>
      <c r="Z2084" s="13" t="s">
        <v>0</v>
      </c>
      <c r="AA2084" s="14"/>
      <c r="AB2084" s="13" t="s">
        <v>0</v>
      </c>
      <c r="AC2084" s="13" t="s">
        <v>0</v>
      </c>
      <c r="AD2084" s="13" t="s">
        <v>0</v>
      </c>
      <c r="AE2084" s="15">
        <v>0</v>
      </c>
    </row>
    <row r="2085" spans="1:31" ht="14.15" customHeight="1" x14ac:dyDescent="0.25">
      <c r="A2085" s="12" t="s">
        <v>0</v>
      </c>
      <c r="B2085" s="13" t="s">
        <v>1</v>
      </c>
      <c r="C2085" s="13" t="s">
        <v>2694</v>
      </c>
      <c r="D2085" s="14">
        <v>44255</v>
      </c>
      <c r="E2085" s="14">
        <v>44255</v>
      </c>
      <c r="F2085" s="14">
        <v>44257</v>
      </c>
      <c r="G2085" s="13" t="s">
        <v>3</v>
      </c>
      <c r="H2085" s="13" t="s">
        <v>4</v>
      </c>
      <c r="I2085" s="15">
        <v>-5462.37</v>
      </c>
      <c r="J2085" s="13" t="s">
        <v>5</v>
      </c>
      <c r="K2085" s="13" t="s">
        <v>6</v>
      </c>
      <c r="L2085" s="15">
        <v>-458565.96</v>
      </c>
      <c r="M2085" s="15">
        <v>-5462.37</v>
      </c>
      <c r="N2085" s="16" t="str">
        <f>IF(M2085="","",IF(M2085&lt;0,-M2085&amp;"_"&amp;COUNTIF(M$2:M2085,M2085),M2085&amp;"_"&amp;COUNTIF(M$2:M2085,M2085)))</f>
        <v>5462.37_1</v>
      </c>
      <c r="O2085" s="17" t="str">
        <f t="shared" si="32"/>
        <v/>
      </c>
      <c r="P2085" s="13" t="s">
        <v>2695</v>
      </c>
      <c r="Q2085" s="13" t="s">
        <v>2696</v>
      </c>
      <c r="R2085" s="13" t="s">
        <v>0</v>
      </c>
      <c r="S2085" s="13" t="s">
        <v>0</v>
      </c>
      <c r="T2085" s="13" t="s">
        <v>9</v>
      </c>
      <c r="U2085" s="13" t="s">
        <v>0</v>
      </c>
      <c r="V2085" s="13" t="s">
        <v>0</v>
      </c>
      <c r="W2085" s="13" t="s">
        <v>0</v>
      </c>
      <c r="X2085" s="13" t="s">
        <v>0</v>
      </c>
      <c r="Y2085" s="13" t="s">
        <v>10</v>
      </c>
      <c r="Z2085" s="13" t="s">
        <v>0</v>
      </c>
      <c r="AA2085" s="14"/>
      <c r="AB2085" s="13" t="s">
        <v>0</v>
      </c>
      <c r="AC2085" s="13" t="s">
        <v>0</v>
      </c>
      <c r="AD2085" s="13" t="s">
        <v>0</v>
      </c>
      <c r="AE2085" s="15">
        <v>0</v>
      </c>
    </row>
    <row r="2086" spans="1:31" ht="14.15" customHeight="1" x14ac:dyDescent="0.25">
      <c r="A2086" s="12" t="s">
        <v>0</v>
      </c>
      <c r="B2086" s="13" t="s">
        <v>1</v>
      </c>
      <c r="C2086" s="13" t="s">
        <v>1965</v>
      </c>
      <c r="D2086" s="14">
        <v>44195</v>
      </c>
      <c r="E2086" s="14">
        <v>44195</v>
      </c>
      <c r="F2086" s="14">
        <v>44201</v>
      </c>
      <c r="G2086" s="13" t="s">
        <v>3</v>
      </c>
      <c r="H2086" s="13" t="s">
        <v>4</v>
      </c>
      <c r="I2086" s="15">
        <v>-5462.31</v>
      </c>
      <c r="J2086" s="13" t="s">
        <v>5</v>
      </c>
      <c r="K2086" s="13" t="s">
        <v>6</v>
      </c>
      <c r="L2086" s="15">
        <v>-458560.92</v>
      </c>
      <c r="M2086" s="15">
        <v>-5462.31</v>
      </c>
      <c r="N2086" s="16" t="str">
        <f>IF(M2086="","",IF(M2086&lt;0,-M2086&amp;"_"&amp;COUNTIF(M$2:M2086,M2086),M2086&amp;"_"&amp;COUNTIF(M$2:M2086,M2086)))</f>
        <v>5462.31_1</v>
      </c>
      <c r="O2086" s="17" t="str">
        <f t="shared" si="32"/>
        <v/>
      </c>
      <c r="P2086" s="13" t="s">
        <v>1966</v>
      </c>
      <c r="Q2086" s="13" t="s">
        <v>1956</v>
      </c>
      <c r="R2086" s="13" t="s">
        <v>0</v>
      </c>
      <c r="S2086" s="13" t="s">
        <v>0</v>
      </c>
      <c r="T2086" s="13" t="s">
        <v>9</v>
      </c>
      <c r="U2086" s="13" t="s">
        <v>0</v>
      </c>
      <c r="V2086" s="13" t="s">
        <v>0</v>
      </c>
      <c r="W2086" s="13" t="s">
        <v>0</v>
      </c>
      <c r="X2086" s="13" t="s">
        <v>0</v>
      </c>
      <c r="Y2086" s="13" t="s">
        <v>10</v>
      </c>
      <c r="Z2086" s="13" t="s">
        <v>0</v>
      </c>
      <c r="AA2086" s="14"/>
      <c r="AB2086" s="13" t="s">
        <v>0</v>
      </c>
      <c r="AC2086" s="13" t="s">
        <v>0</v>
      </c>
      <c r="AD2086" s="13" t="s">
        <v>0</v>
      </c>
      <c r="AE2086" s="15">
        <v>0</v>
      </c>
    </row>
    <row r="2087" spans="1:31" ht="14.15" customHeight="1" x14ac:dyDescent="0.25">
      <c r="A2087" s="12" t="s">
        <v>0</v>
      </c>
      <c r="B2087" s="13" t="s">
        <v>1</v>
      </c>
      <c r="C2087" s="13" t="s">
        <v>1495</v>
      </c>
      <c r="D2087" s="14">
        <v>44160</v>
      </c>
      <c r="E2087" s="14">
        <v>44160</v>
      </c>
      <c r="F2087" s="14">
        <v>44165</v>
      </c>
      <c r="G2087" s="13" t="s">
        <v>3</v>
      </c>
      <c r="H2087" s="13" t="s">
        <v>4</v>
      </c>
      <c r="I2087" s="15">
        <v>-5454.3</v>
      </c>
      <c r="J2087" s="13" t="s">
        <v>5</v>
      </c>
      <c r="K2087" s="13" t="s">
        <v>6</v>
      </c>
      <c r="L2087" s="15">
        <v>-457888.48</v>
      </c>
      <c r="M2087" s="15">
        <v>-5454.3</v>
      </c>
      <c r="N2087" s="16" t="str">
        <f>IF(M2087="","",IF(M2087&lt;0,-M2087&amp;"_"&amp;COUNTIF(M$2:M2087,M2087),M2087&amp;"_"&amp;COUNTIF(M$2:M2087,M2087)))</f>
        <v>5454.3_1</v>
      </c>
      <c r="O2087" s="17" t="str">
        <f t="shared" si="32"/>
        <v/>
      </c>
      <c r="P2087" s="13" t="s">
        <v>1496</v>
      </c>
      <c r="Q2087" s="13" t="s">
        <v>1470</v>
      </c>
      <c r="R2087" s="13" t="s">
        <v>0</v>
      </c>
      <c r="S2087" s="13" t="s">
        <v>0</v>
      </c>
      <c r="T2087" s="13" t="s">
        <v>9</v>
      </c>
      <c r="U2087" s="13" t="s">
        <v>0</v>
      </c>
      <c r="V2087" s="13" t="s">
        <v>0</v>
      </c>
      <c r="W2087" s="13" t="s">
        <v>0</v>
      </c>
      <c r="X2087" s="13" t="s">
        <v>0</v>
      </c>
      <c r="Y2087" s="13" t="s">
        <v>10</v>
      </c>
      <c r="Z2087" s="13" t="s">
        <v>0</v>
      </c>
      <c r="AA2087" s="14"/>
      <c r="AB2087" s="13" t="s">
        <v>0</v>
      </c>
      <c r="AC2087" s="13" t="s">
        <v>0</v>
      </c>
      <c r="AD2087" s="13" t="s">
        <v>0</v>
      </c>
      <c r="AE2087" s="15">
        <v>0</v>
      </c>
    </row>
    <row r="2088" spans="1:31" ht="14.15" customHeight="1" x14ac:dyDescent="0.25">
      <c r="A2088" s="12" t="s">
        <v>0</v>
      </c>
      <c r="B2088" s="13" t="s">
        <v>1</v>
      </c>
      <c r="C2088" s="13" t="s">
        <v>2313</v>
      </c>
      <c r="D2088" s="14">
        <v>44219</v>
      </c>
      <c r="E2088" s="14">
        <v>44219</v>
      </c>
      <c r="F2088" s="14">
        <v>44228</v>
      </c>
      <c r="G2088" s="13" t="s">
        <v>3</v>
      </c>
      <c r="H2088" s="13" t="s">
        <v>4</v>
      </c>
      <c r="I2088" s="15">
        <v>-5448.07</v>
      </c>
      <c r="J2088" s="13" t="s">
        <v>5</v>
      </c>
      <c r="K2088" s="13" t="s">
        <v>6</v>
      </c>
      <c r="L2088" s="15">
        <v>-457365.48</v>
      </c>
      <c r="M2088" s="15">
        <v>-5448.07</v>
      </c>
      <c r="N2088" s="16" t="str">
        <f>IF(M2088="","",IF(M2088&lt;0,-M2088&amp;"_"&amp;COUNTIF(M$2:M2088,M2088),M2088&amp;"_"&amp;COUNTIF(M$2:M2088,M2088)))</f>
        <v>5448.07_1</v>
      </c>
      <c r="O2088" s="17" t="str">
        <f t="shared" si="32"/>
        <v/>
      </c>
      <c r="P2088" s="13" t="s">
        <v>2314</v>
      </c>
      <c r="Q2088" s="13" t="s">
        <v>2282</v>
      </c>
      <c r="R2088" s="13" t="s">
        <v>0</v>
      </c>
      <c r="S2088" s="13" t="s">
        <v>0</v>
      </c>
      <c r="T2088" s="13" t="s">
        <v>9</v>
      </c>
      <c r="U2088" s="13" t="s">
        <v>0</v>
      </c>
      <c r="V2088" s="13" t="s">
        <v>0</v>
      </c>
      <c r="W2088" s="13" t="s">
        <v>0</v>
      </c>
      <c r="X2088" s="13" t="s">
        <v>0</v>
      </c>
      <c r="Y2088" s="13" t="s">
        <v>10</v>
      </c>
      <c r="Z2088" s="13" t="s">
        <v>0</v>
      </c>
      <c r="AA2088" s="14"/>
      <c r="AB2088" s="13" t="s">
        <v>0</v>
      </c>
      <c r="AC2088" s="13" t="s">
        <v>0</v>
      </c>
      <c r="AD2088" s="13" t="s">
        <v>0</v>
      </c>
      <c r="AE2088" s="15">
        <v>0</v>
      </c>
    </row>
    <row r="2089" spans="1:31" ht="14.15" customHeight="1" x14ac:dyDescent="0.25">
      <c r="A2089" s="12" t="s">
        <v>0</v>
      </c>
      <c r="B2089" s="13" t="s">
        <v>1</v>
      </c>
      <c r="C2089" s="13" t="s">
        <v>2364</v>
      </c>
      <c r="D2089" s="14">
        <v>44224</v>
      </c>
      <c r="E2089" s="14">
        <v>44224</v>
      </c>
      <c r="F2089" s="14">
        <v>44231</v>
      </c>
      <c r="G2089" s="13" t="s">
        <v>3</v>
      </c>
      <c r="H2089" s="13" t="s">
        <v>4</v>
      </c>
      <c r="I2089" s="15">
        <v>-5444.14</v>
      </c>
      <c r="J2089" s="13" t="s">
        <v>5</v>
      </c>
      <c r="K2089" s="13" t="s">
        <v>6</v>
      </c>
      <c r="L2089" s="15">
        <v>-457035.55</v>
      </c>
      <c r="M2089" s="15">
        <v>-5444.14</v>
      </c>
      <c r="N2089" s="16" t="str">
        <f>IF(M2089="","",IF(M2089&lt;0,-M2089&amp;"_"&amp;COUNTIF(M$2:M2089,M2089),M2089&amp;"_"&amp;COUNTIF(M$2:M2089,M2089)))</f>
        <v>5444.14_1</v>
      </c>
      <c r="O2089" s="17" t="str">
        <f t="shared" si="32"/>
        <v/>
      </c>
      <c r="P2089" s="13" t="s">
        <v>2365</v>
      </c>
      <c r="Q2089" s="13" t="s">
        <v>2345</v>
      </c>
      <c r="R2089" s="13" t="s">
        <v>0</v>
      </c>
      <c r="S2089" s="13" t="s">
        <v>0</v>
      </c>
      <c r="T2089" s="13" t="s">
        <v>9</v>
      </c>
      <c r="U2089" s="13" t="s">
        <v>0</v>
      </c>
      <c r="V2089" s="13" t="s">
        <v>0</v>
      </c>
      <c r="W2089" s="13" t="s">
        <v>0</v>
      </c>
      <c r="X2089" s="13" t="s">
        <v>0</v>
      </c>
      <c r="Y2089" s="13" t="s">
        <v>10</v>
      </c>
      <c r="Z2089" s="13" t="s">
        <v>0</v>
      </c>
      <c r="AA2089" s="14"/>
      <c r="AB2089" s="13" t="s">
        <v>0</v>
      </c>
      <c r="AC2089" s="13" t="s">
        <v>0</v>
      </c>
      <c r="AD2089" s="13" t="s">
        <v>0</v>
      </c>
      <c r="AE2089" s="15">
        <v>0</v>
      </c>
    </row>
    <row r="2090" spans="1:31" ht="14.15" customHeight="1" x14ac:dyDescent="0.25">
      <c r="A2090" s="12" t="s">
        <v>0</v>
      </c>
      <c r="B2090" s="13" t="s">
        <v>1</v>
      </c>
      <c r="C2090" s="13" t="s">
        <v>3027</v>
      </c>
      <c r="D2090" s="14">
        <v>44281</v>
      </c>
      <c r="E2090" s="14">
        <v>44281</v>
      </c>
      <c r="F2090" s="14">
        <v>44290</v>
      </c>
      <c r="G2090" s="13" t="s">
        <v>3</v>
      </c>
      <c r="H2090" s="13" t="s">
        <v>4</v>
      </c>
      <c r="I2090" s="15">
        <v>-5443.8</v>
      </c>
      <c r="J2090" s="13" t="s">
        <v>5</v>
      </c>
      <c r="K2090" s="13" t="s">
        <v>6</v>
      </c>
      <c r="L2090" s="15">
        <v>-457007.01</v>
      </c>
      <c r="M2090" s="15">
        <v>-5443.8</v>
      </c>
      <c r="N2090" s="16" t="str">
        <f>IF(M2090="","",IF(M2090&lt;0,-M2090&amp;"_"&amp;COUNTIF(M$2:M2090,M2090),M2090&amp;"_"&amp;COUNTIF(M$2:M2090,M2090)))</f>
        <v>5443.8_1</v>
      </c>
      <c r="O2090" s="17" t="str">
        <f t="shared" si="32"/>
        <v/>
      </c>
      <c r="P2090" s="13" t="s">
        <v>3028</v>
      </c>
      <c r="Q2090" s="13" t="s">
        <v>3014</v>
      </c>
      <c r="R2090" s="13" t="s">
        <v>0</v>
      </c>
      <c r="S2090" s="13" t="s">
        <v>0</v>
      </c>
      <c r="T2090" s="13" t="s">
        <v>9</v>
      </c>
      <c r="U2090" s="13" t="s">
        <v>0</v>
      </c>
      <c r="V2090" s="13" t="s">
        <v>0</v>
      </c>
      <c r="W2090" s="13" t="s">
        <v>0</v>
      </c>
      <c r="X2090" s="13" t="s">
        <v>0</v>
      </c>
      <c r="Y2090" s="13" t="s">
        <v>10</v>
      </c>
      <c r="Z2090" s="13" t="s">
        <v>0</v>
      </c>
      <c r="AA2090" s="14"/>
      <c r="AB2090" s="13" t="s">
        <v>0</v>
      </c>
      <c r="AC2090" s="13" t="s">
        <v>0</v>
      </c>
      <c r="AD2090" s="13" t="s">
        <v>0</v>
      </c>
      <c r="AE2090" s="15">
        <v>0</v>
      </c>
    </row>
    <row r="2091" spans="1:31" ht="14.15" customHeight="1" x14ac:dyDescent="0.25">
      <c r="A2091" s="12" t="s">
        <v>0</v>
      </c>
      <c r="B2091" s="13" t="s">
        <v>1</v>
      </c>
      <c r="C2091" s="13" t="s">
        <v>141</v>
      </c>
      <c r="D2091" s="14">
        <v>44029</v>
      </c>
      <c r="E2091" s="14">
        <v>44029</v>
      </c>
      <c r="F2091" s="14">
        <v>44033</v>
      </c>
      <c r="G2091" s="13" t="s">
        <v>3</v>
      </c>
      <c r="H2091" s="13" t="s">
        <v>4</v>
      </c>
      <c r="I2091" s="15">
        <v>-5416.94</v>
      </c>
      <c r="J2091" s="13" t="s">
        <v>5</v>
      </c>
      <c r="K2091" s="13" t="s">
        <v>6</v>
      </c>
      <c r="L2091" s="15">
        <v>-454752.11</v>
      </c>
      <c r="M2091" s="15">
        <v>-5416.94</v>
      </c>
      <c r="N2091" s="16" t="str">
        <f>IF(M2091="","",IF(M2091&lt;0,-M2091&amp;"_"&amp;COUNTIF(M$2:M2091,M2091),M2091&amp;"_"&amp;COUNTIF(M$2:M2091,M2091)))</f>
        <v>5416.94_1</v>
      </c>
      <c r="O2091" s="17" t="str">
        <f t="shared" si="32"/>
        <v/>
      </c>
      <c r="P2091" s="13" t="s">
        <v>142</v>
      </c>
      <c r="Q2091" s="13" t="s">
        <v>138</v>
      </c>
      <c r="R2091" s="13" t="s">
        <v>0</v>
      </c>
      <c r="S2091" s="13" t="s">
        <v>0</v>
      </c>
      <c r="T2091" s="13" t="s">
        <v>9</v>
      </c>
      <c r="U2091" s="13" t="s">
        <v>0</v>
      </c>
      <c r="V2091" s="13" t="s">
        <v>0</v>
      </c>
      <c r="W2091" s="13" t="s">
        <v>0</v>
      </c>
      <c r="X2091" s="13" t="s">
        <v>0</v>
      </c>
      <c r="Y2091" s="13" t="s">
        <v>10</v>
      </c>
      <c r="Z2091" s="13" t="s">
        <v>0</v>
      </c>
      <c r="AA2091" s="14"/>
      <c r="AB2091" s="13" t="s">
        <v>0</v>
      </c>
      <c r="AC2091" s="13" t="s">
        <v>0</v>
      </c>
      <c r="AD2091" s="13" t="s">
        <v>0</v>
      </c>
      <c r="AE2091" s="15">
        <v>0</v>
      </c>
    </row>
    <row r="2092" spans="1:31" ht="14.15" customHeight="1" x14ac:dyDescent="0.25">
      <c r="A2092" s="12" t="s">
        <v>0</v>
      </c>
      <c r="B2092" s="13" t="s">
        <v>1</v>
      </c>
      <c r="C2092" s="13" t="s">
        <v>4223</v>
      </c>
      <c r="D2092" s="14">
        <v>44366</v>
      </c>
      <c r="E2092" s="14">
        <v>44366</v>
      </c>
      <c r="F2092" s="14">
        <v>44384</v>
      </c>
      <c r="G2092" s="13" t="s">
        <v>3</v>
      </c>
      <c r="H2092" s="13" t="s">
        <v>4</v>
      </c>
      <c r="I2092" s="15">
        <v>-5412.12</v>
      </c>
      <c r="J2092" s="13" t="s">
        <v>5</v>
      </c>
      <c r="K2092" s="13" t="s">
        <v>6</v>
      </c>
      <c r="L2092" s="15">
        <v>-454347.47</v>
      </c>
      <c r="M2092" s="15">
        <v>-5412.12</v>
      </c>
      <c r="N2092" s="16" t="str">
        <f>IF(M2092="","",IF(M2092&lt;0,-M2092&amp;"_"&amp;COUNTIF(M$2:M2092,M2092),M2092&amp;"_"&amp;COUNTIF(M$2:M2092,M2092)))</f>
        <v>5412.12_1</v>
      </c>
      <c r="O2092" s="17" t="str">
        <f t="shared" si="32"/>
        <v/>
      </c>
      <c r="P2092" s="13" t="s">
        <v>4224</v>
      </c>
      <c r="Q2092" s="13" t="s">
        <v>4216</v>
      </c>
      <c r="R2092" s="13" t="s">
        <v>0</v>
      </c>
      <c r="S2092" s="13" t="s">
        <v>0</v>
      </c>
      <c r="T2092" s="13" t="s">
        <v>9</v>
      </c>
      <c r="U2092" s="13" t="s">
        <v>0</v>
      </c>
      <c r="V2092" s="13" t="s">
        <v>0</v>
      </c>
      <c r="W2092" s="13" t="s">
        <v>0</v>
      </c>
      <c r="X2092" s="13" t="s">
        <v>0</v>
      </c>
      <c r="Y2092" s="13" t="s">
        <v>10</v>
      </c>
      <c r="Z2092" s="13" t="s">
        <v>0</v>
      </c>
      <c r="AA2092" s="14"/>
      <c r="AB2092" s="13" t="s">
        <v>0</v>
      </c>
      <c r="AC2092" s="13" t="s">
        <v>0</v>
      </c>
      <c r="AD2092" s="13" t="s">
        <v>0</v>
      </c>
      <c r="AE2092" s="15">
        <v>0</v>
      </c>
    </row>
    <row r="2093" spans="1:31" ht="14.15" customHeight="1" x14ac:dyDescent="0.25">
      <c r="A2093" s="12" t="s">
        <v>0</v>
      </c>
      <c r="B2093" s="13" t="s">
        <v>1</v>
      </c>
      <c r="C2093" s="13" t="s">
        <v>3287</v>
      </c>
      <c r="D2093" s="14">
        <v>44314</v>
      </c>
      <c r="E2093" s="14">
        <v>44314</v>
      </c>
      <c r="F2093" s="14">
        <v>44319</v>
      </c>
      <c r="G2093" s="13" t="s">
        <v>3</v>
      </c>
      <c r="H2093" s="13" t="s">
        <v>4</v>
      </c>
      <c r="I2093" s="15">
        <v>-5408.73</v>
      </c>
      <c r="J2093" s="13" t="s">
        <v>5</v>
      </c>
      <c r="K2093" s="13" t="s">
        <v>6</v>
      </c>
      <c r="L2093" s="15">
        <v>-454062.88</v>
      </c>
      <c r="M2093" s="15">
        <v>-5408.73</v>
      </c>
      <c r="N2093" s="16" t="str">
        <f>IF(M2093="","",IF(M2093&lt;0,-M2093&amp;"_"&amp;COUNTIF(M$2:M2093,M2093),M2093&amp;"_"&amp;COUNTIF(M$2:M2093,M2093)))</f>
        <v>5408.73_1</v>
      </c>
      <c r="O2093" s="17" t="str">
        <f t="shared" si="32"/>
        <v/>
      </c>
      <c r="P2093" s="13" t="s">
        <v>3288</v>
      </c>
      <c r="Q2093" s="13" t="s">
        <v>3284</v>
      </c>
      <c r="R2093" s="13" t="s">
        <v>0</v>
      </c>
      <c r="S2093" s="13" t="s">
        <v>0</v>
      </c>
      <c r="T2093" s="13" t="s">
        <v>9</v>
      </c>
      <c r="U2093" s="13" t="s">
        <v>0</v>
      </c>
      <c r="V2093" s="13" t="s">
        <v>0</v>
      </c>
      <c r="W2093" s="13" t="s">
        <v>0</v>
      </c>
      <c r="X2093" s="13" t="s">
        <v>0</v>
      </c>
      <c r="Y2093" s="13" t="s">
        <v>10</v>
      </c>
      <c r="Z2093" s="13" t="s">
        <v>0</v>
      </c>
      <c r="AA2093" s="14"/>
      <c r="AB2093" s="13" t="s">
        <v>0</v>
      </c>
      <c r="AC2093" s="13" t="s">
        <v>0</v>
      </c>
      <c r="AD2093" s="13" t="s">
        <v>0</v>
      </c>
      <c r="AE2093" s="15">
        <v>0</v>
      </c>
    </row>
    <row r="2094" spans="1:31" ht="14.15" customHeight="1" x14ac:dyDescent="0.25">
      <c r="A2094" s="12" t="s">
        <v>0</v>
      </c>
      <c r="B2094" s="13" t="s">
        <v>1</v>
      </c>
      <c r="C2094" s="13" t="s">
        <v>1305</v>
      </c>
      <c r="D2094" s="14">
        <v>44146</v>
      </c>
      <c r="E2094" s="14">
        <v>44146</v>
      </c>
      <c r="F2094" s="14">
        <v>44166</v>
      </c>
      <c r="G2094" s="13" t="s">
        <v>3</v>
      </c>
      <c r="H2094" s="13" t="s">
        <v>4</v>
      </c>
      <c r="I2094" s="15">
        <v>-5404.36</v>
      </c>
      <c r="J2094" s="13" t="s">
        <v>5</v>
      </c>
      <c r="K2094" s="13" t="s">
        <v>6</v>
      </c>
      <c r="L2094" s="15">
        <v>-453696.02</v>
      </c>
      <c r="M2094" s="15">
        <v>-5404.36</v>
      </c>
      <c r="N2094" s="16" t="str">
        <f>IF(M2094="","",IF(M2094&lt;0,-M2094&amp;"_"&amp;COUNTIF(M$2:M2094,M2094),M2094&amp;"_"&amp;COUNTIF(M$2:M2094,M2094)))</f>
        <v>5404.36_1</v>
      </c>
      <c r="O2094" s="17" t="str">
        <f t="shared" si="32"/>
        <v/>
      </c>
      <c r="P2094" s="13" t="s">
        <v>1306</v>
      </c>
      <c r="Q2094" s="13" t="s">
        <v>1282</v>
      </c>
      <c r="R2094" s="13" t="s">
        <v>0</v>
      </c>
      <c r="S2094" s="13" t="s">
        <v>0</v>
      </c>
      <c r="T2094" s="13" t="s">
        <v>9</v>
      </c>
      <c r="U2094" s="13" t="s">
        <v>0</v>
      </c>
      <c r="V2094" s="13" t="s">
        <v>0</v>
      </c>
      <c r="W2094" s="13" t="s">
        <v>0</v>
      </c>
      <c r="X2094" s="13" t="s">
        <v>0</v>
      </c>
      <c r="Y2094" s="13" t="s">
        <v>10</v>
      </c>
      <c r="Z2094" s="13" t="s">
        <v>0</v>
      </c>
      <c r="AA2094" s="14"/>
      <c r="AB2094" s="13" t="s">
        <v>0</v>
      </c>
      <c r="AC2094" s="13" t="s">
        <v>0</v>
      </c>
      <c r="AD2094" s="13" t="s">
        <v>0</v>
      </c>
      <c r="AE2094" s="15">
        <v>0</v>
      </c>
    </row>
    <row r="2095" spans="1:31" ht="14.15" customHeight="1" x14ac:dyDescent="0.25">
      <c r="A2095" s="12" t="s">
        <v>0</v>
      </c>
      <c r="B2095" s="13" t="s">
        <v>1</v>
      </c>
      <c r="C2095" s="13" t="s">
        <v>3161</v>
      </c>
      <c r="D2095" s="14">
        <v>44298</v>
      </c>
      <c r="E2095" s="14">
        <v>44298</v>
      </c>
      <c r="F2095" s="14">
        <v>44308</v>
      </c>
      <c r="G2095" s="13" t="s">
        <v>3</v>
      </c>
      <c r="H2095" s="13" t="s">
        <v>4</v>
      </c>
      <c r="I2095" s="15">
        <v>-5400.72</v>
      </c>
      <c r="J2095" s="13" t="s">
        <v>5</v>
      </c>
      <c r="K2095" s="13" t="s">
        <v>6</v>
      </c>
      <c r="L2095" s="15">
        <v>-453390.44</v>
      </c>
      <c r="M2095" s="15">
        <v>-5400.72</v>
      </c>
      <c r="N2095" s="16" t="str">
        <f>IF(M2095="","",IF(M2095&lt;0,-M2095&amp;"_"&amp;COUNTIF(M$2:M2095,M2095),M2095&amp;"_"&amp;COUNTIF(M$2:M2095,M2095)))</f>
        <v>5400.72_1</v>
      </c>
      <c r="O2095" s="17" t="str">
        <f t="shared" si="32"/>
        <v/>
      </c>
      <c r="P2095" s="13" t="s">
        <v>3162</v>
      </c>
      <c r="Q2095" s="13" t="s">
        <v>3163</v>
      </c>
      <c r="R2095" s="13" t="s">
        <v>0</v>
      </c>
      <c r="S2095" s="13" t="s">
        <v>0</v>
      </c>
      <c r="T2095" s="13" t="s">
        <v>9</v>
      </c>
      <c r="U2095" s="13" t="s">
        <v>0</v>
      </c>
      <c r="V2095" s="13" t="s">
        <v>0</v>
      </c>
      <c r="W2095" s="13" t="s">
        <v>0</v>
      </c>
      <c r="X2095" s="13" t="s">
        <v>0</v>
      </c>
      <c r="Y2095" s="13" t="s">
        <v>10</v>
      </c>
      <c r="Z2095" s="13" t="s">
        <v>0</v>
      </c>
      <c r="AA2095" s="14"/>
      <c r="AB2095" s="13" t="s">
        <v>0</v>
      </c>
      <c r="AC2095" s="13" t="s">
        <v>0</v>
      </c>
      <c r="AD2095" s="13" t="s">
        <v>0</v>
      </c>
      <c r="AE2095" s="15">
        <v>0</v>
      </c>
    </row>
    <row r="2096" spans="1:31" ht="14.15" customHeight="1" x14ac:dyDescent="0.25">
      <c r="A2096" s="12" t="s">
        <v>0</v>
      </c>
      <c r="B2096" s="13" t="s">
        <v>1</v>
      </c>
      <c r="C2096" s="13" t="s">
        <v>1275</v>
      </c>
      <c r="D2096" s="14">
        <v>44145</v>
      </c>
      <c r="E2096" s="14">
        <v>44145</v>
      </c>
      <c r="F2096" s="14">
        <v>44151</v>
      </c>
      <c r="G2096" s="13" t="s">
        <v>3</v>
      </c>
      <c r="H2096" s="13" t="s">
        <v>4</v>
      </c>
      <c r="I2096" s="15">
        <v>-5398</v>
      </c>
      <c r="J2096" s="13" t="s">
        <v>5</v>
      </c>
      <c r="K2096" s="13" t="s">
        <v>6</v>
      </c>
      <c r="L2096" s="15">
        <v>-453162.1</v>
      </c>
      <c r="M2096" s="15">
        <v>-5398</v>
      </c>
      <c r="N2096" s="16" t="str">
        <f>IF(M2096="","",IF(M2096&lt;0,-M2096&amp;"_"&amp;COUNTIF(M$2:M2096,M2096),M2096&amp;"_"&amp;COUNTIF(M$2:M2096,M2096)))</f>
        <v>5398_1</v>
      </c>
      <c r="O2096" s="17" t="str">
        <f t="shared" si="32"/>
        <v/>
      </c>
      <c r="P2096" s="13" t="s">
        <v>1276</v>
      </c>
      <c r="Q2096" s="13" t="s">
        <v>1277</v>
      </c>
      <c r="R2096" s="13" t="s">
        <v>0</v>
      </c>
      <c r="S2096" s="13" t="s">
        <v>0</v>
      </c>
      <c r="T2096" s="13" t="s">
        <v>9</v>
      </c>
      <c r="U2096" s="13" t="s">
        <v>0</v>
      </c>
      <c r="V2096" s="13" t="s">
        <v>0</v>
      </c>
      <c r="W2096" s="13" t="s">
        <v>0</v>
      </c>
      <c r="X2096" s="13" t="s">
        <v>0</v>
      </c>
      <c r="Y2096" s="13" t="s">
        <v>10</v>
      </c>
      <c r="Z2096" s="13" t="s">
        <v>0</v>
      </c>
      <c r="AA2096" s="14"/>
      <c r="AB2096" s="13" t="s">
        <v>0</v>
      </c>
      <c r="AC2096" s="13" t="s">
        <v>0</v>
      </c>
      <c r="AD2096" s="13" t="s">
        <v>0</v>
      </c>
      <c r="AE2096" s="15">
        <v>0</v>
      </c>
    </row>
    <row r="2097" spans="1:31" ht="14.15" customHeight="1" x14ac:dyDescent="0.25">
      <c r="A2097" s="12" t="s">
        <v>0</v>
      </c>
      <c r="B2097" s="13" t="s">
        <v>1</v>
      </c>
      <c r="C2097" s="13" t="s">
        <v>2979</v>
      </c>
      <c r="D2097" s="14">
        <v>44279</v>
      </c>
      <c r="E2097" s="14">
        <v>44279</v>
      </c>
      <c r="F2097" s="14">
        <v>44286</v>
      </c>
      <c r="G2097" s="13" t="s">
        <v>3</v>
      </c>
      <c r="H2097" s="13" t="s">
        <v>4</v>
      </c>
      <c r="I2097" s="15">
        <v>-5396.77</v>
      </c>
      <c r="J2097" s="13" t="s">
        <v>5</v>
      </c>
      <c r="K2097" s="13" t="s">
        <v>6</v>
      </c>
      <c r="L2097" s="15">
        <v>-453058.84</v>
      </c>
      <c r="M2097" s="15">
        <v>-5396.77</v>
      </c>
      <c r="N2097" s="16" t="str">
        <f>IF(M2097="","",IF(M2097&lt;0,-M2097&amp;"_"&amp;COUNTIF(M$2:M2097,M2097),M2097&amp;"_"&amp;COUNTIF(M$2:M2097,M2097)))</f>
        <v>5396.77_1</v>
      </c>
      <c r="O2097" s="17" t="str">
        <f t="shared" si="32"/>
        <v/>
      </c>
      <c r="P2097" s="13" t="s">
        <v>2980</v>
      </c>
      <c r="Q2097" s="13" t="s">
        <v>2978</v>
      </c>
      <c r="R2097" s="13" t="s">
        <v>0</v>
      </c>
      <c r="S2097" s="13" t="s">
        <v>0</v>
      </c>
      <c r="T2097" s="13" t="s">
        <v>9</v>
      </c>
      <c r="U2097" s="13" t="s">
        <v>0</v>
      </c>
      <c r="V2097" s="13" t="s">
        <v>0</v>
      </c>
      <c r="W2097" s="13" t="s">
        <v>0</v>
      </c>
      <c r="X2097" s="13" t="s">
        <v>0</v>
      </c>
      <c r="Y2097" s="13" t="s">
        <v>10</v>
      </c>
      <c r="Z2097" s="13" t="s">
        <v>0</v>
      </c>
      <c r="AA2097" s="14"/>
      <c r="AB2097" s="13" t="s">
        <v>0</v>
      </c>
      <c r="AC2097" s="13" t="s">
        <v>0</v>
      </c>
      <c r="AD2097" s="13" t="s">
        <v>0</v>
      </c>
      <c r="AE2097" s="15">
        <v>0</v>
      </c>
    </row>
    <row r="2098" spans="1:31" ht="14.15" customHeight="1" x14ac:dyDescent="0.25">
      <c r="A2098" s="12" t="s">
        <v>0</v>
      </c>
      <c r="B2098" s="13" t="s">
        <v>1</v>
      </c>
      <c r="C2098" s="13" t="s">
        <v>2346</v>
      </c>
      <c r="D2098" s="14">
        <v>44224</v>
      </c>
      <c r="E2098" s="14">
        <v>44224</v>
      </c>
      <c r="F2098" s="14">
        <v>44228</v>
      </c>
      <c r="G2098" s="13" t="s">
        <v>3</v>
      </c>
      <c r="H2098" s="13" t="s">
        <v>4</v>
      </c>
      <c r="I2098" s="15">
        <v>-5390.88</v>
      </c>
      <c r="J2098" s="13" t="s">
        <v>5</v>
      </c>
      <c r="K2098" s="13" t="s">
        <v>6</v>
      </c>
      <c r="L2098" s="15">
        <v>-452564.38</v>
      </c>
      <c r="M2098" s="15">
        <v>-5390.88</v>
      </c>
      <c r="N2098" s="16" t="str">
        <f>IF(M2098="","",IF(M2098&lt;0,-M2098&amp;"_"&amp;COUNTIF(M$2:M2098,M2098),M2098&amp;"_"&amp;COUNTIF(M$2:M2098,M2098)))</f>
        <v>5390.88_1</v>
      </c>
      <c r="O2098" s="17" t="str">
        <f t="shared" si="32"/>
        <v/>
      </c>
      <c r="P2098" s="13" t="s">
        <v>2347</v>
      </c>
      <c r="Q2098" s="13" t="s">
        <v>2345</v>
      </c>
      <c r="R2098" s="13" t="s">
        <v>0</v>
      </c>
      <c r="S2098" s="13" t="s">
        <v>0</v>
      </c>
      <c r="T2098" s="13" t="s">
        <v>9</v>
      </c>
      <c r="U2098" s="13" t="s">
        <v>0</v>
      </c>
      <c r="V2098" s="13" t="s">
        <v>0</v>
      </c>
      <c r="W2098" s="13" t="s">
        <v>0</v>
      </c>
      <c r="X2098" s="13" t="s">
        <v>0</v>
      </c>
      <c r="Y2098" s="13" t="s">
        <v>10</v>
      </c>
      <c r="Z2098" s="13" t="s">
        <v>0</v>
      </c>
      <c r="AA2098" s="14"/>
      <c r="AB2098" s="13" t="s">
        <v>0</v>
      </c>
      <c r="AC2098" s="13" t="s">
        <v>0</v>
      </c>
      <c r="AD2098" s="13" t="s">
        <v>0</v>
      </c>
      <c r="AE2098" s="15">
        <v>0</v>
      </c>
    </row>
    <row r="2099" spans="1:31" ht="14.15" customHeight="1" x14ac:dyDescent="0.25">
      <c r="A2099" s="12" t="s">
        <v>0</v>
      </c>
      <c r="B2099" s="13" t="s">
        <v>1</v>
      </c>
      <c r="C2099" s="13" t="s">
        <v>3023</v>
      </c>
      <c r="D2099" s="14">
        <v>44281</v>
      </c>
      <c r="E2099" s="14">
        <v>44281</v>
      </c>
      <c r="F2099" s="14">
        <v>44290</v>
      </c>
      <c r="G2099" s="13" t="s">
        <v>3</v>
      </c>
      <c r="H2099" s="13" t="s">
        <v>4</v>
      </c>
      <c r="I2099" s="15">
        <v>-5379.28</v>
      </c>
      <c r="J2099" s="13" t="s">
        <v>5</v>
      </c>
      <c r="K2099" s="13" t="s">
        <v>6</v>
      </c>
      <c r="L2099" s="15">
        <v>-451590.56</v>
      </c>
      <c r="M2099" s="15">
        <v>-5379.28</v>
      </c>
      <c r="N2099" s="16" t="str">
        <f>IF(M2099="","",IF(M2099&lt;0,-M2099&amp;"_"&amp;COUNTIF(M$2:M2099,M2099),M2099&amp;"_"&amp;COUNTIF(M$2:M2099,M2099)))</f>
        <v>5379.28_1</v>
      </c>
      <c r="O2099" s="17" t="str">
        <f t="shared" si="32"/>
        <v/>
      </c>
      <c r="P2099" s="13" t="s">
        <v>3024</v>
      </c>
      <c r="Q2099" s="13" t="s">
        <v>3014</v>
      </c>
      <c r="R2099" s="13" t="s">
        <v>0</v>
      </c>
      <c r="S2099" s="13" t="s">
        <v>0</v>
      </c>
      <c r="T2099" s="13" t="s">
        <v>9</v>
      </c>
      <c r="U2099" s="13" t="s">
        <v>0</v>
      </c>
      <c r="V2099" s="13" t="s">
        <v>0</v>
      </c>
      <c r="W2099" s="13" t="s">
        <v>0</v>
      </c>
      <c r="X2099" s="13" t="s">
        <v>0</v>
      </c>
      <c r="Y2099" s="13" t="s">
        <v>10</v>
      </c>
      <c r="Z2099" s="13" t="s">
        <v>0</v>
      </c>
      <c r="AA2099" s="14"/>
      <c r="AB2099" s="13" t="s">
        <v>0</v>
      </c>
      <c r="AC2099" s="13" t="s">
        <v>0</v>
      </c>
      <c r="AD2099" s="13" t="s">
        <v>0</v>
      </c>
      <c r="AE2099" s="15">
        <v>0</v>
      </c>
    </row>
    <row r="2100" spans="1:31" ht="14.15" customHeight="1" x14ac:dyDescent="0.25">
      <c r="A2100" s="12" t="s">
        <v>0</v>
      </c>
      <c r="B2100" s="13" t="s">
        <v>1</v>
      </c>
      <c r="C2100" s="13" t="s">
        <v>3541</v>
      </c>
      <c r="D2100" s="14">
        <v>44324</v>
      </c>
      <c r="E2100" s="14">
        <v>44324</v>
      </c>
      <c r="F2100" s="14">
        <v>44340</v>
      </c>
      <c r="G2100" s="13" t="s">
        <v>3</v>
      </c>
      <c r="H2100" s="13" t="s">
        <v>4</v>
      </c>
      <c r="I2100" s="15">
        <v>-5377.03</v>
      </c>
      <c r="J2100" s="13" t="s">
        <v>5</v>
      </c>
      <c r="K2100" s="13" t="s">
        <v>6</v>
      </c>
      <c r="L2100" s="15">
        <v>-451401.67</v>
      </c>
      <c r="M2100" s="15">
        <v>-5377.03</v>
      </c>
      <c r="N2100" s="16" t="str">
        <f>IF(M2100="","",IF(M2100&lt;0,-M2100&amp;"_"&amp;COUNTIF(M$2:M2100,M2100),M2100&amp;"_"&amp;COUNTIF(M$2:M2100,M2100)))</f>
        <v>5377.03_1</v>
      </c>
      <c r="O2100" s="17" t="str">
        <f t="shared" si="32"/>
        <v/>
      </c>
      <c r="P2100" s="13" t="s">
        <v>3542</v>
      </c>
      <c r="Q2100" s="13" t="s">
        <v>3512</v>
      </c>
      <c r="R2100" s="13" t="s">
        <v>0</v>
      </c>
      <c r="S2100" s="13" t="s">
        <v>0</v>
      </c>
      <c r="T2100" s="13" t="s">
        <v>9</v>
      </c>
      <c r="U2100" s="13" t="s">
        <v>0</v>
      </c>
      <c r="V2100" s="13" t="s">
        <v>0</v>
      </c>
      <c r="W2100" s="13" t="s">
        <v>0</v>
      </c>
      <c r="X2100" s="13" t="s">
        <v>0</v>
      </c>
      <c r="Y2100" s="13" t="s">
        <v>10</v>
      </c>
      <c r="Z2100" s="13" t="s">
        <v>0</v>
      </c>
      <c r="AA2100" s="14"/>
      <c r="AB2100" s="13" t="s">
        <v>0</v>
      </c>
      <c r="AC2100" s="13" t="s">
        <v>0</v>
      </c>
      <c r="AD2100" s="13" t="s">
        <v>0</v>
      </c>
      <c r="AE2100" s="15">
        <v>0</v>
      </c>
    </row>
    <row r="2101" spans="1:31" ht="14.15" customHeight="1" x14ac:dyDescent="0.25">
      <c r="A2101" s="12" t="s">
        <v>0</v>
      </c>
      <c r="B2101" s="13" t="s">
        <v>1</v>
      </c>
      <c r="C2101" s="13" t="s">
        <v>3486</v>
      </c>
      <c r="D2101" s="14">
        <v>44320</v>
      </c>
      <c r="E2101" s="14">
        <v>44320</v>
      </c>
      <c r="F2101" s="14">
        <v>44339</v>
      </c>
      <c r="G2101" s="13" t="s">
        <v>3</v>
      </c>
      <c r="H2101" s="13" t="s">
        <v>4</v>
      </c>
      <c r="I2101" s="15">
        <v>-5364.85</v>
      </c>
      <c r="J2101" s="13" t="s">
        <v>5</v>
      </c>
      <c r="K2101" s="13" t="s">
        <v>6</v>
      </c>
      <c r="L2101" s="15">
        <v>-450379.16</v>
      </c>
      <c r="M2101" s="15">
        <v>-5364.85</v>
      </c>
      <c r="N2101" s="16" t="str">
        <f>IF(M2101="","",IF(M2101&lt;0,-M2101&amp;"_"&amp;COUNTIF(M$2:M2101,M2101),M2101&amp;"_"&amp;COUNTIF(M$2:M2101,M2101)))</f>
        <v>5364.85_1</v>
      </c>
      <c r="O2101" s="17" t="str">
        <f t="shared" si="32"/>
        <v/>
      </c>
      <c r="P2101" s="13" t="s">
        <v>3487</v>
      </c>
      <c r="Q2101" s="13" t="s">
        <v>3453</v>
      </c>
      <c r="R2101" s="13" t="s">
        <v>0</v>
      </c>
      <c r="S2101" s="13" t="s">
        <v>0</v>
      </c>
      <c r="T2101" s="13" t="s">
        <v>9</v>
      </c>
      <c r="U2101" s="13" t="s">
        <v>0</v>
      </c>
      <c r="V2101" s="13" t="s">
        <v>0</v>
      </c>
      <c r="W2101" s="13" t="s">
        <v>0</v>
      </c>
      <c r="X2101" s="13" t="s">
        <v>0</v>
      </c>
      <c r="Y2101" s="13" t="s">
        <v>10</v>
      </c>
      <c r="Z2101" s="13" t="s">
        <v>0</v>
      </c>
      <c r="AA2101" s="14"/>
      <c r="AB2101" s="13" t="s">
        <v>0</v>
      </c>
      <c r="AC2101" s="13" t="s">
        <v>0</v>
      </c>
      <c r="AD2101" s="13" t="s">
        <v>0</v>
      </c>
      <c r="AE2101" s="15">
        <v>0</v>
      </c>
    </row>
    <row r="2102" spans="1:31" ht="14.15" customHeight="1" x14ac:dyDescent="0.25">
      <c r="A2102" s="12" t="s">
        <v>0</v>
      </c>
      <c r="B2102" s="13" t="s">
        <v>1</v>
      </c>
      <c r="C2102" s="13" t="s">
        <v>2667</v>
      </c>
      <c r="D2102" s="14">
        <v>44253</v>
      </c>
      <c r="E2102" s="14">
        <v>44253</v>
      </c>
      <c r="F2102" s="14">
        <v>44257</v>
      </c>
      <c r="G2102" s="13" t="s">
        <v>3</v>
      </c>
      <c r="H2102" s="13" t="s">
        <v>4</v>
      </c>
      <c r="I2102" s="15">
        <v>-5359.18</v>
      </c>
      <c r="J2102" s="13" t="s">
        <v>5</v>
      </c>
      <c r="K2102" s="13" t="s">
        <v>6</v>
      </c>
      <c r="L2102" s="15">
        <v>-449903.16</v>
      </c>
      <c r="M2102" s="15">
        <v>-5359.18</v>
      </c>
      <c r="N2102" s="16" t="str">
        <f>IF(M2102="","",IF(M2102&lt;0,-M2102&amp;"_"&amp;COUNTIF(M$2:M2102,M2102),M2102&amp;"_"&amp;COUNTIF(M$2:M2102,M2102)))</f>
        <v>5359.18_1</v>
      </c>
      <c r="O2102" s="17" t="str">
        <f t="shared" si="32"/>
        <v/>
      </c>
      <c r="P2102" s="13" t="s">
        <v>2668</v>
      </c>
      <c r="Q2102" s="13" t="s">
        <v>2660</v>
      </c>
      <c r="R2102" s="13" t="s">
        <v>0</v>
      </c>
      <c r="S2102" s="13" t="s">
        <v>0</v>
      </c>
      <c r="T2102" s="13" t="s">
        <v>9</v>
      </c>
      <c r="U2102" s="13" t="s">
        <v>0</v>
      </c>
      <c r="V2102" s="13" t="s">
        <v>0</v>
      </c>
      <c r="W2102" s="13" t="s">
        <v>0</v>
      </c>
      <c r="X2102" s="13" t="s">
        <v>0</v>
      </c>
      <c r="Y2102" s="13" t="s">
        <v>10</v>
      </c>
      <c r="Z2102" s="13" t="s">
        <v>0</v>
      </c>
      <c r="AA2102" s="14"/>
      <c r="AB2102" s="13" t="s">
        <v>0</v>
      </c>
      <c r="AC2102" s="13" t="s">
        <v>0</v>
      </c>
      <c r="AD2102" s="13" t="s">
        <v>0</v>
      </c>
      <c r="AE2102" s="15">
        <v>0</v>
      </c>
    </row>
    <row r="2103" spans="1:31" ht="14.15" customHeight="1" x14ac:dyDescent="0.25">
      <c r="A2103" s="12" t="s">
        <v>0</v>
      </c>
      <c r="B2103" s="13" t="s">
        <v>1</v>
      </c>
      <c r="C2103" s="13" t="s">
        <v>2780</v>
      </c>
      <c r="D2103" s="14">
        <v>44263</v>
      </c>
      <c r="E2103" s="14">
        <v>44263</v>
      </c>
      <c r="F2103" s="14">
        <v>44266</v>
      </c>
      <c r="G2103" s="13" t="s">
        <v>3</v>
      </c>
      <c r="H2103" s="13" t="s">
        <v>4</v>
      </c>
      <c r="I2103" s="15">
        <v>-5359.18</v>
      </c>
      <c r="J2103" s="13" t="s">
        <v>5</v>
      </c>
      <c r="K2103" s="13" t="s">
        <v>6</v>
      </c>
      <c r="L2103" s="15">
        <v>-449903.16</v>
      </c>
      <c r="M2103" s="15">
        <v>-5359.18</v>
      </c>
      <c r="N2103" s="16" t="str">
        <f>IF(M2103="","",IF(M2103&lt;0,-M2103&amp;"_"&amp;COUNTIF(M$2:M2103,M2103),M2103&amp;"_"&amp;COUNTIF(M$2:M2103,M2103)))</f>
        <v>5359.18_2</v>
      </c>
      <c r="O2103" s="17" t="str">
        <f t="shared" si="32"/>
        <v/>
      </c>
      <c r="P2103" s="13" t="s">
        <v>2781</v>
      </c>
      <c r="Q2103" s="13" t="s">
        <v>2779</v>
      </c>
      <c r="R2103" s="13" t="s">
        <v>0</v>
      </c>
      <c r="S2103" s="13" t="s">
        <v>0</v>
      </c>
      <c r="T2103" s="13" t="s">
        <v>9</v>
      </c>
      <c r="U2103" s="13" t="s">
        <v>0</v>
      </c>
      <c r="V2103" s="13" t="s">
        <v>0</v>
      </c>
      <c r="W2103" s="13" t="s">
        <v>0</v>
      </c>
      <c r="X2103" s="13" t="s">
        <v>0</v>
      </c>
      <c r="Y2103" s="13" t="s">
        <v>10</v>
      </c>
      <c r="Z2103" s="13" t="s">
        <v>0</v>
      </c>
      <c r="AA2103" s="14"/>
      <c r="AB2103" s="13" t="s">
        <v>0</v>
      </c>
      <c r="AC2103" s="13" t="s">
        <v>0</v>
      </c>
      <c r="AD2103" s="13" t="s">
        <v>0</v>
      </c>
      <c r="AE2103" s="15">
        <v>0</v>
      </c>
    </row>
    <row r="2104" spans="1:31" ht="14.15" customHeight="1" x14ac:dyDescent="0.25">
      <c r="A2104" s="12" t="s">
        <v>0</v>
      </c>
      <c r="B2104" s="13" t="s">
        <v>1</v>
      </c>
      <c r="C2104" s="13" t="s">
        <v>2473</v>
      </c>
      <c r="D2104" s="14">
        <v>44234</v>
      </c>
      <c r="E2104" s="14">
        <v>44234</v>
      </c>
      <c r="F2104" s="14">
        <v>44241</v>
      </c>
      <c r="G2104" s="13" t="s">
        <v>3</v>
      </c>
      <c r="H2104" s="13" t="s">
        <v>4</v>
      </c>
      <c r="I2104" s="15">
        <v>-5338.4</v>
      </c>
      <c r="J2104" s="13" t="s">
        <v>5</v>
      </c>
      <c r="K2104" s="13" t="s">
        <v>6</v>
      </c>
      <c r="L2104" s="15">
        <v>-448158.68</v>
      </c>
      <c r="M2104" s="15">
        <v>-5338.4</v>
      </c>
      <c r="N2104" s="16" t="str">
        <f>IF(M2104="","",IF(M2104&lt;0,-M2104&amp;"_"&amp;COUNTIF(M$2:M2104,M2104),M2104&amp;"_"&amp;COUNTIF(M$2:M2104,M2104)))</f>
        <v>5338.4_1</v>
      </c>
      <c r="O2104" s="17" t="str">
        <f t="shared" si="32"/>
        <v/>
      </c>
      <c r="P2104" s="13" t="s">
        <v>2474</v>
      </c>
      <c r="Q2104" s="13" t="s">
        <v>2462</v>
      </c>
      <c r="R2104" s="13" t="s">
        <v>0</v>
      </c>
      <c r="S2104" s="13" t="s">
        <v>0</v>
      </c>
      <c r="T2104" s="13" t="s">
        <v>9</v>
      </c>
      <c r="U2104" s="13" t="s">
        <v>0</v>
      </c>
      <c r="V2104" s="13" t="s">
        <v>0</v>
      </c>
      <c r="W2104" s="13" t="s">
        <v>0</v>
      </c>
      <c r="X2104" s="13" t="s">
        <v>0</v>
      </c>
      <c r="Y2104" s="13" t="s">
        <v>10</v>
      </c>
      <c r="Z2104" s="13" t="s">
        <v>0</v>
      </c>
      <c r="AA2104" s="14"/>
      <c r="AB2104" s="13" t="s">
        <v>0</v>
      </c>
      <c r="AC2104" s="13" t="s">
        <v>0</v>
      </c>
      <c r="AD2104" s="13" t="s">
        <v>0</v>
      </c>
      <c r="AE2104" s="15">
        <v>0</v>
      </c>
    </row>
    <row r="2105" spans="1:31" ht="14.15" customHeight="1" x14ac:dyDescent="0.25">
      <c r="A2105" s="12" t="s">
        <v>0</v>
      </c>
      <c r="B2105" s="13" t="s">
        <v>1</v>
      </c>
      <c r="C2105" s="13" t="s">
        <v>1009</v>
      </c>
      <c r="D2105" s="14">
        <v>44127</v>
      </c>
      <c r="E2105" s="14">
        <v>44127</v>
      </c>
      <c r="F2105" s="14">
        <v>44132</v>
      </c>
      <c r="G2105" s="13" t="s">
        <v>3</v>
      </c>
      <c r="H2105" s="13" t="s">
        <v>4</v>
      </c>
      <c r="I2105" s="15">
        <v>-5332.32</v>
      </c>
      <c r="J2105" s="13" t="s">
        <v>5</v>
      </c>
      <c r="K2105" s="13" t="s">
        <v>6</v>
      </c>
      <c r="L2105" s="15">
        <v>-447648.27</v>
      </c>
      <c r="M2105" s="15">
        <v>-5332.32</v>
      </c>
      <c r="N2105" s="16" t="str">
        <f>IF(M2105="","",IF(M2105&lt;0,-M2105&amp;"_"&amp;COUNTIF(M$2:M2105,M2105),M2105&amp;"_"&amp;COUNTIF(M$2:M2105,M2105)))</f>
        <v>5332.32_1</v>
      </c>
      <c r="O2105" s="17" t="str">
        <f t="shared" si="32"/>
        <v/>
      </c>
      <c r="P2105" s="13" t="s">
        <v>1010</v>
      </c>
      <c r="Q2105" s="13" t="s">
        <v>1011</v>
      </c>
      <c r="R2105" s="13" t="s">
        <v>0</v>
      </c>
      <c r="S2105" s="13" t="s">
        <v>0</v>
      </c>
      <c r="T2105" s="13" t="s">
        <v>9</v>
      </c>
      <c r="U2105" s="13" t="s">
        <v>0</v>
      </c>
      <c r="V2105" s="13" t="s">
        <v>0</v>
      </c>
      <c r="W2105" s="13" t="s">
        <v>0</v>
      </c>
      <c r="X2105" s="13" t="s">
        <v>0</v>
      </c>
      <c r="Y2105" s="13" t="s">
        <v>10</v>
      </c>
      <c r="Z2105" s="13" t="s">
        <v>0</v>
      </c>
      <c r="AA2105" s="14"/>
      <c r="AB2105" s="13" t="s">
        <v>0</v>
      </c>
      <c r="AC2105" s="13" t="s">
        <v>0</v>
      </c>
      <c r="AD2105" s="13" t="s">
        <v>0</v>
      </c>
      <c r="AE2105" s="15">
        <v>0</v>
      </c>
    </row>
    <row r="2106" spans="1:31" ht="14.15" customHeight="1" x14ac:dyDescent="0.25">
      <c r="A2106" s="12" t="s">
        <v>0</v>
      </c>
      <c r="B2106" s="13" t="s">
        <v>1</v>
      </c>
      <c r="C2106" s="13" t="s">
        <v>2172</v>
      </c>
      <c r="D2106" s="14">
        <v>44209</v>
      </c>
      <c r="E2106" s="14">
        <v>44209</v>
      </c>
      <c r="F2106" s="14">
        <v>44228</v>
      </c>
      <c r="G2106" s="13" t="s">
        <v>3</v>
      </c>
      <c r="H2106" s="13" t="s">
        <v>4</v>
      </c>
      <c r="I2106" s="15">
        <v>-5326.62</v>
      </c>
      <c r="J2106" s="13" t="s">
        <v>5</v>
      </c>
      <c r="K2106" s="13" t="s">
        <v>6</v>
      </c>
      <c r="L2106" s="15">
        <v>-447169.75</v>
      </c>
      <c r="M2106" s="15">
        <v>-5326.62</v>
      </c>
      <c r="N2106" s="16" t="str">
        <f>IF(M2106="","",IF(M2106&lt;0,-M2106&amp;"_"&amp;COUNTIF(M$2:M2106,M2106),M2106&amp;"_"&amp;COUNTIF(M$2:M2106,M2106)))</f>
        <v>5326.62_1</v>
      </c>
      <c r="O2106" s="17" t="str">
        <f t="shared" si="32"/>
        <v/>
      </c>
      <c r="P2106" s="13" t="s">
        <v>2173</v>
      </c>
      <c r="Q2106" s="13" t="s">
        <v>2159</v>
      </c>
      <c r="R2106" s="13" t="s">
        <v>0</v>
      </c>
      <c r="S2106" s="13" t="s">
        <v>0</v>
      </c>
      <c r="T2106" s="13" t="s">
        <v>9</v>
      </c>
      <c r="U2106" s="13" t="s">
        <v>0</v>
      </c>
      <c r="V2106" s="13" t="s">
        <v>0</v>
      </c>
      <c r="W2106" s="13" t="s">
        <v>0</v>
      </c>
      <c r="X2106" s="13" t="s">
        <v>0</v>
      </c>
      <c r="Y2106" s="13" t="s">
        <v>10</v>
      </c>
      <c r="Z2106" s="13" t="s">
        <v>0</v>
      </c>
      <c r="AA2106" s="14"/>
      <c r="AB2106" s="13" t="s">
        <v>0</v>
      </c>
      <c r="AC2106" s="13" t="s">
        <v>0</v>
      </c>
      <c r="AD2106" s="13" t="s">
        <v>0</v>
      </c>
      <c r="AE2106" s="15">
        <v>0</v>
      </c>
    </row>
    <row r="2107" spans="1:31" ht="14.15" customHeight="1" x14ac:dyDescent="0.25">
      <c r="A2107" s="12" t="s">
        <v>0</v>
      </c>
      <c r="B2107" s="13" t="s">
        <v>1</v>
      </c>
      <c r="C2107" s="13" t="s">
        <v>1514</v>
      </c>
      <c r="D2107" s="14">
        <v>44164</v>
      </c>
      <c r="E2107" s="14">
        <v>44164</v>
      </c>
      <c r="F2107" s="14">
        <v>44166</v>
      </c>
      <c r="G2107" s="13" t="s">
        <v>3</v>
      </c>
      <c r="H2107" s="13" t="s">
        <v>4</v>
      </c>
      <c r="I2107" s="15">
        <v>-5316.59</v>
      </c>
      <c r="J2107" s="13" t="s">
        <v>5</v>
      </c>
      <c r="K2107" s="13" t="s">
        <v>6</v>
      </c>
      <c r="L2107" s="15">
        <v>-446327.73</v>
      </c>
      <c r="M2107" s="15">
        <v>-5316.59</v>
      </c>
      <c r="N2107" s="16" t="str">
        <f>IF(M2107="","",IF(M2107&lt;0,-M2107&amp;"_"&amp;COUNTIF(M$2:M2107,M2107),M2107&amp;"_"&amp;COUNTIF(M$2:M2107,M2107)))</f>
        <v>5316.59_1</v>
      </c>
      <c r="O2107" s="17" t="str">
        <f t="shared" si="32"/>
        <v/>
      </c>
      <c r="P2107" s="13" t="s">
        <v>1515</v>
      </c>
      <c r="Q2107" s="13" t="s">
        <v>1516</v>
      </c>
      <c r="R2107" s="13" t="s">
        <v>0</v>
      </c>
      <c r="S2107" s="13" t="s">
        <v>0</v>
      </c>
      <c r="T2107" s="13" t="s">
        <v>9</v>
      </c>
      <c r="U2107" s="13" t="s">
        <v>0</v>
      </c>
      <c r="V2107" s="13" t="s">
        <v>0</v>
      </c>
      <c r="W2107" s="13" t="s">
        <v>0</v>
      </c>
      <c r="X2107" s="13" t="s">
        <v>0</v>
      </c>
      <c r="Y2107" s="13" t="s">
        <v>10</v>
      </c>
      <c r="Z2107" s="13" t="s">
        <v>0</v>
      </c>
      <c r="AA2107" s="14"/>
      <c r="AB2107" s="13" t="s">
        <v>0</v>
      </c>
      <c r="AC2107" s="13" t="s">
        <v>0</v>
      </c>
      <c r="AD2107" s="13" t="s">
        <v>0</v>
      </c>
      <c r="AE2107" s="15">
        <v>0</v>
      </c>
    </row>
    <row r="2108" spans="1:31" ht="14.15" customHeight="1" x14ac:dyDescent="0.25">
      <c r="A2108" s="12" t="s">
        <v>0</v>
      </c>
      <c r="B2108" s="13" t="s">
        <v>1</v>
      </c>
      <c r="C2108" s="13" t="s">
        <v>1809</v>
      </c>
      <c r="D2108" s="14">
        <v>44183</v>
      </c>
      <c r="E2108" s="14">
        <v>44183</v>
      </c>
      <c r="F2108" s="14">
        <v>44187</v>
      </c>
      <c r="G2108" s="13" t="s">
        <v>3</v>
      </c>
      <c r="H2108" s="13" t="s">
        <v>4</v>
      </c>
      <c r="I2108" s="15">
        <v>-5302.75</v>
      </c>
      <c r="J2108" s="13" t="s">
        <v>5</v>
      </c>
      <c r="K2108" s="13" t="s">
        <v>6</v>
      </c>
      <c r="L2108" s="15">
        <v>-445165.86</v>
      </c>
      <c r="M2108" s="15">
        <v>-5302.75</v>
      </c>
      <c r="N2108" s="16" t="str">
        <f>IF(M2108="","",IF(M2108&lt;0,-M2108&amp;"_"&amp;COUNTIF(M$2:M2108,M2108),M2108&amp;"_"&amp;COUNTIF(M$2:M2108,M2108)))</f>
        <v>5302.75_1</v>
      </c>
      <c r="O2108" s="17" t="str">
        <f t="shared" si="32"/>
        <v/>
      </c>
      <c r="P2108" s="13" t="s">
        <v>1810</v>
      </c>
      <c r="Q2108" s="13" t="s">
        <v>1792</v>
      </c>
      <c r="R2108" s="13" t="s">
        <v>0</v>
      </c>
      <c r="S2108" s="13" t="s">
        <v>0</v>
      </c>
      <c r="T2108" s="13" t="s">
        <v>9</v>
      </c>
      <c r="U2108" s="13" t="s">
        <v>0</v>
      </c>
      <c r="V2108" s="13" t="s">
        <v>0</v>
      </c>
      <c r="W2108" s="13" t="s">
        <v>0</v>
      </c>
      <c r="X2108" s="13" t="s">
        <v>0</v>
      </c>
      <c r="Y2108" s="13" t="s">
        <v>10</v>
      </c>
      <c r="Z2108" s="13" t="s">
        <v>0</v>
      </c>
      <c r="AA2108" s="14"/>
      <c r="AB2108" s="13" t="s">
        <v>0</v>
      </c>
      <c r="AC2108" s="13" t="s">
        <v>0</v>
      </c>
      <c r="AD2108" s="13" t="s">
        <v>0</v>
      </c>
      <c r="AE2108" s="15">
        <v>0</v>
      </c>
    </row>
    <row r="2109" spans="1:31" ht="14.15" customHeight="1" x14ac:dyDescent="0.25">
      <c r="A2109" s="12" t="s">
        <v>0</v>
      </c>
      <c r="B2109" s="13" t="s">
        <v>1</v>
      </c>
      <c r="C2109" s="13" t="s">
        <v>2658</v>
      </c>
      <c r="D2109" s="14">
        <v>44253</v>
      </c>
      <c r="E2109" s="14">
        <v>44253</v>
      </c>
      <c r="F2109" s="14">
        <v>44257</v>
      </c>
      <c r="G2109" s="13" t="s">
        <v>3</v>
      </c>
      <c r="H2109" s="13" t="s">
        <v>4</v>
      </c>
      <c r="I2109" s="15">
        <v>-5296.86</v>
      </c>
      <c r="J2109" s="13" t="s">
        <v>5</v>
      </c>
      <c r="K2109" s="13" t="s">
        <v>6</v>
      </c>
      <c r="L2109" s="15">
        <v>-444671.4</v>
      </c>
      <c r="M2109" s="15">
        <v>-5296.86</v>
      </c>
      <c r="N2109" s="16" t="str">
        <f>IF(M2109="","",IF(M2109&lt;0,-M2109&amp;"_"&amp;COUNTIF(M$2:M2109,M2109),M2109&amp;"_"&amp;COUNTIF(M$2:M2109,M2109)))</f>
        <v>5296.86_1</v>
      </c>
      <c r="O2109" s="17" t="str">
        <f t="shared" si="32"/>
        <v/>
      </c>
      <c r="P2109" s="13" t="s">
        <v>2659</v>
      </c>
      <c r="Q2109" s="13" t="s">
        <v>2660</v>
      </c>
      <c r="R2109" s="13" t="s">
        <v>0</v>
      </c>
      <c r="S2109" s="13" t="s">
        <v>0</v>
      </c>
      <c r="T2109" s="13" t="s">
        <v>9</v>
      </c>
      <c r="U2109" s="13" t="s">
        <v>0</v>
      </c>
      <c r="V2109" s="13" t="s">
        <v>0</v>
      </c>
      <c r="W2109" s="13" t="s">
        <v>0</v>
      </c>
      <c r="X2109" s="13" t="s">
        <v>0</v>
      </c>
      <c r="Y2109" s="13" t="s">
        <v>10</v>
      </c>
      <c r="Z2109" s="13" t="s">
        <v>0</v>
      </c>
      <c r="AA2109" s="14"/>
      <c r="AB2109" s="13" t="s">
        <v>0</v>
      </c>
      <c r="AC2109" s="13" t="s">
        <v>0</v>
      </c>
      <c r="AD2109" s="13" t="s">
        <v>0</v>
      </c>
      <c r="AE2109" s="15">
        <v>0</v>
      </c>
    </row>
    <row r="2110" spans="1:31" ht="14.15" customHeight="1" x14ac:dyDescent="0.25">
      <c r="A2110" s="12" t="s">
        <v>0</v>
      </c>
      <c r="B2110" s="13" t="s">
        <v>1</v>
      </c>
      <c r="C2110" s="13" t="s">
        <v>651</v>
      </c>
      <c r="D2110" s="14">
        <v>44085</v>
      </c>
      <c r="E2110" s="14">
        <v>44085</v>
      </c>
      <c r="F2110" s="14">
        <v>44090</v>
      </c>
      <c r="G2110" s="13" t="s">
        <v>3</v>
      </c>
      <c r="H2110" s="13" t="s">
        <v>4</v>
      </c>
      <c r="I2110" s="15">
        <v>-5292.73</v>
      </c>
      <c r="J2110" s="13" t="s">
        <v>5</v>
      </c>
      <c r="K2110" s="13" t="s">
        <v>6</v>
      </c>
      <c r="L2110" s="15">
        <v>-444324.68</v>
      </c>
      <c r="M2110" s="15">
        <v>-5292.73</v>
      </c>
      <c r="N2110" s="16" t="str">
        <f>IF(M2110="","",IF(M2110&lt;0,-M2110&amp;"_"&amp;COUNTIF(M$2:M2110,M2110),M2110&amp;"_"&amp;COUNTIF(M$2:M2110,M2110)))</f>
        <v>5292.73_1</v>
      </c>
      <c r="O2110" s="17" t="str">
        <f t="shared" si="32"/>
        <v/>
      </c>
      <c r="P2110" s="13" t="s">
        <v>652</v>
      </c>
      <c r="Q2110" s="13" t="s">
        <v>650</v>
      </c>
      <c r="R2110" s="13" t="s">
        <v>0</v>
      </c>
      <c r="S2110" s="13" t="s">
        <v>0</v>
      </c>
      <c r="T2110" s="13" t="s">
        <v>9</v>
      </c>
      <c r="U2110" s="13" t="s">
        <v>0</v>
      </c>
      <c r="V2110" s="13" t="s">
        <v>0</v>
      </c>
      <c r="W2110" s="13" t="s">
        <v>0</v>
      </c>
      <c r="X2110" s="13" t="s">
        <v>0</v>
      </c>
      <c r="Y2110" s="13" t="s">
        <v>10</v>
      </c>
      <c r="Z2110" s="13" t="s">
        <v>0</v>
      </c>
      <c r="AA2110" s="14"/>
      <c r="AB2110" s="13" t="s">
        <v>0</v>
      </c>
      <c r="AC2110" s="13" t="s">
        <v>0</v>
      </c>
      <c r="AD2110" s="13" t="s">
        <v>0</v>
      </c>
      <c r="AE2110" s="15">
        <v>0</v>
      </c>
    </row>
    <row r="2111" spans="1:31" ht="14.15" customHeight="1" x14ac:dyDescent="0.25">
      <c r="A2111" s="12" t="s">
        <v>0</v>
      </c>
      <c r="B2111" s="13" t="s">
        <v>1</v>
      </c>
      <c r="C2111" s="13" t="s">
        <v>1390</v>
      </c>
      <c r="D2111" s="14">
        <v>44153</v>
      </c>
      <c r="E2111" s="14">
        <v>44153</v>
      </c>
      <c r="F2111" s="14">
        <v>44159</v>
      </c>
      <c r="G2111" s="13" t="s">
        <v>3</v>
      </c>
      <c r="H2111" s="13" t="s">
        <v>4</v>
      </c>
      <c r="I2111" s="15">
        <v>-5292.58</v>
      </c>
      <c r="J2111" s="13" t="s">
        <v>5</v>
      </c>
      <c r="K2111" s="13" t="s">
        <v>6</v>
      </c>
      <c r="L2111" s="15">
        <v>-444312.09</v>
      </c>
      <c r="M2111" s="15">
        <v>-5292.58</v>
      </c>
      <c r="N2111" s="16" t="str">
        <f>IF(M2111="","",IF(M2111&lt;0,-M2111&amp;"_"&amp;COUNTIF(M$2:M2111,M2111),M2111&amp;"_"&amp;COUNTIF(M$2:M2111,M2111)))</f>
        <v>5292.58_1</v>
      </c>
      <c r="O2111" s="17" t="str">
        <f t="shared" si="32"/>
        <v/>
      </c>
      <c r="P2111" s="13" t="s">
        <v>1391</v>
      </c>
      <c r="Q2111" s="13" t="s">
        <v>1381</v>
      </c>
      <c r="R2111" s="13" t="s">
        <v>0</v>
      </c>
      <c r="S2111" s="13" t="s">
        <v>0</v>
      </c>
      <c r="T2111" s="13" t="s">
        <v>9</v>
      </c>
      <c r="U2111" s="13" t="s">
        <v>0</v>
      </c>
      <c r="V2111" s="13" t="s">
        <v>0</v>
      </c>
      <c r="W2111" s="13" t="s">
        <v>0</v>
      </c>
      <c r="X2111" s="13" t="s">
        <v>0</v>
      </c>
      <c r="Y2111" s="13" t="s">
        <v>10</v>
      </c>
      <c r="Z2111" s="13" t="s">
        <v>0</v>
      </c>
      <c r="AA2111" s="14"/>
      <c r="AB2111" s="13" t="s">
        <v>0</v>
      </c>
      <c r="AC2111" s="13" t="s">
        <v>0</v>
      </c>
      <c r="AD2111" s="13" t="s">
        <v>0</v>
      </c>
      <c r="AE2111" s="15">
        <v>0</v>
      </c>
    </row>
    <row r="2112" spans="1:31" ht="14.15" customHeight="1" x14ac:dyDescent="0.25">
      <c r="A2112" s="12" t="s">
        <v>0</v>
      </c>
      <c r="B2112" s="13" t="s">
        <v>1</v>
      </c>
      <c r="C2112" s="13" t="s">
        <v>3655</v>
      </c>
      <c r="D2112" s="14">
        <v>44333</v>
      </c>
      <c r="E2112" s="14">
        <v>44333</v>
      </c>
      <c r="F2112" s="14">
        <v>44336</v>
      </c>
      <c r="G2112" s="13" t="s">
        <v>3</v>
      </c>
      <c r="H2112" s="13" t="s">
        <v>4</v>
      </c>
      <c r="I2112" s="15">
        <v>-5291.09</v>
      </c>
      <c r="J2112" s="13" t="s">
        <v>5</v>
      </c>
      <c r="K2112" s="13" t="s">
        <v>6</v>
      </c>
      <c r="L2112" s="15">
        <v>-444187.01</v>
      </c>
      <c r="M2112" s="15">
        <v>-5291.09</v>
      </c>
      <c r="N2112" s="16" t="str">
        <f>IF(M2112="","",IF(M2112&lt;0,-M2112&amp;"_"&amp;COUNTIF(M$2:M2112,M2112),M2112&amp;"_"&amp;COUNTIF(M$2:M2112,M2112)))</f>
        <v>5291.09_1</v>
      </c>
      <c r="O2112" s="17" t="str">
        <f t="shared" si="32"/>
        <v/>
      </c>
      <c r="P2112" s="13" t="s">
        <v>3656</v>
      </c>
      <c r="Q2112" s="13" t="s">
        <v>3657</v>
      </c>
      <c r="R2112" s="13" t="s">
        <v>0</v>
      </c>
      <c r="S2112" s="13" t="s">
        <v>0</v>
      </c>
      <c r="T2112" s="13" t="s">
        <v>9</v>
      </c>
      <c r="U2112" s="13" t="s">
        <v>0</v>
      </c>
      <c r="V2112" s="13" t="s">
        <v>0</v>
      </c>
      <c r="W2112" s="13" t="s">
        <v>0</v>
      </c>
      <c r="X2112" s="13" t="s">
        <v>0</v>
      </c>
      <c r="Y2112" s="13" t="s">
        <v>10</v>
      </c>
      <c r="Z2112" s="13" t="s">
        <v>0</v>
      </c>
      <c r="AA2112" s="14"/>
      <c r="AB2112" s="13" t="s">
        <v>0</v>
      </c>
      <c r="AC2112" s="13" t="s">
        <v>0</v>
      </c>
      <c r="AD2112" s="13" t="s">
        <v>0</v>
      </c>
      <c r="AE2112" s="15">
        <v>0</v>
      </c>
    </row>
    <row r="2113" spans="1:31" ht="14.15" customHeight="1" x14ac:dyDescent="0.25">
      <c r="A2113" s="12" t="s">
        <v>0</v>
      </c>
      <c r="B2113" s="13" t="s">
        <v>1</v>
      </c>
      <c r="C2113" s="13" t="s">
        <v>3297</v>
      </c>
      <c r="D2113" s="14">
        <v>44314</v>
      </c>
      <c r="E2113" s="14">
        <v>44314</v>
      </c>
      <c r="F2113" s="14">
        <v>44322</v>
      </c>
      <c r="G2113" s="13" t="s">
        <v>3</v>
      </c>
      <c r="H2113" s="13" t="s">
        <v>4</v>
      </c>
      <c r="I2113" s="15">
        <v>-5284.44</v>
      </c>
      <c r="J2113" s="13" t="s">
        <v>5</v>
      </c>
      <c r="K2113" s="13" t="s">
        <v>6</v>
      </c>
      <c r="L2113" s="15">
        <v>-443628.74</v>
      </c>
      <c r="M2113" s="15">
        <v>-5284.44</v>
      </c>
      <c r="N2113" s="16" t="str">
        <f>IF(M2113="","",IF(M2113&lt;0,-M2113&amp;"_"&amp;COUNTIF(M$2:M2113,M2113),M2113&amp;"_"&amp;COUNTIF(M$2:M2113,M2113)))</f>
        <v>5284.44_1</v>
      </c>
      <c r="O2113" s="17" t="str">
        <f t="shared" si="32"/>
        <v/>
      </c>
      <c r="P2113" s="13" t="s">
        <v>3298</v>
      </c>
      <c r="Q2113" s="13" t="s">
        <v>3284</v>
      </c>
      <c r="R2113" s="13" t="s">
        <v>0</v>
      </c>
      <c r="S2113" s="13" t="s">
        <v>0</v>
      </c>
      <c r="T2113" s="13" t="s">
        <v>9</v>
      </c>
      <c r="U2113" s="13" t="s">
        <v>0</v>
      </c>
      <c r="V2113" s="13" t="s">
        <v>0</v>
      </c>
      <c r="W2113" s="13" t="s">
        <v>0</v>
      </c>
      <c r="X2113" s="13" t="s">
        <v>0</v>
      </c>
      <c r="Y2113" s="13" t="s">
        <v>10</v>
      </c>
      <c r="Z2113" s="13" t="s">
        <v>0</v>
      </c>
      <c r="AA2113" s="14"/>
      <c r="AB2113" s="13" t="s">
        <v>0</v>
      </c>
      <c r="AC2113" s="13" t="s">
        <v>0</v>
      </c>
      <c r="AD2113" s="13" t="s">
        <v>0</v>
      </c>
      <c r="AE2113" s="15">
        <v>0</v>
      </c>
    </row>
    <row r="2114" spans="1:31" ht="14.15" customHeight="1" x14ac:dyDescent="0.25">
      <c r="A2114" s="12" t="s">
        <v>0</v>
      </c>
      <c r="B2114" s="13" t="s">
        <v>1</v>
      </c>
      <c r="C2114" s="13" t="s">
        <v>34</v>
      </c>
      <c r="D2114" s="14">
        <v>44015</v>
      </c>
      <c r="E2114" s="14">
        <v>44015</v>
      </c>
      <c r="F2114" s="14">
        <v>44030</v>
      </c>
      <c r="G2114" s="13" t="s">
        <v>3</v>
      </c>
      <c r="H2114" s="13" t="s">
        <v>4</v>
      </c>
      <c r="I2114" s="15">
        <v>-5270.09</v>
      </c>
      <c r="J2114" s="13" t="s">
        <v>5</v>
      </c>
      <c r="K2114" s="13" t="s">
        <v>6</v>
      </c>
      <c r="L2114" s="15">
        <v>-442424.06</v>
      </c>
      <c r="M2114" s="15">
        <v>-5270.09</v>
      </c>
      <c r="N2114" s="16" t="str">
        <f>IF(M2114="","",IF(M2114&lt;0,-M2114&amp;"_"&amp;COUNTIF(M$2:M2114,M2114),M2114&amp;"_"&amp;COUNTIF(M$2:M2114,M2114)))</f>
        <v>5270.09_1</v>
      </c>
      <c r="O2114" s="17" t="str">
        <f t="shared" ref="O2114:O2177" si="33">IF(COUNTIF(N:N,N2114)=2,"x","")</f>
        <v/>
      </c>
      <c r="P2114" s="13" t="s">
        <v>35</v>
      </c>
      <c r="Q2114" s="13" t="s">
        <v>27</v>
      </c>
      <c r="R2114" s="13" t="s">
        <v>0</v>
      </c>
      <c r="S2114" s="13" t="s">
        <v>0</v>
      </c>
      <c r="T2114" s="13" t="s">
        <v>9</v>
      </c>
      <c r="U2114" s="13" t="s">
        <v>0</v>
      </c>
      <c r="V2114" s="13" t="s">
        <v>0</v>
      </c>
      <c r="W2114" s="13" t="s">
        <v>0</v>
      </c>
      <c r="X2114" s="13" t="s">
        <v>0</v>
      </c>
      <c r="Y2114" s="13" t="s">
        <v>10</v>
      </c>
      <c r="Z2114" s="13" t="s">
        <v>0</v>
      </c>
      <c r="AA2114" s="14"/>
      <c r="AB2114" s="13" t="s">
        <v>0</v>
      </c>
      <c r="AC2114" s="13" t="s">
        <v>0</v>
      </c>
      <c r="AD2114" s="13" t="s">
        <v>0</v>
      </c>
      <c r="AE2114" s="15">
        <v>0</v>
      </c>
    </row>
    <row r="2115" spans="1:31" ht="14.15" customHeight="1" x14ac:dyDescent="0.25">
      <c r="A2115" s="12" t="s">
        <v>0</v>
      </c>
      <c r="B2115" s="13" t="s">
        <v>1</v>
      </c>
      <c r="C2115" s="13" t="s">
        <v>3189</v>
      </c>
      <c r="D2115" s="14">
        <v>44299</v>
      </c>
      <c r="E2115" s="14">
        <v>44299</v>
      </c>
      <c r="F2115" s="14">
        <v>44318</v>
      </c>
      <c r="G2115" s="13" t="s">
        <v>3</v>
      </c>
      <c r="H2115" s="13" t="s">
        <v>4</v>
      </c>
      <c r="I2115" s="15">
        <v>-5266.82</v>
      </c>
      <c r="J2115" s="13" t="s">
        <v>5</v>
      </c>
      <c r="K2115" s="13" t="s">
        <v>6</v>
      </c>
      <c r="L2115" s="15">
        <v>-442149.54</v>
      </c>
      <c r="M2115" s="15">
        <v>-5266.82</v>
      </c>
      <c r="N2115" s="16" t="str">
        <f>IF(M2115="","",IF(M2115&lt;0,-M2115&amp;"_"&amp;COUNTIF(M$2:M2115,M2115),M2115&amp;"_"&amp;COUNTIF(M$2:M2115,M2115)))</f>
        <v>5266.82_1</v>
      </c>
      <c r="O2115" s="17" t="str">
        <f t="shared" si="33"/>
        <v/>
      </c>
      <c r="P2115" s="13" t="s">
        <v>3190</v>
      </c>
      <c r="Q2115" s="13" t="s">
        <v>3170</v>
      </c>
      <c r="R2115" s="13" t="s">
        <v>0</v>
      </c>
      <c r="S2115" s="13" t="s">
        <v>0</v>
      </c>
      <c r="T2115" s="13" t="s">
        <v>9</v>
      </c>
      <c r="U2115" s="13" t="s">
        <v>0</v>
      </c>
      <c r="V2115" s="13" t="s">
        <v>0</v>
      </c>
      <c r="W2115" s="13" t="s">
        <v>0</v>
      </c>
      <c r="X2115" s="13" t="s">
        <v>0</v>
      </c>
      <c r="Y2115" s="13" t="s">
        <v>10</v>
      </c>
      <c r="Z2115" s="13" t="s">
        <v>0</v>
      </c>
      <c r="AA2115" s="14"/>
      <c r="AB2115" s="13" t="s">
        <v>0</v>
      </c>
      <c r="AC2115" s="13" t="s">
        <v>0</v>
      </c>
      <c r="AD2115" s="13" t="s">
        <v>0</v>
      </c>
      <c r="AE2115" s="15">
        <v>0</v>
      </c>
    </row>
    <row r="2116" spans="1:31" ht="14.15" customHeight="1" x14ac:dyDescent="0.25">
      <c r="A2116" s="12" t="s">
        <v>0</v>
      </c>
      <c r="B2116" s="13" t="s">
        <v>1</v>
      </c>
      <c r="C2116" s="13" t="s">
        <v>2819</v>
      </c>
      <c r="D2116" s="14">
        <v>44266</v>
      </c>
      <c r="E2116" s="14">
        <v>44266</v>
      </c>
      <c r="F2116" s="14">
        <v>44272</v>
      </c>
      <c r="G2116" s="13" t="s">
        <v>3</v>
      </c>
      <c r="H2116" s="13" t="s">
        <v>4</v>
      </c>
      <c r="I2116" s="15">
        <v>-5264.64</v>
      </c>
      <c r="J2116" s="13" t="s">
        <v>5</v>
      </c>
      <c r="K2116" s="13" t="s">
        <v>6</v>
      </c>
      <c r="L2116" s="15">
        <v>-441966.53</v>
      </c>
      <c r="M2116" s="15">
        <v>-5264.64</v>
      </c>
      <c r="N2116" s="16" t="str">
        <f>IF(M2116="","",IF(M2116&lt;0,-M2116&amp;"_"&amp;COUNTIF(M$2:M2116,M2116),M2116&amp;"_"&amp;COUNTIF(M$2:M2116,M2116)))</f>
        <v>5264.64_1</v>
      </c>
      <c r="O2116" s="17" t="str">
        <f t="shared" si="33"/>
        <v/>
      </c>
      <c r="P2116" s="13" t="s">
        <v>2820</v>
      </c>
      <c r="Q2116" s="13" t="s">
        <v>2810</v>
      </c>
      <c r="R2116" s="13" t="s">
        <v>0</v>
      </c>
      <c r="S2116" s="13" t="s">
        <v>0</v>
      </c>
      <c r="T2116" s="13" t="s">
        <v>9</v>
      </c>
      <c r="U2116" s="13" t="s">
        <v>0</v>
      </c>
      <c r="V2116" s="13" t="s">
        <v>0</v>
      </c>
      <c r="W2116" s="13" t="s">
        <v>0</v>
      </c>
      <c r="X2116" s="13" t="s">
        <v>0</v>
      </c>
      <c r="Y2116" s="13" t="s">
        <v>10</v>
      </c>
      <c r="Z2116" s="13" t="s">
        <v>0</v>
      </c>
      <c r="AA2116" s="14"/>
      <c r="AB2116" s="13" t="s">
        <v>0</v>
      </c>
      <c r="AC2116" s="13" t="s">
        <v>0</v>
      </c>
      <c r="AD2116" s="13" t="s">
        <v>0</v>
      </c>
      <c r="AE2116" s="15">
        <v>0</v>
      </c>
    </row>
    <row r="2117" spans="1:31" ht="14.15" customHeight="1" x14ac:dyDescent="0.25">
      <c r="A2117" s="12" t="s">
        <v>0</v>
      </c>
      <c r="B2117" s="13" t="s">
        <v>1</v>
      </c>
      <c r="C2117" s="13" t="s">
        <v>2526</v>
      </c>
      <c r="D2117" s="14">
        <v>44238</v>
      </c>
      <c r="E2117" s="14">
        <v>44238</v>
      </c>
      <c r="F2117" s="14">
        <v>44243</v>
      </c>
      <c r="G2117" s="13" t="s">
        <v>3</v>
      </c>
      <c r="H2117" s="13" t="s">
        <v>4</v>
      </c>
      <c r="I2117" s="15">
        <v>-5260.89</v>
      </c>
      <c r="J2117" s="13" t="s">
        <v>5</v>
      </c>
      <c r="K2117" s="13" t="s">
        <v>6</v>
      </c>
      <c r="L2117" s="15">
        <v>-441651.72</v>
      </c>
      <c r="M2117" s="15">
        <v>-5260.89</v>
      </c>
      <c r="N2117" s="16" t="str">
        <f>IF(M2117="","",IF(M2117&lt;0,-M2117&amp;"_"&amp;COUNTIF(M$2:M2117,M2117),M2117&amp;"_"&amp;COUNTIF(M$2:M2117,M2117)))</f>
        <v>5260.89_1</v>
      </c>
      <c r="O2117" s="17" t="str">
        <f t="shared" si="33"/>
        <v/>
      </c>
      <c r="P2117" s="13" t="s">
        <v>2527</v>
      </c>
      <c r="Q2117" s="13" t="s">
        <v>2528</v>
      </c>
      <c r="R2117" s="13" t="s">
        <v>0</v>
      </c>
      <c r="S2117" s="13" t="s">
        <v>0</v>
      </c>
      <c r="T2117" s="13" t="s">
        <v>9</v>
      </c>
      <c r="U2117" s="13" t="s">
        <v>0</v>
      </c>
      <c r="V2117" s="13" t="s">
        <v>0</v>
      </c>
      <c r="W2117" s="13" t="s">
        <v>0</v>
      </c>
      <c r="X2117" s="13" t="s">
        <v>0</v>
      </c>
      <c r="Y2117" s="13" t="s">
        <v>10</v>
      </c>
      <c r="Z2117" s="13" t="s">
        <v>0</v>
      </c>
      <c r="AA2117" s="14"/>
      <c r="AB2117" s="13" t="s">
        <v>0</v>
      </c>
      <c r="AC2117" s="13" t="s">
        <v>0</v>
      </c>
      <c r="AD2117" s="13" t="s">
        <v>0</v>
      </c>
      <c r="AE2117" s="15">
        <v>0</v>
      </c>
    </row>
    <row r="2118" spans="1:31" ht="14.15" customHeight="1" x14ac:dyDescent="0.25">
      <c r="A2118" s="12" t="s">
        <v>0</v>
      </c>
      <c r="B2118" s="13" t="s">
        <v>1</v>
      </c>
      <c r="C2118" s="13" t="s">
        <v>3658</v>
      </c>
      <c r="D2118" s="14">
        <v>44334</v>
      </c>
      <c r="E2118" s="14">
        <v>44334</v>
      </c>
      <c r="F2118" s="14">
        <v>44336</v>
      </c>
      <c r="G2118" s="13" t="s">
        <v>3</v>
      </c>
      <c r="H2118" s="13" t="s">
        <v>4</v>
      </c>
      <c r="I2118" s="15">
        <v>-5244.78</v>
      </c>
      <c r="J2118" s="13" t="s">
        <v>5</v>
      </c>
      <c r="K2118" s="13" t="s">
        <v>6</v>
      </c>
      <c r="L2118" s="15">
        <v>-440299.28</v>
      </c>
      <c r="M2118" s="15">
        <v>-5244.78</v>
      </c>
      <c r="N2118" s="16" t="str">
        <f>IF(M2118="","",IF(M2118&lt;0,-M2118&amp;"_"&amp;COUNTIF(M$2:M2118,M2118),M2118&amp;"_"&amp;COUNTIF(M$2:M2118,M2118)))</f>
        <v>5244.78_1</v>
      </c>
      <c r="O2118" s="17" t="str">
        <f t="shared" si="33"/>
        <v/>
      </c>
      <c r="P2118" s="13" t="s">
        <v>3659</v>
      </c>
      <c r="Q2118" s="13" t="s">
        <v>3660</v>
      </c>
      <c r="R2118" s="13" t="s">
        <v>0</v>
      </c>
      <c r="S2118" s="13" t="s">
        <v>0</v>
      </c>
      <c r="T2118" s="13" t="s">
        <v>9</v>
      </c>
      <c r="U2118" s="13" t="s">
        <v>0</v>
      </c>
      <c r="V2118" s="13" t="s">
        <v>0</v>
      </c>
      <c r="W2118" s="13" t="s">
        <v>0</v>
      </c>
      <c r="X2118" s="13" t="s">
        <v>0</v>
      </c>
      <c r="Y2118" s="13" t="s">
        <v>10</v>
      </c>
      <c r="Z2118" s="13" t="s">
        <v>0</v>
      </c>
      <c r="AA2118" s="14"/>
      <c r="AB2118" s="13" t="s">
        <v>0</v>
      </c>
      <c r="AC2118" s="13" t="s">
        <v>0</v>
      </c>
      <c r="AD2118" s="13" t="s">
        <v>0</v>
      </c>
      <c r="AE2118" s="15">
        <v>0</v>
      </c>
    </row>
    <row r="2119" spans="1:31" ht="14.15" customHeight="1" x14ac:dyDescent="0.25">
      <c r="A2119" s="12" t="s">
        <v>0</v>
      </c>
      <c r="B2119" s="13" t="s">
        <v>1</v>
      </c>
      <c r="C2119" s="13" t="s">
        <v>4039</v>
      </c>
      <c r="D2119" s="14">
        <v>44358</v>
      </c>
      <c r="E2119" s="14">
        <v>44358</v>
      </c>
      <c r="F2119" s="14">
        <v>44364</v>
      </c>
      <c r="G2119" s="13" t="s">
        <v>3</v>
      </c>
      <c r="H2119" s="13" t="s">
        <v>4</v>
      </c>
      <c r="I2119" s="15">
        <v>-5244.45</v>
      </c>
      <c r="J2119" s="13" t="s">
        <v>5</v>
      </c>
      <c r="K2119" s="13" t="s">
        <v>6</v>
      </c>
      <c r="L2119" s="15">
        <v>-440271.58</v>
      </c>
      <c r="M2119" s="15">
        <v>-5244.45</v>
      </c>
      <c r="N2119" s="16" t="str">
        <f>IF(M2119="","",IF(M2119&lt;0,-M2119&amp;"_"&amp;COUNTIF(M$2:M2119,M2119),M2119&amp;"_"&amp;COUNTIF(M$2:M2119,M2119)))</f>
        <v>5244.45_1</v>
      </c>
      <c r="O2119" s="17" t="str">
        <f t="shared" si="33"/>
        <v/>
      </c>
      <c r="P2119" s="13" t="s">
        <v>4040</v>
      </c>
      <c r="Q2119" s="13" t="s">
        <v>4006</v>
      </c>
      <c r="R2119" s="13" t="s">
        <v>0</v>
      </c>
      <c r="S2119" s="13" t="s">
        <v>0</v>
      </c>
      <c r="T2119" s="13" t="s">
        <v>9</v>
      </c>
      <c r="U2119" s="13" t="s">
        <v>0</v>
      </c>
      <c r="V2119" s="13" t="s">
        <v>0</v>
      </c>
      <c r="W2119" s="13" t="s">
        <v>0</v>
      </c>
      <c r="X2119" s="13" t="s">
        <v>0</v>
      </c>
      <c r="Y2119" s="13" t="s">
        <v>10</v>
      </c>
      <c r="Z2119" s="13" t="s">
        <v>0</v>
      </c>
      <c r="AA2119" s="14"/>
      <c r="AB2119" s="13" t="s">
        <v>0</v>
      </c>
      <c r="AC2119" s="13" t="s">
        <v>0</v>
      </c>
      <c r="AD2119" s="13" t="s">
        <v>0</v>
      </c>
      <c r="AE2119" s="15">
        <v>0</v>
      </c>
    </row>
    <row r="2120" spans="1:31" ht="14.15" customHeight="1" x14ac:dyDescent="0.25">
      <c r="A2120" s="12" t="s">
        <v>0</v>
      </c>
      <c r="B2120" s="13" t="s">
        <v>1</v>
      </c>
      <c r="C2120" s="13" t="s">
        <v>651</v>
      </c>
      <c r="D2120" s="14">
        <v>44085</v>
      </c>
      <c r="E2120" s="14">
        <v>44085</v>
      </c>
      <c r="F2120" s="14">
        <v>44090</v>
      </c>
      <c r="G2120" s="13" t="s">
        <v>3</v>
      </c>
      <c r="H2120" s="13" t="s">
        <v>4</v>
      </c>
      <c r="I2120" s="15">
        <v>-5233.5</v>
      </c>
      <c r="J2120" s="13" t="s">
        <v>5</v>
      </c>
      <c r="K2120" s="13" t="s">
        <v>6</v>
      </c>
      <c r="L2120" s="15">
        <v>-439352.33</v>
      </c>
      <c r="M2120" s="15">
        <v>-5233.5</v>
      </c>
      <c r="N2120" s="16" t="str">
        <f>IF(M2120="","",IF(M2120&lt;0,-M2120&amp;"_"&amp;COUNTIF(M$2:M2120,M2120),M2120&amp;"_"&amp;COUNTIF(M$2:M2120,M2120)))</f>
        <v>5233.5_1</v>
      </c>
      <c r="O2120" s="17" t="str">
        <f t="shared" si="33"/>
        <v/>
      </c>
      <c r="P2120" s="13" t="s">
        <v>652</v>
      </c>
      <c r="Q2120" s="13" t="s">
        <v>650</v>
      </c>
      <c r="R2120" s="13" t="s">
        <v>0</v>
      </c>
      <c r="S2120" s="13" t="s">
        <v>0</v>
      </c>
      <c r="T2120" s="13" t="s">
        <v>9</v>
      </c>
      <c r="U2120" s="13" t="s">
        <v>0</v>
      </c>
      <c r="V2120" s="13" t="s">
        <v>0</v>
      </c>
      <c r="W2120" s="13" t="s">
        <v>0</v>
      </c>
      <c r="X2120" s="13" t="s">
        <v>0</v>
      </c>
      <c r="Y2120" s="13" t="s">
        <v>10</v>
      </c>
      <c r="Z2120" s="13" t="s">
        <v>0</v>
      </c>
      <c r="AA2120" s="14"/>
      <c r="AB2120" s="13" t="s">
        <v>0</v>
      </c>
      <c r="AC2120" s="13" t="s">
        <v>0</v>
      </c>
      <c r="AD2120" s="13" t="s">
        <v>0</v>
      </c>
      <c r="AE2120" s="15">
        <v>0</v>
      </c>
    </row>
    <row r="2121" spans="1:31" ht="14.15" customHeight="1" x14ac:dyDescent="0.25">
      <c r="A2121" s="12" t="s">
        <v>0</v>
      </c>
      <c r="B2121" s="13" t="s">
        <v>1</v>
      </c>
      <c r="C2121" s="13" t="s">
        <v>771</v>
      </c>
      <c r="D2121" s="14">
        <v>44099</v>
      </c>
      <c r="E2121" s="14">
        <v>44099</v>
      </c>
      <c r="F2121" s="14">
        <v>44119</v>
      </c>
      <c r="G2121" s="13" t="s">
        <v>3</v>
      </c>
      <c r="H2121" s="13" t="s">
        <v>4</v>
      </c>
      <c r="I2121" s="15">
        <v>-5187.3999999999996</v>
      </c>
      <c r="J2121" s="13" t="s">
        <v>5</v>
      </c>
      <c r="K2121" s="13" t="s">
        <v>6</v>
      </c>
      <c r="L2121" s="15">
        <v>-435482.23</v>
      </c>
      <c r="M2121" s="15">
        <v>-5187.3999999999996</v>
      </c>
      <c r="N2121" s="16" t="str">
        <f>IF(M2121="","",IF(M2121&lt;0,-M2121&amp;"_"&amp;COUNTIF(M$2:M2121,M2121),M2121&amp;"_"&amp;COUNTIF(M$2:M2121,M2121)))</f>
        <v>5187.4_1</v>
      </c>
      <c r="O2121" s="17" t="str">
        <f t="shared" si="33"/>
        <v/>
      </c>
      <c r="P2121" s="13" t="s">
        <v>772</v>
      </c>
      <c r="Q2121" s="13" t="s">
        <v>768</v>
      </c>
      <c r="R2121" s="13" t="s">
        <v>0</v>
      </c>
      <c r="S2121" s="13" t="s">
        <v>0</v>
      </c>
      <c r="T2121" s="13" t="s">
        <v>9</v>
      </c>
      <c r="U2121" s="13" t="s">
        <v>0</v>
      </c>
      <c r="V2121" s="13" t="s">
        <v>0</v>
      </c>
      <c r="W2121" s="13" t="s">
        <v>0</v>
      </c>
      <c r="X2121" s="13" t="s">
        <v>0</v>
      </c>
      <c r="Y2121" s="13" t="s">
        <v>10</v>
      </c>
      <c r="Z2121" s="13" t="s">
        <v>0</v>
      </c>
      <c r="AA2121" s="14"/>
      <c r="AB2121" s="13" t="s">
        <v>0</v>
      </c>
      <c r="AC2121" s="13" t="s">
        <v>0</v>
      </c>
      <c r="AD2121" s="13" t="s">
        <v>0</v>
      </c>
      <c r="AE2121" s="15">
        <v>0</v>
      </c>
    </row>
    <row r="2122" spans="1:31" ht="14.15" customHeight="1" x14ac:dyDescent="0.25">
      <c r="A2122" s="12" t="s">
        <v>0</v>
      </c>
      <c r="B2122" s="13" t="s">
        <v>1</v>
      </c>
      <c r="C2122" s="13" t="s">
        <v>787</v>
      </c>
      <c r="D2122" s="14">
        <v>44101</v>
      </c>
      <c r="E2122" s="14">
        <v>44101</v>
      </c>
      <c r="F2122" s="14">
        <v>44105</v>
      </c>
      <c r="G2122" s="13" t="s">
        <v>3</v>
      </c>
      <c r="H2122" s="13" t="s">
        <v>4</v>
      </c>
      <c r="I2122" s="15">
        <v>-5178.88</v>
      </c>
      <c r="J2122" s="13" t="s">
        <v>5</v>
      </c>
      <c r="K2122" s="13" t="s">
        <v>6</v>
      </c>
      <c r="L2122" s="15">
        <v>-434766.98</v>
      </c>
      <c r="M2122" s="15">
        <v>-5178.88</v>
      </c>
      <c r="N2122" s="16" t="str">
        <f>IF(M2122="","",IF(M2122&lt;0,-M2122&amp;"_"&amp;COUNTIF(M$2:M2122,M2122),M2122&amp;"_"&amp;COUNTIF(M$2:M2122,M2122)))</f>
        <v>5178.88_1</v>
      </c>
      <c r="O2122" s="17" t="str">
        <f t="shared" si="33"/>
        <v/>
      </c>
      <c r="P2122" s="13" t="s">
        <v>788</v>
      </c>
      <c r="Q2122" s="13" t="s">
        <v>784</v>
      </c>
      <c r="R2122" s="13" t="s">
        <v>0</v>
      </c>
      <c r="S2122" s="13" t="s">
        <v>0</v>
      </c>
      <c r="T2122" s="13" t="s">
        <v>9</v>
      </c>
      <c r="U2122" s="13" t="s">
        <v>0</v>
      </c>
      <c r="V2122" s="13" t="s">
        <v>0</v>
      </c>
      <c r="W2122" s="13" t="s">
        <v>0</v>
      </c>
      <c r="X2122" s="13" t="s">
        <v>0</v>
      </c>
      <c r="Y2122" s="13" t="s">
        <v>10</v>
      </c>
      <c r="Z2122" s="13" t="s">
        <v>0</v>
      </c>
      <c r="AA2122" s="14"/>
      <c r="AB2122" s="13" t="s">
        <v>0</v>
      </c>
      <c r="AC2122" s="13" t="s">
        <v>0</v>
      </c>
      <c r="AD2122" s="13" t="s">
        <v>0</v>
      </c>
      <c r="AE2122" s="15">
        <v>0</v>
      </c>
    </row>
    <row r="2123" spans="1:31" ht="14.15" customHeight="1" x14ac:dyDescent="0.25">
      <c r="A2123" s="12" t="s">
        <v>0</v>
      </c>
      <c r="B2123" s="13" t="s">
        <v>1</v>
      </c>
      <c r="C2123" s="13" t="s">
        <v>1475</v>
      </c>
      <c r="D2123" s="14">
        <v>44160</v>
      </c>
      <c r="E2123" s="14">
        <v>44160</v>
      </c>
      <c r="F2123" s="14">
        <v>44163</v>
      </c>
      <c r="G2123" s="13" t="s">
        <v>3</v>
      </c>
      <c r="H2123" s="13" t="s">
        <v>4</v>
      </c>
      <c r="I2123" s="15">
        <v>-5170.6899999999996</v>
      </c>
      <c r="J2123" s="13" t="s">
        <v>5</v>
      </c>
      <c r="K2123" s="13" t="s">
        <v>6</v>
      </c>
      <c r="L2123" s="15">
        <v>-434079.43</v>
      </c>
      <c r="M2123" s="15">
        <v>-5170.6899999999996</v>
      </c>
      <c r="N2123" s="16" t="str">
        <f>IF(M2123="","",IF(M2123&lt;0,-M2123&amp;"_"&amp;COUNTIF(M$2:M2123,M2123),M2123&amp;"_"&amp;COUNTIF(M$2:M2123,M2123)))</f>
        <v>5170.69_1</v>
      </c>
      <c r="O2123" s="17" t="str">
        <f t="shared" si="33"/>
        <v/>
      </c>
      <c r="P2123" s="13" t="s">
        <v>1476</v>
      </c>
      <c r="Q2123" s="13" t="s">
        <v>1470</v>
      </c>
      <c r="R2123" s="13" t="s">
        <v>0</v>
      </c>
      <c r="S2123" s="13" t="s">
        <v>0</v>
      </c>
      <c r="T2123" s="13" t="s">
        <v>9</v>
      </c>
      <c r="U2123" s="13" t="s">
        <v>0</v>
      </c>
      <c r="V2123" s="13" t="s">
        <v>0</v>
      </c>
      <c r="W2123" s="13" t="s">
        <v>0</v>
      </c>
      <c r="X2123" s="13" t="s">
        <v>0</v>
      </c>
      <c r="Y2123" s="13" t="s">
        <v>10</v>
      </c>
      <c r="Z2123" s="13" t="s">
        <v>0</v>
      </c>
      <c r="AA2123" s="14"/>
      <c r="AB2123" s="13" t="s">
        <v>0</v>
      </c>
      <c r="AC2123" s="13" t="s">
        <v>0</v>
      </c>
      <c r="AD2123" s="13" t="s">
        <v>0</v>
      </c>
      <c r="AE2123" s="15">
        <v>0</v>
      </c>
    </row>
    <row r="2124" spans="1:31" ht="14.15" customHeight="1" x14ac:dyDescent="0.25">
      <c r="A2124" s="12" t="s">
        <v>0</v>
      </c>
      <c r="B2124" s="13" t="s">
        <v>1</v>
      </c>
      <c r="C2124" s="13" t="s">
        <v>2775</v>
      </c>
      <c r="D2124" s="14">
        <v>44262</v>
      </c>
      <c r="E2124" s="14">
        <v>44262</v>
      </c>
      <c r="F2124" s="14">
        <v>44266</v>
      </c>
      <c r="G2124" s="13" t="s">
        <v>3</v>
      </c>
      <c r="H2124" s="13" t="s">
        <v>4</v>
      </c>
      <c r="I2124" s="15">
        <v>-5165.16</v>
      </c>
      <c r="J2124" s="13" t="s">
        <v>5</v>
      </c>
      <c r="K2124" s="13" t="s">
        <v>6</v>
      </c>
      <c r="L2124" s="15">
        <v>-433615.18</v>
      </c>
      <c r="M2124" s="15">
        <v>-5165.16</v>
      </c>
      <c r="N2124" s="16" t="str">
        <f>IF(M2124="","",IF(M2124&lt;0,-M2124&amp;"_"&amp;COUNTIF(M$2:M2124,M2124),M2124&amp;"_"&amp;COUNTIF(M$2:M2124,M2124)))</f>
        <v>5165.16_1</v>
      </c>
      <c r="O2124" s="17" t="str">
        <f t="shared" si="33"/>
        <v/>
      </c>
      <c r="P2124" s="13" t="s">
        <v>2776</v>
      </c>
      <c r="Q2124" s="13" t="s">
        <v>2770</v>
      </c>
      <c r="R2124" s="13" t="s">
        <v>0</v>
      </c>
      <c r="S2124" s="13" t="s">
        <v>0</v>
      </c>
      <c r="T2124" s="13" t="s">
        <v>9</v>
      </c>
      <c r="U2124" s="13" t="s">
        <v>0</v>
      </c>
      <c r="V2124" s="13" t="s">
        <v>0</v>
      </c>
      <c r="W2124" s="13" t="s">
        <v>0</v>
      </c>
      <c r="X2124" s="13" t="s">
        <v>0</v>
      </c>
      <c r="Y2124" s="13" t="s">
        <v>10</v>
      </c>
      <c r="Z2124" s="13" t="s">
        <v>0</v>
      </c>
      <c r="AA2124" s="14"/>
      <c r="AB2124" s="13" t="s">
        <v>0</v>
      </c>
      <c r="AC2124" s="13" t="s">
        <v>0</v>
      </c>
      <c r="AD2124" s="13" t="s">
        <v>0</v>
      </c>
      <c r="AE2124" s="15">
        <v>0</v>
      </c>
    </row>
    <row r="2125" spans="1:31" ht="14.15" customHeight="1" x14ac:dyDescent="0.25">
      <c r="A2125" s="12" t="s">
        <v>0</v>
      </c>
      <c r="B2125" s="13" t="s">
        <v>1</v>
      </c>
      <c r="C2125" s="13" t="s">
        <v>1447</v>
      </c>
      <c r="D2125" s="14">
        <v>44158</v>
      </c>
      <c r="E2125" s="14">
        <v>44158</v>
      </c>
      <c r="F2125" s="14">
        <v>44163</v>
      </c>
      <c r="G2125" s="13" t="s">
        <v>3</v>
      </c>
      <c r="H2125" s="13" t="s">
        <v>4</v>
      </c>
      <c r="I2125" s="15">
        <v>-5160.8999999999996</v>
      </c>
      <c r="J2125" s="13" t="s">
        <v>5</v>
      </c>
      <c r="K2125" s="13" t="s">
        <v>6</v>
      </c>
      <c r="L2125" s="15">
        <v>-433257.56</v>
      </c>
      <c r="M2125" s="15">
        <v>-5160.8999999999996</v>
      </c>
      <c r="N2125" s="16" t="str">
        <f>IF(M2125="","",IF(M2125&lt;0,-M2125&amp;"_"&amp;COUNTIF(M$2:M2125,M2125),M2125&amp;"_"&amp;COUNTIF(M$2:M2125,M2125)))</f>
        <v>5160.9_1</v>
      </c>
      <c r="O2125" s="17" t="str">
        <f t="shared" si="33"/>
        <v/>
      </c>
      <c r="P2125" s="13" t="s">
        <v>1448</v>
      </c>
      <c r="Q2125" s="13" t="s">
        <v>1444</v>
      </c>
      <c r="R2125" s="13" t="s">
        <v>0</v>
      </c>
      <c r="S2125" s="13" t="s">
        <v>0</v>
      </c>
      <c r="T2125" s="13" t="s">
        <v>9</v>
      </c>
      <c r="U2125" s="13" t="s">
        <v>0</v>
      </c>
      <c r="V2125" s="13" t="s">
        <v>0</v>
      </c>
      <c r="W2125" s="13" t="s">
        <v>0</v>
      </c>
      <c r="X2125" s="13" t="s">
        <v>0</v>
      </c>
      <c r="Y2125" s="13" t="s">
        <v>10</v>
      </c>
      <c r="Z2125" s="13" t="s">
        <v>0</v>
      </c>
      <c r="AA2125" s="14"/>
      <c r="AB2125" s="13" t="s">
        <v>0</v>
      </c>
      <c r="AC2125" s="13" t="s">
        <v>0</v>
      </c>
      <c r="AD2125" s="13" t="s">
        <v>0</v>
      </c>
      <c r="AE2125" s="15">
        <v>0</v>
      </c>
    </row>
    <row r="2126" spans="1:31" ht="14.15" customHeight="1" x14ac:dyDescent="0.25">
      <c r="A2126" s="12" t="s">
        <v>0</v>
      </c>
      <c r="B2126" s="13" t="s">
        <v>1</v>
      </c>
      <c r="C2126" s="13" t="s">
        <v>1489</v>
      </c>
      <c r="D2126" s="14">
        <v>44160</v>
      </c>
      <c r="E2126" s="14">
        <v>44160</v>
      </c>
      <c r="F2126" s="14">
        <v>44165</v>
      </c>
      <c r="G2126" s="13" t="s">
        <v>3</v>
      </c>
      <c r="H2126" s="13" t="s">
        <v>4</v>
      </c>
      <c r="I2126" s="15">
        <v>-5151.8500000000004</v>
      </c>
      <c r="J2126" s="13" t="s">
        <v>5</v>
      </c>
      <c r="K2126" s="13" t="s">
        <v>6</v>
      </c>
      <c r="L2126" s="15">
        <v>-432497.81</v>
      </c>
      <c r="M2126" s="15">
        <v>-5151.8500000000004</v>
      </c>
      <c r="N2126" s="16" t="str">
        <f>IF(M2126="","",IF(M2126&lt;0,-M2126&amp;"_"&amp;COUNTIF(M$2:M2126,M2126),M2126&amp;"_"&amp;COUNTIF(M$2:M2126,M2126)))</f>
        <v>5151.85_1</v>
      </c>
      <c r="O2126" s="17" t="str">
        <f t="shared" si="33"/>
        <v/>
      </c>
      <c r="P2126" s="13" t="s">
        <v>1490</v>
      </c>
      <c r="Q2126" s="13" t="s">
        <v>1470</v>
      </c>
      <c r="R2126" s="13" t="s">
        <v>0</v>
      </c>
      <c r="S2126" s="13" t="s">
        <v>0</v>
      </c>
      <c r="T2126" s="13" t="s">
        <v>9</v>
      </c>
      <c r="U2126" s="13" t="s">
        <v>0</v>
      </c>
      <c r="V2126" s="13" t="s">
        <v>0</v>
      </c>
      <c r="W2126" s="13" t="s">
        <v>0</v>
      </c>
      <c r="X2126" s="13" t="s">
        <v>0</v>
      </c>
      <c r="Y2126" s="13" t="s">
        <v>10</v>
      </c>
      <c r="Z2126" s="13" t="s">
        <v>0</v>
      </c>
      <c r="AA2126" s="14"/>
      <c r="AB2126" s="13" t="s">
        <v>0</v>
      </c>
      <c r="AC2126" s="13" t="s">
        <v>0</v>
      </c>
      <c r="AD2126" s="13" t="s">
        <v>0</v>
      </c>
      <c r="AE2126" s="15">
        <v>0</v>
      </c>
    </row>
    <row r="2127" spans="1:31" ht="14.15" customHeight="1" x14ac:dyDescent="0.25">
      <c r="A2127" s="12" t="s">
        <v>0</v>
      </c>
      <c r="B2127" s="13" t="s">
        <v>1</v>
      </c>
      <c r="C2127" s="13" t="s">
        <v>4263</v>
      </c>
      <c r="D2127" s="14">
        <v>44369</v>
      </c>
      <c r="E2127" s="14">
        <v>44369</v>
      </c>
      <c r="F2127" s="14">
        <v>44373</v>
      </c>
      <c r="G2127" s="13" t="s">
        <v>3</v>
      </c>
      <c r="H2127" s="13" t="s">
        <v>4</v>
      </c>
      <c r="I2127" s="15">
        <v>-5150.18</v>
      </c>
      <c r="J2127" s="13" t="s">
        <v>5</v>
      </c>
      <c r="K2127" s="13" t="s">
        <v>6</v>
      </c>
      <c r="L2127" s="15">
        <v>-432357.61</v>
      </c>
      <c r="M2127" s="15">
        <v>-5150.18</v>
      </c>
      <c r="N2127" s="16" t="str">
        <f>IF(M2127="","",IF(M2127&lt;0,-M2127&amp;"_"&amp;COUNTIF(M$2:M2127,M2127),M2127&amp;"_"&amp;COUNTIF(M$2:M2127,M2127)))</f>
        <v>5150.18_1</v>
      </c>
      <c r="O2127" s="17" t="str">
        <f t="shared" si="33"/>
        <v/>
      </c>
      <c r="P2127" s="13" t="s">
        <v>4264</v>
      </c>
      <c r="Q2127" s="13" t="s">
        <v>4248</v>
      </c>
      <c r="R2127" s="13" t="s">
        <v>0</v>
      </c>
      <c r="S2127" s="13" t="s">
        <v>0</v>
      </c>
      <c r="T2127" s="13" t="s">
        <v>9</v>
      </c>
      <c r="U2127" s="13" t="s">
        <v>0</v>
      </c>
      <c r="V2127" s="13" t="s">
        <v>0</v>
      </c>
      <c r="W2127" s="13" t="s">
        <v>0</v>
      </c>
      <c r="X2127" s="13" t="s">
        <v>0</v>
      </c>
      <c r="Y2127" s="13" t="s">
        <v>10</v>
      </c>
      <c r="Z2127" s="13" t="s">
        <v>0</v>
      </c>
      <c r="AA2127" s="14"/>
      <c r="AB2127" s="13" t="s">
        <v>0</v>
      </c>
      <c r="AC2127" s="13" t="s">
        <v>0</v>
      </c>
      <c r="AD2127" s="13" t="s">
        <v>0</v>
      </c>
      <c r="AE2127" s="15">
        <v>0</v>
      </c>
    </row>
    <row r="2128" spans="1:31" ht="14.15" customHeight="1" x14ac:dyDescent="0.25">
      <c r="A2128" s="12" t="s">
        <v>0</v>
      </c>
      <c r="B2128" s="13" t="s">
        <v>1</v>
      </c>
      <c r="C2128" s="13" t="s">
        <v>926</v>
      </c>
      <c r="D2128" s="14">
        <v>44117</v>
      </c>
      <c r="E2128" s="14">
        <v>44117</v>
      </c>
      <c r="F2128" s="14">
        <v>44126</v>
      </c>
      <c r="G2128" s="13" t="s">
        <v>3</v>
      </c>
      <c r="H2128" s="13" t="s">
        <v>4</v>
      </c>
      <c r="I2128" s="15">
        <v>-5143.57</v>
      </c>
      <c r="J2128" s="13" t="s">
        <v>5</v>
      </c>
      <c r="K2128" s="13" t="s">
        <v>6</v>
      </c>
      <c r="L2128" s="15">
        <v>-431802.7</v>
      </c>
      <c r="M2128" s="15">
        <v>-5143.57</v>
      </c>
      <c r="N2128" s="16" t="str">
        <f>IF(M2128="","",IF(M2128&lt;0,-M2128&amp;"_"&amp;COUNTIF(M$2:M2128,M2128),M2128&amp;"_"&amp;COUNTIF(M$2:M2128,M2128)))</f>
        <v>5143.57_1</v>
      </c>
      <c r="O2128" s="17" t="str">
        <f t="shared" si="33"/>
        <v/>
      </c>
      <c r="P2128" s="13" t="s">
        <v>927</v>
      </c>
      <c r="Q2128" s="13" t="s">
        <v>917</v>
      </c>
      <c r="R2128" s="13" t="s">
        <v>0</v>
      </c>
      <c r="S2128" s="13" t="s">
        <v>0</v>
      </c>
      <c r="T2128" s="13" t="s">
        <v>9</v>
      </c>
      <c r="U2128" s="13" t="s">
        <v>0</v>
      </c>
      <c r="V2128" s="13" t="s">
        <v>0</v>
      </c>
      <c r="W2128" s="13" t="s">
        <v>0</v>
      </c>
      <c r="X2128" s="13" t="s">
        <v>0</v>
      </c>
      <c r="Y2128" s="13" t="s">
        <v>10</v>
      </c>
      <c r="Z2128" s="13" t="s">
        <v>0</v>
      </c>
      <c r="AA2128" s="14"/>
      <c r="AB2128" s="13" t="s">
        <v>0</v>
      </c>
      <c r="AC2128" s="13" t="s">
        <v>0</v>
      </c>
      <c r="AD2128" s="13" t="s">
        <v>0</v>
      </c>
      <c r="AE2128" s="15">
        <v>0</v>
      </c>
    </row>
    <row r="2129" spans="1:31" ht="14.15" customHeight="1" x14ac:dyDescent="0.25">
      <c r="A2129" s="12" t="s">
        <v>0</v>
      </c>
      <c r="B2129" s="13" t="s">
        <v>1</v>
      </c>
      <c r="C2129" s="13" t="s">
        <v>4039</v>
      </c>
      <c r="D2129" s="14">
        <v>44358</v>
      </c>
      <c r="E2129" s="14">
        <v>44358</v>
      </c>
      <c r="F2129" s="14">
        <v>44364</v>
      </c>
      <c r="G2129" s="13" t="s">
        <v>3</v>
      </c>
      <c r="H2129" s="13" t="s">
        <v>4</v>
      </c>
      <c r="I2129" s="15">
        <v>-5122.0200000000004</v>
      </c>
      <c r="J2129" s="13" t="s">
        <v>5</v>
      </c>
      <c r="K2129" s="13" t="s">
        <v>6</v>
      </c>
      <c r="L2129" s="15">
        <v>-429993.58</v>
      </c>
      <c r="M2129" s="15">
        <v>-5122.0200000000004</v>
      </c>
      <c r="N2129" s="16" t="str">
        <f>IF(M2129="","",IF(M2129&lt;0,-M2129&amp;"_"&amp;COUNTIF(M$2:M2129,M2129),M2129&amp;"_"&amp;COUNTIF(M$2:M2129,M2129)))</f>
        <v>5122.02_1</v>
      </c>
      <c r="O2129" s="17" t="str">
        <f t="shared" si="33"/>
        <v/>
      </c>
      <c r="P2129" s="13" t="s">
        <v>4040</v>
      </c>
      <c r="Q2129" s="13" t="s">
        <v>4006</v>
      </c>
      <c r="R2129" s="13" t="s">
        <v>0</v>
      </c>
      <c r="S2129" s="13" t="s">
        <v>0</v>
      </c>
      <c r="T2129" s="13" t="s">
        <v>9</v>
      </c>
      <c r="U2129" s="13" t="s">
        <v>0</v>
      </c>
      <c r="V2129" s="13" t="s">
        <v>0</v>
      </c>
      <c r="W2129" s="13" t="s">
        <v>0</v>
      </c>
      <c r="X2129" s="13" t="s">
        <v>0</v>
      </c>
      <c r="Y2129" s="13" t="s">
        <v>10</v>
      </c>
      <c r="Z2129" s="13" t="s">
        <v>0</v>
      </c>
      <c r="AA2129" s="14"/>
      <c r="AB2129" s="13" t="s">
        <v>0</v>
      </c>
      <c r="AC2129" s="13" t="s">
        <v>0</v>
      </c>
      <c r="AD2129" s="13" t="s">
        <v>0</v>
      </c>
      <c r="AE2129" s="15">
        <v>0</v>
      </c>
    </row>
    <row r="2130" spans="1:31" ht="14.15" customHeight="1" x14ac:dyDescent="0.25">
      <c r="A2130" s="12" t="s">
        <v>0</v>
      </c>
      <c r="B2130" s="13" t="s">
        <v>1</v>
      </c>
      <c r="C2130" s="13" t="s">
        <v>3796</v>
      </c>
      <c r="D2130" s="14">
        <v>44344</v>
      </c>
      <c r="E2130" s="14">
        <v>44344</v>
      </c>
      <c r="F2130" s="14">
        <v>44348</v>
      </c>
      <c r="G2130" s="13" t="s">
        <v>3</v>
      </c>
      <c r="H2130" s="13" t="s">
        <v>4</v>
      </c>
      <c r="I2130" s="15">
        <v>-5109.38</v>
      </c>
      <c r="J2130" s="13" t="s">
        <v>5</v>
      </c>
      <c r="K2130" s="13" t="s">
        <v>6</v>
      </c>
      <c r="L2130" s="15">
        <v>-428932.45</v>
      </c>
      <c r="M2130" s="15">
        <v>-5109.38</v>
      </c>
      <c r="N2130" s="16" t="str">
        <f>IF(M2130="","",IF(M2130&lt;0,-M2130&amp;"_"&amp;COUNTIF(M$2:M2130,M2130),M2130&amp;"_"&amp;COUNTIF(M$2:M2130,M2130)))</f>
        <v>5109.38_1</v>
      </c>
      <c r="O2130" s="17" t="str">
        <f t="shared" si="33"/>
        <v/>
      </c>
      <c r="P2130" s="13" t="s">
        <v>3797</v>
      </c>
      <c r="Q2130" s="13" t="s">
        <v>3778</v>
      </c>
      <c r="R2130" s="13" t="s">
        <v>0</v>
      </c>
      <c r="S2130" s="13" t="s">
        <v>0</v>
      </c>
      <c r="T2130" s="13" t="s">
        <v>9</v>
      </c>
      <c r="U2130" s="13" t="s">
        <v>0</v>
      </c>
      <c r="V2130" s="13" t="s">
        <v>0</v>
      </c>
      <c r="W2130" s="13" t="s">
        <v>0</v>
      </c>
      <c r="X2130" s="13" t="s">
        <v>0</v>
      </c>
      <c r="Y2130" s="13" t="s">
        <v>10</v>
      </c>
      <c r="Z2130" s="13" t="s">
        <v>0</v>
      </c>
      <c r="AA2130" s="14"/>
      <c r="AB2130" s="13" t="s">
        <v>0</v>
      </c>
      <c r="AC2130" s="13" t="s">
        <v>0</v>
      </c>
      <c r="AD2130" s="13" t="s">
        <v>0</v>
      </c>
      <c r="AE2130" s="15">
        <v>0</v>
      </c>
    </row>
    <row r="2131" spans="1:31" ht="14.15" customHeight="1" x14ac:dyDescent="0.25">
      <c r="A2131" s="12" t="s">
        <v>0</v>
      </c>
      <c r="B2131" s="13" t="s">
        <v>1</v>
      </c>
      <c r="C2131" s="13" t="s">
        <v>3813</v>
      </c>
      <c r="D2131" s="14">
        <v>44346</v>
      </c>
      <c r="E2131" s="14">
        <v>44346</v>
      </c>
      <c r="F2131" s="14">
        <v>44348</v>
      </c>
      <c r="G2131" s="13" t="s">
        <v>3</v>
      </c>
      <c r="H2131" s="13" t="s">
        <v>4</v>
      </c>
      <c r="I2131" s="15">
        <v>-5109.38</v>
      </c>
      <c r="J2131" s="13" t="s">
        <v>5</v>
      </c>
      <c r="K2131" s="13" t="s">
        <v>6</v>
      </c>
      <c r="L2131" s="15">
        <v>-428932.45</v>
      </c>
      <c r="M2131" s="15">
        <v>-5109.38</v>
      </c>
      <c r="N2131" s="16" t="str">
        <f>IF(M2131="","",IF(M2131&lt;0,-M2131&amp;"_"&amp;COUNTIF(M$2:M2131,M2131),M2131&amp;"_"&amp;COUNTIF(M$2:M2131,M2131)))</f>
        <v>5109.38_2</v>
      </c>
      <c r="O2131" s="17" t="str">
        <f t="shared" si="33"/>
        <v/>
      </c>
      <c r="P2131" s="13" t="s">
        <v>3814</v>
      </c>
      <c r="Q2131" s="13" t="s">
        <v>3812</v>
      </c>
      <c r="R2131" s="13" t="s">
        <v>0</v>
      </c>
      <c r="S2131" s="13" t="s">
        <v>0</v>
      </c>
      <c r="T2131" s="13" t="s">
        <v>9</v>
      </c>
      <c r="U2131" s="13" t="s">
        <v>0</v>
      </c>
      <c r="V2131" s="13" t="s">
        <v>0</v>
      </c>
      <c r="W2131" s="13" t="s">
        <v>0</v>
      </c>
      <c r="X2131" s="13" t="s">
        <v>0</v>
      </c>
      <c r="Y2131" s="13" t="s">
        <v>10</v>
      </c>
      <c r="Z2131" s="13" t="s">
        <v>0</v>
      </c>
      <c r="AA2131" s="14"/>
      <c r="AB2131" s="13" t="s">
        <v>0</v>
      </c>
      <c r="AC2131" s="13" t="s">
        <v>0</v>
      </c>
      <c r="AD2131" s="13" t="s">
        <v>0</v>
      </c>
      <c r="AE2131" s="15">
        <v>0</v>
      </c>
    </row>
    <row r="2132" spans="1:31" ht="14.15" customHeight="1" x14ac:dyDescent="0.25">
      <c r="A2132" s="12" t="s">
        <v>0</v>
      </c>
      <c r="B2132" s="13" t="s">
        <v>1</v>
      </c>
      <c r="C2132" s="13" t="s">
        <v>2452</v>
      </c>
      <c r="D2132" s="14">
        <v>44231</v>
      </c>
      <c r="E2132" s="14">
        <v>44231</v>
      </c>
      <c r="F2132" s="14">
        <v>44237</v>
      </c>
      <c r="G2132" s="13" t="s">
        <v>3</v>
      </c>
      <c r="H2132" s="13" t="s">
        <v>4</v>
      </c>
      <c r="I2132" s="15">
        <v>-5106.8500000000004</v>
      </c>
      <c r="J2132" s="13" t="s">
        <v>5</v>
      </c>
      <c r="K2132" s="13" t="s">
        <v>6</v>
      </c>
      <c r="L2132" s="15">
        <v>-428720.06</v>
      </c>
      <c r="M2132" s="15">
        <v>-5106.8500000000004</v>
      </c>
      <c r="N2132" s="16" t="str">
        <f>IF(M2132="","",IF(M2132&lt;0,-M2132&amp;"_"&amp;COUNTIF(M$2:M2132,M2132),M2132&amp;"_"&amp;COUNTIF(M$2:M2132,M2132)))</f>
        <v>5106.85_1</v>
      </c>
      <c r="O2132" s="17" t="str">
        <f t="shared" si="33"/>
        <v/>
      </c>
      <c r="P2132" s="13" t="s">
        <v>2453</v>
      </c>
      <c r="Q2132" s="13" t="s">
        <v>2427</v>
      </c>
      <c r="R2132" s="13" t="s">
        <v>0</v>
      </c>
      <c r="S2132" s="13" t="s">
        <v>0</v>
      </c>
      <c r="T2132" s="13" t="s">
        <v>9</v>
      </c>
      <c r="U2132" s="13" t="s">
        <v>0</v>
      </c>
      <c r="V2132" s="13" t="s">
        <v>0</v>
      </c>
      <c r="W2132" s="13" t="s">
        <v>0</v>
      </c>
      <c r="X2132" s="13" t="s">
        <v>0</v>
      </c>
      <c r="Y2132" s="13" t="s">
        <v>10</v>
      </c>
      <c r="Z2132" s="13" t="s">
        <v>0</v>
      </c>
      <c r="AA2132" s="14"/>
      <c r="AB2132" s="13" t="s">
        <v>0</v>
      </c>
      <c r="AC2132" s="13" t="s">
        <v>0</v>
      </c>
      <c r="AD2132" s="13" t="s">
        <v>0</v>
      </c>
      <c r="AE2132" s="15">
        <v>0</v>
      </c>
    </row>
    <row r="2133" spans="1:31" ht="14.15" customHeight="1" x14ac:dyDescent="0.25">
      <c r="A2133" s="12" t="s">
        <v>0</v>
      </c>
      <c r="B2133" s="13" t="s">
        <v>1</v>
      </c>
      <c r="C2133" s="13" t="s">
        <v>739</v>
      </c>
      <c r="D2133" s="14">
        <v>44095</v>
      </c>
      <c r="E2133" s="14">
        <v>44095</v>
      </c>
      <c r="F2133" s="14">
        <v>44100</v>
      </c>
      <c r="G2133" s="13" t="s">
        <v>3</v>
      </c>
      <c r="H2133" s="13" t="s">
        <v>4</v>
      </c>
      <c r="I2133" s="15">
        <v>-5100.96</v>
      </c>
      <c r="J2133" s="13" t="s">
        <v>5</v>
      </c>
      <c r="K2133" s="13" t="s">
        <v>6</v>
      </c>
      <c r="L2133" s="15">
        <v>-428225.59</v>
      </c>
      <c r="M2133" s="15">
        <v>-5100.96</v>
      </c>
      <c r="N2133" s="16" t="str">
        <f>IF(M2133="","",IF(M2133&lt;0,-M2133&amp;"_"&amp;COUNTIF(M$2:M2133,M2133),M2133&amp;"_"&amp;COUNTIF(M$2:M2133,M2133)))</f>
        <v>5100.96_1</v>
      </c>
      <c r="O2133" s="17" t="str">
        <f t="shared" si="33"/>
        <v/>
      </c>
      <c r="P2133" s="13" t="s">
        <v>740</v>
      </c>
      <c r="Q2133" s="13" t="s">
        <v>726</v>
      </c>
      <c r="R2133" s="13" t="s">
        <v>0</v>
      </c>
      <c r="S2133" s="13" t="s">
        <v>0</v>
      </c>
      <c r="T2133" s="13" t="s">
        <v>9</v>
      </c>
      <c r="U2133" s="13" t="s">
        <v>0</v>
      </c>
      <c r="V2133" s="13" t="s">
        <v>0</v>
      </c>
      <c r="W2133" s="13" t="s">
        <v>0</v>
      </c>
      <c r="X2133" s="13" t="s">
        <v>0</v>
      </c>
      <c r="Y2133" s="13" t="s">
        <v>10</v>
      </c>
      <c r="Z2133" s="13" t="s">
        <v>0</v>
      </c>
      <c r="AA2133" s="14"/>
      <c r="AB2133" s="13" t="s">
        <v>0</v>
      </c>
      <c r="AC2133" s="13" t="s">
        <v>0</v>
      </c>
      <c r="AD2133" s="13" t="s">
        <v>0</v>
      </c>
      <c r="AE2133" s="15">
        <v>0</v>
      </c>
    </row>
    <row r="2134" spans="1:31" ht="14.15" customHeight="1" x14ac:dyDescent="0.25">
      <c r="A2134" s="12" t="s">
        <v>0</v>
      </c>
      <c r="B2134" s="13" t="s">
        <v>1</v>
      </c>
      <c r="C2134" s="13" t="s">
        <v>1514</v>
      </c>
      <c r="D2134" s="14">
        <v>44164</v>
      </c>
      <c r="E2134" s="14">
        <v>44164</v>
      </c>
      <c r="F2134" s="14">
        <v>44166</v>
      </c>
      <c r="G2134" s="13" t="s">
        <v>3</v>
      </c>
      <c r="H2134" s="13" t="s">
        <v>4</v>
      </c>
      <c r="I2134" s="15">
        <v>-5095.07</v>
      </c>
      <c r="J2134" s="13" t="s">
        <v>5</v>
      </c>
      <c r="K2134" s="13" t="s">
        <v>6</v>
      </c>
      <c r="L2134" s="15">
        <v>-427731.13</v>
      </c>
      <c r="M2134" s="15">
        <v>-5095.07</v>
      </c>
      <c r="N2134" s="16" t="str">
        <f>IF(M2134="","",IF(M2134&lt;0,-M2134&amp;"_"&amp;COUNTIF(M$2:M2134,M2134),M2134&amp;"_"&amp;COUNTIF(M$2:M2134,M2134)))</f>
        <v>5095.07_1</v>
      </c>
      <c r="O2134" s="17" t="str">
        <f t="shared" si="33"/>
        <v/>
      </c>
      <c r="P2134" s="13" t="s">
        <v>1515</v>
      </c>
      <c r="Q2134" s="13" t="s">
        <v>1516</v>
      </c>
      <c r="R2134" s="13" t="s">
        <v>0</v>
      </c>
      <c r="S2134" s="13" t="s">
        <v>0</v>
      </c>
      <c r="T2134" s="13" t="s">
        <v>9</v>
      </c>
      <c r="U2134" s="13" t="s">
        <v>0</v>
      </c>
      <c r="V2134" s="13" t="s">
        <v>0</v>
      </c>
      <c r="W2134" s="13" t="s">
        <v>0</v>
      </c>
      <c r="X2134" s="13" t="s">
        <v>0</v>
      </c>
      <c r="Y2134" s="13" t="s">
        <v>10</v>
      </c>
      <c r="Z2134" s="13" t="s">
        <v>0</v>
      </c>
      <c r="AA2134" s="14"/>
      <c r="AB2134" s="13" t="s">
        <v>0</v>
      </c>
      <c r="AC2134" s="13" t="s">
        <v>0</v>
      </c>
      <c r="AD2134" s="13" t="s">
        <v>0</v>
      </c>
      <c r="AE2134" s="15">
        <v>0</v>
      </c>
    </row>
    <row r="2135" spans="1:31" ht="14.15" customHeight="1" x14ac:dyDescent="0.25">
      <c r="A2135" s="12" t="s">
        <v>0</v>
      </c>
      <c r="B2135" s="13" t="s">
        <v>1</v>
      </c>
      <c r="C2135" s="13" t="s">
        <v>620</v>
      </c>
      <c r="D2135" s="14">
        <v>44082</v>
      </c>
      <c r="E2135" s="14">
        <v>44082</v>
      </c>
      <c r="F2135" s="14">
        <v>44104</v>
      </c>
      <c r="G2135" s="13" t="s">
        <v>3</v>
      </c>
      <c r="H2135" s="13" t="s">
        <v>4</v>
      </c>
      <c r="I2135" s="15">
        <v>-5092.8999999999996</v>
      </c>
      <c r="J2135" s="13" t="s">
        <v>5</v>
      </c>
      <c r="K2135" s="13" t="s">
        <v>6</v>
      </c>
      <c r="L2135" s="15">
        <v>-427548.96</v>
      </c>
      <c r="M2135" s="15">
        <v>-5092.8999999999996</v>
      </c>
      <c r="N2135" s="16" t="str">
        <f>IF(M2135="","",IF(M2135&lt;0,-M2135&amp;"_"&amp;COUNTIF(M$2:M2135,M2135),M2135&amp;"_"&amp;COUNTIF(M$2:M2135,M2135)))</f>
        <v>5092.9_1</v>
      </c>
      <c r="O2135" s="17" t="str">
        <f t="shared" si="33"/>
        <v/>
      </c>
      <c r="P2135" s="13" t="s">
        <v>621</v>
      </c>
      <c r="Q2135" s="13" t="s">
        <v>603</v>
      </c>
      <c r="R2135" s="13" t="s">
        <v>0</v>
      </c>
      <c r="S2135" s="13" t="s">
        <v>0</v>
      </c>
      <c r="T2135" s="13" t="s">
        <v>9</v>
      </c>
      <c r="U2135" s="13" t="s">
        <v>0</v>
      </c>
      <c r="V2135" s="13" t="s">
        <v>0</v>
      </c>
      <c r="W2135" s="13" t="s">
        <v>0</v>
      </c>
      <c r="X2135" s="13" t="s">
        <v>0</v>
      </c>
      <c r="Y2135" s="13" t="s">
        <v>10</v>
      </c>
      <c r="Z2135" s="13" t="s">
        <v>0</v>
      </c>
      <c r="AA2135" s="14"/>
      <c r="AB2135" s="13" t="s">
        <v>0</v>
      </c>
      <c r="AC2135" s="13" t="s">
        <v>0</v>
      </c>
      <c r="AD2135" s="13" t="s">
        <v>0</v>
      </c>
      <c r="AE2135" s="15">
        <v>0</v>
      </c>
    </row>
    <row r="2136" spans="1:31" ht="14.15" customHeight="1" x14ac:dyDescent="0.25">
      <c r="A2136" s="12" t="s">
        <v>0</v>
      </c>
      <c r="B2136" s="13" t="s">
        <v>1</v>
      </c>
      <c r="C2136" s="13" t="s">
        <v>1248</v>
      </c>
      <c r="D2136" s="14">
        <v>44143</v>
      </c>
      <c r="E2136" s="14">
        <v>44143</v>
      </c>
      <c r="F2136" s="14">
        <v>44146</v>
      </c>
      <c r="G2136" s="13" t="s">
        <v>3</v>
      </c>
      <c r="H2136" s="13" t="s">
        <v>4</v>
      </c>
      <c r="I2136" s="15">
        <v>-5086.66</v>
      </c>
      <c r="J2136" s="13" t="s">
        <v>5</v>
      </c>
      <c r="K2136" s="13" t="s">
        <v>6</v>
      </c>
      <c r="L2136" s="15">
        <v>-427025.11</v>
      </c>
      <c r="M2136" s="15">
        <v>-5086.66</v>
      </c>
      <c r="N2136" s="16" t="str">
        <f>IF(M2136="","",IF(M2136&lt;0,-M2136&amp;"_"&amp;COUNTIF(M$2:M2136,M2136),M2136&amp;"_"&amp;COUNTIF(M$2:M2136,M2136)))</f>
        <v>5086.66_1</v>
      </c>
      <c r="O2136" s="17" t="str">
        <f t="shared" si="33"/>
        <v/>
      </c>
      <c r="P2136" s="13" t="s">
        <v>1249</v>
      </c>
      <c r="Q2136" s="13" t="s">
        <v>1245</v>
      </c>
      <c r="R2136" s="13" t="s">
        <v>0</v>
      </c>
      <c r="S2136" s="13" t="s">
        <v>0</v>
      </c>
      <c r="T2136" s="13" t="s">
        <v>9</v>
      </c>
      <c r="U2136" s="13" t="s">
        <v>0</v>
      </c>
      <c r="V2136" s="13" t="s">
        <v>0</v>
      </c>
      <c r="W2136" s="13" t="s">
        <v>0</v>
      </c>
      <c r="X2136" s="13" t="s">
        <v>0</v>
      </c>
      <c r="Y2136" s="13" t="s">
        <v>10</v>
      </c>
      <c r="Z2136" s="13" t="s">
        <v>0</v>
      </c>
      <c r="AA2136" s="14"/>
      <c r="AB2136" s="13" t="s">
        <v>0</v>
      </c>
      <c r="AC2136" s="13" t="s">
        <v>0</v>
      </c>
      <c r="AD2136" s="13" t="s">
        <v>0</v>
      </c>
      <c r="AE2136" s="15">
        <v>0</v>
      </c>
    </row>
    <row r="2137" spans="1:31" ht="14.15" customHeight="1" x14ac:dyDescent="0.25">
      <c r="A2137" s="12" t="s">
        <v>0</v>
      </c>
      <c r="B2137" s="13" t="s">
        <v>1</v>
      </c>
      <c r="C2137" s="13" t="s">
        <v>186</v>
      </c>
      <c r="D2137" s="14">
        <v>44034</v>
      </c>
      <c r="E2137" s="14">
        <v>44034</v>
      </c>
      <c r="F2137" s="14">
        <v>44040</v>
      </c>
      <c r="G2137" s="13" t="s">
        <v>3</v>
      </c>
      <c r="H2137" s="13" t="s">
        <v>4</v>
      </c>
      <c r="I2137" s="15">
        <v>-5068.95</v>
      </c>
      <c r="J2137" s="13" t="s">
        <v>5</v>
      </c>
      <c r="K2137" s="13" t="s">
        <v>6</v>
      </c>
      <c r="L2137" s="15">
        <v>-425538.35</v>
      </c>
      <c r="M2137" s="15">
        <v>-5068.95</v>
      </c>
      <c r="N2137" s="16" t="str">
        <f>IF(M2137="","",IF(M2137&lt;0,-M2137&amp;"_"&amp;COUNTIF(M$2:M2137,M2137),M2137&amp;"_"&amp;COUNTIF(M$2:M2137,M2137)))</f>
        <v>5068.95_1</v>
      </c>
      <c r="O2137" s="17" t="str">
        <f t="shared" si="33"/>
        <v/>
      </c>
      <c r="P2137" s="13" t="s">
        <v>187</v>
      </c>
      <c r="Q2137" s="13" t="s">
        <v>175</v>
      </c>
      <c r="R2137" s="13" t="s">
        <v>0</v>
      </c>
      <c r="S2137" s="13" t="s">
        <v>0</v>
      </c>
      <c r="T2137" s="13" t="s">
        <v>9</v>
      </c>
      <c r="U2137" s="13" t="s">
        <v>0</v>
      </c>
      <c r="V2137" s="13" t="s">
        <v>0</v>
      </c>
      <c r="W2137" s="13" t="s">
        <v>0</v>
      </c>
      <c r="X2137" s="13" t="s">
        <v>0</v>
      </c>
      <c r="Y2137" s="13" t="s">
        <v>10</v>
      </c>
      <c r="Z2137" s="13" t="s">
        <v>0</v>
      </c>
      <c r="AA2137" s="14"/>
      <c r="AB2137" s="13" t="s">
        <v>0</v>
      </c>
      <c r="AC2137" s="13" t="s">
        <v>0</v>
      </c>
      <c r="AD2137" s="13" t="s">
        <v>0</v>
      </c>
      <c r="AE2137" s="15">
        <v>0</v>
      </c>
    </row>
    <row r="2138" spans="1:31" ht="14.15" customHeight="1" x14ac:dyDescent="0.25">
      <c r="A2138" s="12" t="s">
        <v>0</v>
      </c>
      <c r="B2138" s="13" t="s">
        <v>1</v>
      </c>
      <c r="C2138" s="13" t="s">
        <v>3040</v>
      </c>
      <c r="D2138" s="14">
        <v>44282</v>
      </c>
      <c r="E2138" s="14">
        <v>44282</v>
      </c>
      <c r="F2138" s="14">
        <v>44287</v>
      </c>
      <c r="G2138" s="13" t="s">
        <v>3</v>
      </c>
      <c r="H2138" s="13" t="s">
        <v>4</v>
      </c>
      <c r="I2138" s="15">
        <v>-5068.37</v>
      </c>
      <c r="J2138" s="13" t="s">
        <v>5</v>
      </c>
      <c r="K2138" s="13" t="s">
        <v>6</v>
      </c>
      <c r="L2138" s="15">
        <v>-425489.66</v>
      </c>
      <c r="M2138" s="15">
        <v>-5068.37</v>
      </c>
      <c r="N2138" s="16" t="str">
        <f>IF(M2138="","",IF(M2138&lt;0,-M2138&amp;"_"&amp;COUNTIF(M$2:M2138,M2138),M2138&amp;"_"&amp;COUNTIF(M$2:M2138,M2138)))</f>
        <v>5068.37_1</v>
      </c>
      <c r="O2138" s="17" t="str">
        <f t="shared" si="33"/>
        <v/>
      </c>
      <c r="P2138" s="13" t="s">
        <v>3041</v>
      </c>
      <c r="Q2138" s="13" t="s">
        <v>3035</v>
      </c>
      <c r="R2138" s="13" t="s">
        <v>0</v>
      </c>
      <c r="S2138" s="13" t="s">
        <v>0</v>
      </c>
      <c r="T2138" s="13" t="s">
        <v>9</v>
      </c>
      <c r="U2138" s="13" t="s">
        <v>0</v>
      </c>
      <c r="V2138" s="13" t="s">
        <v>0</v>
      </c>
      <c r="W2138" s="13" t="s">
        <v>0</v>
      </c>
      <c r="X2138" s="13" t="s">
        <v>0</v>
      </c>
      <c r="Y2138" s="13" t="s">
        <v>10</v>
      </c>
      <c r="Z2138" s="13" t="s">
        <v>0</v>
      </c>
      <c r="AA2138" s="14"/>
      <c r="AB2138" s="13" t="s">
        <v>0</v>
      </c>
      <c r="AC2138" s="13" t="s">
        <v>0</v>
      </c>
      <c r="AD2138" s="13" t="s">
        <v>0</v>
      </c>
      <c r="AE2138" s="15">
        <v>0</v>
      </c>
    </row>
    <row r="2139" spans="1:31" ht="14.15" customHeight="1" x14ac:dyDescent="0.25">
      <c r="A2139" s="12" t="s">
        <v>0</v>
      </c>
      <c r="B2139" s="13" t="s">
        <v>1</v>
      </c>
      <c r="C2139" s="13" t="s">
        <v>2376</v>
      </c>
      <c r="D2139" s="14">
        <v>44227</v>
      </c>
      <c r="E2139" s="14">
        <v>44227</v>
      </c>
      <c r="F2139" s="14">
        <v>44231</v>
      </c>
      <c r="G2139" s="13" t="s">
        <v>3</v>
      </c>
      <c r="H2139" s="13" t="s">
        <v>4</v>
      </c>
      <c r="I2139" s="15">
        <v>-5057.54</v>
      </c>
      <c r="J2139" s="13" t="s">
        <v>5</v>
      </c>
      <c r="K2139" s="13" t="s">
        <v>6</v>
      </c>
      <c r="L2139" s="15">
        <v>-424580.48</v>
      </c>
      <c r="M2139" s="15">
        <v>-5057.54</v>
      </c>
      <c r="N2139" s="16" t="str">
        <f>IF(M2139="","",IF(M2139&lt;0,-M2139&amp;"_"&amp;COUNTIF(M$2:M2139,M2139),M2139&amp;"_"&amp;COUNTIF(M$2:M2139,M2139)))</f>
        <v>5057.54_1</v>
      </c>
      <c r="O2139" s="17" t="str">
        <f t="shared" si="33"/>
        <v/>
      </c>
      <c r="P2139" s="13" t="s">
        <v>2377</v>
      </c>
      <c r="Q2139" s="13" t="s">
        <v>2378</v>
      </c>
      <c r="R2139" s="13" t="s">
        <v>0</v>
      </c>
      <c r="S2139" s="13" t="s">
        <v>0</v>
      </c>
      <c r="T2139" s="13" t="s">
        <v>9</v>
      </c>
      <c r="U2139" s="13" t="s">
        <v>0</v>
      </c>
      <c r="V2139" s="13" t="s">
        <v>0</v>
      </c>
      <c r="W2139" s="13" t="s">
        <v>0</v>
      </c>
      <c r="X2139" s="13" t="s">
        <v>0</v>
      </c>
      <c r="Y2139" s="13" t="s">
        <v>10</v>
      </c>
      <c r="Z2139" s="13" t="s">
        <v>0</v>
      </c>
      <c r="AA2139" s="14"/>
      <c r="AB2139" s="13" t="s">
        <v>0</v>
      </c>
      <c r="AC2139" s="13" t="s">
        <v>0</v>
      </c>
      <c r="AD2139" s="13" t="s">
        <v>0</v>
      </c>
      <c r="AE2139" s="15">
        <v>0</v>
      </c>
    </row>
    <row r="2140" spans="1:31" ht="14.15" customHeight="1" x14ac:dyDescent="0.25">
      <c r="A2140" s="12" t="s">
        <v>0</v>
      </c>
      <c r="B2140" s="13" t="s">
        <v>1</v>
      </c>
      <c r="C2140" s="13" t="s">
        <v>2970</v>
      </c>
      <c r="D2140" s="14">
        <v>44278</v>
      </c>
      <c r="E2140" s="14">
        <v>44278</v>
      </c>
      <c r="F2140" s="14">
        <v>44286</v>
      </c>
      <c r="G2140" s="13" t="s">
        <v>3</v>
      </c>
      <c r="H2140" s="13" t="s">
        <v>4</v>
      </c>
      <c r="I2140" s="15">
        <v>-5052.57</v>
      </c>
      <c r="J2140" s="13" t="s">
        <v>5</v>
      </c>
      <c r="K2140" s="13" t="s">
        <v>6</v>
      </c>
      <c r="L2140" s="15">
        <v>-424163.25</v>
      </c>
      <c r="M2140" s="15">
        <v>-5052.57</v>
      </c>
      <c r="N2140" s="16" t="str">
        <f>IF(M2140="","",IF(M2140&lt;0,-M2140&amp;"_"&amp;COUNTIF(M$2:M2140,M2140),M2140&amp;"_"&amp;COUNTIF(M$2:M2140,M2140)))</f>
        <v>5052.57_1</v>
      </c>
      <c r="O2140" s="17" t="str">
        <f t="shared" si="33"/>
        <v/>
      </c>
      <c r="P2140" s="13" t="s">
        <v>2971</v>
      </c>
      <c r="Q2140" s="13" t="s">
        <v>2964</v>
      </c>
      <c r="R2140" s="13" t="s">
        <v>0</v>
      </c>
      <c r="S2140" s="13" t="s">
        <v>0</v>
      </c>
      <c r="T2140" s="13" t="s">
        <v>9</v>
      </c>
      <c r="U2140" s="13" t="s">
        <v>0</v>
      </c>
      <c r="V2140" s="13" t="s">
        <v>0</v>
      </c>
      <c r="W2140" s="13" t="s">
        <v>0</v>
      </c>
      <c r="X2140" s="13" t="s">
        <v>0</v>
      </c>
      <c r="Y2140" s="13" t="s">
        <v>10</v>
      </c>
      <c r="Z2140" s="13" t="s">
        <v>0</v>
      </c>
      <c r="AA2140" s="14"/>
      <c r="AB2140" s="13" t="s">
        <v>0</v>
      </c>
      <c r="AC2140" s="13" t="s">
        <v>0</v>
      </c>
      <c r="AD2140" s="13" t="s">
        <v>0</v>
      </c>
      <c r="AE2140" s="15">
        <v>0</v>
      </c>
    </row>
    <row r="2141" spans="1:31" ht="14.15" customHeight="1" x14ac:dyDescent="0.25">
      <c r="A2141" s="12" t="s">
        <v>0</v>
      </c>
      <c r="B2141" s="13" t="s">
        <v>289</v>
      </c>
      <c r="C2141" s="13" t="s">
        <v>3347</v>
      </c>
      <c r="D2141" s="14">
        <v>44316</v>
      </c>
      <c r="E2141" s="14">
        <v>44316</v>
      </c>
      <c r="F2141" s="14">
        <v>44322</v>
      </c>
      <c r="G2141" s="13" t="s">
        <v>48</v>
      </c>
      <c r="H2141" s="13" t="s">
        <v>4</v>
      </c>
      <c r="I2141" s="15">
        <v>-5042.6499999999996</v>
      </c>
      <c r="J2141" s="13" t="s">
        <v>5</v>
      </c>
      <c r="K2141" s="13" t="s">
        <v>6</v>
      </c>
      <c r="L2141" s="15">
        <v>-423330.47</v>
      </c>
      <c r="M2141" s="15">
        <v>-5042.6499999999996</v>
      </c>
      <c r="N2141" s="16" t="str">
        <f>IF(M2141="","",IF(M2141&lt;0,-M2141&amp;"_"&amp;COUNTIF(M$2:M2141,M2141),M2141&amp;"_"&amp;COUNTIF(M$2:M2141,M2141)))</f>
        <v>5042.65_1</v>
      </c>
      <c r="O2141" s="17" t="str">
        <f t="shared" si="33"/>
        <v/>
      </c>
      <c r="P2141" s="13" t="s">
        <v>3348</v>
      </c>
      <c r="Q2141" s="13" t="s">
        <v>3349</v>
      </c>
      <c r="R2141" s="13" t="s">
        <v>1994</v>
      </c>
      <c r="S2141" s="13" t="s">
        <v>0</v>
      </c>
      <c r="T2141" s="13" t="s">
        <v>9</v>
      </c>
      <c r="U2141" s="13" t="s">
        <v>1995</v>
      </c>
      <c r="V2141" s="13" t="s">
        <v>0</v>
      </c>
      <c r="W2141" s="13" t="s">
        <v>0</v>
      </c>
      <c r="X2141" s="13" t="s">
        <v>0</v>
      </c>
      <c r="Y2141" s="13" t="s">
        <v>0</v>
      </c>
      <c r="Z2141" s="13" t="s">
        <v>0</v>
      </c>
      <c r="AA2141" s="14"/>
      <c r="AB2141" s="13" t="s">
        <v>0</v>
      </c>
      <c r="AC2141" s="13" t="s">
        <v>0</v>
      </c>
      <c r="AD2141" s="13" t="s">
        <v>0</v>
      </c>
      <c r="AE2141" s="15">
        <v>0</v>
      </c>
    </row>
    <row r="2142" spans="1:31" ht="14.15" customHeight="1" x14ac:dyDescent="0.25">
      <c r="A2142" s="12" t="s">
        <v>0</v>
      </c>
      <c r="B2142" s="13" t="s">
        <v>1</v>
      </c>
      <c r="C2142" s="13" t="s">
        <v>1899</v>
      </c>
      <c r="D2142" s="14">
        <v>44189</v>
      </c>
      <c r="E2142" s="14">
        <v>44189</v>
      </c>
      <c r="F2142" s="14">
        <v>44198</v>
      </c>
      <c r="G2142" s="13" t="s">
        <v>3</v>
      </c>
      <c r="H2142" s="13" t="s">
        <v>4</v>
      </c>
      <c r="I2142" s="15">
        <v>-5025.8</v>
      </c>
      <c r="J2142" s="13" t="s">
        <v>5</v>
      </c>
      <c r="K2142" s="13" t="s">
        <v>6</v>
      </c>
      <c r="L2142" s="15">
        <v>-421915.91</v>
      </c>
      <c r="M2142" s="15">
        <v>-5025.8</v>
      </c>
      <c r="N2142" s="16" t="str">
        <f>IF(M2142="","",IF(M2142&lt;0,-M2142&amp;"_"&amp;COUNTIF(M$2:M2142,M2142),M2142&amp;"_"&amp;COUNTIF(M$2:M2142,M2142)))</f>
        <v>5025.8_1</v>
      </c>
      <c r="O2142" s="17" t="str">
        <f t="shared" si="33"/>
        <v/>
      </c>
      <c r="P2142" s="13" t="s">
        <v>1900</v>
      </c>
      <c r="Q2142" s="13" t="s">
        <v>1886</v>
      </c>
      <c r="R2142" s="13" t="s">
        <v>0</v>
      </c>
      <c r="S2142" s="13" t="s">
        <v>0</v>
      </c>
      <c r="T2142" s="13" t="s">
        <v>9</v>
      </c>
      <c r="U2142" s="13" t="s">
        <v>0</v>
      </c>
      <c r="V2142" s="13" t="s">
        <v>0</v>
      </c>
      <c r="W2142" s="13" t="s">
        <v>0</v>
      </c>
      <c r="X2142" s="13" t="s">
        <v>0</v>
      </c>
      <c r="Y2142" s="13" t="s">
        <v>10</v>
      </c>
      <c r="Z2142" s="13" t="s">
        <v>0</v>
      </c>
      <c r="AA2142" s="14"/>
      <c r="AB2142" s="13" t="s">
        <v>0</v>
      </c>
      <c r="AC2142" s="13" t="s">
        <v>0</v>
      </c>
      <c r="AD2142" s="13" t="s">
        <v>0</v>
      </c>
      <c r="AE2142" s="15">
        <v>0</v>
      </c>
    </row>
    <row r="2143" spans="1:31" ht="14.15" customHeight="1" x14ac:dyDescent="0.25">
      <c r="A2143" s="12" t="s">
        <v>0</v>
      </c>
      <c r="B2143" s="13" t="s">
        <v>1</v>
      </c>
      <c r="C2143" s="13" t="s">
        <v>2354</v>
      </c>
      <c r="D2143" s="14">
        <v>44224</v>
      </c>
      <c r="E2143" s="14">
        <v>44224</v>
      </c>
      <c r="F2143" s="14">
        <v>44229</v>
      </c>
      <c r="G2143" s="13" t="s">
        <v>3</v>
      </c>
      <c r="H2143" s="13" t="s">
        <v>4</v>
      </c>
      <c r="I2143" s="15">
        <v>-5025.8</v>
      </c>
      <c r="J2143" s="13" t="s">
        <v>5</v>
      </c>
      <c r="K2143" s="13" t="s">
        <v>6</v>
      </c>
      <c r="L2143" s="15">
        <v>-421915.91</v>
      </c>
      <c r="M2143" s="15">
        <v>-5025.8</v>
      </c>
      <c r="N2143" s="16" t="str">
        <f>IF(M2143="","",IF(M2143&lt;0,-M2143&amp;"_"&amp;COUNTIF(M$2:M2143,M2143),M2143&amp;"_"&amp;COUNTIF(M$2:M2143,M2143)))</f>
        <v>5025.8_2</v>
      </c>
      <c r="O2143" s="17" t="str">
        <f t="shared" si="33"/>
        <v/>
      </c>
      <c r="P2143" s="13" t="s">
        <v>2355</v>
      </c>
      <c r="Q2143" s="13" t="s">
        <v>2345</v>
      </c>
      <c r="R2143" s="13" t="s">
        <v>0</v>
      </c>
      <c r="S2143" s="13" t="s">
        <v>0</v>
      </c>
      <c r="T2143" s="13" t="s">
        <v>9</v>
      </c>
      <c r="U2143" s="13" t="s">
        <v>0</v>
      </c>
      <c r="V2143" s="13" t="s">
        <v>0</v>
      </c>
      <c r="W2143" s="13" t="s">
        <v>0</v>
      </c>
      <c r="X2143" s="13" t="s">
        <v>0</v>
      </c>
      <c r="Y2143" s="13" t="s">
        <v>10</v>
      </c>
      <c r="Z2143" s="13" t="s">
        <v>0</v>
      </c>
      <c r="AA2143" s="14"/>
      <c r="AB2143" s="13" t="s">
        <v>0</v>
      </c>
      <c r="AC2143" s="13" t="s">
        <v>0</v>
      </c>
      <c r="AD2143" s="13" t="s">
        <v>0</v>
      </c>
      <c r="AE2143" s="15">
        <v>0</v>
      </c>
    </row>
    <row r="2144" spans="1:31" ht="14.15" customHeight="1" x14ac:dyDescent="0.25">
      <c r="A2144" s="12" t="s">
        <v>0</v>
      </c>
      <c r="B2144" s="13" t="s">
        <v>289</v>
      </c>
      <c r="C2144" s="13" t="s">
        <v>1092</v>
      </c>
      <c r="D2144" s="14">
        <v>44135</v>
      </c>
      <c r="E2144" s="14">
        <v>44135</v>
      </c>
      <c r="F2144" s="14">
        <v>44143</v>
      </c>
      <c r="G2144" s="13" t="s">
        <v>48</v>
      </c>
      <c r="H2144" s="13" t="s">
        <v>4</v>
      </c>
      <c r="I2144" s="15">
        <v>-5011.32</v>
      </c>
      <c r="J2144" s="13" t="s">
        <v>5</v>
      </c>
      <c r="K2144" s="13" t="s">
        <v>6</v>
      </c>
      <c r="L2144" s="15">
        <v>-420700.31</v>
      </c>
      <c r="M2144" s="15">
        <v>-5011.32</v>
      </c>
      <c r="N2144" s="16" t="str">
        <f>IF(M2144="","",IF(M2144&lt;0,-M2144&amp;"_"&amp;COUNTIF(M$2:M2144,M2144),M2144&amp;"_"&amp;COUNTIF(M$2:M2144,M2144)))</f>
        <v>5011.32_1</v>
      </c>
      <c r="O2144" s="17" t="str">
        <f t="shared" si="33"/>
        <v/>
      </c>
      <c r="P2144" s="13" t="s">
        <v>1093</v>
      </c>
      <c r="Q2144" s="13" t="s">
        <v>1093</v>
      </c>
      <c r="R2144" s="13" t="s">
        <v>294</v>
      </c>
      <c r="S2144" s="13" t="s">
        <v>0</v>
      </c>
      <c r="T2144" s="13" t="s">
        <v>9</v>
      </c>
      <c r="U2144" s="13" t="s">
        <v>295</v>
      </c>
      <c r="V2144" s="13" t="s">
        <v>0</v>
      </c>
      <c r="W2144" s="13" t="s">
        <v>0</v>
      </c>
      <c r="X2144" s="13" t="s">
        <v>0</v>
      </c>
      <c r="Y2144" s="13" t="s">
        <v>291</v>
      </c>
      <c r="Z2144" s="13" t="s">
        <v>0</v>
      </c>
      <c r="AA2144" s="14"/>
      <c r="AB2144" s="13" t="s">
        <v>0</v>
      </c>
      <c r="AC2144" s="13" t="s">
        <v>0</v>
      </c>
      <c r="AD2144" s="13" t="s">
        <v>0</v>
      </c>
      <c r="AE2144" s="15">
        <v>0</v>
      </c>
    </row>
    <row r="2145" spans="1:31" ht="14.15" customHeight="1" x14ac:dyDescent="0.25">
      <c r="A2145" s="12" t="s">
        <v>0</v>
      </c>
      <c r="B2145" s="13" t="s">
        <v>1</v>
      </c>
      <c r="C2145" s="13" t="s">
        <v>3066</v>
      </c>
      <c r="D2145" s="14">
        <v>44284</v>
      </c>
      <c r="E2145" s="14">
        <v>44284</v>
      </c>
      <c r="F2145" s="14">
        <v>44290</v>
      </c>
      <c r="G2145" s="13" t="s">
        <v>3</v>
      </c>
      <c r="H2145" s="13" t="s">
        <v>4</v>
      </c>
      <c r="I2145" s="15">
        <v>-4996.63</v>
      </c>
      <c r="J2145" s="13" t="s">
        <v>5</v>
      </c>
      <c r="K2145" s="13" t="s">
        <v>6</v>
      </c>
      <c r="L2145" s="15">
        <v>-419467.09</v>
      </c>
      <c r="M2145" s="15">
        <v>-4996.63</v>
      </c>
      <c r="N2145" s="16" t="str">
        <f>IF(M2145="","",IF(M2145&lt;0,-M2145&amp;"_"&amp;COUNTIF(M$2:M2145,M2145),M2145&amp;"_"&amp;COUNTIF(M$2:M2145,M2145)))</f>
        <v>4996.63_1</v>
      </c>
      <c r="O2145" s="17" t="str">
        <f t="shared" si="33"/>
        <v/>
      </c>
      <c r="P2145" s="13" t="s">
        <v>3067</v>
      </c>
      <c r="Q2145" s="13" t="s">
        <v>3061</v>
      </c>
      <c r="R2145" s="13" t="s">
        <v>0</v>
      </c>
      <c r="S2145" s="13" t="s">
        <v>0</v>
      </c>
      <c r="T2145" s="13" t="s">
        <v>9</v>
      </c>
      <c r="U2145" s="13" t="s">
        <v>0</v>
      </c>
      <c r="V2145" s="13" t="s">
        <v>0</v>
      </c>
      <c r="W2145" s="13" t="s">
        <v>0</v>
      </c>
      <c r="X2145" s="13" t="s">
        <v>0</v>
      </c>
      <c r="Y2145" s="13" t="s">
        <v>10</v>
      </c>
      <c r="Z2145" s="13" t="s">
        <v>0</v>
      </c>
      <c r="AA2145" s="14"/>
      <c r="AB2145" s="13" t="s">
        <v>0</v>
      </c>
      <c r="AC2145" s="13" t="s">
        <v>0</v>
      </c>
      <c r="AD2145" s="13" t="s">
        <v>0</v>
      </c>
      <c r="AE2145" s="15">
        <v>0</v>
      </c>
    </row>
    <row r="2146" spans="1:31" ht="14.15" customHeight="1" x14ac:dyDescent="0.25">
      <c r="A2146" s="12" t="s">
        <v>0</v>
      </c>
      <c r="B2146" s="13" t="s">
        <v>1</v>
      </c>
      <c r="C2146" s="13" t="s">
        <v>3800</v>
      </c>
      <c r="D2146" s="14">
        <v>44344</v>
      </c>
      <c r="E2146" s="14">
        <v>44344</v>
      </c>
      <c r="F2146" s="14">
        <v>44348</v>
      </c>
      <c r="G2146" s="13" t="s">
        <v>3</v>
      </c>
      <c r="H2146" s="13" t="s">
        <v>4</v>
      </c>
      <c r="I2146" s="15">
        <v>-4996.45</v>
      </c>
      <c r="J2146" s="13" t="s">
        <v>5</v>
      </c>
      <c r="K2146" s="13" t="s">
        <v>6</v>
      </c>
      <c r="L2146" s="15">
        <v>-419451.98</v>
      </c>
      <c r="M2146" s="15">
        <v>-4996.45</v>
      </c>
      <c r="N2146" s="16" t="str">
        <f>IF(M2146="","",IF(M2146&lt;0,-M2146&amp;"_"&amp;COUNTIF(M$2:M2146,M2146),M2146&amp;"_"&amp;COUNTIF(M$2:M2146,M2146)))</f>
        <v>4996.45_1</v>
      </c>
      <c r="O2146" s="17" t="str">
        <f t="shared" si="33"/>
        <v/>
      </c>
      <c r="P2146" s="13" t="s">
        <v>3801</v>
      </c>
      <c r="Q2146" s="13" t="s">
        <v>3778</v>
      </c>
      <c r="R2146" s="13" t="s">
        <v>0</v>
      </c>
      <c r="S2146" s="13" t="s">
        <v>0</v>
      </c>
      <c r="T2146" s="13" t="s">
        <v>9</v>
      </c>
      <c r="U2146" s="13" t="s">
        <v>0</v>
      </c>
      <c r="V2146" s="13" t="s">
        <v>0</v>
      </c>
      <c r="W2146" s="13" t="s">
        <v>0</v>
      </c>
      <c r="X2146" s="13" t="s">
        <v>0</v>
      </c>
      <c r="Y2146" s="13" t="s">
        <v>10</v>
      </c>
      <c r="Z2146" s="13" t="s">
        <v>0</v>
      </c>
      <c r="AA2146" s="14"/>
      <c r="AB2146" s="13" t="s">
        <v>0</v>
      </c>
      <c r="AC2146" s="13" t="s">
        <v>0</v>
      </c>
      <c r="AD2146" s="13" t="s">
        <v>0</v>
      </c>
      <c r="AE2146" s="15">
        <v>0</v>
      </c>
    </row>
    <row r="2147" spans="1:31" ht="14.15" customHeight="1" x14ac:dyDescent="0.25">
      <c r="A2147" s="12" t="s">
        <v>0</v>
      </c>
      <c r="B2147" s="13" t="s">
        <v>1</v>
      </c>
      <c r="C2147" s="13" t="s">
        <v>967</v>
      </c>
      <c r="D2147" s="14">
        <v>44123</v>
      </c>
      <c r="E2147" s="14">
        <v>44123</v>
      </c>
      <c r="F2147" s="14">
        <v>44128</v>
      </c>
      <c r="G2147" s="13" t="s">
        <v>3</v>
      </c>
      <c r="H2147" s="13" t="s">
        <v>4</v>
      </c>
      <c r="I2147" s="15">
        <v>-4996.09</v>
      </c>
      <c r="J2147" s="13" t="s">
        <v>5</v>
      </c>
      <c r="K2147" s="13" t="s">
        <v>6</v>
      </c>
      <c r="L2147" s="15">
        <v>-419421.76</v>
      </c>
      <c r="M2147" s="15">
        <v>-4996.09</v>
      </c>
      <c r="N2147" s="16" t="str">
        <f>IF(M2147="","",IF(M2147&lt;0,-M2147&amp;"_"&amp;COUNTIF(M$2:M2147,M2147),M2147&amp;"_"&amp;COUNTIF(M$2:M2147,M2147)))</f>
        <v>4996.09_1</v>
      </c>
      <c r="O2147" s="17" t="str">
        <f t="shared" si="33"/>
        <v/>
      </c>
      <c r="P2147" s="13" t="s">
        <v>968</v>
      </c>
      <c r="Q2147" s="13" t="s">
        <v>958</v>
      </c>
      <c r="R2147" s="13" t="s">
        <v>0</v>
      </c>
      <c r="S2147" s="13" t="s">
        <v>0</v>
      </c>
      <c r="T2147" s="13" t="s">
        <v>9</v>
      </c>
      <c r="U2147" s="13" t="s">
        <v>0</v>
      </c>
      <c r="V2147" s="13" t="s">
        <v>0</v>
      </c>
      <c r="W2147" s="13" t="s">
        <v>0</v>
      </c>
      <c r="X2147" s="13" t="s">
        <v>0</v>
      </c>
      <c r="Y2147" s="13" t="s">
        <v>10</v>
      </c>
      <c r="Z2147" s="13" t="s">
        <v>0</v>
      </c>
      <c r="AA2147" s="14"/>
      <c r="AB2147" s="13" t="s">
        <v>0</v>
      </c>
      <c r="AC2147" s="13" t="s">
        <v>0</v>
      </c>
      <c r="AD2147" s="13" t="s">
        <v>0</v>
      </c>
      <c r="AE2147" s="15">
        <v>0</v>
      </c>
    </row>
    <row r="2148" spans="1:31" ht="14.15" customHeight="1" x14ac:dyDescent="0.25">
      <c r="A2148" s="12" t="s">
        <v>0</v>
      </c>
      <c r="B2148" s="13" t="s">
        <v>1</v>
      </c>
      <c r="C2148" s="13" t="s">
        <v>1941</v>
      </c>
      <c r="D2148" s="14">
        <v>44192</v>
      </c>
      <c r="E2148" s="14">
        <v>44192</v>
      </c>
      <c r="F2148" s="14">
        <v>44198</v>
      </c>
      <c r="G2148" s="13" t="s">
        <v>3</v>
      </c>
      <c r="H2148" s="13" t="s">
        <v>4</v>
      </c>
      <c r="I2148" s="15">
        <v>-4994.62</v>
      </c>
      <c r="J2148" s="13" t="s">
        <v>5</v>
      </c>
      <c r="K2148" s="13" t="s">
        <v>6</v>
      </c>
      <c r="L2148" s="15">
        <v>-419298.35</v>
      </c>
      <c r="M2148" s="15">
        <v>-4994.62</v>
      </c>
      <c r="N2148" s="16" t="str">
        <f>IF(M2148="","",IF(M2148&lt;0,-M2148&amp;"_"&amp;COUNTIF(M$2:M2148,M2148),M2148&amp;"_"&amp;COUNTIF(M$2:M2148,M2148)))</f>
        <v>4994.62_1</v>
      </c>
      <c r="O2148" s="17" t="str">
        <f t="shared" si="33"/>
        <v/>
      </c>
      <c r="P2148" s="13" t="s">
        <v>1942</v>
      </c>
      <c r="Q2148" s="13" t="s">
        <v>1932</v>
      </c>
      <c r="R2148" s="13" t="s">
        <v>0</v>
      </c>
      <c r="S2148" s="13" t="s">
        <v>0</v>
      </c>
      <c r="T2148" s="13" t="s">
        <v>9</v>
      </c>
      <c r="U2148" s="13" t="s">
        <v>0</v>
      </c>
      <c r="V2148" s="13" t="s">
        <v>0</v>
      </c>
      <c r="W2148" s="13" t="s">
        <v>0</v>
      </c>
      <c r="X2148" s="13" t="s">
        <v>0</v>
      </c>
      <c r="Y2148" s="13" t="s">
        <v>10</v>
      </c>
      <c r="Z2148" s="13" t="s">
        <v>0</v>
      </c>
      <c r="AA2148" s="14"/>
      <c r="AB2148" s="13" t="s">
        <v>0</v>
      </c>
      <c r="AC2148" s="13" t="s">
        <v>0</v>
      </c>
      <c r="AD2148" s="13" t="s">
        <v>0</v>
      </c>
      <c r="AE2148" s="15">
        <v>0</v>
      </c>
    </row>
    <row r="2149" spans="1:31" ht="14.15" customHeight="1" x14ac:dyDescent="0.25">
      <c r="A2149" s="12" t="s">
        <v>0</v>
      </c>
      <c r="B2149" s="13" t="s">
        <v>1</v>
      </c>
      <c r="C2149" s="13" t="s">
        <v>1458</v>
      </c>
      <c r="D2149" s="14">
        <v>44159</v>
      </c>
      <c r="E2149" s="14">
        <v>44159</v>
      </c>
      <c r="F2149" s="14">
        <v>44163</v>
      </c>
      <c r="G2149" s="13" t="s">
        <v>3</v>
      </c>
      <c r="H2149" s="13" t="s">
        <v>4</v>
      </c>
      <c r="I2149" s="15">
        <v>-4983.84</v>
      </c>
      <c r="J2149" s="13" t="s">
        <v>5</v>
      </c>
      <c r="K2149" s="13" t="s">
        <v>6</v>
      </c>
      <c r="L2149" s="15">
        <v>-418393.37</v>
      </c>
      <c r="M2149" s="15">
        <v>-4983.84</v>
      </c>
      <c r="N2149" s="16" t="str">
        <f>IF(M2149="","",IF(M2149&lt;0,-M2149&amp;"_"&amp;COUNTIF(M$2:M2149,M2149),M2149&amp;"_"&amp;COUNTIF(M$2:M2149,M2149)))</f>
        <v>4983.84_1</v>
      </c>
      <c r="O2149" s="17" t="str">
        <f t="shared" si="33"/>
        <v/>
      </c>
      <c r="P2149" s="13" t="s">
        <v>1459</v>
      </c>
      <c r="Q2149" s="13" t="s">
        <v>1455</v>
      </c>
      <c r="R2149" s="13" t="s">
        <v>0</v>
      </c>
      <c r="S2149" s="13" t="s">
        <v>0</v>
      </c>
      <c r="T2149" s="13" t="s">
        <v>9</v>
      </c>
      <c r="U2149" s="13" t="s">
        <v>0</v>
      </c>
      <c r="V2149" s="13" t="s">
        <v>0</v>
      </c>
      <c r="W2149" s="13" t="s">
        <v>0</v>
      </c>
      <c r="X2149" s="13" t="s">
        <v>0</v>
      </c>
      <c r="Y2149" s="13" t="s">
        <v>10</v>
      </c>
      <c r="Z2149" s="13" t="s">
        <v>0</v>
      </c>
      <c r="AA2149" s="14"/>
      <c r="AB2149" s="13" t="s">
        <v>0</v>
      </c>
      <c r="AC2149" s="13" t="s">
        <v>0</v>
      </c>
      <c r="AD2149" s="13" t="s">
        <v>0</v>
      </c>
      <c r="AE2149" s="15">
        <v>0</v>
      </c>
    </row>
    <row r="2150" spans="1:31" ht="14.15" customHeight="1" x14ac:dyDescent="0.25">
      <c r="A2150" s="12" t="s">
        <v>0</v>
      </c>
      <c r="B2150" s="13" t="s">
        <v>1</v>
      </c>
      <c r="C2150" s="13" t="s">
        <v>928</v>
      </c>
      <c r="D2150" s="14">
        <v>44117</v>
      </c>
      <c r="E2150" s="14">
        <v>44117</v>
      </c>
      <c r="F2150" s="14">
        <v>44126</v>
      </c>
      <c r="G2150" s="13" t="s">
        <v>3</v>
      </c>
      <c r="H2150" s="13" t="s">
        <v>4</v>
      </c>
      <c r="I2150" s="15">
        <v>-4980.12</v>
      </c>
      <c r="J2150" s="13" t="s">
        <v>5</v>
      </c>
      <c r="K2150" s="13" t="s">
        <v>6</v>
      </c>
      <c r="L2150" s="15">
        <v>-418081.07</v>
      </c>
      <c r="M2150" s="15">
        <v>-4980.12</v>
      </c>
      <c r="N2150" s="16" t="str">
        <f>IF(M2150="","",IF(M2150&lt;0,-M2150&amp;"_"&amp;COUNTIF(M$2:M2150,M2150),M2150&amp;"_"&amp;COUNTIF(M$2:M2150,M2150)))</f>
        <v>4980.12_1</v>
      </c>
      <c r="O2150" s="17" t="str">
        <f t="shared" si="33"/>
        <v/>
      </c>
      <c r="P2150" s="13" t="s">
        <v>929</v>
      </c>
      <c r="Q2150" s="13" t="s">
        <v>917</v>
      </c>
      <c r="R2150" s="13" t="s">
        <v>0</v>
      </c>
      <c r="S2150" s="13" t="s">
        <v>0</v>
      </c>
      <c r="T2150" s="13" t="s">
        <v>9</v>
      </c>
      <c r="U2150" s="13" t="s">
        <v>0</v>
      </c>
      <c r="V2150" s="13" t="s">
        <v>0</v>
      </c>
      <c r="W2150" s="13" t="s">
        <v>0</v>
      </c>
      <c r="X2150" s="13" t="s">
        <v>0</v>
      </c>
      <c r="Y2150" s="13" t="s">
        <v>10</v>
      </c>
      <c r="Z2150" s="13" t="s">
        <v>0</v>
      </c>
      <c r="AA2150" s="14"/>
      <c r="AB2150" s="13" t="s">
        <v>0</v>
      </c>
      <c r="AC2150" s="13" t="s">
        <v>0</v>
      </c>
      <c r="AD2150" s="13" t="s">
        <v>0</v>
      </c>
      <c r="AE2150" s="15">
        <v>0</v>
      </c>
    </row>
    <row r="2151" spans="1:31" ht="14.15" customHeight="1" x14ac:dyDescent="0.25">
      <c r="A2151" s="12" t="s">
        <v>0</v>
      </c>
      <c r="B2151" s="13" t="s">
        <v>1</v>
      </c>
      <c r="C2151" s="13" t="s">
        <v>4323</v>
      </c>
      <c r="D2151" s="14">
        <v>44373</v>
      </c>
      <c r="E2151" s="14">
        <v>44373</v>
      </c>
      <c r="F2151" s="14">
        <v>44376</v>
      </c>
      <c r="G2151" s="13" t="s">
        <v>3</v>
      </c>
      <c r="H2151" s="13" t="s">
        <v>4</v>
      </c>
      <c r="I2151" s="15">
        <v>-4970.51</v>
      </c>
      <c r="J2151" s="13" t="s">
        <v>5</v>
      </c>
      <c r="K2151" s="13" t="s">
        <v>6</v>
      </c>
      <c r="L2151" s="15">
        <v>-417274.31</v>
      </c>
      <c r="M2151" s="15">
        <v>-4970.51</v>
      </c>
      <c r="N2151" s="16" t="str">
        <f>IF(M2151="","",IF(M2151&lt;0,-M2151&amp;"_"&amp;COUNTIF(M$2:M2151,M2151),M2151&amp;"_"&amp;COUNTIF(M$2:M2151,M2151)))</f>
        <v>4970.51_1</v>
      </c>
      <c r="O2151" s="17" t="str">
        <f t="shared" si="33"/>
        <v/>
      </c>
      <c r="P2151" s="13" t="s">
        <v>4324</v>
      </c>
      <c r="Q2151" s="13" t="s">
        <v>4325</v>
      </c>
      <c r="R2151" s="13" t="s">
        <v>0</v>
      </c>
      <c r="S2151" s="13" t="s">
        <v>0</v>
      </c>
      <c r="T2151" s="13" t="s">
        <v>9</v>
      </c>
      <c r="U2151" s="13" t="s">
        <v>0</v>
      </c>
      <c r="V2151" s="13" t="s">
        <v>0</v>
      </c>
      <c r="W2151" s="13" t="s">
        <v>0</v>
      </c>
      <c r="X2151" s="13" t="s">
        <v>0</v>
      </c>
      <c r="Y2151" s="13" t="s">
        <v>10</v>
      </c>
      <c r="Z2151" s="13" t="s">
        <v>0</v>
      </c>
      <c r="AA2151" s="14"/>
      <c r="AB2151" s="13" t="s">
        <v>0</v>
      </c>
      <c r="AC2151" s="13" t="s">
        <v>0</v>
      </c>
      <c r="AD2151" s="13" t="s">
        <v>0</v>
      </c>
      <c r="AE2151" s="15">
        <v>0</v>
      </c>
    </row>
    <row r="2152" spans="1:31" ht="14.15" customHeight="1" x14ac:dyDescent="0.25">
      <c r="A2152" s="12" t="s">
        <v>0</v>
      </c>
      <c r="B2152" s="13" t="s">
        <v>1</v>
      </c>
      <c r="C2152" s="13" t="s">
        <v>3159</v>
      </c>
      <c r="D2152" s="14">
        <v>44297</v>
      </c>
      <c r="E2152" s="14">
        <v>44297</v>
      </c>
      <c r="F2152" s="14">
        <v>44308</v>
      </c>
      <c r="G2152" s="13" t="s">
        <v>3</v>
      </c>
      <c r="H2152" s="13" t="s">
        <v>4</v>
      </c>
      <c r="I2152" s="15">
        <v>-4965.0200000000004</v>
      </c>
      <c r="J2152" s="13" t="s">
        <v>5</v>
      </c>
      <c r="K2152" s="13" t="s">
        <v>6</v>
      </c>
      <c r="L2152" s="15">
        <v>-416813.43</v>
      </c>
      <c r="M2152" s="15">
        <v>-4965.0200000000004</v>
      </c>
      <c r="N2152" s="16" t="str">
        <f>IF(M2152="","",IF(M2152&lt;0,-M2152&amp;"_"&amp;COUNTIF(M$2:M2152,M2152),M2152&amp;"_"&amp;COUNTIF(M$2:M2152,M2152)))</f>
        <v>4965.02_1</v>
      </c>
      <c r="O2152" s="17" t="str">
        <f t="shared" si="33"/>
        <v/>
      </c>
      <c r="P2152" s="13" t="s">
        <v>3160</v>
      </c>
      <c r="Q2152" s="13" t="s">
        <v>3152</v>
      </c>
      <c r="R2152" s="13" t="s">
        <v>0</v>
      </c>
      <c r="S2152" s="13" t="s">
        <v>0</v>
      </c>
      <c r="T2152" s="13" t="s">
        <v>9</v>
      </c>
      <c r="U2152" s="13" t="s">
        <v>0</v>
      </c>
      <c r="V2152" s="13" t="s">
        <v>0</v>
      </c>
      <c r="W2152" s="13" t="s">
        <v>0</v>
      </c>
      <c r="X2152" s="13" t="s">
        <v>0</v>
      </c>
      <c r="Y2152" s="13" t="s">
        <v>10</v>
      </c>
      <c r="Z2152" s="13" t="s">
        <v>0</v>
      </c>
      <c r="AA2152" s="14"/>
      <c r="AB2152" s="13" t="s">
        <v>0</v>
      </c>
      <c r="AC2152" s="13" t="s">
        <v>0</v>
      </c>
      <c r="AD2152" s="13" t="s">
        <v>0</v>
      </c>
      <c r="AE2152" s="15">
        <v>0</v>
      </c>
    </row>
    <row r="2153" spans="1:31" ht="14.15" customHeight="1" x14ac:dyDescent="0.25">
      <c r="A2153" s="12" t="s">
        <v>0</v>
      </c>
      <c r="B2153" s="13" t="s">
        <v>1</v>
      </c>
      <c r="C2153" s="13" t="s">
        <v>4195</v>
      </c>
      <c r="D2153" s="14">
        <v>44364</v>
      </c>
      <c r="E2153" s="14">
        <v>44364</v>
      </c>
      <c r="F2153" s="14">
        <v>44370</v>
      </c>
      <c r="G2153" s="13" t="s">
        <v>3</v>
      </c>
      <c r="H2153" s="13" t="s">
        <v>4</v>
      </c>
      <c r="I2153" s="15">
        <v>-4963.3999999999996</v>
      </c>
      <c r="J2153" s="13" t="s">
        <v>5</v>
      </c>
      <c r="K2153" s="13" t="s">
        <v>6</v>
      </c>
      <c r="L2153" s="15">
        <v>-416677.43</v>
      </c>
      <c r="M2153" s="15">
        <v>-4963.3999999999996</v>
      </c>
      <c r="N2153" s="16" t="str">
        <f>IF(M2153="","",IF(M2153&lt;0,-M2153&amp;"_"&amp;COUNTIF(M$2:M2153,M2153),M2153&amp;"_"&amp;COUNTIF(M$2:M2153,M2153)))</f>
        <v>4963.4_1</v>
      </c>
      <c r="O2153" s="17" t="str">
        <f t="shared" si="33"/>
        <v/>
      </c>
      <c r="P2153" s="13" t="s">
        <v>4196</v>
      </c>
      <c r="Q2153" s="13" t="s">
        <v>4180</v>
      </c>
      <c r="R2153" s="13" t="s">
        <v>0</v>
      </c>
      <c r="S2153" s="13" t="s">
        <v>0</v>
      </c>
      <c r="T2153" s="13" t="s">
        <v>9</v>
      </c>
      <c r="U2153" s="13" t="s">
        <v>0</v>
      </c>
      <c r="V2153" s="13" t="s">
        <v>0</v>
      </c>
      <c r="W2153" s="13" t="s">
        <v>0</v>
      </c>
      <c r="X2153" s="13" t="s">
        <v>0</v>
      </c>
      <c r="Y2153" s="13" t="s">
        <v>10</v>
      </c>
      <c r="Z2153" s="13" t="s">
        <v>0</v>
      </c>
      <c r="AA2153" s="14"/>
      <c r="AB2153" s="13" t="s">
        <v>0</v>
      </c>
      <c r="AC2153" s="13" t="s">
        <v>0</v>
      </c>
      <c r="AD2153" s="13" t="s">
        <v>0</v>
      </c>
      <c r="AE2153" s="15">
        <v>0</v>
      </c>
    </row>
    <row r="2154" spans="1:31" ht="14.15" customHeight="1" x14ac:dyDescent="0.25">
      <c r="A2154" s="12" t="s">
        <v>0</v>
      </c>
      <c r="B2154" s="13" t="s">
        <v>1</v>
      </c>
      <c r="C2154" s="13" t="s">
        <v>1957</v>
      </c>
      <c r="D2154" s="14">
        <v>44195</v>
      </c>
      <c r="E2154" s="14">
        <v>44195</v>
      </c>
      <c r="F2154" s="14">
        <v>44199</v>
      </c>
      <c r="G2154" s="13" t="s">
        <v>3</v>
      </c>
      <c r="H2154" s="13" t="s">
        <v>4</v>
      </c>
      <c r="I2154" s="15">
        <v>-4939.2</v>
      </c>
      <c r="J2154" s="13" t="s">
        <v>5</v>
      </c>
      <c r="K2154" s="13" t="s">
        <v>6</v>
      </c>
      <c r="L2154" s="15">
        <v>-414645.84</v>
      </c>
      <c r="M2154" s="15">
        <v>-4939.2</v>
      </c>
      <c r="N2154" s="16" t="str">
        <f>IF(M2154="","",IF(M2154&lt;0,-M2154&amp;"_"&amp;COUNTIF(M$2:M2154,M2154),M2154&amp;"_"&amp;COUNTIF(M$2:M2154,M2154)))</f>
        <v>4939.2_1</v>
      </c>
      <c r="O2154" s="17" t="str">
        <f t="shared" si="33"/>
        <v/>
      </c>
      <c r="P2154" s="13" t="s">
        <v>1958</v>
      </c>
      <c r="Q2154" s="13" t="s">
        <v>1956</v>
      </c>
      <c r="R2154" s="13" t="s">
        <v>0</v>
      </c>
      <c r="S2154" s="13" t="s">
        <v>0</v>
      </c>
      <c r="T2154" s="13" t="s">
        <v>9</v>
      </c>
      <c r="U2154" s="13" t="s">
        <v>0</v>
      </c>
      <c r="V2154" s="13" t="s">
        <v>0</v>
      </c>
      <c r="W2154" s="13" t="s">
        <v>0</v>
      </c>
      <c r="X2154" s="13" t="s">
        <v>0</v>
      </c>
      <c r="Y2154" s="13" t="s">
        <v>10</v>
      </c>
      <c r="Z2154" s="13" t="s">
        <v>0</v>
      </c>
      <c r="AA2154" s="14"/>
      <c r="AB2154" s="13" t="s">
        <v>0</v>
      </c>
      <c r="AC2154" s="13" t="s">
        <v>0</v>
      </c>
      <c r="AD2154" s="13" t="s">
        <v>0</v>
      </c>
      <c r="AE2154" s="15">
        <v>0</v>
      </c>
    </row>
    <row r="2155" spans="1:31" ht="14.15" customHeight="1" x14ac:dyDescent="0.25">
      <c r="A2155" s="12" t="s">
        <v>0</v>
      </c>
      <c r="B2155" s="13" t="s">
        <v>1</v>
      </c>
      <c r="C2155" s="13" t="s">
        <v>3171</v>
      </c>
      <c r="D2155" s="14">
        <v>44299</v>
      </c>
      <c r="E2155" s="14">
        <v>44299</v>
      </c>
      <c r="F2155" s="14">
        <v>44308</v>
      </c>
      <c r="G2155" s="13" t="s">
        <v>3</v>
      </c>
      <c r="H2155" s="13" t="s">
        <v>4</v>
      </c>
      <c r="I2155" s="15">
        <v>-4906.9799999999996</v>
      </c>
      <c r="J2155" s="13" t="s">
        <v>5</v>
      </c>
      <c r="K2155" s="13" t="s">
        <v>6</v>
      </c>
      <c r="L2155" s="15">
        <v>-411940.97</v>
      </c>
      <c r="M2155" s="15">
        <v>-4906.9799999999996</v>
      </c>
      <c r="N2155" s="16" t="str">
        <f>IF(M2155="","",IF(M2155&lt;0,-M2155&amp;"_"&amp;COUNTIF(M$2:M2155,M2155),M2155&amp;"_"&amp;COUNTIF(M$2:M2155,M2155)))</f>
        <v>4906.98_1</v>
      </c>
      <c r="O2155" s="17" t="str">
        <f t="shared" si="33"/>
        <v/>
      </c>
      <c r="P2155" s="13" t="s">
        <v>3172</v>
      </c>
      <c r="Q2155" s="13" t="s">
        <v>3170</v>
      </c>
      <c r="R2155" s="13" t="s">
        <v>0</v>
      </c>
      <c r="S2155" s="13" t="s">
        <v>0</v>
      </c>
      <c r="T2155" s="13" t="s">
        <v>9</v>
      </c>
      <c r="U2155" s="13" t="s">
        <v>0</v>
      </c>
      <c r="V2155" s="13" t="s">
        <v>0</v>
      </c>
      <c r="W2155" s="13" t="s">
        <v>0</v>
      </c>
      <c r="X2155" s="13" t="s">
        <v>0</v>
      </c>
      <c r="Y2155" s="13" t="s">
        <v>10</v>
      </c>
      <c r="Z2155" s="13" t="s">
        <v>0</v>
      </c>
      <c r="AA2155" s="14"/>
      <c r="AB2155" s="13" t="s">
        <v>0</v>
      </c>
      <c r="AC2155" s="13" t="s">
        <v>0</v>
      </c>
      <c r="AD2155" s="13" t="s">
        <v>0</v>
      </c>
      <c r="AE2155" s="15">
        <v>0</v>
      </c>
    </row>
    <row r="2156" spans="1:31" ht="14.15" customHeight="1" x14ac:dyDescent="0.25">
      <c r="A2156" s="12" t="s">
        <v>0</v>
      </c>
      <c r="B2156" s="13" t="s">
        <v>1</v>
      </c>
      <c r="C2156" s="13" t="s">
        <v>4263</v>
      </c>
      <c r="D2156" s="14">
        <v>44369</v>
      </c>
      <c r="E2156" s="14">
        <v>44369</v>
      </c>
      <c r="F2156" s="14">
        <v>44373</v>
      </c>
      <c r="G2156" s="13" t="s">
        <v>3</v>
      </c>
      <c r="H2156" s="13" t="s">
        <v>4</v>
      </c>
      <c r="I2156" s="15">
        <v>-4900.18</v>
      </c>
      <c r="J2156" s="13" t="s">
        <v>5</v>
      </c>
      <c r="K2156" s="13" t="s">
        <v>6</v>
      </c>
      <c r="L2156" s="15">
        <v>-411370.11</v>
      </c>
      <c r="M2156" s="15">
        <v>-4900.18</v>
      </c>
      <c r="N2156" s="16" t="str">
        <f>IF(M2156="","",IF(M2156&lt;0,-M2156&amp;"_"&amp;COUNTIF(M$2:M2156,M2156),M2156&amp;"_"&amp;COUNTIF(M$2:M2156,M2156)))</f>
        <v>4900.18_1</v>
      </c>
      <c r="O2156" s="17" t="str">
        <f t="shared" si="33"/>
        <v/>
      </c>
      <c r="P2156" s="13" t="s">
        <v>4264</v>
      </c>
      <c r="Q2156" s="13" t="s">
        <v>4248</v>
      </c>
      <c r="R2156" s="13" t="s">
        <v>0</v>
      </c>
      <c r="S2156" s="13" t="s">
        <v>0</v>
      </c>
      <c r="T2156" s="13" t="s">
        <v>9</v>
      </c>
      <c r="U2156" s="13" t="s">
        <v>0</v>
      </c>
      <c r="V2156" s="13" t="s">
        <v>0</v>
      </c>
      <c r="W2156" s="13" t="s">
        <v>0</v>
      </c>
      <c r="X2156" s="13" t="s">
        <v>0</v>
      </c>
      <c r="Y2156" s="13" t="s">
        <v>10</v>
      </c>
      <c r="Z2156" s="13" t="s">
        <v>0</v>
      </c>
      <c r="AA2156" s="14"/>
      <c r="AB2156" s="13" t="s">
        <v>0</v>
      </c>
      <c r="AC2156" s="13" t="s">
        <v>0</v>
      </c>
      <c r="AD2156" s="13" t="s">
        <v>0</v>
      </c>
      <c r="AE2156" s="15">
        <v>0</v>
      </c>
    </row>
    <row r="2157" spans="1:31" ht="14.15" customHeight="1" x14ac:dyDescent="0.25">
      <c r="A2157" s="12" t="s">
        <v>0</v>
      </c>
      <c r="B2157" s="13" t="s">
        <v>1</v>
      </c>
      <c r="C2157" s="13" t="s">
        <v>4189</v>
      </c>
      <c r="D2157" s="14">
        <v>44364</v>
      </c>
      <c r="E2157" s="14">
        <v>44364</v>
      </c>
      <c r="F2157" s="14">
        <v>44370</v>
      </c>
      <c r="G2157" s="13" t="s">
        <v>3</v>
      </c>
      <c r="H2157" s="13" t="s">
        <v>4</v>
      </c>
      <c r="I2157" s="15">
        <v>-4890.41</v>
      </c>
      <c r="J2157" s="13" t="s">
        <v>5</v>
      </c>
      <c r="K2157" s="13" t="s">
        <v>6</v>
      </c>
      <c r="L2157" s="15">
        <v>-410549.92</v>
      </c>
      <c r="M2157" s="15">
        <v>-4890.41</v>
      </c>
      <c r="N2157" s="16" t="str">
        <f>IF(M2157="","",IF(M2157&lt;0,-M2157&amp;"_"&amp;COUNTIF(M$2:M2157,M2157),M2157&amp;"_"&amp;COUNTIF(M$2:M2157,M2157)))</f>
        <v>4890.41_1</v>
      </c>
      <c r="O2157" s="17" t="str">
        <f t="shared" si="33"/>
        <v/>
      </c>
      <c r="P2157" s="13" t="s">
        <v>4190</v>
      </c>
      <c r="Q2157" s="13" t="s">
        <v>4180</v>
      </c>
      <c r="R2157" s="13" t="s">
        <v>0</v>
      </c>
      <c r="S2157" s="13" t="s">
        <v>0</v>
      </c>
      <c r="T2157" s="13" t="s">
        <v>9</v>
      </c>
      <c r="U2157" s="13" t="s">
        <v>0</v>
      </c>
      <c r="V2157" s="13" t="s">
        <v>0</v>
      </c>
      <c r="W2157" s="13" t="s">
        <v>0</v>
      </c>
      <c r="X2157" s="13" t="s">
        <v>0</v>
      </c>
      <c r="Y2157" s="13" t="s">
        <v>10</v>
      </c>
      <c r="Z2157" s="13" t="s">
        <v>0</v>
      </c>
      <c r="AA2157" s="14"/>
      <c r="AB2157" s="13" t="s">
        <v>0</v>
      </c>
      <c r="AC2157" s="13" t="s">
        <v>0</v>
      </c>
      <c r="AD2157" s="13" t="s">
        <v>0</v>
      </c>
      <c r="AE2157" s="15">
        <v>0</v>
      </c>
    </row>
    <row r="2158" spans="1:31" ht="14.15" customHeight="1" x14ac:dyDescent="0.25">
      <c r="A2158" s="12" t="s">
        <v>0</v>
      </c>
      <c r="B2158" s="13" t="s">
        <v>1</v>
      </c>
      <c r="C2158" s="13" t="s">
        <v>1168</v>
      </c>
      <c r="D2158" s="14">
        <v>44140</v>
      </c>
      <c r="E2158" s="14">
        <v>44140</v>
      </c>
      <c r="F2158" s="14">
        <v>44145</v>
      </c>
      <c r="G2158" s="13" t="s">
        <v>3</v>
      </c>
      <c r="H2158" s="13" t="s">
        <v>4</v>
      </c>
      <c r="I2158" s="15">
        <v>-4881.76</v>
      </c>
      <c r="J2158" s="13" t="s">
        <v>5</v>
      </c>
      <c r="K2158" s="13" t="s">
        <v>6</v>
      </c>
      <c r="L2158" s="15">
        <v>-409823.75</v>
      </c>
      <c r="M2158" s="15">
        <v>-4881.76</v>
      </c>
      <c r="N2158" s="16" t="str">
        <f>IF(M2158="","",IF(M2158&lt;0,-M2158&amp;"_"&amp;COUNTIF(M$2:M2158,M2158),M2158&amp;"_"&amp;COUNTIF(M$2:M2158,M2158)))</f>
        <v>4881.76_1</v>
      </c>
      <c r="O2158" s="17" t="str">
        <f t="shared" si="33"/>
        <v/>
      </c>
      <c r="P2158" s="13" t="s">
        <v>1169</v>
      </c>
      <c r="Q2158" s="13" t="s">
        <v>1165</v>
      </c>
      <c r="R2158" s="13" t="s">
        <v>0</v>
      </c>
      <c r="S2158" s="13" t="s">
        <v>0</v>
      </c>
      <c r="T2158" s="13" t="s">
        <v>9</v>
      </c>
      <c r="U2158" s="13" t="s">
        <v>0</v>
      </c>
      <c r="V2158" s="13" t="s">
        <v>0</v>
      </c>
      <c r="W2158" s="13" t="s">
        <v>0</v>
      </c>
      <c r="X2158" s="13" t="s">
        <v>0</v>
      </c>
      <c r="Y2158" s="13" t="s">
        <v>10</v>
      </c>
      <c r="Z2158" s="13" t="s">
        <v>0</v>
      </c>
      <c r="AA2158" s="14"/>
      <c r="AB2158" s="13" t="s">
        <v>0</v>
      </c>
      <c r="AC2158" s="13" t="s">
        <v>0</v>
      </c>
      <c r="AD2158" s="13" t="s">
        <v>0</v>
      </c>
      <c r="AE2158" s="15">
        <v>0</v>
      </c>
    </row>
    <row r="2159" spans="1:31" ht="14.15" customHeight="1" x14ac:dyDescent="0.25">
      <c r="A2159" s="12" t="s">
        <v>0</v>
      </c>
      <c r="B2159" s="13" t="s">
        <v>1</v>
      </c>
      <c r="C2159" s="13" t="s">
        <v>1660</v>
      </c>
      <c r="D2159" s="14">
        <v>44171</v>
      </c>
      <c r="E2159" s="14">
        <v>44171</v>
      </c>
      <c r="F2159" s="14">
        <v>44174</v>
      </c>
      <c r="G2159" s="13" t="s">
        <v>3</v>
      </c>
      <c r="H2159" s="13" t="s">
        <v>4</v>
      </c>
      <c r="I2159" s="15">
        <v>-4858.72</v>
      </c>
      <c r="J2159" s="13" t="s">
        <v>5</v>
      </c>
      <c r="K2159" s="13" t="s">
        <v>6</v>
      </c>
      <c r="L2159" s="15">
        <v>-407889.55</v>
      </c>
      <c r="M2159" s="15">
        <v>-4858.72</v>
      </c>
      <c r="N2159" s="16" t="str">
        <f>IF(M2159="","",IF(M2159&lt;0,-M2159&amp;"_"&amp;COUNTIF(M$2:M2159,M2159),M2159&amp;"_"&amp;COUNTIF(M$2:M2159,M2159)))</f>
        <v>4858.72_1</v>
      </c>
      <c r="O2159" s="17" t="str">
        <f t="shared" si="33"/>
        <v/>
      </c>
      <c r="P2159" s="13" t="s">
        <v>1661</v>
      </c>
      <c r="Q2159" s="13" t="s">
        <v>1659</v>
      </c>
      <c r="R2159" s="13" t="s">
        <v>0</v>
      </c>
      <c r="S2159" s="13" t="s">
        <v>0</v>
      </c>
      <c r="T2159" s="13" t="s">
        <v>9</v>
      </c>
      <c r="U2159" s="13" t="s">
        <v>0</v>
      </c>
      <c r="V2159" s="13" t="s">
        <v>0</v>
      </c>
      <c r="W2159" s="13" t="s">
        <v>0</v>
      </c>
      <c r="X2159" s="13" t="s">
        <v>0</v>
      </c>
      <c r="Y2159" s="13" t="s">
        <v>10</v>
      </c>
      <c r="Z2159" s="13" t="s">
        <v>0</v>
      </c>
      <c r="AA2159" s="14"/>
      <c r="AB2159" s="13" t="s">
        <v>0</v>
      </c>
      <c r="AC2159" s="13" t="s">
        <v>0</v>
      </c>
      <c r="AD2159" s="13" t="s">
        <v>0</v>
      </c>
      <c r="AE2159" s="15">
        <v>0</v>
      </c>
    </row>
    <row r="2160" spans="1:31" ht="14.15" customHeight="1" x14ac:dyDescent="0.25">
      <c r="A2160" s="12" t="s">
        <v>0</v>
      </c>
      <c r="B2160" s="13" t="s">
        <v>1</v>
      </c>
      <c r="C2160" s="13" t="s">
        <v>4039</v>
      </c>
      <c r="D2160" s="14">
        <v>44358</v>
      </c>
      <c r="E2160" s="14">
        <v>44358</v>
      </c>
      <c r="F2160" s="14">
        <v>44364</v>
      </c>
      <c r="G2160" s="13" t="s">
        <v>3</v>
      </c>
      <c r="H2160" s="13" t="s">
        <v>4</v>
      </c>
      <c r="I2160" s="15">
        <v>-4854.8</v>
      </c>
      <c r="J2160" s="13" t="s">
        <v>5</v>
      </c>
      <c r="K2160" s="13" t="s">
        <v>6</v>
      </c>
      <c r="L2160" s="15">
        <v>-407560.46</v>
      </c>
      <c r="M2160" s="15">
        <v>-4854.8</v>
      </c>
      <c r="N2160" s="16" t="str">
        <f>IF(M2160="","",IF(M2160&lt;0,-M2160&amp;"_"&amp;COUNTIF(M$2:M2160,M2160),M2160&amp;"_"&amp;COUNTIF(M$2:M2160,M2160)))</f>
        <v>4854.8_1</v>
      </c>
      <c r="O2160" s="17" t="str">
        <f t="shared" si="33"/>
        <v/>
      </c>
      <c r="P2160" s="13" t="s">
        <v>4040</v>
      </c>
      <c r="Q2160" s="13" t="s">
        <v>4006</v>
      </c>
      <c r="R2160" s="13" t="s">
        <v>0</v>
      </c>
      <c r="S2160" s="13" t="s">
        <v>0</v>
      </c>
      <c r="T2160" s="13" t="s">
        <v>9</v>
      </c>
      <c r="U2160" s="13" t="s">
        <v>0</v>
      </c>
      <c r="V2160" s="13" t="s">
        <v>0</v>
      </c>
      <c r="W2160" s="13" t="s">
        <v>0</v>
      </c>
      <c r="X2160" s="13" t="s">
        <v>0</v>
      </c>
      <c r="Y2160" s="13" t="s">
        <v>10</v>
      </c>
      <c r="Z2160" s="13" t="s">
        <v>0</v>
      </c>
      <c r="AA2160" s="14"/>
      <c r="AB2160" s="13" t="s">
        <v>0</v>
      </c>
      <c r="AC2160" s="13" t="s">
        <v>0</v>
      </c>
      <c r="AD2160" s="13" t="s">
        <v>0</v>
      </c>
      <c r="AE2160" s="15">
        <v>0</v>
      </c>
    </row>
    <row r="2161" spans="1:31" ht="14.15" customHeight="1" x14ac:dyDescent="0.25">
      <c r="A2161" s="12" t="s">
        <v>0</v>
      </c>
      <c r="B2161" s="13" t="s">
        <v>1</v>
      </c>
      <c r="C2161" s="13" t="s">
        <v>729</v>
      </c>
      <c r="D2161" s="14">
        <v>44095</v>
      </c>
      <c r="E2161" s="14">
        <v>44095</v>
      </c>
      <c r="F2161" s="14">
        <v>44098</v>
      </c>
      <c r="G2161" s="13" t="s">
        <v>3</v>
      </c>
      <c r="H2161" s="13" t="s">
        <v>4</v>
      </c>
      <c r="I2161" s="15">
        <v>-4854.08</v>
      </c>
      <c r="J2161" s="13" t="s">
        <v>5</v>
      </c>
      <c r="K2161" s="13" t="s">
        <v>6</v>
      </c>
      <c r="L2161" s="15">
        <v>-407500.03</v>
      </c>
      <c r="M2161" s="15">
        <v>-4854.08</v>
      </c>
      <c r="N2161" s="16" t="str">
        <f>IF(M2161="","",IF(M2161&lt;0,-M2161&amp;"_"&amp;COUNTIF(M$2:M2161,M2161),M2161&amp;"_"&amp;COUNTIF(M$2:M2161,M2161)))</f>
        <v>4854.08_1</v>
      </c>
      <c r="O2161" s="17" t="str">
        <f t="shared" si="33"/>
        <v/>
      </c>
      <c r="P2161" s="13" t="s">
        <v>730</v>
      </c>
      <c r="Q2161" s="13" t="s">
        <v>726</v>
      </c>
      <c r="R2161" s="13" t="s">
        <v>0</v>
      </c>
      <c r="S2161" s="13" t="s">
        <v>0</v>
      </c>
      <c r="T2161" s="13" t="s">
        <v>9</v>
      </c>
      <c r="U2161" s="13" t="s">
        <v>0</v>
      </c>
      <c r="V2161" s="13" t="s">
        <v>0</v>
      </c>
      <c r="W2161" s="13" t="s">
        <v>0</v>
      </c>
      <c r="X2161" s="13" t="s">
        <v>0</v>
      </c>
      <c r="Y2161" s="13" t="s">
        <v>10</v>
      </c>
      <c r="Z2161" s="13" t="s">
        <v>0</v>
      </c>
      <c r="AA2161" s="14"/>
      <c r="AB2161" s="13" t="s">
        <v>0</v>
      </c>
      <c r="AC2161" s="13" t="s">
        <v>0</v>
      </c>
      <c r="AD2161" s="13" t="s">
        <v>0</v>
      </c>
      <c r="AE2161" s="15">
        <v>0</v>
      </c>
    </row>
    <row r="2162" spans="1:31" ht="14.15" customHeight="1" x14ac:dyDescent="0.25">
      <c r="A2162" s="12" t="s">
        <v>0</v>
      </c>
      <c r="B2162" s="13" t="s">
        <v>1</v>
      </c>
      <c r="C2162" s="13" t="s">
        <v>2368</v>
      </c>
      <c r="D2162" s="14">
        <v>44225</v>
      </c>
      <c r="E2162" s="14">
        <v>44225</v>
      </c>
      <c r="F2162" s="14">
        <v>44229</v>
      </c>
      <c r="G2162" s="13" t="s">
        <v>3</v>
      </c>
      <c r="H2162" s="13" t="s">
        <v>4</v>
      </c>
      <c r="I2162" s="15">
        <v>-4852.54</v>
      </c>
      <c r="J2162" s="13" t="s">
        <v>5</v>
      </c>
      <c r="K2162" s="13" t="s">
        <v>6</v>
      </c>
      <c r="L2162" s="15">
        <v>-407370.73</v>
      </c>
      <c r="M2162" s="15">
        <v>-4852.54</v>
      </c>
      <c r="N2162" s="16" t="str">
        <f>IF(M2162="","",IF(M2162&lt;0,-M2162&amp;"_"&amp;COUNTIF(M$2:M2162,M2162),M2162&amp;"_"&amp;COUNTIF(M$2:M2162,M2162)))</f>
        <v>4852.54_1</v>
      </c>
      <c r="O2162" s="17" t="str">
        <f t="shared" si="33"/>
        <v/>
      </c>
      <c r="P2162" s="13" t="s">
        <v>2369</v>
      </c>
      <c r="Q2162" s="13" t="s">
        <v>2370</v>
      </c>
      <c r="R2162" s="13" t="s">
        <v>0</v>
      </c>
      <c r="S2162" s="13" t="s">
        <v>0</v>
      </c>
      <c r="T2162" s="13" t="s">
        <v>9</v>
      </c>
      <c r="U2162" s="13" t="s">
        <v>0</v>
      </c>
      <c r="V2162" s="13" t="s">
        <v>0</v>
      </c>
      <c r="W2162" s="13" t="s">
        <v>0</v>
      </c>
      <c r="X2162" s="13" t="s">
        <v>0</v>
      </c>
      <c r="Y2162" s="13" t="s">
        <v>10</v>
      </c>
      <c r="Z2162" s="13" t="s">
        <v>0</v>
      </c>
      <c r="AA2162" s="14"/>
      <c r="AB2162" s="13" t="s">
        <v>0</v>
      </c>
      <c r="AC2162" s="13" t="s">
        <v>0</v>
      </c>
      <c r="AD2162" s="13" t="s">
        <v>0</v>
      </c>
      <c r="AE2162" s="15">
        <v>0</v>
      </c>
    </row>
    <row r="2163" spans="1:31" ht="14.15" customHeight="1" x14ac:dyDescent="0.25">
      <c r="A2163" s="12" t="s">
        <v>0</v>
      </c>
      <c r="B2163" s="13" t="s">
        <v>1</v>
      </c>
      <c r="C2163" s="13" t="s">
        <v>540</v>
      </c>
      <c r="D2163" s="14">
        <v>44074</v>
      </c>
      <c r="E2163" s="14">
        <v>44074</v>
      </c>
      <c r="F2163" s="14">
        <v>44077</v>
      </c>
      <c r="G2163" s="13" t="s">
        <v>3</v>
      </c>
      <c r="H2163" s="13" t="s">
        <v>4</v>
      </c>
      <c r="I2163" s="15">
        <v>-4850.8100000000004</v>
      </c>
      <c r="J2163" s="13" t="s">
        <v>5</v>
      </c>
      <c r="K2163" s="13" t="s">
        <v>6</v>
      </c>
      <c r="L2163" s="15">
        <v>-407225.5</v>
      </c>
      <c r="M2163" s="15">
        <v>-4850.8100000000004</v>
      </c>
      <c r="N2163" s="16" t="str">
        <f>IF(M2163="","",IF(M2163&lt;0,-M2163&amp;"_"&amp;COUNTIF(M$2:M2163,M2163),M2163&amp;"_"&amp;COUNTIF(M$2:M2163,M2163)))</f>
        <v>4850.81_1</v>
      </c>
      <c r="O2163" s="17" t="str">
        <f t="shared" si="33"/>
        <v/>
      </c>
      <c r="P2163" s="13" t="s">
        <v>541</v>
      </c>
      <c r="Q2163" s="13" t="s">
        <v>539</v>
      </c>
      <c r="R2163" s="13" t="s">
        <v>0</v>
      </c>
      <c r="S2163" s="13" t="s">
        <v>0</v>
      </c>
      <c r="T2163" s="13" t="s">
        <v>9</v>
      </c>
      <c r="U2163" s="13" t="s">
        <v>0</v>
      </c>
      <c r="V2163" s="13" t="s">
        <v>0</v>
      </c>
      <c r="W2163" s="13" t="s">
        <v>0</v>
      </c>
      <c r="X2163" s="13" t="s">
        <v>0</v>
      </c>
      <c r="Y2163" s="13" t="s">
        <v>10</v>
      </c>
      <c r="Z2163" s="13" t="s">
        <v>0</v>
      </c>
      <c r="AA2163" s="14"/>
      <c r="AB2163" s="13" t="s">
        <v>0</v>
      </c>
      <c r="AC2163" s="13" t="s">
        <v>0</v>
      </c>
      <c r="AD2163" s="13" t="s">
        <v>0</v>
      </c>
      <c r="AE2163" s="15">
        <v>0</v>
      </c>
    </row>
    <row r="2164" spans="1:31" ht="14.15" customHeight="1" x14ac:dyDescent="0.25">
      <c r="A2164" s="12" t="s">
        <v>0</v>
      </c>
      <c r="B2164" s="13" t="s">
        <v>1</v>
      </c>
      <c r="C2164" s="13" t="s">
        <v>3798</v>
      </c>
      <c r="D2164" s="14">
        <v>44344</v>
      </c>
      <c r="E2164" s="14">
        <v>44344</v>
      </c>
      <c r="F2164" s="14">
        <v>44348</v>
      </c>
      <c r="G2164" s="13" t="s">
        <v>3</v>
      </c>
      <c r="H2164" s="13" t="s">
        <v>4</v>
      </c>
      <c r="I2164" s="15">
        <v>-4818.4399999999996</v>
      </c>
      <c r="J2164" s="13" t="s">
        <v>5</v>
      </c>
      <c r="K2164" s="13" t="s">
        <v>6</v>
      </c>
      <c r="L2164" s="15">
        <v>-404508.04</v>
      </c>
      <c r="M2164" s="15">
        <v>-4818.4399999999996</v>
      </c>
      <c r="N2164" s="16" t="str">
        <f>IF(M2164="","",IF(M2164&lt;0,-M2164&amp;"_"&amp;COUNTIF(M$2:M2164,M2164),M2164&amp;"_"&amp;COUNTIF(M$2:M2164,M2164)))</f>
        <v>4818.44_1</v>
      </c>
      <c r="O2164" s="17" t="str">
        <f t="shared" si="33"/>
        <v/>
      </c>
      <c r="P2164" s="13" t="s">
        <v>3799</v>
      </c>
      <c r="Q2164" s="13" t="s">
        <v>3778</v>
      </c>
      <c r="R2164" s="13" t="s">
        <v>0</v>
      </c>
      <c r="S2164" s="13" t="s">
        <v>0</v>
      </c>
      <c r="T2164" s="13" t="s">
        <v>9</v>
      </c>
      <c r="U2164" s="13" t="s">
        <v>0</v>
      </c>
      <c r="V2164" s="13" t="s">
        <v>0</v>
      </c>
      <c r="W2164" s="13" t="s">
        <v>0</v>
      </c>
      <c r="X2164" s="13" t="s">
        <v>0</v>
      </c>
      <c r="Y2164" s="13" t="s">
        <v>10</v>
      </c>
      <c r="Z2164" s="13" t="s">
        <v>0</v>
      </c>
      <c r="AA2164" s="14"/>
      <c r="AB2164" s="13" t="s">
        <v>0</v>
      </c>
      <c r="AC2164" s="13" t="s">
        <v>0</v>
      </c>
      <c r="AD2164" s="13" t="s">
        <v>0</v>
      </c>
      <c r="AE2164" s="15">
        <v>0</v>
      </c>
    </row>
    <row r="2165" spans="1:31" ht="14.15" customHeight="1" x14ac:dyDescent="0.25">
      <c r="A2165" s="12" t="s">
        <v>0</v>
      </c>
      <c r="B2165" s="13" t="s">
        <v>1</v>
      </c>
      <c r="C2165" s="13" t="s">
        <v>3027</v>
      </c>
      <c r="D2165" s="14">
        <v>44281</v>
      </c>
      <c r="E2165" s="14">
        <v>44281</v>
      </c>
      <c r="F2165" s="14">
        <v>44290</v>
      </c>
      <c r="G2165" s="13" t="s">
        <v>3</v>
      </c>
      <c r="H2165" s="13" t="s">
        <v>4</v>
      </c>
      <c r="I2165" s="15">
        <v>-4808.63</v>
      </c>
      <c r="J2165" s="13" t="s">
        <v>5</v>
      </c>
      <c r="K2165" s="13" t="s">
        <v>6</v>
      </c>
      <c r="L2165" s="15">
        <v>-403684.49</v>
      </c>
      <c r="M2165" s="15">
        <v>-4808.63</v>
      </c>
      <c r="N2165" s="16" t="str">
        <f>IF(M2165="","",IF(M2165&lt;0,-M2165&amp;"_"&amp;COUNTIF(M$2:M2165,M2165),M2165&amp;"_"&amp;COUNTIF(M$2:M2165,M2165)))</f>
        <v>4808.63_1</v>
      </c>
      <c r="O2165" s="17" t="str">
        <f t="shared" si="33"/>
        <v/>
      </c>
      <c r="P2165" s="13" t="s">
        <v>3028</v>
      </c>
      <c r="Q2165" s="13" t="s">
        <v>3014</v>
      </c>
      <c r="R2165" s="13" t="s">
        <v>0</v>
      </c>
      <c r="S2165" s="13" t="s">
        <v>0</v>
      </c>
      <c r="T2165" s="13" t="s">
        <v>9</v>
      </c>
      <c r="U2165" s="13" t="s">
        <v>0</v>
      </c>
      <c r="V2165" s="13" t="s">
        <v>0</v>
      </c>
      <c r="W2165" s="13" t="s">
        <v>0</v>
      </c>
      <c r="X2165" s="13" t="s">
        <v>0</v>
      </c>
      <c r="Y2165" s="13" t="s">
        <v>10</v>
      </c>
      <c r="Z2165" s="13" t="s">
        <v>0</v>
      </c>
      <c r="AA2165" s="14"/>
      <c r="AB2165" s="13" t="s">
        <v>0</v>
      </c>
      <c r="AC2165" s="13" t="s">
        <v>0</v>
      </c>
      <c r="AD2165" s="13" t="s">
        <v>0</v>
      </c>
      <c r="AE2165" s="15">
        <v>0</v>
      </c>
    </row>
    <row r="2166" spans="1:31" ht="14.15" customHeight="1" x14ac:dyDescent="0.25">
      <c r="A2166" s="12" t="s">
        <v>0</v>
      </c>
      <c r="B2166" s="13" t="s">
        <v>1</v>
      </c>
      <c r="C2166" s="13" t="s">
        <v>1702</v>
      </c>
      <c r="D2166" s="14">
        <v>44174</v>
      </c>
      <c r="E2166" s="14">
        <v>44174</v>
      </c>
      <c r="F2166" s="14">
        <v>44178</v>
      </c>
      <c r="G2166" s="13" t="s">
        <v>3</v>
      </c>
      <c r="H2166" s="13" t="s">
        <v>4</v>
      </c>
      <c r="I2166" s="15">
        <v>-4806.4399999999996</v>
      </c>
      <c r="J2166" s="13" t="s">
        <v>5</v>
      </c>
      <c r="K2166" s="13" t="s">
        <v>6</v>
      </c>
      <c r="L2166" s="15">
        <v>-403500.64</v>
      </c>
      <c r="M2166" s="15">
        <v>-4806.4399999999996</v>
      </c>
      <c r="N2166" s="16" t="str">
        <f>IF(M2166="","",IF(M2166&lt;0,-M2166&amp;"_"&amp;COUNTIF(M$2:M2166,M2166),M2166&amp;"_"&amp;COUNTIF(M$2:M2166,M2166)))</f>
        <v>4806.44_1</v>
      </c>
      <c r="O2166" s="17" t="str">
        <f t="shared" si="33"/>
        <v/>
      </c>
      <c r="P2166" s="13" t="s">
        <v>1703</v>
      </c>
      <c r="Q2166" s="13" t="s">
        <v>1704</v>
      </c>
      <c r="R2166" s="13" t="s">
        <v>0</v>
      </c>
      <c r="S2166" s="13" t="s">
        <v>0</v>
      </c>
      <c r="T2166" s="13" t="s">
        <v>9</v>
      </c>
      <c r="U2166" s="13" t="s">
        <v>0</v>
      </c>
      <c r="V2166" s="13" t="s">
        <v>0</v>
      </c>
      <c r="W2166" s="13" t="s">
        <v>0</v>
      </c>
      <c r="X2166" s="13" t="s">
        <v>0</v>
      </c>
      <c r="Y2166" s="13" t="s">
        <v>10</v>
      </c>
      <c r="Z2166" s="13" t="s">
        <v>0</v>
      </c>
      <c r="AA2166" s="14"/>
      <c r="AB2166" s="13" t="s">
        <v>0</v>
      </c>
      <c r="AC2166" s="13" t="s">
        <v>0</v>
      </c>
      <c r="AD2166" s="13" t="s">
        <v>0</v>
      </c>
      <c r="AE2166" s="15">
        <v>0</v>
      </c>
    </row>
    <row r="2167" spans="1:31" ht="14.15" customHeight="1" x14ac:dyDescent="0.25">
      <c r="A2167" s="12" t="s">
        <v>0</v>
      </c>
      <c r="B2167" s="13" t="s">
        <v>1</v>
      </c>
      <c r="C2167" s="13" t="s">
        <v>3658</v>
      </c>
      <c r="D2167" s="14">
        <v>44334</v>
      </c>
      <c r="E2167" s="14">
        <v>44334</v>
      </c>
      <c r="F2167" s="14">
        <v>44336</v>
      </c>
      <c r="G2167" s="13" t="s">
        <v>3</v>
      </c>
      <c r="H2167" s="13" t="s">
        <v>4</v>
      </c>
      <c r="I2167" s="15">
        <v>-4804.66</v>
      </c>
      <c r="J2167" s="13" t="s">
        <v>5</v>
      </c>
      <c r="K2167" s="13" t="s">
        <v>6</v>
      </c>
      <c r="L2167" s="15">
        <v>-403351.21</v>
      </c>
      <c r="M2167" s="15">
        <v>-4804.66</v>
      </c>
      <c r="N2167" s="16" t="str">
        <f>IF(M2167="","",IF(M2167&lt;0,-M2167&amp;"_"&amp;COUNTIF(M$2:M2167,M2167),M2167&amp;"_"&amp;COUNTIF(M$2:M2167,M2167)))</f>
        <v>4804.66_1</v>
      </c>
      <c r="O2167" s="17" t="str">
        <f t="shared" si="33"/>
        <v/>
      </c>
      <c r="P2167" s="13" t="s">
        <v>3659</v>
      </c>
      <c r="Q2167" s="13" t="s">
        <v>3660</v>
      </c>
      <c r="R2167" s="13" t="s">
        <v>0</v>
      </c>
      <c r="S2167" s="13" t="s">
        <v>0</v>
      </c>
      <c r="T2167" s="13" t="s">
        <v>9</v>
      </c>
      <c r="U2167" s="13" t="s">
        <v>0</v>
      </c>
      <c r="V2167" s="13" t="s">
        <v>0</v>
      </c>
      <c r="W2167" s="13" t="s">
        <v>0</v>
      </c>
      <c r="X2167" s="13" t="s">
        <v>0</v>
      </c>
      <c r="Y2167" s="13" t="s">
        <v>10</v>
      </c>
      <c r="Z2167" s="13" t="s">
        <v>0</v>
      </c>
      <c r="AA2167" s="14"/>
      <c r="AB2167" s="13" t="s">
        <v>0</v>
      </c>
      <c r="AC2167" s="13" t="s">
        <v>0</v>
      </c>
      <c r="AD2167" s="13" t="s">
        <v>0</v>
      </c>
      <c r="AE2167" s="15">
        <v>0</v>
      </c>
    </row>
    <row r="2168" spans="1:31" ht="14.15" customHeight="1" x14ac:dyDescent="0.25">
      <c r="A2168" s="12" t="s">
        <v>0</v>
      </c>
      <c r="B2168" s="13" t="s">
        <v>1</v>
      </c>
      <c r="C2168" s="13" t="s">
        <v>4267</v>
      </c>
      <c r="D2168" s="14">
        <v>44370</v>
      </c>
      <c r="E2168" s="14">
        <v>44370</v>
      </c>
      <c r="F2168" s="14">
        <v>44371</v>
      </c>
      <c r="G2168" s="13" t="s">
        <v>3</v>
      </c>
      <c r="H2168" s="13" t="s">
        <v>4</v>
      </c>
      <c r="I2168" s="15">
        <v>-4800.82</v>
      </c>
      <c r="J2168" s="13" t="s">
        <v>5</v>
      </c>
      <c r="K2168" s="13" t="s">
        <v>6</v>
      </c>
      <c r="L2168" s="15">
        <v>-403028.84</v>
      </c>
      <c r="M2168" s="15">
        <v>-4800.82</v>
      </c>
      <c r="N2168" s="16" t="str">
        <f>IF(M2168="","",IF(M2168&lt;0,-M2168&amp;"_"&amp;COUNTIF(M$2:M2168,M2168),M2168&amp;"_"&amp;COUNTIF(M$2:M2168,M2168)))</f>
        <v>4800.82_1</v>
      </c>
      <c r="O2168" s="17" t="str">
        <f t="shared" si="33"/>
        <v/>
      </c>
      <c r="P2168" s="13" t="s">
        <v>4268</v>
      </c>
      <c r="Q2168" s="13" t="s">
        <v>4269</v>
      </c>
      <c r="R2168" s="13" t="s">
        <v>0</v>
      </c>
      <c r="S2168" s="13" t="s">
        <v>0</v>
      </c>
      <c r="T2168" s="13" t="s">
        <v>9</v>
      </c>
      <c r="U2168" s="13" t="s">
        <v>0</v>
      </c>
      <c r="V2168" s="13" t="s">
        <v>0</v>
      </c>
      <c r="W2168" s="13" t="s">
        <v>0</v>
      </c>
      <c r="X2168" s="13" t="s">
        <v>0</v>
      </c>
      <c r="Y2168" s="13" t="s">
        <v>10</v>
      </c>
      <c r="Z2168" s="13" t="s">
        <v>0</v>
      </c>
      <c r="AA2168" s="14"/>
      <c r="AB2168" s="13" t="s">
        <v>0</v>
      </c>
      <c r="AC2168" s="13" t="s">
        <v>0</v>
      </c>
      <c r="AD2168" s="13" t="s">
        <v>0</v>
      </c>
      <c r="AE2168" s="15">
        <v>0</v>
      </c>
    </row>
    <row r="2169" spans="1:31" ht="14.15" customHeight="1" x14ac:dyDescent="0.25">
      <c r="A2169" s="12" t="s">
        <v>0</v>
      </c>
      <c r="B2169" s="13" t="s">
        <v>1</v>
      </c>
      <c r="C2169" s="13" t="s">
        <v>2320</v>
      </c>
      <c r="D2169" s="14">
        <v>44220</v>
      </c>
      <c r="E2169" s="14">
        <v>44220</v>
      </c>
      <c r="F2169" s="14">
        <v>44224</v>
      </c>
      <c r="G2169" s="13" t="s">
        <v>3</v>
      </c>
      <c r="H2169" s="13" t="s">
        <v>4</v>
      </c>
      <c r="I2169" s="15">
        <v>-4796.33</v>
      </c>
      <c r="J2169" s="13" t="s">
        <v>5</v>
      </c>
      <c r="K2169" s="13" t="s">
        <v>6</v>
      </c>
      <c r="L2169" s="15">
        <v>-402651.9</v>
      </c>
      <c r="M2169" s="15">
        <v>-4796.33</v>
      </c>
      <c r="N2169" s="16" t="str">
        <f>IF(M2169="","",IF(M2169&lt;0,-M2169&amp;"_"&amp;COUNTIF(M$2:M2169,M2169),M2169&amp;"_"&amp;COUNTIF(M$2:M2169,M2169)))</f>
        <v>4796.33_1</v>
      </c>
      <c r="O2169" s="17" t="str">
        <f t="shared" si="33"/>
        <v/>
      </c>
      <c r="P2169" s="13" t="s">
        <v>2321</v>
      </c>
      <c r="Q2169" s="13" t="s">
        <v>2317</v>
      </c>
      <c r="R2169" s="13" t="s">
        <v>0</v>
      </c>
      <c r="S2169" s="13" t="s">
        <v>0</v>
      </c>
      <c r="T2169" s="13" t="s">
        <v>9</v>
      </c>
      <c r="U2169" s="13" t="s">
        <v>0</v>
      </c>
      <c r="V2169" s="13" t="s">
        <v>0</v>
      </c>
      <c r="W2169" s="13" t="s">
        <v>0</v>
      </c>
      <c r="X2169" s="13" t="s">
        <v>0</v>
      </c>
      <c r="Y2169" s="13" t="s">
        <v>10</v>
      </c>
      <c r="Z2169" s="13" t="s">
        <v>0</v>
      </c>
      <c r="AA2169" s="14"/>
      <c r="AB2169" s="13" t="s">
        <v>0</v>
      </c>
      <c r="AC2169" s="13" t="s">
        <v>0</v>
      </c>
      <c r="AD2169" s="13" t="s">
        <v>0</v>
      </c>
      <c r="AE2169" s="15">
        <v>0</v>
      </c>
    </row>
    <row r="2170" spans="1:31" ht="14.15" customHeight="1" x14ac:dyDescent="0.25">
      <c r="A2170" s="12" t="s">
        <v>0</v>
      </c>
      <c r="B2170" s="13" t="s">
        <v>1</v>
      </c>
      <c r="C2170" s="13" t="s">
        <v>2096</v>
      </c>
      <c r="D2170" s="14">
        <v>44199</v>
      </c>
      <c r="E2170" s="14">
        <v>44199</v>
      </c>
      <c r="F2170" s="14">
        <v>44202</v>
      </c>
      <c r="G2170" s="13" t="s">
        <v>3</v>
      </c>
      <c r="H2170" s="13" t="s">
        <v>4</v>
      </c>
      <c r="I2170" s="15">
        <v>-4778.75</v>
      </c>
      <c r="J2170" s="13" t="s">
        <v>5</v>
      </c>
      <c r="K2170" s="13" t="s">
        <v>6</v>
      </c>
      <c r="L2170" s="15">
        <v>-401176.06</v>
      </c>
      <c r="M2170" s="15">
        <v>-4778.75</v>
      </c>
      <c r="N2170" s="16" t="str">
        <f>IF(M2170="","",IF(M2170&lt;0,-M2170&amp;"_"&amp;COUNTIF(M$2:M2170,M2170),M2170&amp;"_"&amp;COUNTIF(M$2:M2170,M2170)))</f>
        <v>4778.75_1</v>
      </c>
      <c r="O2170" s="17" t="str">
        <f t="shared" si="33"/>
        <v/>
      </c>
      <c r="P2170" s="13" t="s">
        <v>2097</v>
      </c>
      <c r="Q2170" s="13" t="s">
        <v>2093</v>
      </c>
      <c r="R2170" s="13" t="s">
        <v>0</v>
      </c>
      <c r="S2170" s="13" t="s">
        <v>0</v>
      </c>
      <c r="T2170" s="13" t="s">
        <v>9</v>
      </c>
      <c r="U2170" s="13" t="s">
        <v>0</v>
      </c>
      <c r="V2170" s="13" t="s">
        <v>0</v>
      </c>
      <c r="W2170" s="13" t="s">
        <v>0</v>
      </c>
      <c r="X2170" s="13" t="s">
        <v>0</v>
      </c>
      <c r="Y2170" s="13" t="s">
        <v>10</v>
      </c>
      <c r="Z2170" s="13" t="s">
        <v>0</v>
      </c>
      <c r="AA2170" s="14"/>
      <c r="AB2170" s="13" t="s">
        <v>0</v>
      </c>
      <c r="AC2170" s="13" t="s">
        <v>0</v>
      </c>
      <c r="AD2170" s="13" t="s">
        <v>0</v>
      </c>
      <c r="AE2170" s="15">
        <v>0</v>
      </c>
    </row>
    <row r="2171" spans="1:31" ht="14.15" customHeight="1" x14ac:dyDescent="0.25">
      <c r="A2171" s="12" t="s">
        <v>0</v>
      </c>
      <c r="B2171" s="13" t="s">
        <v>1</v>
      </c>
      <c r="C2171" s="13" t="s">
        <v>4023</v>
      </c>
      <c r="D2171" s="14">
        <v>44358</v>
      </c>
      <c r="E2171" s="14">
        <v>44358</v>
      </c>
      <c r="F2171" s="14">
        <v>44363</v>
      </c>
      <c r="G2171" s="13" t="s">
        <v>3</v>
      </c>
      <c r="H2171" s="13" t="s">
        <v>4</v>
      </c>
      <c r="I2171" s="15">
        <v>-4765.84</v>
      </c>
      <c r="J2171" s="13" t="s">
        <v>5</v>
      </c>
      <c r="K2171" s="13" t="s">
        <v>6</v>
      </c>
      <c r="L2171" s="15">
        <v>-400092.27</v>
      </c>
      <c r="M2171" s="15">
        <v>-4765.84</v>
      </c>
      <c r="N2171" s="16" t="str">
        <f>IF(M2171="","",IF(M2171&lt;0,-M2171&amp;"_"&amp;COUNTIF(M$2:M2171,M2171),M2171&amp;"_"&amp;COUNTIF(M$2:M2171,M2171)))</f>
        <v>4765.84_1</v>
      </c>
      <c r="O2171" s="17" t="str">
        <f t="shared" si="33"/>
        <v/>
      </c>
      <c r="P2171" s="13" t="s">
        <v>4024</v>
      </c>
      <c r="Q2171" s="13" t="s">
        <v>4006</v>
      </c>
      <c r="R2171" s="13" t="s">
        <v>0</v>
      </c>
      <c r="S2171" s="13" t="s">
        <v>0</v>
      </c>
      <c r="T2171" s="13" t="s">
        <v>9</v>
      </c>
      <c r="U2171" s="13" t="s">
        <v>0</v>
      </c>
      <c r="V2171" s="13" t="s">
        <v>0</v>
      </c>
      <c r="W2171" s="13" t="s">
        <v>0</v>
      </c>
      <c r="X2171" s="13" t="s">
        <v>0</v>
      </c>
      <c r="Y2171" s="13" t="s">
        <v>10</v>
      </c>
      <c r="Z2171" s="13" t="s">
        <v>0</v>
      </c>
      <c r="AA2171" s="14"/>
      <c r="AB2171" s="13" t="s">
        <v>0</v>
      </c>
      <c r="AC2171" s="13" t="s">
        <v>0</v>
      </c>
      <c r="AD2171" s="13" t="s">
        <v>0</v>
      </c>
      <c r="AE2171" s="15">
        <v>0</v>
      </c>
    </row>
    <row r="2172" spans="1:31" ht="14.15" customHeight="1" x14ac:dyDescent="0.25">
      <c r="A2172" s="12" t="s">
        <v>0</v>
      </c>
      <c r="B2172" s="13" t="s">
        <v>1</v>
      </c>
      <c r="C2172" s="13" t="s">
        <v>4263</v>
      </c>
      <c r="D2172" s="14">
        <v>44369</v>
      </c>
      <c r="E2172" s="14">
        <v>44369</v>
      </c>
      <c r="F2172" s="14">
        <v>44373</v>
      </c>
      <c r="G2172" s="13" t="s">
        <v>3</v>
      </c>
      <c r="H2172" s="13" t="s">
        <v>4</v>
      </c>
      <c r="I2172" s="15">
        <v>-4765.84</v>
      </c>
      <c r="J2172" s="13" t="s">
        <v>5</v>
      </c>
      <c r="K2172" s="13" t="s">
        <v>6</v>
      </c>
      <c r="L2172" s="15">
        <v>-400092.27</v>
      </c>
      <c r="M2172" s="15">
        <v>-4765.84</v>
      </c>
      <c r="N2172" s="16" t="str">
        <f>IF(M2172="","",IF(M2172&lt;0,-M2172&amp;"_"&amp;COUNTIF(M$2:M2172,M2172),M2172&amp;"_"&amp;COUNTIF(M$2:M2172,M2172)))</f>
        <v>4765.84_2</v>
      </c>
      <c r="O2172" s="17" t="str">
        <f t="shared" si="33"/>
        <v/>
      </c>
      <c r="P2172" s="13" t="s">
        <v>4264</v>
      </c>
      <c r="Q2172" s="13" t="s">
        <v>4248</v>
      </c>
      <c r="R2172" s="13" t="s">
        <v>0</v>
      </c>
      <c r="S2172" s="13" t="s">
        <v>0</v>
      </c>
      <c r="T2172" s="13" t="s">
        <v>9</v>
      </c>
      <c r="U2172" s="13" t="s">
        <v>0</v>
      </c>
      <c r="V2172" s="13" t="s">
        <v>0</v>
      </c>
      <c r="W2172" s="13" t="s">
        <v>0</v>
      </c>
      <c r="X2172" s="13" t="s">
        <v>0</v>
      </c>
      <c r="Y2172" s="13" t="s">
        <v>10</v>
      </c>
      <c r="Z2172" s="13" t="s">
        <v>0</v>
      </c>
      <c r="AA2172" s="14"/>
      <c r="AB2172" s="13" t="s">
        <v>0</v>
      </c>
      <c r="AC2172" s="13" t="s">
        <v>0</v>
      </c>
      <c r="AD2172" s="13" t="s">
        <v>0</v>
      </c>
      <c r="AE2172" s="15">
        <v>0</v>
      </c>
    </row>
    <row r="2173" spans="1:31" ht="14.15" customHeight="1" x14ac:dyDescent="0.25">
      <c r="A2173" s="12" t="s">
        <v>0</v>
      </c>
      <c r="B2173" s="13" t="s">
        <v>1</v>
      </c>
      <c r="C2173" s="13" t="s">
        <v>30</v>
      </c>
      <c r="D2173" s="14">
        <v>44015</v>
      </c>
      <c r="E2173" s="14">
        <v>44015</v>
      </c>
      <c r="F2173" s="14">
        <v>44019</v>
      </c>
      <c r="G2173" s="13" t="s">
        <v>3</v>
      </c>
      <c r="H2173" s="13" t="s">
        <v>4</v>
      </c>
      <c r="I2173" s="15">
        <v>-4760.83</v>
      </c>
      <c r="J2173" s="13" t="s">
        <v>5</v>
      </c>
      <c r="K2173" s="13" t="s">
        <v>6</v>
      </c>
      <c r="L2173" s="15">
        <v>-399671.68</v>
      </c>
      <c r="M2173" s="15">
        <v>-4760.83</v>
      </c>
      <c r="N2173" s="16" t="str">
        <f>IF(M2173="","",IF(M2173&lt;0,-M2173&amp;"_"&amp;COUNTIF(M$2:M2173,M2173),M2173&amp;"_"&amp;COUNTIF(M$2:M2173,M2173)))</f>
        <v>4760.83_1</v>
      </c>
      <c r="O2173" s="17" t="str">
        <f t="shared" si="33"/>
        <v/>
      </c>
      <c r="P2173" s="13" t="s">
        <v>31</v>
      </c>
      <c r="Q2173" s="13" t="s">
        <v>27</v>
      </c>
      <c r="R2173" s="13" t="s">
        <v>0</v>
      </c>
      <c r="S2173" s="13" t="s">
        <v>0</v>
      </c>
      <c r="T2173" s="13" t="s">
        <v>9</v>
      </c>
      <c r="U2173" s="13" t="s">
        <v>0</v>
      </c>
      <c r="V2173" s="13" t="s">
        <v>0</v>
      </c>
      <c r="W2173" s="13" t="s">
        <v>0</v>
      </c>
      <c r="X2173" s="13" t="s">
        <v>0</v>
      </c>
      <c r="Y2173" s="13" t="s">
        <v>10</v>
      </c>
      <c r="Z2173" s="13" t="s">
        <v>0</v>
      </c>
      <c r="AA2173" s="14"/>
      <c r="AB2173" s="13" t="s">
        <v>0</v>
      </c>
      <c r="AC2173" s="13" t="s">
        <v>0</v>
      </c>
      <c r="AD2173" s="13" t="s">
        <v>0</v>
      </c>
      <c r="AE2173" s="15">
        <v>0</v>
      </c>
    </row>
    <row r="2174" spans="1:31" ht="14.15" customHeight="1" x14ac:dyDescent="0.25">
      <c r="A2174" s="12" t="s">
        <v>0</v>
      </c>
      <c r="B2174" s="13" t="s">
        <v>1</v>
      </c>
      <c r="C2174" s="13" t="s">
        <v>1447</v>
      </c>
      <c r="D2174" s="14">
        <v>44158</v>
      </c>
      <c r="E2174" s="14">
        <v>44158</v>
      </c>
      <c r="F2174" s="14">
        <v>44163</v>
      </c>
      <c r="G2174" s="13" t="s">
        <v>3</v>
      </c>
      <c r="H2174" s="13" t="s">
        <v>4</v>
      </c>
      <c r="I2174" s="15">
        <v>-4748.03</v>
      </c>
      <c r="J2174" s="13" t="s">
        <v>5</v>
      </c>
      <c r="K2174" s="13" t="s">
        <v>6</v>
      </c>
      <c r="L2174" s="15">
        <v>-398597.12</v>
      </c>
      <c r="M2174" s="15">
        <v>-4748.03</v>
      </c>
      <c r="N2174" s="16" t="str">
        <f>IF(M2174="","",IF(M2174&lt;0,-M2174&amp;"_"&amp;COUNTIF(M$2:M2174,M2174),M2174&amp;"_"&amp;COUNTIF(M$2:M2174,M2174)))</f>
        <v>4748.03_1</v>
      </c>
      <c r="O2174" s="17" t="str">
        <f t="shared" si="33"/>
        <v/>
      </c>
      <c r="P2174" s="13" t="s">
        <v>1448</v>
      </c>
      <c r="Q2174" s="13" t="s">
        <v>1444</v>
      </c>
      <c r="R2174" s="13" t="s">
        <v>0</v>
      </c>
      <c r="S2174" s="13" t="s">
        <v>0</v>
      </c>
      <c r="T2174" s="13" t="s">
        <v>9</v>
      </c>
      <c r="U2174" s="13" t="s">
        <v>0</v>
      </c>
      <c r="V2174" s="13" t="s">
        <v>0</v>
      </c>
      <c r="W2174" s="13" t="s">
        <v>0</v>
      </c>
      <c r="X2174" s="13" t="s">
        <v>0</v>
      </c>
      <c r="Y2174" s="13" t="s">
        <v>10</v>
      </c>
      <c r="Z2174" s="13" t="s">
        <v>0</v>
      </c>
      <c r="AA2174" s="14"/>
      <c r="AB2174" s="13" t="s">
        <v>0</v>
      </c>
      <c r="AC2174" s="13" t="s">
        <v>0</v>
      </c>
      <c r="AD2174" s="13" t="s">
        <v>0</v>
      </c>
      <c r="AE2174" s="15">
        <v>0</v>
      </c>
    </row>
    <row r="2175" spans="1:31" ht="14.15" customHeight="1" x14ac:dyDescent="0.25">
      <c r="A2175" s="12" t="s">
        <v>0</v>
      </c>
      <c r="B2175" s="13" t="s">
        <v>1</v>
      </c>
      <c r="C2175" s="13" t="s">
        <v>2358</v>
      </c>
      <c r="D2175" s="14">
        <v>44224</v>
      </c>
      <c r="E2175" s="14">
        <v>44224</v>
      </c>
      <c r="F2175" s="14">
        <v>44231</v>
      </c>
      <c r="G2175" s="13" t="s">
        <v>3</v>
      </c>
      <c r="H2175" s="13" t="s">
        <v>4</v>
      </c>
      <c r="I2175" s="15">
        <v>-4746.1499999999996</v>
      </c>
      <c r="J2175" s="13" t="s">
        <v>5</v>
      </c>
      <c r="K2175" s="13" t="s">
        <v>6</v>
      </c>
      <c r="L2175" s="15">
        <v>-398439.29</v>
      </c>
      <c r="M2175" s="15">
        <v>-4746.1499999999996</v>
      </c>
      <c r="N2175" s="16" t="str">
        <f>IF(M2175="","",IF(M2175&lt;0,-M2175&amp;"_"&amp;COUNTIF(M$2:M2175,M2175),M2175&amp;"_"&amp;COUNTIF(M$2:M2175,M2175)))</f>
        <v>4746.15_1</v>
      </c>
      <c r="O2175" s="17" t="str">
        <f t="shared" si="33"/>
        <v/>
      </c>
      <c r="P2175" s="13" t="s">
        <v>2359</v>
      </c>
      <c r="Q2175" s="13" t="s">
        <v>2345</v>
      </c>
      <c r="R2175" s="13" t="s">
        <v>0</v>
      </c>
      <c r="S2175" s="13" t="s">
        <v>0</v>
      </c>
      <c r="T2175" s="13" t="s">
        <v>9</v>
      </c>
      <c r="U2175" s="13" t="s">
        <v>0</v>
      </c>
      <c r="V2175" s="13" t="s">
        <v>0</v>
      </c>
      <c r="W2175" s="13" t="s">
        <v>0</v>
      </c>
      <c r="X2175" s="13" t="s">
        <v>0</v>
      </c>
      <c r="Y2175" s="13" t="s">
        <v>10</v>
      </c>
      <c r="Z2175" s="13" t="s">
        <v>0</v>
      </c>
      <c r="AA2175" s="14"/>
      <c r="AB2175" s="13" t="s">
        <v>0</v>
      </c>
      <c r="AC2175" s="13" t="s">
        <v>0</v>
      </c>
      <c r="AD2175" s="13" t="s">
        <v>0</v>
      </c>
      <c r="AE2175" s="15">
        <v>0</v>
      </c>
    </row>
    <row r="2176" spans="1:31" ht="14.15" customHeight="1" x14ac:dyDescent="0.25">
      <c r="A2176" s="12" t="s">
        <v>0</v>
      </c>
      <c r="B2176" s="13" t="s">
        <v>1</v>
      </c>
      <c r="C2176" s="13" t="s">
        <v>2197</v>
      </c>
      <c r="D2176" s="14">
        <v>44210</v>
      </c>
      <c r="E2176" s="14">
        <v>44210</v>
      </c>
      <c r="F2176" s="14">
        <v>44217</v>
      </c>
      <c r="G2176" s="13" t="s">
        <v>3</v>
      </c>
      <c r="H2176" s="13" t="s">
        <v>4</v>
      </c>
      <c r="I2176" s="15">
        <v>-4735.2</v>
      </c>
      <c r="J2176" s="13" t="s">
        <v>5</v>
      </c>
      <c r="K2176" s="13" t="s">
        <v>6</v>
      </c>
      <c r="L2176" s="15">
        <v>-397520.04</v>
      </c>
      <c r="M2176" s="15">
        <v>-4735.2</v>
      </c>
      <c r="N2176" s="16" t="str">
        <f>IF(M2176="","",IF(M2176&lt;0,-M2176&amp;"_"&amp;COUNTIF(M$2:M2176,M2176),M2176&amp;"_"&amp;COUNTIF(M$2:M2176,M2176)))</f>
        <v>4735.2_1</v>
      </c>
      <c r="O2176" s="17" t="str">
        <f t="shared" si="33"/>
        <v/>
      </c>
      <c r="P2176" s="13" t="s">
        <v>2198</v>
      </c>
      <c r="Q2176" s="13" t="s">
        <v>2176</v>
      </c>
      <c r="R2176" s="13" t="s">
        <v>0</v>
      </c>
      <c r="S2176" s="13" t="s">
        <v>0</v>
      </c>
      <c r="T2176" s="13" t="s">
        <v>9</v>
      </c>
      <c r="U2176" s="13" t="s">
        <v>0</v>
      </c>
      <c r="V2176" s="13" t="s">
        <v>0</v>
      </c>
      <c r="W2176" s="13" t="s">
        <v>0</v>
      </c>
      <c r="X2176" s="13" t="s">
        <v>0</v>
      </c>
      <c r="Y2176" s="13" t="s">
        <v>10</v>
      </c>
      <c r="Z2176" s="13" t="s">
        <v>0</v>
      </c>
      <c r="AA2176" s="14"/>
      <c r="AB2176" s="13" t="s">
        <v>0</v>
      </c>
      <c r="AC2176" s="13" t="s">
        <v>0</v>
      </c>
      <c r="AD2176" s="13" t="s">
        <v>0</v>
      </c>
      <c r="AE2176" s="15">
        <v>0</v>
      </c>
    </row>
    <row r="2177" spans="1:31" ht="14.15" customHeight="1" x14ac:dyDescent="0.25">
      <c r="A2177" s="12" t="s">
        <v>0</v>
      </c>
      <c r="B2177" s="13" t="s">
        <v>1</v>
      </c>
      <c r="C2177" s="13" t="s">
        <v>3539</v>
      </c>
      <c r="D2177" s="14">
        <v>44324</v>
      </c>
      <c r="E2177" s="14">
        <v>44324</v>
      </c>
      <c r="F2177" s="14">
        <v>44340</v>
      </c>
      <c r="G2177" s="13" t="s">
        <v>3</v>
      </c>
      <c r="H2177" s="13" t="s">
        <v>4</v>
      </c>
      <c r="I2177" s="15">
        <v>-4723.1000000000004</v>
      </c>
      <c r="J2177" s="13" t="s">
        <v>5</v>
      </c>
      <c r="K2177" s="13" t="s">
        <v>6</v>
      </c>
      <c r="L2177" s="15">
        <v>-396504.25</v>
      </c>
      <c r="M2177" s="15">
        <v>-4723.1000000000004</v>
      </c>
      <c r="N2177" s="16" t="str">
        <f>IF(M2177="","",IF(M2177&lt;0,-M2177&amp;"_"&amp;COUNTIF(M$2:M2177,M2177),M2177&amp;"_"&amp;COUNTIF(M$2:M2177,M2177)))</f>
        <v>4723.1_1</v>
      </c>
      <c r="O2177" s="17" t="str">
        <f t="shared" si="33"/>
        <v/>
      </c>
      <c r="P2177" s="13" t="s">
        <v>3540</v>
      </c>
      <c r="Q2177" s="13" t="s">
        <v>3512</v>
      </c>
      <c r="R2177" s="13" t="s">
        <v>0</v>
      </c>
      <c r="S2177" s="13" t="s">
        <v>0</v>
      </c>
      <c r="T2177" s="13" t="s">
        <v>9</v>
      </c>
      <c r="U2177" s="13" t="s">
        <v>0</v>
      </c>
      <c r="V2177" s="13" t="s">
        <v>0</v>
      </c>
      <c r="W2177" s="13" t="s">
        <v>0</v>
      </c>
      <c r="X2177" s="13" t="s">
        <v>0</v>
      </c>
      <c r="Y2177" s="13" t="s">
        <v>10</v>
      </c>
      <c r="Z2177" s="13" t="s">
        <v>0</v>
      </c>
      <c r="AA2177" s="14"/>
      <c r="AB2177" s="13" t="s">
        <v>0</v>
      </c>
      <c r="AC2177" s="13" t="s">
        <v>0</v>
      </c>
      <c r="AD2177" s="13" t="s">
        <v>0</v>
      </c>
      <c r="AE2177" s="15">
        <v>0</v>
      </c>
    </row>
    <row r="2178" spans="1:31" ht="14.15" customHeight="1" x14ac:dyDescent="0.25">
      <c r="A2178" s="12" t="s">
        <v>0</v>
      </c>
      <c r="B2178" s="13" t="s">
        <v>1</v>
      </c>
      <c r="C2178" s="13" t="s">
        <v>336</v>
      </c>
      <c r="D2178" s="14">
        <v>44046</v>
      </c>
      <c r="E2178" s="14">
        <v>44046</v>
      </c>
      <c r="F2178" s="14">
        <v>44051</v>
      </c>
      <c r="G2178" s="13" t="s">
        <v>3</v>
      </c>
      <c r="H2178" s="13" t="s">
        <v>4</v>
      </c>
      <c r="I2178" s="15">
        <v>-4720.57</v>
      </c>
      <c r="J2178" s="13" t="s">
        <v>5</v>
      </c>
      <c r="K2178" s="13" t="s">
        <v>6</v>
      </c>
      <c r="L2178" s="15">
        <v>-396291.85</v>
      </c>
      <c r="M2178" s="15">
        <v>-4720.57</v>
      </c>
      <c r="N2178" s="16" t="str">
        <f>IF(M2178="","",IF(M2178&lt;0,-M2178&amp;"_"&amp;COUNTIF(M$2:M2178,M2178),M2178&amp;"_"&amp;COUNTIF(M$2:M2178,M2178)))</f>
        <v>4720.57_1</v>
      </c>
      <c r="O2178" s="17" t="str">
        <f t="shared" ref="O2178:O2241" si="34">IF(COUNTIF(N:N,N2178)=2,"x","")</f>
        <v/>
      </c>
      <c r="P2178" s="13" t="s">
        <v>337</v>
      </c>
      <c r="Q2178" s="13" t="s">
        <v>338</v>
      </c>
      <c r="R2178" s="13" t="s">
        <v>0</v>
      </c>
      <c r="S2178" s="13" t="s">
        <v>0</v>
      </c>
      <c r="T2178" s="13" t="s">
        <v>9</v>
      </c>
      <c r="U2178" s="13" t="s">
        <v>0</v>
      </c>
      <c r="V2178" s="13" t="s">
        <v>0</v>
      </c>
      <c r="W2178" s="13" t="s">
        <v>0</v>
      </c>
      <c r="X2178" s="13" t="s">
        <v>0</v>
      </c>
      <c r="Y2178" s="13" t="s">
        <v>10</v>
      </c>
      <c r="Z2178" s="13" t="s">
        <v>0</v>
      </c>
      <c r="AA2178" s="14"/>
      <c r="AB2178" s="13" t="s">
        <v>0</v>
      </c>
      <c r="AC2178" s="13" t="s">
        <v>0</v>
      </c>
      <c r="AD2178" s="13" t="s">
        <v>0</v>
      </c>
      <c r="AE2178" s="15">
        <v>0</v>
      </c>
    </row>
    <row r="2179" spans="1:31" ht="14.15" customHeight="1" x14ac:dyDescent="0.25">
      <c r="A2179" s="12" t="s">
        <v>0</v>
      </c>
      <c r="B2179" s="13" t="s">
        <v>1</v>
      </c>
      <c r="C2179" s="13" t="s">
        <v>2102</v>
      </c>
      <c r="D2179" s="14">
        <v>44199</v>
      </c>
      <c r="E2179" s="14">
        <v>44199</v>
      </c>
      <c r="F2179" s="14">
        <v>44202</v>
      </c>
      <c r="G2179" s="13" t="s">
        <v>3</v>
      </c>
      <c r="H2179" s="13" t="s">
        <v>4</v>
      </c>
      <c r="I2179" s="15">
        <v>-4718.3999999999996</v>
      </c>
      <c r="J2179" s="13" t="s">
        <v>5</v>
      </c>
      <c r="K2179" s="13" t="s">
        <v>6</v>
      </c>
      <c r="L2179" s="15">
        <v>-396109.68</v>
      </c>
      <c r="M2179" s="15">
        <v>-4718.3999999999996</v>
      </c>
      <c r="N2179" s="16" t="str">
        <f>IF(M2179="","",IF(M2179&lt;0,-M2179&amp;"_"&amp;COUNTIF(M$2:M2179,M2179),M2179&amp;"_"&amp;COUNTIF(M$2:M2179,M2179)))</f>
        <v>4718.4_1</v>
      </c>
      <c r="O2179" s="17" t="str">
        <f t="shared" si="34"/>
        <v/>
      </c>
      <c r="P2179" s="13" t="s">
        <v>2103</v>
      </c>
      <c r="Q2179" s="13" t="s">
        <v>2093</v>
      </c>
      <c r="R2179" s="13" t="s">
        <v>0</v>
      </c>
      <c r="S2179" s="13" t="s">
        <v>0</v>
      </c>
      <c r="T2179" s="13" t="s">
        <v>9</v>
      </c>
      <c r="U2179" s="13" t="s">
        <v>0</v>
      </c>
      <c r="V2179" s="13" t="s">
        <v>0</v>
      </c>
      <c r="W2179" s="13" t="s">
        <v>0</v>
      </c>
      <c r="X2179" s="13" t="s">
        <v>0</v>
      </c>
      <c r="Y2179" s="13" t="s">
        <v>10</v>
      </c>
      <c r="Z2179" s="13" t="s">
        <v>0</v>
      </c>
      <c r="AA2179" s="14"/>
      <c r="AB2179" s="13" t="s">
        <v>0</v>
      </c>
      <c r="AC2179" s="13" t="s">
        <v>0</v>
      </c>
      <c r="AD2179" s="13" t="s">
        <v>0</v>
      </c>
      <c r="AE2179" s="15">
        <v>0</v>
      </c>
    </row>
    <row r="2180" spans="1:31" ht="14.15" customHeight="1" x14ac:dyDescent="0.25">
      <c r="A2180" s="12" t="s">
        <v>0</v>
      </c>
      <c r="B2180" s="13" t="s">
        <v>1</v>
      </c>
      <c r="C2180" s="13" t="s">
        <v>2102</v>
      </c>
      <c r="D2180" s="14">
        <v>44199</v>
      </c>
      <c r="E2180" s="14">
        <v>44199</v>
      </c>
      <c r="F2180" s="14">
        <v>44202</v>
      </c>
      <c r="G2180" s="13" t="s">
        <v>3</v>
      </c>
      <c r="H2180" s="13" t="s">
        <v>4</v>
      </c>
      <c r="I2180" s="15">
        <v>-4718.3999999999996</v>
      </c>
      <c r="J2180" s="13" t="s">
        <v>5</v>
      </c>
      <c r="K2180" s="13" t="s">
        <v>6</v>
      </c>
      <c r="L2180" s="15">
        <v>-396109.68</v>
      </c>
      <c r="M2180" s="15">
        <v>-4718.3999999999996</v>
      </c>
      <c r="N2180" s="16" t="str">
        <f>IF(M2180="","",IF(M2180&lt;0,-M2180&amp;"_"&amp;COUNTIF(M$2:M2180,M2180),M2180&amp;"_"&amp;COUNTIF(M$2:M2180,M2180)))</f>
        <v>4718.4_2</v>
      </c>
      <c r="O2180" s="17" t="str">
        <f t="shared" si="34"/>
        <v/>
      </c>
      <c r="P2180" s="13" t="s">
        <v>2103</v>
      </c>
      <c r="Q2180" s="13" t="s">
        <v>2093</v>
      </c>
      <c r="R2180" s="13" t="s">
        <v>0</v>
      </c>
      <c r="S2180" s="13" t="s">
        <v>0</v>
      </c>
      <c r="T2180" s="13" t="s">
        <v>9</v>
      </c>
      <c r="U2180" s="13" t="s">
        <v>0</v>
      </c>
      <c r="V2180" s="13" t="s">
        <v>0</v>
      </c>
      <c r="W2180" s="13" t="s">
        <v>0</v>
      </c>
      <c r="X2180" s="13" t="s">
        <v>0</v>
      </c>
      <c r="Y2180" s="13" t="s">
        <v>10</v>
      </c>
      <c r="Z2180" s="13" t="s">
        <v>0</v>
      </c>
      <c r="AA2180" s="14"/>
      <c r="AB2180" s="13" t="s">
        <v>0</v>
      </c>
      <c r="AC2180" s="13" t="s">
        <v>0</v>
      </c>
      <c r="AD2180" s="13" t="s">
        <v>0</v>
      </c>
      <c r="AE2180" s="15">
        <v>0</v>
      </c>
    </row>
    <row r="2181" spans="1:31" ht="14.15" customHeight="1" x14ac:dyDescent="0.25">
      <c r="A2181" s="12" t="s">
        <v>0</v>
      </c>
      <c r="B2181" s="13" t="s">
        <v>1</v>
      </c>
      <c r="C2181" s="13" t="s">
        <v>1606</v>
      </c>
      <c r="D2181" s="14">
        <v>44168</v>
      </c>
      <c r="E2181" s="14">
        <v>44168</v>
      </c>
      <c r="F2181" s="14">
        <v>44174</v>
      </c>
      <c r="G2181" s="13" t="s">
        <v>3</v>
      </c>
      <c r="H2181" s="13" t="s">
        <v>4</v>
      </c>
      <c r="I2181" s="15">
        <v>-4702.3599999999997</v>
      </c>
      <c r="J2181" s="13" t="s">
        <v>5</v>
      </c>
      <c r="K2181" s="13" t="s">
        <v>6</v>
      </c>
      <c r="L2181" s="15">
        <v>-394763.12</v>
      </c>
      <c r="M2181" s="15">
        <v>-4702.3599999999997</v>
      </c>
      <c r="N2181" s="16" t="str">
        <f>IF(M2181="","",IF(M2181&lt;0,-M2181&amp;"_"&amp;COUNTIF(M$2:M2181,M2181),M2181&amp;"_"&amp;COUNTIF(M$2:M2181,M2181)))</f>
        <v>4702.36_1</v>
      </c>
      <c r="O2181" s="17" t="str">
        <f t="shared" si="34"/>
        <v/>
      </c>
      <c r="P2181" s="13" t="s">
        <v>1607</v>
      </c>
      <c r="Q2181" s="13" t="s">
        <v>1605</v>
      </c>
      <c r="R2181" s="13" t="s">
        <v>0</v>
      </c>
      <c r="S2181" s="13" t="s">
        <v>0</v>
      </c>
      <c r="T2181" s="13" t="s">
        <v>9</v>
      </c>
      <c r="U2181" s="13" t="s">
        <v>0</v>
      </c>
      <c r="V2181" s="13" t="s">
        <v>0</v>
      </c>
      <c r="W2181" s="13" t="s">
        <v>0</v>
      </c>
      <c r="X2181" s="13" t="s">
        <v>0</v>
      </c>
      <c r="Y2181" s="13" t="s">
        <v>10</v>
      </c>
      <c r="Z2181" s="13" t="s">
        <v>0</v>
      </c>
      <c r="AA2181" s="14"/>
      <c r="AB2181" s="13" t="s">
        <v>0</v>
      </c>
      <c r="AC2181" s="13" t="s">
        <v>0</v>
      </c>
      <c r="AD2181" s="13" t="s">
        <v>0</v>
      </c>
      <c r="AE2181" s="15">
        <v>0</v>
      </c>
    </row>
    <row r="2182" spans="1:31" ht="14.15" customHeight="1" x14ac:dyDescent="0.25">
      <c r="A2182" s="12" t="s">
        <v>0</v>
      </c>
      <c r="B2182" s="13" t="s">
        <v>1</v>
      </c>
      <c r="C2182" s="13" t="s">
        <v>1133</v>
      </c>
      <c r="D2182" s="14">
        <v>44138</v>
      </c>
      <c r="E2182" s="14">
        <v>44138</v>
      </c>
      <c r="F2182" s="14">
        <v>44145</v>
      </c>
      <c r="G2182" s="13" t="s">
        <v>3</v>
      </c>
      <c r="H2182" s="13" t="s">
        <v>4</v>
      </c>
      <c r="I2182" s="15">
        <v>-4699.92</v>
      </c>
      <c r="J2182" s="13" t="s">
        <v>5</v>
      </c>
      <c r="K2182" s="13" t="s">
        <v>6</v>
      </c>
      <c r="L2182" s="15">
        <v>-394558.28</v>
      </c>
      <c r="M2182" s="15">
        <v>-4699.92</v>
      </c>
      <c r="N2182" s="16" t="str">
        <f>IF(M2182="","",IF(M2182&lt;0,-M2182&amp;"_"&amp;COUNTIF(M$2:M2182,M2182),M2182&amp;"_"&amp;COUNTIF(M$2:M2182,M2182)))</f>
        <v>4699.92_1</v>
      </c>
      <c r="O2182" s="17" t="str">
        <f t="shared" si="34"/>
        <v/>
      </c>
      <c r="P2182" s="13" t="s">
        <v>1134</v>
      </c>
      <c r="Q2182" s="13" t="s">
        <v>1135</v>
      </c>
      <c r="R2182" s="13" t="s">
        <v>0</v>
      </c>
      <c r="S2182" s="13" t="s">
        <v>0</v>
      </c>
      <c r="T2182" s="13" t="s">
        <v>9</v>
      </c>
      <c r="U2182" s="13" t="s">
        <v>0</v>
      </c>
      <c r="V2182" s="13" t="s">
        <v>0</v>
      </c>
      <c r="W2182" s="13" t="s">
        <v>0</v>
      </c>
      <c r="X2182" s="13" t="s">
        <v>0</v>
      </c>
      <c r="Y2182" s="13" t="s">
        <v>10</v>
      </c>
      <c r="Z2182" s="13" t="s">
        <v>0</v>
      </c>
      <c r="AA2182" s="14"/>
      <c r="AB2182" s="13" t="s">
        <v>0</v>
      </c>
      <c r="AC2182" s="13" t="s">
        <v>0</v>
      </c>
      <c r="AD2182" s="13" t="s">
        <v>0</v>
      </c>
      <c r="AE2182" s="15">
        <v>0</v>
      </c>
    </row>
    <row r="2183" spans="1:31" ht="14.15" customHeight="1" x14ac:dyDescent="0.25">
      <c r="A2183" s="12" t="s">
        <v>0</v>
      </c>
      <c r="B2183" s="13" t="s">
        <v>1</v>
      </c>
      <c r="C2183" s="13" t="s">
        <v>702</v>
      </c>
      <c r="D2183" s="14">
        <v>44091</v>
      </c>
      <c r="E2183" s="14">
        <v>44091</v>
      </c>
      <c r="F2183" s="14">
        <v>44112</v>
      </c>
      <c r="G2183" s="13" t="s">
        <v>3</v>
      </c>
      <c r="H2183" s="13" t="s">
        <v>4</v>
      </c>
      <c r="I2183" s="15">
        <v>-4693.43</v>
      </c>
      <c r="J2183" s="13" t="s">
        <v>5</v>
      </c>
      <c r="K2183" s="13" t="s">
        <v>6</v>
      </c>
      <c r="L2183" s="15">
        <v>-394013.45</v>
      </c>
      <c r="M2183" s="15">
        <v>-4693.43</v>
      </c>
      <c r="N2183" s="16" t="str">
        <f>IF(M2183="","",IF(M2183&lt;0,-M2183&amp;"_"&amp;COUNTIF(M$2:M2183,M2183),M2183&amp;"_"&amp;COUNTIF(M$2:M2183,M2183)))</f>
        <v>4693.43_1</v>
      </c>
      <c r="O2183" s="17" t="str">
        <f t="shared" si="34"/>
        <v/>
      </c>
      <c r="P2183" s="13" t="s">
        <v>703</v>
      </c>
      <c r="Q2183" s="13" t="s">
        <v>704</v>
      </c>
      <c r="R2183" s="13" t="s">
        <v>0</v>
      </c>
      <c r="S2183" s="13" t="s">
        <v>0</v>
      </c>
      <c r="T2183" s="13" t="s">
        <v>9</v>
      </c>
      <c r="U2183" s="13" t="s">
        <v>0</v>
      </c>
      <c r="V2183" s="13" t="s">
        <v>0</v>
      </c>
      <c r="W2183" s="13" t="s">
        <v>0</v>
      </c>
      <c r="X2183" s="13" t="s">
        <v>0</v>
      </c>
      <c r="Y2183" s="13" t="s">
        <v>10</v>
      </c>
      <c r="Z2183" s="13" t="s">
        <v>0</v>
      </c>
      <c r="AA2183" s="14"/>
      <c r="AB2183" s="13" t="s">
        <v>0</v>
      </c>
      <c r="AC2183" s="13" t="s">
        <v>0</v>
      </c>
      <c r="AD2183" s="13" t="s">
        <v>0</v>
      </c>
      <c r="AE2183" s="15">
        <v>0</v>
      </c>
    </row>
    <row r="2184" spans="1:31" ht="14.15" customHeight="1" x14ac:dyDescent="0.25">
      <c r="A2184" s="12" t="s">
        <v>0</v>
      </c>
      <c r="B2184" s="13" t="s">
        <v>1</v>
      </c>
      <c r="C2184" s="13" t="s">
        <v>1773</v>
      </c>
      <c r="D2184" s="14">
        <v>44181</v>
      </c>
      <c r="E2184" s="14">
        <v>44181</v>
      </c>
      <c r="F2184" s="14">
        <v>44187</v>
      </c>
      <c r="G2184" s="13" t="s">
        <v>3</v>
      </c>
      <c r="H2184" s="13" t="s">
        <v>4</v>
      </c>
      <c r="I2184" s="15">
        <v>-4686.04</v>
      </c>
      <c r="J2184" s="13" t="s">
        <v>5</v>
      </c>
      <c r="K2184" s="13" t="s">
        <v>6</v>
      </c>
      <c r="L2184" s="15">
        <v>-393393.06</v>
      </c>
      <c r="M2184" s="15">
        <v>-4686.04</v>
      </c>
      <c r="N2184" s="16" t="str">
        <f>IF(M2184="","",IF(M2184&lt;0,-M2184&amp;"_"&amp;COUNTIF(M$2:M2184,M2184),M2184&amp;"_"&amp;COUNTIF(M$2:M2184,M2184)))</f>
        <v>4686.04_1</v>
      </c>
      <c r="O2184" s="17" t="str">
        <f t="shared" si="34"/>
        <v/>
      </c>
      <c r="P2184" s="13" t="s">
        <v>1774</v>
      </c>
      <c r="Q2184" s="13" t="s">
        <v>1766</v>
      </c>
      <c r="R2184" s="13" t="s">
        <v>0</v>
      </c>
      <c r="S2184" s="13" t="s">
        <v>0</v>
      </c>
      <c r="T2184" s="13" t="s">
        <v>9</v>
      </c>
      <c r="U2184" s="13" t="s">
        <v>0</v>
      </c>
      <c r="V2184" s="13" t="s">
        <v>0</v>
      </c>
      <c r="W2184" s="13" t="s">
        <v>0</v>
      </c>
      <c r="X2184" s="13" t="s">
        <v>0</v>
      </c>
      <c r="Y2184" s="13" t="s">
        <v>10</v>
      </c>
      <c r="Z2184" s="13" t="s">
        <v>0</v>
      </c>
      <c r="AA2184" s="14"/>
      <c r="AB2184" s="13" t="s">
        <v>0</v>
      </c>
      <c r="AC2184" s="13" t="s">
        <v>0</v>
      </c>
      <c r="AD2184" s="13" t="s">
        <v>0</v>
      </c>
      <c r="AE2184" s="15">
        <v>0</v>
      </c>
    </row>
    <row r="2185" spans="1:31" ht="14.15" customHeight="1" x14ac:dyDescent="0.25">
      <c r="A2185" s="12" t="s">
        <v>0</v>
      </c>
      <c r="B2185" s="13" t="s">
        <v>1</v>
      </c>
      <c r="C2185" s="13" t="s">
        <v>1664</v>
      </c>
      <c r="D2185" s="14">
        <v>44171</v>
      </c>
      <c r="E2185" s="14">
        <v>44171</v>
      </c>
      <c r="F2185" s="14">
        <v>44186</v>
      </c>
      <c r="G2185" s="13" t="s">
        <v>3</v>
      </c>
      <c r="H2185" s="13" t="s">
        <v>4</v>
      </c>
      <c r="I2185" s="15">
        <v>-4684.1899999999996</v>
      </c>
      <c r="J2185" s="13" t="s">
        <v>5</v>
      </c>
      <c r="K2185" s="13" t="s">
        <v>6</v>
      </c>
      <c r="L2185" s="15">
        <v>-393237.75</v>
      </c>
      <c r="M2185" s="15">
        <v>-4684.1899999999996</v>
      </c>
      <c r="N2185" s="16" t="str">
        <f>IF(M2185="","",IF(M2185&lt;0,-M2185&amp;"_"&amp;COUNTIF(M$2:M2185,M2185),M2185&amp;"_"&amp;COUNTIF(M$2:M2185,M2185)))</f>
        <v>4684.19_1</v>
      </c>
      <c r="O2185" s="17" t="str">
        <f t="shared" si="34"/>
        <v/>
      </c>
      <c r="P2185" s="13" t="s">
        <v>1665</v>
      </c>
      <c r="Q2185" s="13" t="s">
        <v>1659</v>
      </c>
      <c r="R2185" s="13" t="s">
        <v>0</v>
      </c>
      <c r="S2185" s="13" t="s">
        <v>0</v>
      </c>
      <c r="T2185" s="13" t="s">
        <v>9</v>
      </c>
      <c r="U2185" s="13" t="s">
        <v>0</v>
      </c>
      <c r="V2185" s="13" t="s">
        <v>0</v>
      </c>
      <c r="W2185" s="13" t="s">
        <v>0</v>
      </c>
      <c r="X2185" s="13" t="s">
        <v>0</v>
      </c>
      <c r="Y2185" s="13" t="s">
        <v>10</v>
      </c>
      <c r="Z2185" s="13" t="s">
        <v>0</v>
      </c>
      <c r="AA2185" s="14"/>
      <c r="AB2185" s="13" t="s">
        <v>0</v>
      </c>
      <c r="AC2185" s="13" t="s">
        <v>0</v>
      </c>
      <c r="AD2185" s="13" t="s">
        <v>0</v>
      </c>
      <c r="AE2185" s="15">
        <v>0</v>
      </c>
    </row>
    <row r="2186" spans="1:31" ht="14.15" customHeight="1" x14ac:dyDescent="0.25">
      <c r="A2186" s="12" t="s">
        <v>0</v>
      </c>
      <c r="B2186" s="13" t="s">
        <v>1</v>
      </c>
      <c r="C2186" s="13" t="s">
        <v>3907</v>
      </c>
      <c r="D2186" s="14">
        <v>44353</v>
      </c>
      <c r="E2186" s="14">
        <v>44353</v>
      </c>
      <c r="F2186" s="14">
        <v>44364</v>
      </c>
      <c r="G2186" s="13" t="s">
        <v>3</v>
      </c>
      <c r="H2186" s="13" t="s">
        <v>4</v>
      </c>
      <c r="I2186" s="15">
        <v>-4680</v>
      </c>
      <c r="J2186" s="13" t="s">
        <v>5</v>
      </c>
      <c r="K2186" s="13" t="s">
        <v>6</v>
      </c>
      <c r="L2186" s="15">
        <v>-392886</v>
      </c>
      <c r="M2186" s="15">
        <v>-4680</v>
      </c>
      <c r="N2186" s="16" t="str">
        <f>IF(M2186="","",IF(M2186&lt;0,-M2186&amp;"_"&amp;COUNTIF(M$2:M2186,M2186),M2186&amp;"_"&amp;COUNTIF(M$2:M2186,M2186)))</f>
        <v>4680_1</v>
      </c>
      <c r="O2186" s="17" t="str">
        <f t="shared" si="34"/>
        <v/>
      </c>
      <c r="P2186" s="13" t="s">
        <v>3908</v>
      </c>
      <c r="Q2186" s="13" t="s">
        <v>3886</v>
      </c>
      <c r="R2186" s="13" t="s">
        <v>0</v>
      </c>
      <c r="S2186" s="13" t="s">
        <v>0</v>
      </c>
      <c r="T2186" s="13" t="s">
        <v>9</v>
      </c>
      <c r="U2186" s="13" t="s">
        <v>0</v>
      </c>
      <c r="V2186" s="13" t="s">
        <v>0</v>
      </c>
      <c r="W2186" s="13" t="s">
        <v>0</v>
      </c>
      <c r="X2186" s="13" t="s">
        <v>0</v>
      </c>
      <c r="Y2186" s="13" t="s">
        <v>10</v>
      </c>
      <c r="Z2186" s="13" t="s">
        <v>0</v>
      </c>
      <c r="AA2186" s="14"/>
      <c r="AB2186" s="13" t="s">
        <v>0</v>
      </c>
      <c r="AC2186" s="13" t="s">
        <v>0</v>
      </c>
      <c r="AD2186" s="13" t="s">
        <v>0</v>
      </c>
      <c r="AE2186" s="15">
        <v>0</v>
      </c>
    </row>
    <row r="2187" spans="1:31" ht="14.15" customHeight="1" x14ac:dyDescent="0.25">
      <c r="A2187" s="12" t="s">
        <v>0</v>
      </c>
      <c r="B2187" s="13" t="s">
        <v>1</v>
      </c>
      <c r="C2187" s="13" t="s">
        <v>4098</v>
      </c>
      <c r="D2187" s="14">
        <v>44362</v>
      </c>
      <c r="E2187" s="14">
        <v>44362</v>
      </c>
      <c r="F2187" s="14">
        <v>44366</v>
      </c>
      <c r="G2187" s="13" t="s">
        <v>3</v>
      </c>
      <c r="H2187" s="13" t="s">
        <v>4</v>
      </c>
      <c r="I2187" s="15">
        <v>-4675.71</v>
      </c>
      <c r="J2187" s="13" t="s">
        <v>5</v>
      </c>
      <c r="K2187" s="13" t="s">
        <v>6</v>
      </c>
      <c r="L2187" s="15">
        <v>-392525.85</v>
      </c>
      <c r="M2187" s="15">
        <v>-4675.71</v>
      </c>
      <c r="N2187" s="16" t="str">
        <f>IF(M2187="","",IF(M2187&lt;0,-M2187&amp;"_"&amp;COUNTIF(M$2:M2187,M2187),M2187&amp;"_"&amp;COUNTIF(M$2:M2187,M2187)))</f>
        <v>4675.71_1</v>
      </c>
      <c r="O2187" s="17" t="str">
        <f t="shared" si="34"/>
        <v/>
      </c>
      <c r="P2187" s="13" t="s">
        <v>4099</v>
      </c>
      <c r="Q2187" s="13" t="s">
        <v>4100</v>
      </c>
      <c r="R2187" s="13" t="s">
        <v>0</v>
      </c>
      <c r="S2187" s="13" t="s">
        <v>0</v>
      </c>
      <c r="T2187" s="13" t="s">
        <v>9</v>
      </c>
      <c r="U2187" s="13" t="s">
        <v>0</v>
      </c>
      <c r="V2187" s="13" t="s">
        <v>0</v>
      </c>
      <c r="W2187" s="13" t="s">
        <v>0</v>
      </c>
      <c r="X2187" s="13" t="s">
        <v>0</v>
      </c>
      <c r="Y2187" s="13" t="s">
        <v>10</v>
      </c>
      <c r="Z2187" s="13" t="s">
        <v>0</v>
      </c>
      <c r="AA2187" s="14"/>
      <c r="AB2187" s="13" t="s">
        <v>0</v>
      </c>
      <c r="AC2187" s="13" t="s">
        <v>0</v>
      </c>
      <c r="AD2187" s="13" t="s">
        <v>0</v>
      </c>
      <c r="AE2187" s="15">
        <v>0</v>
      </c>
    </row>
    <row r="2188" spans="1:31" ht="14.15" customHeight="1" x14ac:dyDescent="0.25">
      <c r="A2188" s="12" t="s">
        <v>0</v>
      </c>
      <c r="B2188" s="13" t="s">
        <v>1</v>
      </c>
      <c r="C2188" s="13" t="s">
        <v>2860</v>
      </c>
      <c r="D2188" s="14">
        <v>44273</v>
      </c>
      <c r="E2188" s="14">
        <v>44273</v>
      </c>
      <c r="F2188" s="14">
        <v>44279</v>
      </c>
      <c r="G2188" s="13" t="s">
        <v>3</v>
      </c>
      <c r="H2188" s="13" t="s">
        <v>4</v>
      </c>
      <c r="I2188" s="15">
        <v>-4672.37</v>
      </c>
      <c r="J2188" s="13" t="s">
        <v>5</v>
      </c>
      <c r="K2188" s="13" t="s">
        <v>6</v>
      </c>
      <c r="L2188" s="15">
        <v>-392245.46</v>
      </c>
      <c r="M2188" s="15">
        <v>-4672.37</v>
      </c>
      <c r="N2188" s="16" t="str">
        <f>IF(M2188="","",IF(M2188&lt;0,-M2188&amp;"_"&amp;COUNTIF(M$2:M2188,M2188),M2188&amp;"_"&amp;COUNTIF(M$2:M2188,M2188)))</f>
        <v>4672.37_1</v>
      </c>
      <c r="O2188" s="17" t="str">
        <f t="shared" si="34"/>
        <v/>
      </c>
      <c r="P2188" s="13" t="s">
        <v>2861</v>
      </c>
      <c r="Q2188" s="13" t="s">
        <v>2857</v>
      </c>
      <c r="R2188" s="13" t="s">
        <v>0</v>
      </c>
      <c r="S2188" s="13" t="s">
        <v>0</v>
      </c>
      <c r="T2188" s="13" t="s">
        <v>9</v>
      </c>
      <c r="U2188" s="13" t="s">
        <v>0</v>
      </c>
      <c r="V2188" s="13" t="s">
        <v>0</v>
      </c>
      <c r="W2188" s="13" t="s">
        <v>0</v>
      </c>
      <c r="X2188" s="13" t="s">
        <v>0</v>
      </c>
      <c r="Y2188" s="13" t="s">
        <v>10</v>
      </c>
      <c r="Z2188" s="13" t="s">
        <v>0</v>
      </c>
      <c r="AA2188" s="14"/>
      <c r="AB2188" s="13" t="s">
        <v>0</v>
      </c>
      <c r="AC2188" s="13" t="s">
        <v>0</v>
      </c>
      <c r="AD2188" s="13" t="s">
        <v>0</v>
      </c>
      <c r="AE2188" s="15">
        <v>0</v>
      </c>
    </row>
    <row r="2189" spans="1:31" ht="14.15" customHeight="1" x14ac:dyDescent="0.25">
      <c r="A2189" s="12" t="s">
        <v>0</v>
      </c>
      <c r="B2189" s="13" t="s">
        <v>1</v>
      </c>
      <c r="C2189" s="13" t="s">
        <v>228</v>
      </c>
      <c r="D2189" s="14">
        <v>44039</v>
      </c>
      <c r="E2189" s="14">
        <v>44039</v>
      </c>
      <c r="F2189" s="14">
        <v>44042</v>
      </c>
      <c r="G2189" s="13" t="s">
        <v>3</v>
      </c>
      <c r="H2189" s="13" t="s">
        <v>4</v>
      </c>
      <c r="I2189" s="15">
        <v>-4667.3</v>
      </c>
      <c r="J2189" s="13" t="s">
        <v>5</v>
      </c>
      <c r="K2189" s="13" t="s">
        <v>6</v>
      </c>
      <c r="L2189" s="15">
        <v>-391819.84</v>
      </c>
      <c r="M2189" s="15">
        <v>-4667.3</v>
      </c>
      <c r="N2189" s="16" t="str">
        <f>IF(M2189="","",IF(M2189&lt;0,-M2189&amp;"_"&amp;COUNTIF(M$2:M2189,M2189),M2189&amp;"_"&amp;COUNTIF(M$2:M2189,M2189)))</f>
        <v>4667.3_1</v>
      </c>
      <c r="O2189" s="17" t="str">
        <f t="shared" si="34"/>
        <v/>
      </c>
      <c r="P2189" s="13" t="s">
        <v>229</v>
      </c>
      <c r="Q2189" s="13" t="s">
        <v>230</v>
      </c>
      <c r="R2189" s="13" t="s">
        <v>0</v>
      </c>
      <c r="S2189" s="13" t="s">
        <v>0</v>
      </c>
      <c r="T2189" s="13" t="s">
        <v>9</v>
      </c>
      <c r="U2189" s="13" t="s">
        <v>0</v>
      </c>
      <c r="V2189" s="13" t="s">
        <v>0</v>
      </c>
      <c r="W2189" s="13" t="s">
        <v>0</v>
      </c>
      <c r="X2189" s="13" t="s">
        <v>0</v>
      </c>
      <c r="Y2189" s="13" t="s">
        <v>10</v>
      </c>
      <c r="Z2189" s="13" t="s">
        <v>0</v>
      </c>
      <c r="AA2189" s="14"/>
      <c r="AB2189" s="13" t="s">
        <v>0</v>
      </c>
      <c r="AC2189" s="13" t="s">
        <v>0</v>
      </c>
      <c r="AD2189" s="13" t="s">
        <v>0</v>
      </c>
      <c r="AE2189" s="15">
        <v>0</v>
      </c>
    </row>
    <row r="2190" spans="1:31" ht="14.15" customHeight="1" x14ac:dyDescent="0.25">
      <c r="A2190" s="12" t="s">
        <v>0</v>
      </c>
      <c r="B2190" s="13" t="s">
        <v>1</v>
      </c>
      <c r="C2190" s="13" t="s">
        <v>3075</v>
      </c>
      <c r="D2190" s="14">
        <v>44285</v>
      </c>
      <c r="E2190" s="14">
        <v>44285</v>
      </c>
      <c r="F2190" s="14">
        <v>44290</v>
      </c>
      <c r="G2190" s="13" t="s">
        <v>3</v>
      </c>
      <c r="H2190" s="13" t="s">
        <v>4</v>
      </c>
      <c r="I2190" s="15">
        <v>-4658.78</v>
      </c>
      <c r="J2190" s="13" t="s">
        <v>5</v>
      </c>
      <c r="K2190" s="13" t="s">
        <v>6</v>
      </c>
      <c r="L2190" s="15">
        <v>-391104.58</v>
      </c>
      <c r="M2190" s="15">
        <v>-4658.78</v>
      </c>
      <c r="N2190" s="16" t="str">
        <f>IF(M2190="","",IF(M2190&lt;0,-M2190&amp;"_"&amp;COUNTIF(M$2:M2190,M2190),M2190&amp;"_"&amp;COUNTIF(M$2:M2190,M2190)))</f>
        <v>4658.78_1</v>
      </c>
      <c r="O2190" s="17" t="str">
        <f t="shared" si="34"/>
        <v/>
      </c>
      <c r="P2190" s="13" t="s">
        <v>3076</v>
      </c>
      <c r="Q2190" s="13" t="s">
        <v>3074</v>
      </c>
      <c r="R2190" s="13" t="s">
        <v>0</v>
      </c>
      <c r="S2190" s="13" t="s">
        <v>0</v>
      </c>
      <c r="T2190" s="13" t="s">
        <v>9</v>
      </c>
      <c r="U2190" s="13" t="s">
        <v>0</v>
      </c>
      <c r="V2190" s="13" t="s">
        <v>0</v>
      </c>
      <c r="W2190" s="13" t="s">
        <v>0</v>
      </c>
      <c r="X2190" s="13" t="s">
        <v>0</v>
      </c>
      <c r="Y2190" s="13" t="s">
        <v>10</v>
      </c>
      <c r="Z2190" s="13" t="s">
        <v>0</v>
      </c>
      <c r="AA2190" s="14"/>
      <c r="AB2190" s="13" t="s">
        <v>0</v>
      </c>
      <c r="AC2190" s="13" t="s">
        <v>0</v>
      </c>
      <c r="AD2190" s="13" t="s">
        <v>0</v>
      </c>
      <c r="AE2190" s="15">
        <v>0</v>
      </c>
    </row>
    <row r="2191" spans="1:31" ht="14.15" customHeight="1" x14ac:dyDescent="0.25">
      <c r="A2191" s="12" t="s">
        <v>0</v>
      </c>
      <c r="B2191" s="13" t="s">
        <v>1</v>
      </c>
      <c r="C2191" s="13" t="s">
        <v>1447</v>
      </c>
      <c r="D2191" s="14">
        <v>44158</v>
      </c>
      <c r="E2191" s="14">
        <v>44158</v>
      </c>
      <c r="F2191" s="14">
        <v>44163</v>
      </c>
      <c r="G2191" s="13" t="s">
        <v>3</v>
      </c>
      <c r="H2191" s="13" t="s">
        <v>4</v>
      </c>
      <c r="I2191" s="15">
        <v>-4655.13</v>
      </c>
      <c r="J2191" s="13" t="s">
        <v>5</v>
      </c>
      <c r="K2191" s="13" t="s">
        <v>6</v>
      </c>
      <c r="L2191" s="15">
        <v>-390798.16</v>
      </c>
      <c r="M2191" s="15">
        <v>-4655.13</v>
      </c>
      <c r="N2191" s="16" t="str">
        <f>IF(M2191="","",IF(M2191&lt;0,-M2191&amp;"_"&amp;COUNTIF(M$2:M2191,M2191),M2191&amp;"_"&amp;COUNTIF(M$2:M2191,M2191)))</f>
        <v>4655.13_1</v>
      </c>
      <c r="O2191" s="17" t="str">
        <f t="shared" si="34"/>
        <v/>
      </c>
      <c r="P2191" s="13" t="s">
        <v>1448</v>
      </c>
      <c r="Q2191" s="13" t="s">
        <v>1444</v>
      </c>
      <c r="R2191" s="13" t="s">
        <v>0</v>
      </c>
      <c r="S2191" s="13" t="s">
        <v>0</v>
      </c>
      <c r="T2191" s="13" t="s">
        <v>9</v>
      </c>
      <c r="U2191" s="13" t="s">
        <v>0</v>
      </c>
      <c r="V2191" s="13" t="s">
        <v>0</v>
      </c>
      <c r="W2191" s="13" t="s">
        <v>0</v>
      </c>
      <c r="X2191" s="13" t="s">
        <v>0</v>
      </c>
      <c r="Y2191" s="13" t="s">
        <v>10</v>
      </c>
      <c r="Z2191" s="13" t="s">
        <v>0</v>
      </c>
      <c r="AA2191" s="14"/>
      <c r="AB2191" s="13" t="s">
        <v>0</v>
      </c>
      <c r="AC2191" s="13" t="s">
        <v>0</v>
      </c>
      <c r="AD2191" s="13" t="s">
        <v>0</v>
      </c>
      <c r="AE2191" s="15">
        <v>0</v>
      </c>
    </row>
    <row r="2192" spans="1:31" ht="14.15" customHeight="1" x14ac:dyDescent="0.25">
      <c r="A2192" s="12" t="s">
        <v>0</v>
      </c>
      <c r="B2192" s="13" t="s">
        <v>1</v>
      </c>
      <c r="C2192" s="13" t="s">
        <v>2846</v>
      </c>
      <c r="D2192" s="14">
        <v>44272</v>
      </c>
      <c r="E2192" s="14">
        <v>44272</v>
      </c>
      <c r="F2192" s="14">
        <v>44278</v>
      </c>
      <c r="G2192" s="13" t="s">
        <v>3</v>
      </c>
      <c r="H2192" s="13" t="s">
        <v>4</v>
      </c>
      <c r="I2192" s="15">
        <v>-4654.5600000000004</v>
      </c>
      <c r="J2192" s="13" t="s">
        <v>5</v>
      </c>
      <c r="K2192" s="13" t="s">
        <v>6</v>
      </c>
      <c r="L2192" s="15">
        <v>-390750.31</v>
      </c>
      <c r="M2192" s="15">
        <v>-4654.5600000000004</v>
      </c>
      <c r="N2192" s="16" t="str">
        <f>IF(M2192="","",IF(M2192&lt;0,-M2192&amp;"_"&amp;COUNTIF(M$2:M2192,M2192),M2192&amp;"_"&amp;COUNTIF(M$2:M2192,M2192)))</f>
        <v>4654.56_1</v>
      </c>
      <c r="O2192" s="17" t="str">
        <f t="shared" si="34"/>
        <v/>
      </c>
      <c r="P2192" s="13" t="s">
        <v>2847</v>
      </c>
      <c r="Q2192" s="13" t="s">
        <v>2848</v>
      </c>
      <c r="R2192" s="13" t="s">
        <v>0</v>
      </c>
      <c r="S2192" s="13" t="s">
        <v>0</v>
      </c>
      <c r="T2192" s="13" t="s">
        <v>9</v>
      </c>
      <c r="U2192" s="13" t="s">
        <v>0</v>
      </c>
      <c r="V2192" s="13" t="s">
        <v>0</v>
      </c>
      <c r="W2192" s="13" t="s">
        <v>0</v>
      </c>
      <c r="X2192" s="13" t="s">
        <v>0</v>
      </c>
      <c r="Y2192" s="13" t="s">
        <v>10</v>
      </c>
      <c r="Z2192" s="13" t="s">
        <v>0</v>
      </c>
      <c r="AA2192" s="14"/>
      <c r="AB2192" s="13" t="s">
        <v>0</v>
      </c>
      <c r="AC2192" s="13" t="s">
        <v>0</v>
      </c>
      <c r="AD2192" s="13" t="s">
        <v>0</v>
      </c>
      <c r="AE2192" s="15">
        <v>0</v>
      </c>
    </row>
    <row r="2193" spans="1:31" ht="14.15" customHeight="1" x14ac:dyDescent="0.25">
      <c r="A2193" s="12" t="s">
        <v>0</v>
      </c>
      <c r="B2193" s="13" t="s">
        <v>1</v>
      </c>
      <c r="C2193" s="13" t="s">
        <v>2043</v>
      </c>
      <c r="D2193" s="14">
        <v>44197</v>
      </c>
      <c r="E2193" s="14">
        <v>44197</v>
      </c>
      <c r="F2193" s="14">
        <v>44202</v>
      </c>
      <c r="G2193" s="13" t="s">
        <v>3</v>
      </c>
      <c r="H2193" s="13" t="s">
        <v>4</v>
      </c>
      <c r="I2193" s="15">
        <v>-4653.3599999999997</v>
      </c>
      <c r="J2193" s="13" t="s">
        <v>5</v>
      </c>
      <c r="K2193" s="13" t="s">
        <v>6</v>
      </c>
      <c r="L2193" s="15">
        <v>-390649.58</v>
      </c>
      <c r="M2193" s="15">
        <v>-4653.3599999999997</v>
      </c>
      <c r="N2193" s="16" t="str">
        <f>IF(M2193="","",IF(M2193&lt;0,-M2193&amp;"_"&amp;COUNTIF(M$2:M2193,M2193),M2193&amp;"_"&amp;COUNTIF(M$2:M2193,M2193)))</f>
        <v>4653.36_1</v>
      </c>
      <c r="O2193" s="17" t="str">
        <f t="shared" si="34"/>
        <v/>
      </c>
      <c r="P2193" s="13" t="s">
        <v>2044</v>
      </c>
      <c r="Q2193" s="13" t="s">
        <v>2034</v>
      </c>
      <c r="R2193" s="13" t="s">
        <v>0</v>
      </c>
      <c r="S2193" s="13" t="s">
        <v>0</v>
      </c>
      <c r="T2193" s="13" t="s">
        <v>9</v>
      </c>
      <c r="U2193" s="13" t="s">
        <v>0</v>
      </c>
      <c r="V2193" s="13" t="s">
        <v>0</v>
      </c>
      <c r="W2193" s="13" t="s">
        <v>0</v>
      </c>
      <c r="X2193" s="13" t="s">
        <v>0</v>
      </c>
      <c r="Y2193" s="13" t="s">
        <v>10</v>
      </c>
      <c r="Z2193" s="13" t="s">
        <v>0</v>
      </c>
      <c r="AA2193" s="14"/>
      <c r="AB2193" s="13" t="s">
        <v>0</v>
      </c>
      <c r="AC2193" s="13" t="s">
        <v>0</v>
      </c>
      <c r="AD2193" s="13" t="s">
        <v>0</v>
      </c>
      <c r="AE2193" s="15">
        <v>0</v>
      </c>
    </row>
    <row r="2194" spans="1:31" ht="14.15" customHeight="1" x14ac:dyDescent="0.25">
      <c r="A2194" s="12" t="s">
        <v>0</v>
      </c>
      <c r="B2194" s="13" t="s">
        <v>1</v>
      </c>
      <c r="C2194" s="13" t="s">
        <v>1424</v>
      </c>
      <c r="D2194" s="14">
        <v>44156</v>
      </c>
      <c r="E2194" s="14">
        <v>44156</v>
      </c>
      <c r="F2194" s="14">
        <v>44159</v>
      </c>
      <c r="G2194" s="13" t="s">
        <v>3</v>
      </c>
      <c r="H2194" s="13" t="s">
        <v>4</v>
      </c>
      <c r="I2194" s="15">
        <v>-4641.6000000000004</v>
      </c>
      <c r="J2194" s="13" t="s">
        <v>5</v>
      </c>
      <c r="K2194" s="13" t="s">
        <v>6</v>
      </c>
      <c r="L2194" s="15">
        <v>-389662.32</v>
      </c>
      <c r="M2194" s="15">
        <v>-4641.6000000000004</v>
      </c>
      <c r="N2194" s="16" t="str">
        <f>IF(M2194="","",IF(M2194&lt;0,-M2194&amp;"_"&amp;COUNTIF(M$2:M2194,M2194),M2194&amp;"_"&amp;COUNTIF(M$2:M2194,M2194)))</f>
        <v>4641.6_1</v>
      </c>
      <c r="O2194" s="17" t="str">
        <f t="shared" si="34"/>
        <v/>
      </c>
      <c r="P2194" s="13" t="s">
        <v>1425</v>
      </c>
      <c r="Q2194" s="13" t="s">
        <v>1426</v>
      </c>
      <c r="R2194" s="13" t="s">
        <v>0</v>
      </c>
      <c r="S2194" s="13" t="s">
        <v>0</v>
      </c>
      <c r="T2194" s="13" t="s">
        <v>9</v>
      </c>
      <c r="U2194" s="13" t="s">
        <v>0</v>
      </c>
      <c r="V2194" s="13" t="s">
        <v>0</v>
      </c>
      <c r="W2194" s="13" t="s">
        <v>0</v>
      </c>
      <c r="X2194" s="13" t="s">
        <v>0</v>
      </c>
      <c r="Y2194" s="13" t="s">
        <v>10</v>
      </c>
      <c r="Z2194" s="13" t="s">
        <v>0</v>
      </c>
      <c r="AA2194" s="14"/>
      <c r="AB2194" s="13" t="s">
        <v>0</v>
      </c>
      <c r="AC2194" s="13" t="s">
        <v>0</v>
      </c>
      <c r="AD2194" s="13" t="s">
        <v>0</v>
      </c>
      <c r="AE2194" s="15">
        <v>0</v>
      </c>
    </row>
    <row r="2195" spans="1:31" ht="14.15" customHeight="1" x14ac:dyDescent="0.25">
      <c r="A2195" s="12" t="s">
        <v>0</v>
      </c>
      <c r="B2195" s="13" t="s">
        <v>1</v>
      </c>
      <c r="C2195" s="13" t="s">
        <v>3451</v>
      </c>
      <c r="D2195" s="14">
        <v>44320</v>
      </c>
      <c r="E2195" s="14">
        <v>44320</v>
      </c>
      <c r="F2195" s="14">
        <v>44325</v>
      </c>
      <c r="G2195" s="13" t="s">
        <v>3</v>
      </c>
      <c r="H2195" s="13" t="s">
        <v>4</v>
      </c>
      <c r="I2195" s="15">
        <v>-4639.62</v>
      </c>
      <c r="J2195" s="13" t="s">
        <v>5</v>
      </c>
      <c r="K2195" s="13" t="s">
        <v>6</v>
      </c>
      <c r="L2195" s="15">
        <v>-389496.1</v>
      </c>
      <c r="M2195" s="15">
        <v>-4639.62</v>
      </c>
      <c r="N2195" s="16" t="str">
        <f>IF(M2195="","",IF(M2195&lt;0,-M2195&amp;"_"&amp;COUNTIF(M$2:M2195,M2195),M2195&amp;"_"&amp;COUNTIF(M$2:M2195,M2195)))</f>
        <v>4639.62_1</v>
      </c>
      <c r="O2195" s="17" t="str">
        <f t="shared" si="34"/>
        <v/>
      </c>
      <c r="P2195" s="13" t="s">
        <v>3452</v>
      </c>
      <c r="Q2195" s="13" t="s">
        <v>3453</v>
      </c>
      <c r="R2195" s="13" t="s">
        <v>0</v>
      </c>
      <c r="S2195" s="13" t="s">
        <v>0</v>
      </c>
      <c r="T2195" s="13" t="s">
        <v>9</v>
      </c>
      <c r="U2195" s="13" t="s">
        <v>0</v>
      </c>
      <c r="V2195" s="13" t="s">
        <v>0</v>
      </c>
      <c r="W2195" s="13" t="s">
        <v>0</v>
      </c>
      <c r="X2195" s="13" t="s">
        <v>0</v>
      </c>
      <c r="Y2195" s="13" t="s">
        <v>10</v>
      </c>
      <c r="Z2195" s="13" t="s">
        <v>0</v>
      </c>
      <c r="AA2195" s="14"/>
      <c r="AB2195" s="13" t="s">
        <v>0</v>
      </c>
      <c r="AC2195" s="13" t="s">
        <v>0</v>
      </c>
      <c r="AD2195" s="13" t="s">
        <v>0</v>
      </c>
      <c r="AE2195" s="15">
        <v>0</v>
      </c>
    </row>
    <row r="2196" spans="1:31" ht="14.15" customHeight="1" x14ac:dyDescent="0.25">
      <c r="A2196" s="12" t="s">
        <v>0</v>
      </c>
      <c r="B2196" s="13" t="s">
        <v>1</v>
      </c>
      <c r="C2196" s="13" t="s">
        <v>1588</v>
      </c>
      <c r="D2196" s="14">
        <v>44166</v>
      </c>
      <c r="E2196" s="14">
        <v>44166</v>
      </c>
      <c r="F2196" s="14">
        <v>44189</v>
      </c>
      <c r="G2196" s="13" t="s">
        <v>3</v>
      </c>
      <c r="H2196" s="13" t="s">
        <v>4</v>
      </c>
      <c r="I2196" s="15">
        <v>-4636.32</v>
      </c>
      <c r="J2196" s="13" t="s">
        <v>5</v>
      </c>
      <c r="K2196" s="13" t="s">
        <v>6</v>
      </c>
      <c r="L2196" s="15">
        <v>-389219.06</v>
      </c>
      <c r="M2196" s="15">
        <v>-4636.32</v>
      </c>
      <c r="N2196" s="16" t="str">
        <f>IF(M2196="","",IF(M2196&lt;0,-M2196&amp;"_"&amp;COUNTIF(M$2:M2196,M2196),M2196&amp;"_"&amp;COUNTIF(M$2:M2196,M2196)))</f>
        <v>4636.32_1</v>
      </c>
      <c r="O2196" s="17" t="str">
        <f t="shared" si="34"/>
        <v/>
      </c>
      <c r="P2196" s="13" t="s">
        <v>1589</v>
      </c>
      <c r="Q2196" s="13" t="s">
        <v>1579</v>
      </c>
      <c r="R2196" s="13" t="s">
        <v>0</v>
      </c>
      <c r="S2196" s="13" t="s">
        <v>0</v>
      </c>
      <c r="T2196" s="13" t="s">
        <v>9</v>
      </c>
      <c r="U2196" s="13" t="s">
        <v>0</v>
      </c>
      <c r="V2196" s="13" t="s">
        <v>0</v>
      </c>
      <c r="W2196" s="13" t="s">
        <v>0</v>
      </c>
      <c r="X2196" s="13" t="s">
        <v>0</v>
      </c>
      <c r="Y2196" s="13" t="s">
        <v>10</v>
      </c>
      <c r="Z2196" s="13" t="s">
        <v>0</v>
      </c>
      <c r="AA2196" s="14"/>
      <c r="AB2196" s="13" t="s">
        <v>0</v>
      </c>
      <c r="AC2196" s="13" t="s">
        <v>0</v>
      </c>
      <c r="AD2196" s="13" t="s">
        <v>0</v>
      </c>
      <c r="AE2196" s="15">
        <v>0</v>
      </c>
    </row>
    <row r="2197" spans="1:31" ht="14.15" customHeight="1" x14ac:dyDescent="0.25">
      <c r="A2197" s="12" t="s">
        <v>0</v>
      </c>
      <c r="B2197" s="13" t="s">
        <v>1</v>
      </c>
      <c r="C2197" s="13" t="s">
        <v>3849</v>
      </c>
      <c r="D2197" s="14">
        <v>44350</v>
      </c>
      <c r="E2197" s="14">
        <v>44350</v>
      </c>
      <c r="F2197" s="14">
        <v>44356</v>
      </c>
      <c r="G2197" s="13" t="s">
        <v>3</v>
      </c>
      <c r="H2197" s="13" t="s">
        <v>4</v>
      </c>
      <c r="I2197" s="15">
        <v>-4633.42</v>
      </c>
      <c r="J2197" s="13" t="s">
        <v>5</v>
      </c>
      <c r="K2197" s="13" t="s">
        <v>6</v>
      </c>
      <c r="L2197" s="15">
        <v>-388975.61</v>
      </c>
      <c r="M2197" s="15">
        <v>-4633.42</v>
      </c>
      <c r="N2197" s="16" t="str">
        <f>IF(M2197="","",IF(M2197&lt;0,-M2197&amp;"_"&amp;COUNTIF(M$2:M2197,M2197),M2197&amp;"_"&amp;COUNTIF(M$2:M2197,M2197)))</f>
        <v>4633.42_1</v>
      </c>
      <c r="O2197" s="17" t="str">
        <f t="shared" si="34"/>
        <v/>
      </c>
      <c r="P2197" s="13" t="s">
        <v>3850</v>
      </c>
      <c r="Q2197" s="13" t="s">
        <v>3844</v>
      </c>
      <c r="R2197" s="13" t="s">
        <v>0</v>
      </c>
      <c r="S2197" s="13" t="s">
        <v>0</v>
      </c>
      <c r="T2197" s="13" t="s">
        <v>9</v>
      </c>
      <c r="U2197" s="13" t="s">
        <v>0</v>
      </c>
      <c r="V2197" s="13" t="s">
        <v>0</v>
      </c>
      <c r="W2197" s="13" t="s">
        <v>0</v>
      </c>
      <c r="X2197" s="13" t="s">
        <v>0</v>
      </c>
      <c r="Y2197" s="13" t="s">
        <v>10</v>
      </c>
      <c r="Z2197" s="13" t="s">
        <v>0</v>
      </c>
      <c r="AA2197" s="14"/>
      <c r="AB2197" s="13" t="s">
        <v>0</v>
      </c>
      <c r="AC2197" s="13" t="s">
        <v>0</v>
      </c>
      <c r="AD2197" s="13" t="s">
        <v>0</v>
      </c>
      <c r="AE2197" s="15">
        <v>0</v>
      </c>
    </row>
    <row r="2198" spans="1:31" ht="14.15" customHeight="1" x14ac:dyDescent="0.25">
      <c r="A2198" s="12" t="s">
        <v>0</v>
      </c>
      <c r="B2198" s="13" t="s">
        <v>303</v>
      </c>
      <c r="C2198" s="13" t="s">
        <v>834</v>
      </c>
      <c r="D2198" s="14">
        <v>44104</v>
      </c>
      <c r="E2198" s="14">
        <v>44104</v>
      </c>
      <c r="F2198" s="14">
        <v>44114</v>
      </c>
      <c r="G2198" s="13" t="s">
        <v>48</v>
      </c>
      <c r="H2198" s="13" t="s">
        <v>4</v>
      </c>
      <c r="I2198" s="15">
        <v>-4632.3999999999996</v>
      </c>
      <c r="J2198" s="13" t="s">
        <v>5</v>
      </c>
      <c r="K2198" s="13" t="s">
        <v>6</v>
      </c>
      <c r="L2198" s="15">
        <v>-388889.98</v>
      </c>
      <c r="M2198" s="15">
        <v>-4632.3999999999996</v>
      </c>
      <c r="N2198" s="16" t="str">
        <f>IF(M2198="","",IF(M2198&lt;0,-M2198&amp;"_"&amp;COUNTIF(M$2:M2198,M2198),M2198&amp;"_"&amp;COUNTIF(M$2:M2198,M2198)))</f>
        <v>4632.4_1</v>
      </c>
      <c r="O2198" s="17" t="str">
        <f t="shared" si="34"/>
        <v/>
      </c>
      <c r="P2198" s="13" t="s">
        <v>835</v>
      </c>
      <c r="Q2198" s="13" t="s">
        <v>835</v>
      </c>
      <c r="R2198" s="13" t="s">
        <v>306</v>
      </c>
      <c r="S2198" s="13" t="s">
        <v>0</v>
      </c>
      <c r="T2198" s="13" t="s">
        <v>9</v>
      </c>
      <c r="U2198" s="13" t="s">
        <v>307</v>
      </c>
      <c r="V2198" s="13" t="s">
        <v>0</v>
      </c>
      <c r="W2198" s="13" t="s">
        <v>0</v>
      </c>
      <c r="X2198" s="13" t="s">
        <v>0</v>
      </c>
      <c r="Y2198" s="13" t="s">
        <v>291</v>
      </c>
      <c r="Z2198" s="13" t="s">
        <v>0</v>
      </c>
      <c r="AA2198" s="14"/>
      <c r="AB2198" s="13" t="s">
        <v>0</v>
      </c>
      <c r="AC2198" s="13" t="s">
        <v>0</v>
      </c>
      <c r="AD2198" s="13" t="s">
        <v>0</v>
      </c>
      <c r="AE2198" s="15">
        <v>0</v>
      </c>
    </row>
    <row r="2199" spans="1:31" ht="14.15" customHeight="1" x14ac:dyDescent="0.25">
      <c r="A2199" s="12" t="s">
        <v>0</v>
      </c>
      <c r="B2199" s="13" t="s">
        <v>1</v>
      </c>
      <c r="C2199" s="13" t="s">
        <v>65</v>
      </c>
      <c r="D2199" s="14">
        <v>44018</v>
      </c>
      <c r="E2199" s="14">
        <v>44018</v>
      </c>
      <c r="F2199" s="14">
        <v>44025</v>
      </c>
      <c r="G2199" s="13" t="s">
        <v>3</v>
      </c>
      <c r="H2199" s="13" t="s">
        <v>4</v>
      </c>
      <c r="I2199" s="15">
        <v>-4627.54</v>
      </c>
      <c r="J2199" s="13" t="s">
        <v>5</v>
      </c>
      <c r="K2199" s="13" t="s">
        <v>6</v>
      </c>
      <c r="L2199" s="15">
        <v>-388481.98</v>
      </c>
      <c r="M2199" s="15">
        <v>-4627.54</v>
      </c>
      <c r="N2199" s="16" t="str">
        <f>IF(M2199="","",IF(M2199&lt;0,-M2199&amp;"_"&amp;COUNTIF(M$2:M2199,M2199),M2199&amp;"_"&amp;COUNTIF(M$2:M2199,M2199)))</f>
        <v>4627.54_1</v>
      </c>
      <c r="O2199" s="17" t="str">
        <f t="shared" si="34"/>
        <v/>
      </c>
      <c r="P2199" s="13" t="s">
        <v>66</v>
      </c>
      <c r="Q2199" s="13" t="s">
        <v>62</v>
      </c>
      <c r="R2199" s="13" t="s">
        <v>0</v>
      </c>
      <c r="S2199" s="13" t="s">
        <v>0</v>
      </c>
      <c r="T2199" s="13" t="s">
        <v>9</v>
      </c>
      <c r="U2199" s="13" t="s">
        <v>0</v>
      </c>
      <c r="V2199" s="13" t="s">
        <v>0</v>
      </c>
      <c r="W2199" s="13" t="s">
        <v>0</v>
      </c>
      <c r="X2199" s="13" t="s">
        <v>0</v>
      </c>
      <c r="Y2199" s="13" t="s">
        <v>10</v>
      </c>
      <c r="Z2199" s="13" t="s">
        <v>0</v>
      </c>
      <c r="AA2199" s="14"/>
      <c r="AB2199" s="13" t="s">
        <v>0</v>
      </c>
      <c r="AC2199" s="13" t="s">
        <v>0</v>
      </c>
      <c r="AD2199" s="13" t="s">
        <v>0</v>
      </c>
      <c r="AE2199" s="15">
        <v>0</v>
      </c>
    </row>
    <row r="2200" spans="1:31" ht="14.15" customHeight="1" x14ac:dyDescent="0.25">
      <c r="A2200" s="12" t="s">
        <v>0</v>
      </c>
      <c r="B2200" s="13" t="s">
        <v>1</v>
      </c>
      <c r="C2200" s="13" t="s">
        <v>4263</v>
      </c>
      <c r="D2200" s="14">
        <v>44369</v>
      </c>
      <c r="E2200" s="14">
        <v>44369</v>
      </c>
      <c r="F2200" s="14">
        <v>44373</v>
      </c>
      <c r="G2200" s="13" t="s">
        <v>3</v>
      </c>
      <c r="H2200" s="13" t="s">
        <v>4</v>
      </c>
      <c r="I2200" s="15">
        <v>-4612.1000000000004</v>
      </c>
      <c r="J2200" s="13" t="s">
        <v>5</v>
      </c>
      <c r="K2200" s="13" t="s">
        <v>6</v>
      </c>
      <c r="L2200" s="15">
        <v>-387185.8</v>
      </c>
      <c r="M2200" s="15">
        <v>-4612.1000000000004</v>
      </c>
      <c r="N2200" s="16" t="str">
        <f>IF(M2200="","",IF(M2200&lt;0,-M2200&amp;"_"&amp;COUNTIF(M$2:M2200,M2200),M2200&amp;"_"&amp;COUNTIF(M$2:M2200,M2200)))</f>
        <v>4612.1_1</v>
      </c>
      <c r="O2200" s="17" t="str">
        <f t="shared" si="34"/>
        <v/>
      </c>
      <c r="P2200" s="13" t="s">
        <v>4264</v>
      </c>
      <c r="Q2200" s="13" t="s">
        <v>4248</v>
      </c>
      <c r="R2200" s="13" t="s">
        <v>0</v>
      </c>
      <c r="S2200" s="13" t="s">
        <v>0</v>
      </c>
      <c r="T2200" s="13" t="s">
        <v>9</v>
      </c>
      <c r="U2200" s="13" t="s">
        <v>0</v>
      </c>
      <c r="V2200" s="13" t="s">
        <v>0</v>
      </c>
      <c r="W2200" s="13" t="s">
        <v>0</v>
      </c>
      <c r="X2200" s="13" t="s">
        <v>0</v>
      </c>
      <c r="Y2200" s="13" t="s">
        <v>10</v>
      </c>
      <c r="Z2200" s="13" t="s">
        <v>0</v>
      </c>
      <c r="AA2200" s="14"/>
      <c r="AB2200" s="13" t="s">
        <v>0</v>
      </c>
      <c r="AC2200" s="13" t="s">
        <v>0</v>
      </c>
      <c r="AD2200" s="13" t="s">
        <v>0</v>
      </c>
      <c r="AE2200" s="15">
        <v>0</v>
      </c>
    </row>
    <row r="2201" spans="1:31" ht="14.15" customHeight="1" x14ac:dyDescent="0.25">
      <c r="A2201" s="12" t="s">
        <v>0</v>
      </c>
      <c r="B2201" s="13" t="s">
        <v>1</v>
      </c>
      <c r="C2201" s="13" t="s">
        <v>3247</v>
      </c>
      <c r="D2201" s="14">
        <v>44307</v>
      </c>
      <c r="E2201" s="14">
        <v>44307</v>
      </c>
      <c r="F2201" s="14">
        <v>44313</v>
      </c>
      <c r="G2201" s="13" t="s">
        <v>3</v>
      </c>
      <c r="H2201" s="13" t="s">
        <v>4</v>
      </c>
      <c r="I2201" s="15">
        <v>-4609.9799999999996</v>
      </c>
      <c r="J2201" s="13" t="s">
        <v>5</v>
      </c>
      <c r="K2201" s="13" t="s">
        <v>6</v>
      </c>
      <c r="L2201" s="15">
        <v>-387007.82</v>
      </c>
      <c r="M2201" s="15">
        <v>-4609.9799999999996</v>
      </c>
      <c r="N2201" s="16" t="str">
        <f>IF(M2201="","",IF(M2201&lt;0,-M2201&amp;"_"&amp;COUNTIF(M$2:M2201,M2201),M2201&amp;"_"&amp;COUNTIF(M$2:M2201,M2201)))</f>
        <v>4609.98_1</v>
      </c>
      <c r="O2201" s="17" t="str">
        <f t="shared" si="34"/>
        <v/>
      </c>
      <c r="P2201" s="13" t="s">
        <v>3248</v>
      </c>
      <c r="Q2201" s="13" t="s">
        <v>3244</v>
      </c>
      <c r="R2201" s="13" t="s">
        <v>0</v>
      </c>
      <c r="S2201" s="13" t="s">
        <v>0</v>
      </c>
      <c r="T2201" s="13" t="s">
        <v>9</v>
      </c>
      <c r="U2201" s="13" t="s">
        <v>0</v>
      </c>
      <c r="V2201" s="13" t="s">
        <v>0</v>
      </c>
      <c r="W2201" s="13" t="s">
        <v>0</v>
      </c>
      <c r="X2201" s="13" t="s">
        <v>0</v>
      </c>
      <c r="Y2201" s="13" t="s">
        <v>10</v>
      </c>
      <c r="Z2201" s="13" t="s">
        <v>0</v>
      </c>
      <c r="AA2201" s="14"/>
      <c r="AB2201" s="13" t="s">
        <v>0</v>
      </c>
      <c r="AC2201" s="13" t="s">
        <v>0</v>
      </c>
      <c r="AD2201" s="13" t="s">
        <v>0</v>
      </c>
      <c r="AE2201" s="15">
        <v>0</v>
      </c>
    </row>
    <row r="2202" spans="1:31" ht="14.15" customHeight="1" x14ac:dyDescent="0.25">
      <c r="A2202" s="12" t="s">
        <v>0</v>
      </c>
      <c r="B2202" s="13" t="s">
        <v>1</v>
      </c>
      <c r="C2202" s="13" t="s">
        <v>396</v>
      </c>
      <c r="D2202" s="14">
        <v>44061</v>
      </c>
      <c r="E2202" s="14">
        <v>44061</v>
      </c>
      <c r="F2202" s="14">
        <v>44068</v>
      </c>
      <c r="G2202" s="13" t="s">
        <v>3</v>
      </c>
      <c r="H2202" s="13" t="s">
        <v>4</v>
      </c>
      <c r="I2202" s="15">
        <v>-4608.75</v>
      </c>
      <c r="J2202" s="13" t="s">
        <v>5</v>
      </c>
      <c r="K2202" s="13" t="s">
        <v>6</v>
      </c>
      <c r="L2202" s="15">
        <v>-386904.56</v>
      </c>
      <c r="M2202" s="15">
        <v>-4608.75</v>
      </c>
      <c r="N2202" s="16" t="str">
        <f>IF(M2202="","",IF(M2202&lt;0,-M2202&amp;"_"&amp;COUNTIF(M$2:M2202,M2202),M2202&amp;"_"&amp;COUNTIF(M$2:M2202,M2202)))</f>
        <v>4608.75_1</v>
      </c>
      <c r="O2202" s="17" t="str">
        <f t="shared" si="34"/>
        <v/>
      </c>
      <c r="P2202" s="13" t="s">
        <v>397</v>
      </c>
      <c r="Q2202" s="13" t="s">
        <v>398</v>
      </c>
      <c r="R2202" s="13" t="s">
        <v>0</v>
      </c>
      <c r="S2202" s="13" t="s">
        <v>0</v>
      </c>
      <c r="T2202" s="13" t="s">
        <v>9</v>
      </c>
      <c r="U2202" s="13" t="s">
        <v>0</v>
      </c>
      <c r="V2202" s="13" t="s">
        <v>0</v>
      </c>
      <c r="W2202" s="13" t="s">
        <v>0</v>
      </c>
      <c r="X2202" s="13" t="s">
        <v>0</v>
      </c>
      <c r="Y2202" s="13" t="s">
        <v>10</v>
      </c>
      <c r="Z2202" s="13" t="s">
        <v>0</v>
      </c>
      <c r="AA2202" s="14"/>
      <c r="AB2202" s="13" t="s">
        <v>0</v>
      </c>
      <c r="AC2202" s="13" t="s">
        <v>0</v>
      </c>
      <c r="AD2202" s="13" t="s">
        <v>0</v>
      </c>
      <c r="AE2202" s="15">
        <v>0</v>
      </c>
    </row>
    <row r="2203" spans="1:31" ht="14.15" customHeight="1" x14ac:dyDescent="0.25">
      <c r="A2203" s="12" t="s">
        <v>0</v>
      </c>
      <c r="B2203" s="13" t="s">
        <v>1</v>
      </c>
      <c r="C2203" s="13" t="s">
        <v>3832</v>
      </c>
      <c r="D2203" s="14">
        <v>44348</v>
      </c>
      <c r="E2203" s="14">
        <v>44348</v>
      </c>
      <c r="F2203" s="14">
        <v>44370</v>
      </c>
      <c r="G2203" s="13" t="s">
        <v>48</v>
      </c>
      <c r="H2203" s="13" t="s">
        <v>4</v>
      </c>
      <c r="I2203" s="15">
        <v>-4605</v>
      </c>
      <c r="J2203" s="13" t="s">
        <v>5</v>
      </c>
      <c r="K2203" s="13" t="s">
        <v>6</v>
      </c>
      <c r="L2203" s="15">
        <v>-386589.75</v>
      </c>
      <c r="M2203" s="15">
        <v>-4605</v>
      </c>
      <c r="N2203" s="16" t="str">
        <f>IF(M2203="","",IF(M2203&lt;0,-M2203&amp;"_"&amp;COUNTIF(M$2:M2203,M2203),M2203&amp;"_"&amp;COUNTIF(M$2:M2203,M2203)))</f>
        <v>4605_1</v>
      </c>
      <c r="O2203" s="17" t="str">
        <f t="shared" si="34"/>
        <v/>
      </c>
      <c r="P2203" s="13" t="s">
        <v>3833</v>
      </c>
      <c r="Q2203" s="13" t="s">
        <v>3833</v>
      </c>
      <c r="R2203" s="13" t="s">
        <v>50</v>
      </c>
      <c r="S2203" s="13" t="s">
        <v>0</v>
      </c>
      <c r="T2203" s="13" t="s">
        <v>9</v>
      </c>
      <c r="U2203" s="13" t="s">
        <v>50</v>
      </c>
      <c r="V2203" s="13" t="s">
        <v>0</v>
      </c>
      <c r="W2203" s="13" t="s">
        <v>0</v>
      </c>
      <c r="X2203" s="13" t="s">
        <v>0</v>
      </c>
      <c r="Y2203" s="13" t="s">
        <v>10</v>
      </c>
      <c r="Z2203" s="13" t="s">
        <v>0</v>
      </c>
      <c r="AA2203" s="14"/>
      <c r="AB2203" s="13" t="s">
        <v>0</v>
      </c>
      <c r="AC2203" s="13" t="s">
        <v>0</v>
      </c>
      <c r="AD2203" s="13" t="s">
        <v>0</v>
      </c>
      <c r="AE2203" s="15">
        <v>0</v>
      </c>
    </row>
    <row r="2204" spans="1:31" ht="14.15" customHeight="1" x14ac:dyDescent="0.25">
      <c r="A2204" s="12" t="s">
        <v>0</v>
      </c>
      <c r="B2204" s="13" t="s">
        <v>1</v>
      </c>
      <c r="C2204" s="13" t="s">
        <v>3727</v>
      </c>
      <c r="D2204" s="14">
        <v>44337</v>
      </c>
      <c r="E2204" s="14">
        <v>44337</v>
      </c>
      <c r="F2204" s="14">
        <v>44342</v>
      </c>
      <c r="G2204" s="13" t="s">
        <v>3</v>
      </c>
      <c r="H2204" s="13" t="s">
        <v>4</v>
      </c>
      <c r="I2204" s="15">
        <v>-4593.7700000000004</v>
      </c>
      <c r="J2204" s="13" t="s">
        <v>5</v>
      </c>
      <c r="K2204" s="13" t="s">
        <v>6</v>
      </c>
      <c r="L2204" s="15">
        <v>-385646.99</v>
      </c>
      <c r="M2204" s="15">
        <v>-4593.7700000000004</v>
      </c>
      <c r="N2204" s="16" t="str">
        <f>IF(M2204="","",IF(M2204&lt;0,-M2204&amp;"_"&amp;COUNTIF(M$2:M2204,M2204),M2204&amp;"_"&amp;COUNTIF(M$2:M2204,M2204)))</f>
        <v>4593.77_1</v>
      </c>
      <c r="O2204" s="17" t="str">
        <f t="shared" si="34"/>
        <v/>
      </c>
      <c r="P2204" s="13" t="s">
        <v>3728</v>
      </c>
      <c r="Q2204" s="13" t="s">
        <v>3726</v>
      </c>
      <c r="R2204" s="13" t="s">
        <v>0</v>
      </c>
      <c r="S2204" s="13" t="s">
        <v>0</v>
      </c>
      <c r="T2204" s="13" t="s">
        <v>9</v>
      </c>
      <c r="U2204" s="13" t="s">
        <v>0</v>
      </c>
      <c r="V2204" s="13" t="s">
        <v>0</v>
      </c>
      <c r="W2204" s="13" t="s">
        <v>0</v>
      </c>
      <c r="X2204" s="13" t="s">
        <v>0</v>
      </c>
      <c r="Y2204" s="13" t="s">
        <v>10</v>
      </c>
      <c r="Z2204" s="13" t="s">
        <v>0</v>
      </c>
      <c r="AA2204" s="14"/>
      <c r="AB2204" s="13" t="s">
        <v>0</v>
      </c>
      <c r="AC2204" s="13" t="s">
        <v>0</v>
      </c>
      <c r="AD2204" s="13" t="s">
        <v>0</v>
      </c>
      <c r="AE2204" s="15">
        <v>0</v>
      </c>
    </row>
    <row r="2205" spans="1:31" ht="14.15" customHeight="1" x14ac:dyDescent="0.25">
      <c r="A2205" s="12" t="s">
        <v>0</v>
      </c>
      <c r="B2205" s="13" t="s">
        <v>1</v>
      </c>
      <c r="C2205" s="13" t="s">
        <v>4348</v>
      </c>
      <c r="D2205" s="14">
        <v>44376</v>
      </c>
      <c r="E2205" s="14">
        <v>44376</v>
      </c>
      <c r="F2205" s="14">
        <v>44377</v>
      </c>
      <c r="G2205" s="13" t="s">
        <v>3</v>
      </c>
      <c r="H2205" s="13" t="s">
        <v>4</v>
      </c>
      <c r="I2205" s="15">
        <v>-4581.8</v>
      </c>
      <c r="J2205" s="13" t="s">
        <v>5</v>
      </c>
      <c r="K2205" s="13" t="s">
        <v>6</v>
      </c>
      <c r="L2205" s="15">
        <v>-384642.11</v>
      </c>
      <c r="M2205" s="15">
        <v>-4581.8</v>
      </c>
      <c r="N2205" s="16" t="str">
        <f>IF(M2205="","",IF(M2205&lt;0,-M2205&amp;"_"&amp;COUNTIF(M$2:M2205,M2205),M2205&amp;"_"&amp;COUNTIF(M$2:M2205,M2205)))</f>
        <v>4581.8_1</v>
      </c>
      <c r="O2205" s="17" t="str">
        <f t="shared" si="34"/>
        <v/>
      </c>
      <c r="P2205" s="13" t="s">
        <v>4349</v>
      </c>
      <c r="Q2205" s="13" t="s">
        <v>4350</v>
      </c>
      <c r="R2205" s="13" t="s">
        <v>0</v>
      </c>
      <c r="S2205" s="13" t="s">
        <v>0</v>
      </c>
      <c r="T2205" s="13" t="s">
        <v>9</v>
      </c>
      <c r="U2205" s="13" t="s">
        <v>0</v>
      </c>
      <c r="V2205" s="13" t="s">
        <v>0</v>
      </c>
      <c r="W2205" s="13" t="s">
        <v>0</v>
      </c>
      <c r="X2205" s="13" t="s">
        <v>0</v>
      </c>
      <c r="Y2205" s="13" t="s">
        <v>10</v>
      </c>
      <c r="Z2205" s="13" t="s">
        <v>0</v>
      </c>
      <c r="AA2205" s="14"/>
      <c r="AB2205" s="13" t="s">
        <v>0</v>
      </c>
      <c r="AC2205" s="13" t="s">
        <v>0</v>
      </c>
      <c r="AD2205" s="13" t="s">
        <v>0</v>
      </c>
      <c r="AE2205" s="15">
        <v>0</v>
      </c>
    </row>
    <row r="2206" spans="1:31" ht="14.15" customHeight="1" x14ac:dyDescent="0.25">
      <c r="A2206" s="12" t="s">
        <v>0</v>
      </c>
      <c r="B2206" s="13" t="s">
        <v>1</v>
      </c>
      <c r="C2206" s="13" t="s">
        <v>4199</v>
      </c>
      <c r="D2206" s="14">
        <v>44364</v>
      </c>
      <c r="E2206" s="14">
        <v>44364</v>
      </c>
      <c r="F2206" s="14">
        <v>44371</v>
      </c>
      <c r="G2206" s="13" t="s">
        <v>3</v>
      </c>
      <c r="H2206" s="13" t="s">
        <v>4</v>
      </c>
      <c r="I2206" s="15">
        <v>-4581.0200000000004</v>
      </c>
      <c r="J2206" s="13" t="s">
        <v>5</v>
      </c>
      <c r="K2206" s="13" t="s">
        <v>6</v>
      </c>
      <c r="L2206" s="15">
        <v>-384576.63</v>
      </c>
      <c r="M2206" s="15">
        <v>-4581.0200000000004</v>
      </c>
      <c r="N2206" s="16" t="str">
        <f>IF(M2206="","",IF(M2206&lt;0,-M2206&amp;"_"&amp;COUNTIF(M$2:M2206,M2206),M2206&amp;"_"&amp;COUNTIF(M$2:M2206,M2206)))</f>
        <v>4581.02_1</v>
      </c>
      <c r="O2206" s="17" t="str">
        <f t="shared" si="34"/>
        <v/>
      </c>
      <c r="P2206" s="13" t="s">
        <v>4200</v>
      </c>
      <c r="Q2206" s="13" t="s">
        <v>4180</v>
      </c>
      <c r="R2206" s="13" t="s">
        <v>0</v>
      </c>
      <c r="S2206" s="13" t="s">
        <v>0</v>
      </c>
      <c r="T2206" s="13" t="s">
        <v>9</v>
      </c>
      <c r="U2206" s="13" t="s">
        <v>0</v>
      </c>
      <c r="V2206" s="13" t="s">
        <v>0</v>
      </c>
      <c r="W2206" s="13" t="s">
        <v>0</v>
      </c>
      <c r="X2206" s="13" t="s">
        <v>0</v>
      </c>
      <c r="Y2206" s="13" t="s">
        <v>10</v>
      </c>
      <c r="Z2206" s="13" t="s">
        <v>0</v>
      </c>
      <c r="AA2206" s="14"/>
      <c r="AB2206" s="13" t="s">
        <v>0</v>
      </c>
      <c r="AC2206" s="13" t="s">
        <v>0</v>
      </c>
      <c r="AD2206" s="13" t="s">
        <v>0</v>
      </c>
      <c r="AE2206" s="15">
        <v>0</v>
      </c>
    </row>
    <row r="2207" spans="1:31" ht="14.15" customHeight="1" x14ac:dyDescent="0.25">
      <c r="A2207" s="12" t="s">
        <v>0</v>
      </c>
      <c r="B2207" s="13" t="s">
        <v>1</v>
      </c>
      <c r="C2207" s="13" t="s">
        <v>3658</v>
      </c>
      <c r="D2207" s="14">
        <v>44334</v>
      </c>
      <c r="E2207" s="14">
        <v>44334</v>
      </c>
      <c r="F2207" s="14">
        <v>44336</v>
      </c>
      <c r="G2207" s="13" t="s">
        <v>3</v>
      </c>
      <c r="H2207" s="13" t="s">
        <v>4</v>
      </c>
      <c r="I2207" s="15">
        <v>-4554.58</v>
      </c>
      <c r="J2207" s="13" t="s">
        <v>5</v>
      </c>
      <c r="K2207" s="13" t="s">
        <v>6</v>
      </c>
      <c r="L2207" s="15">
        <v>-382356.99</v>
      </c>
      <c r="M2207" s="15">
        <v>-4554.58</v>
      </c>
      <c r="N2207" s="16" t="str">
        <f>IF(M2207="","",IF(M2207&lt;0,-M2207&amp;"_"&amp;COUNTIF(M$2:M2207,M2207),M2207&amp;"_"&amp;COUNTIF(M$2:M2207,M2207)))</f>
        <v>4554.58_1</v>
      </c>
      <c r="O2207" s="17" t="str">
        <f t="shared" si="34"/>
        <v/>
      </c>
      <c r="P2207" s="13" t="s">
        <v>3659</v>
      </c>
      <c r="Q2207" s="13" t="s">
        <v>3660</v>
      </c>
      <c r="R2207" s="13" t="s">
        <v>0</v>
      </c>
      <c r="S2207" s="13" t="s">
        <v>0</v>
      </c>
      <c r="T2207" s="13" t="s">
        <v>9</v>
      </c>
      <c r="U2207" s="13" t="s">
        <v>0</v>
      </c>
      <c r="V2207" s="13" t="s">
        <v>0</v>
      </c>
      <c r="W2207" s="13" t="s">
        <v>0</v>
      </c>
      <c r="X2207" s="13" t="s">
        <v>0</v>
      </c>
      <c r="Y2207" s="13" t="s">
        <v>10</v>
      </c>
      <c r="Z2207" s="13" t="s">
        <v>0</v>
      </c>
      <c r="AA2207" s="14"/>
      <c r="AB2207" s="13" t="s">
        <v>0</v>
      </c>
      <c r="AC2207" s="13" t="s">
        <v>0</v>
      </c>
      <c r="AD2207" s="13" t="s">
        <v>0</v>
      </c>
      <c r="AE2207" s="15">
        <v>0</v>
      </c>
    </row>
    <row r="2208" spans="1:31" ht="14.15" customHeight="1" x14ac:dyDescent="0.25">
      <c r="A2208" s="12" t="s">
        <v>0</v>
      </c>
      <c r="B2208" s="13" t="s">
        <v>1</v>
      </c>
      <c r="C2208" s="13" t="s">
        <v>4355</v>
      </c>
      <c r="D2208" s="14">
        <v>44376</v>
      </c>
      <c r="E2208" s="14">
        <v>44376</v>
      </c>
      <c r="F2208" s="14">
        <v>44381</v>
      </c>
      <c r="G2208" s="13" t="s">
        <v>3</v>
      </c>
      <c r="H2208" s="13" t="s">
        <v>4</v>
      </c>
      <c r="I2208" s="15">
        <v>-4554.16</v>
      </c>
      <c r="J2208" s="13" t="s">
        <v>5</v>
      </c>
      <c r="K2208" s="13" t="s">
        <v>6</v>
      </c>
      <c r="L2208" s="15">
        <v>-382321.73</v>
      </c>
      <c r="M2208" s="15">
        <v>-4554.16</v>
      </c>
      <c r="N2208" s="16" t="str">
        <f>IF(M2208="","",IF(M2208&lt;0,-M2208&amp;"_"&amp;COUNTIF(M$2:M2208,M2208),M2208&amp;"_"&amp;COUNTIF(M$2:M2208,M2208)))</f>
        <v>4554.16_1</v>
      </c>
      <c r="O2208" s="17" t="str">
        <f t="shared" si="34"/>
        <v/>
      </c>
      <c r="P2208" s="13" t="s">
        <v>4356</v>
      </c>
      <c r="Q2208" s="13" t="s">
        <v>4350</v>
      </c>
      <c r="R2208" s="13" t="s">
        <v>0</v>
      </c>
      <c r="S2208" s="13" t="s">
        <v>0</v>
      </c>
      <c r="T2208" s="13" t="s">
        <v>9</v>
      </c>
      <c r="U2208" s="13" t="s">
        <v>0</v>
      </c>
      <c r="V2208" s="13" t="s">
        <v>0</v>
      </c>
      <c r="W2208" s="13" t="s">
        <v>0</v>
      </c>
      <c r="X2208" s="13" t="s">
        <v>0</v>
      </c>
      <c r="Y2208" s="13" t="s">
        <v>10</v>
      </c>
      <c r="Z2208" s="13" t="s">
        <v>0</v>
      </c>
      <c r="AA2208" s="14"/>
      <c r="AB2208" s="13" t="s">
        <v>0</v>
      </c>
      <c r="AC2208" s="13" t="s">
        <v>0</v>
      </c>
      <c r="AD2208" s="13" t="s">
        <v>0</v>
      </c>
      <c r="AE2208" s="15">
        <v>0</v>
      </c>
    </row>
    <row r="2209" spans="1:31" ht="14.15" customHeight="1" x14ac:dyDescent="0.25">
      <c r="A2209" s="12" t="s">
        <v>0</v>
      </c>
      <c r="B2209" s="13" t="s">
        <v>1</v>
      </c>
      <c r="C2209" s="13" t="s">
        <v>1819</v>
      </c>
      <c r="D2209" s="14">
        <v>44183</v>
      </c>
      <c r="E2209" s="14">
        <v>44183</v>
      </c>
      <c r="F2209" s="14">
        <v>44188</v>
      </c>
      <c r="G2209" s="13" t="s">
        <v>3</v>
      </c>
      <c r="H2209" s="13" t="s">
        <v>4</v>
      </c>
      <c r="I2209" s="15">
        <v>-4549.82</v>
      </c>
      <c r="J2209" s="13" t="s">
        <v>5</v>
      </c>
      <c r="K2209" s="13" t="s">
        <v>6</v>
      </c>
      <c r="L2209" s="15">
        <v>-381957.39</v>
      </c>
      <c r="M2209" s="15">
        <v>-4549.82</v>
      </c>
      <c r="N2209" s="16" t="str">
        <f>IF(M2209="","",IF(M2209&lt;0,-M2209&amp;"_"&amp;COUNTIF(M$2:M2209,M2209),M2209&amp;"_"&amp;COUNTIF(M$2:M2209,M2209)))</f>
        <v>4549.82_1</v>
      </c>
      <c r="O2209" s="17" t="str">
        <f t="shared" si="34"/>
        <v/>
      </c>
      <c r="P2209" s="13" t="s">
        <v>1820</v>
      </c>
      <c r="Q2209" s="13" t="s">
        <v>1792</v>
      </c>
      <c r="R2209" s="13" t="s">
        <v>0</v>
      </c>
      <c r="S2209" s="13" t="s">
        <v>0</v>
      </c>
      <c r="T2209" s="13" t="s">
        <v>9</v>
      </c>
      <c r="U2209" s="13" t="s">
        <v>0</v>
      </c>
      <c r="V2209" s="13" t="s">
        <v>0</v>
      </c>
      <c r="W2209" s="13" t="s">
        <v>0</v>
      </c>
      <c r="X2209" s="13" t="s">
        <v>0</v>
      </c>
      <c r="Y2209" s="13" t="s">
        <v>10</v>
      </c>
      <c r="Z2209" s="13" t="s">
        <v>0</v>
      </c>
      <c r="AA2209" s="14"/>
      <c r="AB2209" s="13" t="s">
        <v>0</v>
      </c>
      <c r="AC2209" s="13" t="s">
        <v>0</v>
      </c>
      <c r="AD2209" s="13" t="s">
        <v>0</v>
      </c>
      <c r="AE2209" s="15">
        <v>0</v>
      </c>
    </row>
    <row r="2210" spans="1:31" ht="14.15" customHeight="1" x14ac:dyDescent="0.25">
      <c r="A2210" s="12" t="s">
        <v>0</v>
      </c>
      <c r="B2210" s="13" t="s">
        <v>1</v>
      </c>
      <c r="C2210" s="13" t="s">
        <v>3798</v>
      </c>
      <c r="D2210" s="14">
        <v>44344</v>
      </c>
      <c r="E2210" s="14">
        <v>44344</v>
      </c>
      <c r="F2210" s="14">
        <v>44348</v>
      </c>
      <c r="G2210" s="13" t="s">
        <v>3</v>
      </c>
      <c r="H2210" s="13" t="s">
        <v>4</v>
      </c>
      <c r="I2210" s="15">
        <v>-4535.24</v>
      </c>
      <c r="J2210" s="13" t="s">
        <v>5</v>
      </c>
      <c r="K2210" s="13" t="s">
        <v>6</v>
      </c>
      <c r="L2210" s="15">
        <v>-380733.4</v>
      </c>
      <c r="M2210" s="15">
        <v>-4535.24</v>
      </c>
      <c r="N2210" s="16" t="str">
        <f>IF(M2210="","",IF(M2210&lt;0,-M2210&amp;"_"&amp;COUNTIF(M$2:M2210,M2210),M2210&amp;"_"&amp;COUNTIF(M$2:M2210,M2210)))</f>
        <v>4535.24_1</v>
      </c>
      <c r="O2210" s="17" t="str">
        <f t="shared" si="34"/>
        <v/>
      </c>
      <c r="P2210" s="13" t="s">
        <v>3799</v>
      </c>
      <c r="Q2210" s="13" t="s">
        <v>3778</v>
      </c>
      <c r="R2210" s="13" t="s">
        <v>0</v>
      </c>
      <c r="S2210" s="13" t="s">
        <v>0</v>
      </c>
      <c r="T2210" s="13" t="s">
        <v>9</v>
      </c>
      <c r="U2210" s="13" t="s">
        <v>0</v>
      </c>
      <c r="V2210" s="13" t="s">
        <v>0</v>
      </c>
      <c r="W2210" s="13" t="s">
        <v>0</v>
      </c>
      <c r="X2210" s="13" t="s">
        <v>0</v>
      </c>
      <c r="Y2210" s="13" t="s">
        <v>10</v>
      </c>
      <c r="Z2210" s="13" t="s">
        <v>0</v>
      </c>
      <c r="AA2210" s="14"/>
      <c r="AB2210" s="13" t="s">
        <v>0</v>
      </c>
      <c r="AC2210" s="13" t="s">
        <v>0</v>
      </c>
      <c r="AD2210" s="13" t="s">
        <v>0</v>
      </c>
      <c r="AE2210" s="15">
        <v>0</v>
      </c>
    </row>
    <row r="2211" spans="1:31" ht="14.15" customHeight="1" x14ac:dyDescent="0.25">
      <c r="A2211" s="12" t="s">
        <v>0</v>
      </c>
      <c r="B2211" s="13" t="s">
        <v>1</v>
      </c>
      <c r="C2211" s="13" t="s">
        <v>2448</v>
      </c>
      <c r="D2211" s="14">
        <v>44231</v>
      </c>
      <c r="E2211" s="14">
        <v>44231</v>
      </c>
      <c r="F2211" s="14">
        <v>44237</v>
      </c>
      <c r="G2211" s="13" t="s">
        <v>3</v>
      </c>
      <c r="H2211" s="13" t="s">
        <v>4</v>
      </c>
      <c r="I2211" s="15">
        <v>-4533.68</v>
      </c>
      <c r="J2211" s="13" t="s">
        <v>5</v>
      </c>
      <c r="K2211" s="13" t="s">
        <v>6</v>
      </c>
      <c r="L2211" s="15">
        <v>-380602.44</v>
      </c>
      <c r="M2211" s="15">
        <v>-4533.68</v>
      </c>
      <c r="N2211" s="16" t="str">
        <f>IF(M2211="","",IF(M2211&lt;0,-M2211&amp;"_"&amp;COUNTIF(M$2:M2211,M2211),M2211&amp;"_"&amp;COUNTIF(M$2:M2211,M2211)))</f>
        <v>4533.68_1</v>
      </c>
      <c r="O2211" s="17" t="str">
        <f t="shared" si="34"/>
        <v/>
      </c>
      <c r="P2211" s="13" t="s">
        <v>2449</v>
      </c>
      <c r="Q2211" s="13" t="s">
        <v>2427</v>
      </c>
      <c r="R2211" s="13" t="s">
        <v>0</v>
      </c>
      <c r="S2211" s="13" t="s">
        <v>0</v>
      </c>
      <c r="T2211" s="13" t="s">
        <v>9</v>
      </c>
      <c r="U2211" s="13" t="s">
        <v>0</v>
      </c>
      <c r="V2211" s="13" t="s">
        <v>0</v>
      </c>
      <c r="W2211" s="13" t="s">
        <v>0</v>
      </c>
      <c r="X2211" s="13" t="s">
        <v>0</v>
      </c>
      <c r="Y2211" s="13" t="s">
        <v>10</v>
      </c>
      <c r="Z2211" s="13" t="s">
        <v>0</v>
      </c>
      <c r="AA2211" s="14"/>
      <c r="AB2211" s="13" t="s">
        <v>0</v>
      </c>
      <c r="AC2211" s="13" t="s">
        <v>0</v>
      </c>
      <c r="AD2211" s="13" t="s">
        <v>0</v>
      </c>
      <c r="AE2211" s="15">
        <v>0</v>
      </c>
    </row>
    <row r="2212" spans="1:31" ht="14.15" customHeight="1" x14ac:dyDescent="0.25">
      <c r="A2212" s="12" t="s">
        <v>0</v>
      </c>
      <c r="B2212" s="13" t="s">
        <v>1</v>
      </c>
      <c r="C2212" s="13" t="s">
        <v>2410</v>
      </c>
      <c r="D2212" s="14">
        <v>44228</v>
      </c>
      <c r="E2212" s="14">
        <v>44228</v>
      </c>
      <c r="F2212" s="14">
        <v>44238</v>
      </c>
      <c r="G2212" s="13" t="s">
        <v>3</v>
      </c>
      <c r="H2212" s="13" t="s">
        <v>4</v>
      </c>
      <c r="I2212" s="15">
        <v>-4528.1499999999996</v>
      </c>
      <c r="J2212" s="13" t="s">
        <v>5</v>
      </c>
      <c r="K2212" s="13" t="s">
        <v>6</v>
      </c>
      <c r="L2212" s="15">
        <v>-380138.19</v>
      </c>
      <c r="M2212" s="15">
        <v>-4528.1499999999996</v>
      </c>
      <c r="N2212" s="16" t="str">
        <f>IF(M2212="","",IF(M2212&lt;0,-M2212&amp;"_"&amp;COUNTIF(M$2:M2212,M2212),M2212&amp;"_"&amp;COUNTIF(M$2:M2212,M2212)))</f>
        <v>4528.15_1</v>
      </c>
      <c r="O2212" s="17" t="str">
        <f t="shared" si="34"/>
        <v/>
      </c>
      <c r="P2212" s="13" t="s">
        <v>2411</v>
      </c>
      <c r="Q2212" s="13" t="s">
        <v>2412</v>
      </c>
      <c r="R2212" s="13" t="s">
        <v>0</v>
      </c>
      <c r="S2212" s="13" t="s">
        <v>0</v>
      </c>
      <c r="T2212" s="13" t="s">
        <v>9</v>
      </c>
      <c r="U2212" s="13" t="s">
        <v>0</v>
      </c>
      <c r="V2212" s="13" t="s">
        <v>0</v>
      </c>
      <c r="W2212" s="13" t="s">
        <v>0</v>
      </c>
      <c r="X2212" s="13" t="s">
        <v>0</v>
      </c>
      <c r="Y2212" s="13" t="s">
        <v>10</v>
      </c>
      <c r="Z2212" s="13" t="s">
        <v>0</v>
      </c>
      <c r="AA2212" s="14"/>
      <c r="AB2212" s="13" t="s">
        <v>0</v>
      </c>
      <c r="AC2212" s="13" t="s">
        <v>0</v>
      </c>
      <c r="AD2212" s="13" t="s">
        <v>0</v>
      </c>
      <c r="AE2212" s="15">
        <v>0</v>
      </c>
    </row>
    <row r="2213" spans="1:31" ht="14.15" customHeight="1" x14ac:dyDescent="0.25">
      <c r="A2213" s="12" t="s">
        <v>0</v>
      </c>
      <c r="B2213" s="13" t="s">
        <v>1</v>
      </c>
      <c r="C2213" s="13" t="s">
        <v>1466</v>
      </c>
      <c r="D2213" s="14">
        <v>44159</v>
      </c>
      <c r="E2213" s="14">
        <v>44159</v>
      </c>
      <c r="F2213" s="14">
        <v>44163</v>
      </c>
      <c r="G2213" s="13" t="s">
        <v>3</v>
      </c>
      <c r="H2213" s="13" t="s">
        <v>4</v>
      </c>
      <c r="I2213" s="15">
        <v>-4515.66</v>
      </c>
      <c r="J2213" s="13" t="s">
        <v>5</v>
      </c>
      <c r="K2213" s="13" t="s">
        <v>6</v>
      </c>
      <c r="L2213" s="15">
        <v>-379089.66</v>
      </c>
      <c r="M2213" s="15">
        <v>-4515.66</v>
      </c>
      <c r="N2213" s="16" t="str">
        <f>IF(M2213="","",IF(M2213&lt;0,-M2213&amp;"_"&amp;COUNTIF(M$2:M2213,M2213),M2213&amp;"_"&amp;COUNTIF(M$2:M2213,M2213)))</f>
        <v>4515.66_1</v>
      </c>
      <c r="O2213" s="17" t="str">
        <f t="shared" si="34"/>
        <v/>
      </c>
      <c r="P2213" s="13" t="s">
        <v>1467</v>
      </c>
      <c r="Q2213" s="13" t="s">
        <v>1455</v>
      </c>
      <c r="R2213" s="13" t="s">
        <v>0</v>
      </c>
      <c r="S2213" s="13" t="s">
        <v>0</v>
      </c>
      <c r="T2213" s="13" t="s">
        <v>9</v>
      </c>
      <c r="U2213" s="13" t="s">
        <v>0</v>
      </c>
      <c r="V2213" s="13" t="s">
        <v>0</v>
      </c>
      <c r="W2213" s="13" t="s">
        <v>0</v>
      </c>
      <c r="X2213" s="13" t="s">
        <v>0</v>
      </c>
      <c r="Y2213" s="13" t="s">
        <v>10</v>
      </c>
      <c r="Z2213" s="13" t="s">
        <v>0</v>
      </c>
      <c r="AA2213" s="14"/>
      <c r="AB2213" s="13" t="s">
        <v>0</v>
      </c>
      <c r="AC2213" s="13" t="s">
        <v>0</v>
      </c>
      <c r="AD2213" s="13" t="s">
        <v>0</v>
      </c>
      <c r="AE2213" s="15">
        <v>0</v>
      </c>
    </row>
    <row r="2214" spans="1:31" ht="14.15" customHeight="1" x14ac:dyDescent="0.25">
      <c r="A2214" s="12" t="s">
        <v>0</v>
      </c>
      <c r="B2214" s="13" t="s">
        <v>1</v>
      </c>
      <c r="C2214" s="13" t="s">
        <v>3066</v>
      </c>
      <c r="D2214" s="14">
        <v>44284</v>
      </c>
      <c r="E2214" s="14">
        <v>44284</v>
      </c>
      <c r="F2214" s="14">
        <v>44290</v>
      </c>
      <c r="G2214" s="13" t="s">
        <v>3</v>
      </c>
      <c r="H2214" s="13" t="s">
        <v>4</v>
      </c>
      <c r="I2214" s="15">
        <v>-4497.78</v>
      </c>
      <c r="J2214" s="13" t="s">
        <v>5</v>
      </c>
      <c r="K2214" s="13" t="s">
        <v>6</v>
      </c>
      <c r="L2214" s="15">
        <v>-377588.63</v>
      </c>
      <c r="M2214" s="15">
        <v>-4497.78</v>
      </c>
      <c r="N2214" s="16" t="str">
        <f>IF(M2214="","",IF(M2214&lt;0,-M2214&amp;"_"&amp;COUNTIF(M$2:M2214,M2214),M2214&amp;"_"&amp;COUNTIF(M$2:M2214,M2214)))</f>
        <v>4497.78_1</v>
      </c>
      <c r="O2214" s="17" t="str">
        <f t="shared" si="34"/>
        <v/>
      </c>
      <c r="P2214" s="13" t="s">
        <v>3067</v>
      </c>
      <c r="Q2214" s="13" t="s">
        <v>3061</v>
      </c>
      <c r="R2214" s="13" t="s">
        <v>0</v>
      </c>
      <c r="S2214" s="13" t="s">
        <v>0</v>
      </c>
      <c r="T2214" s="13" t="s">
        <v>9</v>
      </c>
      <c r="U2214" s="13" t="s">
        <v>0</v>
      </c>
      <c r="V2214" s="13" t="s">
        <v>0</v>
      </c>
      <c r="W2214" s="13" t="s">
        <v>0</v>
      </c>
      <c r="X2214" s="13" t="s">
        <v>0</v>
      </c>
      <c r="Y2214" s="13" t="s">
        <v>10</v>
      </c>
      <c r="Z2214" s="13" t="s">
        <v>0</v>
      </c>
      <c r="AA2214" s="14"/>
      <c r="AB2214" s="13" t="s">
        <v>0</v>
      </c>
      <c r="AC2214" s="13" t="s">
        <v>0</v>
      </c>
      <c r="AD2214" s="13" t="s">
        <v>0</v>
      </c>
      <c r="AE2214" s="15">
        <v>0</v>
      </c>
    </row>
    <row r="2215" spans="1:31" ht="14.15" customHeight="1" x14ac:dyDescent="0.25">
      <c r="A2215" s="12" t="s">
        <v>0</v>
      </c>
      <c r="B2215" s="13" t="s">
        <v>1</v>
      </c>
      <c r="C2215" s="13" t="s">
        <v>1876</v>
      </c>
      <c r="D2215" s="14">
        <v>44188</v>
      </c>
      <c r="E2215" s="14">
        <v>44188</v>
      </c>
      <c r="F2215" s="14">
        <v>44198</v>
      </c>
      <c r="G2215" s="13" t="s">
        <v>3</v>
      </c>
      <c r="H2215" s="13" t="s">
        <v>4</v>
      </c>
      <c r="I2215" s="15">
        <v>-4495.32</v>
      </c>
      <c r="J2215" s="13" t="s">
        <v>5</v>
      </c>
      <c r="K2215" s="13" t="s">
        <v>6</v>
      </c>
      <c r="L2215" s="15">
        <v>-377382.11</v>
      </c>
      <c r="M2215" s="15">
        <v>-4495.32</v>
      </c>
      <c r="N2215" s="16" t="str">
        <f>IF(M2215="","",IF(M2215&lt;0,-M2215&amp;"_"&amp;COUNTIF(M$2:M2215,M2215),M2215&amp;"_"&amp;COUNTIF(M$2:M2215,M2215)))</f>
        <v>4495.32_1</v>
      </c>
      <c r="O2215" s="17" t="str">
        <f t="shared" si="34"/>
        <v/>
      </c>
      <c r="P2215" s="13" t="s">
        <v>1877</v>
      </c>
      <c r="Q2215" s="13" t="s">
        <v>1869</v>
      </c>
      <c r="R2215" s="13" t="s">
        <v>0</v>
      </c>
      <c r="S2215" s="13" t="s">
        <v>0</v>
      </c>
      <c r="T2215" s="13" t="s">
        <v>9</v>
      </c>
      <c r="U2215" s="13" t="s">
        <v>0</v>
      </c>
      <c r="V2215" s="13" t="s">
        <v>0</v>
      </c>
      <c r="W2215" s="13" t="s">
        <v>0</v>
      </c>
      <c r="X2215" s="13" t="s">
        <v>0</v>
      </c>
      <c r="Y2215" s="13" t="s">
        <v>10</v>
      </c>
      <c r="Z2215" s="13" t="s">
        <v>0</v>
      </c>
      <c r="AA2215" s="14"/>
      <c r="AB2215" s="13" t="s">
        <v>0</v>
      </c>
      <c r="AC2215" s="13" t="s">
        <v>0</v>
      </c>
      <c r="AD2215" s="13" t="s">
        <v>0</v>
      </c>
      <c r="AE2215" s="15">
        <v>0</v>
      </c>
    </row>
    <row r="2216" spans="1:31" ht="14.15" customHeight="1" x14ac:dyDescent="0.25">
      <c r="A2216" s="12" t="s">
        <v>0</v>
      </c>
      <c r="B2216" s="13" t="s">
        <v>1</v>
      </c>
      <c r="C2216" s="13" t="s">
        <v>614</v>
      </c>
      <c r="D2216" s="14">
        <v>44082</v>
      </c>
      <c r="E2216" s="14">
        <v>44082</v>
      </c>
      <c r="F2216" s="14">
        <v>44086</v>
      </c>
      <c r="G2216" s="13" t="s">
        <v>3</v>
      </c>
      <c r="H2216" s="13" t="s">
        <v>4</v>
      </c>
      <c r="I2216" s="15">
        <v>-4491.1899999999996</v>
      </c>
      <c r="J2216" s="13" t="s">
        <v>5</v>
      </c>
      <c r="K2216" s="13" t="s">
        <v>6</v>
      </c>
      <c r="L2216" s="15">
        <v>-377035.4</v>
      </c>
      <c r="M2216" s="15">
        <v>-4491.1899999999996</v>
      </c>
      <c r="N2216" s="16" t="str">
        <f>IF(M2216="","",IF(M2216&lt;0,-M2216&amp;"_"&amp;COUNTIF(M$2:M2216,M2216),M2216&amp;"_"&amp;COUNTIF(M$2:M2216,M2216)))</f>
        <v>4491.19_1</v>
      </c>
      <c r="O2216" s="17" t="str">
        <f t="shared" si="34"/>
        <v/>
      </c>
      <c r="P2216" s="13" t="s">
        <v>615</v>
      </c>
      <c r="Q2216" s="13" t="s">
        <v>603</v>
      </c>
      <c r="R2216" s="13" t="s">
        <v>0</v>
      </c>
      <c r="S2216" s="13" t="s">
        <v>0</v>
      </c>
      <c r="T2216" s="13" t="s">
        <v>9</v>
      </c>
      <c r="U2216" s="13" t="s">
        <v>0</v>
      </c>
      <c r="V2216" s="13" t="s">
        <v>0</v>
      </c>
      <c r="W2216" s="13" t="s">
        <v>0</v>
      </c>
      <c r="X2216" s="13" t="s">
        <v>0</v>
      </c>
      <c r="Y2216" s="13" t="s">
        <v>10</v>
      </c>
      <c r="Z2216" s="13" t="s">
        <v>0</v>
      </c>
      <c r="AA2216" s="14"/>
      <c r="AB2216" s="13" t="s">
        <v>0</v>
      </c>
      <c r="AC2216" s="13" t="s">
        <v>0</v>
      </c>
      <c r="AD2216" s="13" t="s">
        <v>0</v>
      </c>
      <c r="AE2216" s="15">
        <v>0</v>
      </c>
    </row>
    <row r="2217" spans="1:31" ht="14.15" customHeight="1" x14ac:dyDescent="0.25">
      <c r="A2217" s="12" t="s">
        <v>0</v>
      </c>
      <c r="B2217" s="13" t="s">
        <v>1</v>
      </c>
      <c r="C2217" s="13" t="s">
        <v>40</v>
      </c>
      <c r="D2217" s="14">
        <v>44016</v>
      </c>
      <c r="E2217" s="14">
        <v>44016</v>
      </c>
      <c r="F2217" s="14">
        <v>44018</v>
      </c>
      <c r="G2217" s="13" t="s">
        <v>3</v>
      </c>
      <c r="H2217" s="13" t="s">
        <v>4</v>
      </c>
      <c r="I2217" s="15">
        <v>-4489.95</v>
      </c>
      <c r="J2217" s="13" t="s">
        <v>5</v>
      </c>
      <c r="K2217" s="13" t="s">
        <v>6</v>
      </c>
      <c r="L2217" s="15">
        <v>-376931.3</v>
      </c>
      <c r="M2217" s="15">
        <v>-4489.95</v>
      </c>
      <c r="N2217" s="16" t="str">
        <f>IF(M2217="","",IF(M2217&lt;0,-M2217&amp;"_"&amp;COUNTIF(M$2:M2217,M2217),M2217&amp;"_"&amp;COUNTIF(M$2:M2217,M2217)))</f>
        <v>4489.95_1</v>
      </c>
      <c r="O2217" s="17" t="str">
        <f t="shared" si="34"/>
        <v/>
      </c>
      <c r="P2217" s="13" t="s">
        <v>41</v>
      </c>
      <c r="Q2217" s="13" t="s">
        <v>42</v>
      </c>
      <c r="R2217" s="13" t="s">
        <v>0</v>
      </c>
      <c r="S2217" s="13" t="s">
        <v>0</v>
      </c>
      <c r="T2217" s="13" t="s">
        <v>9</v>
      </c>
      <c r="U2217" s="13" t="s">
        <v>0</v>
      </c>
      <c r="V2217" s="13" t="s">
        <v>0</v>
      </c>
      <c r="W2217" s="13" t="s">
        <v>0</v>
      </c>
      <c r="X2217" s="13" t="s">
        <v>0</v>
      </c>
      <c r="Y2217" s="13" t="s">
        <v>10</v>
      </c>
      <c r="Z2217" s="13" t="s">
        <v>0</v>
      </c>
      <c r="AA2217" s="14"/>
      <c r="AB2217" s="13" t="s">
        <v>0</v>
      </c>
      <c r="AC2217" s="13" t="s">
        <v>0</v>
      </c>
      <c r="AD2217" s="13" t="s">
        <v>0</v>
      </c>
      <c r="AE2217" s="15">
        <v>0</v>
      </c>
    </row>
    <row r="2218" spans="1:31" ht="14.15" customHeight="1" x14ac:dyDescent="0.25">
      <c r="A2218" s="12" t="s">
        <v>0</v>
      </c>
      <c r="B2218" s="13" t="s">
        <v>1</v>
      </c>
      <c r="C2218" s="13" t="s">
        <v>3849</v>
      </c>
      <c r="D2218" s="14">
        <v>44350</v>
      </c>
      <c r="E2218" s="14">
        <v>44350</v>
      </c>
      <c r="F2218" s="14">
        <v>44356</v>
      </c>
      <c r="G2218" s="13" t="s">
        <v>3</v>
      </c>
      <c r="H2218" s="13" t="s">
        <v>4</v>
      </c>
      <c r="I2218" s="15">
        <v>-4473.93</v>
      </c>
      <c r="J2218" s="13" t="s">
        <v>5</v>
      </c>
      <c r="K2218" s="13" t="s">
        <v>6</v>
      </c>
      <c r="L2218" s="15">
        <v>-375586.42</v>
      </c>
      <c r="M2218" s="15">
        <v>-4473.93</v>
      </c>
      <c r="N2218" s="16" t="str">
        <f>IF(M2218="","",IF(M2218&lt;0,-M2218&amp;"_"&amp;COUNTIF(M$2:M2218,M2218),M2218&amp;"_"&amp;COUNTIF(M$2:M2218,M2218)))</f>
        <v>4473.93_1</v>
      </c>
      <c r="O2218" s="17" t="str">
        <f t="shared" si="34"/>
        <v/>
      </c>
      <c r="P2218" s="13" t="s">
        <v>3850</v>
      </c>
      <c r="Q2218" s="13" t="s">
        <v>3844</v>
      </c>
      <c r="R2218" s="13" t="s">
        <v>0</v>
      </c>
      <c r="S2218" s="13" t="s">
        <v>0</v>
      </c>
      <c r="T2218" s="13" t="s">
        <v>9</v>
      </c>
      <c r="U2218" s="13" t="s">
        <v>0</v>
      </c>
      <c r="V2218" s="13" t="s">
        <v>0</v>
      </c>
      <c r="W2218" s="13" t="s">
        <v>0</v>
      </c>
      <c r="X2218" s="13" t="s">
        <v>0</v>
      </c>
      <c r="Y2218" s="13" t="s">
        <v>10</v>
      </c>
      <c r="Z2218" s="13" t="s">
        <v>0</v>
      </c>
      <c r="AA2218" s="14"/>
      <c r="AB2218" s="13" t="s">
        <v>0</v>
      </c>
      <c r="AC2218" s="13" t="s">
        <v>0</v>
      </c>
      <c r="AD2218" s="13" t="s">
        <v>0</v>
      </c>
      <c r="AE2218" s="15">
        <v>0</v>
      </c>
    </row>
    <row r="2219" spans="1:31" ht="14.15" customHeight="1" x14ac:dyDescent="0.25">
      <c r="A2219" s="12" t="s">
        <v>0</v>
      </c>
      <c r="B2219" s="13" t="s">
        <v>1</v>
      </c>
      <c r="C2219" s="13" t="s">
        <v>2</v>
      </c>
      <c r="D2219" s="14">
        <v>44014</v>
      </c>
      <c r="E2219" s="14">
        <v>44014</v>
      </c>
      <c r="F2219" s="14">
        <v>44018</v>
      </c>
      <c r="G2219" s="13" t="s">
        <v>3</v>
      </c>
      <c r="H2219" s="13" t="s">
        <v>4</v>
      </c>
      <c r="I2219" s="15">
        <v>-4468.1000000000004</v>
      </c>
      <c r="J2219" s="13" t="s">
        <v>5</v>
      </c>
      <c r="K2219" s="13" t="s">
        <v>6</v>
      </c>
      <c r="L2219" s="15">
        <v>-375097</v>
      </c>
      <c r="M2219" s="15">
        <v>-4468.1000000000004</v>
      </c>
      <c r="N2219" s="16" t="str">
        <f>IF(M2219="","",IF(M2219&lt;0,-M2219&amp;"_"&amp;COUNTIF(M$2:M2219,M2219),M2219&amp;"_"&amp;COUNTIF(M$2:M2219,M2219)))</f>
        <v>4468.1_1</v>
      </c>
      <c r="O2219" s="17" t="str">
        <f t="shared" si="34"/>
        <v/>
      </c>
      <c r="P2219" s="13" t="s">
        <v>7</v>
      </c>
      <c r="Q2219" s="13" t="s">
        <v>8</v>
      </c>
      <c r="R2219" s="13" t="s">
        <v>0</v>
      </c>
      <c r="S2219" s="13" t="s">
        <v>0</v>
      </c>
      <c r="T2219" s="13" t="s">
        <v>9</v>
      </c>
      <c r="U2219" s="13" t="s">
        <v>0</v>
      </c>
      <c r="V2219" s="13" t="s">
        <v>0</v>
      </c>
      <c r="W2219" s="13" t="s">
        <v>0</v>
      </c>
      <c r="X2219" s="13" t="s">
        <v>0</v>
      </c>
      <c r="Y2219" s="13" t="s">
        <v>10</v>
      </c>
      <c r="Z2219" s="13" t="s">
        <v>0</v>
      </c>
      <c r="AA2219" s="14"/>
      <c r="AB2219" s="13" t="s">
        <v>0</v>
      </c>
      <c r="AC2219" s="13" t="s">
        <v>0</v>
      </c>
      <c r="AD2219" s="13" t="s">
        <v>0</v>
      </c>
      <c r="AE2219" s="15">
        <v>0</v>
      </c>
    </row>
    <row r="2220" spans="1:31" ht="14.15" customHeight="1" x14ac:dyDescent="0.25">
      <c r="A2220" s="12" t="s">
        <v>0</v>
      </c>
      <c r="B2220" s="13" t="s">
        <v>1</v>
      </c>
      <c r="C2220" s="13" t="s">
        <v>1499</v>
      </c>
      <c r="D2220" s="14">
        <v>44161</v>
      </c>
      <c r="E2220" s="14">
        <v>44161</v>
      </c>
      <c r="F2220" s="14">
        <v>44165</v>
      </c>
      <c r="G2220" s="13" t="s">
        <v>3</v>
      </c>
      <c r="H2220" s="13" t="s">
        <v>4</v>
      </c>
      <c r="I2220" s="15">
        <v>-4463.8999999999996</v>
      </c>
      <c r="J2220" s="13" t="s">
        <v>5</v>
      </c>
      <c r="K2220" s="13" t="s">
        <v>6</v>
      </c>
      <c r="L2220" s="15">
        <v>-374744.41</v>
      </c>
      <c r="M2220" s="15">
        <v>-4463.8999999999996</v>
      </c>
      <c r="N2220" s="16" t="str">
        <f>IF(M2220="","",IF(M2220&lt;0,-M2220&amp;"_"&amp;COUNTIF(M$2:M2220,M2220),M2220&amp;"_"&amp;COUNTIF(M$2:M2220,M2220)))</f>
        <v>4463.9_1</v>
      </c>
      <c r="O2220" s="17" t="str">
        <f t="shared" si="34"/>
        <v/>
      </c>
      <c r="P2220" s="13" t="s">
        <v>1500</v>
      </c>
      <c r="Q2220" s="13" t="s">
        <v>1501</v>
      </c>
      <c r="R2220" s="13" t="s">
        <v>0</v>
      </c>
      <c r="S2220" s="13" t="s">
        <v>0</v>
      </c>
      <c r="T2220" s="13" t="s">
        <v>9</v>
      </c>
      <c r="U2220" s="13" t="s">
        <v>0</v>
      </c>
      <c r="V2220" s="13" t="s">
        <v>0</v>
      </c>
      <c r="W2220" s="13" t="s">
        <v>0</v>
      </c>
      <c r="X2220" s="13" t="s">
        <v>0</v>
      </c>
      <c r="Y2220" s="13" t="s">
        <v>10</v>
      </c>
      <c r="Z2220" s="13" t="s">
        <v>0</v>
      </c>
      <c r="AA2220" s="14"/>
      <c r="AB2220" s="13" t="s">
        <v>0</v>
      </c>
      <c r="AC2220" s="13" t="s">
        <v>0</v>
      </c>
      <c r="AD2220" s="13" t="s">
        <v>0</v>
      </c>
      <c r="AE2220" s="15">
        <v>0</v>
      </c>
    </row>
    <row r="2221" spans="1:31" ht="14.15" customHeight="1" x14ac:dyDescent="0.25">
      <c r="A2221" s="12" t="s">
        <v>0</v>
      </c>
      <c r="B2221" s="13" t="s">
        <v>1</v>
      </c>
      <c r="C2221" s="13" t="s">
        <v>3939</v>
      </c>
      <c r="D2221" s="14">
        <v>44354</v>
      </c>
      <c r="E2221" s="14">
        <v>44354</v>
      </c>
      <c r="F2221" s="14">
        <v>44359</v>
      </c>
      <c r="G2221" s="13" t="s">
        <v>3</v>
      </c>
      <c r="H2221" s="13" t="s">
        <v>4</v>
      </c>
      <c r="I2221" s="15">
        <v>-4441.8999999999996</v>
      </c>
      <c r="J2221" s="13" t="s">
        <v>5</v>
      </c>
      <c r="K2221" s="13" t="s">
        <v>6</v>
      </c>
      <c r="L2221" s="15">
        <v>-372897.5</v>
      </c>
      <c r="M2221" s="15">
        <v>-4441.8999999999996</v>
      </c>
      <c r="N2221" s="16" t="str">
        <f>IF(M2221="","",IF(M2221&lt;0,-M2221&amp;"_"&amp;COUNTIF(M$2:M2221,M2221),M2221&amp;"_"&amp;COUNTIF(M$2:M2221,M2221)))</f>
        <v>4441.9_1</v>
      </c>
      <c r="O2221" s="17" t="str">
        <f t="shared" si="34"/>
        <v/>
      </c>
      <c r="P2221" s="13" t="s">
        <v>3940</v>
      </c>
      <c r="Q2221" s="13" t="s">
        <v>3914</v>
      </c>
      <c r="R2221" s="13" t="s">
        <v>0</v>
      </c>
      <c r="S2221" s="13" t="s">
        <v>0</v>
      </c>
      <c r="T2221" s="13" t="s">
        <v>9</v>
      </c>
      <c r="U2221" s="13" t="s">
        <v>0</v>
      </c>
      <c r="V2221" s="13" t="s">
        <v>0</v>
      </c>
      <c r="W2221" s="13" t="s">
        <v>0</v>
      </c>
      <c r="X2221" s="13" t="s">
        <v>0</v>
      </c>
      <c r="Y2221" s="13" t="s">
        <v>10</v>
      </c>
      <c r="Z2221" s="13" t="s">
        <v>0</v>
      </c>
      <c r="AA2221" s="14"/>
      <c r="AB2221" s="13" t="s">
        <v>0</v>
      </c>
      <c r="AC2221" s="13" t="s">
        <v>0</v>
      </c>
      <c r="AD2221" s="13" t="s">
        <v>0</v>
      </c>
      <c r="AE2221" s="15">
        <v>0</v>
      </c>
    </row>
    <row r="2222" spans="1:31" ht="14.15" customHeight="1" x14ac:dyDescent="0.25">
      <c r="A2222" s="12" t="s">
        <v>0</v>
      </c>
      <c r="B2222" s="13" t="s">
        <v>1</v>
      </c>
      <c r="C2222" s="13" t="s">
        <v>1548</v>
      </c>
      <c r="D2222" s="14">
        <v>44165</v>
      </c>
      <c r="E2222" s="14">
        <v>44165</v>
      </c>
      <c r="F2222" s="14">
        <v>44172</v>
      </c>
      <c r="G2222" s="13" t="s">
        <v>3</v>
      </c>
      <c r="H2222" s="13" t="s">
        <v>4</v>
      </c>
      <c r="I2222" s="15">
        <v>-4432.3999999999996</v>
      </c>
      <c r="J2222" s="13" t="s">
        <v>5</v>
      </c>
      <c r="K2222" s="13" t="s">
        <v>6</v>
      </c>
      <c r="L2222" s="15">
        <v>-372099.98</v>
      </c>
      <c r="M2222" s="15">
        <v>-4432.3999999999996</v>
      </c>
      <c r="N2222" s="16" t="str">
        <f>IF(M2222="","",IF(M2222&lt;0,-M2222&amp;"_"&amp;COUNTIF(M$2:M2222,M2222),M2222&amp;"_"&amp;COUNTIF(M$2:M2222,M2222)))</f>
        <v>4432.4_1</v>
      </c>
      <c r="O2222" s="17" t="str">
        <f t="shared" si="34"/>
        <v/>
      </c>
      <c r="P2222" s="13" t="s">
        <v>1549</v>
      </c>
      <c r="Q2222" s="13" t="s">
        <v>1541</v>
      </c>
      <c r="R2222" s="13" t="s">
        <v>0</v>
      </c>
      <c r="S2222" s="13" t="s">
        <v>0</v>
      </c>
      <c r="T2222" s="13" t="s">
        <v>9</v>
      </c>
      <c r="U2222" s="13" t="s">
        <v>0</v>
      </c>
      <c r="V2222" s="13" t="s">
        <v>0</v>
      </c>
      <c r="W2222" s="13" t="s">
        <v>0</v>
      </c>
      <c r="X2222" s="13" t="s">
        <v>0</v>
      </c>
      <c r="Y2222" s="13" t="s">
        <v>10</v>
      </c>
      <c r="Z2222" s="13" t="s">
        <v>0</v>
      </c>
      <c r="AA2222" s="14"/>
      <c r="AB2222" s="13" t="s">
        <v>0</v>
      </c>
      <c r="AC2222" s="13" t="s">
        <v>0</v>
      </c>
      <c r="AD2222" s="13" t="s">
        <v>0</v>
      </c>
      <c r="AE2222" s="15">
        <v>0</v>
      </c>
    </row>
    <row r="2223" spans="1:31" ht="14.15" customHeight="1" x14ac:dyDescent="0.25">
      <c r="A2223" s="12" t="s">
        <v>0</v>
      </c>
      <c r="B2223" s="13" t="s">
        <v>1</v>
      </c>
      <c r="C2223" s="13" t="s">
        <v>4033</v>
      </c>
      <c r="D2223" s="14">
        <v>44358</v>
      </c>
      <c r="E2223" s="14">
        <v>44358</v>
      </c>
      <c r="F2223" s="14">
        <v>44364</v>
      </c>
      <c r="G2223" s="13" t="s">
        <v>3</v>
      </c>
      <c r="H2223" s="13" t="s">
        <v>4</v>
      </c>
      <c r="I2223" s="15">
        <v>-4427.45</v>
      </c>
      <c r="J2223" s="13" t="s">
        <v>5</v>
      </c>
      <c r="K2223" s="13" t="s">
        <v>6</v>
      </c>
      <c r="L2223" s="15">
        <v>-371684.43</v>
      </c>
      <c r="M2223" s="15">
        <v>-4427.45</v>
      </c>
      <c r="N2223" s="16" t="str">
        <f>IF(M2223="","",IF(M2223&lt;0,-M2223&amp;"_"&amp;COUNTIF(M$2:M2223,M2223),M2223&amp;"_"&amp;COUNTIF(M$2:M2223,M2223)))</f>
        <v>4427.45_1</v>
      </c>
      <c r="O2223" s="17" t="str">
        <f t="shared" si="34"/>
        <v/>
      </c>
      <c r="P2223" s="13" t="s">
        <v>4034</v>
      </c>
      <c r="Q2223" s="13" t="s">
        <v>4006</v>
      </c>
      <c r="R2223" s="13" t="s">
        <v>0</v>
      </c>
      <c r="S2223" s="13" t="s">
        <v>0</v>
      </c>
      <c r="T2223" s="13" t="s">
        <v>9</v>
      </c>
      <c r="U2223" s="13" t="s">
        <v>0</v>
      </c>
      <c r="V2223" s="13" t="s">
        <v>0</v>
      </c>
      <c r="W2223" s="13" t="s">
        <v>0</v>
      </c>
      <c r="X2223" s="13" t="s">
        <v>0</v>
      </c>
      <c r="Y2223" s="13" t="s">
        <v>10</v>
      </c>
      <c r="Z2223" s="13" t="s">
        <v>0</v>
      </c>
      <c r="AA2223" s="14"/>
      <c r="AB2223" s="13" t="s">
        <v>0</v>
      </c>
      <c r="AC2223" s="13" t="s">
        <v>0</v>
      </c>
      <c r="AD2223" s="13" t="s">
        <v>0</v>
      </c>
      <c r="AE2223" s="15">
        <v>0</v>
      </c>
    </row>
    <row r="2224" spans="1:31" ht="14.15" customHeight="1" x14ac:dyDescent="0.25">
      <c r="A2224" s="12" t="s">
        <v>0</v>
      </c>
      <c r="B2224" s="13" t="s">
        <v>1</v>
      </c>
      <c r="C2224" s="13" t="s">
        <v>1548</v>
      </c>
      <c r="D2224" s="14">
        <v>44165</v>
      </c>
      <c r="E2224" s="14">
        <v>44165</v>
      </c>
      <c r="F2224" s="14">
        <v>44172</v>
      </c>
      <c r="G2224" s="13" t="s">
        <v>3</v>
      </c>
      <c r="H2224" s="13" t="s">
        <v>4</v>
      </c>
      <c r="I2224" s="15">
        <v>-4426.09</v>
      </c>
      <c r="J2224" s="13" t="s">
        <v>5</v>
      </c>
      <c r="K2224" s="13" t="s">
        <v>6</v>
      </c>
      <c r="L2224" s="15">
        <v>-371570.26</v>
      </c>
      <c r="M2224" s="15">
        <v>-4426.09</v>
      </c>
      <c r="N2224" s="16" t="str">
        <f>IF(M2224="","",IF(M2224&lt;0,-M2224&amp;"_"&amp;COUNTIF(M$2:M2224,M2224),M2224&amp;"_"&amp;COUNTIF(M$2:M2224,M2224)))</f>
        <v>4426.09_1</v>
      </c>
      <c r="O2224" s="17" t="str">
        <f t="shared" si="34"/>
        <v/>
      </c>
      <c r="P2224" s="13" t="s">
        <v>1549</v>
      </c>
      <c r="Q2224" s="13" t="s">
        <v>1541</v>
      </c>
      <c r="R2224" s="13" t="s">
        <v>0</v>
      </c>
      <c r="S2224" s="13" t="s">
        <v>0</v>
      </c>
      <c r="T2224" s="13" t="s">
        <v>9</v>
      </c>
      <c r="U2224" s="13" t="s">
        <v>0</v>
      </c>
      <c r="V2224" s="13" t="s">
        <v>0</v>
      </c>
      <c r="W2224" s="13" t="s">
        <v>0</v>
      </c>
      <c r="X2224" s="13" t="s">
        <v>0</v>
      </c>
      <c r="Y2224" s="13" t="s">
        <v>10</v>
      </c>
      <c r="Z2224" s="13" t="s">
        <v>0</v>
      </c>
      <c r="AA2224" s="14"/>
      <c r="AB2224" s="13" t="s">
        <v>0</v>
      </c>
      <c r="AC2224" s="13" t="s">
        <v>0</v>
      </c>
      <c r="AD2224" s="13" t="s">
        <v>0</v>
      </c>
      <c r="AE2224" s="15">
        <v>0</v>
      </c>
    </row>
    <row r="2225" spans="1:31" ht="14.15" customHeight="1" x14ac:dyDescent="0.25">
      <c r="A2225" s="12" t="s">
        <v>0</v>
      </c>
      <c r="B2225" s="13" t="s">
        <v>1</v>
      </c>
      <c r="C2225" s="13" t="s">
        <v>3658</v>
      </c>
      <c r="D2225" s="14">
        <v>44334</v>
      </c>
      <c r="E2225" s="14">
        <v>44334</v>
      </c>
      <c r="F2225" s="14">
        <v>44336</v>
      </c>
      <c r="G2225" s="13" t="s">
        <v>3</v>
      </c>
      <c r="H2225" s="13" t="s">
        <v>4</v>
      </c>
      <c r="I2225" s="15">
        <v>-4393.91</v>
      </c>
      <c r="J2225" s="13" t="s">
        <v>5</v>
      </c>
      <c r="K2225" s="13" t="s">
        <v>6</v>
      </c>
      <c r="L2225" s="15">
        <v>-368868.74</v>
      </c>
      <c r="M2225" s="15">
        <v>-4393.91</v>
      </c>
      <c r="N2225" s="16" t="str">
        <f>IF(M2225="","",IF(M2225&lt;0,-M2225&amp;"_"&amp;COUNTIF(M$2:M2225,M2225),M2225&amp;"_"&amp;COUNTIF(M$2:M2225,M2225)))</f>
        <v>4393.91_1</v>
      </c>
      <c r="O2225" s="17" t="str">
        <f t="shared" si="34"/>
        <v/>
      </c>
      <c r="P2225" s="13" t="s">
        <v>3659</v>
      </c>
      <c r="Q2225" s="13" t="s">
        <v>3660</v>
      </c>
      <c r="R2225" s="13" t="s">
        <v>0</v>
      </c>
      <c r="S2225" s="13" t="s">
        <v>0</v>
      </c>
      <c r="T2225" s="13" t="s">
        <v>9</v>
      </c>
      <c r="U2225" s="13" t="s">
        <v>0</v>
      </c>
      <c r="V2225" s="13" t="s">
        <v>0</v>
      </c>
      <c r="W2225" s="13" t="s">
        <v>0</v>
      </c>
      <c r="X2225" s="13" t="s">
        <v>0</v>
      </c>
      <c r="Y2225" s="13" t="s">
        <v>10</v>
      </c>
      <c r="Z2225" s="13" t="s">
        <v>0</v>
      </c>
      <c r="AA2225" s="14"/>
      <c r="AB2225" s="13" t="s">
        <v>0</v>
      </c>
      <c r="AC2225" s="13" t="s">
        <v>0</v>
      </c>
      <c r="AD2225" s="13" t="s">
        <v>0</v>
      </c>
      <c r="AE2225" s="15">
        <v>0</v>
      </c>
    </row>
    <row r="2226" spans="1:31" ht="14.15" customHeight="1" x14ac:dyDescent="0.25">
      <c r="A2226" s="12" t="s">
        <v>0</v>
      </c>
      <c r="B2226" s="13" t="s">
        <v>1</v>
      </c>
      <c r="C2226" s="13" t="s">
        <v>3672</v>
      </c>
      <c r="D2226" s="14">
        <v>44335</v>
      </c>
      <c r="E2226" s="14">
        <v>44335</v>
      </c>
      <c r="F2226" s="14">
        <v>44340</v>
      </c>
      <c r="G2226" s="13" t="s">
        <v>3</v>
      </c>
      <c r="H2226" s="13" t="s">
        <v>4</v>
      </c>
      <c r="I2226" s="15">
        <v>-4379.47</v>
      </c>
      <c r="J2226" s="13" t="s">
        <v>5</v>
      </c>
      <c r="K2226" s="13" t="s">
        <v>6</v>
      </c>
      <c r="L2226" s="15">
        <v>-367656.51</v>
      </c>
      <c r="M2226" s="15">
        <v>-4379.47</v>
      </c>
      <c r="N2226" s="16" t="str">
        <f>IF(M2226="","",IF(M2226&lt;0,-M2226&amp;"_"&amp;COUNTIF(M$2:M2226,M2226),M2226&amp;"_"&amp;COUNTIF(M$2:M2226,M2226)))</f>
        <v>4379.47_1</v>
      </c>
      <c r="O2226" s="17" t="str">
        <f t="shared" si="34"/>
        <v/>
      </c>
      <c r="P2226" s="13" t="s">
        <v>3673</v>
      </c>
      <c r="Q2226" s="13" t="s">
        <v>3665</v>
      </c>
      <c r="R2226" s="13" t="s">
        <v>0</v>
      </c>
      <c r="S2226" s="13" t="s">
        <v>0</v>
      </c>
      <c r="T2226" s="13" t="s">
        <v>9</v>
      </c>
      <c r="U2226" s="13" t="s">
        <v>0</v>
      </c>
      <c r="V2226" s="13" t="s">
        <v>0</v>
      </c>
      <c r="W2226" s="13" t="s">
        <v>0</v>
      </c>
      <c r="X2226" s="13" t="s">
        <v>0</v>
      </c>
      <c r="Y2226" s="13" t="s">
        <v>10</v>
      </c>
      <c r="Z2226" s="13" t="s">
        <v>0</v>
      </c>
      <c r="AA2226" s="14"/>
      <c r="AB2226" s="13" t="s">
        <v>0</v>
      </c>
      <c r="AC2226" s="13" t="s">
        <v>0</v>
      </c>
      <c r="AD2226" s="13" t="s">
        <v>0</v>
      </c>
      <c r="AE2226" s="15">
        <v>0</v>
      </c>
    </row>
    <row r="2227" spans="1:31" ht="14.15" customHeight="1" x14ac:dyDescent="0.25">
      <c r="A2227" s="12" t="s">
        <v>0</v>
      </c>
      <c r="B2227" s="13" t="s">
        <v>1</v>
      </c>
      <c r="C2227" s="13" t="s">
        <v>2537</v>
      </c>
      <c r="D2227" s="14">
        <v>44238</v>
      </c>
      <c r="E2227" s="14">
        <v>44238</v>
      </c>
      <c r="F2227" s="14">
        <v>44243</v>
      </c>
      <c r="G2227" s="13" t="s">
        <v>3</v>
      </c>
      <c r="H2227" s="13" t="s">
        <v>4</v>
      </c>
      <c r="I2227" s="15">
        <v>-4362.12</v>
      </c>
      <c r="J2227" s="13" t="s">
        <v>5</v>
      </c>
      <c r="K2227" s="13" t="s">
        <v>6</v>
      </c>
      <c r="L2227" s="15">
        <v>-366199.98</v>
      </c>
      <c r="M2227" s="15">
        <v>-4362.12</v>
      </c>
      <c r="N2227" s="16" t="str">
        <f>IF(M2227="","",IF(M2227&lt;0,-M2227&amp;"_"&amp;COUNTIF(M$2:M2227,M2227),M2227&amp;"_"&amp;COUNTIF(M$2:M2227,M2227)))</f>
        <v>4362.12_1</v>
      </c>
      <c r="O2227" s="17" t="str">
        <f t="shared" si="34"/>
        <v/>
      </c>
      <c r="P2227" s="13" t="s">
        <v>2538</v>
      </c>
      <c r="Q2227" s="13" t="s">
        <v>2528</v>
      </c>
      <c r="R2227" s="13" t="s">
        <v>0</v>
      </c>
      <c r="S2227" s="13" t="s">
        <v>0</v>
      </c>
      <c r="T2227" s="13" t="s">
        <v>9</v>
      </c>
      <c r="U2227" s="13" t="s">
        <v>0</v>
      </c>
      <c r="V2227" s="13" t="s">
        <v>0</v>
      </c>
      <c r="W2227" s="13" t="s">
        <v>0</v>
      </c>
      <c r="X2227" s="13" t="s">
        <v>0</v>
      </c>
      <c r="Y2227" s="13" t="s">
        <v>10</v>
      </c>
      <c r="Z2227" s="13" t="s">
        <v>0</v>
      </c>
      <c r="AA2227" s="14"/>
      <c r="AB2227" s="13" t="s">
        <v>0</v>
      </c>
      <c r="AC2227" s="13" t="s">
        <v>0</v>
      </c>
      <c r="AD2227" s="13" t="s">
        <v>0</v>
      </c>
      <c r="AE2227" s="15">
        <v>0</v>
      </c>
    </row>
    <row r="2228" spans="1:31" ht="14.15" customHeight="1" x14ac:dyDescent="0.25">
      <c r="A2228" s="12" t="s">
        <v>0</v>
      </c>
      <c r="B2228" s="13" t="s">
        <v>1</v>
      </c>
      <c r="C2228" s="13" t="s">
        <v>2100</v>
      </c>
      <c r="D2228" s="14">
        <v>44199</v>
      </c>
      <c r="E2228" s="14">
        <v>44199</v>
      </c>
      <c r="F2228" s="14">
        <v>44202</v>
      </c>
      <c r="G2228" s="13" t="s">
        <v>3</v>
      </c>
      <c r="H2228" s="13" t="s">
        <v>4</v>
      </c>
      <c r="I2228" s="15">
        <v>-4334.45</v>
      </c>
      <c r="J2228" s="13" t="s">
        <v>5</v>
      </c>
      <c r="K2228" s="13" t="s">
        <v>6</v>
      </c>
      <c r="L2228" s="15">
        <v>-363877.08</v>
      </c>
      <c r="M2228" s="15">
        <v>-4334.45</v>
      </c>
      <c r="N2228" s="16" t="str">
        <f>IF(M2228="","",IF(M2228&lt;0,-M2228&amp;"_"&amp;COUNTIF(M$2:M2228,M2228),M2228&amp;"_"&amp;COUNTIF(M$2:M2228,M2228)))</f>
        <v>4334.45_1</v>
      </c>
      <c r="O2228" s="17" t="str">
        <f t="shared" si="34"/>
        <v/>
      </c>
      <c r="P2228" s="13" t="s">
        <v>2101</v>
      </c>
      <c r="Q2228" s="13" t="s">
        <v>2093</v>
      </c>
      <c r="R2228" s="13" t="s">
        <v>0</v>
      </c>
      <c r="S2228" s="13" t="s">
        <v>0</v>
      </c>
      <c r="T2228" s="13" t="s">
        <v>9</v>
      </c>
      <c r="U2228" s="13" t="s">
        <v>0</v>
      </c>
      <c r="V2228" s="13" t="s">
        <v>0</v>
      </c>
      <c r="W2228" s="13" t="s">
        <v>0</v>
      </c>
      <c r="X2228" s="13" t="s">
        <v>0</v>
      </c>
      <c r="Y2228" s="13" t="s">
        <v>10</v>
      </c>
      <c r="Z2228" s="13" t="s">
        <v>0</v>
      </c>
      <c r="AA2228" s="14"/>
      <c r="AB2228" s="13" t="s">
        <v>0</v>
      </c>
      <c r="AC2228" s="13" t="s">
        <v>0</v>
      </c>
      <c r="AD2228" s="13" t="s">
        <v>0</v>
      </c>
      <c r="AE2228" s="15">
        <v>0</v>
      </c>
    </row>
    <row r="2229" spans="1:31" ht="14.15" customHeight="1" x14ac:dyDescent="0.25">
      <c r="A2229" s="12" t="s">
        <v>0</v>
      </c>
      <c r="B2229" s="13" t="s">
        <v>1</v>
      </c>
      <c r="C2229" s="13" t="s">
        <v>2100</v>
      </c>
      <c r="D2229" s="14">
        <v>44199</v>
      </c>
      <c r="E2229" s="14">
        <v>44199</v>
      </c>
      <c r="F2229" s="14">
        <v>44202</v>
      </c>
      <c r="G2229" s="13" t="s">
        <v>3</v>
      </c>
      <c r="H2229" s="13" t="s">
        <v>4</v>
      </c>
      <c r="I2229" s="15">
        <v>-4334.45</v>
      </c>
      <c r="J2229" s="13" t="s">
        <v>5</v>
      </c>
      <c r="K2229" s="13" t="s">
        <v>6</v>
      </c>
      <c r="L2229" s="15">
        <v>-363877.08</v>
      </c>
      <c r="M2229" s="15">
        <v>-4334.45</v>
      </c>
      <c r="N2229" s="16" t="str">
        <f>IF(M2229="","",IF(M2229&lt;0,-M2229&amp;"_"&amp;COUNTIF(M$2:M2229,M2229),M2229&amp;"_"&amp;COUNTIF(M$2:M2229,M2229)))</f>
        <v>4334.45_2</v>
      </c>
      <c r="O2229" s="17" t="str">
        <f t="shared" si="34"/>
        <v/>
      </c>
      <c r="P2229" s="13" t="s">
        <v>2101</v>
      </c>
      <c r="Q2229" s="13" t="s">
        <v>2093</v>
      </c>
      <c r="R2229" s="13" t="s">
        <v>0</v>
      </c>
      <c r="S2229" s="13" t="s">
        <v>0</v>
      </c>
      <c r="T2229" s="13" t="s">
        <v>9</v>
      </c>
      <c r="U2229" s="13" t="s">
        <v>0</v>
      </c>
      <c r="V2229" s="13" t="s">
        <v>0</v>
      </c>
      <c r="W2229" s="13" t="s">
        <v>0</v>
      </c>
      <c r="X2229" s="13" t="s">
        <v>0</v>
      </c>
      <c r="Y2229" s="13" t="s">
        <v>10</v>
      </c>
      <c r="Z2229" s="13" t="s">
        <v>0</v>
      </c>
      <c r="AA2229" s="14"/>
      <c r="AB2229" s="13" t="s">
        <v>0</v>
      </c>
      <c r="AC2229" s="13" t="s">
        <v>0</v>
      </c>
      <c r="AD2229" s="13" t="s">
        <v>0</v>
      </c>
      <c r="AE2229" s="15">
        <v>0</v>
      </c>
    </row>
    <row r="2230" spans="1:31" ht="14.15" customHeight="1" x14ac:dyDescent="0.25">
      <c r="A2230" s="12" t="s">
        <v>0</v>
      </c>
      <c r="B2230" s="13" t="s">
        <v>1</v>
      </c>
      <c r="C2230" s="13" t="s">
        <v>1941</v>
      </c>
      <c r="D2230" s="14">
        <v>44192</v>
      </c>
      <c r="E2230" s="14">
        <v>44192</v>
      </c>
      <c r="F2230" s="14">
        <v>44198</v>
      </c>
      <c r="G2230" s="13" t="s">
        <v>3</v>
      </c>
      <c r="H2230" s="13" t="s">
        <v>4</v>
      </c>
      <c r="I2230" s="15">
        <v>-4326.68</v>
      </c>
      <c r="J2230" s="13" t="s">
        <v>5</v>
      </c>
      <c r="K2230" s="13" t="s">
        <v>6</v>
      </c>
      <c r="L2230" s="15">
        <v>-363224.77</v>
      </c>
      <c r="M2230" s="15">
        <v>-4326.68</v>
      </c>
      <c r="N2230" s="16" t="str">
        <f>IF(M2230="","",IF(M2230&lt;0,-M2230&amp;"_"&amp;COUNTIF(M$2:M2230,M2230),M2230&amp;"_"&amp;COUNTIF(M$2:M2230,M2230)))</f>
        <v>4326.68_1</v>
      </c>
      <c r="O2230" s="17" t="str">
        <f t="shared" si="34"/>
        <v/>
      </c>
      <c r="P2230" s="13" t="s">
        <v>1942</v>
      </c>
      <c r="Q2230" s="13" t="s">
        <v>1932</v>
      </c>
      <c r="R2230" s="13" t="s">
        <v>0</v>
      </c>
      <c r="S2230" s="13" t="s">
        <v>0</v>
      </c>
      <c r="T2230" s="13" t="s">
        <v>9</v>
      </c>
      <c r="U2230" s="13" t="s">
        <v>0</v>
      </c>
      <c r="V2230" s="13" t="s">
        <v>0</v>
      </c>
      <c r="W2230" s="13" t="s">
        <v>0</v>
      </c>
      <c r="X2230" s="13" t="s">
        <v>0</v>
      </c>
      <c r="Y2230" s="13" t="s">
        <v>10</v>
      </c>
      <c r="Z2230" s="13" t="s">
        <v>0</v>
      </c>
      <c r="AA2230" s="14"/>
      <c r="AB2230" s="13" t="s">
        <v>0</v>
      </c>
      <c r="AC2230" s="13" t="s">
        <v>0</v>
      </c>
      <c r="AD2230" s="13" t="s">
        <v>0</v>
      </c>
      <c r="AE2230" s="15">
        <v>0</v>
      </c>
    </row>
    <row r="2231" spans="1:31" ht="14.15" customHeight="1" x14ac:dyDescent="0.25">
      <c r="A2231" s="12" t="s">
        <v>0</v>
      </c>
      <c r="B2231" s="13" t="s">
        <v>1</v>
      </c>
      <c r="C2231" s="13" t="s">
        <v>3141</v>
      </c>
      <c r="D2231" s="14">
        <v>44294</v>
      </c>
      <c r="E2231" s="14">
        <v>44294</v>
      </c>
      <c r="F2231" s="14">
        <v>44298</v>
      </c>
      <c r="G2231" s="13" t="s">
        <v>3</v>
      </c>
      <c r="H2231" s="13" t="s">
        <v>4</v>
      </c>
      <c r="I2231" s="15">
        <v>-4323.62</v>
      </c>
      <c r="J2231" s="13" t="s">
        <v>5</v>
      </c>
      <c r="K2231" s="13" t="s">
        <v>6</v>
      </c>
      <c r="L2231" s="15">
        <v>-362967.9</v>
      </c>
      <c r="M2231" s="15">
        <v>-4323.62</v>
      </c>
      <c r="N2231" s="16" t="str">
        <f>IF(M2231="","",IF(M2231&lt;0,-M2231&amp;"_"&amp;COUNTIF(M$2:M2231,M2231),M2231&amp;"_"&amp;COUNTIF(M$2:M2231,M2231)))</f>
        <v>4323.62_1</v>
      </c>
      <c r="O2231" s="17" t="str">
        <f t="shared" si="34"/>
        <v/>
      </c>
      <c r="P2231" s="13" t="s">
        <v>3142</v>
      </c>
      <c r="Q2231" s="13" t="s">
        <v>3138</v>
      </c>
      <c r="R2231" s="13" t="s">
        <v>0</v>
      </c>
      <c r="S2231" s="13" t="s">
        <v>0</v>
      </c>
      <c r="T2231" s="13" t="s">
        <v>9</v>
      </c>
      <c r="U2231" s="13" t="s">
        <v>0</v>
      </c>
      <c r="V2231" s="13" t="s">
        <v>0</v>
      </c>
      <c r="W2231" s="13" t="s">
        <v>0</v>
      </c>
      <c r="X2231" s="13" t="s">
        <v>0</v>
      </c>
      <c r="Y2231" s="13" t="s">
        <v>10</v>
      </c>
      <c r="Z2231" s="13" t="s">
        <v>0</v>
      </c>
      <c r="AA2231" s="14"/>
      <c r="AB2231" s="13" t="s">
        <v>0</v>
      </c>
      <c r="AC2231" s="13" t="s">
        <v>0</v>
      </c>
      <c r="AD2231" s="13" t="s">
        <v>0</v>
      </c>
      <c r="AE2231" s="15">
        <v>0</v>
      </c>
    </row>
    <row r="2232" spans="1:31" ht="14.15" customHeight="1" x14ac:dyDescent="0.25">
      <c r="A2232" s="12" t="s">
        <v>0</v>
      </c>
      <c r="B2232" s="13" t="s">
        <v>1</v>
      </c>
      <c r="C2232" s="13" t="s">
        <v>1702</v>
      </c>
      <c r="D2232" s="14">
        <v>44174</v>
      </c>
      <c r="E2232" s="14">
        <v>44174</v>
      </c>
      <c r="F2232" s="14">
        <v>44178</v>
      </c>
      <c r="G2232" s="13" t="s">
        <v>3</v>
      </c>
      <c r="H2232" s="13" t="s">
        <v>4</v>
      </c>
      <c r="I2232" s="15">
        <v>-4313.7299999999996</v>
      </c>
      <c r="J2232" s="13" t="s">
        <v>5</v>
      </c>
      <c r="K2232" s="13" t="s">
        <v>6</v>
      </c>
      <c r="L2232" s="15">
        <v>-362137.63</v>
      </c>
      <c r="M2232" s="15">
        <v>-4313.7299999999996</v>
      </c>
      <c r="N2232" s="16" t="str">
        <f>IF(M2232="","",IF(M2232&lt;0,-M2232&amp;"_"&amp;COUNTIF(M$2:M2232,M2232),M2232&amp;"_"&amp;COUNTIF(M$2:M2232,M2232)))</f>
        <v>4313.73_1</v>
      </c>
      <c r="O2232" s="17" t="str">
        <f t="shared" si="34"/>
        <v/>
      </c>
      <c r="P2232" s="13" t="s">
        <v>1703</v>
      </c>
      <c r="Q2232" s="13" t="s">
        <v>1704</v>
      </c>
      <c r="R2232" s="13" t="s">
        <v>0</v>
      </c>
      <c r="S2232" s="13" t="s">
        <v>0</v>
      </c>
      <c r="T2232" s="13" t="s">
        <v>9</v>
      </c>
      <c r="U2232" s="13" t="s">
        <v>0</v>
      </c>
      <c r="V2232" s="13" t="s">
        <v>0</v>
      </c>
      <c r="W2232" s="13" t="s">
        <v>0</v>
      </c>
      <c r="X2232" s="13" t="s">
        <v>0</v>
      </c>
      <c r="Y2232" s="13" t="s">
        <v>10</v>
      </c>
      <c r="Z2232" s="13" t="s">
        <v>0</v>
      </c>
      <c r="AA2232" s="14"/>
      <c r="AB2232" s="13" t="s">
        <v>0</v>
      </c>
      <c r="AC2232" s="13" t="s">
        <v>0</v>
      </c>
      <c r="AD2232" s="13" t="s">
        <v>0</v>
      </c>
      <c r="AE2232" s="15">
        <v>0</v>
      </c>
    </row>
    <row r="2233" spans="1:31" ht="14.15" customHeight="1" x14ac:dyDescent="0.25">
      <c r="A2233" s="12" t="s">
        <v>0</v>
      </c>
      <c r="B2233" s="13" t="s">
        <v>1</v>
      </c>
      <c r="C2233" s="13" t="s">
        <v>30</v>
      </c>
      <c r="D2233" s="14">
        <v>44015</v>
      </c>
      <c r="E2233" s="14">
        <v>44015</v>
      </c>
      <c r="F2233" s="14">
        <v>44019</v>
      </c>
      <c r="G2233" s="13" t="s">
        <v>3</v>
      </c>
      <c r="H2233" s="13" t="s">
        <v>4</v>
      </c>
      <c r="I2233" s="15">
        <v>-4284.75</v>
      </c>
      <c r="J2233" s="13" t="s">
        <v>5</v>
      </c>
      <c r="K2233" s="13" t="s">
        <v>6</v>
      </c>
      <c r="L2233" s="15">
        <v>-359704.76</v>
      </c>
      <c r="M2233" s="15">
        <v>-4284.75</v>
      </c>
      <c r="N2233" s="16" t="str">
        <f>IF(M2233="","",IF(M2233&lt;0,-M2233&amp;"_"&amp;COUNTIF(M$2:M2233,M2233),M2233&amp;"_"&amp;COUNTIF(M$2:M2233,M2233)))</f>
        <v>4284.75_1</v>
      </c>
      <c r="O2233" s="17" t="str">
        <f t="shared" si="34"/>
        <v/>
      </c>
      <c r="P2233" s="13" t="s">
        <v>31</v>
      </c>
      <c r="Q2233" s="13" t="s">
        <v>27</v>
      </c>
      <c r="R2233" s="13" t="s">
        <v>0</v>
      </c>
      <c r="S2233" s="13" t="s">
        <v>0</v>
      </c>
      <c r="T2233" s="13" t="s">
        <v>9</v>
      </c>
      <c r="U2233" s="13" t="s">
        <v>0</v>
      </c>
      <c r="V2233" s="13" t="s">
        <v>0</v>
      </c>
      <c r="W2233" s="13" t="s">
        <v>0</v>
      </c>
      <c r="X2233" s="13" t="s">
        <v>0</v>
      </c>
      <c r="Y2233" s="13" t="s">
        <v>10</v>
      </c>
      <c r="Z2233" s="13" t="s">
        <v>0</v>
      </c>
      <c r="AA2233" s="14"/>
      <c r="AB2233" s="13" t="s">
        <v>0</v>
      </c>
      <c r="AC2233" s="13" t="s">
        <v>0</v>
      </c>
      <c r="AD2233" s="13" t="s">
        <v>0</v>
      </c>
      <c r="AE2233" s="15">
        <v>0</v>
      </c>
    </row>
    <row r="2234" spans="1:31" ht="14.15" customHeight="1" x14ac:dyDescent="0.25">
      <c r="A2234" s="12" t="s">
        <v>0</v>
      </c>
      <c r="B2234" s="13" t="s">
        <v>1</v>
      </c>
      <c r="C2234" s="13" t="s">
        <v>2587</v>
      </c>
      <c r="D2234" s="14">
        <v>44243</v>
      </c>
      <c r="E2234" s="14">
        <v>44243</v>
      </c>
      <c r="F2234" s="14">
        <v>44249</v>
      </c>
      <c r="G2234" s="13" t="s">
        <v>3</v>
      </c>
      <c r="H2234" s="13" t="s">
        <v>4</v>
      </c>
      <c r="I2234" s="15">
        <v>-4280.7</v>
      </c>
      <c r="J2234" s="13" t="s">
        <v>5</v>
      </c>
      <c r="K2234" s="13" t="s">
        <v>6</v>
      </c>
      <c r="L2234" s="15">
        <v>-359364.77</v>
      </c>
      <c r="M2234" s="15">
        <v>-4280.7</v>
      </c>
      <c r="N2234" s="16" t="str">
        <f>IF(M2234="","",IF(M2234&lt;0,-M2234&amp;"_"&amp;COUNTIF(M$2:M2234,M2234),M2234&amp;"_"&amp;COUNTIF(M$2:M2234,M2234)))</f>
        <v>4280.7_1</v>
      </c>
      <c r="O2234" s="17" t="str">
        <f t="shared" si="34"/>
        <v/>
      </c>
      <c r="P2234" s="13" t="s">
        <v>2588</v>
      </c>
      <c r="Q2234" s="13" t="s">
        <v>2574</v>
      </c>
      <c r="R2234" s="13" t="s">
        <v>0</v>
      </c>
      <c r="S2234" s="13" t="s">
        <v>0</v>
      </c>
      <c r="T2234" s="13" t="s">
        <v>9</v>
      </c>
      <c r="U2234" s="13" t="s">
        <v>0</v>
      </c>
      <c r="V2234" s="13" t="s">
        <v>0</v>
      </c>
      <c r="W2234" s="13" t="s">
        <v>0</v>
      </c>
      <c r="X2234" s="13" t="s">
        <v>0</v>
      </c>
      <c r="Y2234" s="13" t="s">
        <v>10</v>
      </c>
      <c r="Z2234" s="13" t="s">
        <v>0</v>
      </c>
      <c r="AA2234" s="14"/>
      <c r="AB2234" s="13" t="s">
        <v>0</v>
      </c>
      <c r="AC2234" s="13" t="s">
        <v>0</v>
      </c>
      <c r="AD2234" s="13" t="s">
        <v>0</v>
      </c>
      <c r="AE2234" s="15">
        <v>0</v>
      </c>
    </row>
    <row r="2235" spans="1:31" ht="14.15" customHeight="1" x14ac:dyDescent="0.25">
      <c r="A2235" s="12" t="s">
        <v>0</v>
      </c>
      <c r="B2235" s="13" t="s">
        <v>1</v>
      </c>
      <c r="C2235" s="13" t="s">
        <v>3767</v>
      </c>
      <c r="D2235" s="14">
        <v>44341</v>
      </c>
      <c r="E2235" s="14">
        <v>44341</v>
      </c>
      <c r="F2235" s="14">
        <v>44348</v>
      </c>
      <c r="G2235" s="13" t="s">
        <v>3</v>
      </c>
      <c r="H2235" s="13" t="s">
        <v>4</v>
      </c>
      <c r="I2235" s="15">
        <v>-4279.97</v>
      </c>
      <c r="J2235" s="13" t="s">
        <v>5</v>
      </c>
      <c r="K2235" s="13" t="s">
        <v>6</v>
      </c>
      <c r="L2235" s="15">
        <v>-359303.48</v>
      </c>
      <c r="M2235" s="15">
        <v>-4279.97</v>
      </c>
      <c r="N2235" s="16" t="str">
        <f>IF(M2235="","",IF(M2235&lt;0,-M2235&amp;"_"&amp;COUNTIF(M$2:M2235,M2235),M2235&amp;"_"&amp;COUNTIF(M$2:M2235,M2235)))</f>
        <v>4279.97_1</v>
      </c>
      <c r="O2235" s="17" t="str">
        <f t="shared" si="34"/>
        <v/>
      </c>
      <c r="P2235" s="13" t="s">
        <v>3768</v>
      </c>
      <c r="Q2235" s="13" t="s">
        <v>3762</v>
      </c>
      <c r="R2235" s="13" t="s">
        <v>0</v>
      </c>
      <c r="S2235" s="13" t="s">
        <v>0</v>
      </c>
      <c r="T2235" s="13" t="s">
        <v>9</v>
      </c>
      <c r="U2235" s="13" t="s">
        <v>0</v>
      </c>
      <c r="V2235" s="13" t="s">
        <v>0</v>
      </c>
      <c r="W2235" s="13" t="s">
        <v>0</v>
      </c>
      <c r="X2235" s="13" t="s">
        <v>0</v>
      </c>
      <c r="Y2235" s="13" t="s">
        <v>10</v>
      </c>
      <c r="Z2235" s="13" t="s">
        <v>0</v>
      </c>
      <c r="AA2235" s="14"/>
      <c r="AB2235" s="13" t="s">
        <v>0</v>
      </c>
      <c r="AC2235" s="13" t="s">
        <v>0</v>
      </c>
      <c r="AD2235" s="13" t="s">
        <v>0</v>
      </c>
      <c r="AE2235" s="15">
        <v>0</v>
      </c>
    </row>
    <row r="2236" spans="1:31" ht="14.15" customHeight="1" x14ac:dyDescent="0.25">
      <c r="A2236" s="12" t="s">
        <v>0</v>
      </c>
      <c r="B2236" s="13" t="s">
        <v>1</v>
      </c>
      <c r="C2236" s="13" t="s">
        <v>2475</v>
      </c>
      <c r="D2236" s="14">
        <v>44234</v>
      </c>
      <c r="E2236" s="14">
        <v>44234</v>
      </c>
      <c r="F2236" s="14">
        <v>44241</v>
      </c>
      <c r="G2236" s="13" t="s">
        <v>3</v>
      </c>
      <c r="H2236" s="13" t="s">
        <v>4</v>
      </c>
      <c r="I2236" s="15">
        <v>-4279.03</v>
      </c>
      <c r="J2236" s="13" t="s">
        <v>5</v>
      </c>
      <c r="K2236" s="13" t="s">
        <v>6</v>
      </c>
      <c r="L2236" s="15">
        <v>-359224.57</v>
      </c>
      <c r="M2236" s="15">
        <v>-4279.03</v>
      </c>
      <c r="N2236" s="16" t="str">
        <f>IF(M2236="","",IF(M2236&lt;0,-M2236&amp;"_"&amp;COUNTIF(M$2:M2236,M2236),M2236&amp;"_"&amp;COUNTIF(M$2:M2236,M2236)))</f>
        <v>4279.03_1</v>
      </c>
      <c r="O2236" s="17" t="str">
        <f t="shared" si="34"/>
        <v/>
      </c>
      <c r="P2236" s="13" t="s">
        <v>2476</v>
      </c>
      <c r="Q2236" s="13" t="s">
        <v>2462</v>
      </c>
      <c r="R2236" s="13" t="s">
        <v>0</v>
      </c>
      <c r="S2236" s="13" t="s">
        <v>0</v>
      </c>
      <c r="T2236" s="13" t="s">
        <v>9</v>
      </c>
      <c r="U2236" s="13" t="s">
        <v>0</v>
      </c>
      <c r="V2236" s="13" t="s">
        <v>0</v>
      </c>
      <c r="W2236" s="13" t="s">
        <v>0</v>
      </c>
      <c r="X2236" s="13" t="s">
        <v>0</v>
      </c>
      <c r="Y2236" s="13" t="s">
        <v>10</v>
      </c>
      <c r="Z2236" s="13" t="s">
        <v>0</v>
      </c>
      <c r="AA2236" s="14"/>
      <c r="AB2236" s="13" t="s">
        <v>0</v>
      </c>
      <c r="AC2236" s="13" t="s">
        <v>0</v>
      </c>
      <c r="AD2236" s="13" t="s">
        <v>0</v>
      </c>
      <c r="AE2236" s="15">
        <v>0</v>
      </c>
    </row>
    <row r="2237" spans="1:31" ht="14.15" customHeight="1" x14ac:dyDescent="0.25">
      <c r="A2237" s="12" t="s">
        <v>0</v>
      </c>
      <c r="B2237" s="13" t="s">
        <v>1</v>
      </c>
      <c r="C2237" s="13" t="s">
        <v>3450</v>
      </c>
      <c r="D2237" s="14">
        <v>44320</v>
      </c>
      <c r="E2237" s="14">
        <v>44320</v>
      </c>
      <c r="F2237" s="14">
        <v>44339</v>
      </c>
      <c r="G2237" s="13" t="s">
        <v>48</v>
      </c>
      <c r="H2237" s="13" t="s">
        <v>4</v>
      </c>
      <c r="I2237" s="15">
        <v>-4273.5</v>
      </c>
      <c r="J2237" s="13" t="s">
        <v>5</v>
      </c>
      <c r="K2237" s="13" t="s">
        <v>6</v>
      </c>
      <c r="L2237" s="15">
        <v>-358760.33</v>
      </c>
      <c r="M2237" s="15">
        <v>-4273.5</v>
      </c>
      <c r="N2237" s="16" t="str">
        <f>IF(M2237="","",IF(M2237&lt;0,-M2237&amp;"_"&amp;COUNTIF(M$2:M2237,M2237),M2237&amp;"_"&amp;COUNTIF(M$2:M2237,M2237)))</f>
        <v>4273.5_1</v>
      </c>
      <c r="O2237" s="17" t="str">
        <f t="shared" si="34"/>
        <v/>
      </c>
      <c r="P2237" s="13" t="s">
        <v>3404</v>
      </c>
      <c r="Q2237" s="13" t="s">
        <v>3404</v>
      </c>
      <c r="R2237" s="13" t="s">
        <v>2733</v>
      </c>
      <c r="S2237" s="13" t="s">
        <v>0</v>
      </c>
      <c r="T2237" s="13" t="s">
        <v>9</v>
      </c>
      <c r="U2237" s="13" t="s">
        <v>2733</v>
      </c>
      <c r="V2237" s="13" t="s">
        <v>0</v>
      </c>
      <c r="W2237" s="13" t="s">
        <v>0</v>
      </c>
      <c r="X2237" s="13" t="s">
        <v>0</v>
      </c>
      <c r="Y2237" s="13" t="s">
        <v>10</v>
      </c>
      <c r="Z2237" s="13" t="s">
        <v>0</v>
      </c>
      <c r="AA2237" s="14"/>
      <c r="AB2237" s="13" t="s">
        <v>0</v>
      </c>
      <c r="AC2237" s="13" t="s">
        <v>0</v>
      </c>
      <c r="AD2237" s="13" t="s">
        <v>0</v>
      </c>
      <c r="AE2237" s="15">
        <v>0</v>
      </c>
    </row>
    <row r="2238" spans="1:31" ht="14.15" customHeight="1" x14ac:dyDescent="0.25">
      <c r="A2238" s="12" t="s">
        <v>0</v>
      </c>
      <c r="B2238" s="13" t="s">
        <v>1</v>
      </c>
      <c r="C2238" s="13" t="s">
        <v>945</v>
      </c>
      <c r="D2238" s="14">
        <v>44122</v>
      </c>
      <c r="E2238" s="14">
        <v>44122</v>
      </c>
      <c r="F2238" s="14">
        <v>44126</v>
      </c>
      <c r="G2238" s="13" t="s">
        <v>3</v>
      </c>
      <c r="H2238" s="13" t="s">
        <v>4</v>
      </c>
      <c r="I2238" s="15">
        <v>-4270.28</v>
      </c>
      <c r="J2238" s="13" t="s">
        <v>5</v>
      </c>
      <c r="K2238" s="13" t="s">
        <v>6</v>
      </c>
      <c r="L2238" s="15">
        <v>-358490.01</v>
      </c>
      <c r="M2238" s="15">
        <v>-4270.28</v>
      </c>
      <c r="N2238" s="16" t="str">
        <f>IF(M2238="","",IF(M2238&lt;0,-M2238&amp;"_"&amp;COUNTIF(M$2:M2238,M2238),M2238&amp;"_"&amp;COUNTIF(M$2:M2238,M2238)))</f>
        <v>4270.28_1</v>
      </c>
      <c r="O2238" s="17" t="str">
        <f t="shared" si="34"/>
        <v/>
      </c>
      <c r="P2238" s="13" t="s">
        <v>946</v>
      </c>
      <c r="Q2238" s="13" t="s">
        <v>947</v>
      </c>
      <c r="R2238" s="13" t="s">
        <v>0</v>
      </c>
      <c r="S2238" s="13" t="s">
        <v>0</v>
      </c>
      <c r="T2238" s="13" t="s">
        <v>9</v>
      </c>
      <c r="U2238" s="13" t="s">
        <v>0</v>
      </c>
      <c r="V2238" s="13" t="s">
        <v>0</v>
      </c>
      <c r="W2238" s="13" t="s">
        <v>0</v>
      </c>
      <c r="X2238" s="13" t="s">
        <v>0</v>
      </c>
      <c r="Y2238" s="13" t="s">
        <v>10</v>
      </c>
      <c r="Z2238" s="13" t="s">
        <v>0</v>
      </c>
      <c r="AA2238" s="14"/>
      <c r="AB2238" s="13" t="s">
        <v>0</v>
      </c>
      <c r="AC2238" s="13" t="s">
        <v>0</v>
      </c>
      <c r="AD2238" s="13" t="s">
        <v>0</v>
      </c>
      <c r="AE2238" s="15">
        <v>0</v>
      </c>
    </row>
    <row r="2239" spans="1:31" ht="14.15" customHeight="1" x14ac:dyDescent="0.25">
      <c r="A2239" s="12" t="s">
        <v>0</v>
      </c>
      <c r="B2239" s="13" t="s">
        <v>303</v>
      </c>
      <c r="C2239" s="13" t="s">
        <v>2406</v>
      </c>
      <c r="D2239" s="14">
        <v>44227</v>
      </c>
      <c r="E2239" s="14">
        <v>44227</v>
      </c>
      <c r="F2239" s="14">
        <v>44235</v>
      </c>
      <c r="G2239" s="13" t="s">
        <v>48</v>
      </c>
      <c r="H2239" s="13" t="s">
        <v>4</v>
      </c>
      <c r="I2239" s="15">
        <v>-4268.25</v>
      </c>
      <c r="J2239" s="13" t="s">
        <v>5</v>
      </c>
      <c r="K2239" s="13" t="s">
        <v>6</v>
      </c>
      <c r="L2239" s="15">
        <v>-358319.59</v>
      </c>
      <c r="M2239" s="15">
        <v>-4268.25</v>
      </c>
      <c r="N2239" s="16" t="str">
        <f>IF(M2239="","",IF(M2239&lt;0,-M2239&amp;"_"&amp;COUNTIF(M$2:M2239,M2239),M2239&amp;"_"&amp;COUNTIF(M$2:M2239,M2239)))</f>
        <v>4268.25_1</v>
      </c>
      <c r="O2239" s="17" t="str">
        <f t="shared" si="34"/>
        <v/>
      </c>
      <c r="P2239" s="13" t="s">
        <v>2407</v>
      </c>
      <c r="Q2239" s="13" t="s">
        <v>2407</v>
      </c>
      <c r="R2239" s="13" t="s">
        <v>2408</v>
      </c>
      <c r="S2239" s="13" t="s">
        <v>0</v>
      </c>
      <c r="T2239" s="13" t="s">
        <v>9</v>
      </c>
      <c r="U2239" s="13" t="s">
        <v>2409</v>
      </c>
      <c r="V2239" s="13" t="s">
        <v>0</v>
      </c>
      <c r="W2239" s="13" t="s">
        <v>0</v>
      </c>
      <c r="X2239" s="13" t="s">
        <v>0</v>
      </c>
      <c r="Y2239" s="13" t="s">
        <v>0</v>
      </c>
      <c r="Z2239" s="13" t="s">
        <v>0</v>
      </c>
      <c r="AA2239" s="14"/>
      <c r="AB2239" s="13" t="s">
        <v>0</v>
      </c>
      <c r="AC2239" s="13" t="s">
        <v>0</v>
      </c>
      <c r="AD2239" s="13" t="s">
        <v>0</v>
      </c>
      <c r="AE2239" s="15">
        <v>0</v>
      </c>
    </row>
    <row r="2240" spans="1:31" ht="14.15" customHeight="1" x14ac:dyDescent="0.25">
      <c r="A2240" s="12" t="s">
        <v>0</v>
      </c>
      <c r="B2240" s="13" t="s">
        <v>1</v>
      </c>
      <c r="C2240" s="13" t="s">
        <v>1523</v>
      </c>
      <c r="D2240" s="14">
        <v>44164</v>
      </c>
      <c r="E2240" s="14">
        <v>44164</v>
      </c>
      <c r="F2240" s="14">
        <v>44166</v>
      </c>
      <c r="G2240" s="13" t="s">
        <v>3</v>
      </c>
      <c r="H2240" s="13" t="s">
        <v>4</v>
      </c>
      <c r="I2240" s="15">
        <v>-4259.3100000000004</v>
      </c>
      <c r="J2240" s="13" t="s">
        <v>5</v>
      </c>
      <c r="K2240" s="13" t="s">
        <v>6</v>
      </c>
      <c r="L2240" s="15">
        <v>-357569.07</v>
      </c>
      <c r="M2240" s="15">
        <v>-4259.3100000000004</v>
      </c>
      <c r="N2240" s="16" t="str">
        <f>IF(M2240="","",IF(M2240&lt;0,-M2240&amp;"_"&amp;COUNTIF(M$2:M2240,M2240),M2240&amp;"_"&amp;COUNTIF(M$2:M2240,M2240)))</f>
        <v>4259.31_1</v>
      </c>
      <c r="O2240" s="17" t="str">
        <f t="shared" si="34"/>
        <v/>
      </c>
      <c r="P2240" s="13" t="s">
        <v>1524</v>
      </c>
      <c r="Q2240" s="13" t="s">
        <v>1516</v>
      </c>
      <c r="R2240" s="13" t="s">
        <v>0</v>
      </c>
      <c r="S2240" s="13" t="s">
        <v>0</v>
      </c>
      <c r="T2240" s="13" t="s">
        <v>9</v>
      </c>
      <c r="U2240" s="13" t="s">
        <v>0</v>
      </c>
      <c r="V2240" s="13" t="s">
        <v>0</v>
      </c>
      <c r="W2240" s="13" t="s">
        <v>0</v>
      </c>
      <c r="X2240" s="13" t="s">
        <v>0</v>
      </c>
      <c r="Y2240" s="13" t="s">
        <v>10</v>
      </c>
      <c r="Z2240" s="13" t="s">
        <v>0</v>
      </c>
      <c r="AA2240" s="14"/>
      <c r="AB2240" s="13" t="s">
        <v>0</v>
      </c>
      <c r="AC2240" s="13" t="s">
        <v>0</v>
      </c>
      <c r="AD2240" s="13" t="s">
        <v>0</v>
      </c>
      <c r="AE2240" s="15">
        <v>0</v>
      </c>
    </row>
    <row r="2241" spans="1:31" ht="14.15" customHeight="1" x14ac:dyDescent="0.25">
      <c r="A2241" s="12" t="s">
        <v>0</v>
      </c>
      <c r="B2241" s="13" t="s">
        <v>1</v>
      </c>
      <c r="C2241" s="13" t="s">
        <v>1020</v>
      </c>
      <c r="D2241" s="14">
        <v>44129</v>
      </c>
      <c r="E2241" s="14">
        <v>44129</v>
      </c>
      <c r="F2241" s="14">
        <v>44142</v>
      </c>
      <c r="G2241" s="13" t="s">
        <v>3</v>
      </c>
      <c r="H2241" s="13" t="s">
        <v>4</v>
      </c>
      <c r="I2241" s="15">
        <v>-4252.05</v>
      </c>
      <c r="J2241" s="13" t="s">
        <v>5</v>
      </c>
      <c r="K2241" s="13" t="s">
        <v>6</v>
      </c>
      <c r="L2241" s="15">
        <v>-356959.6</v>
      </c>
      <c r="M2241" s="15">
        <v>-4252.05</v>
      </c>
      <c r="N2241" s="16" t="str">
        <f>IF(M2241="","",IF(M2241&lt;0,-M2241&amp;"_"&amp;COUNTIF(M$2:M2241,M2241),M2241&amp;"_"&amp;COUNTIF(M$2:M2241,M2241)))</f>
        <v>4252.05_1</v>
      </c>
      <c r="O2241" s="17" t="str">
        <f t="shared" si="34"/>
        <v/>
      </c>
      <c r="P2241" s="13" t="s">
        <v>1021</v>
      </c>
      <c r="Q2241" s="13" t="s">
        <v>1019</v>
      </c>
      <c r="R2241" s="13" t="s">
        <v>0</v>
      </c>
      <c r="S2241" s="13" t="s">
        <v>0</v>
      </c>
      <c r="T2241" s="13" t="s">
        <v>9</v>
      </c>
      <c r="U2241" s="13" t="s">
        <v>0</v>
      </c>
      <c r="V2241" s="13" t="s">
        <v>0</v>
      </c>
      <c r="W2241" s="13" t="s">
        <v>0</v>
      </c>
      <c r="X2241" s="13" t="s">
        <v>0</v>
      </c>
      <c r="Y2241" s="13" t="s">
        <v>10</v>
      </c>
      <c r="Z2241" s="13" t="s">
        <v>0</v>
      </c>
      <c r="AA2241" s="14"/>
      <c r="AB2241" s="13" t="s">
        <v>0</v>
      </c>
      <c r="AC2241" s="13" t="s">
        <v>0</v>
      </c>
      <c r="AD2241" s="13" t="s">
        <v>0</v>
      </c>
      <c r="AE2241" s="15">
        <v>0</v>
      </c>
    </row>
    <row r="2242" spans="1:31" ht="14.15" customHeight="1" x14ac:dyDescent="0.25">
      <c r="A2242" s="12" t="s">
        <v>0</v>
      </c>
      <c r="B2242" s="13" t="s">
        <v>1</v>
      </c>
      <c r="C2242" s="13" t="s">
        <v>1702</v>
      </c>
      <c r="D2242" s="14">
        <v>44174</v>
      </c>
      <c r="E2242" s="14">
        <v>44174</v>
      </c>
      <c r="F2242" s="14">
        <v>44178</v>
      </c>
      <c r="G2242" s="13" t="s">
        <v>3</v>
      </c>
      <c r="H2242" s="13" t="s">
        <v>4</v>
      </c>
      <c r="I2242" s="15">
        <v>-4246.3</v>
      </c>
      <c r="J2242" s="13" t="s">
        <v>5</v>
      </c>
      <c r="K2242" s="13" t="s">
        <v>6</v>
      </c>
      <c r="L2242" s="15">
        <v>-356476.89</v>
      </c>
      <c r="M2242" s="15">
        <v>-4246.3</v>
      </c>
      <c r="N2242" s="16" t="str">
        <f>IF(M2242="","",IF(M2242&lt;0,-M2242&amp;"_"&amp;COUNTIF(M$2:M2242,M2242),M2242&amp;"_"&amp;COUNTIF(M$2:M2242,M2242)))</f>
        <v>4246.3_1</v>
      </c>
      <c r="O2242" s="17" t="str">
        <f t="shared" ref="O2242:O2305" si="35">IF(COUNTIF(N:N,N2242)=2,"x","")</f>
        <v/>
      </c>
      <c r="P2242" s="13" t="s">
        <v>1703</v>
      </c>
      <c r="Q2242" s="13" t="s">
        <v>1704</v>
      </c>
      <c r="R2242" s="13" t="s">
        <v>0</v>
      </c>
      <c r="S2242" s="13" t="s">
        <v>0</v>
      </c>
      <c r="T2242" s="13" t="s">
        <v>9</v>
      </c>
      <c r="U2242" s="13" t="s">
        <v>0</v>
      </c>
      <c r="V2242" s="13" t="s">
        <v>0</v>
      </c>
      <c r="W2242" s="13" t="s">
        <v>0</v>
      </c>
      <c r="X2242" s="13" t="s">
        <v>0</v>
      </c>
      <c r="Y2242" s="13" t="s">
        <v>10</v>
      </c>
      <c r="Z2242" s="13" t="s">
        <v>0</v>
      </c>
      <c r="AA2242" s="14"/>
      <c r="AB2242" s="13" t="s">
        <v>0</v>
      </c>
      <c r="AC2242" s="13" t="s">
        <v>0</v>
      </c>
      <c r="AD2242" s="13" t="s">
        <v>0</v>
      </c>
      <c r="AE2242" s="15">
        <v>0</v>
      </c>
    </row>
    <row r="2243" spans="1:31" ht="14.15" customHeight="1" x14ac:dyDescent="0.25">
      <c r="A2243" s="12" t="s">
        <v>0</v>
      </c>
      <c r="B2243" s="13" t="s">
        <v>1</v>
      </c>
      <c r="C2243" s="13" t="s">
        <v>1447</v>
      </c>
      <c r="D2243" s="14">
        <v>44158</v>
      </c>
      <c r="E2243" s="14">
        <v>44158</v>
      </c>
      <c r="F2243" s="14">
        <v>44163</v>
      </c>
      <c r="G2243" s="13" t="s">
        <v>3</v>
      </c>
      <c r="H2243" s="13" t="s">
        <v>4</v>
      </c>
      <c r="I2243" s="15">
        <v>-4232.05</v>
      </c>
      <c r="J2243" s="13" t="s">
        <v>5</v>
      </c>
      <c r="K2243" s="13" t="s">
        <v>6</v>
      </c>
      <c r="L2243" s="15">
        <v>-355280.6</v>
      </c>
      <c r="M2243" s="15">
        <v>-4232.05</v>
      </c>
      <c r="N2243" s="16" t="str">
        <f>IF(M2243="","",IF(M2243&lt;0,-M2243&amp;"_"&amp;COUNTIF(M$2:M2243,M2243),M2243&amp;"_"&amp;COUNTIF(M$2:M2243,M2243)))</f>
        <v>4232.05_1</v>
      </c>
      <c r="O2243" s="17" t="str">
        <f t="shared" si="35"/>
        <v/>
      </c>
      <c r="P2243" s="13" t="s">
        <v>1448</v>
      </c>
      <c r="Q2243" s="13" t="s">
        <v>1444</v>
      </c>
      <c r="R2243" s="13" t="s">
        <v>0</v>
      </c>
      <c r="S2243" s="13" t="s">
        <v>0</v>
      </c>
      <c r="T2243" s="13" t="s">
        <v>9</v>
      </c>
      <c r="U2243" s="13" t="s">
        <v>0</v>
      </c>
      <c r="V2243" s="13" t="s">
        <v>0</v>
      </c>
      <c r="W2243" s="13" t="s">
        <v>0</v>
      </c>
      <c r="X2243" s="13" t="s">
        <v>0</v>
      </c>
      <c r="Y2243" s="13" t="s">
        <v>10</v>
      </c>
      <c r="Z2243" s="13" t="s">
        <v>0</v>
      </c>
      <c r="AA2243" s="14"/>
      <c r="AB2243" s="13" t="s">
        <v>0</v>
      </c>
      <c r="AC2243" s="13" t="s">
        <v>0</v>
      </c>
      <c r="AD2243" s="13" t="s">
        <v>0</v>
      </c>
      <c r="AE2243" s="15">
        <v>0</v>
      </c>
    </row>
    <row r="2244" spans="1:31" ht="14.15" customHeight="1" x14ac:dyDescent="0.25">
      <c r="A2244" s="12" t="s">
        <v>0</v>
      </c>
      <c r="B2244" s="13" t="s">
        <v>1</v>
      </c>
      <c r="C2244" s="13" t="s">
        <v>1499</v>
      </c>
      <c r="D2244" s="14">
        <v>44161</v>
      </c>
      <c r="E2244" s="14">
        <v>44161</v>
      </c>
      <c r="F2244" s="14">
        <v>44165</v>
      </c>
      <c r="G2244" s="13" t="s">
        <v>3</v>
      </c>
      <c r="H2244" s="13" t="s">
        <v>4</v>
      </c>
      <c r="I2244" s="15">
        <v>-4226.25</v>
      </c>
      <c r="J2244" s="13" t="s">
        <v>5</v>
      </c>
      <c r="K2244" s="13" t="s">
        <v>6</v>
      </c>
      <c r="L2244" s="15">
        <v>-354793.69</v>
      </c>
      <c r="M2244" s="15">
        <v>-4226.25</v>
      </c>
      <c r="N2244" s="16" t="str">
        <f>IF(M2244="","",IF(M2244&lt;0,-M2244&amp;"_"&amp;COUNTIF(M$2:M2244,M2244),M2244&amp;"_"&amp;COUNTIF(M$2:M2244,M2244)))</f>
        <v>4226.25_1</v>
      </c>
      <c r="O2244" s="17" t="str">
        <f t="shared" si="35"/>
        <v/>
      </c>
      <c r="P2244" s="13" t="s">
        <v>1500</v>
      </c>
      <c r="Q2244" s="13" t="s">
        <v>1501</v>
      </c>
      <c r="R2244" s="13" t="s">
        <v>0</v>
      </c>
      <c r="S2244" s="13" t="s">
        <v>0</v>
      </c>
      <c r="T2244" s="13" t="s">
        <v>9</v>
      </c>
      <c r="U2244" s="13" t="s">
        <v>0</v>
      </c>
      <c r="V2244" s="13" t="s">
        <v>0</v>
      </c>
      <c r="W2244" s="13" t="s">
        <v>0</v>
      </c>
      <c r="X2244" s="13" t="s">
        <v>0</v>
      </c>
      <c r="Y2244" s="13" t="s">
        <v>10</v>
      </c>
      <c r="Z2244" s="13" t="s">
        <v>0</v>
      </c>
      <c r="AA2244" s="14"/>
      <c r="AB2244" s="13" t="s">
        <v>0</v>
      </c>
      <c r="AC2244" s="13" t="s">
        <v>0</v>
      </c>
      <c r="AD2244" s="13" t="s">
        <v>0</v>
      </c>
      <c r="AE2244" s="15">
        <v>0</v>
      </c>
    </row>
    <row r="2245" spans="1:31" ht="14.15" customHeight="1" x14ac:dyDescent="0.25">
      <c r="A2245" s="12" t="s">
        <v>0</v>
      </c>
      <c r="B2245" s="13" t="s">
        <v>1</v>
      </c>
      <c r="C2245" s="13" t="s">
        <v>846</v>
      </c>
      <c r="D2245" s="14">
        <v>44107</v>
      </c>
      <c r="E2245" s="14">
        <v>44107</v>
      </c>
      <c r="F2245" s="14">
        <v>44126</v>
      </c>
      <c r="G2245" s="13" t="s">
        <v>3</v>
      </c>
      <c r="H2245" s="13" t="s">
        <v>4</v>
      </c>
      <c r="I2245" s="15">
        <v>-4220.3999999999996</v>
      </c>
      <c r="J2245" s="13" t="s">
        <v>5</v>
      </c>
      <c r="K2245" s="13" t="s">
        <v>6</v>
      </c>
      <c r="L2245" s="15">
        <v>-354302.57</v>
      </c>
      <c r="M2245" s="15">
        <v>-4220.3999999999996</v>
      </c>
      <c r="N2245" s="16" t="str">
        <f>IF(M2245="","",IF(M2245&lt;0,-M2245&amp;"_"&amp;COUNTIF(M$2:M2245,M2245),M2245&amp;"_"&amp;COUNTIF(M$2:M2245,M2245)))</f>
        <v>4220.4_1</v>
      </c>
      <c r="O2245" s="17" t="str">
        <f t="shared" si="35"/>
        <v/>
      </c>
      <c r="P2245" s="13" t="s">
        <v>847</v>
      </c>
      <c r="Q2245" s="13" t="s">
        <v>841</v>
      </c>
      <c r="R2245" s="13" t="s">
        <v>0</v>
      </c>
      <c r="S2245" s="13" t="s">
        <v>0</v>
      </c>
      <c r="T2245" s="13" t="s">
        <v>9</v>
      </c>
      <c r="U2245" s="13" t="s">
        <v>0</v>
      </c>
      <c r="V2245" s="13" t="s">
        <v>0</v>
      </c>
      <c r="W2245" s="13" t="s">
        <v>0</v>
      </c>
      <c r="X2245" s="13" t="s">
        <v>0</v>
      </c>
      <c r="Y2245" s="13" t="s">
        <v>10</v>
      </c>
      <c r="Z2245" s="13" t="s">
        <v>0</v>
      </c>
      <c r="AA2245" s="14"/>
      <c r="AB2245" s="13" t="s">
        <v>0</v>
      </c>
      <c r="AC2245" s="13" t="s">
        <v>0</v>
      </c>
      <c r="AD2245" s="13" t="s">
        <v>0</v>
      </c>
      <c r="AE2245" s="15">
        <v>0</v>
      </c>
    </row>
    <row r="2246" spans="1:31" ht="14.15" customHeight="1" x14ac:dyDescent="0.25">
      <c r="A2246" s="12" t="s">
        <v>0</v>
      </c>
      <c r="B2246" s="13" t="s">
        <v>1</v>
      </c>
      <c r="C2246" s="13" t="s">
        <v>3666</v>
      </c>
      <c r="D2246" s="14">
        <v>44335</v>
      </c>
      <c r="E2246" s="14">
        <v>44335</v>
      </c>
      <c r="F2246" s="14">
        <v>44340</v>
      </c>
      <c r="G2246" s="13" t="s">
        <v>3</v>
      </c>
      <c r="H2246" s="13" t="s">
        <v>4</v>
      </c>
      <c r="I2246" s="15">
        <v>-4208.1099999999997</v>
      </c>
      <c r="J2246" s="13" t="s">
        <v>5</v>
      </c>
      <c r="K2246" s="13" t="s">
        <v>6</v>
      </c>
      <c r="L2246" s="15">
        <v>-353270.83</v>
      </c>
      <c r="M2246" s="15">
        <v>-4208.1099999999997</v>
      </c>
      <c r="N2246" s="16" t="str">
        <f>IF(M2246="","",IF(M2246&lt;0,-M2246&amp;"_"&amp;COUNTIF(M$2:M2246,M2246),M2246&amp;"_"&amp;COUNTIF(M$2:M2246,M2246)))</f>
        <v>4208.11_1</v>
      </c>
      <c r="O2246" s="17" t="str">
        <f t="shared" si="35"/>
        <v/>
      </c>
      <c r="P2246" s="13" t="s">
        <v>3667</v>
      </c>
      <c r="Q2246" s="13" t="s">
        <v>3665</v>
      </c>
      <c r="R2246" s="13" t="s">
        <v>0</v>
      </c>
      <c r="S2246" s="13" t="s">
        <v>0</v>
      </c>
      <c r="T2246" s="13" t="s">
        <v>9</v>
      </c>
      <c r="U2246" s="13" t="s">
        <v>0</v>
      </c>
      <c r="V2246" s="13" t="s">
        <v>0</v>
      </c>
      <c r="W2246" s="13" t="s">
        <v>0</v>
      </c>
      <c r="X2246" s="13" t="s">
        <v>0</v>
      </c>
      <c r="Y2246" s="13" t="s">
        <v>10</v>
      </c>
      <c r="Z2246" s="13" t="s">
        <v>0</v>
      </c>
      <c r="AA2246" s="14"/>
      <c r="AB2246" s="13" t="s">
        <v>0</v>
      </c>
      <c r="AC2246" s="13" t="s">
        <v>0</v>
      </c>
      <c r="AD2246" s="13" t="s">
        <v>0</v>
      </c>
      <c r="AE2246" s="15">
        <v>0</v>
      </c>
    </row>
    <row r="2247" spans="1:31" ht="14.15" customHeight="1" x14ac:dyDescent="0.25">
      <c r="A2247" s="12" t="s">
        <v>0</v>
      </c>
      <c r="B2247" s="13" t="s">
        <v>1</v>
      </c>
      <c r="C2247" s="13" t="s">
        <v>2343</v>
      </c>
      <c r="D2247" s="14">
        <v>44224</v>
      </c>
      <c r="E2247" s="14">
        <v>44224</v>
      </c>
      <c r="F2247" s="14">
        <v>44228</v>
      </c>
      <c r="G2247" s="13" t="s">
        <v>3</v>
      </c>
      <c r="H2247" s="13" t="s">
        <v>4</v>
      </c>
      <c r="I2247" s="15">
        <v>-4204.42</v>
      </c>
      <c r="J2247" s="13" t="s">
        <v>5</v>
      </c>
      <c r="K2247" s="13" t="s">
        <v>6</v>
      </c>
      <c r="L2247" s="15">
        <v>-352961.06</v>
      </c>
      <c r="M2247" s="15">
        <v>-4204.42</v>
      </c>
      <c r="N2247" s="16" t="str">
        <f>IF(M2247="","",IF(M2247&lt;0,-M2247&amp;"_"&amp;COUNTIF(M$2:M2247,M2247),M2247&amp;"_"&amp;COUNTIF(M$2:M2247,M2247)))</f>
        <v>4204.42_1</v>
      </c>
      <c r="O2247" s="17" t="str">
        <f t="shared" si="35"/>
        <v/>
      </c>
      <c r="P2247" s="13" t="s">
        <v>2344</v>
      </c>
      <c r="Q2247" s="13" t="s">
        <v>2345</v>
      </c>
      <c r="R2247" s="13" t="s">
        <v>0</v>
      </c>
      <c r="S2247" s="13" t="s">
        <v>0</v>
      </c>
      <c r="T2247" s="13" t="s">
        <v>9</v>
      </c>
      <c r="U2247" s="13" t="s">
        <v>0</v>
      </c>
      <c r="V2247" s="13" t="s">
        <v>0</v>
      </c>
      <c r="W2247" s="13" t="s">
        <v>0</v>
      </c>
      <c r="X2247" s="13" t="s">
        <v>0</v>
      </c>
      <c r="Y2247" s="13" t="s">
        <v>10</v>
      </c>
      <c r="Z2247" s="13" t="s">
        <v>0</v>
      </c>
      <c r="AA2247" s="14"/>
      <c r="AB2247" s="13" t="s">
        <v>0</v>
      </c>
      <c r="AC2247" s="13" t="s">
        <v>0</v>
      </c>
      <c r="AD2247" s="13" t="s">
        <v>0</v>
      </c>
      <c r="AE2247" s="15">
        <v>0</v>
      </c>
    </row>
    <row r="2248" spans="1:31" ht="14.15" customHeight="1" x14ac:dyDescent="0.25">
      <c r="A2248" s="12" t="s">
        <v>0</v>
      </c>
      <c r="B2248" s="13" t="s">
        <v>1</v>
      </c>
      <c r="C2248" s="13" t="s">
        <v>3497</v>
      </c>
      <c r="D2248" s="14">
        <v>44321</v>
      </c>
      <c r="E2248" s="14">
        <v>44321</v>
      </c>
      <c r="F2248" s="14">
        <v>44329</v>
      </c>
      <c r="G2248" s="13" t="s">
        <v>3</v>
      </c>
      <c r="H2248" s="13" t="s">
        <v>4</v>
      </c>
      <c r="I2248" s="15">
        <v>-4196.99</v>
      </c>
      <c r="J2248" s="13" t="s">
        <v>5</v>
      </c>
      <c r="K2248" s="13" t="s">
        <v>6</v>
      </c>
      <c r="L2248" s="15">
        <v>-352337.31</v>
      </c>
      <c r="M2248" s="15">
        <v>-4196.99</v>
      </c>
      <c r="N2248" s="16" t="str">
        <f>IF(M2248="","",IF(M2248&lt;0,-M2248&amp;"_"&amp;COUNTIF(M$2:M2248,M2248),M2248&amp;"_"&amp;COUNTIF(M$2:M2248,M2248)))</f>
        <v>4196.99_1</v>
      </c>
      <c r="O2248" s="17" t="str">
        <f t="shared" si="35"/>
        <v/>
      </c>
      <c r="P2248" s="13" t="s">
        <v>3498</v>
      </c>
      <c r="Q2248" s="13" t="s">
        <v>3490</v>
      </c>
      <c r="R2248" s="13" t="s">
        <v>0</v>
      </c>
      <c r="S2248" s="13" t="s">
        <v>0</v>
      </c>
      <c r="T2248" s="13" t="s">
        <v>9</v>
      </c>
      <c r="U2248" s="13" t="s">
        <v>0</v>
      </c>
      <c r="V2248" s="13" t="s">
        <v>0</v>
      </c>
      <c r="W2248" s="13" t="s">
        <v>0</v>
      </c>
      <c r="X2248" s="13" t="s">
        <v>0</v>
      </c>
      <c r="Y2248" s="13" t="s">
        <v>10</v>
      </c>
      <c r="Z2248" s="13" t="s">
        <v>0</v>
      </c>
      <c r="AA2248" s="14"/>
      <c r="AB2248" s="13" t="s">
        <v>0</v>
      </c>
      <c r="AC2248" s="13" t="s">
        <v>0</v>
      </c>
      <c r="AD2248" s="13" t="s">
        <v>0</v>
      </c>
      <c r="AE2248" s="15">
        <v>0</v>
      </c>
    </row>
    <row r="2249" spans="1:31" ht="14.15" customHeight="1" x14ac:dyDescent="0.25">
      <c r="A2249" s="12" t="s">
        <v>0</v>
      </c>
      <c r="B2249" s="13" t="s">
        <v>1</v>
      </c>
      <c r="C2249" s="13" t="s">
        <v>3676</v>
      </c>
      <c r="D2249" s="14">
        <v>44335</v>
      </c>
      <c r="E2249" s="14">
        <v>44335</v>
      </c>
      <c r="F2249" s="14">
        <v>44340</v>
      </c>
      <c r="G2249" s="13" t="s">
        <v>3</v>
      </c>
      <c r="H2249" s="13" t="s">
        <v>4</v>
      </c>
      <c r="I2249" s="15">
        <v>-4196.99</v>
      </c>
      <c r="J2249" s="13" t="s">
        <v>5</v>
      </c>
      <c r="K2249" s="13" t="s">
        <v>6</v>
      </c>
      <c r="L2249" s="15">
        <v>-352337.31</v>
      </c>
      <c r="M2249" s="15">
        <v>-4196.99</v>
      </c>
      <c r="N2249" s="16" t="str">
        <f>IF(M2249="","",IF(M2249&lt;0,-M2249&amp;"_"&amp;COUNTIF(M$2:M2249,M2249),M2249&amp;"_"&amp;COUNTIF(M$2:M2249,M2249)))</f>
        <v>4196.99_2</v>
      </c>
      <c r="O2249" s="17" t="str">
        <f t="shared" si="35"/>
        <v/>
      </c>
      <c r="P2249" s="13" t="s">
        <v>3677</v>
      </c>
      <c r="Q2249" s="13" t="s">
        <v>3665</v>
      </c>
      <c r="R2249" s="13" t="s">
        <v>0</v>
      </c>
      <c r="S2249" s="13" t="s">
        <v>0</v>
      </c>
      <c r="T2249" s="13" t="s">
        <v>9</v>
      </c>
      <c r="U2249" s="13" t="s">
        <v>0</v>
      </c>
      <c r="V2249" s="13" t="s">
        <v>0</v>
      </c>
      <c r="W2249" s="13" t="s">
        <v>0</v>
      </c>
      <c r="X2249" s="13" t="s">
        <v>0</v>
      </c>
      <c r="Y2249" s="13" t="s">
        <v>10</v>
      </c>
      <c r="Z2249" s="13" t="s">
        <v>0</v>
      </c>
      <c r="AA2249" s="14"/>
      <c r="AB2249" s="13" t="s">
        <v>0</v>
      </c>
      <c r="AC2249" s="13" t="s">
        <v>0</v>
      </c>
      <c r="AD2249" s="13" t="s">
        <v>0</v>
      </c>
      <c r="AE2249" s="15">
        <v>0</v>
      </c>
    </row>
    <row r="2250" spans="1:31" ht="14.15" customHeight="1" x14ac:dyDescent="0.25">
      <c r="A2250" s="12" t="s">
        <v>0</v>
      </c>
      <c r="B2250" s="13" t="s">
        <v>1</v>
      </c>
      <c r="C2250" s="13" t="s">
        <v>3646</v>
      </c>
      <c r="D2250" s="14">
        <v>44331</v>
      </c>
      <c r="E2250" s="14">
        <v>44331</v>
      </c>
      <c r="F2250" s="14">
        <v>44336</v>
      </c>
      <c r="G2250" s="13" t="s">
        <v>3</v>
      </c>
      <c r="H2250" s="13" t="s">
        <v>4</v>
      </c>
      <c r="I2250" s="15">
        <v>-4188.78</v>
      </c>
      <c r="J2250" s="13" t="s">
        <v>5</v>
      </c>
      <c r="K2250" s="13" t="s">
        <v>6</v>
      </c>
      <c r="L2250" s="15">
        <v>-351648.08</v>
      </c>
      <c r="M2250" s="15">
        <v>-4188.78</v>
      </c>
      <c r="N2250" s="16" t="str">
        <f>IF(M2250="","",IF(M2250&lt;0,-M2250&amp;"_"&amp;COUNTIF(M$2:M2250,M2250),M2250&amp;"_"&amp;COUNTIF(M$2:M2250,M2250)))</f>
        <v>4188.78_1</v>
      </c>
      <c r="O2250" s="17" t="str">
        <f t="shared" si="35"/>
        <v/>
      </c>
      <c r="P2250" s="13" t="s">
        <v>3647</v>
      </c>
      <c r="Q2250" s="13" t="s">
        <v>3637</v>
      </c>
      <c r="R2250" s="13" t="s">
        <v>0</v>
      </c>
      <c r="S2250" s="13" t="s">
        <v>0</v>
      </c>
      <c r="T2250" s="13" t="s">
        <v>9</v>
      </c>
      <c r="U2250" s="13" t="s">
        <v>0</v>
      </c>
      <c r="V2250" s="13" t="s">
        <v>0</v>
      </c>
      <c r="W2250" s="13" t="s">
        <v>0</v>
      </c>
      <c r="X2250" s="13" t="s">
        <v>0</v>
      </c>
      <c r="Y2250" s="13" t="s">
        <v>10</v>
      </c>
      <c r="Z2250" s="13" t="s">
        <v>0</v>
      </c>
      <c r="AA2250" s="14"/>
      <c r="AB2250" s="13" t="s">
        <v>0</v>
      </c>
      <c r="AC2250" s="13" t="s">
        <v>0</v>
      </c>
      <c r="AD2250" s="13" t="s">
        <v>0</v>
      </c>
      <c r="AE2250" s="15">
        <v>0</v>
      </c>
    </row>
    <row r="2251" spans="1:31" ht="14.15" customHeight="1" x14ac:dyDescent="0.25">
      <c r="A2251" s="12" t="s">
        <v>0</v>
      </c>
      <c r="B2251" s="13" t="s">
        <v>1</v>
      </c>
      <c r="C2251" s="13" t="s">
        <v>3029</v>
      </c>
      <c r="D2251" s="14">
        <v>44281</v>
      </c>
      <c r="E2251" s="14">
        <v>44281</v>
      </c>
      <c r="F2251" s="14">
        <v>44290</v>
      </c>
      <c r="G2251" s="13" t="s">
        <v>3</v>
      </c>
      <c r="H2251" s="13" t="s">
        <v>4</v>
      </c>
      <c r="I2251" s="15">
        <v>-4178.24</v>
      </c>
      <c r="J2251" s="13" t="s">
        <v>5</v>
      </c>
      <c r="K2251" s="13" t="s">
        <v>6</v>
      </c>
      <c r="L2251" s="15">
        <v>-350763.25</v>
      </c>
      <c r="M2251" s="15">
        <v>-4178.24</v>
      </c>
      <c r="N2251" s="16" t="str">
        <f>IF(M2251="","",IF(M2251&lt;0,-M2251&amp;"_"&amp;COUNTIF(M$2:M2251,M2251),M2251&amp;"_"&amp;COUNTIF(M$2:M2251,M2251)))</f>
        <v>4178.24_1</v>
      </c>
      <c r="O2251" s="17" t="str">
        <f t="shared" si="35"/>
        <v/>
      </c>
      <c r="P2251" s="13" t="s">
        <v>3030</v>
      </c>
      <c r="Q2251" s="13" t="s">
        <v>3014</v>
      </c>
      <c r="R2251" s="13" t="s">
        <v>0</v>
      </c>
      <c r="S2251" s="13" t="s">
        <v>0</v>
      </c>
      <c r="T2251" s="13" t="s">
        <v>9</v>
      </c>
      <c r="U2251" s="13" t="s">
        <v>0</v>
      </c>
      <c r="V2251" s="13" t="s">
        <v>0</v>
      </c>
      <c r="W2251" s="13" t="s">
        <v>0</v>
      </c>
      <c r="X2251" s="13" t="s">
        <v>0</v>
      </c>
      <c r="Y2251" s="13" t="s">
        <v>10</v>
      </c>
      <c r="Z2251" s="13" t="s">
        <v>0</v>
      </c>
      <c r="AA2251" s="14"/>
      <c r="AB2251" s="13" t="s">
        <v>0</v>
      </c>
      <c r="AC2251" s="13" t="s">
        <v>0</v>
      </c>
      <c r="AD2251" s="13" t="s">
        <v>0</v>
      </c>
      <c r="AE2251" s="15">
        <v>0</v>
      </c>
    </row>
    <row r="2252" spans="1:31" ht="14.15" customHeight="1" x14ac:dyDescent="0.25">
      <c r="A2252" s="12" t="s">
        <v>0</v>
      </c>
      <c r="B2252" s="13" t="s">
        <v>1</v>
      </c>
      <c r="C2252" s="13" t="s">
        <v>184</v>
      </c>
      <c r="D2252" s="14">
        <v>44034</v>
      </c>
      <c r="E2252" s="14">
        <v>44034</v>
      </c>
      <c r="F2252" s="14">
        <v>44040</v>
      </c>
      <c r="G2252" s="13" t="s">
        <v>3</v>
      </c>
      <c r="H2252" s="13" t="s">
        <v>4</v>
      </c>
      <c r="I2252" s="15">
        <v>-4174.43</v>
      </c>
      <c r="J2252" s="13" t="s">
        <v>5</v>
      </c>
      <c r="K2252" s="13" t="s">
        <v>6</v>
      </c>
      <c r="L2252" s="15">
        <v>-350443.4</v>
      </c>
      <c r="M2252" s="15">
        <v>-4174.43</v>
      </c>
      <c r="N2252" s="16" t="str">
        <f>IF(M2252="","",IF(M2252&lt;0,-M2252&amp;"_"&amp;COUNTIF(M$2:M2252,M2252),M2252&amp;"_"&amp;COUNTIF(M$2:M2252,M2252)))</f>
        <v>4174.43_1</v>
      </c>
      <c r="O2252" s="17" t="str">
        <f t="shared" si="35"/>
        <v/>
      </c>
      <c r="P2252" s="13" t="s">
        <v>185</v>
      </c>
      <c r="Q2252" s="13" t="s">
        <v>175</v>
      </c>
      <c r="R2252" s="13" t="s">
        <v>0</v>
      </c>
      <c r="S2252" s="13" t="s">
        <v>0</v>
      </c>
      <c r="T2252" s="13" t="s">
        <v>9</v>
      </c>
      <c r="U2252" s="13" t="s">
        <v>0</v>
      </c>
      <c r="V2252" s="13" t="s">
        <v>0</v>
      </c>
      <c r="W2252" s="13" t="s">
        <v>0</v>
      </c>
      <c r="X2252" s="13" t="s">
        <v>0</v>
      </c>
      <c r="Y2252" s="13" t="s">
        <v>10</v>
      </c>
      <c r="Z2252" s="13" t="s">
        <v>0</v>
      </c>
      <c r="AA2252" s="14"/>
      <c r="AB2252" s="13" t="s">
        <v>0</v>
      </c>
      <c r="AC2252" s="13" t="s">
        <v>0</v>
      </c>
      <c r="AD2252" s="13" t="s">
        <v>0</v>
      </c>
      <c r="AE2252" s="15">
        <v>0</v>
      </c>
    </row>
    <row r="2253" spans="1:31" ht="14.15" customHeight="1" x14ac:dyDescent="0.25">
      <c r="A2253" s="12" t="s">
        <v>0</v>
      </c>
      <c r="B2253" s="13" t="s">
        <v>1</v>
      </c>
      <c r="C2253" s="13" t="s">
        <v>3141</v>
      </c>
      <c r="D2253" s="14">
        <v>44294</v>
      </c>
      <c r="E2253" s="14">
        <v>44294</v>
      </c>
      <c r="F2253" s="14">
        <v>44298</v>
      </c>
      <c r="G2253" s="13" t="s">
        <v>3</v>
      </c>
      <c r="H2253" s="13" t="s">
        <v>4</v>
      </c>
      <c r="I2253" s="15">
        <v>-4141.62</v>
      </c>
      <c r="J2253" s="13" t="s">
        <v>5</v>
      </c>
      <c r="K2253" s="13" t="s">
        <v>6</v>
      </c>
      <c r="L2253" s="15">
        <v>-347689</v>
      </c>
      <c r="M2253" s="15">
        <v>-4141.62</v>
      </c>
      <c r="N2253" s="16" t="str">
        <f>IF(M2253="","",IF(M2253&lt;0,-M2253&amp;"_"&amp;COUNTIF(M$2:M2253,M2253),M2253&amp;"_"&amp;COUNTIF(M$2:M2253,M2253)))</f>
        <v>4141.62_1</v>
      </c>
      <c r="O2253" s="17" t="str">
        <f t="shared" si="35"/>
        <v/>
      </c>
      <c r="P2253" s="13" t="s">
        <v>3142</v>
      </c>
      <c r="Q2253" s="13" t="s">
        <v>3138</v>
      </c>
      <c r="R2253" s="13" t="s">
        <v>0</v>
      </c>
      <c r="S2253" s="13" t="s">
        <v>0</v>
      </c>
      <c r="T2253" s="13" t="s">
        <v>9</v>
      </c>
      <c r="U2253" s="13" t="s">
        <v>0</v>
      </c>
      <c r="V2253" s="13" t="s">
        <v>0</v>
      </c>
      <c r="W2253" s="13" t="s">
        <v>0</v>
      </c>
      <c r="X2253" s="13" t="s">
        <v>0</v>
      </c>
      <c r="Y2253" s="13" t="s">
        <v>10</v>
      </c>
      <c r="Z2253" s="13" t="s">
        <v>0</v>
      </c>
      <c r="AA2253" s="14"/>
      <c r="AB2253" s="13" t="s">
        <v>0</v>
      </c>
      <c r="AC2253" s="13" t="s">
        <v>0</v>
      </c>
      <c r="AD2253" s="13" t="s">
        <v>0</v>
      </c>
      <c r="AE2253" s="15">
        <v>0</v>
      </c>
    </row>
    <row r="2254" spans="1:31" ht="14.15" customHeight="1" x14ac:dyDescent="0.25">
      <c r="A2254" s="12" t="s">
        <v>0</v>
      </c>
      <c r="B2254" s="13" t="s">
        <v>1</v>
      </c>
      <c r="C2254" s="13" t="s">
        <v>1052</v>
      </c>
      <c r="D2254" s="14">
        <v>44131</v>
      </c>
      <c r="E2254" s="14">
        <v>44131</v>
      </c>
      <c r="F2254" s="14">
        <v>44138</v>
      </c>
      <c r="G2254" s="13" t="s">
        <v>3</v>
      </c>
      <c r="H2254" s="13" t="s">
        <v>4</v>
      </c>
      <c r="I2254" s="15">
        <v>-4135.51</v>
      </c>
      <c r="J2254" s="13" t="s">
        <v>5</v>
      </c>
      <c r="K2254" s="13" t="s">
        <v>6</v>
      </c>
      <c r="L2254" s="15">
        <v>-347176.06</v>
      </c>
      <c r="M2254" s="15">
        <v>-4135.51</v>
      </c>
      <c r="N2254" s="16" t="str">
        <f>IF(M2254="","",IF(M2254&lt;0,-M2254&amp;"_"&amp;COUNTIF(M$2:M2254,M2254),M2254&amp;"_"&amp;COUNTIF(M$2:M2254,M2254)))</f>
        <v>4135.51_1</v>
      </c>
      <c r="O2254" s="17" t="str">
        <f t="shared" si="35"/>
        <v/>
      </c>
      <c r="P2254" s="13" t="s">
        <v>1053</v>
      </c>
      <c r="Q2254" s="13" t="s">
        <v>1041</v>
      </c>
      <c r="R2254" s="13" t="s">
        <v>0</v>
      </c>
      <c r="S2254" s="13" t="s">
        <v>0</v>
      </c>
      <c r="T2254" s="13" t="s">
        <v>9</v>
      </c>
      <c r="U2254" s="13" t="s">
        <v>0</v>
      </c>
      <c r="V2254" s="13" t="s">
        <v>0</v>
      </c>
      <c r="W2254" s="13" t="s">
        <v>0</v>
      </c>
      <c r="X2254" s="13" t="s">
        <v>0</v>
      </c>
      <c r="Y2254" s="13" t="s">
        <v>10</v>
      </c>
      <c r="Z2254" s="13" t="s">
        <v>0</v>
      </c>
      <c r="AA2254" s="14"/>
      <c r="AB2254" s="13" t="s">
        <v>0</v>
      </c>
      <c r="AC2254" s="13" t="s">
        <v>0</v>
      </c>
      <c r="AD2254" s="13" t="s">
        <v>0</v>
      </c>
      <c r="AE2254" s="15">
        <v>0</v>
      </c>
    </row>
    <row r="2255" spans="1:31" ht="14.15" customHeight="1" x14ac:dyDescent="0.25">
      <c r="A2255" s="12" t="s">
        <v>0</v>
      </c>
      <c r="B2255" s="13" t="s">
        <v>1</v>
      </c>
      <c r="C2255" s="13" t="s">
        <v>3845</v>
      </c>
      <c r="D2255" s="14">
        <v>44350</v>
      </c>
      <c r="E2255" s="14">
        <v>44350</v>
      </c>
      <c r="F2255" s="14">
        <v>44356</v>
      </c>
      <c r="G2255" s="13" t="s">
        <v>3</v>
      </c>
      <c r="H2255" s="13" t="s">
        <v>4</v>
      </c>
      <c r="I2255" s="15">
        <v>-4134</v>
      </c>
      <c r="J2255" s="13" t="s">
        <v>5</v>
      </c>
      <c r="K2255" s="13" t="s">
        <v>6</v>
      </c>
      <c r="L2255" s="15">
        <v>-347049.3</v>
      </c>
      <c r="M2255" s="15">
        <v>-4134</v>
      </c>
      <c r="N2255" s="16" t="str">
        <f>IF(M2255="","",IF(M2255&lt;0,-M2255&amp;"_"&amp;COUNTIF(M$2:M2255,M2255),M2255&amp;"_"&amp;COUNTIF(M$2:M2255,M2255)))</f>
        <v>4134_1</v>
      </c>
      <c r="O2255" s="17" t="str">
        <f t="shared" si="35"/>
        <v/>
      </c>
      <c r="P2255" s="13" t="s">
        <v>3846</v>
      </c>
      <c r="Q2255" s="13" t="s">
        <v>3844</v>
      </c>
      <c r="R2255" s="13" t="s">
        <v>0</v>
      </c>
      <c r="S2255" s="13" t="s">
        <v>0</v>
      </c>
      <c r="T2255" s="13" t="s">
        <v>9</v>
      </c>
      <c r="U2255" s="13" t="s">
        <v>0</v>
      </c>
      <c r="V2255" s="13" t="s">
        <v>0</v>
      </c>
      <c r="W2255" s="13" t="s">
        <v>0</v>
      </c>
      <c r="X2255" s="13" t="s">
        <v>0</v>
      </c>
      <c r="Y2255" s="13" t="s">
        <v>10</v>
      </c>
      <c r="Z2255" s="13" t="s">
        <v>0</v>
      </c>
      <c r="AA2255" s="14"/>
      <c r="AB2255" s="13" t="s">
        <v>0</v>
      </c>
      <c r="AC2255" s="13" t="s">
        <v>0</v>
      </c>
      <c r="AD2255" s="13" t="s">
        <v>0</v>
      </c>
      <c r="AE2255" s="15">
        <v>0</v>
      </c>
    </row>
    <row r="2256" spans="1:31" ht="14.15" customHeight="1" x14ac:dyDescent="0.25">
      <c r="A2256" s="12" t="s">
        <v>0</v>
      </c>
      <c r="B2256" s="13" t="s">
        <v>1</v>
      </c>
      <c r="C2256" s="13" t="s">
        <v>1702</v>
      </c>
      <c r="D2256" s="14">
        <v>44174</v>
      </c>
      <c r="E2256" s="14">
        <v>44174</v>
      </c>
      <c r="F2256" s="14">
        <v>44178</v>
      </c>
      <c r="G2256" s="13" t="s">
        <v>3</v>
      </c>
      <c r="H2256" s="13" t="s">
        <v>4</v>
      </c>
      <c r="I2256" s="15">
        <v>-4133.79</v>
      </c>
      <c r="J2256" s="13" t="s">
        <v>5</v>
      </c>
      <c r="K2256" s="13" t="s">
        <v>6</v>
      </c>
      <c r="L2256" s="15">
        <v>-347031.67</v>
      </c>
      <c r="M2256" s="15">
        <v>-4133.79</v>
      </c>
      <c r="N2256" s="16" t="str">
        <f>IF(M2256="","",IF(M2256&lt;0,-M2256&amp;"_"&amp;COUNTIF(M$2:M2256,M2256),M2256&amp;"_"&amp;COUNTIF(M$2:M2256,M2256)))</f>
        <v>4133.79_1</v>
      </c>
      <c r="O2256" s="17" t="str">
        <f t="shared" si="35"/>
        <v/>
      </c>
      <c r="P2256" s="13" t="s">
        <v>1703</v>
      </c>
      <c r="Q2256" s="13" t="s">
        <v>1704</v>
      </c>
      <c r="R2256" s="13" t="s">
        <v>0</v>
      </c>
      <c r="S2256" s="13" t="s">
        <v>0</v>
      </c>
      <c r="T2256" s="13" t="s">
        <v>9</v>
      </c>
      <c r="U2256" s="13" t="s">
        <v>0</v>
      </c>
      <c r="V2256" s="13" t="s">
        <v>0</v>
      </c>
      <c r="W2256" s="13" t="s">
        <v>0</v>
      </c>
      <c r="X2256" s="13" t="s">
        <v>0</v>
      </c>
      <c r="Y2256" s="13" t="s">
        <v>10</v>
      </c>
      <c r="Z2256" s="13" t="s">
        <v>0</v>
      </c>
      <c r="AA2256" s="14"/>
      <c r="AB2256" s="13" t="s">
        <v>0</v>
      </c>
      <c r="AC2256" s="13" t="s">
        <v>0</v>
      </c>
      <c r="AD2256" s="13" t="s">
        <v>0</v>
      </c>
      <c r="AE2256" s="15">
        <v>0</v>
      </c>
    </row>
    <row r="2257" spans="1:31" ht="14.15" customHeight="1" x14ac:dyDescent="0.25">
      <c r="A2257" s="12" t="s">
        <v>0</v>
      </c>
      <c r="B2257" s="13" t="s">
        <v>1</v>
      </c>
      <c r="C2257" s="13" t="s">
        <v>2912</v>
      </c>
      <c r="D2257" s="14">
        <v>44275</v>
      </c>
      <c r="E2257" s="14">
        <v>44275</v>
      </c>
      <c r="F2257" s="14">
        <v>44286</v>
      </c>
      <c r="G2257" s="13" t="s">
        <v>3</v>
      </c>
      <c r="H2257" s="13" t="s">
        <v>4</v>
      </c>
      <c r="I2257" s="15">
        <v>-4100.5200000000004</v>
      </c>
      <c r="J2257" s="13" t="s">
        <v>5</v>
      </c>
      <c r="K2257" s="13" t="s">
        <v>6</v>
      </c>
      <c r="L2257" s="15">
        <v>-344238.65</v>
      </c>
      <c r="M2257" s="15">
        <v>-4100.5200000000004</v>
      </c>
      <c r="N2257" s="16" t="str">
        <f>IF(M2257="","",IF(M2257&lt;0,-M2257&amp;"_"&amp;COUNTIF(M$2:M2257,M2257),M2257&amp;"_"&amp;COUNTIF(M$2:M2257,M2257)))</f>
        <v>4100.52_1</v>
      </c>
      <c r="O2257" s="17" t="str">
        <f t="shared" si="35"/>
        <v/>
      </c>
      <c r="P2257" s="13" t="s">
        <v>2913</v>
      </c>
      <c r="Q2257" s="13" t="s">
        <v>2881</v>
      </c>
      <c r="R2257" s="13" t="s">
        <v>0</v>
      </c>
      <c r="S2257" s="13" t="s">
        <v>0</v>
      </c>
      <c r="T2257" s="13" t="s">
        <v>9</v>
      </c>
      <c r="U2257" s="13" t="s">
        <v>0</v>
      </c>
      <c r="V2257" s="13" t="s">
        <v>0</v>
      </c>
      <c r="W2257" s="13" t="s">
        <v>0</v>
      </c>
      <c r="X2257" s="13" t="s">
        <v>0</v>
      </c>
      <c r="Y2257" s="13" t="s">
        <v>10</v>
      </c>
      <c r="Z2257" s="13" t="s">
        <v>0</v>
      </c>
      <c r="AA2257" s="14"/>
      <c r="AB2257" s="13" t="s">
        <v>0</v>
      </c>
      <c r="AC2257" s="13" t="s">
        <v>0</v>
      </c>
      <c r="AD2257" s="13" t="s">
        <v>0</v>
      </c>
      <c r="AE2257" s="15">
        <v>0</v>
      </c>
    </row>
    <row r="2258" spans="1:31" ht="14.15" customHeight="1" x14ac:dyDescent="0.25">
      <c r="A2258" s="12" t="s">
        <v>0</v>
      </c>
      <c r="B2258" s="13" t="s">
        <v>1</v>
      </c>
      <c r="C2258" s="13" t="s">
        <v>2916</v>
      </c>
      <c r="D2258" s="14">
        <v>44275</v>
      </c>
      <c r="E2258" s="14">
        <v>44275</v>
      </c>
      <c r="F2258" s="14">
        <v>44286</v>
      </c>
      <c r="G2258" s="13" t="s">
        <v>3</v>
      </c>
      <c r="H2258" s="13" t="s">
        <v>4</v>
      </c>
      <c r="I2258" s="15">
        <v>-4100.5200000000004</v>
      </c>
      <c r="J2258" s="13" t="s">
        <v>5</v>
      </c>
      <c r="K2258" s="13" t="s">
        <v>6</v>
      </c>
      <c r="L2258" s="15">
        <v>-344238.65</v>
      </c>
      <c r="M2258" s="15">
        <v>-4100.5200000000004</v>
      </c>
      <c r="N2258" s="16" t="str">
        <f>IF(M2258="","",IF(M2258&lt;0,-M2258&amp;"_"&amp;COUNTIF(M$2:M2258,M2258),M2258&amp;"_"&amp;COUNTIF(M$2:M2258,M2258)))</f>
        <v>4100.52_2</v>
      </c>
      <c r="O2258" s="17" t="str">
        <f t="shared" si="35"/>
        <v/>
      </c>
      <c r="P2258" s="13" t="s">
        <v>2917</v>
      </c>
      <c r="Q2258" s="13" t="s">
        <v>2881</v>
      </c>
      <c r="R2258" s="13" t="s">
        <v>0</v>
      </c>
      <c r="S2258" s="13" t="s">
        <v>0</v>
      </c>
      <c r="T2258" s="13" t="s">
        <v>9</v>
      </c>
      <c r="U2258" s="13" t="s">
        <v>0</v>
      </c>
      <c r="V2258" s="13" t="s">
        <v>0</v>
      </c>
      <c r="W2258" s="13" t="s">
        <v>0</v>
      </c>
      <c r="X2258" s="13" t="s">
        <v>0</v>
      </c>
      <c r="Y2258" s="13" t="s">
        <v>10</v>
      </c>
      <c r="Z2258" s="13" t="s">
        <v>0</v>
      </c>
      <c r="AA2258" s="14"/>
      <c r="AB2258" s="13" t="s">
        <v>0</v>
      </c>
      <c r="AC2258" s="13" t="s">
        <v>0</v>
      </c>
      <c r="AD2258" s="13" t="s">
        <v>0</v>
      </c>
      <c r="AE2258" s="15">
        <v>0</v>
      </c>
    </row>
    <row r="2259" spans="1:31" ht="14.15" customHeight="1" x14ac:dyDescent="0.25">
      <c r="A2259" s="12" t="s">
        <v>0</v>
      </c>
      <c r="B2259" s="13" t="s">
        <v>303</v>
      </c>
      <c r="C2259" s="13" t="s">
        <v>830</v>
      </c>
      <c r="D2259" s="14">
        <v>44104</v>
      </c>
      <c r="E2259" s="14">
        <v>44104</v>
      </c>
      <c r="F2259" s="14">
        <v>44114</v>
      </c>
      <c r="G2259" s="13" t="s">
        <v>48</v>
      </c>
      <c r="H2259" s="13" t="s">
        <v>4</v>
      </c>
      <c r="I2259" s="15">
        <v>-4094.48</v>
      </c>
      <c r="J2259" s="13" t="s">
        <v>5</v>
      </c>
      <c r="K2259" s="13" t="s">
        <v>6</v>
      </c>
      <c r="L2259" s="15">
        <v>-343731.6</v>
      </c>
      <c r="M2259" s="15">
        <v>-4094.48</v>
      </c>
      <c r="N2259" s="16" t="str">
        <f>IF(M2259="","",IF(M2259&lt;0,-M2259&amp;"_"&amp;COUNTIF(M$2:M2259,M2259),M2259&amp;"_"&amp;COUNTIF(M$2:M2259,M2259)))</f>
        <v>4094.48_1</v>
      </c>
      <c r="O2259" s="17" t="str">
        <f t="shared" si="35"/>
        <v/>
      </c>
      <c r="P2259" s="13" t="s">
        <v>831</v>
      </c>
      <c r="Q2259" s="13" t="s">
        <v>831</v>
      </c>
      <c r="R2259" s="13" t="s">
        <v>306</v>
      </c>
      <c r="S2259" s="13" t="s">
        <v>0</v>
      </c>
      <c r="T2259" s="13" t="s">
        <v>9</v>
      </c>
      <c r="U2259" s="13" t="s">
        <v>307</v>
      </c>
      <c r="V2259" s="13" t="s">
        <v>0</v>
      </c>
      <c r="W2259" s="13" t="s">
        <v>0</v>
      </c>
      <c r="X2259" s="13" t="s">
        <v>0</v>
      </c>
      <c r="Y2259" s="13" t="s">
        <v>291</v>
      </c>
      <c r="Z2259" s="13" t="s">
        <v>0</v>
      </c>
      <c r="AA2259" s="14"/>
      <c r="AB2259" s="13" t="s">
        <v>0</v>
      </c>
      <c r="AC2259" s="13" t="s">
        <v>0</v>
      </c>
      <c r="AD2259" s="13" t="s">
        <v>0</v>
      </c>
      <c r="AE2259" s="15">
        <v>0</v>
      </c>
    </row>
    <row r="2260" spans="1:31" ht="14.15" customHeight="1" x14ac:dyDescent="0.25">
      <c r="A2260" s="12" t="s">
        <v>0</v>
      </c>
      <c r="B2260" s="13" t="s">
        <v>1</v>
      </c>
      <c r="C2260" s="13" t="s">
        <v>190</v>
      </c>
      <c r="D2260" s="14">
        <v>44034</v>
      </c>
      <c r="E2260" s="14">
        <v>44034</v>
      </c>
      <c r="F2260" s="14">
        <v>44040</v>
      </c>
      <c r="G2260" s="13" t="s">
        <v>3</v>
      </c>
      <c r="H2260" s="13" t="s">
        <v>4</v>
      </c>
      <c r="I2260" s="15">
        <v>-4089.45</v>
      </c>
      <c r="J2260" s="13" t="s">
        <v>5</v>
      </c>
      <c r="K2260" s="13" t="s">
        <v>6</v>
      </c>
      <c r="L2260" s="15">
        <v>-343309.33</v>
      </c>
      <c r="M2260" s="15">
        <v>-4089.45</v>
      </c>
      <c r="N2260" s="16" t="str">
        <f>IF(M2260="","",IF(M2260&lt;0,-M2260&amp;"_"&amp;COUNTIF(M$2:M2260,M2260),M2260&amp;"_"&amp;COUNTIF(M$2:M2260,M2260)))</f>
        <v>4089.45_1</v>
      </c>
      <c r="O2260" s="17" t="str">
        <f t="shared" si="35"/>
        <v/>
      </c>
      <c r="P2260" s="13" t="s">
        <v>191</v>
      </c>
      <c r="Q2260" s="13" t="s">
        <v>175</v>
      </c>
      <c r="R2260" s="13" t="s">
        <v>0</v>
      </c>
      <c r="S2260" s="13" t="s">
        <v>0</v>
      </c>
      <c r="T2260" s="13" t="s">
        <v>9</v>
      </c>
      <c r="U2260" s="13" t="s">
        <v>0</v>
      </c>
      <c r="V2260" s="13" t="s">
        <v>0</v>
      </c>
      <c r="W2260" s="13" t="s">
        <v>0</v>
      </c>
      <c r="X2260" s="13" t="s">
        <v>0</v>
      </c>
      <c r="Y2260" s="13" t="s">
        <v>10</v>
      </c>
      <c r="Z2260" s="13" t="s">
        <v>0</v>
      </c>
      <c r="AA2260" s="14"/>
      <c r="AB2260" s="13" t="s">
        <v>0</v>
      </c>
      <c r="AC2260" s="13" t="s">
        <v>0</v>
      </c>
      <c r="AD2260" s="13" t="s">
        <v>0</v>
      </c>
      <c r="AE2260" s="15">
        <v>0</v>
      </c>
    </row>
    <row r="2261" spans="1:31" ht="14.15" customHeight="1" x14ac:dyDescent="0.25">
      <c r="A2261" s="12" t="s">
        <v>0</v>
      </c>
      <c r="B2261" s="13" t="s">
        <v>1</v>
      </c>
      <c r="C2261" s="13" t="s">
        <v>698</v>
      </c>
      <c r="D2261" s="14">
        <v>44090</v>
      </c>
      <c r="E2261" s="14">
        <v>44090</v>
      </c>
      <c r="F2261" s="14">
        <v>44098</v>
      </c>
      <c r="G2261" s="13" t="s">
        <v>3</v>
      </c>
      <c r="H2261" s="13" t="s">
        <v>4</v>
      </c>
      <c r="I2261" s="15">
        <v>-4087.29</v>
      </c>
      <c r="J2261" s="13" t="s">
        <v>5</v>
      </c>
      <c r="K2261" s="13" t="s">
        <v>6</v>
      </c>
      <c r="L2261" s="15">
        <v>-343127.99</v>
      </c>
      <c r="M2261" s="15">
        <v>-4087.29</v>
      </c>
      <c r="N2261" s="16" t="str">
        <f>IF(M2261="","",IF(M2261&lt;0,-M2261&amp;"_"&amp;COUNTIF(M$2:M2261,M2261),M2261&amp;"_"&amp;COUNTIF(M$2:M2261,M2261)))</f>
        <v>4087.29_1</v>
      </c>
      <c r="O2261" s="17" t="str">
        <f t="shared" si="35"/>
        <v/>
      </c>
      <c r="P2261" s="13" t="s">
        <v>699</v>
      </c>
      <c r="Q2261" s="13" t="s">
        <v>687</v>
      </c>
      <c r="R2261" s="13" t="s">
        <v>0</v>
      </c>
      <c r="S2261" s="13" t="s">
        <v>0</v>
      </c>
      <c r="T2261" s="13" t="s">
        <v>9</v>
      </c>
      <c r="U2261" s="13" t="s">
        <v>0</v>
      </c>
      <c r="V2261" s="13" t="s">
        <v>0</v>
      </c>
      <c r="W2261" s="13" t="s">
        <v>0</v>
      </c>
      <c r="X2261" s="13" t="s">
        <v>0</v>
      </c>
      <c r="Y2261" s="13" t="s">
        <v>10</v>
      </c>
      <c r="Z2261" s="13" t="s">
        <v>0</v>
      </c>
      <c r="AA2261" s="14"/>
      <c r="AB2261" s="13" t="s">
        <v>0</v>
      </c>
      <c r="AC2261" s="13" t="s">
        <v>0</v>
      </c>
      <c r="AD2261" s="13" t="s">
        <v>0</v>
      </c>
      <c r="AE2261" s="15">
        <v>0</v>
      </c>
    </row>
    <row r="2262" spans="1:31" ht="14.15" customHeight="1" x14ac:dyDescent="0.25">
      <c r="A2262" s="12" t="s">
        <v>0</v>
      </c>
      <c r="B2262" s="13" t="s">
        <v>1</v>
      </c>
      <c r="C2262" s="13" t="s">
        <v>1479</v>
      </c>
      <c r="D2262" s="14">
        <v>44160</v>
      </c>
      <c r="E2262" s="14">
        <v>44160</v>
      </c>
      <c r="F2262" s="14">
        <v>44165</v>
      </c>
      <c r="G2262" s="13" t="s">
        <v>3</v>
      </c>
      <c r="H2262" s="13" t="s">
        <v>4</v>
      </c>
      <c r="I2262" s="15">
        <v>-4079.96</v>
      </c>
      <c r="J2262" s="13" t="s">
        <v>5</v>
      </c>
      <c r="K2262" s="13" t="s">
        <v>6</v>
      </c>
      <c r="L2262" s="15">
        <v>-342512.64000000001</v>
      </c>
      <c r="M2262" s="15">
        <v>-4079.96</v>
      </c>
      <c r="N2262" s="16" t="str">
        <f>IF(M2262="","",IF(M2262&lt;0,-M2262&amp;"_"&amp;COUNTIF(M$2:M2262,M2262),M2262&amp;"_"&amp;COUNTIF(M$2:M2262,M2262)))</f>
        <v>4079.96_1</v>
      </c>
      <c r="O2262" s="17" t="str">
        <f t="shared" si="35"/>
        <v/>
      </c>
      <c r="P2262" s="13" t="s">
        <v>1480</v>
      </c>
      <c r="Q2262" s="13" t="s">
        <v>1470</v>
      </c>
      <c r="R2262" s="13" t="s">
        <v>0</v>
      </c>
      <c r="S2262" s="13" t="s">
        <v>0</v>
      </c>
      <c r="T2262" s="13" t="s">
        <v>9</v>
      </c>
      <c r="U2262" s="13" t="s">
        <v>0</v>
      </c>
      <c r="V2262" s="13" t="s">
        <v>0</v>
      </c>
      <c r="W2262" s="13" t="s">
        <v>0</v>
      </c>
      <c r="X2262" s="13" t="s">
        <v>0</v>
      </c>
      <c r="Y2262" s="13" t="s">
        <v>10</v>
      </c>
      <c r="Z2262" s="13" t="s">
        <v>0</v>
      </c>
      <c r="AA2262" s="14"/>
      <c r="AB2262" s="13" t="s">
        <v>0</v>
      </c>
      <c r="AC2262" s="13" t="s">
        <v>0</v>
      </c>
      <c r="AD2262" s="13" t="s">
        <v>0</v>
      </c>
      <c r="AE2262" s="15">
        <v>0</v>
      </c>
    </row>
    <row r="2263" spans="1:31" ht="14.15" customHeight="1" x14ac:dyDescent="0.25">
      <c r="A2263" s="12" t="s">
        <v>0</v>
      </c>
      <c r="B2263" s="13" t="s">
        <v>1</v>
      </c>
      <c r="C2263" s="13" t="s">
        <v>3614</v>
      </c>
      <c r="D2263" s="14">
        <v>44329</v>
      </c>
      <c r="E2263" s="14">
        <v>44329</v>
      </c>
      <c r="F2263" s="14">
        <v>44336</v>
      </c>
      <c r="G2263" s="13" t="s">
        <v>3</v>
      </c>
      <c r="H2263" s="13" t="s">
        <v>4</v>
      </c>
      <c r="I2263" s="15">
        <v>-4077.13</v>
      </c>
      <c r="J2263" s="13" t="s">
        <v>5</v>
      </c>
      <c r="K2263" s="13" t="s">
        <v>6</v>
      </c>
      <c r="L2263" s="15">
        <v>-342275.06</v>
      </c>
      <c r="M2263" s="15">
        <v>-4077.13</v>
      </c>
      <c r="N2263" s="16" t="str">
        <f>IF(M2263="","",IF(M2263&lt;0,-M2263&amp;"_"&amp;COUNTIF(M$2:M2263,M2263),M2263&amp;"_"&amp;COUNTIF(M$2:M2263,M2263)))</f>
        <v>4077.13_1</v>
      </c>
      <c r="O2263" s="17" t="str">
        <f t="shared" si="35"/>
        <v/>
      </c>
      <c r="P2263" s="13" t="s">
        <v>3615</v>
      </c>
      <c r="Q2263" s="13" t="s">
        <v>3603</v>
      </c>
      <c r="R2263" s="13" t="s">
        <v>0</v>
      </c>
      <c r="S2263" s="13" t="s">
        <v>0</v>
      </c>
      <c r="T2263" s="13" t="s">
        <v>9</v>
      </c>
      <c r="U2263" s="13" t="s">
        <v>0</v>
      </c>
      <c r="V2263" s="13" t="s">
        <v>0</v>
      </c>
      <c r="W2263" s="13" t="s">
        <v>0</v>
      </c>
      <c r="X2263" s="13" t="s">
        <v>0</v>
      </c>
      <c r="Y2263" s="13" t="s">
        <v>10</v>
      </c>
      <c r="Z2263" s="13" t="s">
        <v>0</v>
      </c>
      <c r="AA2263" s="14"/>
      <c r="AB2263" s="13" t="s">
        <v>0</v>
      </c>
      <c r="AC2263" s="13" t="s">
        <v>0</v>
      </c>
      <c r="AD2263" s="13" t="s">
        <v>0</v>
      </c>
      <c r="AE2263" s="15">
        <v>0</v>
      </c>
    </row>
    <row r="2264" spans="1:31" ht="14.15" customHeight="1" x14ac:dyDescent="0.25">
      <c r="A2264" s="12" t="s">
        <v>0</v>
      </c>
      <c r="B2264" s="13" t="s">
        <v>1</v>
      </c>
      <c r="C2264" s="13" t="s">
        <v>3800</v>
      </c>
      <c r="D2264" s="14">
        <v>44344</v>
      </c>
      <c r="E2264" s="14">
        <v>44344</v>
      </c>
      <c r="F2264" s="14">
        <v>44348</v>
      </c>
      <c r="G2264" s="13" t="s">
        <v>3</v>
      </c>
      <c r="H2264" s="13" t="s">
        <v>4</v>
      </c>
      <c r="I2264" s="15">
        <v>-4074.03</v>
      </c>
      <c r="J2264" s="13" t="s">
        <v>5</v>
      </c>
      <c r="K2264" s="13" t="s">
        <v>6</v>
      </c>
      <c r="L2264" s="15">
        <v>-342014.81</v>
      </c>
      <c r="M2264" s="15">
        <v>-4074.03</v>
      </c>
      <c r="N2264" s="16" t="str">
        <f>IF(M2264="","",IF(M2264&lt;0,-M2264&amp;"_"&amp;COUNTIF(M$2:M2264,M2264),M2264&amp;"_"&amp;COUNTIF(M$2:M2264,M2264)))</f>
        <v>4074.03_1</v>
      </c>
      <c r="O2264" s="17" t="str">
        <f t="shared" si="35"/>
        <v/>
      </c>
      <c r="P2264" s="13" t="s">
        <v>3801</v>
      </c>
      <c r="Q2264" s="13" t="s">
        <v>3778</v>
      </c>
      <c r="R2264" s="13" t="s">
        <v>0</v>
      </c>
      <c r="S2264" s="13" t="s">
        <v>0</v>
      </c>
      <c r="T2264" s="13" t="s">
        <v>9</v>
      </c>
      <c r="U2264" s="13" t="s">
        <v>0</v>
      </c>
      <c r="V2264" s="13" t="s">
        <v>0</v>
      </c>
      <c r="W2264" s="13" t="s">
        <v>0</v>
      </c>
      <c r="X2264" s="13" t="s">
        <v>0</v>
      </c>
      <c r="Y2264" s="13" t="s">
        <v>10</v>
      </c>
      <c r="Z2264" s="13" t="s">
        <v>0</v>
      </c>
      <c r="AA2264" s="14"/>
      <c r="AB2264" s="13" t="s">
        <v>0</v>
      </c>
      <c r="AC2264" s="13" t="s">
        <v>0</v>
      </c>
      <c r="AD2264" s="13" t="s">
        <v>0</v>
      </c>
      <c r="AE2264" s="15">
        <v>0</v>
      </c>
    </row>
    <row r="2265" spans="1:31" ht="14.15" customHeight="1" x14ac:dyDescent="0.25">
      <c r="A2265" s="12" t="s">
        <v>0</v>
      </c>
      <c r="B2265" s="13" t="s">
        <v>1</v>
      </c>
      <c r="C2265" s="13" t="s">
        <v>3240</v>
      </c>
      <c r="D2265" s="14">
        <v>44306</v>
      </c>
      <c r="E2265" s="14">
        <v>44306</v>
      </c>
      <c r="F2265" s="14">
        <v>44323</v>
      </c>
      <c r="G2265" s="13" t="s">
        <v>3</v>
      </c>
      <c r="H2265" s="13" t="s">
        <v>4</v>
      </c>
      <c r="I2265" s="15">
        <v>-4052.26</v>
      </c>
      <c r="J2265" s="13" t="s">
        <v>5</v>
      </c>
      <c r="K2265" s="13" t="s">
        <v>6</v>
      </c>
      <c r="L2265" s="15">
        <v>-340187.23</v>
      </c>
      <c r="M2265" s="15">
        <v>-4052.26</v>
      </c>
      <c r="N2265" s="16" t="str">
        <f>IF(M2265="","",IF(M2265&lt;0,-M2265&amp;"_"&amp;COUNTIF(M$2:M2265,M2265),M2265&amp;"_"&amp;COUNTIF(M$2:M2265,M2265)))</f>
        <v>4052.26_1</v>
      </c>
      <c r="O2265" s="17" t="str">
        <f t="shared" si="35"/>
        <v/>
      </c>
      <c r="P2265" s="13" t="s">
        <v>3241</v>
      </c>
      <c r="Q2265" s="13" t="s">
        <v>3229</v>
      </c>
      <c r="R2265" s="13" t="s">
        <v>0</v>
      </c>
      <c r="S2265" s="13" t="s">
        <v>0</v>
      </c>
      <c r="T2265" s="13" t="s">
        <v>9</v>
      </c>
      <c r="U2265" s="13" t="s">
        <v>0</v>
      </c>
      <c r="V2265" s="13" t="s">
        <v>0</v>
      </c>
      <c r="W2265" s="13" t="s">
        <v>0</v>
      </c>
      <c r="X2265" s="13" t="s">
        <v>0</v>
      </c>
      <c r="Y2265" s="13" t="s">
        <v>10</v>
      </c>
      <c r="Z2265" s="13" t="s">
        <v>0</v>
      </c>
      <c r="AA2265" s="14"/>
      <c r="AB2265" s="13" t="s">
        <v>0</v>
      </c>
      <c r="AC2265" s="13" t="s">
        <v>0</v>
      </c>
      <c r="AD2265" s="13" t="s">
        <v>0</v>
      </c>
      <c r="AE2265" s="15">
        <v>0</v>
      </c>
    </row>
    <row r="2266" spans="1:31" ht="14.15" customHeight="1" x14ac:dyDescent="0.25">
      <c r="A2266" s="12" t="s">
        <v>0</v>
      </c>
      <c r="B2266" s="13" t="s">
        <v>1</v>
      </c>
      <c r="C2266" s="13" t="s">
        <v>111</v>
      </c>
      <c r="D2266" s="14">
        <v>44025</v>
      </c>
      <c r="E2266" s="14">
        <v>44025</v>
      </c>
      <c r="F2266" s="14">
        <v>44030</v>
      </c>
      <c r="G2266" s="13" t="s">
        <v>3</v>
      </c>
      <c r="H2266" s="13" t="s">
        <v>4</v>
      </c>
      <c r="I2266" s="15">
        <v>-4045.4</v>
      </c>
      <c r="J2266" s="13" t="s">
        <v>5</v>
      </c>
      <c r="K2266" s="13" t="s">
        <v>6</v>
      </c>
      <c r="L2266" s="15">
        <v>-339611.33</v>
      </c>
      <c r="M2266" s="15">
        <v>-4045.4</v>
      </c>
      <c r="N2266" s="16" t="str">
        <f>IF(M2266="","",IF(M2266&lt;0,-M2266&amp;"_"&amp;COUNTIF(M$2:M2266,M2266),M2266&amp;"_"&amp;COUNTIF(M$2:M2266,M2266)))</f>
        <v>4045.4_1</v>
      </c>
      <c r="O2266" s="17" t="str">
        <f t="shared" si="35"/>
        <v/>
      </c>
      <c r="P2266" s="13" t="s">
        <v>112</v>
      </c>
      <c r="Q2266" s="13" t="s">
        <v>104</v>
      </c>
      <c r="R2266" s="13" t="s">
        <v>0</v>
      </c>
      <c r="S2266" s="13" t="s">
        <v>0</v>
      </c>
      <c r="T2266" s="13" t="s">
        <v>9</v>
      </c>
      <c r="U2266" s="13" t="s">
        <v>0</v>
      </c>
      <c r="V2266" s="13" t="s">
        <v>0</v>
      </c>
      <c r="W2266" s="13" t="s">
        <v>0</v>
      </c>
      <c r="X2266" s="13" t="s">
        <v>0</v>
      </c>
      <c r="Y2266" s="13" t="s">
        <v>10</v>
      </c>
      <c r="Z2266" s="13" t="s">
        <v>0</v>
      </c>
      <c r="AA2266" s="14"/>
      <c r="AB2266" s="13" t="s">
        <v>0</v>
      </c>
      <c r="AC2266" s="13" t="s">
        <v>0</v>
      </c>
      <c r="AD2266" s="13" t="s">
        <v>0</v>
      </c>
      <c r="AE2266" s="15">
        <v>0</v>
      </c>
    </row>
    <row r="2267" spans="1:31" ht="14.15" customHeight="1" x14ac:dyDescent="0.25">
      <c r="A2267" s="12" t="s">
        <v>0</v>
      </c>
      <c r="B2267" s="13" t="s">
        <v>1</v>
      </c>
      <c r="C2267" s="13" t="s">
        <v>3075</v>
      </c>
      <c r="D2267" s="14">
        <v>44285</v>
      </c>
      <c r="E2267" s="14">
        <v>44285</v>
      </c>
      <c r="F2267" s="14">
        <v>44290</v>
      </c>
      <c r="G2267" s="13" t="s">
        <v>3</v>
      </c>
      <c r="H2267" s="13" t="s">
        <v>4</v>
      </c>
      <c r="I2267" s="15">
        <v>-4034.82</v>
      </c>
      <c r="J2267" s="13" t="s">
        <v>5</v>
      </c>
      <c r="K2267" s="13" t="s">
        <v>6</v>
      </c>
      <c r="L2267" s="15">
        <v>-338723.14</v>
      </c>
      <c r="M2267" s="15">
        <v>-4034.82</v>
      </c>
      <c r="N2267" s="16" t="str">
        <f>IF(M2267="","",IF(M2267&lt;0,-M2267&amp;"_"&amp;COUNTIF(M$2:M2267,M2267),M2267&amp;"_"&amp;COUNTIF(M$2:M2267,M2267)))</f>
        <v>4034.82_1</v>
      </c>
      <c r="O2267" s="17" t="str">
        <f t="shared" si="35"/>
        <v/>
      </c>
      <c r="P2267" s="13" t="s">
        <v>3076</v>
      </c>
      <c r="Q2267" s="13" t="s">
        <v>3074</v>
      </c>
      <c r="R2267" s="13" t="s">
        <v>0</v>
      </c>
      <c r="S2267" s="13" t="s">
        <v>0</v>
      </c>
      <c r="T2267" s="13" t="s">
        <v>9</v>
      </c>
      <c r="U2267" s="13" t="s">
        <v>0</v>
      </c>
      <c r="V2267" s="13" t="s">
        <v>0</v>
      </c>
      <c r="W2267" s="13" t="s">
        <v>0</v>
      </c>
      <c r="X2267" s="13" t="s">
        <v>0</v>
      </c>
      <c r="Y2267" s="13" t="s">
        <v>10</v>
      </c>
      <c r="Z2267" s="13" t="s">
        <v>0</v>
      </c>
      <c r="AA2267" s="14"/>
      <c r="AB2267" s="13" t="s">
        <v>0</v>
      </c>
      <c r="AC2267" s="13" t="s">
        <v>0</v>
      </c>
      <c r="AD2267" s="13" t="s">
        <v>0</v>
      </c>
      <c r="AE2267" s="15">
        <v>0</v>
      </c>
    </row>
    <row r="2268" spans="1:31" ht="14.15" customHeight="1" x14ac:dyDescent="0.25">
      <c r="A2268" s="12" t="s">
        <v>0</v>
      </c>
      <c r="B2268" s="13" t="s">
        <v>1</v>
      </c>
      <c r="C2268" s="13" t="s">
        <v>2104</v>
      </c>
      <c r="D2268" s="14">
        <v>44199</v>
      </c>
      <c r="E2268" s="14">
        <v>44199</v>
      </c>
      <c r="F2268" s="14">
        <v>44203</v>
      </c>
      <c r="G2268" s="13" t="s">
        <v>3</v>
      </c>
      <c r="H2268" s="13" t="s">
        <v>4</v>
      </c>
      <c r="I2268" s="15">
        <v>-4028.94</v>
      </c>
      <c r="J2268" s="13" t="s">
        <v>5</v>
      </c>
      <c r="K2268" s="13" t="s">
        <v>6</v>
      </c>
      <c r="L2268" s="15">
        <v>-338229.51</v>
      </c>
      <c r="M2268" s="15">
        <v>-4028.94</v>
      </c>
      <c r="N2268" s="16" t="str">
        <f>IF(M2268="","",IF(M2268&lt;0,-M2268&amp;"_"&amp;COUNTIF(M$2:M2268,M2268),M2268&amp;"_"&amp;COUNTIF(M$2:M2268,M2268)))</f>
        <v>4028.94_1</v>
      </c>
      <c r="O2268" s="17" t="str">
        <f t="shared" si="35"/>
        <v/>
      </c>
      <c r="P2268" s="13" t="s">
        <v>2105</v>
      </c>
      <c r="Q2268" s="13" t="s">
        <v>2093</v>
      </c>
      <c r="R2268" s="13" t="s">
        <v>0</v>
      </c>
      <c r="S2268" s="13" t="s">
        <v>0</v>
      </c>
      <c r="T2268" s="13" t="s">
        <v>9</v>
      </c>
      <c r="U2268" s="13" t="s">
        <v>0</v>
      </c>
      <c r="V2268" s="13" t="s">
        <v>0</v>
      </c>
      <c r="W2268" s="13" t="s">
        <v>0</v>
      </c>
      <c r="X2268" s="13" t="s">
        <v>0</v>
      </c>
      <c r="Y2268" s="13" t="s">
        <v>10</v>
      </c>
      <c r="Z2268" s="13" t="s">
        <v>0</v>
      </c>
      <c r="AA2268" s="14"/>
      <c r="AB2268" s="13" t="s">
        <v>0</v>
      </c>
      <c r="AC2268" s="13" t="s">
        <v>0</v>
      </c>
      <c r="AD2268" s="13" t="s">
        <v>0</v>
      </c>
      <c r="AE2268" s="15">
        <v>0</v>
      </c>
    </row>
    <row r="2269" spans="1:31" ht="14.15" customHeight="1" x14ac:dyDescent="0.25">
      <c r="A2269" s="12" t="s">
        <v>0</v>
      </c>
      <c r="B2269" s="13" t="s">
        <v>1</v>
      </c>
      <c r="C2269" s="13" t="s">
        <v>1603</v>
      </c>
      <c r="D2269" s="14">
        <v>44168</v>
      </c>
      <c r="E2269" s="14">
        <v>44168</v>
      </c>
      <c r="F2269" s="14">
        <v>44174</v>
      </c>
      <c r="G2269" s="13" t="s">
        <v>3</v>
      </c>
      <c r="H2269" s="13" t="s">
        <v>4</v>
      </c>
      <c r="I2269" s="15">
        <v>-4023.74</v>
      </c>
      <c r="J2269" s="13" t="s">
        <v>5</v>
      </c>
      <c r="K2269" s="13" t="s">
        <v>6</v>
      </c>
      <c r="L2269" s="15">
        <v>-337792.97</v>
      </c>
      <c r="M2269" s="15">
        <v>-4023.74</v>
      </c>
      <c r="N2269" s="16" t="str">
        <f>IF(M2269="","",IF(M2269&lt;0,-M2269&amp;"_"&amp;COUNTIF(M$2:M2269,M2269),M2269&amp;"_"&amp;COUNTIF(M$2:M2269,M2269)))</f>
        <v>4023.74_1</v>
      </c>
      <c r="O2269" s="17" t="str">
        <f t="shared" si="35"/>
        <v/>
      </c>
      <c r="P2269" s="13" t="s">
        <v>1604</v>
      </c>
      <c r="Q2269" s="13" t="s">
        <v>1605</v>
      </c>
      <c r="R2269" s="13" t="s">
        <v>0</v>
      </c>
      <c r="S2269" s="13" t="s">
        <v>0</v>
      </c>
      <c r="T2269" s="13" t="s">
        <v>9</v>
      </c>
      <c r="U2269" s="13" t="s">
        <v>0</v>
      </c>
      <c r="V2269" s="13" t="s">
        <v>0</v>
      </c>
      <c r="W2269" s="13" t="s">
        <v>0</v>
      </c>
      <c r="X2269" s="13" t="s">
        <v>0</v>
      </c>
      <c r="Y2269" s="13" t="s">
        <v>10</v>
      </c>
      <c r="Z2269" s="13" t="s">
        <v>0</v>
      </c>
      <c r="AA2269" s="14"/>
      <c r="AB2269" s="13" t="s">
        <v>0</v>
      </c>
      <c r="AC2269" s="13" t="s">
        <v>0</v>
      </c>
      <c r="AD2269" s="13" t="s">
        <v>0</v>
      </c>
      <c r="AE2269" s="15">
        <v>0</v>
      </c>
    </row>
    <row r="2270" spans="1:31" ht="14.15" customHeight="1" x14ac:dyDescent="0.25">
      <c r="A2270" s="12" t="s">
        <v>0</v>
      </c>
      <c r="B2270" s="13" t="s">
        <v>1</v>
      </c>
      <c r="C2270" s="13" t="s">
        <v>399</v>
      </c>
      <c r="D2270" s="14">
        <v>44061</v>
      </c>
      <c r="E2270" s="14">
        <v>44061</v>
      </c>
      <c r="F2270" s="14">
        <v>44068</v>
      </c>
      <c r="G2270" s="13" t="s">
        <v>3</v>
      </c>
      <c r="H2270" s="13" t="s">
        <v>4</v>
      </c>
      <c r="I2270" s="15">
        <v>-4014.07</v>
      </c>
      <c r="J2270" s="13" t="s">
        <v>5</v>
      </c>
      <c r="K2270" s="13" t="s">
        <v>6</v>
      </c>
      <c r="L2270" s="15">
        <v>-336981.18</v>
      </c>
      <c r="M2270" s="15">
        <v>-4014.07</v>
      </c>
      <c r="N2270" s="16" t="str">
        <f>IF(M2270="","",IF(M2270&lt;0,-M2270&amp;"_"&amp;COUNTIF(M$2:M2270,M2270),M2270&amp;"_"&amp;COUNTIF(M$2:M2270,M2270)))</f>
        <v>4014.07_1</v>
      </c>
      <c r="O2270" s="17" t="str">
        <f t="shared" si="35"/>
        <v/>
      </c>
      <c r="P2270" s="13" t="s">
        <v>400</v>
      </c>
      <c r="Q2270" s="13" t="s">
        <v>398</v>
      </c>
      <c r="R2270" s="13" t="s">
        <v>0</v>
      </c>
      <c r="S2270" s="13" t="s">
        <v>0</v>
      </c>
      <c r="T2270" s="13" t="s">
        <v>9</v>
      </c>
      <c r="U2270" s="13" t="s">
        <v>0</v>
      </c>
      <c r="V2270" s="13" t="s">
        <v>0</v>
      </c>
      <c r="W2270" s="13" t="s">
        <v>0</v>
      </c>
      <c r="X2270" s="13" t="s">
        <v>0</v>
      </c>
      <c r="Y2270" s="13" t="s">
        <v>10</v>
      </c>
      <c r="Z2270" s="13" t="s">
        <v>0</v>
      </c>
      <c r="AA2270" s="14"/>
      <c r="AB2270" s="13" t="s">
        <v>0</v>
      </c>
      <c r="AC2270" s="13" t="s">
        <v>0</v>
      </c>
      <c r="AD2270" s="13" t="s">
        <v>0</v>
      </c>
      <c r="AE2270" s="15">
        <v>0</v>
      </c>
    </row>
    <row r="2271" spans="1:31" ht="14.15" customHeight="1" x14ac:dyDescent="0.25">
      <c r="A2271" s="12" t="s">
        <v>0</v>
      </c>
      <c r="B2271" s="13" t="s">
        <v>1</v>
      </c>
      <c r="C2271" s="13" t="s">
        <v>3075</v>
      </c>
      <c r="D2271" s="14">
        <v>44285</v>
      </c>
      <c r="E2271" s="14">
        <v>44285</v>
      </c>
      <c r="F2271" s="14">
        <v>44290</v>
      </c>
      <c r="G2271" s="13" t="s">
        <v>3</v>
      </c>
      <c r="H2271" s="13" t="s">
        <v>4</v>
      </c>
      <c r="I2271" s="15">
        <v>-4012.6</v>
      </c>
      <c r="J2271" s="13" t="s">
        <v>5</v>
      </c>
      <c r="K2271" s="13" t="s">
        <v>6</v>
      </c>
      <c r="L2271" s="15">
        <v>-336857.77</v>
      </c>
      <c r="M2271" s="15">
        <v>-4012.6</v>
      </c>
      <c r="N2271" s="16" t="str">
        <f>IF(M2271="","",IF(M2271&lt;0,-M2271&amp;"_"&amp;COUNTIF(M$2:M2271,M2271),M2271&amp;"_"&amp;COUNTIF(M$2:M2271,M2271)))</f>
        <v>4012.6_1</v>
      </c>
      <c r="O2271" s="17" t="str">
        <f t="shared" si="35"/>
        <v/>
      </c>
      <c r="P2271" s="13" t="s">
        <v>3076</v>
      </c>
      <c r="Q2271" s="13" t="s">
        <v>3074</v>
      </c>
      <c r="R2271" s="13" t="s">
        <v>0</v>
      </c>
      <c r="S2271" s="13" t="s">
        <v>0</v>
      </c>
      <c r="T2271" s="13" t="s">
        <v>9</v>
      </c>
      <c r="U2271" s="13" t="s">
        <v>0</v>
      </c>
      <c r="V2271" s="13" t="s">
        <v>0</v>
      </c>
      <c r="W2271" s="13" t="s">
        <v>0</v>
      </c>
      <c r="X2271" s="13" t="s">
        <v>0</v>
      </c>
      <c r="Y2271" s="13" t="s">
        <v>10</v>
      </c>
      <c r="Z2271" s="13" t="s">
        <v>0</v>
      </c>
      <c r="AA2271" s="14"/>
      <c r="AB2271" s="13" t="s">
        <v>0</v>
      </c>
      <c r="AC2271" s="13" t="s">
        <v>0</v>
      </c>
      <c r="AD2271" s="13" t="s">
        <v>0</v>
      </c>
      <c r="AE2271" s="15">
        <v>0</v>
      </c>
    </row>
    <row r="2272" spans="1:31" ht="14.15" customHeight="1" x14ac:dyDescent="0.25">
      <c r="A2272" s="12" t="s">
        <v>0</v>
      </c>
      <c r="B2272" s="13" t="s">
        <v>1</v>
      </c>
      <c r="C2272" s="13" t="s">
        <v>3491</v>
      </c>
      <c r="D2272" s="14">
        <v>44321</v>
      </c>
      <c r="E2272" s="14">
        <v>44321</v>
      </c>
      <c r="F2272" s="14">
        <v>44325</v>
      </c>
      <c r="G2272" s="13" t="s">
        <v>3</v>
      </c>
      <c r="H2272" s="13" t="s">
        <v>4</v>
      </c>
      <c r="I2272" s="15">
        <v>-3996.27</v>
      </c>
      <c r="J2272" s="13" t="s">
        <v>5</v>
      </c>
      <c r="K2272" s="13" t="s">
        <v>6</v>
      </c>
      <c r="L2272" s="15">
        <v>-335486.87</v>
      </c>
      <c r="M2272" s="15">
        <v>-3996.27</v>
      </c>
      <c r="N2272" s="16" t="str">
        <f>IF(M2272="","",IF(M2272&lt;0,-M2272&amp;"_"&amp;COUNTIF(M$2:M2272,M2272),M2272&amp;"_"&amp;COUNTIF(M$2:M2272,M2272)))</f>
        <v>3996.27_1</v>
      </c>
      <c r="O2272" s="17" t="str">
        <f t="shared" si="35"/>
        <v/>
      </c>
      <c r="P2272" s="13" t="s">
        <v>3492</v>
      </c>
      <c r="Q2272" s="13" t="s">
        <v>3490</v>
      </c>
      <c r="R2272" s="13" t="s">
        <v>0</v>
      </c>
      <c r="S2272" s="13" t="s">
        <v>0</v>
      </c>
      <c r="T2272" s="13" t="s">
        <v>9</v>
      </c>
      <c r="U2272" s="13" t="s">
        <v>0</v>
      </c>
      <c r="V2272" s="13" t="s">
        <v>0</v>
      </c>
      <c r="W2272" s="13" t="s">
        <v>0</v>
      </c>
      <c r="X2272" s="13" t="s">
        <v>0</v>
      </c>
      <c r="Y2272" s="13" t="s">
        <v>10</v>
      </c>
      <c r="Z2272" s="13" t="s">
        <v>0</v>
      </c>
      <c r="AA2272" s="14"/>
      <c r="AB2272" s="13" t="s">
        <v>0</v>
      </c>
      <c r="AC2272" s="13" t="s">
        <v>0</v>
      </c>
      <c r="AD2272" s="13" t="s">
        <v>0</v>
      </c>
      <c r="AE2272" s="15">
        <v>0</v>
      </c>
    </row>
    <row r="2273" spans="1:31" ht="14.15" customHeight="1" x14ac:dyDescent="0.25">
      <c r="A2273" s="12" t="s">
        <v>0</v>
      </c>
      <c r="B2273" s="13" t="s">
        <v>1</v>
      </c>
      <c r="C2273" s="13" t="s">
        <v>559</v>
      </c>
      <c r="D2273" s="14">
        <v>44075</v>
      </c>
      <c r="E2273" s="14">
        <v>44075</v>
      </c>
      <c r="F2273" s="14">
        <v>44082</v>
      </c>
      <c r="G2273" s="13" t="s">
        <v>3</v>
      </c>
      <c r="H2273" s="13" t="s">
        <v>4</v>
      </c>
      <c r="I2273" s="15">
        <v>-3980.24</v>
      </c>
      <c r="J2273" s="13" t="s">
        <v>5</v>
      </c>
      <c r="K2273" s="13" t="s">
        <v>6</v>
      </c>
      <c r="L2273" s="15">
        <v>-334141.15000000002</v>
      </c>
      <c r="M2273" s="15">
        <v>-3980.24</v>
      </c>
      <c r="N2273" s="16" t="str">
        <f>IF(M2273="","",IF(M2273&lt;0,-M2273&amp;"_"&amp;COUNTIF(M$2:M2273,M2273),M2273&amp;"_"&amp;COUNTIF(M$2:M2273,M2273)))</f>
        <v>3980.24_1</v>
      </c>
      <c r="O2273" s="17" t="str">
        <f t="shared" si="35"/>
        <v/>
      </c>
      <c r="P2273" s="13" t="s">
        <v>560</v>
      </c>
      <c r="Q2273" s="13" t="s">
        <v>558</v>
      </c>
      <c r="R2273" s="13" t="s">
        <v>0</v>
      </c>
      <c r="S2273" s="13" t="s">
        <v>0</v>
      </c>
      <c r="T2273" s="13" t="s">
        <v>9</v>
      </c>
      <c r="U2273" s="13" t="s">
        <v>0</v>
      </c>
      <c r="V2273" s="13" t="s">
        <v>0</v>
      </c>
      <c r="W2273" s="13" t="s">
        <v>0</v>
      </c>
      <c r="X2273" s="13" t="s">
        <v>0</v>
      </c>
      <c r="Y2273" s="13" t="s">
        <v>10</v>
      </c>
      <c r="Z2273" s="13" t="s">
        <v>0</v>
      </c>
      <c r="AA2273" s="14"/>
      <c r="AB2273" s="13" t="s">
        <v>0</v>
      </c>
      <c r="AC2273" s="13" t="s">
        <v>0</v>
      </c>
      <c r="AD2273" s="13" t="s">
        <v>0</v>
      </c>
      <c r="AE2273" s="15">
        <v>0</v>
      </c>
    </row>
    <row r="2274" spans="1:31" ht="14.15" customHeight="1" x14ac:dyDescent="0.25">
      <c r="A2274" s="12" t="s">
        <v>0</v>
      </c>
      <c r="B2274" s="13" t="s">
        <v>1</v>
      </c>
      <c r="C2274" s="13" t="s">
        <v>3889</v>
      </c>
      <c r="D2274" s="14">
        <v>44353</v>
      </c>
      <c r="E2274" s="14">
        <v>44353</v>
      </c>
      <c r="F2274" s="14">
        <v>44356</v>
      </c>
      <c r="G2274" s="13" t="s">
        <v>3</v>
      </c>
      <c r="H2274" s="13" t="s">
        <v>4</v>
      </c>
      <c r="I2274" s="15">
        <v>-3974.33</v>
      </c>
      <c r="J2274" s="13" t="s">
        <v>5</v>
      </c>
      <c r="K2274" s="13" t="s">
        <v>6</v>
      </c>
      <c r="L2274" s="15">
        <v>-333645</v>
      </c>
      <c r="M2274" s="15">
        <v>-3974.33</v>
      </c>
      <c r="N2274" s="16" t="str">
        <f>IF(M2274="","",IF(M2274&lt;0,-M2274&amp;"_"&amp;COUNTIF(M$2:M2274,M2274),M2274&amp;"_"&amp;COUNTIF(M$2:M2274,M2274)))</f>
        <v>3974.33_1</v>
      </c>
      <c r="O2274" s="17" t="str">
        <f t="shared" si="35"/>
        <v/>
      </c>
      <c r="P2274" s="13" t="s">
        <v>3890</v>
      </c>
      <c r="Q2274" s="13" t="s">
        <v>3886</v>
      </c>
      <c r="R2274" s="13" t="s">
        <v>0</v>
      </c>
      <c r="S2274" s="13" t="s">
        <v>0</v>
      </c>
      <c r="T2274" s="13" t="s">
        <v>9</v>
      </c>
      <c r="U2274" s="13" t="s">
        <v>0</v>
      </c>
      <c r="V2274" s="13" t="s">
        <v>0</v>
      </c>
      <c r="W2274" s="13" t="s">
        <v>0</v>
      </c>
      <c r="X2274" s="13" t="s">
        <v>0</v>
      </c>
      <c r="Y2274" s="13" t="s">
        <v>10</v>
      </c>
      <c r="Z2274" s="13" t="s">
        <v>0</v>
      </c>
      <c r="AA2274" s="14"/>
      <c r="AB2274" s="13" t="s">
        <v>0</v>
      </c>
      <c r="AC2274" s="13" t="s">
        <v>0</v>
      </c>
      <c r="AD2274" s="13" t="s">
        <v>0</v>
      </c>
      <c r="AE2274" s="15">
        <v>0</v>
      </c>
    </row>
    <row r="2275" spans="1:31" ht="14.15" customHeight="1" x14ac:dyDescent="0.25">
      <c r="A2275" s="12" t="s">
        <v>0</v>
      </c>
      <c r="B2275" s="13" t="s">
        <v>1</v>
      </c>
      <c r="C2275" s="13" t="s">
        <v>2888</v>
      </c>
      <c r="D2275" s="14">
        <v>44275</v>
      </c>
      <c r="E2275" s="14">
        <v>44275</v>
      </c>
      <c r="F2275" s="14">
        <v>44279</v>
      </c>
      <c r="G2275" s="13" t="s">
        <v>3</v>
      </c>
      <c r="H2275" s="13" t="s">
        <v>4</v>
      </c>
      <c r="I2275" s="15">
        <v>-3967.38</v>
      </c>
      <c r="J2275" s="13" t="s">
        <v>5</v>
      </c>
      <c r="K2275" s="13" t="s">
        <v>6</v>
      </c>
      <c r="L2275" s="15">
        <v>-333061.55</v>
      </c>
      <c r="M2275" s="15">
        <v>-3967.38</v>
      </c>
      <c r="N2275" s="16" t="str">
        <f>IF(M2275="","",IF(M2275&lt;0,-M2275&amp;"_"&amp;COUNTIF(M$2:M2275,M2275),M2275&amp;"_"&amp;COUNTIF(M$2:M2275,M2275)))</f>
        <v>3967.38_1</v>
      </c>
      <c r="O2275" s="17" t="str">
        <f t="shared" si="35"/>
        <v/>
      </c>
      <c r="P2275" s="13" t="s">
        <v>2889</v>
      </c>
      <c r="Q2275" s="13" t="s">
        <v>2881</v>
      </c>
      <c r="R2275" s="13" t="s">
        <v>0</v>
      </c>
      <c r="S2275" s="13" t="s">
        <v>0</v>
      </c>
      <c r="T2275" s="13" t="s">
        <v>9</v>
      </c>
      <c r="U2275" s="13" t="s">
        <v>0</v>
      </c>
      <c r="V2275" s="13" t="s">
        <v>0</v>
      </c>
      <c r="W2275" s="13" t="s">
        <v>0</v>
      </c>
      <c r="X2275" s="13" t="s">
        <v>0</v>
      </c>
      <c r="Y2275" s="13" t="s">
        <v>10</v>
      </c>
      <c r="Z2275" s="13" t="s">
        <v>0</v>
      </c>
      <c r="AA2275" s="14"/>
      <c r="AB2275" s="13" t="s">
        <v>0</v>
      </c>
      <c r="AC2275" s="13" t="s">
        <v>0</v>
      </c>
      <c r="AD2275" s="13" t="s">
        <v>0</v>
      </c>
      <c r="AE2275" s="15">
        <v>0</v>
      </c>
    </row>
    <row r="2276" spans="1:31" ht="14.15" customHeight="1" x14ac:dyDescent="0.25">
      <c r="A2276" s="12" t="s">
        <v>0</v>
      </c>
      <c r="B2276" s="13" t="s">
        <v>1</v>
      </c>
      <c r="C2276" s="13" t="s">
        <v>2892</v>
      </c>
      <c r="D2276" s="14">
        <v>44275</v>
      </c>
      <c r="E2276" s="14">
        <v>44275</v>
      </c>
      <c r="F2276" s="14">
        <v>44279</v>
      </c>
      <c r="G2276" s="13" t="s">
        <v>3</v>
      </c>
      <c r="H2276" s="13" t="s">
        <v>4</v>
      </c>
      <c r="I2276" s="15">
        <v>-3967.38</v>
      </c>
      <c r="J2276" s="13" t="s">
        <v>5</v>
      </c>
      <c r="K2276" s="13" t="s">
        <v>6</v>
      </c>
      <c r="L2276" s="15">
        <v>-333061.55</v>
      </c>
      <c r="M2276" s="15">
        <v>-3967.38</v>
      </c>
      <c r="N2276" s="16" t="str">
        <f>IF(M2276="","",IF(M2276&lt;0,-M2276&amp;"_"&amp;COUNTIF(M$2:M2276,M2276),M2276&amp;"_"&amp;COUNTIF(M$2:M2276,M2276)))</f>
        <v>3967.38_2</v>
      </c>
      <c r="O2276" s="17" t="str">
        <f t="shared" si="35"/>
        <v/>
      </c>
      <c r="P2276" s="13" t="s">
        <v>2893</v>
      </c>
      <c r="Q2276" s="13" t="s">
        <v>2881</v>
      </c>
      <c r="R2276" s="13" t="s">
        <v>0</v>
      </c>
      <c r="S2276" s="13" t="s">
        <v>0</v>
      </c>
      <c r="T2276" s="13" t="s">
        <v>9</v>
      </c>
      <c r="U2276" s="13" t="s">
        <v>0</v>
      </c>
      <c r="V2276" s="13" t="s">
        <v>0</v>
      </c>
      <c r="W2276" s="13" t="s">
        <v>0</v>
      </c>
      <c r="X2276" s="13" t="s">
        <v>0</v>
      </c>
      <c r="Y2276" s="13" t="s">
        <v>10</v>
      </c>
      <c r="Z2276" s="13" t="s">
        <v>0</v>
      </c>
      <c r="AA2276" s="14"/>
      <c r="AB2276" s="13" t="s">
        <v>0</v>
      </c>
      <c r="AC2276" s="13" t="s">
        <v>0</v>
      </c>
      <c r="AD2276" s="13" t="s">
        <v>0</v>
      </c>
      <c r="AE2276" s="15">
        <v>0</v>
      </c>
    </row>
    <row r="2277" spans="1:31" ht="14.15" customHeight="1" x14ac:dyDescent="0.25">
      <c r="A2277" s="12" t="s">
        <v>0</v>
      </c>
      <c r="B2277" s="13" t="s">
        <v>1</v>
      </c>
      <c r="C2277" s="13" t="s">
        <v>2900</v>
      </c>
      <c r="D2277" s="14">
        <v>44275</v>
      </c>
      <c r="E2277" s="14">
        <v>44275</v>
      </c>
      <c r="F2277" s="14">
        <v>44286</v>
      </c>
      <c r="G2277" s="13" t="s">
        <v>3</v>
      </c>
      <c r="H2277" s="13" t="s">
        <v>4</v>
      </c>
      <c r="I2277" s="15">
        <v>-3967.38</v>
      </c>
      <c r="J2277" s="13" t="s">
        <v>5</v>
      </c>
      <c r="K2277" s="13" t="s">
        <v>6</v>
      </c>
      <c r="L2277" s="15">
        <v>-333061.55</v>
      </c>
      <c r="M2277" s="15">
        <v>-3967.38</v>
      </c>
      <c r="N2277" s="16" t="str">
        <f>IF(M2277="","",IF(M2277&lt;0,-M2277&amp;"_"&amp;COUNTIF(M$2:M2277,M2277),M2277&amp;"_"&amp;COUNTIF(M$2:M2277,M2277)))</f>
        <v>3967.38_3</v>
      </c>
      <c r="O2277" s="17" t="str">
        <f t="shared" si="35"/>
        <v/>
      </c>
      <c r="P2277" s="13" t="s">
        <v>2901</v>
      </c>
      <c r="Q2277" s="13" t="s">
        <v>2881</v>
      </c>
      <c r="R2277" s="13" t="s">
        <v>0</v>
      </c>
      <c r="S2277" s="13" t="s">
        <v>0</v>
      </c>
      <c r="T2277" s="13" t="s">
        <v>9</v>
      </c>
      <c r="U2277" s="13" t="s">
        <v>0</v>
      </c>
      <c r="V2277" s="13" t="s">
        <v>0</v>
      </c>
      <c r="W2277" s="13" t="s">
        <v>0</v>
      </c>
      <c r="X2277" s="13" t="s">
        <v>0</v>
      </c>
      <c r="Y2277" s="13" t="s">
        <v>10</v>
      </c>
      <c r="Z2277" s="13" t="s">
        <v>0</v>
      </c>
      <c r="AA2277" s="14"/>
      <c r="AB2277" s="13" t="s">
        <v>0</v>
      </c>
      <c r="AC2277" s="13" t="s">
        <v>0</v>
      </c>
      <c r="AD2277" s="13" t="s">
        <v>0</v>
      </c>
      <c r="AE2277" s="15">
        <v>0</v>
      </c>
    </row>
    <row r="2278" spans="1:31" ht="14.15" customHeight="1" x14ac:dyDescent="0.25">
      <c r="A2278" s="12" t="s">
        <v>0</v>
      </c>
      <c r="B2278" s="13" t="s">
        <v>1</v>
      </c>
      <c r="C2278" s="13" t="s">
        <v>2879</v>
      </c>
      <c r="D2278" s="14">
        <v>44275</v>
      </c>
      <c r="E2278" s="14">
        <v>44275</v>
      </c>
      <c r="F2278" s="14">
        <v>44279</v>
      </c>
      <c r="G2278" s="13" t="s">
        <v>3</v>
      </c>
      <c r="H2278" s="13" t="s">
        <v>4</v>
      </c>
      <c r="I2278" s="15">
        <v>-3967.02</v>
      </c>
      <c r="J2278" s="13" t="s">
        <v>5</v>
      </c>
      <c r="K2278" s="13" t="s">
        <v>6</v>
      </c>
      <c r="L2278" s="15">
        <v>-333031.33</v>
      </c>
      <c r="M2278" s="15">
        <v>-3967.02</v>
      </c>
      <c r="N2278" s="16" t="str">
        <f>IF(M2278="","",IF(M2278&lt;0,-M2278&amp;"_"&amp;COUNTIF(M$2:M2278,M2278),M2278&amp;"_"&amp;COUNTIF(M$2:M2278,M2278)))</f>
        <v>3967.02_1</v>
      </c>
      <c r="O2278" s="17" t="str">
        <f t="shared" si="35"/>
        <v/>
      </c>
      <c r="P2278" s="13" t="s">
        <v>2880</v>
      </c>
      <c r="Q2278" s="13" t="s">
        <v>2881</v>
      </c>
      <c r="R2278" s="13" t="s">
        <v>0</v>
      </c>
      <c r="S2278" s="13" t="s">
        <v>0</v>
      </c>
      <c r="T2278" s="13" t="s">
        <v>9</v>
      </c>
      <c r="U2278" s="13" t="s">
        <v>0</v>
      </c>
      <c r="V2278" s="13" t="s">
        <v>0</v>
      </c>
      <c r="W2278" s="13" t="s">
        <v>0</v>
      </c>
      <c r="X2278" s="13" t="s">
        <v>0</v>
      </c>
      <c r="Y2278" s="13" t="s">
        <v>10</v>
      </c>
      <c r="Z2278" s="13" t="s">
        <v>0</v>
      </c>
      <c r="AA2278" s="14"/>
      <c r="AB2278" s="13" t="s">
        <v>0</v>
      </c>
      <c r="AC2278" s="13" t="s">
        <v>0</v>
      </c>
      <c r="AD2278" s="13" t="s">
        <v>0</v>
      </c>
      <c r="AE2278" s="15">
        <v>0</v>
      </c>
    </row>
    <row r="2279" spans="1:31" ht="14.15" customHeight="1" x14ac:dyDescent="0.25">
      <c r="A2279" s="12" t="s">
        <v>0</v>
      </c>
      <c r="B2279" s="13" t="s">
        <v>1</v>
      </c>
      <c r="C2279" s="13" t="s">
        <v>2884</v>
      </c>
      <c r="D2279" s="14">
        <v>44275</v>
      </c>
      <c r="E2279" s="14">
        <v>44275</v>
      </c>
      <c r="F2279" s="14">
        <v>44279</v>
      </c>
      <c r="G2279" s="13" t="s">
        <v>3</v>
      </c>
      <c r="H2279" s="13" t="s">
        <v>4</v>
      </c>
      <c r="I2279" s="15">
        <v>-3967.02</v>
      </c>
      <c r="J2279" s="13" t="s">
        <v>5</v>
      </c>
      <c r="K2279" s="13" t="s">
        <v>6</v>
      </c>
      <c r="L2279" s="15">
        <v>-333031.33</v>
      </c>
      <c r="M2279" s="15">
        <v>-3967.02</v>
      </c>
      <c r="N2279" s="16" t="str">
        <f>IF(M2279="","",IF(M2279&lt;0,-M2279&amp;"_"&amp;COUNTIF(M$2:M2279,M2279),M2279&amp;"_"&amp;COUNTIF(M$2:M2279,M2279)))</f>
        <v>3967.02_2</v>
      </c>
      <c r="O2279" s="17" t="str">
        <f t="shared" si="35"/>
        <v/>
      </c>
      <c r="P2279" s="13" t="s">
        <v>2885</v>
      </c>
      <c r="Q2279" s="13" t="s">
        <v>2881</v>
      </c>
      <c r="R2279" s="13" t="s">
        <v>0</v>
      </c>
      <c r="S2279" s="13" t="s">
        <v>0</v>
      </c>
      <c r="T2279" s="13" t="s">
        <v>9</v>
      </c>
      <c r="U2279" s="13" t="s">
        <v>0</v>
      </c>
      <c r="V2279" s="13" t="s">
        <v>0</v>
      </c>
      <c r="W2279" s="13" t="s">
        <v>0</v>
      </c>
      <c r="X2279" s="13" t="s">
        <v>0</v>
      </c>
      <c r="Y2279" s="13" t="s">
        <v>10</v>
      </c>
      <c r="Z2279" s="13" t="s">
        <v>0</v>
      </c>
      <c r="AA2279" s="14"/>
      <c r="AB2279" s="13" t="s">
        <v>0</v>
      </c>
      <c r="AC2279" s="13" t="s">
        <v>0</v>
      </c>
      <c r="AD2279" s="13" t="s">
        <v>0</v>
      </c>
      <c r="AE2279" s="15">
        <v>0</v>
      </c>
    </row>
    <row r="2280" spans="1:31" ht="14.15" customHeight="1" x14ac:dyDescent="0.25">
      <c r="A2280" s="12" t="s">
        <v>0</v>
      </c>
      <c r="B2280" s="13" t="s">
        <v>1</v>
      </c>
      <c r="C2280" s="13" t="s">
        <v>2896</v>
      </c>
      <c r="D2280" s="14">
        <v>44275</v>
      </c>
      <c r="E2280" s="14">
        <v>44275</v>
      </c>
      <c r="F2280" s="14">
        <v>44286</v>
      </c>
      <c r="G2280" s="13" t="s">
        <v>3</v>
      </c>
      <c r="H2280" s="13" t="s">
        <v>4</v>
      </c>
      <c r="I2280" s="15">
        <v>-3967.02</v>
      </c>
      <c r="J2280" s="13" t="s">
        <v>5</v>
      </c>
      <c r="K2280" s="13" t="s">
        <v>6</v>
      </c>
      <c r="L2280" s="15">
        <v>-333031.33</v>
      </c>
      <c r="M2280" s="15">
        <v>-3967.02</v>
      </c>
      <c r="N2280" s="16" t="str">
        <f>IF(M2280="","",IF(M2280&lt;0,-M2280&amp;"_"&amp;COUNTIF(M$2:M2280,M2280),M2280&amp;"_"&amp;COUNTIF(M$2:M2280,M2280)))</f>
        <v>3967.02_3</v>
      </c>
      <c r="O2280" s="17" t="str">
        <f t="shared" si="35"/>
        <v/>
      </c>
      <c r="P2280" s="13" t="s">
        <v>2897</v>
      </c>
      <c r="Q2280" s="13" t="s">
        <v>2881</v>
      </c>
      <c r="R2280" s="13" t="s">
        <v>0</v>
      </c>
      <c r="S2280" s="13" t="s">
        <v>0</v>
      </c>
      <c r="T2280" s="13" t="s">
        <v>9</v>
      </c>
      <c r="U2280" s="13" t="s">
        <v>0</v>
      </c>
      <c r="V2280" s="13" t="s">
        <v>0</v>
      </c>
      <c r="W2280" s="13" t="s">
        <v>0</v>
      </c>
      <c r="X2280" s="13" t="s">
        <v>0</v>
      </c>
      <c r="Y2280" s="13" t="s">
        <v>10</v>
      </c>
      <c r="Z2280" s="13" t="s">
        <v>0</v>
      </c>
      <c r="AA2280" s="14"/>
      <c r="AB2280" s="13" t="s">
        <v>0</v>
      </c>
      <c r="AC2280" s="13" t="s">
        <v>0</v>
      </c>
      <c r="AD2280" s="13" t="s">
        <v>0</v>
      </c>
      <c r="AE2280" s="15">
        <v>0</v>
      </c>
    </row>
    <row r="2281" spans="1:31" ht="14.15" customHeight="1" x14ac:dyDescent="0.25">
      <c r="A2281" s="12" t="s">
        <v>0</v>
      </c>
      <c r="B2281" s="13" t="s">
        <v>1</v>
      </c>
      <c r="C2281" s="13" t="s">
        <v>3295</v>
      </c>
      <c r="D2281" s="14">
        <v>44314</v>
      </c>
      <c r="E2281" s="14">
        <v>44314</v>
      </c>
      <c r="F2281" s="14">
        <v>44322</v>
      </c>
      <c r="G2281" s="13" t="s">
        <v>3</v>
      </c>
      <c r="H2281" s="13" t="s">
        <v>4</v>
      </c>
      <c r="I2281" s="15">
        <v>-3963.33</v>
      </c>
      <c r="J2281" s="13" t="s">
        <v>5</v>
      </c>
      <c r="K2281" s="13" t="s">
        <v>6</v>
      </c>
      <c r="L2281" s="15">
        <v>-332721.55</v>
      </c>
      <c r="M2281" s="15">
        <v>-3963.33</v>
      </c>
      <c r="N2281" s="16" t="str">
        <f>IF(M2281="","",IF(M2281&lt;0,-M2281&amp;"_"&amp;COUNTIF(M$2:M2281,M2281),M2281&amp;"_"&amp;COUNTIF(M$2:M2281,M2281)))</f>
        <v>3963.33_1</v>
      </c>
      <c r="O2281" s="17" t="str">
        <f t="shared" si="35"/>
        <v/>
      </c>
      <c r="P2281" s="13" t="s">
        <v>3296</v>
      </c>
      <c r="Q2281" s="13" t="s">
        <v>3284</v>
      </c>
      <c r="R2281" s="13" t="s">
        <v>0</v>
      </c>
      <c r="S2281" s="13" t="s">
        <v>0</v>
      </c>
      <c r="T2281" s="13" t="s">
        <v>9</v>
      </c>
      <c r="U2281" s="13" t="s">
        <v>0</v>
      </c>
      <c r="V2281" s="13" t="s">
        <v>0</v>
      </c>
      <c r="W2281" s="13" t="s">
        <v>0</v>
      </c>
      <c r="X2281" s="13" t="s">
        <v>0</v>
      </c>
      <c r="Y2281" s="13" t="s">
        <v>10</v>
      </c>
      <c r="Z2281" s="13" t="s">
        <v>0</v>
      </c>
      <c r="AA2281" s="14"/>
      <c r="AB2281" s="13" t="s">
        <v>0</v>
      </c>
      <c r="AC2281" s="13" t="s">
        <v>0</v>
      </c>
      <c r="AD2281" s="13" t="s">
        <v>0</v>
      </c>
      <c r="AE2281" s="15">
        <v>0</v>
      </c>
    </row>
    <row r="2282" spans="1:31" ht="14.15" customHeight="1" x14ac:dyDescent="0.25">
      <c r="A2282" s="12" t="s">
        <v>0</v>
      </c>
      <c r="B2282" s="13" t="s">
        <v>1</v>
      </c>
      <c r="C2282" s="13" t="s">
        <v>1819</v>
      </c>
      <c r="D2282" s="14">
        <v>44183</v>
      </c>
      <c r="E2282" s="14">
        <v>44183</v>
      </c>
      <c r="F2282" s="14">
        <v>44188</v>
      </c>
      <c r="G2282" s="13" t="s">
        <v>3</v>
      </c>
      <c r="H2282" s="13" t="s">
        <v>4</v>
      </c>
      <c r="I2282" s="15">
        <v>-3961.12</v>
      </c>
      <c r="J2282" s="13" t="s">
        <v>5</v>
      </c>
      <c r="K2282" s="13" t="s">
        <v>6</v>
      </c>
      <c r="L2282" s="15">
        <v>-332536.02</v>
      </c>
      <c r="M2282" s="15">
        <v>-3961.12</v>
      </c>
      <c r="N2282" s="16" t="str">
        <f>IF(M2282="","",IF(M2282&lt;0,-M2282&amp;"_"&amp;COUNTIF(M$2:M2282,M2282),M2282&amp;"_"&amp;COUNTIF(M$2:M2282,M2282)))</f>
        <v>3961.12_1</v>
      </c>
      <c r="O2282" s="17" t="str">
        <f t="shared" si="35"/>
        <v/>
      </c>
      <c r="P2282" s="13" t="s">
        <v>1820</v>
      </c>
      <c r="Q2282" s="13" t="s">
        <v>1792</v>
      </c>
      <c r="R2282" s="13" t="s">
        <v>0</v>
      </c>
      <c r="S2282" s="13" t="s">
        <v>0</v>
      </c>
      <c r="T2282" s="13" t="s">
        <v>9</v>
      </c>
      <c r="U2282" s="13" t="s">
        <v>0</v>
      </c>
      <c r="V2282" s="13" t="s">
        <v>0</v>
      </c>
      <c r="W2282" s="13" t="s">
        <v>0</v>
      </c>
      <c r="X2282" s="13" t="s">
        <v>0</v>
      </c>
      <c r="Y2282" s="13" t="s">
        <v>10</v>
      </c>
      <c r="Z2282" s="13" t="s">
        <v>0</v>
      </c>
      <c r="AA2282" s="14"/>
      <c r="AB2282" s="13" t="s">
        <v>0</v>
      </c>
      <c r="AC2282" s="13" t="s">
        <v>0</v>
      </c>
      <c r="AD2282" s="13" t="s">
        <v>0</v>
      </c>
      <c r="AE2282" s="15">
        <v>0</v>
      </c>
    </row>
    <row r="2283" spans="1:31" ht="14.15" customHeight="1" x14ac:dyDescent="0.25">
      <c r="A2283" s="12" t="s">
        <v>0</v>
      </c>
      <c r="B2283" s="13" t="s">
        <v>1</v>
      </c>
      <c r="C2283" s="13" t="s">
        <v>86</v>
      </c>
      <c r="D2283" s="14">
        <v>44021</v>
      </c>
      <c r="E2283" s="14">
        <v>44021</v>
      </c>
      <c r="F2283" s="14">
        <v>44032</v>
      </c>
      <c r="G2283" s="13" t="s">
        <v>3</v>
      </c>
      <c r="H2283" s="13" t="s">
        <v>4</v>
      </c>
      <c r="I2283" s="15">
        <v>-3950.61</v>
      </c>
      <c r="J2283" s="13" t="s">
        <v>5</v>
      </c>
      <c r="K2283" s="13" t="s">
        <v>6</v>
      </c>
      <c r="L2283" s="15">
        <v>-331653.71000000002</v>
      </c>
      <c r="M2283" s="15">
        <v>-3950.61</v>
      </c>
      <c r="N2283" s="16" t="str">
        <f>IF(M2283="","",IF(M2283&lt;0,-M2283&amp;"_"&amp;COUNTIF(M$2:M2283,M2283),M2283&amp;"_"&amp;COUNTIF(M$2:M2283,M2283)))</f>
        <v>3950.61_1</v>
      </c>
      <c r="O2283" s="17" t="str">
        <f t="shared" si="35"/>
        <v/>
      </c>
      <c r="P2283" s="13" t="s">
        <v>87</v>
      </c>
      <c r="Q2283" s="13" t="s">
        <v>85</v>
      </c>
      <c r="R2283" s="13" t="s">
        <v>0</v>
      </c>
      <c r="S2283" s="13" t="s">
        <v>0</v>
      </c>
      <c r="T2283" s="13" t="s">
        <v>9</v>
      </c>
      <c r="U2283" s="13" t="s">
        <v>0</v>
      </c>
      <c r="V2283" s="13" t="s">
        <v>0</v>
      </c>
      <c r="W2283" s="13" t="s">
        <v>0</v>
      </c>
      <c r="X2283" s="13" t="s">
        <v>0</v>
      </c>
      <c r="Y2283" s="13" t="s">
        <v>10</v>
      </c>
      <c r="Z2283" s="13" t="s">
        <v>0</v>
      </c>
      <c r="AA2283" s="14"/>
      <c r="AB2283" s="13" t="s">
        <v>0</v>
      </c>
      <c r="AC2283" s="13" t="s">
        <v>0</v>
      </c>
      <c r="AD2283" s="13" t="s">
        <v>0</v>
      </c>
      <c r="AE2283" s="15">
        <v>0</v>
      </c>
    </row>
    <row r="2284" spans="1:31" ht="14.15" customHeight="1" x14ac:dyDescent="0.25">
      <c r="A2284" s="12" t="s">
        <v>0</v>
      </c>
      <c r="B2284" s="13" t="s">
        <v>1</v>
      </c>
      <c r="C2284" s="13" t="s">
        <v>75</v>
      </c>
      <c r="D2284" s="14">
        <v>44020</v>
      </c>
      <c r="E2284" s="14">
        <v>44020</v>
      </c>
      <c r="F2284" s="14">
        <v>44027</v>
      </c>
      <c r="G2284" s="13" t="s">
        <v>3</v>
      </c>
      <c r="H2284" s="13" t="s">
        <v>4</v>
      </c>
      <c r="I2284" s="15">
        <v>-3944.24</v>
      </c>
      <c r="J2284" s="13" t="s">
        <v>5</v>
      </c>
      <c r="K2284" s="13" t="s">
        <v>6</v>
      </c>
      <c r="L2284" s="15">
        <v>-331118.95</v>
      </c>
      <c r="M2284" s="15">
        <v>-3944.24</v>
      </c>
      <c r="N2284" s="16" t="str">
        <f>IF(M2284="","",IF(M2284&lt;0,-M2284&amp;"_"&amp;COUNTIF(M$2:M2284,M2284),M2284&amp;"_"&amp;COUNTIF(M$2:M2284,M2284)))</f>
        <v>3944.24_1</v>
      </c>
      <c r="O2284" s="17" t="str">
        <f t="shared" si="35"/>
        <v/>
      </c>
      <c r="P2284" s="13" t="s">
        <v>76</v>
      </c>
      <c r="Q2284" s="13" t="s">
        <v>70</v>
      </c>
      <c r="R2284" s="13" t="s">
        <v>0</v>
      </c>
      <c r="S2284" s="13" t="s">
        <v>0</v>
      </c>
      <c r="T2284" s="13" t="s">
        <v>9</v>
      </c>
      <c r="U2284" s="13" t="s">
        <v>0</v>
      </c>
      <c r="V2284" s="13" t="s">
        <v>0</v>
      </c>
      <c r="W2284" s="13" t="s">
        <v>0</v>
      </c>
      <c r="X2284" s="13" t="s">
        <v>0</v>
      </c>
      <c r="Y2284" s="13" t="s">
        <v>10</v>
      </c>
      <c r="Z2284" s="13" t="s">
        <v>0</v>
      </c>
      <c r="AA2284" s="14"/>
      <c r="AB2284" s="13" t="s">
        <v>0</v>
      </c>
      <c r="AC2284" s="13" t="s">
        <v>0</v>
      </c>
      <c r="AD2284" s="13" t="s">
        <v>0</v>
      </c>
      <c r="AE2284" s="15">
        <v>0</v>
      </c>
    </row>
    <row r="2285" spans="1:31" ht="14.15" customHeight="1" x14ac:dyDescent="0.25">
      <c r="A2285" s="12" t="s">
        <v>0</v>
      </c>
      <c r="B2285" s="13" t="s">
        <v>1</v>
      </c>
      <c r="C2285" s="13" t="s">
        <v>3213</v>
      </c>
      <c r="D2285" s="14">
        <v>44303</v>
      </c>
      <c r="E2285" s="14">
        <v>44303</v>
      </c>
      <c r="F2285" s="14">
        <v>44308</v>
      </c>
      <c r="G2285" s="13" t="s">
        <v>3</v>
      </c>
      <c r="H2285" s="13" t="s">
        <v>4</v>
      </c>
      <c r="I2285" s="15">
        <v>-3938.19</v>
      </c>
      <c r="J2285" s="13" t="s">
        <v>5</v>
      </c>
      <c r="K2285" s="13" t="s">
        <v>6</v>
      </c>
      <c r="L2285" s="15">
        <v>-330611.03999999998</v>
      </c>
      <c r="M2285" s="15">
        <v>-3938.19</v>
      </c>
      <c r="N2285" s="16" t="str">
        <f>IF(M2285="","",IF(M2285&lt;0,-M2285&amp;"_"&amp;COUNTIF(M$2:M2285,M2285),M2285&amp;"_"&amp;COUNTIF(M$2:M2285,M2285)))</f>
        <v>3938.19_1</v>
      </c>
      <c r="O2285" s="17" t="str">
        <f t="shared" si="35"/>
        <v/>
      </c>
      <c r="P2285" s="13" t="s">
        <v>3214</v>
      </c>
      <c r="Q2285" s="13" t="s">
        <v>3215</v>
      </c>
      <c r="R2285" s="13" t="s">
        <v>0</v>
      </c>
      <c r="S2285" s="13" t="s">
        <v>0</v>
      </c>
      <c r="T2285" s="13" t="s">
        <v>9</v>
      </c>
      <c r="U2285" s="13" t="s">
        <v>0</v>
      </c>
      <c r="V2285" s="13" t="s">
        <v>0</v>
      </c>
      <c r="W2285" s="13" t="s">
        <v>0</v>
      </c>
      <c r="X2285" s="13" t="s">
        <v>0</v>
      </c>
      <c r="Y2285" s="13" t="s">
        <v>10</v>
      </c>
      <c r="Z2285" s="13" t="s">
        <v>0</v>
      </c>
      <c r="AA2285" s="14"/>
      <c r="AB2285" s="13" t="s">
        <v>0</v>
      </c>
      <c r="AC2285" s="13" t="s">
        <v>0</v>
      </c>
      <c r="AD2285" s="13" t="s">
        <v>0</v>
      </c>
      <c r="AE2285" s="15">
        <v>0</v>
      </c>
    </row>
    <row r="2286" spans="1:31" ht="14.15" customHeight="1" x14ac:dyDescent="0.25">
      <c r="A2286" s="12" t="s">
        <v>0</v>
      </c>
      <c r="B2286" s="13" t="s">
        <v>1</v>
      </c>
      <c r="C2286" s="13" t="s">
        <v>4033</v>
      </c>
      <c r="D2286" s="14">
        <v>44358</v>
      </c>
      <c r="E2286" s="14">
        <v>44358</v>
      </c>
      <c r="F2286" s="14">
        <v>44364</v>
      </c>
      <c r="G2286" s="13" t="s">
        <v>3</v>
      </c>
      <c r="H2286" s="13" t="s">
        <v>4</v>
      </c>
      <c r="I2286" s="15">
        <v>-3930.91</v>
      </c>
      <c r="J2286" s="13" t="s">
        <v>5</v>
      </c>
      <c r="K2286" s="13" t="s">
        <v>6</v>
      </c>
      <c r="L2286" s="15">
        <v>-329999.89</v>
      </c>
      <c r="M2286" s="15">
        <v>-3930.91</v>
      </c>
      <c r="N2286" s="16" t="str">
        <f>IF(M2286="","",IF(M2286&lt;0,-M2286&amp;"_"&amp;COUNTIF(M$2:M2286,M2286),M2286&amp;"_"&amp;COUNTIF(M$2:M2286,M2286)))</f>
        <v>3930.91_1</v>
      </c>
      <c r="O2286" s="17" t="str">
        <f t="shared" si="35"/>
        <v/>
      </c>
      <c r="P2286" s="13" t="s">
        <v>4034</v>
      </c>
      <c r="Q2286" s="13" t="s">
        <v>4006</v>
      </c>
      <c r="R2286" s="13" t="s">
        <v>0</v>
      </c>
      <c r="S2286" s="13" t="s">
        <v>0</v>
      </c>
      <c r="T2286" s="13" t="s">
        <v>9</v>
      </c>
      <c r="U2286" s="13" t="s">
        <v>0</v>
      </c>
      <c r="V2286" s="13" t="s">
        <v>0</v>
      </c>
      <c r="W2286" s="13" t="s">
        <v>0</v>
      </c>
      <c r="X2286" s="13" t="s">
        <v>0</v>
      </c>
      <c r="Y2286" s="13" t="s">
        <v>10</v>
      </c>
      <c r="Z2286" s="13" t="s">
        <v>0</v>
      </c>
      <c r="AA2286" s="14"/>
      <c r="AB2286" s="13" t="s">
        <v>0</v>
      </c>
      <c r="AC2286" s="13" t="s">
        <v>0</v>
      </c>
      <c r="AD2286" s="13" t="s">
        <v>0</v>
      </c>
      <c r="AE2286" s="15">
        <v>0</v>
      </c>
    </row>
    <row r="2287" spans="1:31" ht="14.15" customHeight="1" x14ac:dyDescent="0.25">
      <c r="A2287" s="12" t="s">
        <v>0</v>
      </c>
      <c r="B2287" s="13" t="s">
        <v>1</v>
      </c>
      <c r="C2287" s="13" t="s">
        <v>1807</v>
      </c>
      <c r="D2287" s="14">
        <v>44183</v>
      </c>
      <c r="E2287" s="14">
        <v>44183</v>
      </c>
      <c r="F2287" s="14">
        <v>44187</v>
      </c>
      <c r="G2287" s="13" t="s">
        <v>3</v>
      </c>
      <c r="H2287" s="13" t="s">
        <v>4</v>
      </c>
      <c r="I2287" s="15">
        <v>-3927.96</v>
      </c>
      <c r="J2287" s="13" t="s">
        <v>5</v>
      </c>
      <c r="K2287" s="13" t="s">
        <v>6</v>
      </c>
      <c r="L2287" s="15">
        <v>-329752.24</v>
      </c>
      <c r="M2287" s="15">
        <v>-3927.96</v>
      </c>
      <c r="N2287" s="16" t="str">
        <f>IF(M2287="","",IF(M2287&lt;0,-M2287&amp;"_"&amp;COUNTIF(M$2:M2287,M2287),M2287&amp;"_"&amp;COUNTIF(M$2:M2287,M2287)))</f>
        <v>3927.96_1</v>
      </c>
      <c r="O2287" s="17" t="str">
        <f t="shared" si="35"/>
        <v/>
      </c>
      <c r="P2287" s="13" t="s">
        <v>1808</v>
      </c>
      <c r="Q2287" s="13" t="s">
        <v>1792</v>
      </c>
      <c r="R2287" s="13" t="s">
        <v>0</v>
      </c>
      <c r="S2287" s="13" t="s">
        <v>0</v>
      </c>
      <c r="T2287" s="13" t="s">
        <v>9</v>
      </c>
      <c r="U2287" s="13" t="s">
        <v>0</v>
      </c>
      <c r="V2287" s="13" t="s">
        <v>0</v>
      </c>
      <c r="W2287" s="13" t="s">
        <v>0</v>
      </c>
      <c r="X2287" s="13" t="s">
        <v>0</v>
      </c>
      <c r="Y2287" s="13" t="s">
        <v>10</v>
      </c>
      <c r="Z2287" s="13" t="s">
        <v>0</v>
      </c>
      <c r="AA2287" s="14"/>
      <c r="AB2287" s="13" t="s">
        <v>0</v>
      </c>
      <c r="AC2287" s="13" t="s">
        <v>0</v>
      </c>
      <c r="AD2287" s="13" t="s">
        <v>0</v>
      </c>
      <c r="AE2287" s="15">
        <v>0</v>
      </c>
    </row>
    <row r="2288" spans="1:31" ht="14.15" customHeight="1" x14ac:dyDescent="0.25">
      <c r="A2288" s="12" t="s">
        <v>0</v>
      </c>
      <c r="B2288" s="13" t="s">
        <v>1</v>
      </c>
      <c r="C2288" s="13" t="s">
        <v>1807</v>
      </c>
      <c r="D2288" s="14">
        <v>44183</v>
      </c>
      <c r="E2288" s="14">
        <v>44183</v>
      </c>
      <c r="F2288" s="14">
        <v>44187</v>
      </c>
      <c r="G2288" s="13" t="s">
        <v>3</v>
      </c>
      <c r="H2288" s="13" t="s">
        <v>4</v>
      </c>
      <c r="I2288" s="15">
        <v>-3927.96</v>
      </c>
      <c r="J2288" s="13" t="s">
        <v>5</v>
      </c>
      <c r="K2288" s="13" t="s">
        <v>6</v>
      </c>
      <c r="L2288" s="15">
        <v>-329752.24</v>
      </c>
      <c r="M2288" s="15">
        <v>-3927.96</v>
      </c>
      <c r="N2288" s="16" t="str">
        <f>IF(M2288="","",IF(M2288&lt;0,-M2288&amp;"_"&amp;COUNTIF(M$2:M2288,M2288),M2288&amp;"_"&amp;COUNTIF(M$2:M2288,M2288)))</f>
        <v>3927.96_2</v>
      </c>
      <c r="O2288" s="17" t="str">
        <f t="shared" si="35"/>
        <v/>
      </c>
      <c r="P2288" s="13" t="s">
        <v>1808</v>
      </c>
      <c r="Q2288" s="13" t="s">
        <v>1792</v>
      </c>
      <c r="R2288" s="13" t="s">
        <v>0</v>
      </c>
      <c r="S2288" s="13" t="s">
        <v>0</v>
      </c>
      <c r="T2288" s="13" t="s">
        <v>9</v>
      </c>
      <c r="U2288" s="13" t="s">
        <v>0</v>
      </c>
      <c r="V2288" s="13" t="s">
        <v>0</v>
      </c>
      <c r="W2288" s="13" t="s">
        <v>0</v>
      </c>
      <c r="X2288" s="13" t="s">
        <v>0</v>
      </c>
      <c r="Y2288" s="13" t="s">
        <v>10</v>
      </c>
      <c r="Z2288" s="13" t="s">
        <v>0</v>
      </c>
      <c r="AA2288" s="14"/>
      <c r="AB2288" s="13" t="s">
        <v>0</v>
      </c>
      <c r="AC2288" s="13" t="s">
        <v>0</v>
      </c>
      <c r="AD2288" s="13" t="s">
        <v>0</v>
      </c>
      <c r="AE2288" s="15">
        <v>0</v>
      </c>
    </row>
    <row r="2289" spans="1:31" ht="14.15" customHeight="1" x14ac:dyDescent="0.25">
      <c r="A2289" s="12" t="s">
        <v>0</v>
      </c>
      <c r="B2289" s="13" t="s">
        <v>1</v>
      </c>
      <c r="C2289" s="13" t="s">
        <v>122</v>
      </c>
      <c r="D2289" s="14">
        <v>44026</v>
      </c>
      <c r="E2289" s="14">
        <v>44026</v>
      </c>
      <c r="F2289" s="14">
        <v>44032</v>
      </c>
      <c r="G2289" s="13" t="s">
        <v>3</v>
      </c>
      <c r="H2289" s="13" t="s">
        <v>4</v>
      </c>
      <c r="I2289" s="15">
        <v>-3924.32</v>
      </c>
      <c r="J2289" s="13" t="s">
        <v>5</v>
      </c>
      <c r="K2289" s="13" t="s">
        <v>6</v>
      </c>
      <c r="L2289" s="15">
        <v>-329446.67</v>
      </c>
      <c r="M2289" s="15">
        <v>-3924.32</v>
      </c>
      <c r="N2289" s="16" t="str">
        <f>IF(M2289="","",IF(M2289&lt;0,-M2289&amp;"_"&amp;COUNTIF(M$2:M2289,M2289),M2289&amp;"_"&amp;COUNTIF(M$2:M2289,M2289)))</f>
        <v>3924.32_1</v>
      </c>
      <c r="O2289" s="17" t="str">
        <f t="shared" si="35"/>
        <v/>
      </c>
      <c r="P2289" s="13" t="s">
        <v>123</v>
      </c>
      <c r="Q2289" s="13" t="s">
        <v>121</v>
      </c>
      <c r="R2289" s="13" t="s">
        <v>0</v>
      </c>
      <c r="S2289" s="13" t="s">
        <v>0</v>
      </c>
      <c r="T2289" s="13" t="s">
        <v>9</v>
      </c>
      <c r="U2289" s="13" t="s">
        <v>0</v>
      </c>
      <c r="V2289" s="13" t="s">
        <v>0</v>
      </c>
      <c r="W2289" s="13" t="s">
        <v>0</v>
      </c>
      <c r="X2289" s="13" t="s">
        <v>0</v>
      </c>
      <c r="Y2289" s="13" t="s">
        <v>10</v>
      </c>
      <c r="Z2289" s="13" t="s">
        <v>0</v>
      </c>
      <c r="AA2289" s="14"/>
      <c r="AB2289" s="13" t="s">
        <v>0</v>
      </c>
      <c r="AC2289" s="13" t="s">
        <v>0</v>
      </c>
      <c r="AD2289" s="13" t="s">
        <v>0</v>
      </c>
      <c r="AE2289" s="15">
        <v>0</v>
      </c>
    </row>
    <row r="2290" spans="1:31" ht="14.15" customHeight="1" x14ac:dyDescent="0.25">
      <c r="A2290" s="12" t="s">
        <v>0</v>
      </c>
      <c r="B2290" s="13" t="s">
        <v>1</v>
      </c>
      <c r="C2290" s="13" t="s">
        <v>2591</v>
      </c>
      <c r="D2290" s="14">
        <v>44243</v>
      </c>
      <c r="E2290" s="14">
        <v>44243</v>
      </c>
      <c r="F2290" s="14">
        <v>44251</v>
      </c>
      <c r="G2290" s="13" t="s">
        <v>3</v>
      </c>
      <c r="H2290" s="13" t="s">
        <v>4</v>
      </c>
      <c r="I2290" s="15">
        <v>-3908.24</v>
      </c>
      <c r="J2290" s="13" t="s">
        <v>5</v>
      </c>
      <c r="K2290" s="13" t="s">
        <v>6</v>
      </c>
      <c r="L2290" s="15">
        <v>-328096.75</v>
      </c>
      <c r="M2290" s="15">
        <v>-3908.24</v>
      </c>
      <c r="N2290" s="16" t="str">
        <f>IF(M2290="","",IF(M2290&lt;0,-M2290&amp;"_"&amp;COUNTIF(M$2:M2290,M2290),M2290&amp;"_"&amp;COUNTIF(M$2:M2290,M2290)))</f>
        <v>3908.24_1</v>
      </c>
      <c r="O2290" s="17" t="str">
        <f t="shared" si="35"/>
        <v/>
      </c>
      <c r="P2290" s="13" t="s">
        <v>2592</v>
      </c>
      <c r="Q2290" s="13" t="s">
        <v>2574</v>
      </c>
      <c r="R2290" s="13" t="s">
        <v>0</v>
      </c>
      <c r="S2290" s="13" t="s">
        <v>0</v>
      </c>
      <c r="T2290" s="13" t="s">
        <v>9</v>
      </c>
      <c r="U2290" s="13" t="s">
        <v>0</v>
      </c>
      <c r="V2290" s="13" t="s">
        <v>0</v>
      </c>
      <c r="W2290" s="13" t="s">
        <v>0</v>
      </c>
      <c r="X2290" s="13" t="s">
        <v>0</v>
      </c>
      <c r="Y2290" s="13" t="s">
        <v>10</v>
      </c>
      <c r="Z2290" s="13" t="s">
        <v>0</v>
      </c>
      <c r="AA2290" s="14"/>
      <c r="AB2290" s="13" t="s">
        <v>0</v>
      </c>
      <c r="AC2290" s="13" t="s">
        <v>0</v>
      </c>
      <c r="AD2290" s="13" t="s">
        <v>0</v>
      </c>
      <c r="AE2290" s="15">
        <v>0</v>
      </c>
    </row>
    <row r="2291" spans="1:31" ht="14.15" customHeight="1" x14ac:dyDescent="0.25">
      <c r="A2291" s="12" t="s">
        <v>0</v>
      </c>
      <c r="B2291" s="13" t="s">
        <v>1</v>
      </c>
      <c r="C2291" s="13" t="s">
        <v>1895</v>
      </c>
      <c r="D2291" s="14">
        <v>44189</v>
      </c>
      <c r="E2291" s="14">
        <v>44189</v>
      </c>
      <c r="F2291" s="14">
        <v>44195</v>
      </c>
      <c r="G2291" s="13" t="s">
        <v>3</v>
      </c>
      <c r="H2291" s="13" t="s">
        <v>4</v>
      </c>
      <c r="I2291" s="15">
        <v>-3880.78</v>
      </c>
      <c r="J2291" s="13" t="s">
        <v>5</v>
      </c>
      <c r="K2291" s="13" t="s">
        <v>6</v>
      </c>
      <c r="L2291" s="15">
        <v>-325791.48</v>
      </c>
      <c r="M2291" s="15">
        <v>-3880.78</v>
      </c>
      <c r="N2291" s="16" t="str">
        <f>IF(M2291="","",IF(M2291&lt;0,-M2291&amp;"_"&amp;COUNTIF(M$2:M2291,M2291),M2291&amp;"_"&amp;COUNTIF(M$2:M2291,M2291)))</f>
        <v>3880.78_1</v>
      </c>
      <c r="O2291" s="17" t="str">
        <f t="shared" si="35"/>
        <v/>
      </c>
      <c r="P2291" s="13" t="s">
        <v>1896</v>
      </c>
      <c r="Q2291" s="13" t="s">
        <v>1886</v>
      </c>
      <c r="R2291" s="13" t="s">
        <v>0</v>
      </c>
      <c r="S2291" s="13" t="s">
        <v>0</v>
      </c>
      <c r="T2291" s="13" t="s">
        <v>9</v>
      </c>
      <c r="U2291" s="13" t="s">
        <v>0</v>
      </c>
      <c r="V2291" s="13" t="s">
        <v>0</v>
      </c>
      <c r="W2291" s="13" t="s">
        <v>0</v>
      </c>
      <c r="X2291" s="13" t="s">
        <v>0</v>
      </c>
      <c r="Y2291" s="13" t="s">
        <v>10</v>
      </c>
      <c r="Z2291" s="13" t="s">
        <v>0</v>
      </c>
      <c r="AA2291" s="14"/>
      <c r="AB2291" s="13" t="s">
        <v>0</v>
      </c>
      <c r="AC2291" s="13" t="s">
        <v>0</v>
      </c>
      <c r="AD2291" s="13" t="s">
        <v>0</v>
      </c>
      <c r="AE2291" s="15">
        <v>0</v>
      </c>
    </row>
    <row r="2292" spans="1:31" ht="14.15" customHeight="1" x14ac:dyDescent="0.25">
      <c r="A2292" s="12" t="s">
        <v>0</v>
      </c>
      <c r="B2292" s="13" t="s">
        <v>1</v>
      </c>
      <c r="C2292" s="13" t="s">
        <v>1897</v>
      </c>
      <c r="D2292" s="14">
        <v>44189</v>
      </c>
      <c r="E2292" s="14">
        <v>44189</v>
      </c>
      <c r="F2292" s="14">
        <v>44195</v>
      </c>
      <c r="G2292" s="13" t="s">
        <v>3</v>
      </c>
      <c r="H2292" s="13" t="s">
        <v>4</v>
      </c>
      <c r="I2292" s="15">
        <v>-3880.78</v>
      </c>
      <c r="J2292" s="13" t="s">
        <v>5</v>
      </c>
      <c r="K2292" s="13" t="s">
        <v>6</v>
      </c>
      <c r="L2292" s="15">
        <v>-325791.48</v>
      </c>
      <c r="M2292" s="15">
        <v>-3880.78</v>
      </c>
      <c r="N2292" s="16" t="str">
        <f>IF(M2292="","",IF(M2292&lt;0,-M2292&amp;"_"&amp;COUNTIF(M$2:M2292,M2292),M2292&amp;"_"&amp;COUNTIF(M$2:M2292,M2292)))</f>
        <v>3880.78_2</v>
      </c>
      <c r="O2292" s="17" t="str">
        <f t="shared" si="35"/>
        <v/>
      </c>
      <c r="P2292" s="13" t="s">
        <v>1898</v>
      </c>
      <c r="Q2292" s="13" t="s">
        <v>1886</v>
      </c>
      <c r="R2292" s="13" t="s">
        <v>0</v>
      </c>
      <c r="S2292" s="13" t="s">
        <v>0</v>
      </c>
      <c r="T2292" s="13" t="s">
        <v>9</v>
      </c>
      <c r="U2292" s="13" t="s">
        <v>0</v>
      </c>
      <c r="V2292" s="13" t="s">
        <v>0</v>
      </c>
      <c r="W2292" s="13" t="s">
        <v>0</v>
      </c>
      <c r="X2292" s="13" t="s">
        <v>0</v>
      </c>
      <c r="Y2292" s="13" t="s">
        <v>10</v>
      </c>
      <c r="Z2292" s="13" t="s">
        <v>0</v>
      </c>
      <c r="AA2292" s="14"/>
      <c r="AB2292" s="13" t="s">
        <v>0</v>
      </c>
      <c r="AC2292" s="13" t="s">
        <v>0</v>
      </c>
      <c r="AD2292" s="13" t="s">
        <v>0</v>
      </c>
      <c r="AE2292" s="15">
        <v>0</v>
      </c>
    </row>
    <row r="2293" spans="1:31" ht="14.15" customHeight="1" x14ac:dyDescent="0.25">
      <c r="A2293" s="12" t="s">
        <v>0</v>
      </c>
      <c r="B2293" s="13" t="s">
        <v>1</v>
      </c>
      <c r="C2293" s="13" t="s">
        <v>1580</v>
      </c>
      <c r="D2293" s="14">
        <v>44166</v>
      </c>
      <c r="E2293" s="14">
        <v>44166</v>
      </c>
      <c r="F2293" s="14">
        <v>44174</v>
      </c>
      <c r="G2293" s="13" t="s">
        <v>3</v>
      </c>
      <c r="H2293" s="13" t="s">
        <v>4</v>
      </c>
      <c r="I2293" s="15">
        <v>-3879.62</v>
      </c>
      <c r="J2293" s="13" t="s">
        <v>5</v>
      </c>
      <c r="K2293" s="13" t="s">
        <v>6</v>
      </c>
      <c r="L2293" s="15">
        <v>-325694.09999999998</v>
      </c>
      <c r="M2293" s="15">
        <v>-3879.62</v>
      </c>
      <c r="N2293" s="16" t="str">
        <f>IF(M2293="","",IF(M2293&lt;0,-M2293&amp;"_"&amp;COUNTIF(M$2:M2293,M2293),M2293&amp;"_"&amp;COUNTIF(M$2:M2293,M2293)))</f>
        <v>3879.62_1</v>
      </c>
      <c r="O2293" s="17" t="str">
        <f t="shared" si="35"/>
        <v/>
      </c>
      <c r="P2293" s="13" t="s">
        <v>1581</v>
      </c>
      <c r="Q2293" s="13" t="s">
        <v>1579</v>
      </c>
      <c r="R2293" s="13" t="s">
        <v>0</v>
      </c>
      <c r="S2293" s="13" t="s">
        <v>0</v>
      </c>
      <c r="T2293" s="13" t="s">
        <v>9</v>
      </c>
      <c r="U2293" s="13" t="s">
        <v>0</v>
      </c>
      <c r="V2293" s="13" t="s">
        <v>0</v>
      </c>
      <c r="W2293" s="13" t="s">
        <v>0</v>
      </c>
      <c r="X2293" s="13" t="s">
        <v>0</v>
      </c>
      <c r="Y2293" s="13" t="s">
        <v>10</v>
      </c>
      <c r="Z2293" s="13" t="s">
        <v>0</v>
      </c>
      <c r="AA2293" s="14"/>
      <c r="AB2293" s="13" t="s">
        <v>0</v>
      </c>
      <c r="AC2293" s="13" t="s">
        <v>0</v>
      </c>
      <c r="AD2293" s="13" t="s">
        <v>0</v>
      </c>
      <c r="AE2293" s="15">
        <v>0</v>
      </c>
    </row>
    <row r="2294" spans="1:31" ht="14.15" customHeight="1" x14ac:dyDescent="0.25">
      <c r="A2294" s="12" t="s">
        <v>0</v>
      </c>
      <c r="B2294" s="13" t="s">
        <v>1</v>
      </c>
      <c r="C2294" s="13" t="s">
        <v>3211</v>
      </c>
      <c r="D2294" s="14">
        <v>44302</v>
      </c>
      <c r="E2294" s="14">
        <v>44302</v>
      </c>
      <c r="F2294" s="14">
        <v>44308</v>
      </c>
      <c r="G2294" s="13" t="s">
        <v>3</v>
      </c>
      <c r="H2294" s="13" t="s">
        <v>4</v>
      </c>
      <c r="I2294" s="15">
        <v>-3876.31</v>
      </c>
      <c r="J2294" s="13" t="s">
        <v>5</v>
      </c>
      <c r="K2294" s="13" t="s">
        <v>6</v>
      </c>
      <c r="L2294" s="15">
        <v>-325416.21999999997</v>
      </c>
      <c r="M2294" s="15">
        <v>-3876.31</v>
      </c>
      <c r="N2294" s="16" t="str">
        <f>IF(M2294="","",IF(M2294&lt;0,-M2294&amp;"_"&amp;COUNTIF(M$2:M2294,M2294),M2294&amp;"_"&amp;COUNTIF(M$2:M2294,M2294)))</f>
        <v>3876.31_1</v>
      </c>
      <c r="O2294" s="17" t="str">
        <f t="shared" si="35"/>
        <v/>
      </c>
      <c r="P2294" s="13" t="s">
        <v>3212</v>
      </c>
      <c r="Q2294" s="13" t="s">
        <v>3196</v>
      </c>
      <c r="R2294" s="13" t="s">
        <v>0</v>
      </c>
      <c r="S2294" s="13" t="s">
        <v>0</v>
      </c>
      <c r="T2294" s="13" t="s">
        <v>9</v>
      </c>
      <c r="U2294" s="13" t="s">
        <v>0</v>
      </c>
      <c r="V2294" s="13" t="s">
        <v>0</v>
      </c>
      <c r="W2294" s="13" t="s">
        <v>0</v>
      </c>
      <c r="X2294" s="13" t="s">
        <v>0</v>
      </c>
      <c r="Y2294" s="13" t="s">
        <v>10</v>
      </c>
      <c r="Z2294" s="13" t="s">
        <v>0</v>
      </c>
      <c r="AA2294" s="14"/>
      <c r="AB2294" s="13" t="s">
        <v>0</v>
      </c>
      <c r="AC2294" s="13" t="s">
        <v>0</v>
      </c>
      <c r="AD2294" s="13" t="s">
        <v>0</v>
      </c>
      <c r="AE2294" s="15">
        <v>0</v>
      </c>
    </row>
    <row r="2295" spans="1:31" ht="14.15" customHeight="1" x14ac:dyDescent="0.25">
      <c r="A2295" s="12" t="s">
        <v>0</v>
      </c>
      <c r="B2295" s="13" t="s">
        <v>1</v>
      </c>
      <c r="C2295" s="13" t="s">
        <v>196</v>
      </c>
      <c r="D2295" s="14">
        <v>44034</v>
      </c>
      <c r="E2295" s="14">
        <v>44034</v>
      </c>
      <c r="F2295" s="14">
        <v>44049</v>
      </c>
      <c r="G2295" s="13" t="s">
        <v>3</v>
      </c>
      <c r="H2295" s="13" t="s">
        <v>4</v>
      </c>
      <c r="I2295" s="15">
        <v>-3876.26</v>
      </c>
      <c r="J2295" s="13" t="s">
        <v>5</v>
      </c>
      <c r="K2295" s="13" t="s">
        <v>6</v>
      </c>
      <c r="L2295" s="15">
        <v>-325412.03000000003</v>
      </c>
      <c r="M2295" s="15">
        <v>-3876.26</v>
      </c>
      <c r="N2295" s="16" t="str">
        <f>IF(M2295="","",IF(M2295&lt;0,-M2295&amp;"_"&amp;COUNTIF(M$2:M2295,M2295),M2295&amp;"_"&amp;COUNTIF(M$2:M2295,M2295)))</f>
        <v>3876.26_1</v>
      </c>
      <c r="O2295" s="17" t="str">
        <f t="shared" si="35"/>
        <v/>
      </c>
      <c r="P2295" s="13" t="s">
        <v>197</v>
      </c>
      <c r="Q2295" s="13" t="s">
        <v>175</v>
      </c>
      <c r="R2295" s="13" t="s">
        <v>0</v>
      </c>
      <c r="S2295" s="13" t="s">
        <v>0</v>
      </c>
      <c r="T2295" s="13" t="s">
        <v>9</v>
      </c>
      <c r="U2295" s="13" t="s">
        <v>0</v>
      </c>
      <c r="V2295" s="13" t="s">
        <v>0</v>
      </c>
      <c r="W2295" s="13" t="s">
        <v>0</v>
      </c>
      <c r="X2295" s="13" t="s">
        <v>0</v>
      </c>
      <c r="Y2295" s="13" t="s">
        <v>10</v>
      </c>
      <c r="Z2295" s="13" t="s">
        <v>0</v>
      </c>
      <c r="AA2295" s="14"/>
      <c r="AB2295" s="13" t="s">
        <v>0</v>
      </c>
      <c r="AC2295" s="13" t="s">
        <v>0</v>
      </c>
      <c r="AD2295" s="13" t="s">
        <v>0</v>
      </c>
      <c r="AE2295" s="15">
        <v>0</v>
      </c>
    </row>
    <row r="2296" spans="1:31" ht="14.15" customHeight="1" x14ac:dyDescent="0.25">
      <c r="A2296" s="12" t="s">
        <v>0</v>
      </c>
      <c r="B2296" s="13" t="s">
        <v>1</v>
      </c>
      <c r="C2296" s="13" t="s">
        <v>3950</v>
      </c>
      <c r="D2296" s="14">
        <v>44355</v>
      </c>
      <c r="E2296" s="14">
        <v>44355</v>
      </c>
      <c r="F2296" s="14">
        <v>44364</v>
      </c>
      <c r="G2296" s="13" t="s">
        <v>3</v>
      </c>
      <c r="H2296" s="13" t="s">
        <v>4</v>
      </c>
      <c r="I2296" s="15">
        <v>-3872.48</v>
      </c>
      <c r="J2296" s="13" t="s">
        <v>5</v>
      </c>
      <c r="K2296" s="13" t="s">
        <v>6</v>
      </c>
      <c r="L2296" s="15">
        <v>-325094.7</v>
      </c>
      <c r="M2296" s="15">
        <v>-3872.48</v>
      </c>
      <c r="N2296" s="16" t="str">
        <f>IF(M2296="","",IF(M2296&lt;0,-M2296&amp;"_"&amp;COUNTIF(M$2:M2296,M2296),M2296&amp;"_"&amp;COUNTIF(M$2:M2296,M2296)))</f>
        <v>3872.48_1</v>
      </c>
      <c r="O2296" s="17" t="str">
        <f t="shared" si="35"/>
        <v/>
      </c>
      <c r="P2296" s="13" t="s">
        <v>3951</v>
      </c>
      <c r="Q2296" s="13" t="s">
        <v>3946</v>
      </c>
      <c r="R2296" s="13" t="s">
        <v>0</v>
      </c>
      <c r="S2296" s="13" t="s">
        <v>0</v>
      </c>
      <c r="T2296" s="13" t="s">
        <v>9</v>
      </c>
      <c r="U2296" s="13" t="s">
        <v>0</v>
      </c>
      <c r="V2296" s="13" t="s">
        <v>0</v>
      </c>
      <c r="W2296" s="13" t="s">
        <v>0</v>
      </c>
      <c r="X2296" s="13" t="s">
        <v>0</v>
      </c>
      <c r="Y2296" s="13" t="s">
        <v>10</v>
      </c>
      <c r="Z2296" s="13" t="s">
        <v>0</v>
      </c>
      <c r="AA2296" s="14"/>
      <c r="AB2296" s="13" t="s">
        <v>0</v>
      </c>
      <c r="AC2296" s="13" t="s">
        <v>0</v>
      </c>
      <c r="AD2296" s="13" t="s">
        <v>0</v>
      </c>
      <c r="AE2296" s="15">
        <v>0</v>
      </c>
    </row>
    <row r="2297" spans="1:31" ht="14.15" customHeight="1" x14ac:dyDescent="0.25">
      <c r="A2297" s="12" t="s">
        <v>0</v>
      </c>
      <c r="B2297" s="13" t="s">
        <v>1</v>
      </c>
      <c r="C2297" s="13" t="s">
        <v>65</v>
      </c>
      <c r="D2297" s="14">
        <v>44018</v>
      </c>
      <c r="E2297" s="14">
        <v>44018</v>
      </c>
      <c r="F2297" s="14">
        <v>44025</v>
      </c>
      <c r="G2297" s="13" t="s">
        <v>3</v>
      </c>
      <c r="H2297" s="13" t="s">
        <v>4</v>
      </c>
      <c r="I2297" s="15">
        <v>-3865.35</v>
      </c>
      <c r="J2297" s="13" t="s">
        <v>5</v>
      </c>
      <c r="K2297" s="13" t="s">
        <v>6</v>
      </c>
      <c r="L2297" s="15">
        <v>-324496.13</v>
      </c>
      <c r="M2297" s="15">
        <v>-3865.35</v>
      </c>
      <c r="N2297" s="16" t="str">
        <f>IF(M2297="","",IF(M2297&lt;0,-M2297&amp;"_"&amp;COUNTIF(M$2:M2297,M2297),M2297&amp;"_"&amp;COUNTIF(M$2:M2297,M2297)))</f>
        <v>3865.35_1</v>
      </c>
      <c r="O2297" s="17" t="str">
        <f t="shared" si="35"/>
        <v/>
      </c>
      <c r="P2297" s="13" t="s">
        <v>66</v>
      </c>
      <c r="Q2297" s="13" t="s">
        <v>62</v>
      </c>
      <c r="R2297" s="13" t="s">
        <v>0</v>
      </c>
      <c r="S2297" s="13" t="s">
        <v>0</v>
      </c>
      <c r="T2297" s="13" t="s">
        <v>9</v>
      </c>
      <c r="U2297" s="13" t="s">
        <v>0</v>
      </c>
      <c r="V2297" s="13" t="s">
        <v>0</v>
      </c>
      <c r="W2297" s="13" t="s">
        <v>0</v>
      </c>
      <c r="X2297" s="13" t="s">
        <v>0</v>
      </c>
      <c r="Y2297" s="13" t="s">
        <v>10</v>
      </c>
      <c r="Z2297" s="13" t="s">
        <v>0</v>
      </c>
      <c r="AA2297" s="14"/>
      <c r="AB2297" s="13" t="s">
        <v>0</v>
      </c>
      <c r="AC2297" s="13" t="s">
        <v>0</v>
      </c>
      <c r="AD2297" s="13" t="s">
        <v>0</v>
      </c>
      <c r="AE2297" s="15">
        <v>0</v>
      </c>
    </row>
    <row r="2298" spans="1:31" ht="14.15" customHeight="1" x14ac:dyDescent="0.25">
      <c r="A2298" s="12" t="s">
        <v>0</v>
      </c>
      <c r="B2298" s="13" t="s">
        <v>1</v>
      </c>
      <c r="C2298" s="13" t="s">
        <v>2537</v>
      </c>
      <c r="D2298" s="14">
        <v>44238</v>
      </c>
      <c r="E2298" s="14">
        <v>44238</v>
      </c>
      <c r="F2298" s="14">
        <v>44243</v>
      </c>
      <c r="G2298" s="13" t="s">
        <v>3</v>
      </c>
      <c r="H2298" s="13" t="s">
        <v>4</v>
      </c>
      <c r="I2298" s="15">
        <v>-3863.59</v>
      </c>
      <c r="J2298" s="13" t="s">
        <v>5</v>
      </c>
      <c r="K2298" s="13" t="s">
        <v>6</v>
      </c>
      <c r="L2298" s="15">
        <v>-324348.38</v>
      </c>
      <c r="M2298" s="15">
        <v>-3863.59</v>
      </c>
      <c r="N2298" s="16" t="str">
        <f>IF(M2298="","",IF(M2298&lt;0,-M2298&amp;"_"&amp;COUNTIF(M$2:M2298,M2298),M2298&amp;"_"&amp;COUNTIF(M$2:M2298,M2298)))</f>
        <v>3863.59_1</v>
      </c>
      <c r="O2298" s="17" t="str">
        <f t="shared" si="35"/>
        <v/>
      </c>
      <c r="P2298" s="13" t="s">
        <v>2538</v>
      </c>
      <c r="Q2298" s="13" t="s">
        <v>2528</v>
      </c>
      <c r="R2298" s="13" t="s">
        <v>0</v>
      </c>
      <c r="S2298" s="13" t="s">
        <v>0</v>
      </c>
      <c r="T2298" s="13" t="s">
        <v>9</v>
      </c>
      <c r="U2298" s="13" t="s">
        <v>0</v>
      </c>
      <c r="V2298" s="13" t="s">
        <v>0</v>
      </c>
      <c r="W2298" s="13" t="s">
        <v>0</v>
      </c>
      <c r="X2298" s="13" t="s">
        <v>0</v>
      </c>
      <c r="Y2298" s="13" t="s">
        <v>10</v>
      </c>
      <c r="Z2298" s="13" t="s">
        <v>0</v>
      </c>
      <c r="AA2298" s="14"/>
      <c r="AB2298" s="13" t="s">
        <v>0</v>
      </c>
      <c r="AC2298" s="13" t="s">
        <v>0</v>
      </c>
      <c r="AD2298" s="13" t="s">
        <v>0</v>
      </c>
      <c r="AE2298" s="15">
        <v>0</v>
      </c>
    </row>
    <row r="2299" spans="1:31" ht="14.15" customHeight="1" x14ac:dyDescent="0.25">
      <c r="A2299" s="12" t="s">
        <v>0</v>
      </c>
      <c r="B2299" s="13" t="s">
        <v>1</v>
      </c>
      <c r="C2299" s="13" t="s">
        <v>1696</v>
      </c>
      <c r="D2299" s="14">
        <v>44173</v>
      </c>
      <c r="E2299" s="14">
        <v>44173</v>
      </c>
      <c r="F2299" s="14">
        <v>44178</v>
      </c>
      <c r="G2299" s="13" t="s">
        <v>3</v>
      </c>
      <c r="H2299" s="13" t="s">
        <v>4</v>
      </c>
      <c r="I2299" s="15">
        <v>-3861.34</v>
      </c>
      <c r="J2299" s="13" t="s">
        <v>5</v>
      </c>
      <c r="K2299" s="13" t="s">
        <v>6</v>
      </c>
      <c r="L2299" s="15">
        <v>-324159.49</v>
      </c>
      <c r="M2299" s="15">
        <v>-3861.34</v>
      </c>
      <c r="N2299" s="16" t="str">
        <f>IF(M2299="","",IF(M2299&lt;0,-M2299&amp;"_"&amp;COUNTIF(M$2:M2299,M2299),M2299&amp;"_"&amp;COUNTIF(M$2:M2299,M2299)))</f>
        <v>3861.34_1</v>
      </c>
      <c r="O2299" s="17" t="str">
        <f t="shared" si="35"/>
        <v/>
      </c>
      <c r="P2299" s="13" t="s">
        <v>1697</v>
      </c>
      <c r="Q2299" s="13" t="s">
        <v>1687</v>
      </c>
      <c r="R2299" s="13" t="s">
        <v>0</v>
      </c>
      <c r="S2299" s="13" t="s">
        <v>0</v>
      </c>
      <c r="T2299" s="13" t="s">
        <v>9</v>
      </c>
      <c r="U2299" s="13" t="s">
        <v>0</v>
      </c>
      <c r="V2299" s="13" t="s">
        <v>0</v>
      </c>
      <c r="W2299" s="13" t="s">
        <v>0</v>
      </c>
      <c r="X2299" s="13" t="s">
        <v>0</v>
      </c>
      <c r="Y2299" s="13" t="s">
        <v>10</v>
      </c>
      <c r="Z2299" s="13" t="s">
        <v>0</v>
      </c>
      <c r="AA2299" s="14"/>
      <c r="AB2299" s="13" t="s">
        <v>0</v>
      </c>
      <c r="AC2299" s="13" t="s">
        <v>0</v>
      </c>
      <c r="AD2299" s="13" t="s">
        <v>0</v>
      </c>
      <c r="AE2299" s="15">
        <v>0</v>
      </c>
    </row>
    <row r="2300" spans="1:31" ht="14.15" customHeight="1" x14ac:dyDescent="0.25">
      <c r="A2300" s="12" t="s">
        <v>0</v>
      </c>
      <c r="B2300" s="13" t="s">
        <v>1</v>
      </c>
      <c r="C2300" s="13" t="s">
        <v>1521</v>
      </c>
      <c r="D2300" s="14">
        <v>44164</v>
      </c>
      <c r="E2300" s="14">
        <v>44164</v>
      </c>
      <c r="F2300" s="14">
        <v>44166</v>
      </c>
      <c r="G2300" s="13" t="s">
        <v>3</v>
      </c>
      <c r="H2300" s="13" t="s">
        <v>4</v>
      </c>
      <c r="I2300" s="15">
        <v>-3858.4</v>
      </c>
      <c r="J2300" s="13" t="s">
        <v>5</v>
      </c>
      <c r="K2300" s="13" t="s">
        <v>6</v>
      </c>
      <c r="L2300" s="15">
        <v>-323912.68</v>
      </c>
      <c r="M2300" s="15">
        <v>-3858.4</v>
      </c>
      <c r="N2300" s="16" t="str">
        <f>IF(M2300="","",IF(M2300&lt;0,-M2300&amp;"_"&amp;COUNTIF(M$2:M2300,M2300),M2300&amp;"_"&amp;COUNTIF(M$2:M2300,M2300)))</f>
        <v>3858.4_1</v>
      </c>
      <c r="O2300" s="17" t="str">
        <f t="shared" si="35"/>
        <v/>
      </c>
      <c r="P2300" s="13" t="s">
        <v>1522</v>
      </c>
      <c r="Q2300" s="13" t="s">
        <v>1516</v>
      </c>
      <c r="R2300" s="13" t="s">
        <v>0</v>
      </c>
      <c r="S2300" s="13" t="s">
        <v>0</v>
      </c>
      <c r="T2300" s="13" t="s">
        <v>9</v>
      </c>
      <c r="U2300" s="13" t="s">
        <v>0</v>
      </c>
      <c r="V2300" s="13" t="s">
        <v>0</v>
      </c>
      <c r="W2300" s="13" t="s">
        <v>0</v>
      </c>
      <c r="X2300" s="13" t="s">
        <v>0</v>
      </c>
      <c r="Y2300" s="13" t="s">
        <v>10</v>
      </c>
      <c r="Z2300" s="13" t="s">
        <v>0</v>
      </c>
      <c r="AA2300" s="14"/>
      <c r="AB2300" s="13" t="s">
        <v>0</v>
      </c>
      <c r="AC2300" s="13" t="s">
        <v>0</v>
      </c>
      <c r="AD2300" s="13" t="s">
        <v>0</v>
      </c>
      <c r="AE2300" s="15">
        <v>0</v>
      </c>
    </row>
    <row r="2301" spans="1:31" ht="14.15" customHeight="1" x14ac:dyDescent="0.25">
      <c r="A2301" s="12" t="s">
        <v>0</v>
      </c>
      <c r="B2301" s="13" t="s">
        <v>1</v>
      </c>
      <c r="C2301" s="13" t="s">
        <v>3130</v>
      </c>
      <c r="D2301" s="14">
        <v>44292</v>
      </c>
      <c r="E2301" s="14">
        <v>44292</v>
      </c>
      <c r="F2301" s="14">
        <v>44306</v>
      </c>
      <c r="G2301" s="13" t="s">
        <v>3</v>
      </c>
      <c r="H2301" s="13" t="s">
        <v>4</v>
      </c>
      <c r="I2301" s="15">
        <v>-3852.6</v>
      </c>
      <c r="J2301" s="13" t="s">
        <v>5</v>
      </c>
      <c r="K2301" s="13" t="s">
        <v>6</v>
      </c>
      <c r="L2301" s="15">
        <v>-323425.77</v>
      </c>
      <c r="M2301" s="15">
        <v>-3852.6</v>
      </c>
      <c r="N2301" s="16" t="str">
        <f>IF(M2301="","",IF(M2301&lt;0,-M2301&amp;"_"&amp;COUNTIF(M$2:M2301,M2301),M2301&amp;"_"&amp;COUNTIF(M$2:M2301,M2301)))</f>
        <v>3852.6_1</v>
      </c>
      <c r="O2301" s="17" t="str">
        <f t="shared" si="35"/>
        <v/>
      </c>
      <c r="P2301" s="13" t="s">
        <v>3131</v>
      </c>
      <c r="Q2301" s="13" t="s">
        <v>3132</v>
      </c>
      <c r="R2301" s="13" t="s">
        <v>0</v>
      </c>
      <c r="S2301" s="13" t="s">
        <v>0</v>
      </c>
      <c r="T2301" s="13" t="s">
        <v>9</v>
      </c>
      <c r="U2301" s="13" t="s">
        <v>0</v>
      </c>
      <c r="V2301" s="13" t="s">
        <v>0</v>
      </c>
      <c r="W2301" s="13" t="s">
        <v>0</v>
      </c>
      <c r="X2301" s="13" t="s">
        <v>0</v>
      </c>
      <c r="Y2301" s="13" t="s">
        <v>10</v>
      </c>
      <c r="Z2301" s="13" t="s">
        <v>0</v>
      </c>
      <c r="AA2301" s="14"/>
      <c r="AB2301" s="13" t="s">
        <v>0</v>
      </c>
      <c r="AC2301" s="13" t="s">
        <v>0</v>
      </c>
      <c r="AD2301" s="13" t="s">
        <v>0</v>
      </c>
      <c r="AE2301" s="15">
        <v>0</v>
      </c>
    </row>
    <row r="2302" spans="1:31" ht="14.15" customHeight="1" x14ac:dyDescent="0.25">
      <c r="A2302" s="12" t="s">
        <v>0</v>
      </c>
      <c r="B2302" s="13" t="s">
        <v>1</v>
      </c>
      <c r="C2302" s="13" t="s">
        <v>3027</v>
      </c>
      <c r="D2302" s="14">
        <v>44281</v>
      </c>
      <c r="E2302" s="14">
        <v>44281</v>
      </c>
      <c r="F2302" s="14">
        <v>44290</v>
      </c>
      <c r="G2302" s="13" t="s">
        <v>3</v>
      </c>
      <c r="H2302" s="13" t="s">
        <v>4</v>
      </c>
      <c r="I2302" s="15">
        <v>-3849.41</v>
      </c>
      <c r="J2302" s="13" t="s">
        <v>5</v>
      </c>
      <c r="K2302" s="13" t="s">
        <v>6</v>
      </c>
      <c r="L2302" s="15">
        <v>-323157.96999999997</v>
      </c>
      <c r="M2302" s="15">
        <v>-3849.41</v>
      </c>
      <c r="N2302" s="16" t="str">
        <f>IF(M2302="","",IF(M2302&lt;0,-M2302&amp;"_"&amp;COUNTIF(M$2:M2302,M2302),M2302&amp;"_"&amp;COUNTIF(M$2:M2302,M2302)))</f>
        <v>3849.41_1</v>
      </c>
      <c r="O2302" s="17" t="str">
        <f t="shared" si="35"/>
        <v/>
      </c>
      <c r="P2302" s="13" t="s">
        <v>3028</v>
      </c>
      <c r="Q2302" s="13" t="s">
        <v>3014</v>
      </c>
      <c r="R2302" s="13" t="s">
        <v>0</v>
      </c>
      <c r="S2302" s="13" t="s">
        <v>0</v>
      </c>
      <c r="T2302" s="13" t="s">
        <v>9</v>
      </c>
      <c r="U2302" s="13" t="s">
        <v>0</v>
      </c>
      <c r="V2302" s="13" t="s">
        <v>0</v>
      </c>
      <c r="W2302" s="13" t="s">
        <v>0</v>
      </c>
      <c r="X2302" s="13" t="s">
        <v>0</v>
      </c>
      <c r="Y2302" s="13" t="s">
        <v>10</v>
      </c>
      <c r="Z2302" s="13" t="s">
        <v>0</v>
      </c>
      <c r="AA2302" s="14"/>
      <c r="AB2302" s="13" t="s">
        <v>0</v>
      </c>
      <c r="AC2302" s="13" t="s">
        <v>0</v>
      </c>
      <c r="AD2302" s="13" t="s">
        <v>0</v>
      </c>
      <c r="AE2302" s="15">
        <v>0</v>
      </c>
    </row>
    <row r="2303" spans="1:31" ht="14.15" customHeight="1" x14ac:dyDescent="0.25">
      <c r="A2303" s="12" t="s">
        <v>0</v>
      </c>
      <c r="B2303" s="13" t="s">
        <v>1</v>
      </c>
      <c r="C2303" s="13" t="s">
        <v>1606</v>
      </c>
      <c r="D2303" s="14">
        <v>44168</v>
      </c>
      <c r="E2303" s="14">
        <v>44168</v>
      </c>
      <c r="F2303" s="14">
        <v>44174</v>
      </c>
      <c r="G2303" s="13" t="s">
        <v>3</v>
      </c>
      <c r="H2303" s="13" t="s">
        <v>4</v>
      </c>
      <c r="I2303" s="15">
        <v>-3817.57</v>
      </c>
      <c r="J2303" s="13" t="s">
        <v>5</v>
      </c>
      <c r="K2303" s="13" t="s">
        <v>6</v>
      </c>
      <c r="L2303" s="15">
        <v>-320485</v>
      </c>
      <c r="M2303" s="15">
        <v>-3817.57</v>
      </c>
      <c r="N2303" s="16" t="str">
        <f>IF(M2303="","",IF(M2303&lt;0,-M2303&amp;"_"&amp;COUNTIF(M$2:M2303,M2303),M2303&amp;"_"&amp;COUNTIF(M$2:M2303,M2303)))</f>
        <v>3817.57_1</v>
      </c>
      <c r="O2303" s="17" t="str">
        <f t="shared" si="35"/>
        <v/>
      </c>
      <c r="P2303" s="13" t="s">
        <v>1607</v>
      </c>
      <c r="Q2303" s="13" t="s">
        <v>1605</v>
      </c>
      <c r="R2303" s="13" t="s">
        <v>0</v>
      </c>
      <c r="S2303" s="13" t="s">
        <v>0</v>
      </c>
      <c r="T2303" s="13" t="s">
        <v>9</v>
      </c>
      <c r="U2303" s="13" t="s">
        <v>0</v>
      </c>
      <c r="V2303" s="13" t="s">
        <v>0</v>
      </c>
      <c r="W2303" s="13" t="s">
        <v>0</v>
      </c>
      <c r="X2303" s="13" t="s">
        <v>0</v>
      </c>
      <c r="Y2303" s="13" t="s">
        <v>10</v>
      </c>
      <c r="Z2303" s="13" t="s">
        <v>0</v>
      </c>
      <c r="AA2303" s="14"/>
      <c r="AB2303" s="13" t="s">
        <v>0</v>
      </c>
      <c r="AC2303" s="13" t="s">
        <v>0</v>
      </c>
      <c r="AD2303" s="13" t="s">
        <v>0</v>
      </c>
      <c r="AE2303" s="15">
        <v>0</v>
      </c>
    </row>
    <row r="2304" spans="1:31" ht="14.15" customHeight="1" x14ac:dyDescent="0.25">
      <c r="A2304" s="12" t="s">
        <v>0</v>
      </c>
      <c r="B2304" s="13" t="s">
        <v>1</v>
      </c>
      <c r="C2304" s="13" t="s">
        <v>599</v>
      </c>
      <c r="D2304" s="14">
        <v>44080</v>
      </c>
      <c r="E2304" s="14">
        <v>44080</v>
      </c>
      <c r="F2304" s="14">
        <v>44104</v>
      </c>
      <c r="G2304" s="13" t="s">
        <v>3</v>
      </c>
      <c r="H2304" s="13" t="s">
        <v>4</v>
      </c>
      <c r="I2304" s="15">
        <v>-3803.93</v>
      </c>
      <c r="J2304" s="13" t="s">
        <v>5</v>
      </c>
      <c r="K2304" s="13" t="s">
        <v>6</v>
      </c>
      <c r="L2304" s="15">
        <v>-319339.92</v>
      </c>
      <c r="M2304" s="15">
        <v>-3803.93</v>
      </c>
      <c r="N2304" s="16" t="str">
        <f>IF(M2304="","",IF(M2304&lt;0,-M2304&amp;"_"&amp;COUNTIF(M$2:M2304,M2304),M2304&amp;"_"&amp;COUNTIF(M$2:M2304,M2304)))</f>
        <v>3803.93_1</v>
      </c>
      <c r="O2304" s="17" t="str">
        <f t="shared" si="35"/>
        <v/>
      </c>
      <c r="P2304" s="13" t="s">
        <v>600</v>
      </c>
      <c r="Q2304" s="13" t="s">
        <v>594</v>
      </c>
      <c r="R2304" s="13" t="s">
        <v>0</v>
      </c>
      <c r="S2304" s="13" t="s">
        <v>0</v>
      </c>
      <c r="T2304" s="13" t="s">
        <v>9</v>
      </c>
      <c r="U2304" s="13" t="s">
        <v>0</v>
      </c>
      <c r="V2304" s="13" t="s">
        <v>0</v>
      </c>
      <c r="W2304" s="13" t="s">
        <v>0</v>
      </c>
      <c r="X2304" s="13" t="s">
        <v>0</v>
      </c>
      <c r="Y2304" s="13" t="s">
        <v>10</v>
      </c>
      <c r="Z2304" s="13" t="s">
        <v>0</v>
      </c>
      <c r="AA2304" s="14"/>
      <c r="AB2304" s="13" t="s">
        <v>0</v>
      </c>
      <c r="AC2304" s="13" t="s">
        <v>0</v>
      </c>
      <c r="AD2304" s="13" t="s">
        <v>0</v>
      </c>
      <c r="AE2304" s="15">
        <v>0</v>
      </c>
    </row>
    <row r="2305" spans="1:31" ht="14.15" customHeight="1" x14ac:dyDescent="0.25">
      <c r="A2305" s="12" t="s">
        <v>0</v>
      </c>
      <c r="B2305" s="13" t="s">
        <v>289</v>
      </c>
      <c r="C2305" s="13" t="s">
        <v>2711</v>
      </c>
      <c r="D2305" s="14">
        <v>44255</v>
      </c>
      <c r="E2305" s="14">
        <v>44255</v>
      </c>
      <c r="F2305" s="14">
        <v>44262</v>
      </c>
      <c r="G2305" s="13" t="s">
        <v>48</v>
      </c>
      <c r="H2305" s="13" t="s">
        <v>4</v>
      </c>
      <c r="I2305" s="15">
        <v>-3791.78</v>
      </c>
      <c r="J2305" s="13" t="s">
        <v>5</v>
      </c>
      <c r="K2305" s="13" t="s">
        <v>6</v>
      </c>
      <c r="L2305" s="15">
        <v>-318319.93</v>
      </c>
      <c r="M2305" s="15">
        <v>-3791.78</v>
      </c>
      <c r="N2305" s="16" t="str">
        <f>IF(M2305="","",IF(M2305&lt;0,-M2305&amp;"_"&amp;COUNTIF(M$2:M2305,M2305),M2305&amp;"_"&amp;COUNTIF(M$2:M2305,M2305)))</f>
        <v>3791.78_1</v>
      </c>
      <c r="O2305" s="17" t="str">
        <f t="shared" si="35"/>
        <v/>
      </c>
      <c r="P2305" s="13" t="s">
        <v>2712</v>
      </c>
      <c r="Q2305" s="13" t="s">
        <v>2713</v>
      </c>
      <c r="R2305" s="13" t="s">
        <v>1994</v>
      </c>
      <c r="S2305" s="13" t="s">
        <v>0</v>
      </c>
      <c r="T2305" s="13" t="s">
        <v>9</v>
      </c>
      <c r="U2305" s="13" t="s">
        <v>1995</v>
      </c>
      <c r="V2305" s="13" t="s">
        <v>0</v>
      </c>
      <c r="W2305" s="13" t="s">
        <v>0</v>
      </c>
      <c r="X2305" s="13" t="s">
        <v>0</v>
      </c>
      <c r="Y2305" s="13" t="s">
        <v>0</v>
      </c>
      <c r="Z2305" s="13" t="s">
        <v>0</v>
      </c>
      <c r="AA2305" s="14"/>
      <c r="AB2305" s="13" t="s">
        <v>0</v>
      </c>
      <c r="AC2305" s="13" t="s">
        <v>0</v>
      </c>
      <c r="AD2305" s="13" t="s">
        <v>0</v>
      </c>
      <c r="AE2305" s="15">
        <v>0</v>
      </c>
    </row>
    <row r="2306" spans="1:31" ht="14.15" customHeight="1" x14ac:dyDescent="0.25">
      <c r="A2306" s="12" t="s">
        <v>0</v>
      </c>
      <c r="B2306" s="13" t="s">
        <v>1</v>
      </c>
      <c r="C2306" s="13" t="s">
        <v>1402</v>
      </c>
      <c r="D2306" s="14">
        <v>44153</v>
      </c>
      <c r="E2306" s="14">
        <v>44153</v>
      </c>
      <c r="F2306" s="14">
        <v>44161</v>
      </c>
      <c r="G2306" s="13" t="s">
        <v>3</v>
      </c>
      <c r="H2306" s="13" t="s">
        <v>4</v>
      </c>
      <c r="I2306" s="15">
        <v>-3790.99</v>
      </c>
      <c r="J2306" s="13" t="s">
        <v>5</v>
      </c>
      <c r="K2306" s="13" t="s">
        <v>6</v>
      </c>
      <c r="L2306" s="15">
        <v>-318253.61</v>
      </c>
      <c r="M2306" s="15">
        <v>-3790.99</v>
      </c>
      <c r="N2306" s="16" t="str">
        <f>IF(M2306="","",IF(M2306&lt;0,-M2306&amp;"_"&amp;COUNTIF(M$2:M2306,M2306),M2306&amp;"_"&amp;COUNTIF(M$2:M2306,M2306)))</f>
        <v>3790.99_1</v>
      </c>
      <c r="O2306" s="17" t="str">
        <f t="shared" ref="O2306:O2369" si="36">IF(COUNTIF(N:N,N2306)=2,"x","")</f>
        <v/>
      </c>
      <c r="P2306" s="13" t="s">
        <v>1403</v>
      </c>
      <c r="Q2306" s="13" t="s">
        <v>1381</v>
      </c>
      <c r="R2306" s="13" t="s">
        <v>0</v>
      </c>
      <c r="S2306" s="13" t="s">
        <v>0</v>
      </c>
      <c r="T2306" s="13" t="s">
        <v>9</v>
      </c>
      <c r="U2306" s="13" t="s">
        <v>0</v>
      </c>
      <c r="V2306" s="13" t="s">
        <v>0</v>
      </c>
      <c r="W2306" s="13" t="s">
        <v>0</v>
      </c>
      <c r="X2306" s="13" t="s">
        <v>0</v>
      </c>
      <c r="Y2306" s="13" t="s">
        <v>10</v>
      </c>
      <c r="Z2306" s="13" t="s">
        <v>0</v>
      </c>
      <c r="AA2306" s="14"/>
      <c r="AB2306" s="13" t="s">
        <v>0</v>
      </c>
      <c r="AC2306" s="13" t="s">
        <v>0</v>
      </c>
      <c r="AD2306" s="13" t="s">
        <v>0</v>
      </c>
      <c r="AE2306" s="15">
        <v>0</v>
      </c>
    </row>
    <row r="2307" spans="1:31" ht="14.15" customHeight="1" x14ac:dyDescent="0.25">
      <c r="A2307" s="12" t="s">
        <v>0</v>
      </c>
      <c r="B2307" s="13" t="s">
        <v>1</v>
      </c>
      <c r="C2307" s="13" t="s">
        <v>3468</v>
      </c>
      <c r="D2307" s="14">
        <v>44320</v>
      </c>
      <c r="E2307" s="14">
        <v>44320</v>
      </c>
      <c r="F2307" s="14">
        <v>44328</v>
      </c>
      <c r="G2307" s="13" t="s">
        <v>3</v>
      </c>
      <c r="H2307" s="13" t="s">
        <v>4</v>
      </c>
      <c r="I2307" s="15">
        <v>-3777.29</v>
      </c>
      <c r="J2307" s="13" t="s">
        <v>5</v>
      </c>
      <c r="K2307" s="13" t="s">
        <v>6</v>
      </c>
      <c r="L2307" s="15">
        <v>-317103.5</v>
      </c>
      <c r="M2307" s="15">
        <v>-3777.29</v>
      </c>
      <c r="N2307" s="16" t="str">
        <f>IF(M2307="","",IF(M2307&lt;0,-M2307&amp;"_"&amp;COUNTIF(M$2:M2307,M2307),M2307&amp;"_"&amp;COUNTIF(M$2:M2307,M2307)))</f>
        <v>3777.29_1</v>
      </c>
      <c r="O2307" s="17" t="str">
        <f t="shared" si="36"/>
        <v/>
      </c>
      <c r="P2307" s="13" t="s">
        <v>3469</v>
      </c>
      <c r="Q2307" s="13" t="s">
        <v>3453</v>
      </c>
      <c r="R2307" s="13" t="s">
        <v>0</v>
      </c>
      <c r="S2307" s="13" t="s">
        <v>0</v>
      </c>
      <c r="T2307" s="13" t="s">
        <v>9</v>
      </c>
      <c r="U2307" s="13" t="s">
        <v>0</v>
      </c>
      <c r="V2307" s="13" t="s">
        <v>0</v>
      </c>
      <c r="W2307" s="13" t="s">
        <v>0</v>
      </c>
      <c r="X2307" s="13" t="s">
        <v>0</v>
      </c>
      <c r="Y2307" s="13" t="s">
        <v>10</v>
      </c>
      <c r="Z2307" s="13" t="s">
        <v>0</v>
      </c>
      <c r="AA2307" s="14"/>
      <c r="AB2307" s="13" t="s">
        <v>0</v>
      </c>
      <c r="AC2307" s="13" t="s">
        <v>0</v>
      </c>
      <c r="AD2307" s="13" t="s">
        <v>0</v>
      </c>
      <c r="AE2307" s="15">
        <v>0</v>
      </c>
    </row>
    <row r="2308" spans="1:31" ht="14.15" customHeight="1" x14ac:dyDescent="0.25">
      <c r="A2308" s="12" t="s">
        <v>0</v>
      </c>
      <c r="B2308" s="13" t="s">
        <v>1</v>
      </c>
      <c r="C2308" s="13" t="s">
        <v>3207</v>
      </c>
      <c r="D2308" s="14">
        <v>44302</v>
      </c>
      <c r="E2308" s="14">
        <v>44302</v>
      </c>
      <c r="F2308" s="14">
        <v>44308</v>
      </c>
      <c r="G2308" s="13" t="s">
        <v>3</v>
      </c>
      <c r="H2308" s="13" t="s">
        <v>4</v>
      </c>
      <c r="I2308" s="15">
        <v>-3774.6</v>
      </c>
      <c r="J2308" s="13" t="s">
        <v>5</v>
      </c>
      <c r="K2308" s="13" t="s">
        <v>6</v>
      </c>
      <c r="L2308" s="15">
        <v>-316877.67</v>
      </c>
      <c r="M2308" s="15">
        <v>-3774.6</v>
      </c>
      <c r="N2308" s="16" t="str">
        <f>IF(M2308="","",IF(M2308&lt;0,-M2308&amp;"_"&amp;COUNTIF(M$2:M2308,M2308),M2308&amp;"_"&amp;COUNTIF(M$2:M2308,M2308)))</f>
        <v>3774.6_1</v>
      </c>
      <c r="O2308" s="17" t="str">
        <f t="shared" si="36"/>
        <v/>
      </c>
      <c r="P2308" s="13" t="s">
        <v>3208</v>
      </c>
      <c r="Q2308" s="13" t="s">
        <v>3196</v>
      </c>
      <c r="R2308" s="13" t="s">
        <v>0</v>
      </c>
      <c r="S2308" s="13" t="s">
        <v>0</v>
      </c>
      <c r="T2308" s="13" t="s">
        <v>9</v>
      </c>
      <c r="U2308" s="13" t="s">
        <v>0</v>
      </c>
      <c r="V2308" s="13" t="s">
        <v>0</v>
      </c>
      <c r="W2308" s="13" t="s">
        <v>0</v>
      </c>
      <c r="X2308" s="13" t="s">
        <v>0</v>
      </c>
      <c r="Y2308" s="13" t="s">
        <v>10</v>
      </c>
      <c r="Z2308" s="13" t="s">
        <v>0</v>
      </c>
      <c r="AA2308" s="14"/>
      <c r="AB2308" s="13" t="s">
        <v>0</v>
      </c>
      <c r="AC2308" s="13" t="s">
        <v>0</v>
      </c>
      <c r="AD2308" s="13" t="s">
        <v>0</v>
      </c>
      <c r="AE2308" s="15">
        <v>0</v>
      </c>
    </row>
    <row r="2309" spans="1:31" ht="14.15" customHeight="1" x14ac:dyDescent="0.25">
      <c r="A2309" s="12" t="s">
        <v>0</v>
      </c>
      <c r="B2309" s="13" t="s">
        <v>1</v>
      </c>
      <c r="C2309" s="13" t="s">
        <v>401</v>
      </c>
      <c r="D2309" s="14">
        <v>44062</v>
      </c>
      <c r="E2309" s="14">
        <v>44062</v>
      </c>
      <c r="F2309" s="14">
        <v>44065</v>
      </c>
      <c r="G2309" s="13" t="s">
        <v>3</v>
      </c>
      <c r="H2309" s="13" t="s">
        <v>4</v>
      </c>
      <c r="I2309" s="15">
        <v>-3772.53</v>
      </c>
      <c r="J2309" s="13" t="s">
        <v>5</v>
      </c>
      <c r="K2309" s="13" t="s">
        <v>6</v>
      </c>
      <c r="L2309" s="15">
        <v>-316703.89</v>
      </c>
      <c r="M2309" s="15">
        <v>-3772.53</v>
      </c>
      <c r="N2309" s="16" t="str">
        <f>IF(M2309="","",IF(M2309&lt;0,-M2309&amp;"_"&amp;COUNTIF(M$2:M2309,M2309),M2309&amp;"_"&amp;COUNTIF(M$2:M2309,M2309)))</f>
        <v>3772.53_1</v>
      </c>
      <c r="O2309" s="17" t="str">
        <f t="shared" si="36"/>
        <v/>
      </c>
      <c r="P2309" s="13" t="s">
        <v>402</v>
      </c>
      <c r="Q2309" s="13" t="s">
        <v>403</v>
      </c>
      <c r="R2309" s="13" t="s">
        <v>0</v>
      </c>
      <c r="S2309" s="13" t="s">
        <v>0</v>
      </c>
      <c r="T2309" s="13" t="s">
        <v>9</v>
      </c>
      <c r="U2309" s="13" t="s">
        <v>0</v>
      </c>
      <c r="V2309" s="13" t="s">
        <v>0</v>
      </c>
      <c r="W2309" s="13" t="s">
        <v>0</v>
      </c>
      <c r="X2309" s="13" t="s">
        <v>0</v>
      </c>
      <c r="Y2309" s="13" t="s">
        <v>10</v>
      </c>
      <c r="Z2309" s="13" t="s">
        <v>0</v>
      </c>
      <c r="AA2309" s="14"/>
      <c r="AB2309" s="13" t="s">
        <v>0</v>
      </c>
      <c r="AC2309" s="13" t="s">
        <v>0</v>
      </c>
      <c r="AD2309" s="13" t="s">
        <v>0</v>
      </c>
      <c r="AE2309" s="15">
        <v>0</v>
      </c>
    </row>
    <row r="2310" spans="1:31" ht="14.15" customHeight="1" x14ac:dyDescent="0.25">
      <c r="A2310" s="12" t="s">
        <v>0</v>
      </c>
      <c r="B2310" s="13" t="s">
        <v>1</v>
      </c>
      <c r="C2310" s="13" t="s">
        <v>2508</v>
      </c>
      <c r="D2310" s="14">
        <v>44236</v>
      </c>
      <c r="E2310" s="14">
        <v>44236</v>
      </c>
      <c r="F2310" s="14">
        <v>44243</v>
      </c>
      <c r="G2310" s="13" t="s">
        <v>3</v>
      </c>
      <c r="H2310" s="13" t="s">
        <v>4</v>
      </c>
      <c r="I2310" s="15">
        <v>-3766.42</v>
      </c>
      <c r="J2310" s="13" t="s">
        <v>5</v>
      </c>
      <c r="K2310" s="13" t="s">
        <v>6</v>
      </c>
      <c r="L2310" s="15">
        <v>-316190.96000000002</v>
      </c>
      <c r="M2310" s="15">
        <v>-3766.42</v>
      </c>
      <c r="N2310" s="16" t="str">
        <f>IF(M2310="","",IF(M2310&lt;0,-M2310&amp;"_"&amp;COUNTIF(M$2:M2310,M2310),M2310&amp;"_"&amp;COUNTIF(M$2:M2310,M2310)))</f>
        <v>3766.42_1</v>
      </c>
      <c r="O2310" s="17" t="str">
        <f t="shared" si="36"/>
        <v/>
      </c>
      <c r="P2310" s="13" t="s">
        <v>2509</v>
      </c>
      <c r="Q2310" s="13" t="s">
        <v>2510</v>
      </c>
      <c r="R2310" s="13" t="s">
        <v>0</v>
      </c>
      <c r="S2310" s="13" t="s">
        <v>0</v>
      </c>
      <c r="T2310" s="13" t="s">
        <v>9</v>
      </c>
      <c r="U2310" s="13" t="s">
        <v>0</v>
      </c>
      <c r="V2310" s="13" t="s">
        <v>0</v>
      </c>
      <c r="W2310" s="13" t="s">
        <v>0</v>
      </c>
      <c r="X2310" s="13" t="s">
        <v>0</v>
      </c>
      <c r="Y2310" s="13" t="s">
        <v>10</v>
      </c>
      <c r="Z2310" s="13" t="s">
        <v>0</v>
      </c>
      <c r="AA2310" s="14"/>
      <c r="AB2310" s="13" t="s">
        <v>0</v>
      </c>
      <c r="AC2310" s="13" t="s">
        <v>0</v>
      </c>
      <c r="AD2310" s="13" t="s">
        <v>0</v>
      </c>
      <c r="AE2310" s="15">
        <v>0</v>
      </c>
    </row>
    <row r="2311" spans="1:31" ht="14.15" customHeight="1" x14ac:dyDescent="0.25">
      <c r="A2311" s="12" t="s">
        <v>0</v>
      </c>
      <c r="B2311" s="13" t="s">
        <v>1</v>
      </c>
      <c r="C2311" s="13" t="s">
        <v>4214</v>
      </c>
      <c r="D2311" s="14">
        <v>44366</v>
      </c>
      <c r="E2311" s="14">
        <v>44366</v>
      </c>
      <c r="F2311" s="14">
        <v>44371</v>
      </c>
      <c r="G2311" s="13" t="s">
        <v>3</v>
      </c>
      <c r="H2311" s="13" t="s">
        <v>4</v>
      </c>
      <c r="I2311" s="15">
        <v>-3762.05</v>
      </c>
      <c r="J2311" s="13" t="s">
        <v>5</v>
      </c>
      <c r="K2311" s="13" t="s">
        <v>6</v>
      </c>
      <c r="L2311" s="15">
        <v>-315824.09999999998</v>
      </c>
      <c r="M2311" s="15">
        <v>-3762.05</v>
      </c>
      <c r="N2311" s="16" t="str">
        <f>IF(M2311="","",IF(M2311&lt;0,-M2311&amp;"_"&amp;COUNTIF(M$2:M2311,M2311),M2311&amp;"_"&amp;COUNTIF(M$2:M2311,M2311)))</f>
        <v>3762.05_1</v>
      </c>
      <c r="O2311" s="17" t="str">
        <f t="shared" si="36"/>
        <v/>
      </c>
      <c r="P2311" s="13" t="s">
        <v>4215</v>
      </c>
      <c r="Q2311" s="13" t="s">
        <v>4216</v>
      </c>
      <c r="R2311" s="13" t="s">
        <v>0</v>
      </c>
      <c r="S2311" s="13" t="s">
        <v>0</v>
      </c>
      <c r="T2311" s="13" t="s">
        <v>9</v>
      </c>
      <c r="U2311" s="13" t="s">
        <v>0</v>
      </c>
      <c r="V2311" s="13" t="s">
        <v>0</v>
      </c>
      <c r="W2311" s="13" t="s">
        <v>0</v>
      </c>
      <c r="X2311" s="13" t="s">
        <v>0</v>
      </c>
      <c r="Y2311" s="13" t="s">
        <v>10</v>
      </c>
      <c r="Z2311" s="13" t="s">
        <v>0</v>
      </c>
      <c r="AA2311" s="14"/>
      <c r="AB2311" s="13" t="s">
        <v>0</v>
      </c>
      <c r="AC2311" s="13" t="s">
        <v>0</v>
      </c>
      <c r="AD2311" s="13" t="s">
        <v>0</v>
      </c>
      <c r="AE2311" s="15">
        <v>0</v>
      </c>
    </row>
    <row r="2312" spans="1:31" ht="14.15" customHeight="1" x14ac:dyDescent="0.25">
      <c r="A2312" s="12" t="s">
        <v>0</v>
      </c>
      <c r="B2312" s="13" t="s">
        <v>1</v>
      </c>
      <c r="C2312" s="13" t="s">
        <v>4037</v>
      </c>
      <c r="D2312" s="14">
        <v>44358</v>
      </c>
      <c r="E2312" s="14">
        <v>44358</v>
      </c>
      <c r="F2312" s="14">
        <v>44364</v>
      </c>
      <c r="G2312" s="13" t="s">
        <v>3</v>
      </c>
      <c r="H2312" s="13" t="s">
        <v>4</v>
      </c>
      <c r="I2312" s="15">
        <v>-3737.89</v>
      </c>
      <c r="J2312" s="13" t="s">
        <v>5</v>
      </c>
      <c r="K2312" s="13" t="s">
        <v>6</v>
      </c>
      <c r="L2312" s="15">
        <v>-313795.87</v>
      </c>
      <c r="M2312" s="15">
        <v>-3737.89</v>
      </c>
      <c r="N2312" s="16" t="str">
        <f>IF(M2312="","",IF(M2312&lt;0,-M2312&amp;"_"&amp;COUNTIF(M$2:M2312,M2312),M2312&amp;"_"&amp;COUNTIF(M$2:M2312,M2312)))</f>
        <v>3737.89_1</v>
      </c>
      <c r="O2312" s="17" t="str">
        <f t="shared" si="36"/>
        <v/>
      </c>
      <c r="P2312" s="13" t="s">
        <v>4038</v>
      </c>
      <c r="Q2312" s="13" t="s">
        <v>4006</v>
      </c>
      <c r="R2312" s="13" t="s">
        <v>0</v>
      </c>
      <c r="S2312" s="13" t="s">
        <v>0</v>
      </c>
      <c r="T2312" s="13" t="s">
        <v>9</v>
      </c>
      <c r="U2312" s="13" t="s">
        <v>0</v>
      </c>
      <c r="V2312" s="13" t="s">
        <v>0</v>
      </c>
      <c r="W2312" s="13" t="s">
        <v>0</v>
      </c>
      <c r="X2312" s="13" t="s">
        <v>0</v>
      </c>
      <c r="Y2312" s="13" t="s">
        <v>10</v>
      </c>
      <c r="Z2312" s="13" t="s">
        <v>0</v>
      </c>
      <c r="AA2312" s="14"/>
      <c r="AB2312" s="13" t="s">
        <v>0</v>
      </c>
      <c r="AC2312" s="13" t="s">
        <v>0</v>
      </c>
      <c r="AD2312" s="13" t="s">
        <v>0</v>
      </c>
      <c r="AE2312" s="15">
        <v>0</v>
      </c>
    </row>
    <row r="2313" spans="1:31" ht="14.15" customHeight="1" x14ac:dyDescent="0.25">
      <c r="A2313" s="12" t="s">
        <v>0</v>
      </c>
      <c r="B2313" s="13" t="s">
        <v>1</v>
      </c>
      <c r="C2313" s="13" t="s">
        <v>1807</v>
      </c>
      <c r="D2313" s="14">
        <v>44183</v>
      </c>
      <c r="E2313" s="14">
        <v>44183</v>
      </c>
      <c r="F2313" s="14">
        <v>44187</v>
      </c>
      <c r="G2313" s="13" t="s">
        <v>3</v>
      </c>
      <c r="H2313" s="13" t="s">
        <v>4</v>
      </c>
      <c r="I2313" s="15">
        <v>-3731.56</v>
      </c>
      <c r="J2313" s="13" t="s">
        <v>5</v>
      </c>
      <c r="K2313" s="13" t="s">
        <v>6</v>
      </c>
      <c r="L2313" s="15">
        <v>-313264.46999999997</v>
      </c>
      <c r="M2313" s="15">
        <v>-3731.56</v>
      </c>
      <c r="N2313" s="16" t="str">
        <f>IF(M2313="","",IF(M2313&lt;0,-M2313&amp;"_"&amp;COUNTIF(M$2:M2313,M2313),M2313&amp;"_"&amp;COUNTIF(M$2:M2313,M2313)))</f>
        <v>3731.56_1</v>
      </c>
      <c r="O2313" s="17" t="str">
        <f t="shared" si="36"/>
        <v/>
      </c>
      <c r="P2313" s="13" t="s">
        <v>1808</v>
      </c>
      <c r="Q2313" s="13" t="s">
        <v>1792</v>
      </c>
      <c r="R2313" s="13" t="s">
        <v>0</v>
      </c>
      <c r="S2313" s="13" t="s">
        <v>0</v>
      </c>
      <c r="T2313" s="13" t="s">
        <v>9</v>
      </c>
      <c r="U2313" s="13" t="s">
        <v>0</v>
      </c>
      <c r="V2313" s="13" t="s">
        <v>0</v>
      </c>
      <c r="W2313" s="13" t="s">
        <v>0</v>
      </c>
      <c r="X2313" s="13" t="s">
        <v>0</v>
      </c>
      <c r="Y2313" s="13" t="s">
        <v>10</v>
      </c>
      <c r="Z2313" s="13" t="s">
        <v>0</v>
      </c>
      <c r="AA2313" s="14"/>
      <c r="AB2313" s="13" t="s">
        <v>0</v>
      </c>
      <c r="AC2313" s="13" t="s">
        <v>0</v>
      </c>
      <c r="AD2313" s="13" t="s">
        <v>0</v>
      </c>
      <c r="AE2313" s="15">
        <v>0</v>
      </c>
    </row>
    <row r="2314" spans="1:31" ht="14.15" customHeight="1" x14ac:dyDescent="0.25">
      <c r="A2314" s="12" t="s">
        <v>0</v>
      </c>
      <c r="B2314" s="13" t="s">
        <v>1</v>
      </c>
      <c r="C2314" s="13" t="s">
        <v>1048</v>
      </c>
      <c r="D2314" s="14">
        <v>44131</v>
      </c>
      <c r="E2314" s="14">
        <v>44131</v>
      </c>
      <c r="F2314" s="14">
        <v>44136</v>
      </c>
      <c r="G2314" s="13" t="s">
        <v>3</v>
      </c>
      <c r="H2314" s="13" t="s">
        <v>4</v>
      </c>
      <c r="I2314" s="15">
        <v>-3728.93</v>
      </c>
      <c r="J2314" s="13" t="s">
        <v>5</v>
      </c>
      <c r="K2314" s="13" t="s">
        <v>6</v>
      </c>
      <c r="L2314" s="15">
        <v>-313043.67</v>
      </c>
      <c r="M2314" s="15">
        <v>-3728.93</v>
      </c>
      <c r="N2314" s="16" t="str">
        <f>IF(M2314="","",IF(M2314&lt;0,-M2314&amp;"_"&amp;COUNTIF(M$2:M2314,M2314),M2314&amp;"_"&amp;COUNTIF(M$2:M2314,M2314)))</f>
        <v>3728.93_1</v>
      </c>
      <c r="O2314" s="17" t="str">
        <f t="shared" si="36"/>
        <v/>
      </c>
      <c r="P2314" s="13" t="s">
        <v>1049</v>
      </c>
      <c r="Q2314" s="13" t="s">
        <v>1041</v>
      </c>
      <c r="R2314" s="13" t="s">
        <v>0</v>
      </c>
      <c r="S2314" s="13" t="s">
        <v>0</v>
      </c>
      <c r="T2314" s="13" t="s">
        <v>9</v>
      </c>
      <c r="U2314" s="13" t="s">
        <v>0</v>
      </c>
      <c r="V2314" s="13" t="s">
        <v>0</v>
      </c>
      <c r="W2314" s="13" t="s">
        <v>0</v>
      </c>
      <c r="X2314" s="13" t="s">
        <v>0</v>
      </c>
      <c r="Y2314" s="13" t="s">
        <v>10</v>
      </c>
      <c r="Z2314" s="13" t="s">
        <v>0</v>
      </c>
      <c r="AA2314" s="14"/>
      <c r="AB2314" s="13" t="s">
        <v>0</v>
      </c>
      <c r="AC2314" s="13" t="s">
        <v>0</v>
      </c>
      <c r="AD2314" s="13" t="s">
        <v>0</v>
      </c>
      <c r="AE2314" s="15">
        <v>0</v>
      </c>
    </row>
    <row r="2315" spans="1:31" ht="14.15" customHeight="1" x14ac:dyDescent="0.25">
      <c r="A2315" s="12" t="s">
        <v>0</v>
      </c>
      <c r="B2315" s="13" t="s">
        <v>1</v>
      </c>
      <c r="C2315" s="13" t="s">
        <v>1738</v>
      </c>
      <c r="D2315" s="14">
        <v>44178</v>
      </c>
      <c r="E2315" s="14">
        <v>44178</v>
      </c>
      <c r="F2315" s="14">
        <v>44180</v>
      </c>
      <c r="G2315" s="13" t="s">
        <v>3</v>
      </c>
      <c r="H2315" s="13" t="s">
        <v>4</v>
      </c>
      <c r="I2315" s="15">
        <v>-3726.27</v>
      </c>
      <c r="J2315" s="13" t="s">
        <v>5</v>
      </c>
      <c r="K2315" s="13" t="s">
        <v>6</v>
      </c>
      <c r="L2315" s="15">
        <v>-312820.37</v>
      </c>
      <c r="M2315" s="15">
        <v>-3726.27</v>
      </c>
      <c r="N2315" s="16" t="str">
        <f>IF(M2315="","",IF(M2315&lt;0,-M2315&amp;"_"&amp;COUNTIF(M$2:M2315,M2315),M2315&amp;"_"&amp;COUNTIF(M$2:M2315,M2315)))</f>
        <v>3726.27_1</v>
      </c>
      <c r="O2315" s="17" t="str">
        <f t="shared" si="36"/>
        <v/>
      </c>
      <c r="P2315" s="13" t="s">
        <v>1714</v>
      </c>
      <c r="Q2315" s="13" t="s">
        <v>1739</v>
      </c>
      <c r="R2315" s="13" t="s">
        <v>0</v>
      </c>
      <c r="S2315" s="13" t="s">
        <v>0</v>
      </c>
      <c r="T2315" s="13" t="s">
        <v>9</v>
      </c>
      <c r="U2315" s="13" t="s">
        <v>0</v>
      </c>
      <c r="V2315" s="13" t="s">
        <v>0</v>
      </c>
      <c r="W2315" s="13" t="s">
        <v>0</v>
      </c>
      <c r="X2315" s="13" t="s">
        <v>0</v>
      </c>
      <c r="Y2315" s="13" t="s">
        <v>10</v>
      </c>
      <c r="Z2315" s="13" t="s">
        <v>0</v>
      </c>
      <c r="AA2315" s="14"/>
      <c r="AB2315" s="13" t="s">
        <v>0</v>
      </c>
      <c r="AC2315" s="13" t="s">
        <v>0</v>
      </c>
      <c r="AD2315" s="13" t="s">
        <v>0</v>
      </c>
      <c r="AE2315" s="15">
        <v>0</v>
      </c>
    </row>
    <row r="2316" spans="1:31" ht="14.15" customHeight="1" x14ac:dyDescent="0.25">
      <c r="A2316" s="12" t="s">
        <v>0</v>
      </c>
      <c r="B2316" s="13" t="s">
        <v>1</v>
      </c>
      <c r="C2316" s="13" t="s">
        <v>2757</v>
      </c>
      <c r="D2316" s="14">
        <v>44260</v>
      </c>
      <c r="E2316" s="14">
        <v>44260</v>
      </c>
      <c r="F2316" s="14">
        <v>44265</v>
      </c>
      <c r="G2316" s="13" t="s">
        <v>3</v>
      </c>
      <c r="H2316" s="13" t="s">
        <v>4</v>
      </c>
      <c r="I2316" s="15">
        <v>-3724.02</v>
      </c>
      <c r="J2316" s="13" t="s">
        <v>5</v>
      </c>
      <c r="K2316" s="13" t="s">
        <v>6</v>
      </c>
      <c r="L2316" s="15">
        <v>-312631.48</v>
      </c>
      <c r="M2316" s="15">
        <v>-3724.02</v>
      </c>
      <c r="N2316" s="16" t="str">
        <f>IF(M2316="","",IF(M2316&lt;0,-M2316&amp;"_"&amp;COUNTIF(M$2:M2316,M2316),M2316&amp;"_"&amp;COUNTIF(M$2:M2316,M2316)))</f>
        <v>3724.02_1</v>
      </c>
      <c r="O2316" s="17" t="str">
        <f t="shared" si="36"/>
        <v/>
      </c>
      <c r="P2316" s="13" t="s">
        <v>2758</v>
      </c>
      <c r="Q2316" s="13" t="s">
        <v>2746</v>
      </c>
      <c r="R2316" s="13" t="s">
        <v>0</v>
      </c>
      <c r="S2316" s="13" t="s">
        <v>0</v>
      </c>
      <c r="T2316" s="13" t="s">
        <v>9</v>
      </c>
      <c r="U2316" s="13" t="s">
        <v>0</v>
      </c>
      <c r="V2316" s="13" t="s">
        <v>0</v>
      </c>
      <c r="W2316" s="13" t="s">
        <v>0</v>
      </c>
      <c r="X2316" s="13" t="s">
        <v>0</v>
      </c>
      <c r="Y2316" s="13" t="s">
        <v>10</v>
      </c>
      <c r="Z2316" s="13" t="s">
        <v>0</v>
      </c>
      <c r="AA2316" s="14"/>
      <c r="AB2316" s="13" t="s">
        <v>0</v>
      </c>
      <c r="AC2316" s="13" t="s">
        <v>0</v>
      </c>
      <c r="AD2316" s="13" t="s">
        <v>0</v>
      </c>
      <c r="AE2316" s="15">
        <v>0</v>
      </c>
    </row>
    <row r="2317" spans="1:31" ht="14.15" customHeight="1" x14ac:dyDescent="0.25">
      <c r="A2317" s="12" t="s">
        <v>0</v>
      </c>
      <c r="B2317" s="13" t="s">
        <v>1</v>
      </c>
      <c r="C2317" s="13" t="s">
        <v>2153</v>
      </c>
      <c r="D2317" s="14">
        <v>44208</v>
      </c>
      <c r="E2317" s="14">
        <v>44208</v>
      </c>
      <c r="F2317" s="14">
        <v>44216</v>
      </c>
      <c r="G2317" s="13" t="s">
        <v>3</v>
      </c>
      <c r="H2317" s="13" t="s">
        <v>4</v>
      </c>
      <c r="I2317" s="15">
        <v>-3716.81</v>
      </c>
      <c r="J2317" s="13" t="s">
        <v>5</v>
      </c>
      <c r="K2317" s="13" t="s">
        <v>6</v>
      </c>
      <c r="L2317" s="15">
        <v>-312026.2</v>
      </c>
      <c r="M2317" s="15">
        <v>-3716.81</v>
      </c>
      <c r="N2317" s="16" t="str">
        <f>IF(M2317="","",IF(M2317&lt;0,-M2317&amp;"_"&amp;COUNTIF(M$2:M2317,M2317),M2317&amp;"_"&amp;COUNTIF(M$2:M2317,M2317)))</f>
        <v>3716.81_1</v>
      </c>
      <c r="O2317" s="17" t="str">
        <f t="shared" si="36"/>
        <v/>
      </c>
      <c r="P2317" s="13" t="s">
        <v>2154</v>
      </c>
      <c r="Q2317" s="13" t="s">
        <v>2152</v>
      </c>
      <c r="R2317" s="13" t="s">
        <v>0</v>
      </c>
      <c r="S2317" s="13" t="s">
        <v>0</v>
      </c>
      <c r="T2317" s="13" t="s">
        <v>9</v>
      </c>
      <c r="U2317" s="13" t="s">
        <v>0</v>
      </c>
      <c r="V2317" s="13" t="s">
        <v>0</v>
      </c>
      <c r="W2317" s="13" t="s">
        <v>0</v>
      </c>
      <c r="X2317" s="13" t="s">
        <v>0</v>
      </c>
      <c r="Y2317" s="13" t="s">
        <v>10</v>
      </c>
      <c r="Z2317" s="13" t="s">
        <v>0</v>
      </c>
      <c r="AA2317" s="14"/>
      <c r="AB2317" s="13" t="s">
        <v>0</v>
      </c>
      <c r="AC2317" s="13" t="s">
        <v>0</v>
      </c>
      <c r="AD2317" s="13" t="s">
        <v>0</v>
      </c>
      <c r="AE2317" s="15">
        <v>0</v>
      </c>
    </row>
    <row r="2318" spans="1:31" ht="14.15" customHeight="1" x14ac:dyDescent="0.25">
      <c r="A2318" s="12" t="s">
        <v>0</v>
      </c>
      <c r="B2318" s="13" t="s">
        <v>1</v>
      </c>
      <c r="C2318" s="13" t="s">
        <v>396</v>
      </c>
      <c r="D2318" s="14">
        <v>44061</v>
      </c>
      <c r="E2318" s="14">
        <v>44061</v>
      </c>
      <c r="F2318" s="14">
        <v>44068</v>
      </c>
      <c r="G2318" s="13" t="s">
        <v>3</v>
      </c>
      <c r="H2318" s="13" t="s">
        <v>4</v>
      </c>
      <c r="I2318" s="15">
        <v>-3716.73</v>
      </c>
      <c r="J2318" s="13" t="s">
        <v>5</v>
      </c>
      <c r="K2318" s="13" t="s">
        <v>6</v>
      </c>
      <c r="L2318" s="15">
        <v>-312019.48</v>
      </c>
      <c r="M2318" s="15">
        <v>-3716.73</v>
      </c>
      <c r="N2318" s="16" t="str">
        <f>IF(M2318="","",IF(M2318&lt;0,-M2318&amp;"_"&amp;COUNTIF(M$2:M2318,M2318),M2318&amp;"_"&amp;COUNTIF(M$2:M2318,M2318)))</f>
        <v>3716.73_1</v>
      </c>
      <c r="O2318" s="17" t="str">
        <f t="shared" si="36"/>
        <v/>
      </c>
      <c r="P2318" s="13" t="s">
        <v>397</v>
      </c>
      <c r="Q2318" s="13" t="s">
        <v>398</v>
      </c>
      <c r="R2318" s="13" t="s">
        <v>0</v>
      </c>
      <c r="S2318" s="13" t="s">
        <v>0</v>
      </c>
      <c r="T2318" s="13" t="s">
        <v>9</v>
      </c>
      <c r="U2318" s="13" t="s">
        <v>0</v>
      </c>
      <c r="V2318" s="13" t="s">
        <v>0</v>
      </c>
      <c r="W2318" s="13" t="s">
        <v>0</v>
      </c>
      <c r="X2318" s="13" t="s">
        <v>0</v>
      </c>
      <c r="Y2318" s="13" t="s">
        <v>10</v>
      </c>
      <c r="Z2318" s="13" t="s">
        <v>0</v>
      </c>
      <c r="AA2318" s="14"/>
      <c r="AB2318" s="13" t="s">
        <v>0</v>
      </c>
      <c r="AC2318" s="13" t="s">
        <v>0</v>
      </c>
      <c r="AD2318" s="13" t="s">
        <v>0</v>
      </c>
      <c r="AE2318" s="15">
        <v>0</v>
      </c>
    </row>
    <row r="2319" spans="1:31" ht="14.15" customHeight="1" x14ac:dyDescent="0.25">
      <c r="A2319" s="12" t="s">
        <v>0</v>
      </c>
      <c r="B2319" s="13" t="s">
        <v>1</v>
      </c>
      <c r="C2319" s="13" t="s">
        <v>3398</v>
      </c>
      <c r="D2319" s="14">
        <v>44318</v>
      </c>
      <c r="E2319" s="14">
        <v>44318</v>
      </c>
      <c r="F2319" s="14">
        <v>44327</v>
      </c>
      <c r="G2319" s="13" t="s">
        <v>3</v>
      </c>
      <c r="H2319" s="13" t="s">
        <v>4</v>
      </c>
      <c r="I2319" s="15">
        <v>-3714.79</v>
      </c>
      <c r="J2319" s="13" t="s">
        <v>5</v>
      </c>
      <c r="K2319" s="13" t="s">
        <v>6</v>
      </c>
      <c r="L2319" s="15">
        <v>-311856.62</v>
      </c>
      <c r="M2319" s="15">
        <v>-3714.79</v>
      </c>
      <c r="N2319" s="16" t="str">
        <f>IF(M2319="","",IF(M2319&lt;0,-M2319&amp;"_"&amp;COUNTIF(M$2:M2319,M2319),M2319&amp;"_"&amp;COUNTIF(M$2:M2319,M2319)))</f>
        <v>3714.79_1</v>
      </c>
      <c r="O2319" s="17" t="str">
        <f t="shared" si="36"/>
        <v/>
      </c>
      <c r="P2319" s="13" t="s">
        <v>3399</v>
      </c>
      <c r="Q2319" s="13" t="s">
        <v>3397</v>
      </c>
      <c r="R2319" s="13" t="s">
        <v>0</v>
      </c>
      <c r="S2319" s="13" t="s">
        <v>0</v>
      </c>
      <c r="T2319" s="13" t="s">
        <v>9</v>
      </c>
      <c r="U2319" s="13" t="s">
        <v>0</v>
      </c>
      <c r="V2319" s="13" t="s">
        <v>0</v>
      </c>
      <c r="W2319" s="13" t="s">
        <v>0</v>
      </c>
      <c r="X2319" s="13" t="s">
        <v>0</v>
      </c>
      <c r="Y2319" s="13" t="s">
        <v>10</v>
      </c>
      <c r="Z2319" s="13" t="s">
        <v>0</v>
      </c>
      <c r="AA2319" s="14"/>
      <c r="AB2319" s="13" t="s">
        <v>0</v>
      </c>
      <c r="AC2319" s="13" t="s">
        <v>0</v>
      </c>
      <c r="AD2319" s="13" t="s">
        <v>0</v>
      </c>
      <c r="AE2319" s="15">
        <v>0</v>
      </c>
    </row>
    <row r="2320" spans="1:31" ht="14.15" customHeight="1" x14ac:dyDescent="0.25">
      <c r="A2320" s="12" t="s">
        <v>0</v>
      </c>
      <c r="B2320" s="13" t="s">
        <v>1</v>
      </c>
      <c r="C2320" s="13" t="s">
        <v>3800</v>
      </c>
      <c r="D2320" s="14">
        <v>44344</v>
      </c>
      <c r="E2320" s="14">
        <v>44344</v>
      </c>
      <c r="F2320" s="14">
        <v>44348</v>
      </c>
      <c r="G2320" s="13" t="s">
        <v>3</v>
      </c>
      <c r="H2320" s="13" t="s">
        <v>4</v>
      </c>
      <c r="I2320" s="15">
        <v>-3706.66</v>
      </c>
      <c r="J2320" s="13" t="s">
        <v>5</v>
      </c>
      <c r="K2320" s="13" t="s">
        <v>6</v>
      </c>
      <c r="L2320" s="15">
        <v>-311174.11</v>
      </c>
      <c r="M2320" s="15">
        <v>-3706.66</v>
      </c>
      <c r="N2320" s="16" t="str">
        <f>IF(M2320="","",IF(M2320&lt;0,-M2320&amp;"_"&amp;COUNTIF(M$2:M2320,M2320),M2320&amp;"_"&amp;COUNTIF(M$2:M2320,M2320)))</f>
        <v>3706.66_1</v>
      </c>
      <c r="O2320" s="17" t="str">
        <f t="shared" si="36"/>
        <v/>
      </c>
      <c r="P2320" s="13" t="s">
        <v>3801</v>
      </c>
      <c r="Q2320" s="13" t="s">
        <v>3778</v>
      </c>
      <c r="R2320" s="13" t="s">
        <v>0</v>
      </c>
      <c r="S2320" s="13" t="s">
        <v>0</v>
      </c>
      <c r="T2320" s="13" t="s">
        <v>9</v>
      </c>
      <c r="U2320" s="13" t="s">
        <v>0</v>
      </c>
      <c r="V2320" s="13" t="s">
        <v>0</v>
      </c>
      <c r="W2320" s="13" t="s">
        <v>0</v>
      </c>
      <c r="X2320" s="13" t="s">
        <v>0</v>
      </c>
      <c r="Y2320" s="13" t="s">
        <v>10</v>
      </c>
      <c r="Z2320" s="13" t="s">
        <v>0</v>
      </c>
      <c r="AA2320" s="14"/>
      <c r="AB2320" s="13" t="s">
        <v>0</v>
      </c>
      <c r="AC2320" s="13" t="s">
        <v>0</v>
      </c>
      <c r="AD2320" s="13" t="s">
        <v>0</v>
      </c>
      <c r="AE2320" s="15">
        <v>0</v>
      </c>
    </row>
    <row r="2321" spans="1:31" ht="14.15" customHeight="1" x14ac:dyDescent="0.25">
      <c r="A2321" s="12" t="s">
        <v>0</v>
      </c>
      <c r="B2321" s="13" t="s">
        <v>1</v>
      </c>
      <c r="C2321" s="13" t="s">
        <v>2731</v>
      </c>
      <c r="D2321" s="14">
        <v>44257</v>
      </c>
      <c r="E2321" s="14">
        <v>44257</v>
      </c>
      <c r="F2321" s="14">
        <v>44272</v>
      </c>
      <c r="G2321" s="13" t="s">
        <v>48</v>
      </c>
      <c r="H2321" s="13" t="s">
        <v>4</v>
      </c>
      <c r="I2321" s="15">
        <v>-3685.5</v>
      </c>
      <c r="J2321" s="13" t="s">
        <v>5</v>
      </c>
      <c r="K2321" s="13" t="s">
        <v>6</v>
      </c>
      <c r="L2321" s="15">
        <v>-309397.73</v>
      </c>
      <c r="M2321" s="15">
        <v>-3685.5</v>
      </c>
      <c r="N2321" s="16" t="str">
        <f>IF(M2321="","",IF(M2321&lt;0,-M2321&amp;"_"&amp;COUNTIF(M$2:M2321,M2321),M2321&amp;"_"&amp;COUNTIF(M$2:M2321,M2321)))</f>
        <v>3685.5_1</v>
      </c>
      <c r="O2321" s="17" t="str">
        <f t="shared" si="36"/>
        <v/>
      </c>
      <c r="P2321" s="13" t="s">
        <v>2732</v>
      </c>
      <c r="Q2321" s="13" t="s">
        <v>2732</v>
      </c>
      <c r="R2321" s="13" t="s">
        <v>2733</v>
      </c>
      <c r="S2321" s="13" t="s">
        <v>0</v>
      </c>
      <c r="T2321" s="13" t="s">
        <v>9</v>
      </c>
      <c r="U2321" s="13" t="s">
        <v>2733</v>
      </c>
      <c r="V2321" s="13" t="s">
        <v>0</v>
      </c>
      <c r="W2321" s="13" t="s">
        <v>0</v>
      </c>
      <c r="X2321" s="13" t="s">
        <v>0</v>
      </c>
      <c r="Y2321" s="13" t="s">
        <v>10</v>
      </c>
      <c r="Z2321" s="13" t="s">
        <v>0</v>
      </c>
      <c r="AA2321" s="14"/>
      <c r="AB2321" s="13" t="s">
        <v>0</v>
      </c>
      <c r="AC2321" s="13" t="s">
        <v>0</v>
      </c>
      <c r="AD2321" s="13" t="s">
        <v>0</v>
      </c>
      <c r="AE2321" s="15">
        <v>0</v>
      </c>
    </row>
    <row r="2322" spans="1:31" ht="14.15" customHeight="1" x14ac:dyDescent="0.25">
      <c r="A2322" s="12" t="s">
        <v>0</v>
      </c>
      <c r="B2322" s="13" t="s">
        <v>1</v>
      </c>
      <c r="C2322" s="13" t="s">
        <v>4035</v>
      </c>
      <c r="D2322" s="14">
        <v>44358</v>
      </c>
      <c r="E2322" s="14">
        <v>44358</v>
      </c>
      <c r="F2322" s="14">
        <v>44364</v>
      </c>
      <c r="G2322" s="13" t="s">
        <v>3</v>
      </c>
      <c r="H2322" s="13" t="s">
        <v>4</v>
      </c>
      <c r="I2322" s="15">
        <v>-3672.3</v>
      </c>
      <c r="J2322" s="13" t="s">
        <v>5</v>
      </c>
      <c r="K2322" s="13" t="s">
        <v>6</v>
      </c>
      <c r="L2322" s="15">
        <v>-308289.58</v>
      </c>
      <c r="M2322" s="15">
        <v>-3672.3</v>
      </c>
      <c r="N2322" s="16" t="str">
        <f>IF(M2322="","",IF(M2322&lt;0,-M2322&amp;"_"&amp;COUNTIF(M$2:M2322,M2322),M2322&amp;"_"&amp;COUNTIF(M$2:M2322,M2322)))</f>
        <v>3672.3_1</v>
      </c>
      <c r="O2322" s="17" t="str">
        <f t="shared" si="36"/>
        <v/>
      </c>
      <c r="P2322" s="13" t="s">
        <v>4036</v>
      </c>
      <c r="Q2322" s="13" t="s">
        <v>4006</v>
      </c>
      <c r="R2322" s="13" t="s">
        <v>0</v>
      </c>
      <c r="S2322" s="13" t="s">
        <v>0</v>
      </c>
      <c r="T2322" s="13" t="s">
        <v>9</v>
      </c>
      <c r="U2322" s="13" t="s">
        <v>0</v>
      </c>
      <c r="V2322" s="13" t="s">
        <v>0</v>
      </c>
      <c r="W2322" s="13" t="s">
        <v>0</v>
      </c>
      <c r="X2322" s="13" t="s">
        <v>0</v>
      </c>
      <c r="Y2322" s="13" t="s">
        <v>10</v>
      </c>
      <c r="Z2322" s="13" t="s">
        <v>0</v>
      </c>
      <c r="AA2322" s="14"/>
      <c r="AB2322" s="13" t="s">
        <v>0</v>
      </c>
      <c r="AC2322" s="13" t="s">
        <v>0</v>
      </c>
      <c r="AD2322" s="13" t="s">
        <v>0</v>
      </c>
      <c r="AE2322" s="15">
        <v>0</v>
      </c>
    </row>
    <row r="2323" spans="1:31" ht="14.15" customHeight="1" x14ac:dyDescent="0.25">
      <c r="A2323" s="12" t="s">
        <v>0</v>
      </c>
      <c r="B2323" s="13" t="s">
        <v>1</v>
      </c>
      <c r="C2323" s="13" t="s">
        <v>731</v>
      </c>
      <c r="D2323" s="14">
        <v>44095</v>
      </c>
      <c r="E2323" s="14">
        <v>44095</v>
      </c>
      <c r="F2323" s="14">
        <v>44100</v>
      </c>
      <c r="G2323" s="13" t="s">
        <v>3</v>
      </c>
      <c r="H2323" s="13" t="s">
        <v>4</v>
      </c>
      <c r="I2323" s="15">
        <v>-3667.36</v>
      </c>
      <c r="J2323" s="13" t="s">
        <v>5</v>
      </c>
      <c r="K2323" s="13" t="s">
        <v>6</v>
      </c>
      <c r="L2323" s="15">
        <v>-307874.87</v>
      </c>
      <c r="M2323" s="15">
        <v>-3667.36</v>
      </c>
      <c r="N2323" s="16" t="str">
        <f>IF(M2323="","",IF(M2323&lt;0,-M2323&amp;"_"&amp;COUNTIF(M$2:M2323,M2323),M2323&amp;"_"&amp;COUNTIF(M$2:M2323,M2323)))</f>
        <v>3667.36_1</v>
      </c>
      <c r="O2323" s="17" t="str">
        <f t="shared" si="36"/>
        <v/>
      </c>
      <c r="P2323" s="13" t="s">
        <v>732</v>
      </c>
      <c r="Q2323" s="13" t="s">
        <v>726</v>
      </c>
      <c r="R2323" s="13" t="s">
        <v>0</v>
      </c>
      <c r="S2323" s="13" t="s">
        <v>0</v>
      </c>
      <c r="T2323" s="13" t="s">
        <v>9</v>
      </c>
      <c r="U2323" s="13" t="s">
        <v>0</v>
      </c>
      <c r="V2323" s="13" t="s">
        <v>0</v>
      </c>
      <c r="W2323" s="13" t="s">
        <v>0</v>
      </c>
      <c r="X2323" s="13" t="s">
        <v>0</v>
      </c>
      <c r="Y2323" s="13" t="s">
        <v>10</v>
      </c>
      <c r="Z2323" s="13" t="s">
        <v>0</v>
      </c>
      <c r="AA2323" s="14"/>
      <c r="AB2323" s="13" t="s">
        <v>0</v>
      </c>
      <c r="AC2323" s="13" t="s">
        <v>0</v>
      </c>
      <c r="AD2323" s="13" t="s">
        <v>0</v>
      </c>
      <c r="AE2323" s="15">
        <v>0</v>
      </c>
    </row>
    <row r="2324" spans="1:31" ht="14.15" customHeight="1" x14ac:dyDescent="0.25">
      <c r="A2324" s="12" t="s">
        <v>0</v>
      </c>
      <c r="B2324" s="13" t="s">
        <v>1</v>
      </c>
      <c r="C2324" s="13" t="s">
        <v>665</v>
      </c>
      <c r="D2324" s="14">
        <v>44088</v>
      </c>
      <c r="E2324" s="14">
        <v>44088</v>
      </c>
      <c r="F2324" s="14">
        <v>44090</v>
      </c>
      <c r="G2324" s="13" t="s">
        <v>3</v>
      </c>
      <c r="H2324" s="13" t="s">
        <v>4</v>
      </c>
      <c r="I2324" s="15">
        <v>-3665.95</v>
      </c>
      <c r="J2324" s="13" t="s">
        <v>5</v>
      </c>
      <c r="K2324" s="13" t="s">
        <v>6</v>
      </c>
      <c r="L2324" s="15">
        <v>-307756.51</v>
      </c>
      <c r="M2324" s="15">
        <v>-3665.95</v>
      </c>
      <c r="N2324" s="16" t="str">
        <f>IF(M2324="","",IF(M2324&lt;0,-M2324&amp;"_"&amp;COUNTIF(M$2:M2324,M2324),M2324&amp;"_"&amp;COUNTIF(M$2:M2324,M2324)))</f>
        <v>3665.95_1</v>
      </c>
      <c r="O2324" s="17" t="str">
        <f t="shared" si="36"/>
        <v/>
      </c>
      <c r="P2324" s="13" t="s">
        <v>666</v>
      </c>
      <c r="Q2324" s="13" t="s">
        <v>667</v>
      </c>
      <c r="R2324" s="13" t="s">
        <v>0</v>
      </c>
      <c r="S2324" s="13" t="s">
        <v>0</v>
      </c>
      <c r="T2324" s="13" t="s">
        <v>9</v>
      </c>
      <c r="U2324" s="13" t="s">
        <v>0</v>
      </c>
      <c r="V2324" s="13" t="s">
        <v>0</v>
      </c>
      <c r="W2324" s="13" t="s">
        <v>0</v>
      </c>
      <c r="X2324" s="13" t="s">
        <v>0</v>
      </c>
      <c r="Y2324" s="13" t="s">
        <v>10</v>
      </c>
      <c r="Z2324" s="13" t="s">
        <v>0</v>
      </c>
      <c r="AA2324" s="14"/>
      <c r="AB2324" s="13" t="s">
        <v>0</v>
      </c>
      <c r="AC2324" s="13" t="s">
        <v>0</v>
      </c>
      <c r="AD2324" s="13" t="s">
        <v>0</v>
      </c>
      <c r="AE2324" s="15">
        <v>0</v>
      </c>
    </row>
    <row r="2325" spans="1:31" ht="14.15" customHeight="1" x14ac:dyDescent="0.25">
      <c r="A2325" s="12" t="s">
        <v>0</v>
      </c>
      <c r="B2325" s="13" t="s">
        <v>1</v>
      </c>
      <c r="C2325" s="13" t="s">
        <v>2268</v>
      </c>
      <c r="D2325" s="14">
        <v>44216</v>
      </c>
      <c r="E2325" s="14">
        <v>44216</v>
      </c>
      <c r="F2325" s="14">
        <v>44224</v>
      </c>
      <c r="G2325" s="13" t="s">
        <v>3</v>
      </c>
      <c r="H2325" s="13" t="s">
        <v>4</v>
      </c>
      <c r="I2325" s="15">
        <v>-3664.83</v>
      </c>
      <c r="J2325" s="13" t="s">
        <v>5</v>
      </c>
      <c r="K2325" s="13" t="s">
        <v>6</v>
      </c>
      <c r="L2325" s="15">
        <v>-307662.48</v>
      </c>
      <c r="M2325" s="15">
        <v>-3664.83</v>
      </c>
      <c r="N2325" s="16" t="str">
        <f>IF(M2325="","",IF(M2325&lt;0,-M2325&amp;"_"&amp;COUNTIF(M$2:M2325,M2325),M2325&amp;"_"&amp;COUNTIF(M$2:M2325,M2325)))</f>
        <v>3664.83_1</v>
      </c>
      <c r="O2325" s="17" t="str">
        <f t="shared" si="36"/>
        <v/>
      </c>
      <c r="P2325" s="13" t="s">
        <v>2269</v>
      </c>
      <c r="Q2325" s="13" t="s">
        <v>2255</v>
      </c>
      <c r="R2325" s="13" t="s">
        <v>0</v>
      </c>
      <c r="S2325" s="13" t="s">
        <v>0</v>
      </c>
      <c r="T2325" s="13" t="s">
        <v>9</v>
      </c>
      <c r="U2325" s="13" t="s">
        <v>0</v>
      </c>
      <c r="V2325" s="13" t="s">
        <v>0</v>
      </c>
      <c r="W2325" s="13" t="s">
        <v>0</v>
      </c>
      <c r="X2325" s="13" t="s">
        <v>0</v>
      </c>
      <c r="Y2325" s="13" t="s">
        <v>10</v>
      </c>
      <c r="Z2325" s="13" t="s">
        <v>0</v>
      </c>
      <c r="AA2325" s="14"/>
      <c r="AB2325" s="13" t="s">
        <v>0</v>
      </c>
      <c r="AC2325" s="13" t="s">
        <v>0</v>
      </c>
      <c r="AD2325" s="13" t="s">
        <v>0</v>
      </c>
      <c r="AE2325" s="15">
        <v>0</v>
      </c>
    </row>
    <row r="2326" spans="1:31" ht="14.15" customHeight="1" x14ac:dyDescent="0.25">
      <c r="A2326" s="12" t="s">
        <v>0</v>
      </c>
      <c r="B2326" s="13" t="s">
        <v>1</v>
      </c>
      <c r="C2326" s="13" t="s">
        <v>3075</v>
      </c>
      <c r="D2326" s="14">
        <v>44285</v>
      </c>
      <c r="E2326" s="14">
        <v>44285</v>
      </c>
      <c r="F2326" s="14">
        <v>44290</v>
      </c>
      <c r="G2326" s="13" t="s">
        <v>3</v>
      </c>
      <c r="H2326" s="13" t="s">
        <v>4</v>
      </c>
      <c r="I2326" s="15">
        <v>-3661.31</v>
      </c>
      <c r="J2326" s="13" t="s">
        <v>5</v>
      </c>
      <c r="K2326" s="13" t="s">
        <v>6</v>
      </c>
      <c r="L2326" s="15">
        <v>-307366.96999999997</v>
      </c>
      <c r="M2326" s="15">
        <v>-3661.31</v>
      </c>
      <c r="N2326" s="16" t="str">
        <f>IF(M2326="","",IF(M2326&lt;0,-M2326&amp;"_"&amp;COUNTIF(M$2:M2326,M2326),M2326&amp;"_"&amp;COUNTIF(M$2:M2326,M2326)))</f>
        <v>3661.31_1</v>
      </c>
      <c r="O2326" s="17" t="str">
        <f t="shared" si="36"/>
        <v/>
      </c>
      <c r="P2326" s="13" t="s">
        <v>3076</v>
      </c>
      <c r="Q2326" s="13" t="s">
        <v>3074</v>
      </c>
      <c r="R2326" s="13" t="s">
        <v>0</v>
      </c>
      <c r="S2326" s="13" t="s">
        <v>0</v>
      </c>
      <c r="T2326" s="13" t="s">
        <v>9</v>
      </c>
      <c r="U2326" s="13" t="s">
        <v>0</v>
      </c>
      <c r="V2326" s="13" t="s">
        <v>0</v>
      </c>
      <c r="W2326" s="13" t="s">
        <v>0</v>
      </c>
      <c r="X2326" s="13" t="s">
        <v>0</v>
      </c>
      <c r="Y2326" s="13" t="s">
        <v>10</v>
      </c>
      <c r="Z2326" s="13" t="s">
        <v>0</v>
      </c>
      <c r="AA2326" s="14"/>
      <c r="AB2326" s="13" t="s">
        <v>0</v>
      </c>
      <c r="AC2326" s="13" t="s">
        <v>0</v>
      </c>
      <c r="AD2326" s="13" t="s">
        <v>0</v>
      </c>
      <c r="AE2326" s="15">
        <v>0</v>
      </c>
    </row>
    <row r="2327" spans="1:31" ht="14.15" customHeight="1" x14ac:dyDescent="0.25">
      <c r="A2327" s="12" t="s">
        <v>0</v>
      </c>
      <c r="B2327" s="13" t="s">
        <v>1</v>
      </c>
      <c r="C2327" s="13" t="s">
        <v>3950</v>
      </c>
      <c r="D2327" s="14">
        <v>44355</v>
      </c>
      <c r="E2327" s="14">
        <v>44355</v>
      </c>
      <c r="F2327" s="14">
        <v>44364</v>
      </c>
      <c r="G2327" s="13" t="s">
        <v>3</v>
      </c>
      <c r="H2327" s="13" t="s">
        <v>4</v>
      </c>
      <c r="I2327" s="15">
        <v>-3641.43</v>
      </c>
      <c r="J2327" s="13" t="s">
        <v>5</v>
      </c>
      <c r="K2327" s="13" t="s">
        <v>6</v>
      </c>
      <c r="L2327" s="15">
        <v>-305698.05</v>
      </c>
      <c r="M2327" s="15">
        <v>-3641.43</v>
      </c>
      <c r="N2327" s="16" t="str">
        <f>IF(M2327="","",IF(M2327&lt;0,-M2327&amp;"_"&amp;COUNTIF(M$2:M2327,M2327),M2327&amp;"_"&amp;COUNTIF(M$2:M2327,M2327)))</f>
        <v>3641.43_1</v>
      </c>
      <c r="O2327" s="17" t="str">
        <f t="shared" si="36"/>
        <v/>
      </c>
      <c r="P2327" s="13" t="s">
        <v>3951</v>
      </c>
      <c r="Q2327" s="13" t="s">
        <v>3946</v>
      </c>
      <c r="R2327" s="13" t="s">
        <v>0</v>
      </c>
      <c r="S2327" s="13" t="s">
        <v>0</v>
      </c>
      <c r="T2327" s="13" t="s">
        <v>9</v>
      </c>
      <c r="U2327" s="13" t="s">
        <v>0</v>
      </c>
      <c r="V2327" s="13" t="s">
        <v>0</v>
      </c>
      <c r="W2327" s="13" t="s">
        <v>0</v>
      </c>
      <c r="X2327" s="13" t="s">
        <v>0</v>
      </c>
      <c r="Y2327" s="13" t="s">
        <v>10</v>
      </c>
      <c r="Z2327" s="13" t="s">
        <v>0</v>
      </c>
      <c r="AA2327" s="14"/>
      <c r="AB2327" s="13" t="s">
        <v>0</v>
      </c>
      <c r="AC2327" s="13" t="s">
        <v>0</v>
      </c>
      <c r="AD2327" s="13" t="s">
        <v>0</v>
      </c>
      <c r="AE2327" s="15">
        <v>0</v>
      </c>
    </row>
    <row r="2328" spans="1:31" ht="14.15" customHeight="1" x14ac:dyDescent="0.25">
      <c r="A2328" s="12" t="s">
        <v>0</v>
      </c>
      <c r="B2328" s="13" t="s">
        <v>1</v>
      </c>
      <c r="C2328" s="13" t="s">
        <v>209</v>
      </c>
      <c r="D2328" s="14">
        <v>44036</v>
      </c>
      <c r="E2328" s="14">
        <v>44036</v>
      </c>
      <c r="F2328" s="14">
        <v>44041</v>
      </c>
      <c r="G2328" s="13" t="s">
        <v>3</v>
      </c>
      <c r="H2328" s="13" t="s">
        <v>4</v>
      </c>
      <c r="I2328" s="15">
        <v>-3634.3</v>
      </c>
      <c r="J2328" s="13" t="s">
        <v>5</v>
      </c>
      <c r="K2328" s="13" t="s">
        <v>6</v>
      </c>
      <c r="L2328" s="15">
        <v>-305099.49</v>
      </c>
      <c r="M2328" s="15">
        <v>-3634.3</v>
      </c>
      <c r="N2328" s="16" t="str">
        <f>IF(M2328="","",IF(M2328&lt;0,-M2328&amp;"_"&amp;COUNTIF(M$2:M2328,M2328),M2328&amp;"_"&amp;COUNTIF(M$2:M2328,M2328)))</f>
        <v>3634.3_1</v>
      </c>
      <c r="O2328" s="17" t="str">
        <f t="shared" si="36"/>
        <v/>
      </c>
      <c r="P2328" s="13" t="s">
        <v>210</v>
      </c>
      <c r="Q2328" s="13" t="s">
        <v>206</v>
      </c>
      <c r="R2328" s="13" t="s">
        <v>0</v>
      </c>
      <c r="S2328" s="13" t="s">
        <v>0</v>
      </c>
      <c r="T2328" s="13" t="s">
        <v>9</v>
      </c>
      <c r="U2328" s="13" t="s">
        <v>0</v>
      </c>
      <c r="V2328" s="13" t="s">
        <v>0</v>
      </c>
      <c r="W2328" s="13" t="s">
        <v>0</v>
      </c>
      <c r="X2328" s="13" t="s">
        <v>0</v>
      </c>
      <c r="Y2328" s="13" t="s">
        <v>10</v>
      </c>
      <c r="Z2328" s="13" t="s">
        <v>0</v>
      </c>
      <c r="AA2328" s="14"/>
      <c r="AB2328" s="13" t="s">
        <v>0</v>
      </c>
      <c r="AC2328" s="13" t="s">
        <v>0</v>
      </c>
      <c r="AD2328" s="13" t="s">
        <v>0</v>
      </c>
      <c r="AE2328" s="15">
        <v>0</v>
      </c>
    </row>
    <row r="2329" spans="1:31" ht="14.15" customHeight="1" x14ac:dyDescent="0.25">
      <c r="A2329" s="12" t="s">
        <v>0</v>
      </c>
      <c r="B2329" s="13" t="s">
        <v>1</v>
      </c>
      <c r="C2329" s="13" t="s">
        <v>2343</v>
      </c>
      <c r="D2329" s="14">
        <v>44224</v>
      </c>
      <c r="E2329" s="14">
        <v>44224</v>
      </c>
      <c r="F2329" s="14">
        <v>44228</v>
      </c>
      <c r="G2329" s="13" t="s">
        <v>3</v>
      </c>
      <c r="H2329" s="13" t="s">
        <v>4</v>
      </c>
      <c r="I2329" s="15">
        <v>-3630.73</v>
      </c>
      <c r="J2329" s="13" t="s">
        <v>5</v>
      </c>
      <c r="K2329" s="13" t="s">
        <v>6</v>
      </c>
      <c r="L2329" s="15">
        <v>-304799.78000000003</v>
      </c>
      <c r="M2329" s="15">
        <v>-3630.73</v>
      </c>
      <c r="N2329" s="16" t="str">
        <f>IF(M2329="","",IF(M2329&lt;0,-M2329&amp;"_"&amp;COUNTIF(M$2:M2329,M2329),M2329&amp;"_"&amp;COUNTIF(M$2:M2329,M2329)))</f>
        <v>3630.73_1</v>
      </c>
      <c r="O2329" s="17" t="str">
        <f t="shared" si="36"/>
        <v/>
      </c>
      <c r="P2329" s="13" t="s">
        <v>2344</v>
      </c>
      <c r="Q2329" s="13" t="s">
        <v>2345</v>
      </c>
      <c r="R2329" s="13" t="s">
        <v>0</v>
      </c>
      <c r="S2329" s="13" t="s">
        <v>0</v>
      </c>
      <c r="T2329" s="13" t="s">
        <v>9</v>
      </c>
      <c r="U2329" s="13" t="s">
        <v>0</v>
      </c>
      <c r="V2329" s="13" t="s">
        <v>0</v>
      </c>
      <c r="W2329" s="13" t="s">
        <v>0</v>
      </c>
      <c r="X2329" s="13" t="s">
        <v>0</v>
      </c>
      <c r="Y2329" s="13" t="s">
        <v>10</v>
      </c>
      <c r="Z2329" s="13" t="s">
        <v>0</v>
      </c>
      <c r="AA2329" s="14"/>
      <c r="AB2329" s="13" t="s">
        <v>0</v>
      </c>
      <c r="AC2329" s="13" t="s">
        <v>0</v>
      </c>
      <c r="AD2329" s="13" t="s">
        <v>0</v>
      </c>
      <c r="AE2329" s="15">
        <v>0</v>
      </c>
    </row>
    <row r="2330" spans="1:31" ht="14.15" customHeight="1" x14ac:dyDescent="0.25">
      <c r="A2330" s="12" t="s">
        <v>0</v>
      </c>
      <c r="B2330" s="13" t="s">
        <v>1</v>
      </c>
      <c r="C2330" s="13" t="s">
        <v>1969</v>
      </c>
      <c r="D2330" s="14">
        <v>44195</v>
      </c>
      <c r="E2330" s="14">
        <v>44195</v>
      </c>
      <c r="F2330" s="14">
        <v>44202</v>
      </c>
      <c r="G2330" s="13" t="s">
        <v>3</v>
      </c>
      <c r="H2330" s="13" t="s">
        <v>4</v>
      </c>
      <c r="I2330" s="15">
        <v>-3622.15</v>
      </c>
      <c r="J2330" s="13" t="s">
        <v>5</v>
      </c>
      <c r="K2330" s="13" t="s">
        <v>6</v>
      </c>
      <c r="L2330" s="15">
        <v>-304079.49</v>
      </c>
      <c r="M2330" s="15">
        <v>-3622.15</v>
      </c>
      <c r="N2330" s="16" t="str">
        <f>IF(M2330="","",IF(M2330&lt;0,-M2330&amp;"_"&amp;COUNTIF(M$2:M2330,M2330),M2330&amp;"_"&amp;COUNTIF(M$2:M2330,M2330)))</f>
        <v>3622.15_1</v>
      </c>
      <c r="O2330" s="17" t="str">
        <f t="shared" si="36"/>
        <v/>
      </c>
      <c r="P2330" s="13" t="s">
        <v>1970</v>
      </c>
      <c r="Q2330" s="13" t="s">
        <v>1956</v>
      </c>
      <c r="R2330" s="13" t="s">
        <v>0</v>
      </c>
      <c r="S2330" s="13" t="s">
        <v>0</v>
      </c>
      <c r="T2330" s="13" t="s">
        <v>9</v>
      </c>
      <c r="U2330" s="13" t="s">
        <v>0</v>
      </c>
      <c r="V2330" s="13" t="s">
        <v>0</v>
      </c>
      <c r="W2330" s="13" t="s">
        <v>0</v>
      </c>
      <c r="X2330" s="13" t="s">
        <v>0</v>
      </c>
      <c r="Y2330" s="13" t="s">
        <v>10</v>
      </c>
      <c r="Z2330" s="13" t="s">
        <v>0</v>
      </c>
      <c r="AA2330" s="14"/>
      <c r="AB2330" s="13" t="s">
        <v>0</v>
      </c>
      <c r="AC2330" s="13" t="s">
        <v>0</v>
      </c>
      <c r="AD2330" s="13" t="s">
        <v>0</v>
      </c>
      <c r="AE2330" s="15">
        <v>0</v>
      </c>
    </row>
    <row r="2331" spans="1:31" ht="14.15" customHeight="1" x14ac:dyDescent="0.25">
      <c r="A2331" s="12" t="s">
        <v>0</v>
      </c>
      <c r="B2331" s="13" t="s">
        <v>1</v>
      </c>
      <c r="C2331" s="13" t="s">
        <v>2315</v>
      </c>
      <c r="D2331" s="14">
        <v>44220</v>
      </c>
      <c r="E2331" s="14">
        <v>44220</v>
      </c>
      <c r="F2331" s="14">
        <v>44224</v>
      </c>
      <c r="G2331" s="13" t="s">
        <v>3</v>
      </c>
      <c r="H2331" s="13" t="s">
        <v>4</v>
      </c>
      <c r="I2331" s="15">
        <v>-3615.51</v>
      </c>
      <c r="J2331" s="13" t="s">
        <v>5</v>
      </c>
      <c r="K2331" s="13" t="s">
        <v>6</v>
      </c>
      <c r="L2331" s="15">
        <v>-303522.06</v>
      </c>
      <c r="M2331" s="15">
        <v>-3615.51</v>
      </c>
      <c r="N2331" s="16" t="str">
        <f>IF(M2331="","",IF(M2331&lt;0,-M2331&amp;"_"&amp;COUNTIF(M$2:M2331,M2331),M2331&amp;"_"&amp;COUNTIF(M$2:M2331,M2331)))</f>
        <v>3615.51_1</v>
      </c>
      <c r="O2331" s="17" t="str">
        <f t="shared" si="36"/>
        <v/>
      </c>
      <c r="P2331" s="13" t="s">
        <v>2316</v>
      </c>
      <c r="Q2331" s="13" t="s">
        <v>2317</v>
      </c>
      <c r="R2331" s="13" t="s">
        <v>0</v>
      </c>
      <c r="S2331" s="13" t="s">
        <v>0</v>
      </c>
      <c r="T2331" s="13" t="s">
        <v>9</v>
      </c>
      <c r="U2331" s="13" t="s">
        <v>0</v>
      </c>
      <c r="V2331" s="13" t="s">
        <v>0</v>
      </c>
      <c r="W2331" s="13" t="s">
        <v>0</v>
      </c>
      <c r="X2331" s="13" t="s">
        <v>0</v>
      </c>
      <c r="Y2331" s="13" t="s">
        <v>10</v>
      </c>
      <c r="Z2331" s="13" t="s">
        <v>0</v>
      </c>
      <c r="AA2331" s="14"/>
      <c r="AB2331" s="13" t="s">
        <v>0</v>
      </c>
      <c r="AC2331" s="13" t="s">
        <v>0</v>
      </c>
      <c r="AD2331" s="13" t="s">
        <v>0</v>
      </c>
      <c r="AE2331" s="15">
        <v>0</v>
      </c>
    </row>
    <row r="2332" spans="1:31" ht="14.15" customHeight="1" x14ac:dyDescent="0.25">
      <c r="A2332" s="12" t="s">
        <v>0</v>
      </c>
      <c r="B2332" s="13" t="s">
        <v>1</v>
      </c>
      <c r="C2332" s="13" t="s">
        <v>3012</v>
      </c>
      <c r="D2332" s="14">
        <v>44281</v>
      </c>
      <c r="E2332" s="14">
        <v>44281</v>
      </c>
      <c r="F2332" s="14">
        <v>44287</v>
      </c>
      <c r="G2332" s="13" t="s">
        <v>3</v>
      </c>
      <c r="H2332" s="13" t="s">
        <v>4</v>
      </c>
      <c r="I2332" s="15">
        <v>-3613.9</v>
      </c>
      <c r="J2332" s="13" t="s">
        <v>5</v>
      </c>
      <c r="K2332" s="13" t="s">
        <v>6</v>
      </c>
      <c r="L2332" s="15">
        <v>-303386.90999999997</v>
      </c>
      <c r="M2332" s="15">
        <v>-3613.9</v>
      </c>
      <c r="N2332" s="16" t="str">
        <f>IF(M2332="","",IF(M2332&lt;0,-M2332&amp;"_"&amp;COUNTIF(M$2:M2332,M2332),M2332&amp;"_"&amp;COUNTIF(M$2:M2332,M2332)))</f>
        <v>3613.9_1</v>
      </c>
      <c r="O2332" s="17" t="str">
        <f t="shared" si="36"/>
        <v/>
      </c>
      <c r="P2332" s="13" t="s">
        <v>3013</v>
      </c>
      <c r="Q2332" s="13" t="s">
        <v>3014</v>
      </c>
      <c r="R2332" s="13" t="s">
        <v>0</v>
      </c>
      <c r="S2332" s="13" t="s">
        <v>0</v>
      </c>
      <c r="T2332" s="13" t="s">
        <v>9</v>
      </c>
      <c r="U2332" s="13" t="s">
        <v>0</v>
      </c>
      <c r="V2332" s="13" t="s">
        <v>0</v>
      </c>
      <c r="W2332" s="13" t="s">
        <v>0</v>
      </c>
      <c r="X2332" s="13" t="s">
        <v>0</v>
      </c>
      <c r="Y2332" s="13" t="s">
        <v>10</v>
      </c>
      <c r="Z2332" s="13" t="s">
        <v>0</v>
      </c>
      <c r="AA2332" s="14"/>
      <c r="AB2332" s="13" t="s">
        <v>0</v>
      </c>
      <c r="AC2332" s="13" t="s">
        <v>0</v>
      </c>
      <c r="AD2332" s="13" t="s">
        <v>0</v>
      </c>
      <c r="AE2332" s="15">
        <v>0</v>
      </c>
    </row>
    <row r="2333" spans="1:31" ht="14.15" customHeight="1" x14ac:dyDescent="0.25">
      <c r="A2333" s="12" t="s">
        <v>0</v>
      </c>
      <c r="B2333" s="13" t="s">
        <v>1</v>
      </c>
      <c r="C2333" s="13" t="s">
        <v>1447</v>
      </c>
      <c r="D2333" s="14">
        <v>44158</v>
      </c>
      <c r="E2333" s="14">
        <v>44158</v>
      </c>
      <c r="F2333" s="14">
        <v>44163</v>
      </c>
      <c r="G2333" s="13" t="s">
        <v>3</v>
      </c>
      <c r="H2333" s="13" t="s">
        <v>4</v>
      </c>
      <c r="I2333" s="15">
        <v>-3612.63</v>
      </c>
      <c r="J2333" s="13" t="s">
        <v>5</v>
      </c>
      <c r="K2333" s="13" t="s">
        <v>6</v>
      </c>
      <c r="L2333" s="15">
        <v>-303280.28999999998</v>
      </c>
      <c r="M2333" s="15">
        <v>-3612.63</v>
      </c>
      <c r="N2333" s="16" t="str">
        <f>IF(M2333="","",IF(M2333&lt;0,-M2333&amp;"_"&amp;COUNTIF(M$2:M2333,M2333),M2333&amp;"_"&amp;COUNTIF(M$2:M2333,M2333)))</f>
        <v>3612.63_1</v>
      </c>
      <c r="O2333" s="17" t="str">
        <f t="shared" si="36"/>
        <v/>
      </c>
      <c r="P2333" s="13" t="s">
        <v>1448</v>
      </c>
      <c r="Q2333" s="13" t="s">
        <v>1444</v>
      </c>
      <c r="R2333" s="13" t="s">
        <v>0</v>
      </c>
      <c r="S2333" s="13" t="s">
        <v>0</v>
      </c>
      <c r="T2333" s="13" t="s">
        <v>9</v>
      </c>
      <c r="U2333" s="13" t="s">
        <v>0</v>
      </c>
      <c r="V2333" s="13" t="s">
        <v>0</v>
      </c>
      <c r="W2333" s="13" t="s">
        <v>0</v>
      </c>
      <c r="X2333" s="13" t="s">
        <v>0</v>
      </c>
      <c r="Y2333" s="13" t="s">
        <v>10</v>
      </c>
      <c r="Z2333" s="13" t="s">
        <v>0</v>
      </c>
      <c r="AA2333" s="14"/>
      <c r="AB2333" s="13" t="s">
        <v>0</v>
      </c>
      <c r="AC2333" s="13" t="s">
        <v>0</v>
      </c>
      <c r="AD2333" s="13" t="s">
        <v>0</v>
      </c>
      <c r="AE2333" s="15">
        <v>0</v>
      </c>
    </row>
    <row r="2334" spans="1:31" ht="14.15" customHeight="1" x14ac:dyDescent="0.25">
      <c r="A2334" s="12" t="s">
        <v>0</v>
      </c>
      <c r="B2334" s="13" t="s">
        <v>1</v>
      </c>
      <c r="C2334" s="13" t="s">
        <v>2385</v>
      </c>
      <c r="D2334" s="14">
        <v>44227</v>
      </c>
      <c r="E2334" s="14">
        <v>44227</v>
      </c>
      <c r="F2334" s="14">
        <v>44231</v>
      </c>
      <c r="G2334" s="13" t="s">
        <v>3</v>
      </c>
      <c r="H2334" s="13" t="s">
        <v>4</v>
      </c>
      <c r="I2334" s="15">
        <v>-3612.53</v>
      </c>
      <c r="J2334" s="13" t="s">
        <v>5</v>
      </c>
      <c r="K2334" s="13" t="s">
        <v>6</v>
      </c>
      <c r="L2334" s="15">
        <v>-303271.89</v>
      </c>
      <c r="M2334" s="15">
        <v>-3612.53</v>
      </c>
      <c r="N2334" s="16" t="str">
        <f>IF(M2334="","",IF(M2334&lt;0,-M2334&amp;"_"&amp;COUNTIF(M$2:M2334,M2334),M2334&amp;"_"&amp;COUNTIF(M$2:M2334,M2334)))</f>
        <v>3612.53_1</v>
      </c>
      <c r="O2334" s="17" t="str">
        <f t="shared" si="36"/>
        <v/>
      </c>
      <c r="P2334" s="13" t="s">
        <v>2386</v>
      </c>
      <c r="Q2334" s="13" t="s">
        <v>2378</v>
      </c>
      <c r="R2334" s="13" t="s">
        <v>0</v>
      </c>
      <c r="S2334" s="13" t="s">
        <v>0</v>
      </c>
      <c r="T2334" s="13" t="s">
        <v>9</v>
      </c>
      <c r="U2334" s="13" t="s">
        <v>0</v>
      </c>
      <c r="V2334" s="13" t="s">
        <v>0</v>
      </c>
      <c r="W2334" s="13" t="s">
        <v>0</v>
      </c>
      <c r="X2334" s="13" t="s">
        <v>0</v>
      </c>
      <c r="Y2334" s="13" t="s">
        <v>10</v>
      </c>
      <c r="Z2334" s="13" t="s">
        <v>0</v>
      </c>
      <c r="AA2334" s="14"/>
      <c r="AB2334" s="13" t="s">
        <v>0</v>
      </c>
      <c r="AC2334" s="13" t="s">
        <v>0</v>
      </c>
      <c r="AD2334" s="13" t="s">
        <v>0</v>
      </c>
      <c r="AE2334" s="15">
        <v>0</v>
      </c>
    </row>
    <row r="2335" spans="1:31" ht="14.15" customHeight="1" x14ac:dyDescent="0.25">
      <c r="A2335" s="12" t="s">
        <v>0</v>
      </c>
      <c r="B2335" s="13" t="s">
        <v>1</v>
      </c>
      <c r="C2335" s="13" t="s">
        <v>517</v>
      </c>
      <c r="D2335" s="14">
        <v>44070</v>
      </c>
      <c r="E2335" s="14">
        <v>44070</v>
      </c>
      <c r="F2335" s="14">
        <v>44084</v>
      </c>
      <c r="G2335" s="13" t="s">
        <v>3</v>
      </c>
      <c r="H2335" s="13" t="s">
        <v>4</v>
      </c>
      <c r="I2335" s="15">
        <v>-3600.14</v>
      </c>
      <c r="J2335" s="13" t="s">
        <v>5</v>
      </c>
      <c r="K2335" s="13" t="s">
        <v>6</v>
      </c>
      <c r="L2335" s="15">
        <v>-302231.75</v>
      </c>
      <c r="M2335" s="15">
        <v>-3600.14</v>
      </c>
      <c r="N2335" s="16" t="str">
        <f>IF(M2335="","",IF(M2335&lt;0,-M2335&amp;"_"&amp;COUNTIF(M$2:M2335,M2335),M2335&amp;"_"&amp;COUNTIF(M$2:M2335,M2335)))</f>
        <v>3600.14_1</v>
      </c>
      <c r="O2335" s="17" t="str">
        <f t="shared" si="36"/>
        <v/>
      </c>
      <c r="P2335" s="13" t="s">
        <v>518</v>
      </c>
      <c r="Q2335" s="13" t="s">
        <v>519</v>
      </c>
      <c r="R2335" s="13" t="s">
        <v>0</v>
      </c>
      <c r="S2335" s="13" t="s">
        <v>0</v>
      </c>
      <c r="T2335" s="13" t="s">
        <v>9</v>
      </c>
      <c r="U2335" s="13" t="s">
        <v>0</v>
      </c>
      <c r="V2335" s="13" t="s">
        <v>0</v>
      </c>
      <c r="W2335" s="13" t="s">
        <v>0</v>
      </c>
      <c r="X2335" s="13" t="s">
        <v>0</v>
      </c>
      <c r="Y2335" s="13" t="s">
        <v>10</v>
      </c>
      <c r="Z2335" s="13" t="s">
        <v>0</v>
      </c>
      <c r="AA2335" s="14"/>
      <c r="AB2335" s="13" t="s">
        <v>0</v>
      </c>
      <c r="AC2335" s="13" t="s">
        <v>0</v>
      </c>
      <c r="AD2335" s="13" t="s">
        <v>0</v>
      </c>
      <c r="AE2335" s="15">
        <v>0</v>
      </c>
    </row>
    <row r="2336" spans="1:31" ht="14.15" customHeight="1" x14ac:dyDescent="0.25">
      <c r="A2336" s="12" t="s">
        <v>0</v>
      </c>
      <c r="B2336" s="13" t="s">
        <v>1</v>
      </c>
      <c r="C2336" s="13" t="s">
        <v>2635</v>
      </c>
      <c r="D2336" s="14">
        <v>44248</v>
      </c>
      <c r="E2336" s="14">
        <v>44248</v>
      </c>
      <c r="F2336" s="14">
        <v>44255</v>
      </c>
      <c r="G2336" s="13" t="s">
        <v>3</v>
      </c>
      <c r="H2336" s="13" t="s">
        <v>4</v>
      </c>
      <c r="I2336" s="15">
        <v>-3593.56</v>
      </c>
      <c r="J2336" s="13" t="s">
        <v>5</v>
      </c>
      <c r="K2336" s="13" t="s">
        <v>6</v>
      </c>
      <c r="L2336" s="15">
        <v>-301679.35999999999</v>
      </c>
      <c r="M2336" s="15">
        <v>-3593.56</v>
      </c>
      <c r="N2336" s="16" t="str">
        <f>IF(M2336="","",IF(M2336&lt;0,-M2336&amp;"_"&amp;COUNTIF(M$2:M2336,M2336),M2336&amp;"_"&amp;COUNTIF(M$2:M2336,M2336)))</f>
        <v>3593.56_1</v>
      </c>
      <c r="O2336" s="17" t="str">
        <f t="shared" si="36"/>
        <v/>
      </c>
      <c r="P2336" s="13" t="s">
        <v>2636</v>
      </c>
      <c r="Q2336" s="13" t="s">
        <v>2637</v>
      </c>
      <c r="R2336" s="13" t="s">
        <v>0</v>
      </c>
      <c r="S2336" s="13" t="s">
        <v>0</v>
      </c>
      <c r="T2336" s="13" t="s">
        <v>9</v>
      </c>
      <c r="U2336" s="13" t="s">
        <v>0</v>
      </c>
      <c r="V2336" s="13" t="s">
        <v>0</v>
      </c>
      <c r="W2336" s="13" t="s">
        <v>0</v>
      </c>
      <c r="X2336" s="13" t="s">
        <v>0</v>
      </c>
      <c r="Y2336" s="13" t="s">
        <v>10</v>
      </c>
      <c r="Z2336" s="13" t="s">
        <v>0</v>
      </c>
      <c r="AA2336" s="14"/>
      <c r="AB2336" s="13" t="s">
        <v>0</v>
      </c>
      <c r="AC2336" s="13" t="s">
        <v>0</v>
      </c>
      <c r="AD2336" s="13" t="s">
        <v>0</v>
      </c>
      <c r="AE2336" s="15">
        <v>0</v>
      </c>
    </row>
    <row r="2337" spans="1:31" ht="14.15" customHeight="1" x14ac:dyDescent="0.25">
      <c r="A2337" s="12" t="s">
        <v>0</v>
      </c>
      <c r="B2337" s="13" t="s">
        <v>1</v>
      </c>
      <c r="C2337" s="13" t="s">
        <v>1305</v>
      </c>
      <c r="D2337" s="14">
        <v>44146</v>
      </c>
      <c r="E2337" s="14">
        <v>44146</v>
      </c>
      <c r="F2337" s="14">
        <v>44166</v>
      </c>
      <c r="G2337" s="13" t="s">
        <v>3</v>
      </c>
      <c r="H2337" s="13" t="s">
        <v>4</v>
      </c>
      <c r="I2337" s="15">
        <v>-3587.24</v>
      </c>
      <c r="J2337" s="13" t="s">
        <v>5</v>
      </c>
      <c r="K2337" s="13" t="s">
        <v>6</v>
      </c>
      <c r="L2337" s="15">
        <v>-301148.79999999999</v>
      </c>
      <c r="M2337" s="15">
        <v>-3587.24</v>
      </c>
      <c r="N2337" s="16" t="str">
        <f>IF(M2337="","",IF(M2337&lt;0,-M2337&amp;"_"&amp;COUNTIF(M$2:M2337,M2337),M2337&amp;"_"&amp;COUNTIF(M$2:M2337,M2337)))</f>
        <v>3587.24_1</v>
      </c>
      <c r="O2337" s="17" t="str">
        <f t="shared" si="36"/>
        <v/>
      </c>
      <c r="P2337" s="13" t="s">
        <v>1306</v>
      </c>
      <c r="Q2337" s="13" t="s">
        <v>1282</v>
      </c>
      <c r="R2337" s="13" t="s">
        <v>0</v>
      </c>
      <c r="S2337" s="13" t="s">
        <v>0</v>
      </c>
      <c r="T2337" s="13" t="s">
        <v>9</v>
      </c>
      <c r="U2337" s="13" t="s">
        <v>0</v>
      </c>
      <c r="V2337" s="13" t="s">
        <v>0</v>
      </c>
      <c r="W2337" s="13" t="s">
        <v>0</v>
      </c>
      <c r="X2337" s="13" t="s">
        <v>0</v>
      </c>
      <c r="Y2337" s="13" t="s">
        <v>10</v>
      </c>
      <c r="Z2337" s="13" t="s">
        <v>0</v>
      </c>
      <c r="AA2337" s="14"/>
      <c r="AB2337" s="13" t="s">
        <v>0</v>
      </c>
      <c r="AC2337" s="13" t="s">
        <v>0</v>
      </c>
      <c r="AD2337" s="13" t="s">
        <v>0</v>
      </c>
      <c r="AE2337" s="15">
        <v>0</v>
      </c>
    </row>
    <row r="2338" spans="1:31" ht="14.15" customHeight="1" x14ac:dyDescent="0.25">
      <c r="A2338" s="12" t="s">
        <v>0</v>
      </c>
      <c r="B2338" s="13" t="s">
        <v>1</v>
      </c>
      <c r="C2338" s="13" t="s">
        <v>729</v>
      </c>
      <c r="D2338" s="14">
        <v>44095</v>
      </c>
      <c r="E2338" s="14">
        <v>44095</v>
      </c>
      <c r="F2338" s="14">
        <v>44098</v>
      </c>
      <c r="G2338" s="13" t="s">
        <v>3</v>
      </c>
      <c r="H2338" s="13" t="s">
        <v>4</v>
      </c>
      <c r="I2338" s="15">
        <v>-3587.14</v>
      </c>
      <c r="J2338" s="13" t="s">
        <v>5</v>
      </c>
      <c r="K2338" s="13" t="s">
        <v>6</v>
      </c>
      <c r="L2338" s="15">
        <v>-301140.40000000002</v>
      </c>
      <c r="M2338" s="15">
        <v>-3587.14</v>
      </c>
      <c r="N2338" s="16" t="str">
        <f>IF(M2338="","",IF(M2338&lt;0,-M2338&amp;"_"&amp;COUNTIF(M$2:M2338,M2338),M2338&amp;"_"&amp;COUNTIF(M$2:M2338,M2338)))</f>
        <v>3587.14_1</v>
      </c>
      <c r="O2338" s="17" t="str">
        <f t="shared" si="36"/>
        <v/>
      </c>
      <c r="P2338" s="13" t="s">
        <v>730</v>
      </c>
      <c r="Q2338" s="13" t="s">
        <v>726</v>
      </c>
      <c r="R2338" s="13" t="s">
        <v>0</v>
      </c>
      <c r="S2338" s="13" t="s">
        <v>0</v>
      </c>
      <c r="T2338" s="13" t="s">
        <v>9</v>
      </c>
      <c r="U2338" s="13" t="s">
        <v>0</v>
      </c>
      <c r="V2338" s="13" t="s">
        <v>0</v>
      </c>
      <c r="W2338" s="13" t="s">
        <v>0</v>
      </c>
      <c r="X2338" s="13" t="s">
        <v>0</v>
      </c>
      <c r="Y2338" s="13" t="s">
        <v>10</v>
      </c>
      <c r="Z2338" s="13" t="s">
        <v>0</v>
      </c>
      <c r="AA2338" s="14"/>
      <c r="AB2338" s="13" t="s">
        <v>0</v>
      </c>
      <c r="AC2338" s="13" t="s">
        <v>0</v>
      </c>
      <c r="AD2338" s="13" t="s">
        <v>0</v>
      </c>
      <c r="AE2338" s="15">
        <v>0</v>
      </c>
    </row>
    <row r="2339" spans="1:31" ht="14.15" customHeight="1" x14ac:dyDescent="0.25">
      <c r="A2339" s="12" t="s">
        <v>0</v>
      </c>
      <c r="B2339" s="13" t="s">
        <v>1</v>
      </c>
      <c r="C2339" s="13" t="s">
        <v>65</v>
      </c>
      <c r="D2339" s="14">
        <v>44018</v>
      </c>
      <c r="E2339" s="14">
        <v>44018</v>
      </c>
      <c r="F2339" s="14">
        <v>44025</v>
      </c>
      <c r="G2339" s="13" t="s">
        <v>3</v>
      </c>
      <c r="H2339" s="13" t="s">
        <v>4</v>
      </c>
      <c r="I2339" s="15">
        <v>-3579.54</v>
      </c>
      <c r="J2339" s="13" t="s">
        <v>5</v>
      </c>
      <c r="K2339" s="13" t="s">
        <v>6</v>
      </c>
      <c r="L2339" s="15">
        <v>-300502.38</v>
      </c>
      <c r="M2339" s="15">
        <v>-3579.54</v>
      </c>
      <c r="N2339" s="16" t="str">
        <f>IF(M2339="","",IF(M2339&lt;0,-M2339&amp;"_"&amp;COUNTIF(M$2:M2339,M2339),M2339&amp;"_"&amp;COUNTIF(M$2:M2339,M2339)))</f>
        <v>3579.54_1</v>
      </c>
      <c r="O2339" s="17" t="str">
        <f t="shared" si="36"/>
        <v/>
      </c>
      <c r="P2339" s="13" t="s">
        <v>66</v>
      </c>
      <c r="Q2339" s="13" t="s">
        <v>62</v>
      </c>
      <c r="R2339" s="13" t="s">
        <v>0</v>
      </c>
      <c r="S2339" s="13" t="s">
        <v>0</v>
      </c>
      <c r="T2339" s="13" t="s">
        <v>9</v>
      </c>
      <c r="U2339" s="13" t="s">
        <v>0</v>
      </c>
      <c r="V2339" s="13" t="s">
        <v>0</v>
      </c>
      <c r="W2339" s="13" t="s">
        <v>0</v>
      </c>
      <c r="X2339" s="13" t="s">
        <v>0</v>
      </c>
      <c r="Y2339" s="13" t="s">
        <v>10</v>
      </c>
      <c r="Z2339" s="13" t="s">
        <v>0</v>
      </c>
      <c r="AA2339" s="14"/>
      <c r="AB2339" s="13" t="s">
        <v>0</v>
      </c>
      <c r="AC2339" s="13" t="s">
        <v>0</v>
      </c>
      <c r="AD2339" s="13" t="s">
        <v>0</v>
      </c>
      <c r="AE2339" s="15">
        <v>0</v>
      </c>
    </row>
    <row r="2340" spans="1:31" ht="14.15" customHeight="1" x14ac:dyDescent="0.25">
      <c r="A2340" s="12" t="s">
        <v>0</v>
      </c>
      <c r="B2340" s="13" t="s">
        <v>1</v>
      </c>
      <c r="C2340" s="13" t="s">
        <v>1453</v>
      </c>
      <c r="D2340" s="14">
        <v>44159</v>
      </c>
      <c r="E2340" s="14">
        <v>44159</v>
      </c>
      <c r="F2340" s="14">
        <v>44163</v>
      </c>
      <c r="G2340" s="13" t="s">
        <v>3</v>
      </c>
      <c r="H2340" s="13" t="s">
        <v>4</v>
      </c>
      <c r="I2340" s="15">
        <v>-3577.93</v>
      </c>
      <c r="J2340" s="13" t="s">
        <v>5</v>
      </c>
      <c r="K2340" s="13" t="s">
        <v>6</v>
      </c>
      <c r="L2340" s="15">
        <v>-300367.21999999997</v>
      </c>
      <c r="M2340" s="15">
        <v>-3577.93</v>
      </c>
      <c r="N2340" s="16" t="str">
        <f>IF(M2340="","",IF(M2340&lt;0,-M2340&amp;"_"&amp;COUNTIF(M$2:M2340,M2340),M2340&amp;"_"&amp;COUNTIF(M$2:M2340,M2340)))</f>
        <v>3577.93_1</v>
      </c>
      <c r="O2340" s="17" t="str">
        <f t="shared" si="36"/>
        <v/>
      </c>
      <c r="P2340" s="13" t="s">
        <v>1454</v>
      </c>
      <c r="Q2340" s="13" t="s">
        <v>1455</v>
      </c>
      <c r="R2340" s="13" t="s">
        <v>0</v>
      </c>
      <c r="S2340" s="13" t="s">
        <v>0</v>
      </c>
      <c r="T2340" s="13" t="s">
        <v>9</v>
      </c>
      <c r="U2340" s="13" t="s">
        <v>0</v>
      </c>
      <c r="V2340" s="13" t="s">
        <v>0</v>
      </c>
      <c r="W2340" s="13" t="s">
        <v>0</v>
      </c>
      <c r="X2340" s="13" t="s">
        <v>0</v>
      </c>
      <c r="Y2340" s="13" t="s">
        <v>10</v>
      </c>
      <c r="Z2340" s="13" t="s">
        <v>0</v>
      </c>
      <c r="AA2340" s="14"/>
      <c r="AB2340" s="13" t="s">
        <v>0</v>
      </c>
      <c r="AC2340" s="13" t="s">
        <v>0</v>
      </c>
      <c r="AD2340" s="13" t="s">
        <v>0</v>
      </c>
      <c r="AE2340" s="15">
        <v>0</v>
      </c>
    </row>
    <row r="2341" spans="1:31" ht="14.15" customHeight="1" x14ac:dyDescent="0.25">
      <c r="A2341" s="12" t="s">
        <v>0</v>
      </c>
      <c r="B2341" s="13" t="s">
        <v>1</v>
      </c>
      <c r="C2341" s="13" t="s">
        <v>396</v>
      </c>
      <c r="D2341" s="14">
        <v>44061</v>
      </c>
      <c r="E2341" s="14">
        <v>44061</v>
      </c>
      <c r="F2341" s="14">
        <v>44068</v>
      </c>
      <c r="G2341" s="13" t="s">
        <v>3</v>
      </c>
      <c r="H2341" s="13" t="s">
        <v>4</v>
      </c>
      <c r="I2341" s="15">
        <v>-3568.06</v>
      </c>
      <c r="J2341" s="13" t="s">
        <v>5</v>
      </c>
      <c r="K2341" s="13" t="s">
        <v>6</v>
      </c>
      <c r="L2341" s="15">
        <v>-299538.64</v>
      </c>
      <c r="M2341" s="15">
        <v>-3568.06</v>
      </c>
      <c r="N2341" s="16" t="str">
        <f>IF(M2341="","",IF(M2341&lt;0,-M2341&amp;"_"&amp;COUNTIF(M$2:M2341,M2341),M2341&amp;"_"&amp;COUNTIF(M$2:M2341,M2341)))</f>
        <v>3568.06_1</v>
      </c>
      <c r="O2341" s="17" t="str">
        <f t="shared" si="36"/>
        <v/>
      </c>
      <c r="P2341" s="13" t="s">
        <v>397</v>
      </c>
      <c r="Q2341" s="13" t="s">
        <v>398</v>
      </c>
      <c r="R2341" s="13" t="s">
        <v>0</v>
      </c>
      <c r="S2341" s="13" t="s">
        <v>0</v>
      </c>
      <c r="T2341" s="13" t="s">
        <v>9</v>
      </c>
      <c r="U2341" s="13" t="s">
        <v>0</v>
      </c>
      <c r="V2341" s="13" t="s">
        <v>0</v>
      </c>
      <c r="W2341" s="13" t="s">
        <v>0</v>
      </c>
      <c r="X2341" s="13" t="s">
        <v>0</v>
      </c>
      <c r="Y2341" s="13" t="s">
        <v>10</v>
      </c>
      <c r="Z2341" s="13" t="s">
        <v>0</v>
      </c>
      <c r="AA2341" s="14"/>
      <c r="AB2341" s="13" t="s">
        <v>0</v>
      </c>
      <c r="AC2341" s="13" t="s">
        <v>0</v>
      </c>
      <c r="AD2341" s="13" t="s">
        <v>0</v>
      </c>
      <c r="AE2341" s="15">
        <v>0</v>
      </c>
    </row>
    <row r="2342" spans="1:31" ht="14.15" customHeight="1" x14ac:dyDescent="0.25">
      <c r="A2342" s="12" t="s">
        <v>0</v>
      </c>
      <c r="B2342" s="13" t="s">
        <v>1</v>
      </c>
      <c r="C2342" s="13" t="s">
        <v>3501</v>
      </c>
      <c r="D2342" s="14">
        <v>44323</v>
      </c>
      <c r="E2342" s="14">
        <v>44323</v>
      </c>
      <c r="F2342" s="14">
        <v>44326</v>
      </c>
      <c r="G2342" s="13" t="s">
        <v>3</v>
      </c>
      <c r="H2342" s="13" t="s">
        <v>4</v>
      </c>
      <c r="I2342" s="15">
        <v>-3566.82</v>
      </c>
      <c r="J2342" s="13" t="s">
        <v>5</v>
      </c>
      <c r="K2342" s="13" t="s">
        <v>6</v>
      </c>
      <c r="L2342" s="15">
        <v>-299434.55</v>
      </c>
      <c r="M2342" s="15">
        <v>-3566.82</v>
      </c>
      <c r="N2342" s="16" t="str">
        <f>IF(M2342="","",IF(M2342&lt;0,-M2342&amp;"_"&amp;COUNTIF(M$2:M2342,M2342),M2342&amp;"_"&amp;COUNTIF(M$2:M2342,M2342)))</f>
        <v>3566.82_1</v>
      </c>
      <c r="O2342" s="17" t="str">
        <f t="shared" si="36"/>
        <v/>
      </c>
      <c r="P2342" s="13" t="s">
        <v>3502</v>
      </c>
      <c r="Q2342" s="13" t="s">
        <v>3503</v>
      </c>
      <c r="R2342" s="13" t="s">
        <v>0</v>
      </c>
      <c r="S2342" s="13" t="s">
        <v>0</v>
      </c>
      <c r="T2342" s="13" t="s">
        <v>9</v>
      </c>
      <c r="U2342" s="13" t="s">
        <v>0</v>
      </c>
      <c r="V2342" s="13" t="s">
        <v>0</v>
      </c>
      <c r="W2342" s="13" t="s">
        <v>0</v>
      </c>
      <c r="X2342" s="13" t="s">
        <v>0</v>
      </c>
      <c r="Y2342" s="13" t="s">
        <v>10</v>
      </c>
      <c r="Z2342" s="13" t="s">
        <v>0</v>
      </c>
      <c r="AA2342" s="14"/>
      <c r="AB2342" s="13" t="s">
        <v>0</v>
      </c>
      <c r="AC2342" s="13" t="s">
        <v>0</v>
      </c>
      <c r="AD2342" s="13" t="s">
        <v>0</v>
      </c>
      <c r="AE2342" s="15">
        <v>0</v>
      </c>
    </row>
    <row r="2343" spans="1:31" ht="14.15" customHeight="1" x14ac:dyDescent="0.25">
      <c r="A2343" s="12" t="s">
        <v>0</v>
      </c>
      <c r="B2343" s="13" t="s">
        <v>1</v>
      </c>
      <c r="C2343" s="13" t="s">
        <v>3285</v>
      </c>
      <c r="D2343" s="14">
        <v>44314</v>
      </c>
      <c r="E2343" s="14">
        <v>44314</v>
      </c>
      <c r="F2343" s="14">
        <v>44319</v>
      </c>
      <c r="G2343" s="13" t="s">
        <v>3</v>
      </c>
      <c r="H2343" s="13" t="s">
        <v>4</v>
      </c>
      <c r="I2343" s="15">
        <v>-3552.95</v>
      </c>
      <c r="J2343" s="13" t="s">
        <v>5</v>
      </c>
      <c r="K2343" s="13" t="s">
        <v>6</v>
      </c>
      <c r="L2343" s="15">
        <v>-298270.14</v>
      </c>
      <c r="M2343" s="15">
        <v>-3552.95</v>
      </c>
      <c r="N2343" s="16" t="str">
        <f>IF(M2343="","",IF(M2343&lt;0,-M2343&amp;"_"&amp;COUNTIF(M$2:M2343,M2343),M2343&amp;"_"&amp;COUNTIF(M$2:M2343,M2343)))</f>
        <v>3552.95_1</v>
      </c>
      <c r="O2343" s="17" t="str">
        <f t="shared" si="36"/>
        <v/>
      </c>
      <c r="P2343" s="13" t="s">
        <v>3286</v>
      </c>
      <c r="Q2343" s="13" t="s">
        <v>3284</v>
      </c>
      <c r="R2343" s="13" t="s">
        <v>0</v>
      </c>
      <c r="S2343" s="13" t="s">
        <v>0</v>
      </c>
      <c r="T2343" s="13" t="s">
        <v>9</v>
      </c>
      <c r="U2343" s="13" t="s">
        <v>0</v>
      </c>
      <c r="V2343" s="13" t="s">
        <v>0</v>
      </c>
      <c r="W2343" s="13" t="s">
        <v>0</v>
      </c>
      <c r="X2343" s="13" t="s">
        <v>0</v>
      </c>
      <c r="Y2343" s="13" t="s">
        <v>10</v>
      </c>
      <c r="Z2343" s="13" t="s">
        <v>0</v>
      </c>
      <c r="AA2343" s="14"/>
      <c r="AB2343" s="13" t="s">
        <v>0</v>
      </c>
      <c r="AC2343" s="13" t="s">
        <v>0</v>
      </c>
      <c r="AD2343" s="13" t="s">
        <v>0</v>
      </c>
      <c r="AE2343" s="15">
        <v>0</v>
      </c>
    </row>
    <row r="2344" spans="1:31" ht="14.15" customHeight="1" x14ac:dyDescent="0.25">
      <c r="A2344" s="12" t="s">
        <v>0</v>
      </c>
      <c r="B2344" s="13" t="s">
        <v>1</v>
      </c>
      <c r="C2344" s="13" t="s">
        <v>1924</v>
      </c>
      <c r="D2344" s="14">
        <v>44191</v>
      </c>
      <c r="E2344" s="14">
        <v>44191</v>
      </c>
      <c r="F2344" s="14">
        <v>44194</v>
      </c>
      <c r="G2344" s="13" t="s">
        <v>3</v>
      </c>
      <c r="H2344" s="13" t="s">
        <v>4</v>
      </c>
      <c r="I2344" s="15">
        <v>-3549.41</v>
      </c>
      <c r="J2344" s="13" t="s">
        <v>5</v>
      </c>
      <c r="K2344" s="13" t="s">
        <v>6</v>
      </c>
      <c r="L2344" s="15">
        <v>-297972.96999999997</v>
      </c>
      <c r="M2344" s="15">
        <v>-3549.41</v>
      </c>
      <c r="N2344" s="16" t="str">
        <f>IF(M2344="","",IF(M2344&lt;0,-M2344&amp;"_"&amp;COUNTIF(M$2:M2344,M2344),M2344&amp;"_"&amp;COUNTIF(M$2:M2344,M2344)))</f>
        <v>3549.41_1</v>
      </c>
      <c r="O2344" s="17" t="str">
        <f t="shared" si="36"/>
        <v/>
      </c>
      <c r="P2344" s="13" t="s">
        <v>1925</v>
      </c>
      <c r="Q2344" s="13" t="s">
        <v>1908</v>
      </c>
      <c r="R2344" s="13" t="s">
        <v>0</v>
      </c>
      <c r="S2344" s="13" t="s">
        <v>0</v>
      </c>
      <c r="T2344" s="13" t="s">
        <v>9</v>
      </c>
      <c r="U2344" s="13" t="s">
        <v>0</v>
      </c>
      <c r="V2344" s="13" t="s">
        <v>0</v>
      </c>
      <c r="W2344" s="13" t="s">
        <v>0</v>
      </c>
      <c r="X2344" s="13" t="s">
        <v>0</v>
      </c>
      <c r="Y2344" s="13" t="s">
        <v>10</v>
      </c>
      <c r="Z2344" s="13" t="s">
        <v>0</v>
      </c>
      <c r="AA2344" s="14"/>
      <c r="AB2344" s="13" t="s">
        <v>0</v>
      </c>
      <c r="AC2344" s="13" t="s">
        <v>0</v>
      </c>
      <c r="AD2344" s="13" t="s">
        <v>0</v>
      </c>
      <c r="AE2344" s="15">
        <v>0</v>
      </c>
    </row>
    <row r="2345" spans="1:31" ht="14.15" customHeight="1" x14ac:dyDescent="0.25">
      <c r="A2345" s="12" t="s">
        <v>0</v>
      </c>
      <c r="B2345" s="13" t="s">
        <v>1</v>
      </c>
      <c r="C2345" s="13" t="s">
        <v>1721</v>
      </c>
      <c r="D2345" s="14">
        <v>44176</v>
      </c>
      <c r="E2345" s="14">
        <v>44176</v>
      </c>
      <c r="F2345" s="14">
        <v>44188</v>
      </c>
      <c r="G2345" s="13" t="s">
        <v>3</v>
      </c>
      <c r="H2345" s="13" t="s">
        <v>4</v>
      </c>
      <c r="I2345" s="15">
        <v>-3548.75</v>
      </c>
      <c r="J2345" s="13" t="s">
        <v>5</v>
      </c>
      <c r="K2345" s="13" t="s">
        <v>6</v>
      </c>
      <c r="L2345" s="15">
        <v>-297917.56</v>
      </c>
      <c r="M2345" s="15">
        <v>-3548.75</v>
      </c>
      <c r="N2345" s="16" t="str">
        <f>IF(M2345="","",IF(M2345&lt;0,-M2345&amp;"_"&amp;COUNTIF(M$2:M2345,M2345),M2345&amp;"_"&amp;COUNTIF(M$2:M2345,M2345)))</f>
        <v>3548.75_1</v>
      </c>
      <c r="O2345" s="17" t="str">
        <f t="shared" si="36"/>
        <v/>
      </c>
      <c r="P2345" s="13" t="s">
        <v>1722</v>
      </c>
      <c r="Q2345" s="13" t="s">
        <v>1718</v>
      </c>
      <c r="R2345" s="13" t="s">
        <v>0</v>
      </c>
      <c r="S2345" s="13" t="s">
        <v>0</v>
      </c>
      <c r="T2345" s="13" t="s">
        <v>9</v>
      </c>
      <c r="U2345" s="13" t="s">
        <v>0</v>
      </c>
      <c r="V2345" s="13" t="s">
        <v>0</v>
      </c>
      <c r="W2345" s="13" t="s">
        <v>0</v>
      </c>
      <c r="X2345" s="13" t="s">
        <v>0</v>
      </c>
      <c r="Y2345" s="13" t="s">
        <v>10</v>
      </c>
      <c r="Z2345" s="13" t="s">
        <v>0</v>
      </c>
      <c r="AA2345" s="14"/>
      <c r="AB2345" s="13" t="s">
        <v>0</v>
      </c>
      <c r="AC2345" s="13" t="s">
        <v>0</v>
      </c>
      <c r="AD2345" s="13" t="s">
        <v>0</v>
      </c>
      <c r="AE2345" s="15">
        <v>0</v>
      </c>
    </row>
    <row r="2346" spans="1:31" ht="14.15" customHeight="1" x14ac:dyDescent="0.25">
      <c r="A2346" s="12" t="s">
        <v>0</v>
      </c>
      <c r="B2346" s="13" t="s">
        <v>1</v>
      </c>
      <c r="C2346" s="13" t="s">
        <v>1738</v>
      </c>
      <c r="D2346" s="14">
        <v>44178</v>
      </c>
      <c r="E2346" s="14">
        <v>44178</v>
      </c>
      <c r="F2346" s="14">
        <v>44180</v>
      </c>
      <c r="G2346" s="13" t="s">
        <v>3</v>
      </c>
      <c r="H2346" s="13" t="s">
        <v>4</v>
      </c>
      <c r="I2346" s="15">
        <v>-3544.14</v>
      </c>
      <c r="J2346" s="13" t="s">
        <v>5</v>
      </c>
      <c r="K2346" s="13" t="s">
        <v>6</v>
      </c>
      <c r="L2346" s="15">
        <v>-297530.55</v>
      </c>
      <c r="M2346" s="15">
        <v>-3544.14</v>
      </c>
      <c r="N2346" s="16" t="str">
        <f>IF(M2346="","",IF(M2346&lt;0,-M2346&amp;"_"&amp;COUNTIF(M$2:M2346,M2346),M2346&amp;"_"&amp;COUNTIF(M$2:M2346,M2346)))</f>
        <v>3544.14_1</v>
      </c>
      <c r="O2346" s="17" t="str">
        <f t="shared" si="36"/>
        <v/>
      </c>
      <c r="P2346" s="13" t="s">
        <v>1714</v>
      </c>
      <c r="Q2346" s="13" t="s">
        <v>1739</v>
      </c>
      <c r="R2346" s="13" t="s">
        <v>0</v>
      </c>
      <c r="S2346" s="13" t="s">
        <v>0</v>
      </c>
      <c r="T2346" s="13" t="s">
        <v>9</v>
      </c>
      <c r="U2346" s="13" t="s">
        <v>0</v>
      </c>
      <c r="V2346" s="13" t="s">
        <v>0</v>
      </c>
      <c r="W2346" s="13" t="s">
        <v>0</v>
      </c>
      <c r="X2346" s="13" t="s">
        <v>0</v>
      </c>
      <c r="Y2346" s="13" t="s">
        <v>10</v>
      </c>
      <c r="Z2346" s="13" t="s">
        <v>0</v>
      </c>
      <c r="AA2346" s="14"/>
      <c r="AB2346" s="13" t="s">
        <v>0</v>
      </c>
      <c r="AC2346" s="13" t="s">
        <v>0</v>
      </c>
      <c r="AD2346" s="13" t="s">
        <v>0</v>
      </c>
      <c r="AE2346" s="15">
        <v>0</v>
      </c>
    </row>
    <row r="2347" spans="1:31" ht="14.15" customHeight="1" x14ac:dyDescent="0.25">
      <c r="A2347" s="12" t="s">
        <v>0</v>
      </c>
      <c r="B2347" s="13" t="s">
        <v>1</v>
      </c>
      <c r="C2347" s="13" t="s">
        <v>3661</v>
      </c>
      <c r="D2347" s="14">
        <v>44334</v>
      </c>
      <c r="E2347" s="14">
        <v>44334</v>
      </c>
      <c r="F2347" s="14">
        <v>44340</v>
      </c>
      <c r="G2347" s="13" t="s">
        <v>3</v>
      </c>
      <c r="H2347" s="13" t="s">
        <v>4</v>
      </c>
      <c r="I2347" s="15">
        <v>-3539.31</v>
      </c>
      <c r="J2347" s="13" t="s">
        <v>5</v>
      </c>
      <c r="K2347" s="13" t="s">
        <v>6</v>
      </c>
      <c r="L2347" s="15">
        <v>-297125.07</v>
      </c>
      <c r="M2347" s="15">
        <v>-3539.31</v>
      </c>
      <c r="N2347" s="16" t="str">
        <f>IF(M2347="","",IF(M2347&lt;0,-M2347&amp;"_"&amp;COUNTIF(M$2:M2347,M2347),M2347&amp;"_"&amp;COUNTIF(M$2:M2347,M2347)))</f>
        <v>3539.31_1</v>
      </c>
      <c r="O2347" s="17" t="str">
        <f t="shared" si="36"/>
        <v/>
      </c>
      <c r="P2347" s="13" t="s">
        <v>3662</v>
      </c>
      <c r="Q2347" s="13" t="s">
        <v>3660</v>
      </c>
      <c r="R2347" s="13" t="s">
        <v>0</v>
      </c>
      <c r="S2347" s="13" t="s">
        <v>0</v>
      </c>
      <c r="T2347" s="13" t="s">
        <v>9</v>
      </c>
      <c r="U2347" s="13" t="s">
        <v>0</v>
      </c>
      <c r="V2347" s="13" t="s">
        <v>0</v>
      </c>
      <c r="W2347" s="13" t="s">
        <v>0</v>
      </c>
      <c r="X2347" s="13" t="s">
        <v>0</v>
      </c>
      <c r="Y2347" s="13" t="s">
        <v>10</v>
      </c>
      <c r="Z2347" s="13" t="s">
        <v>0</v>
      </c>
      <c r="AA2347" s="14"/>
      <c r="AB2347" s="13" t="s">
        <v>0</v>
      </c>
      <c r="AC2347" s="13" t="s">
        <v>0</v>
      </c>
      <c r="AD2347" s="13" t="s">
        <v>0</v>
      </c>
      <c r="AE2347" s="15">
        <v>0</v>
      </c>
    </row>
    <row r="2348" spans="1:31" ht="14.15" customHeight="1" x14ac:dyDescent="0.25">
      <c r="A2348" s="12" t="s">
        <v>0</v>
      </c>
      <c r="B2348" s="13" t="s">
        <v>1</v>
      </c>
      <c r="C2348" s="13" t="s">
        <v>4039</v>
      </c>
      <c r="D2348" s="14">
        <v>44358</v>
      </c>
      <c r="E2348" s="14">
        <v>44358</v>
      </c>
      <c r="F2348" s="14">
        <v>44364</v>
      </c>
      <c r="G2348" s="13" t="s">
        <v>3</v>
      </c>
      <c r="H2348" s="13" t="s">
        <v>4</v>
      </c>
      <c r="I2348" s="15">
        <v>-3536.81</v>
      </c>
      <c r="J2348" s="13" t="s">
        <v>5</v>
      </c>
      <c r="K2348" s="13" t="s">
        <v>6</v>
      </c>
      <c r="L2348" s="15">
        <v>-296915.20000000001</v>
      </c>
      <c r="M2348" s="15">
        <v>-3536.81</v>
      </c>
      <c r="N2348" s="16" t="str">
        <f>IF(M2348="","",IF(M2348&lt;0,-M2348&amp;"_"&amp;COUNTIF(M$2:M2348,M2348),M2348&amp;"_"&amp;COUNTIF(M$2:M2348,M2348)))</f>
        <v>3536.81_1</v>
      </c>
      <c r="O2348" s="17" t="str">
        <f t="shared" si="36"/>
        <v/>
      </c>
      <c r="P2348" s="13" t="s">
        <v>4040</v>
      </c>
      <c r="Q2348" s="13" t="s">
        <v>4006</v>
      </c>
      <c r="R2348" s="13" t="s">
        <v>0</v>
      </c>
      <c r="S2348" s="13" t="s">
        <v>0</v>
      </c>
      <c r="T2348" s="13" t="s">
        <v>9</v>
      </c>
      <c r="U2348" s="13" t="s">
        <v>0</v>
      </c>
      <c r="V2348" s="13" t="s">
        <v>0</v>
      </c>
      <c r="W2348" s="13" t="s">
        <v>0</v>
      </c>
      <c r="X2348" s="13" t="s">
        <v>0</v>
      </c>
      <c r="Y2348" s="13" t="s">
        <v>10</v>
      </c>
      <c r="Z2348" s="13" t="s">
        <v>0</v>
      </c>
      <c r="AA2348" s="14"/>
      <c r="AB2348" s="13" t="s">
        <v>0</v>
      </c>
      <c r="AC2348" s="13" t="s">
        <v>0</v>
      </c>
      <c r="AD2348" s="13" t="s">
        <v>0</v>
      </c>
      <c r="AE2348" s="15">
        <v>0</v>
      </c>
    </row>
    <row r="2349" spans="1:31" ht="14.15" customHeight="1" x14ac:dyDescent="0.25">
      <c r="A2349" s="12" t="s">
        <v>0</v>
      </c>
      <c r="B2349" s="13" t="s">
        <v>1</v>
      </c>
      <c r="C2349" s="13" t="s">
        <v>1196</v>
      </c>
      <c r="D2349" s="14">
        <v>44140</v>
      </c>
      <c r="E2349" s="14">
        <v>44140</v>
      </c>
      <c r="F2349" s="14">
        <v>44146</v>
      </c>
      <c r="G2349" s="13" t="s">
        <v>3</v>
      </c>
      <c r="H2349" s="13" t="s">
        <v>4</v>
      </c>
      <c r="I2349" s="15">
        <v>-3535.01</v>
      </c>
      <c r="J2349" s="13" t="s">
        <v>5</v>
      </c>
      <c r="K2349" s="13" t="s">
        <v>6</v>
      </c>
      <c r="L2349" s="15">
        <v>-296764.09000000003</v>
      </c>
      <c r="M2349" s="15">
        <v>-3535.01</v>
      </c>
      <c r="N2349" s="16" t="str">
        <f>IF(M2349="","",IF(M2349&lt;0,-M2349&amp;"_"&amp;COUNTIF(M$2:M2349,M2349),M2349&amp;"_"&amp;COUNTIF(M$2:M2349,M2349)))</f>
        <v>3535.01_1</v>
      </c>
      <c r="O2349" s="17" t="str">
        <f t="shared" si="36"/>
        <v/>
      </c>
      <c r="P2349" s="13" t="s">
        <v>1197</v>
      </c>
      <c r="Q2349" s="13" t="s">
        <v>1165</v>
      </c>
      <c r="R2349" s="13" t="s">
        <v>0</v>
      </c>
      <c r="S2349" s="13" t="s">
        <v>0</v>
      </c>
      <c r="T2349" s="13" t="s">
        <v>9</v>
      </c>
      <c r="U2349" s="13" t="s">
        <v>0</v>
      </c>
      <c r="V2349" s="13" t="s">
        <v>0</v>
      </c>
      <c r="W2349" s="13" t="s">
        <v>0</v>
      </c>
      <c r="X2349" s="13" t="s">
        <v>0</v>
      </c>
      <c r="Y2349" s="13" t="s">
        <v>10</v>
      </c>
      <c r="Z2349" s="13" t="s">
        <v>0</v>
      </c>
      <c r="AA2349" s="14"/>
      <c r="AB2349" s="13" t="s">
        <v>0</v>
      </c>
      <c r="AC2349" s="13" t="s">
        <v>0</v>
      </c>
      <c r="AD2349" s="13" t="s">
        <v>0</v>
      </c>
      <c r="AE2349" s="15">
        <v>0</v>
      </c>
    </row>
    <row r="2350" spans="1:31" ht="14.15" customHeight="1" x14ac:dyDescent="0.25">
      <c r="A2350" s="12" t="s">
        <v>0</v>
      </c>
      <c r="B2350" s="13" t="s">
        <v>1</v>
      </c>
      <c r="C2350" s="13" t="s">
        <v>2204</v>
      </c>
      <c r="D2350" s="14">
        <v>44212</v>
      </c>
      <c r="E2350" s="14">
        <v>44212</v>
      </c>
      <c r="F2350" s="14">
        <v>44220</v>
      </c>
      <c r="G2350" s="13" t="s">
        <v>3</v>
      </c>
      <c r="H2350" s="13" t="s">
        <v>4</v>
      </c>
      <c r="I2350" s="15">
        <v>-3534.87</v>
      </c>
      <c r="J2350" s="13" t="s">
        <v>5</v>
      </c>
      <c r="K2350" s="13" t="s">
        <v>6</v>
      </c>
      <c r="L2350" s="15">
        <v>-296752.34000000003</v>
      </c>
      <c r="M2350" s="15">
        <v>-3534.87</v>
      </c>
      <c r="N2350" s="16" t="str">
        <f>IF(M2350="","",IF(M2350&lt;0,-M2350&amp;"_"&amp;COUNTIF(M$2:M2350,M2350),M2350&amp;"_"&amp;COUNTIF(M$2:M2350,M2350)))</f>
        <v>3534.87_1</v>
      </c>
      <c r="O2350" s="17" t="str">
        <f t="shared" si="36"/>
        <v/>
      </c>
      <c r="P2350" s="13" t="s">
        <v>2205</v>
      </c>
      <c r="Q2350" s="13" t="s">
        <v>2206</v>
      </c>
      <c r="R2350" s="13" t="s">
        <v>0</v>
      </c>
      <c r="S2350" s="13" t="s">
        <v>0</v>
      </c>
      <c r="T2350" s="13" t="s">
        <v>9</v>
      </c>
      <c r="U2350" s="13" t="s">
        <v>0</v>
      </c>
      <c r="V2350" s="13" t="s">
        <v>0</v>
      </c>
      <c r="W2350" s="13" t="s">
        <v>0</v>
      </c>
      <c r="X2350" s="13" t="s">
        <v>0</v>
      </c>
      <c r="Y2350" s="13" t="s">
        <v>10</v>
      </c>
      <c r="Z2350" s="13" t="s">
        <v>0</v>
      </c>
      <c r="AA2350" s="14"/>
      <c r="AB2350" s="13" t="s">
        <v>0</v>
      </c>
      <c r="AC2350" s="13" t="s">
        <v>0</v>
      </c>
      <c r="AD2350" s="13" t="s">
        <v>0</v>
      </c>
      <c r="AE2350" s="15">
        <v>0</v>
      </c>
    </row>
    <row r="2351" spans="1:31" ht="14.15" customHeight="1" x14ac:dyDescent="0.25">
      <c r="A2351" s="12" t="s">
        <v>0</v>
      </c>
      <c r="B2351" s="13" t="s">
        <v>1</v>
      </c>
      <c r="C2351" s="13" t="s">
        <v>810</v>
      </c>
      <c r="D2351" s="14">
        <v>44104</v>
      </c>
      <c r="E2351" s="14">
        <v>44104</v>
      </c>
      <c r="F2351" s="14">
        <v>44108</v>
      </c>
      <c r="G2351" s="13" t="s">
        <v>3</v>
      </c>
      <c r="H2351" s="13" t="s">
        <v>4</v>
      </c>
      <c r="I2351" s="15">
        <v>-3531.82</v>
      </c>
      <c r="J2351" s="13" t="s">
        <v>5</v>
      </c>
      <c r="K2351" s="13" t="s">
        <v>6</v>
      </c>
      <c r="L2351" s="15">
        <v>-296496.28999999998</v>
      </c>
      <c r="M2351" s="15">
        <v>-3531.82</v>
      </c>
      <c r="N2351" s="16" t="str">
        <f>IF(M2351="","",IF(M2351&lt;0,-M2351&amp;"_"&amp;COUNTIF(M$2:M2351,M2351),M2351&amp;"_"&amp;COUNTIF(M$2:M2351,M2351)))</f>
        <v>3531.82_1</v>
      </c>
      <c r="O2351" s="17" t="str">
        <f t="shared" si="36"/>
        <v/>
      </c>
      <c r="P2351" s="13" t="s">
        <v>811</v>
      </c>
      <c r="Q2351" s="13" t="s">
        <v>812</v>
      </c>
      <c r="R2351" s="13" t="s">
        <v>0</v>
      </c>
      <c r="S2351" s="13" t="s">
        <v>0</v>
      </c>
      <c r="T2351" s="13" t="s">
        <v>9</v>
      </c>
      <c r="U2351" s="13" t="s">
        <v>0</v>
      </c>
      <c r="V2351" s="13" t="s">
        <v>0</v>
      </c>
      <c r="W2351" s="13" t="s">
        <v>0</v>
      </c>
      <c r="X2351" s="13" t="s">
        <v>0</v>
      </c>
      <c r="Y2351" s="13" t="s">
        <v>10</v>
      </c>
      <c r="Z2351" s="13" t="s">
        <v>0</v>
      </c>
      <c r="AA2351" s="14"/>
      <c r="AB2351" s="13" t="s">
        <v>0</v>
      </c>
      <c r="AC2351" s="13" t="s">
        <v>0</v>
      </c>
      <c r="AD2351" s="13" t="s">
        <v>0</v>
      </c>
      <c r="AE2351" s="15">
        <v>0</v>
      </c>
    </row>
    <row r="2352" spans="1:31" ht="14.15" customHeight="1" x14ac:dyDescent="0.25">
      <c r="A2352" s="12" t="s">
        <v>0</v>
      </c>
      <c r="B2352" s="13" t="s">
        <v>1</v>
      </c>
      <c r="C2352" s="13" t="s">
        <v>71</v>
      </c>
      <c r="D2352" s="14">
        <v>44020</v>
      </c>
      <c r="E2352" s="14">
        <v>44020</v>
      </c>
      <c r="F2352" s="14">
        <v>44025</v>
      </c>
      <c r="G2352" s="13" t="s">
        <v>3</v>
      </c>
      <c r="H2352" s="13" t="s">
        <v>4</v>
      </c>
      <c r="I2352" s="15">
        <v>-3506.88</v>
      </c>
      <c r="J2352" s="13" t="s">
        <v>5</v>
      </c>
      <c r="K2352" s="13" t="s">
        <v>6</v>
      </c>
      <c r="L2352" s="15">
        <v>-294402.58</v>
      </c>
      <c r="M2352" s="15">
        <v>-3506.88</v>
      </c>
      <c r="N2352" s="16" t="str">
        <f>IF(M2352="","",IF(M2352&lt;0,-M2352&amp;"_"&amp;COUNTIF(M$2:M2352,M2352),M2352&amp;"_"&amp;COUNTIF(M$2:M2352,M2352)))</f>
        <v>3506.88_1</v>
      </c>
      <c r="O2352" s="17" t="str">
        <f t="shared" si="36"/>
        <v/>
      </c>
      <c r="P2352" s="13" t="s">
        <v>72</v>
      </c>
      <c r="Q2352" s="13" t="s">
        <v>70</v>
      </c>
      <c r="R2352" s="13" t="s">
        <v>0</v>
      </c>
      <c r="S2352" s="13" t="s">
        <v>0</v>
      </c>
      <c r="T2352" s="13" t="s">
        <v>9</v>
      </c>
      <c r="U2352" s="13" t="s">
        <v>0</v>
      </c>
      <c r="V2352" s="13" t="s">
        <v>0</v>
      </c>
      <c r="W2352" s="13" t="s">
        <v>0</v>
      </c>
      <c r="X2352" s="13" t="s">
        <v>0</v>
      </c>
      <c r="Y2352" s="13" t="s">
        <v>10</v>
      </c>
      <c r="Z2352" s="13" t="s">
        <v>0</v>
      </c>
      <c r="AA2352" s="14"/>
      <c r="AB2352" s="13" t="s">
        <v>0</v>
      </c>
      <c r="AC2352" s="13" t="s">
        <v>0</v>
      </c>
      <c r="AD2352" s="13" t="s">
        <v>0</v>
      </c>
      <c r="AE2352" s="15">
        <v>0</v>
      </c>
    </row>
    <row r="2353" spans="1:31" ht="14.15" customHeight="1" x14ac:dyDescent="0.25">
      <c r="A2353" s="12" t="s">
        <v>0</v>
      </c>
      <c r="B2353" s="13" t="s">
        <v>1</v>
      </c>
      <c r="C2353" s="13" t="s">
        <v>1155</v>
      </c>
      <c r="D2353" s="14">
        <v>44140</v>
      </c>
      <c r="E2353" s="14">
        <v>44140</v>
      </c>
      <c r="F2353" s="14">
        <v>44163</v>
      </c>
      <c r="G2353" s="13" t="s">
        <v>48</v>
      </c>
      <c r="H2353" s="13" t="s">
        <v>4</v>
      </c>
      <c r="I2353" s="15">
        <v>-3503.99</v>
      </c>
      <c r="J2353" s="13" t="s">
        <v>5</v>
      </c>
      <c r="K2353" s="13" t="s">
        <v>6</v>
      </c>
      <c r="L2353" s="15">
        <v>-294159.96000000002</v>
      </c>
      <c r="M2353" s="15">
        <v>-3503.99</v>
      </c>
      <c r="N2353" s="16" t="str">
        <f>IF(M2353="","",IF(M2353&lt;0,-M2353&amp;"_"&amp;COUNTIF(M$2:M2353,M2353),M2353&amp;"_"&amp;COUNTIF(M$2:M2353,M2353)))</f>
        <v>3503.99_1</v>
      </c>
      <c r="O2353" s="17" t="str">
        <f t="shared" si="36"/>
        <v/>
      </c>
      <c r="P2353" s="13" t="s">
        <v>1156</v>
      </c>
      <c r="Q2353" s="13" t="s">
        <v>1156</v>
      </c>
      <c r="R2353" s="13" t="s">
        <v>50</v>
      </c>
      <c r="S2353" s="13" t="s">
        <v>0</v>
      </c>
      <c r="T2353" s="13" t="s">
        <v>9</v>
      </c>
      <c r="U2353" s="13" t="s">
        <v>50</v>
      </c>
      <c r="V2353" s="13" t="s">
        <v>0</v>
      </c>
      <c r="W2353" s="13" t="s">
        <v>0</v>
      </c>
      <c r="X2353" s="13" t="s">
        <v>0</v>
      </c>
      <c r="Y2353" s="13" t="s">
        <v>10</v>
      </c>
      <c r="Z2353" s="13" t="s">
        <v>0</v>
      </c>
      <c r="AA2353" s="14"/>
      <c r="AB2353" s="13" t="s">
        <v>0</v>
      </c>
      <c r="AC2353" s="13" t="s">
        <v>0</v>
      </c>
      <c r="AD2353" s="13" t="s">
        <v>0</v>
      </c>
      <c r="AE2353" s="15">
        <v>0</v>
      </c>
    </row>
    <row r="2354" spans="1:31" ht="14.15" customHeight="1" x14ac:dyDescent="0.25">
      <c r="A2354" s="12" t="s">
        <v>0</v>
      </c>
      <c r="B2354" s="13" t="s">
        <v>1</v>
      </c>
      <c r="C2354" s="13" t="s">
        <v>1819</v>
      </c>
      <c r="D2354" s="14">
        <v>44183</v>
      </c>
      <c r="E2354" s="14">
        <v>44183</v>
      </c>
      <c r="F2354" s="14">
        <v>44188</v>
      </c>
      <c r="G2354" s="13" t="s">
        <v>3</v>
      </c>
      <c r="H2354" s="13" t="s">
        <v>4</v>
      </c>
      <c r="I2354" s="15">
        <v>-3502.96</v>
      </c>
      <c r="J2354" s="13" t="s">
        <v>5</v>
      </c>
      <c r="K2354" s="13" t="s">
        <v>6</v>
      </c>
      <c r="L2354" s="15">
        <v>-294073.49</v>
      </c>
      <c r="M2354" s="15">
        <v>-3502.96</v>
      </c>
      <c r="N2354" s="16" t="str">
        <f>IF(M2354="","",IF(M2354&lt;0,-M2354&amp;"_"&amp;COUNTIF(M$2:M2354,M2354),M2354&amp;"_"&amp;COUNTIF(M$2:M2354,M2354)))</f>
        <v>3502.96_1</v>
      </c>
      <c r="O2354" s="17" t="str">
        <f t="shared" si="36"/>
        <v/>
      </c>
      <c r="P2354" s="13" t="s">
        <v>1820</v>
      </c>
      <c r="Q2354" s="13" t="s">
        <v>1792</v>
      </c>
      <c r="R2354" s="13" t="s">
        <v>0</v>
      </c>
      <c r="S2354" s="13" t="s">
        <v>0</v>
      </c>
      <c r="T2354" s="13" t="s">
        <v>9</v>
      </c>
      <c r="U2354" s="13" t="s">
        <v>0</v>
      </c>
      <c r="V2354" s="13" t="s">
        <v>0</v>
      </c>
      <c r="W2354" s="13" t="s">
        <v>0</v>
      </c>
      <c r="X2354" s="13" t="s">
        <v>0</v>
      </c>
      <c r="Y2354" s="13" t="s">
        <v>10</v>
      </c>
      <c r="Z2354" s="13" t="s">
        <v>0</v>
      </c>
      <c r="AA2354" s="14"/>
      <c r="AB2354" s="13" t="s">
        <v>0</v>
      </c>
      <c r="AC2354" s="13" t="s">
        <v>0</v>
      </c>
      <c r="AD2354" s="13" t="s">
        <v>0</v>
      </c>
      <c r="AE2354" s="15">
        <v>0</v>
      </c>
    </row>
    <row r="2355" spans="1:31" ht="14.15" customHeight="1" x14ac:dyDescent="0.25">
      <c r="A2355" s="12" t="s">
        <v>0</v>
      </c>
      <c r="B2355" s="13" t="s">
        <v>1</v>
      </c>
      <c r="C2355" s="13" t="s">
        <v>2819</v>
      </c>
      <c r="D2355" s="14">
        <v>44266</v>
      </c>
      <c r="E2355" s="14">
        <v>44266</v>
      </c>
      <c r="F2355" s="14">
        <v>44272</v>
      </c>
      <c r="G2355" s="13" t="s">
        <v>3</v>
      </c>
      <c r="H2355" s="13" t="s">
        <v>4</v>
      </c>
      <c r="I2355" s="15">
        <v>-3500.99</v>
      </c>
      <c r="J2355" s="13" t="s">
        <v>5</v>
      </c>
      <c r="K2355" s="13" t="s">
        <v>6</v>
      </c>
      <c r="L2355" s="15">
        <v>-293908.11</v>
      </c>
      <c r="M2355" s="15">
        <v>-3500.99</v>
      </c>
      <c r="N2355" s="16" t="str">
        <f>IF(M2355="","",IF(M2355&lt;0,-M2355&amp;"_"&amp;COUNTIF(M$2:M2355,M2355),M2355&amp;"_"&amp;COUNTIF(M$2:M2355,M2355)))</f>
        <v>3500.99_1</v>
      </c>
      <c r="O2355" s="17" t="str">
        <f t="shared" si="36"/>
        <v/>
      </c>
      <c r="P2355" s="13" t="s">
        <v>2820</v>
      </c>
      <c r="Q2355" s="13" t="s">
        <v>2810</v>
      </c>
      <c r="R2355" s="13" t="s">
        <v>0</v>
      </c>
      <c r="S2355" s="13" t="s">
        <v>0</v>
      </c>
      <c r="T2355" s="13" t="s">
        <v>9</v>
      </c>
      <c r="U2355" s="13" t="s">
        <v>0</v>
      </c>
      <c r="V2355" s="13" t="s">
        <v>0</v>
      </c>
      <c r="W2355" s="13" t="s">
        <v>0</v>
      </c>
      <c r="X2355" s="13" t="s">
        <v>0</v>
      </c>
      <c r="Y2355" s="13" t="s">
        <v>10</v>
      </c>
      <c r="Z2355" s="13" t="s">
        <v>0</v>
      </c>
      <c r="AA2355" s="14"/>
      <c r="AB2355" s="13" t="s">
        <v>0</v>
      </c>
      <c r="AC2355" s="13" t="s">
        <v>0</v>
      </c>
      <c r="AD2355" s="13" t="s">
        <v>0</v>
      </c>
      <c r="AE2355" s="15">
        <v>0</v>
      </c>
    </row>
    <row r="2356" spans="1:31" ht="14.15" customHeight="1" x14ac:dyDescent="0.25">
      <c r="A2356" s="12" t="s">
        <v>0</v>
      </c>
      <c r="B2356" s="13" t="s">
        <v>1</v>
      </c>
      <c r="C2356" s="13" t="s">
        <v>349</v>
      </c>
      <c r="D2356" s="14">
        <v>44046</v>
      </c>
      <c r="E2356" s="14">
        <v>44046</v>
      </c>
      <c r="F2356" s="14">
        <v>44053</v>
      </c>
      <c r="G2356" s="13" t="s">
        <v>3</v>
      </c>
      <c r="H2356" s="13" t="s">
        <v>4</v>
      </c>
      <c r="I2356" s="15">
        <v>-3497.1</v>
      </c>
      <c r="J2356" s="13" t="s">
        <v>5</v>
      </c>
      <c r="K2356" s="13" t="s">
        <v>6</v>
      </c>
      <c r="L2356" s="15">
        <v>-293581.55</v>
      </c>
      <c r="M2356" s="15">
        <v>-3497.1</v>
      </c>
      <c r="N2356" s="16" t="str">
        <f>IF(M2356="","",IF(M2356&lt;0,-M2356&amp;"_"&amp;COUNTIF(M$2:M2356,M2356),M2356&amp;"_"&amp;COUNTIF(M$2:M2356,M2356)))</f>
        <v>3497.1_1</v>
      </c>
      <c r="O2356" s="17" t="str">
        <f t="shared" si="36"/>
        <v/>
      </c>
      <c r="P2356" s="13" t="s">
        <v>350</v>
      </c>
      <c r="Q2356" s="13" t="s">
        <v>338</v>
      </c>
      <c r="R2356" s="13" t="s">
        <v>0</v>
      </c>
      <c r="S2356" s="13" t="s">
        <v>0</v>
      </c>
      <c r="T2356" s="13" t="s">
        <v>9</v>
      </c>
      <c r="U2356" s="13" t="s">
        <v>0</v>
      </c>
      <c r="V2356" s="13" t="s">
        <v>0</v>
      </c>
      <c r="W2356" s="13" t="s">
        <v>0</v>
      </c>
      <c r="X2356" s="13" t="s">
        <v>0</v>
      </c>
      <c r="Y2356" s="13" t="s">
        <v>10</v>
      </c>
      <c r="Z2356" s="13" t="s">
        <v>0</v>
      </c>
      <c r="AA2356" s="14"/>
      <c r="AB2356" s="13" t="s">
        <v>0</v>
      </c>
      <c r="AC2356" s="13" t="s">
        <v>0</v>
      </c>
      <c r="AD2356" s="13" t="s">
        <v>0</v>
      </c>
      <c r="AE2356" s="15">
        <v>0</v>
      </c>
    </row>
    <row r="2357" spans="1:31" ht="14.15" customHeight="1" x14ac:dyDescent="0.25">
      <c r="A2357" s="12" t="s">
        <v>0</v>
      </c>
      <c r="B2357" s="13" t="s">
        <v>1</v>
      </c>
      <c r="C2357" s="13" t="s">
        <v>3025</v>
      </c>
      <c r="D2357" s="14">
        <v>44281</v>
      </c>
      <c r="E2357" s="14">
        <v>44281</v>
      </c>
      <c r="F2357" s="14">
        <v>44290</v>
      </c>
      <c r="G2357" s="13" t="s">
        <v>3</v>
      </c>
      <c r="H2357" s="13" t="s">
        <v>4</v>
      </c>
      <c r="I2357" s="15">
        <v>-3496.89</v>
      </c>
      <c r="J2357" s="13" t="s">
        <v>5</v>
      </c>
      <c r="K2357" s="13" t="s">
        <v>6</v>
      </c>
      <c r="L2357" s="15">
        <v>-293563.92</v>
      </c>
      <c r="M2357" s="15">
        <v>-3496.89</v>
      </c>
      <c r="N2357" s="16" t="str">
        <f>IF(M2357="","",IF(M2357&lt;0,-M2357&amp;"_"&amp;COUNTIF(M$2:M2357,M2357),M2357&amp;"_"&amp;COUNTIF(M$2:M2357,M2357)))</f>
        <v>3496.89_1</v>
      </c>
      <c r="O2357" s="17" t="str">
        <f t="shared" si="36"/>
        <v/>
      </c>
      <c r="P2357" s="13" t="s">
        <v>3026</v>
      </c>
      <c r="Q2357" s="13" t="s">
        <v>3014</v>
      </c>
      <c r="R2357" s="13" t="s">
        <v>0</v>
      </c>
      <c r="S2357" s="13" t="s">
        <v>0</v>
      </c>
      <c r="T2357" s="13" t="s">
        <v>9</v>
      </c>
      <c r="U2357" s="13" t="s">
        <v>0</v>
      </c>
      <c r="V2357" s="13" t="s">
        <v>0</v>
      </c>
      <c r="W2357" s="13" t="s">
        <v>0</v>
      </c>
      <c r="X2357" s="13" t="s">
        <v>0</v>
      </c>
      <c r="Y2357" s="13" t="s">
        <v>10</v>
      </c>
      <c r="Z2357" s="13" t="s">
        <v>0</v>
      </c>
      <c r="AA2357" s="14"/>
      <c r="AB2357" s="13" t="s">
        <v>0</v>
      </c>
      <c r="AC2357" s="13" t="s">
        <v>0</v>
      </c>
      <c r="AD2357" s="13" t="s">
        <v>0</v>
      </c>
      <c r="AE2357" s="15">
        <v>0</v>
      </c>
    </row>
    <row r="2358" spans="1:31" ht="14.15" customHeight="1" x14ac:dyDescent="0.25">
      <c r="A2358" s="12" t="s">
        <v>0</v>
      </c>
      <c r="B2358" s="13" t="s">
        <v>1</v>
      </c>
      <c r="C2358" s="13" t="s">
        <v>4088</v>
      </c>
      <c r="D2358" s="14">
        <v>44361</v>
      </c>
      <c r="E2358" s="14">
        <v>44361</v>
      </c>
      <c r="F2358" s="14">
        <v>44364</v>
      </c>
      <c r="G2358" s="13" t="s">
        <v>3</v>
      </c>
      <c r="H2358" s="13" t="s">
        <v>4</v>
      </c>
      <c r="I2358" s="15">
        <v>-3485.91</v>
      </c>
      <c r="J2358" s="13" t="s">
        <v>5</v>
      </c>
      <c r="K2358" s="13" t="s">
        <v>6</v>
      </c>
      <c r="L2358" s="15">
        <v>-292642.14</v>
      </c>
      <c r="M2358" s="15">
        <v>-3485.91</v>
      </c>
      <c r="N2358" s="16" t="str">
        <f>IF(M2358="","",IF(M2358&lt;0,-M2358&amp;"_"&amp;COUNTIF(M$2:M2358,M2358),M2358&amp;"_"&amp;COUNTIF(M$2:M2358,M2358)))</f>
        <v>3485.91_1</v>
      </c>
      <c r="O2358" s="17" t="str">
        <f t="shared" si="36"/>
        <v/>
      </c>
      <c r="P2358" s="13" t="s">
        <v>4089</v>
      </c>
      <c r="Q2358" s="13" t="s">
        <v>4075</v>
      </c>
      <c r="R2358" s="13" t="s">
        <v>0</v>
      </c>
      <c r="S2358" s="13" t="s">
        <v>0</v>
      </c>
      <c r="T2358" s="13" t="s">
        <v>9</v>
      </c>
      <c r="U2358" s="13" t="s">
        <v>0</v>
      </c>
      <c r="V2358" s="13" t="s">
        <v>0</v>
      </c>
      <c r="W2358" s="13" t="s">
        <v>0</v>
      </c>
      <c r="X2358" s="13" t="s">
        <v>0</v>
      </c>
      <c r="Y2358" s="13" t="s">
        <v>10</v>
      </c>
      <c r="Z2358" s="13" t="s">
        <v>0</v>
      </c>
      <c r="AA2358" s="14"/>
      <c r="AB2358" s="13" t="s">
        <v>0</v>
      </c>
      <c r="AC2358" s="13" t="s">
        <v>0</v>
      </c>
      <c r="AD2358" s="13" t="s">
        <v>0</v>
      </c>
      <c r="AE2358" s="15">
        <v>0</v>
      </c>
    </row>
    <row r="2359" spans="1:31" ht="14.15" customHeight="1" x14ac:dyDescent="0.25">
      <c r="A2359" s="12" t="s">
        <v>0</v>
      </c>
      <c r="B2359" s="13" t="s">
        <v>1</v>
      </c>
      <c r="C2359" s="13" t="s">
        <v>3950</v>
      </c>
      <c r="D2359" s="14">
        <v>44355</v>
      </c>
      <c r="E2359" s="14">
        <v>44355</v>
      </c>
      <c r="F2359" s="14">
        <v>44364</v>
      </c>
      <c r="G2359" s="13" t="s">
        <v>3</v>
      </c>
      <c r="H2359" s="13" t="s">
        <v>4</v>
      </c>
      <c r="I2359" s="15">
        <v>-3484.31</v>
      </c>
      <c r="J2359" s="13" t="s">
        <v>5</v>
      </c>
      <c r="K2359" s="13" t="s">
        <v>6</v>
      </c>
      <c r="L2359" s="15">
        <v>-292507.82</v>
      </c>
      <c r="M2359" s="15">
        <v>-3484.31</v>
      </c>
      <c r="N2359" s="16" t="str">
        <f>IF(M2359="","",IF(M2359&lt;0,-M2359&amp;"_"&amp;COUNTIF(M$2:M2359,M2359),M2359&amp;"_"&amp;COUNTIF(M$2:M2359,M2359)))</f>
        <v>3484.31_1</v>
      </c>
      <c r="O2359" s="17" t="str">
        <f t="shared" si="36"/>
        <v/>
      </c>
      <c r="P2359" s="13" t="s">
        <v>3951</v>
      </c>
      <c r="Q2359" s="13" t="s">
        <v>3946</v>
      </c>
      <c r="R2359" s="13" t="s">
        <v>0</v>
      </c>
      <c r="S2359" s="13" t="s">
        <v>0</v>
      </c>
      <c r="T2359" s="13" t="s">
        <v>9</v>
      </c>
      <c r="U2359" s="13" t="s">
        <v>0</v>
      </c>
      <c r="V2359" s="13" t="s">
        <v>0</v>
      </c>
      <c r="W2359" s="13" t="s">
        <v>0</v>
      </c>
      <c r="X2359" s="13" t="s">
        <v>0</v>
      </c>
      <c r="Y2359" s="13" t="s">
        <v>10</v>
      </c>
      <c r="Z2359" s="13" t="s">
        <v>0</v>
      </c>
      <c r="AA2359" s="14"/>
      <c r="AB2359" s="13" t="s">
        <v>0</v>
      </c>
      <c r="AC2359" s="13" t="s">
        <v>0</v>
      </c>
      <c r="AD2359" s="13" t="s">
        <v>0</v>
      </c>
      <c r="AE2359" s="15">
        <v>0</v>
      </c>
    </row>
    <row r="2360" spans="1:31" ht="14.15" customHeight="1" x14ac:dyDescent="0.25">
      <c r="A2360" s="12" t="s">
        <v>0</v>
      </c>
      <c r="B2360" s="13" t="s">
        <v>1</v>
      </c>
      <c r="C2360" s="13" t="s">
        <v>1453</v>
      </c>
      <c r="D2360" s="14">
        <v>44159</v>
      </c>
      <c r="E2360" s="14">
        <v>44159</v>
      </c>
      <c r="F2360" s="14">
        <v>44163</v>
      </c>
      <c r="G2360" s="13" t="s">
        <v>3</v>
      </c>
      <c r="H2360" s="13" t="s">
        <v>4</v>
      </c>
      <c r="I2360" s="15">
        <v>-3480.9</v>
      </c>
      <c r="J2360" s="13" t="s">
        <v>5</v>
      </c>
      <c r="K2360" s="13" t="s">
        <v>6</v>
      </c>
      <c r="L2360" s="15">
        <v>-292221.56</v>
      </c>
      <c r="M2360" s="15">
        <v>-3480.9</v>
      </c>
      <c r="N2360" s="16" t="str">
        <f>IF(M2360="","",IF(M2360&lt;0,-M2360&amp;"_"&amp;COUNTIF(M$2:M2360,M2360),M2360&amp;"_"&amp;COUNTIF(M$2:M2360,M2360)))</f>
        <v>3480.9_1</v>
      </c>
      <c r="O2360" s="17" t="str">
        <f t="shared" si="36"/>
        <v/>
      </c>
      <c r="P2360" s="13" t="s">
        <v>1454</v>
      </c>
      <c r="Q2360" s="13" t="s">
        <v>1455</v>
      </c>
      <c r="R2360" s="13" t="s">
        <v>0</v>
      </c>
      <c r="S2360" s="13" t="s">
        <v>0</v>
      </c>
      <c r="T2360" s="13" t="s">
        <v>9</v>
      </c>
      <c r="U2360" s="13" t="s">
        <v>0</v>
      </c>
      <c r="V2360" s="13" t="s">
        <v>0</v>
      </c>
      <c r="W2360" s="13" t="s">
        <v>0</v>
      </c>
      <c r="X2360" s="13" t="s">
        <v>0</v>
      </c>
      <c r="Y2360" s="13" t="s">
        <v>10</v>
      </c>
      <c r="Z2360" s="13" t="s">
        <v>0</v>
      </c>
      <c r="AA2360" s="14"/>
      <c r="AB2360" s="13" t="s">
        <v>0</v>
      </c>
      <c r="AC2360" s="13" t="s">
        <v>0</v>
      </c>
      <c r="AD2360" s="13" t="s">
        <v>0</v>
      </c>
      <c r="AE2360" s="15">
        <v>0</v>
      </c>
    </row>
    <row r="2361" spans="1:31" ht="14.15" customHeight="1" x14ac:dyDescent="0.25">
      <c r="A2361" s="12" t="s">
        <v>0</v>
      </c>
      <c r="B2361" s="13" t="s">
        <v>1</v>
      </c>
      <c r="C2361" s="13" t="s">
        <v>4039</v>
      </c>
      <c r="D2361" s="14">
        <v>44358</v>
      </c>
      <c r="E2361" s="14">
        <v>44358</v>
      </c>
      <c r="F2361" s="14">
        <v>44364</v>
      </c>
      <c r="G2361" s="13" t="s">
        <v>3</v>
      </c>
      <c r="H2361" s="13" t="s">
        <v>4</v>
      </c>
      <c r="I2361" s="15">
        <v>-3476.99</v>
      </c>
      <c r="J2361" s="13" t="s">
        <v>5</v>
      </c>
      <c r="K2361" s="13" t="s">
        <v>6</v>
      </c>
      <c r="L2361" s="15">
        <v>-291893.31</v>
      </c>
      <c r="M2361" s="15">
        <v>-3476.99</v>
      </c>
      <c r="N2361" s="16" t="str">
        <f>IF(M2361="","",IF(M2361&lt;0,-M2361&amp;"_"&amp;COUNTIF(M$2:M2361,M2361),M2361&amp;"_"&amp;COUNTIF(M$2:M2361,M2361)))</f>
        <v>3476.99_1</v>
      </c>
      <c r="O2361" s="17" t="str">
        <f t="shared" si="36"/>
        <v/>
      </c>
      <c r="P2361" s="13" t="s">
        <v>4040</v>
      </c>
      <c r="Q2361" s="13" t="s">
        <v>4006</v>
      </c>
      <c r="R2361" s="13" t="s">
        <v>0</v>
      </c>
      <c r="S2361" s="13" t="s">
        <v>0</v>
      </c>
      <c r="T2361" s="13" t="s">
        <v>9</v>
      </c>
      <c r="U2361" s="13" t="s">
        <v>0</v>
      </c>
      <c r="V2361" s="13" t="s">
        <v>0</v>
      </c>
      <c r="W2361" s="13" t="s">
        <v>0</v>
      </c>
      <c r="X2361" s="13" t="s">
        <v>0</v>
      </c>
      <c r="Y2361" s="13" t="s">
        <v>10</v>
      </c>
      <c r="Z2361" s="13" t="s">
        <v>0</v>
      </c>
      <c r="AA2361" s="14"/>
      <c r="AB2361" s="13" t="s">
        <v>0</v>
      </c>
      <c r="AC2361" s="13" t="s">
        <v>0</v>
      </c>
      <c r="AD2361" s="13" t="s">
        <v>0</v>
      </c>
      <c r="AE2361" s="15">
        <v>0</v>
      </c>
    </row>
    <row r="2362" spans="1:31" ht="14.15" customHeight="1" x14ac:dyDescent="0.25">
      <c r="A2362" s="12" t="s">
        <v>0</v>
      </c>
      <c r="B2362" s="13" t="s">
        <v>1</v>
      </c>
      <c r="C2362" s="13" t="s">
        <v>3495</v>
      </c>
      <c r="D2362" s="14">
        <v>44321</v>
      </c>
      <c r="E2362" s="14">
        <v>44321</v>
      </c>
      <c r="F2362" s="14">
        <v>44328</v>
      </c>
      <c r="G2362" s="13" t="s">
        <v>3</v>
      </c>
      <c r="H2362" s="13" t="s">
        <v>4</v>
      </c>
      <c r="I2362" s="15">
        <v>-3467.08</v>
      </c>
      <c r="J2362" s="13" t="s">
        <v>5</v>
      </c>
      <c r="K2362" s="13" t="s">
        <v>6</v>
      </c>
      <c r="L2362" s="15">
        <v>-291061.37</v>
      </c>
      <c r="M2362" s="15">
        <v>-3467.08</v>
      </c>
      <c r="N2362" s="16" t="str">
        <f>IF(M2362="","",IF(M2362&lt;0,-M2362&amp;"_"&amp;COUNTIF(M$2:M2362,M2362),M2362&amp;"_"&amp;COUNTIF(M$2:M2362,M2362)))</f>
        <v>3467.08_1</v>
      </c>
      <c r="O2362" s="17" t="str">
        <f t="shared" si="36"/>
        <v/>
      </c>
      <c r="P2362" s="13" t="s">
        <v>3496</v>
      </c>
      <c r="Q2362" s="13" t="s">
        <v>3490</v>
      </c>
      <c r="R2362" s="13" t="s">
        <v>0</v>
      </c>
      <c r="S2362" s="13" t="s">
        <v>0</v>
      </c>
      <c r="T2362" s="13" t="s">
        <v>9</v>
      </c>
      <c r="U2362" s="13" t="s">
        <v>0</v>
      </c>
      <c r="V2362" s="13" t="s">
        <v>0</v>
      </c>
      <c r="W2362" s="13" t="s">
        <v>0</v>
      </c>
      <c r="X2362" s="13" t="s">
        <v>0</v>
      </c>
      <c r="Y2362" s="13" t="s">
        <v>10</v>
      </c>
      <c r="Z2362" s="13" t="s">
        <v>0</v>
      </c>
      <c r="AA2362" s="14"/>
      <c r="AB2362" s="13" t="s">
        <v>0</v>
      </c>
      <c r="AC2362" s="13" t="s">
        <v>0</v>
      </c>
      <c r="AD2362" s="13" t="s">
        <v>0</v>
      </c>
      <c r="AE2362" s="15">
        <v>0</v>
      </c>
    </row>
    <row r="2363" spans="1:31" ht="14.15" customHeight="1" x14ac:dyDescent="0.25">
      <c r="A2363" s="12" t="s">
        <v>0</v>
      </c>
      <c r="B2363" s="13" t="s">
        <v>1</v>
      </c>
      <c r="C2363" s="13" t="s">
        <v>3929</v>
      </c>
      <c r="D2363" s="14">
        <v>44354</v>
      </c>
      <c r="E2363" s="14">
        <v>44354</v>
      </c>
      <c r="F2363" s="14">
        <v>44357</v>
      </c>
      <c r="G2363" s="13" t="s">
        <v>3</v>
      </c>
      <c r="H2363" s="13" t="s">
        <v>4</v>
      </c>
      <c r="I2363" s="15">
        <v>-3467.08</v>
      </c>
      <c r="J2363" s="13" t="s">
        <v>5</v>
      </c>
      <c r="K2363" s="13" t="s">
        <v>6</v>
      </c>
      <c r="L2363" s="15">
        <v>-291061.37</v>
      </c>
      <c r="M2363" s="15">
        <v>-3467.08</v>
      </c>
      <c r="N2363" s="16" t="str">
        <f>IF(M2363="","",IF(M2363&lt;0,-M2363&amp;"_"&amp;COUNTIF(M$2:M2363,M2363),M2363&amp;"_"&amp;COUNTIF(M$2:M2363,M2363)))</f>
        <v>3467.08_2</v>
      </c>
      <c r="O2363" s="17" t="str">
        <f t="shared" si="36"/>
        <v/>
      </c>
      <c r="P2363" s="13" t="s">
        <v>3930</v>
      </c>
      <c r="Q2363" s="13" t="s">
        <v>3914</v>
      </c>
      <c r="R2363" s="13" t="s">
        <v>0</v>
      </c>
      <c r="S2363" s="13" t="s">
        <v>0</v>
      </c>
      <c r="T2363" s="13" t="s">
        <v>9</v>
      </c>
      <c r="U2363" s="13" t="s">
        <v>0</v>
      </c>
      <c r="V2363" s="13" t="s">
        <v>0</v>
      </c>
      <c r="W2363" s="13" t="s">
        <v>0</v>
      </c>
      <c r="X2363" s="13" t="s">
        <v>0</v>
      </c>
      <c r="Y2363" s="13" t="s">
        <v>10</v>
      </c>
      <c r="Z2363" s="13" t="s">
        <v>0</v>
      </c>
      <c r="AA2363" s="14"/>
      <c r="AB2363" s="13" t="s">
        <v>0</v>
      </c>
      <c r="AC2363" s="13" t="s">
        <v>0</v>
      </c>
      <c r="AD2363" s="13" t="s">
        <v>0</v>
      </c>
      <c r="AE2363" s="15">
        <v>0</v>
      </c>
    </row>
    <row r="2364" spans="1:31" ht="14.15" customHeight="1" x14ac:dyDescent="0.25">
      <c r="A2364" s="12" t="s">
        <v>0</v>
      </c>
      <c r="B2364" s="13" t="s">
        <v>303</v>
      </c>
      <c r="C2364" s="13" t="s">
        <v>1562</v>
      </c>
      <c r="D2364" s="14">
        <v>44165</v>
      </c>
      <c r="E2364" s="14">
        <v>44165</v>
      </c>
      <c r="F2364" s="14">
        <v>44171</v>
      </c>
      <c r="G2364" s="13" t="s">
        <v>1563</v>
      </c>
      <c r="H2364" s="13" t="s">
        <v>4</v>
      </c>
      <c r="I2364" s="15">
        <v>-3461.65</v>
      </c>
      <c r="J2364" s="13" t="s">
        <v>5</v>
      </c>
      <c r="K2364" s="13" t="s">
        <v>6</v>
      </c>
      <c r="L2364" s="15">
        <v>-290605.52</v>
      </c>
      <c r="M2364" s="15">
        <v>-3461.65</v>
      </c>
      <c r="N2364" s="16" t="str">
        <f>IF(M2364="","",IF(M2364&lt;0,-M2364&amp;"_"&amp;COUNTIF(M$2:M2364,M2364),M2364&amp;"_"&amp;COUNTIF(M$2:M2364,M2364)))</f>
        <v>3461.65_1</v>
      </c>
      <c r="O2364" s="17" t="str">
        <f t="shared" si="36"/>
        <v/>
      </c>
      <c r="P2364" s="13" t="s">
        <v>1564</v>
      </c>
      <c r="Q2364" s="13" t="s">
        <v>1564</v>
      </c>
      <c r="R2364" s="13" t="s">
        <v>1565</v>
      </c>
      <c r="S2364" s="13" t="s">
        <v>0</v>
      </c>
      <c r="T2364" s="13" t="s">
        <v>9</v>
      </c>
      <c r="U2364" s="13" t="s">
        <v>1566</v>
      </c>
      <c r="V2364" s="13" t="s">
        <v>0</v>
      </c>
      <c r="W2364" s="13" t="s">
        <v>0</v>
      </c>
      <c r="X2364" s="13" t="s">
        <v>0</v>
      </c>
      <c r="Y2364" s="13" t="s">
        <v>0</v>
      </c>
      <c r="Z2364" s="13" t="s">
        <v>0</v>
      </c>
      <c r="AA2364" s="14"/>
      <c r="AB2364" s="13" t="s">
        <v>0</v>
      </c>
      <c r="AC2364" s="13" t="s">
        <v>0</v>
      </c>
      <c r="AD2364" s="13" t="s">
        <v>0</v>
      </c>
      <c r="AE2364" s="15">
        <v>0</v>
      </c>
    </row>
    <row r="2365" spans="1:31" ht="14.15" customHeight="1" x14ac:dyDescent="0.25">
      <c r="A2365" s="12" t="s">
        <v>0</v>
      </c>
      <c r="B2365" s="13" t="s">
        <v>1</v>
      </c>
      <c r="C2365" s="13" t="s">
        <v>2299</v>
      </c>
      <c r="D2365" s="14">
        <v>44219</v>
      </c>
      <c r="E2365" s="14">
        <v>44219</v>
      </c>
      <c r="F2365" s="14">
        <v>44226</v>
      </c>
      <c r="G2365" s="13" t="s">
        <v>3</v>
      </c>
      <c r="H2365" s="13" t="s">
        <v>4</v>
      </c>
      <c r="I2365" s="15">
        <v>-3461.23</v>
      </c>
      <c r="J2365" s="13" t="s">
        <v>5</v>
      </c>
      <c r="K2365" s="13" t="s">
        <v>6</v>
      </c>
      <c r="L2365" s="15">
        <v>-290570.26</v>
      </c>
      <c r="M2365" s="15">
        <v>-3461.23</v>
      </c>
      <c r="N2365" s="16" t="str">
        <f>IF(M2365="","",IF(M2365&lt;0,-M2365&amp;"_"&amp;COUNTIF(M$2:M2365,M2365),M2365&amp;"_"&amp;COUNTIF(M$2:M2365,M2365)))</f>
        <v>3461.23_1</v>
      </c>
      <c r="O2365" s="17" t="str">
        <f t="shared" si="36"/>
        <v/>
      </c>
      <c r="P2365" s="13" t="s">
        <v>2300</v>
      </c>
      <c r="Q2365" s="13" t="s">
        <v>2282</v>
      </c>
      <c r="R2365" s="13" t="s">
        <v>0</v>
      </c>
      <c r="S2365" s="13" t="s">
        <v>0</v>
      </c>
      <c r="T2365" s="13" t="s">
        <v>9</v>
      </c>
      <c r="U2365" s="13" t="s">
        <v>0</v>
      </c>
      <c r="V2365" s="13" t="s">
        <v>0</v>
      </c>
      <c r="W2365" s="13" t="s">
        <v>0</v>
      </c>
      <c r="X2365" s="13" t="s">
        <v>0</v>
      </c>
      <c r="Y2365" s="13" t="s">
        <v>10</v>
      </c>
      <c r="Z2365" s="13" t="s">
        <v>0</v>
      </c>
      <c r="AA2365" s="14"/>
      <c r="AB2365" s="13" t="s">
        <v>0</v>
      </c>
      <c r="AC2365" s="13" t="s">
        <v>0</v>
      </c>
      <c r="AD2365" s="13" t="s">
        <v>0</v>
      </c>
      <c r="AE2365" s="15">
        <v>0</v>
      </c>
    </row>
    <row r="2366" spans="1:31" ht="14.15" customHeight="1" x14ac:dyDescent="0.25">
      <c r="A2366" s="12" t="s">
        <v>0</v>
      </c>
      <c r="B2366" s="13" t="s">
        <v>1</v>
      </c>
      <c r="C2366" s="13" t="s">
        <v>1608</v>
      </c>
      <c r="D2366" s="14">
        <v>44168</v>
      </c>
      <c r="E2366" s="14">
        <v>44168</v>
      </c>
      <c r="F2366" s="14">
        <v>44174</v>
      </c>
      <c r="G2366" s="13" t="s">
        <v>3</v>
      </c>
      <c r="H2366" s="13" t="s">
        <v>4</v>
      </c>
      <c r="I2366" s="15">
        <v>-3460.69</v>
      </c>
      <c r="J2366" s="13" t="s">
        <v>5</v>
      </c>
      <c r="K2366" s="13" t="s">
        <v>6</v>
      </c>
      <c r="L2366" s="15">
        <v>-290524.93</v>
      </c>
      <c r="M2366" s="15">
        <v>-3460.69</v>
      </c>
      <c r="N2366" s="16" t="str">
        <f>IF(M2366="","",IF(M2366&lt;0,-M2366&amp;"_"&amp;COUNTIF(M$2:M2366,M2366),M2366&amp;"_"&amp;COUNTIF(M$2:M2366,M2366)))</f>
        <v>3460.69_1</v>
      </c>
      <c r="O2366" s="17" t="str">
        <f t="shared" si="36"/>
        <v/>
      </c>
      <c r="P2366" s="13" t="s">
        <v>1609</v>
      </c>
      <c r="Q2366" s="13" t="s">
        <v>1605</v>
      </c>
      <c r="R2366" s="13" t="s">
        <v>0</v>
      </c>
      <c r="S2366" s="13" t="s">
        <v>0</v>
      </c>
      <c r="T2366" s="13" t="s">
        <v>9</v>
      </c>
      <c r="U2366" s="13" t="s">
        <v>0</v>
      </c>
      <c r="V2366" s="13" t="s">
        <v>0</v>
      </c>
      <c r="W2366" s="13" t="s">
        <v>0</v>
      </c>
      <c r="X2366" s="13" t="s">
        <v>0</v>
      </c>
      <c r="Y2366" s="13" t="s">
        <v>10</v>
      </c>
      <c r="Z2366" s="13" t="s">
        <v>0</v>
      </c>
      <c r="AA2366" s="14"/>
      <c r="AB2366" s="13" t="s">
        <v>0</v>
      </c>
      <c r="AC2366" s="13" t="s">
        <v>0</v>
      </c>
      <c r="AD2366" s="13" t="s">
        <v>0</v>
      </c>
      <c r="AE2366" s="15">
        <v>0</v>
      </c>
    </row>
    <row r="2367" spans="1:31" ht="14.15" customHeight="1" x14ac:dyDescent="0.25">
      <c r="A2367" s="12" t="s">
        <v>0</v>
      </c>
      <c r="B2367" s="13" t="s">
        <v>1</v>
      </c>
      <c r="C2367" s="13" t="s">
        <v>3274</v>
      </c>
      <c r="D2367" s="14">
        <v>44311</v>
      </c>
      <c r="E2367" s="14">
        <v>44311</v>
      </c>
      <c r="F2367" s="14">
        <v>44315</v>
      </c>
      <c r="G2367" s="13" t="s">
        <v>3</v>
      </c>
      <c r="H2367" s="13" t="s">
        <v>4</v>
      </c>
      <c r="I2367" s="15">
        <v>-3451.55</v>
      </c>
      <c r="J2367" s="13" t="s">
        <v>5</v>
      </c>
      <c r="K2367" s="13" t="s">
        <v>6</v>
      </c>
      <c r="L2367" s="15">
        <v>-289757.62</v>
      </c>
      <c r="M2367" s="15">
        <v>-3451.55</v>
      </c>
      <c r="N2367" s="16" t="str">
        <f>IF(M2367="","",IF(M2367&lt;0,-M2367&amp;"_"&amp;COUNTIF(M$2:M2367,M2367),M2367&amp;"_"&amp;COUNTIF(M$2:M2367,M2367)))</f>
        <v>3451.55_1</v>
      </c>
      <c r="O2367" s="17" t="str">
        <f t="shared" si="36"/>
        <v/>
      </c>
      <c r="P2367" s="13" t="s">
        <v>3275</v>
      </c>
      <c r="Q2367" s="13" t="s">
        <v>3269</v>
      </c>
      <c r="R2367" s="13" t="s">
        <v>0</v>
      </c>
      <c r="S2367" s="13" t="s">
        <v>0</v>
      </c>
      <c r="T2367" s="13" t="s">
        <v>9</v>
      </c>
      <c r="U2367" s="13" t="s">
        <v>0</v>
      </c>
      <c r="V2367" s="13" t="s">
        <v>0</v>
      </c>
      <c r="W2367" s="13" t="s">
        <v>0</v>
      </c>
      <c r="X2367" s="13" t="s">
        <v>0</v>
      </c>
      <c r="Y2367" s="13" t="s">
        <v>10</v>
      </c>
      <c r="Z2367" s="13" t="s">
        <v>0</v>
      </c>
      <c r="AA2367" s="14"/>
      <c r="AB2367" s="13" t="s">
        <v>0</v>
      </c>
      <c r="AC2367" s="13" t="s">
        <v>0</v>
      </c>
      <c r="AD2367" s="13" t="s">
        <v>0</v>
      </c>
      <c r="AE2367" s="15">
        <v>0</v>
      </c>
    </row>
    <row r="2368" spans="1:31" ht="14.15" customHeight="1" x14ac:dyDescent="0.25">
      <c r="A2368" s="12" t="s">
        <v>0</v>
      </c>
      <c r="B2368" s="13" t="s">
        <v>1</v>
      </c>
      <c r="C2368" s="13" t="s">
        <v>4037</v>
      </c>
      <c r="D2368" s="14">
        <v>44358</v>
      </c>
      <c r="E2368" s="14">
        <v>44358</v>
      </c>
      <c r="F2368" s="14">
        <v>44364</v>
      </c>
      <c r="G2368" s="13" t="s">
        <v>3</v>
      </c>
      <c r="H2368" s="13" t="s">
        <v>4</v>
      </c>
      <c r="I2368" s="15">
        <v>-3444.72</v>
      </c>
      <c r="J2368" s="13" t="s">
        <v>5</v>
      </c>
      <c r="K2368" s="13" t="s">
        <v>6</v>
      </c>
      <c r="L2368" s="15">
        <v>-289184.24</v>
      </c>
      <c r="M2368" s="15">
        <v>-3444.72</v>
      </c>
      <c r="N2368" s="16" t="str">
        <f>IF(M2368="","",IF(M2368&lt;0,-M2368&amp;"_"&amp;COUNTIF(M$2:M2368,M2368),M2368&amp;"_"&amp;COUNTIF(M$2:M2368,M2368)))</f>
        <v>3444.72_1</v>
      </c>
      <c r="O2368" s="17" t="str">
        <f t="shared" si="36"/>
        <v/>
      </c>
      <c r="P2368" s="13" t="s">
        <v>4038</v>
      </c>
      <c r="Q2368" s="13" t="s">
        <v>4006</v>
      </c>
      <c r="R2368" s="13" t="s">
        <v>0</v>
      </c>
      <c r="S2368" s="13" t="s">
        <v>0</v>
      </c>
      <c r="T2368" s="13" t="s">
        <v>9</v>
      </c>
      <c r="U2368" s="13" t="s">
        <v>0</v>
      </c>
      <c r="V2368" s="13" t="s">
        <v>0</v>
      </c>
      <c r="W2368" s="13" t="s">
        <v>0</v>
      </c>
      <c r="X2368" s="13" t="s">
        <v>0</v>
      </c>
      <c r="Y2368" s="13" t="s">
        <v>10</v>
      </c>
      <c r="Z2368" s="13" t="s">
        <v>0</v>
      </c>
      <c r="AA2368" s="14"/>
      <c r="AB2368" s="13" t="s">
        <v>0</v>
      </c>
      <c r="AC2368" s="13" t="s">
        <v>0</v>
      </c>
      <c r="AD2368" s="13" t="s">
        <v>0</v>
      </c>
      <c r="AE2368" s="15">
        <v>0</v>
      </c>
    </row>
    <row r="2369" spans="1:31" ht="14.15" customHeight="1" x14ac:dyDescent="0.25">
      <c r="A2369" s="12" t="s">
        <v>0</v>
      </c>
      <c r="B2369" s="13" t="s">
        <v>303</v>
      </c>
      <c r="C2369" s="13" t="s">
        <v>1571</v>
      </c>
      <c r="D2369" s="14">
        <v>44165</v>
      </c>
      <c r="E2369" s="14">
        <v>44165</v>
      </c>
      <c r="F2369" s="14">
        <v>44171</v>
      </c>
      <c r="G2369" s="13" t="s">
        <v>48</v>
      </c>
      <c r="H2369" s="13" t="s">
        <v>4</v>
      </c>
      <c r="I2369" s="15">
        <v>-3444</v>
      </c>
      <c r="J2369" s="13" t="s">
        <v>5</v>
      </c>
      <c r="K2369" s="13" t="s">
        <v>6</v>
      </c>
      <c r="L2369" s="15">
        <v>-289123.8</v>
      </c>
      <c r="M2369" s="15">
        <v>-3444</v>
      </c>
      <c r="N2369" s="16" t="str">
        <f>IF(M2369="","",IF(M2369&lt;0,-M2369&amp;"_"&amp;COUNTIF(M$2:M2369,M2369),M2369&amp;"_"&amp;COUNTIF(M$2:M2369,M2369)))</f>
        <v>3444_1</v>
      </c>
      <c r="O2369" s="17" t="str">
        <f t="shared" si="36"/>
        <v/>
      </c>
      <c r="P2369" s="13" t="s">
        <v>1572</v>
      </c>
      <c r="Q2369" s="13" t="s">
        <v>1572</v>
      </c>
      <c r="R2369" s="13" t="s">
        <v>306</v>
      </c>
      <c r="S2369" s="13" t="s">
        <v>0</v>
      </c>
      <c r="T2369" s="13" t="s">
        <v>9</v>
      </c>
      <c r="U2369" s="13" t="s">
        <v>307</v>
      </c>
      <c r="V2369" s="13" t="s">
        <v>0</v>
      </c>
      <c r="W2369" s="13" t="s">
        <v>0</v>
      </c>
      <c r="X2369" s="13" t="s">
        <v>0</v>
      </c>
      <c r="Y2369" s="13" t="s">
        <v>291</v>
      </c>
      <c r="Z2369" s="13" t="s">
        <v>0</v>
      </c>
      <c r="AA2369" s="14"/>
      <c r="AB2369" s="13" t="s">
        <v>0</v>
      </c>
      <c r="AC2369" s="13" t="s">
        <v>0</v>
      </c>
      <c r="AD2369" s="13" t="s">
        <v>0</v>
      </c>
      <c r="AE2369" s="15">
        <v>0</v>
      </c>
    </row>
    <row r="2370" spans="1:31" ht="14.15" customHeight="1" x14ac:dyDescent="0.25">
      <c r="A2370" s="12" t="s">
        <v>0</v>
      </c>
      <c r="B2370" s="13" t="s">
        <v>1</v>
      </c>
      <c r="C2370" s="13" t="s">
        <v>1941</v>
      </c>
      <c r="D2370" s="14">
        <v>44192</v>
      </c>
      <c r="E2370" s="14">
        <v>44192</v>
      </c>
      <c r="F2370" s="14">
        <v>44198</v>
      </c>
      <c r="G2370" s="13" t="s">
        <v>3</v>
      </c>
      <c r="H2370" s="13" t="s">
        <v>4</v>
      </c>
      <c r="I2370" s="15">
        <v>-3436.22</v>
      </c>
      <c r="J2370" s="13" t="s">
        <v>5</v>
      </c>
      <c r="K2370" s="13" t="s">
        <v>6</v>
      </c>
      <c r="L2370" s="15">
        <v>-288470.67</v>
      </c>
      <c r="M2370" s="15">
        <v>-3436.22</v>
      </c>
      <c r="N2370" s="16" t="str">
        <f>IF(M2370="","",IF(M2370&lt;0,-M2370&amp;"_"&amp;COUNTIF(M$2:M2370,M2370),M2370&amp;"_"&amp;COUNTIF(M$2:M2370,M2370)))</f>
        <v>3436.22_1</v>
      </c>
      <c r="O2370" s="17" t="str">
        <f t="shared" ref="O2370:O2433" si="37">IF(COUNTIF(N:N,N2370)=2,"x","")</f>
        <v/>
      </c>
      <c r="P2370" s="13" t="s">
        <v>1942</v>
      </c>
      <c r="Q2370" s="13" t="s">
        <v>1932</v>
      </c>
      <c r="R2370" s="13" t="s">
        <v>0</v>
      </c>
      <c r="S2370" s="13" t="s">
        <v>0</v>
      </c>
      <c r="T2370" s="13" t="s">
        <v>9</v>
      </c>
      <c r="U2370" s="13" t="s">
        <v>0</v>
      </c>
      <c r="V2370" s="13" t="s">
        <v>0</v>
      </c>
      <c r="W2370" s="13" t="s">
        <v>0</v>
      </c>
      <c r="X2370" s="13" t="s">
        <v>0</v>
      </c>
      <c r="Y2370" s="13" t="s">
        <v>10</v>
      </c>
      <c r="Z2370" s="13" t="s">
        <v>0</v>
      </c>
      <c r="AA2370" s="14"/>
      <c r="AB2370" s="13" t="s">
        <v>0</v>
      </c>
      <c r="AC2370" s="13" t="s">
        <v>0</v>
      </c>
      <c r="AD2370" s="13" t="s">
        <v>0</v>
      </c>
      <c r="AE2370" s="15">
        <v>0</v>
      </c>
    </row>
    <row r="2371" spans="1:31" ht="14.15" customHeight="1" x14ac:dyDescent="0.25">
      <c r="A2371" s="12" t="s">
        <v>0</v>
      </c>
      <c r="B2371" s="13" t="s">
        <v>1</v>
      </c>
      <c r="C2371" s="13" t="s">
        <v>2444</v>
      </c>
      <c r="D2371" s="14">
        <v>44231</v>
      </c>
      <c r="E2371" s="14">
        <v>44231</v>
      </c>
      <c r="F2371" s="14">
        <v>44237</v>
      </c>
      <c r="G2371" s="13" t="s">
        <v>3</v>
      </c>
      <c r="H2371" s="13" t="s">
        <v>4</v>
      </c>
      <c r="I2371" s="15">
        <v>-3431.9</v>
      </c>
      <c r="J2371" s="13" t="s">
        <v>5</v>
      </c>
      <c r="K2371" s="13" t="s">
        <v>6</v>
      </c>
      <c r="L2371" s="15">
        <v>-288108.01</v>
      </c>
      <c r="M2371" s="15">
        <v>-3431.9</v>
      </c>
      <c r="N2371" s="16" t="str">
        <f>IF(M2371="","",IF(M2371&lt;0,-M2371&amp;"_"&amp;COUNTIF(M$2:M2371,M2371),M2371&amp;"_"&amp;COUNTIF(M$2:M2371,M2371)))</f>
        <v>3431.9_1</v>
      </c>
      <c r="O2371" s="17" t="str">
        <f t="shared" si="37"/>
        <v/>
      </c>
      <c r="P2371" s="13" t="s">
        <v>2445</v>
      </c>
      <c r="Q2371" s="13" t="s">
        <v>2427</v>
      </c>
      <c r="R2371" s="13" t="s">
        <v>0</v>
      </c>
      <c r="S2371" s="13" t="s">
        <v>0</v>
      </c>
      <c r="T2371" s="13" t="s">
        <v>9</v>
      </c>
      <c r="U2371" s="13" t="s">
        <v>0</v>
      </c>
      <c r="V2371" s="13" t="s">
        <v>0</v>
      </c>
      <c r="W2371" s="13" t="s">
        <v>0</v>
      </c>
      <c r="X2371" s="13" t="s">
        <v>0</v>
      </c>
      <c r="Y2371" s="13" t="s">
        <v>10</v>
      </c>
      <c r="Z2371" s="13" t="s">
        <v>0</v>
      </c>
      <c r="AA2371" s="14"/>
      <c r="AB2371" s="13" t="s">
        <v>0</v>
      </c>
      <c r="AC2371" s="13" t="s">
        <v>0</v>
      </c>
      <c r="AD2371" s="13" t="s">
        <v>0</v>
      </c>
      <c r="AE2371" s="15">
        <v>0</v>
      </c>
    </row>
    <row r="2372" spans="1:31" ht="14.15" customHeight="1" x14ac:dyDescent="0.25">
      <c r="A2372" s="12" t="s">
        <v>0</v>
      </c>
      <c r="B2372" s="13" t="s">
        <v>1</v>
      </c>
      <c r="C2372" s="13" t="s">
        <v>3851</v>
      </c>
      <c r="D2372" s="14">
        <v>44350</v>
      </c>
      <c r="E2372" s="14">
        <v>44350</v>
      </c>
      <c r="F2372" s="14">
        <v>44356</v>
      </c>
      <c r="G2372" s="13" t="s">
        <v>3</v>
      </c>
      <c r="H2372" s="13" t="s">
        <v>4</v>
      </c>
      <c r="I2372" s="15">
        <v>-3431.04</v>
      </c>
      <c r="J2372" s="13" t="s">
        <v>5</v>
      </c>
      <c r="K2372" s="13" t="s">
        <v>6</v>
      </c>
      <c r="L2372" s="15">
        <v>-288035.81</v>
      </c>
      <c r="M2372" s="15">
        <v>-3431.04</v>
      </c>
      <c r="N2372" s="16" t="str">
        <f>IF(M2372="","",IF(M2372&lt;0,-M2372&amp;"_"&amp;COUNTIF(M$2:M2372,M2372),M2372&amp;"_"&amp;COUNTIF(M$2:M2372,M2372)))</f>
        <v>3431.04_1</v>
      </c>
      <c r="O2372" s="17" t="str">
        <f t="shared" si="37"/>
        <v/>
      </c>
      <c r="P2372" s="13" t="s">
        <v>3852</v>
      </c>
      <c r="Q2372" s="13" t="s">
        <v>3844</v>
      </c>
      <c r="R2372" s="13" t="s">
        <v>0</v>
      </c>
      <c r="S2372" s="13" t="s">
        <v>0</v>
      </c>
      <c r="T2372" s="13" t="s">
        <v>9</v>
      </c>
      <c r="U2372" s="13" t="s">
        <v>0</v>
      </c>
      <c r="V2372" s="13" t="s">
        <v>0</v>
      </c>
      <c r="W2372" s="13" t="s">
        <v>0</v>
      </c>
      <c r="X2372" s="13" t="s">
        <v>0</v>
      </c>
      <c r="Y2372" s="13" t="s">
        <v>10</v>
      </c>
      <c r="Z2372" s="13" t="s">
        <v>0</v>
      </c>
      <c r="AA2372" s="14"/>
      <c r="AB2372" s="13" t="s">
        <v>0</v>
      </c>
      <c r="AC2372" s="13" t="s">
        <v>0</v>
      </c>
      <c r="AD2372" s="13" t="s">
        <v>0</v>
      </c>
      <c r="AE2372" s="15">
        <v>0</v>
      </c>
    </row>
    <row r="2373" spans="1:31" ht="14.15" customHeight="1" x14ac:dyDescent="0.25">
      <c r="A2373" s="12" t="s">
        <v>0</v>
      </c>
      <c r="B2373" s="13" t="s">
        <v>1</v>
      </c>
      <c r="C2373" s="13" t="s">
        <v>3464</v>
      </c>
      <c r="D2373" s="14">
        <v>44320</v>
      </c>
      <c r="E2373" s="14">
        <v>44320</v>
      </c>
      <c r="F2373" s="14">
        <v>44328</v>
      </c>
      <c r="G2373" s="13" t="s">
        <v>3</v>
      </c>
      <c r="H2373" s="13" t="s">
        <v>4</v>
      </c>
      <c r="I2373" s="15">
        <v>-3430.59</v>
      </c>
      <c r="J2373" s="13" t="s">
        <v>5</v>
      </c>
      <c r="K2373" s="13" t="s">
        <v>6</v>
      </c>
      <c r="L2373" s="15">
        <v>-287998.03000000003</v>
      </c>
      <c r="M2373" s="15">
        <v>-3430.59</v>
      </c>
      <c r="N2373" s="16" t="str">
        <f>IF(M2373="","",IF(M2373&lt;0,-M2373&amp;"_"&amp;COUNTIF(M$2:M2373,M2373),M2373&amp;"_"&amp;COUNTIF(M$2:M2373,M2373)))</f>
        <v>3430.59_1</v>
      </c>
      <c r="O2373" s="17" t="str">
        <f t="shared" si="37"/>
        <v/>
      </c>
      <c r="P2373" s="13" t="s">
        <v>3465</v>
      </c>
      <c r="Q2373" s="13" t="s">
        <v>3453</v>
      </c>
      <c r="R2373" s="13" t="s">
        <v>0</v>
      </c>
      <c r="S2373" s="13" t="s">
        <v>0</v>
      </c>
      <c r="T2373" s="13" t="s">
        <v>9</v>
      </c>
      <c r="U2373" s="13" t="s">
        <v>0</v>
      </c>
      <c r="V2373" s="13" t="s">
        <v>0</v>
      </c>
      <c r="W2373" s="13" t="s">
        <v>0</v>
      </c>
      <c r="X2373" s="13" t="s">
        <v>0</v>
      </c>
      <c r="Y2373" s="13" t="s">
        <v>10</v>
      </c>
      <c r="Z2373" s="13" t="s">
        <v>0</v>
      </c>
      <c r="AA2373" s="14"/>
      <c r="AB2373" s="13" t="s">
        <v>0</v>
      </c>
      <c r="AC2373" s="13" t="s">
        <v>0</v>
      </c>
      <c r="AD2373" s="13" t="s">
        <v>0</v>
      </c>
      <c r="AE2373" s="15">
        <v>0</v>
      </c>
    </row>
    <row r="2374" spans="1:31" ht="14.15" customHeight="1" x14ac:dyDescent="0.25">
      <c r="A2374" s="12" t="s">
        <v>0</v>
      </c>
      <c r="B2374" s="13" t="s">
        <v>1</v>
      </c>
      <c r="C2374" s="13" t="s">
        <v>2172</v>
      </c>
      <c r="D2374" s="14">
        <v>44209</v>
      </c>
      <c r="E2374" s="14">
        <v>44209</v>
      </c>
      <c r="F2374" s="14">
        <v>44228</v>
      </c>
      <c r="G2374" s="13" t="s">
        <v>3</v>
      </c>
      <c r="H2374" s="13" t="s">
        <v>4</v>
      </c>
      <c r="I2374" s="15">
        <v>-3427.66</v>
      </c>
      <c r="J2374" s="13" t="s">
        <v>5</v>
      </c>
      <c r="K2374" s="13" t="s">
        <v>6</v>
      </c>
      <c r="L2374" s="15">
        <v>-287752.06</v>
      </c>
      <c r="M2374" s="15">
        <v>-3427.66</v>
      </c>
      <c r="N2374" s="16" t="str">
        <f>IF(M2374="","",IF(M2374&lt;0,-M2374&amp;"_"&amp;COUNTIF(M$2:M2374,M2374),M2374&amp;"_"&amp;COUNTIF(M$2:M2374,M2374)))</f>
        <v>3427.66_1</v>
      </c>
      <c r="O2374" s="17" t="str">
        <f t="shared" si="37"/>
        <v/>
      </c>
      <c r="P2374" s="13" t="s">
        <v>2173</v>
      </c>
      <c r="Q2374" s="13" t="s">
        <v>2159</v>
      </c>
      <c r="R2374" s="13" t="s">
        <v>0</v>
      </c>
      <c r="S2374" s="13" t="s">
        <v>0</v>
      </c>
      <c r="T2374" s="13" t="s">
        <v>9</v>
      </c>
      <c r="U2374" s="13" t="s">
        <v>0</v>
      </c>
      <c r="V2374" s="13" t="s">
        <v>0</v>
      </c>
      <c r="W2374" s="13" t="s">
        <v>0</v>
      </c>
      <c r="X2374" s="13" t="s">
        <v>0</v>
      </c>
      <c r="Y2374" s="13" t="s">
        <v>10</v>
      </c>
      <c r="Z2374" s="13" t="s">
        <v>0</v>
      </c>
      <c r="AA2374" s="14"/>
      <c r="AB2374" s="13" t="s">
        <v>0</v>
      </c>
      <c r="AC2374" s="13" t="s">
        <v>0</v>
      </c>
      <c r="AD2374" s="13" t="s">
        <v>0</v>
      </c>
      <c r="AE2374" s="15">
        <v>0</v>
      </c>
    </row>
    <row r="2375" spans="1:31" ht="14.15" customHeight="1" x14ac:dyDescent="0.25">
      <c r="A2375" s="12" t="s">
        <v>0</v>
      </c>
      <c r="B2375" s="13" t="s">
        <v>1</v>
      </c>
      <c r="C2375" s="13" t="s">
        <v>3147</v>
      </c>
      <c r="D2375" s="14">
        <v>44296</v>
      </c>
      <c r="E2375" s="14">
        <v>44296</v>
      </c>
      <c r="F2375" s="14">
        <v>44299</v>
      </c>
      <c r="G2375" s="13" t="s">
        <v>3</v>
      </c>
      <c r="H2375" s="13" t="s">
        <v>4</v>
      </c>
      <c r="I2375" s="15">
        <v>-3408.36</v>
      </c>
      <c r="J2375" s="13" t="s">
        <v>5</v>
      </c>
      <c r="K2375" s="13" t="s">
        <v>6</v>
      </c>
      <c r="L2375" s="15">
        <v>-286131.82</v>
      </c>
      <c r="M2375" s="15">
        <v>-3408.36</v>
      </c>
      <c r="N2375" s="16" t="str">
        <f>IF(M2375="","",IF(M2375&lt;0,-M2375&amp;"_"&amp;COUNTIF(M$2:M2375,M2375),M2375&amp;"_"&amp;COUNTIF(M$2:M2375,M2375)))</f>
        <v>3408.36_1</v>
      </c>
      <c r="O2375" s="17" t="str">
        <f t="shared" si="37"/>
        <v/>
      </c>
      <c r="P2375" s="13" t="s">
        <v>3148</v>
      </c>
      <c r="Q2375" s="13" t="s">
        <v>3149</v>
      </c>
      <c r="R2375" s="13" t="s">
        <v>0</v>
      </c>
      <c r="S2375" s="13" t="s">
        <v>0</v>
      </c>
      <c r="T2375" s="13" t="s">
        <v>9</v>
      </c>
      <c r="U2375" s="13" t="s">
        <v>0</v>
      </c>
      <c r="V2375" s="13" t="s">
        <v>0</v>
      </c>
      <c r="W2375" s="13" t="s">
        <v>0</v>
      </c>
      <c r="X2375" s="13" t="s">
        <v>0</v>
      </c>
      <c r="Y2375" s="13" t="s">
        <v>10</v>
      </c>
      <c r="Z2375" s="13" t="s">
        <v>0</v>
      </c>
      <c r="AA2375" s="14"/>
      <c r="AB2375" s="13" t="s">
        <v>0</v>
      </c>
      <c r="AC2375" s="13" t="s">
        <v>0</v>
      </c>
      <c r="AD2375" s="13" t="s">
        <v>0</v>
      </c>
      <c r="AE2375" s="15">
        <v>0</v>
      </c>
    </row>
    <row r="2376" spans="1:31" ht="14.15" customHeight="1" x14ac:dyDescent="0.25">
      <c r="A2376" s="12" t="s">
        <v>0</v>
      </c>
      <c r="B2376" s="13" t="s">
        <v>1</v>
      </c>
      <c r="C2376" s="13" t="s">
        <v>314</v>
      </c>
      <c r="D2376" s="14">
        <v>44043</v>
      </c>
      <c r="E2376" s="14">
        <v>44043</v>
      </c>
      <c r="F2376" s="14">
        <v>44051</v>
      </c>
      <c r="G2376" s="13" t="s">
        <v>3</v>
      </c>
      <c r="H2376" s="13" t="s">
        <v>4</v>
      </c>
      <c r="I2376" s="15">
        <v>-3402.6</v>
      </c>
      <c r="J2376" s="13" t="s">
        <v>5</v>
      </c>
      <c r="K2376" s="13" t="s">
        <v>6</v>
      </c>
      <c r="L2376" s="15">
        <v>-285648.27</v>
      </c>
      <c r="M2376" s="15">
        <v>-3402.6</v>
      </c>
      <c r="N2376" s="16" t="str">
        <f>IF(M2376="","",IF(M2376&lt;0,-M2376&amp;"_"&amp;COUNTIF(M$2:M2376,M2376),M2376&amp;"_"&amp;COUNTIF(M$2:M2376,M2376)))</f>
        <v>3402.6_1</v>
      </c>
      <c r="O2376" s="17" t="str">
        <f t="shared" si="37"/>
        <v/>
      </c>
      <c r="P2376" s="13" t="s">
        <v>315</v>
      </c>
      <c r="Q2376" s="13" t="s">
        <v>316</v>
      </c>
      <c r="R2376" s="13" t="s">
        <v>0</v>
      </c>
      <c r="S2376" s="13" t="s">
        <v>0</v>
      </c>
      <c r="T2376" s="13" t="s">
        <v>9</v>
      </c>
      <c r="U2376" s="13" t="s">
        <v>0</v>
      </c>
      <c r="V2376" s="13" t="s">
        <v>0</v>
      </c>
      <c r="W2376" s="13" t="s">
        <v>0</v>
      </c>
      <c r="X2376" s="13" t="s">
        <v>0</v>
      </c>
      <c r="Y2376" s="13" t="s">
        <v>10</v>
      </c>
      <c r="Z2376" s="13" t="s">
        <v>0</v>
      </c>
      <c r="AA2376" s="14"/>
      <c r="AB2376" s="13" t="s">
        <v>0</v>
      </c>
      <c r="AC2376" s="13" t="s">
        <v>0</v>
      </c>
      <c r="AD2376" s="13" t="s">
        <v>0</v>
      </c>
      <c r="AE2376" s="15">
        <v>0</v>
      </c>
    </row>
    <row r="2377" spans="1:31" ht="14.15" customHeight="1" x14ac:dyDescent="0.25">
      <c r="A2377" s="12" t="s">
        <v>0</v>
      </c>
      <c r="B2377" s="13" t="s">
        <v>1</v>
      </c>
      <c r="C2377" s="13" t="s">
        <v>3197</v>
      </c>
      <c r="D2377" s="14">
        <v>44302</v>
      </c>
      <c r="E2377" s="14">
        <v>44302</v>
      </c>
      <c r="F2377" s="14">
        <v>44308</v>
      </c>
      <c r="G2377" s="13" t="s">
        <v>3</v>
      </c>
      <c r="H2377" s="13" t="s">
        <v>4</v>
      </c>
      <c r="I2377" s="15">
        <v>-3397.14</v>
      </c>
      <c r="J2377" s="13" t="s">
        <v>5</v>
      </c>
      <c r="K2377" s="13" t="s">
        <v>6</v>
      </c>
      <c r="L2377" s="15">
        <v>-285189.90000000002</v>
      </c>
      <c r="M2377" s="15">
        <v>-3397.14</v>
      </c>
      <c r="N2377" s="16" t="str">
        <f>IF(M2377="","",IF(M2377&lt;0,-M2377&amp;"_"&amp;COUNTIF(M$2:M2377,M2377),M2377&amp;"_"&amp;COUNTIF(M$2:M2377,M2377)))</f>
        <v>3397.14_1</v>
      </c>
      <c r="O2377" s="17" t="str">
        <f t="shared" si="37"/>
        <v/>
      </c>
      <c r="P2377" s="13" t="s">
        <v>3198</v>
      </c>
      <c r="Q2377" s="13" t="s">
        <v>3196</v>
      </c>
      <c r="R2377" s="13" t="s">
        <v>0</v>
      </c>
      <c r="S2377" s="13" t="s">
        <v>0</v>
      </c>
      <c r="T2377" s="13" t="s">
        <v>9</v>
      </c>
      <c r="U2377" s="13" t="s">
        <v>0</v>
      </c>
      <c r="V2377" s="13" t="s">
        <v>0</v>
      </c>
      <c r="W2377" s="13" t="s">
        <v>0</v>
      </c>
      <c r="X2377" s="13" t="s">
        <v>0</v>
      </c>
      <c r="Y2377" s="13" t="s">
        <v>10</v>
      </c>
      <c r="Z2377" s="13" t="s">
        <v>0</v>
      </c>
      <c r="AA2377" s="14"/>
      <c r="AB2377" s="13" t="s">
        <v>0</v>
      </c>
      <c r="AC2377" s="13" t="s">
        <v>0</v>
      </c>
      <c r="AD2377" s="13" t="s">
        <v>0</v>
      </c>
      <c r="AE2377" s="15">
        <v>0</v>
      </c>
    </row>
    <row r="2378" spans="1:31" ht="14.15" customHeight="1" x14ac:dyDescent="0.25">
      <c r="A2378" s="12" t="s">
        <v>0</v>
      </c>
      <c r="B2378" s="13" t="s">
        <v>1</v>
      </c>
      <c r="C2378" s="13" t="s">
        <v>3227</v>
      </c>
      <c r="D2378" s="14">
        <v>44306</v>
      </c>
      <c r="E2378" s="14">
        <v>44306</v>
      </c>
      <c r="F2378" s="14">
        <v>44311</v>
      </c>
      <c r="G2378" s="13" t="s">
        <v>3</v>
      </c>
      <c r="H2378" s="13" t="s">
        <v>4</v>
      </c>
      <c r="I2378" s="15">
        <v>-3397.14</v>
      </c>
      <c r="J2378" s="13" t="s">
        <v>5</v>
      </c>
      <c r="K2378" s="13" t="s">
        <v>6</v>
      </c>
      <c r="L2378" s="15">
        <v>-285189.90000000002</v>
      </c>
      <c r="M2378" s="15">
        <v>-3397.14</v>
      </c>
      <c r="N2378" s="16" t="str">
        <f>IF(M2378="","",IF(M2378&lt;0,-M2378&amp;"_"&amp;COUNTIF(M$2:M2378,M2378),M2378&amp;"_"&amp;COUNTIF(M$2:M2378,M2378)))</f>
        <v>3397.14_2</v>
      </c>
      <c r="O2378" s="17" t="str">
        <f t="shared" si="37"/>
        <v/>
      </c>
      <c r="P2378" s="13" t="s">
        <v>3228</v>
      </c>
      <c r="Q2378" s="13" t="s">
        <v>3229</v>
      </c>
      <c r="R2378" s="13" t="s">
        <v>0</v>
      </c>
      <c r="S2378" s="13" t="s">
        <v>0</v>
      </c>
      <c r="T2378" s="13" t="s">
        <v>9</v>
      </c>
      <c r="U2378" s="13" t="s">
        <v>0</v>
      </c>
      <c r="V2378" s="13" t="s">
        <v>0</v>
      </c>
      <c r="W2378" s="13" t="s">
        <v>0</v>
      </c>
      <c r="X2378" s="13" t="s">
        <v>0</v>
      </c>
      <c r="Y2378" s="13" t="s">
        <v>10</v>
      </c>
      <c r="Z2378" s="13" t="s">
        <v>0</v>
      </c>
      <c r="AA2378" s="14"/>
      <c r="AB2378" s="13" t="s">
        <v>0</v>
      </c>
      <c r="AC2378" s="13" t="s">
        <v>0</v>
      </c>
      <c r="AD2378" s="13" t="s">
        <v>0</v>
      </c>
      <c r="AE2378" s="15">
        <v>0</v>
      </c>
    </row>
    <row r="2379" spans="1:31" ht="14.15" customHeight="1" x14ac:dyDescent="0.25">
      <c r="A2379" s="12" t="s">
        <v>0</v>
      </c>
      <c r="B2379" s="13" t="s">
        <v>1</v>
      </c>
      <c r="C2379" s="13" t="s">
        <v>3230</v>
      </c>
      <c r="D2379" s="14">
        <v>44306</v>
      </c>
      <c r="E2379" s="14">
        <v>44306</v>
      </c>
      <c r="F2379" s="14">
        <v>44311</v>
      </c>
      <c r="G2379" s="13" t="s">
        <v>3</v>
      </c>
      <c r="H2379" s="13" t="s">
        <v>4</v>
      </c>
      <c r="I2379" s="15">
        <v>-3397.14</v>
      </c>
      <c r="J2379" s="13" t="s">
        <v>5</v>
      </c>
      <c r="K2379" s="13" t="s">
        <v>6</v>
      </c>
      <c r="L2379" s="15">
        <v>-285189.90000000002</v>
      </c>
      <c r="M2379" s="15">
        <v>-3397.14</v>
      </c>
      <c r="N2379" s="16" t="str">
        <f>IF(M2379="","",IF(M2379&lt;0,-M2379&amp;"_"&amp;COUNTIF(M$2:M2379,M2379),M2379&amp;"_"&amp;COUNTIF(M$2:M2379,M2379)))</f>
        <v>3397.14_3</v>
      </c>
      <c r="O2379" s="17" t="str">
        <f t="shared" si="37"/>
        <v/>
      </c>
      <c r="P2379" s="13" t="s">
        <v>3231</v>
      </c>
      <c r="Q2379" s="13" t="s">
        <v>3229</v>
      </c>
      <c r="R2379" s="13" t="s">
        <v>0</v>
      </c>
      <c r="S2379" s="13" t="s">
        <v>0</v>
      </c>
      <c r="T2379" s="13" t="s">
        <v>9</v>
      </c>
      <c r="U2379" s="13" t="s">
        <v>0</v>
      </c>
      <c r="V2379" s="13" t="s">
        <v>0</v>
      </c>
      <c r="W2379" s="13" t="s">
        <v>0</v>
      </c>
      <c r="X2379" s="13" t="s">
        <v>0</v>
      </c>
      <c r="Y2379" s="13" t="s">
        <v>10</v>
      </c>
      <c r="Z2379" s="13" t="s">
        <v>0</v>
      </c>
      <c r="AA2379" s="14"/>
      <c r="AB2379" s="13" t="s">
        <v>0</v>
      </c>
      <c r="AC2379" s="13" t="s">
        <v>0</v>
      </c>
      <c r="AD2379" s="13" t="s">
        <v>0</v>
      </c>
      <c r="AE2379" s="15">
        <v>0</v>
      </c>
    </row>
    <row r="2380" spans="1:31" ht="14.15" customHeight="1" x14ac:dyDescent="0.25">
      <c r="A2380" s="12" t="s">
        <v>0</v>
      </c>
      <c r="B2380" s="13" t="s">
        <v>1</v>
      </c>
      <c r="C2380" s="13" t="s">
        <v>1250</v>
      </c>
      <c r="D2380" s="14">
        <v>44143</v>
      </c>
      <c r="E2380" s="14">
        <v>44143</v>
      </c>
      <c r="F2380" s="14">
        <v>44146</v>
      </c>
      <c r="G2380" s="13" t="s">
        <v>3</v>
      </c>
      <c r="H2380" s="13" t="s">
        <v>4</v>
      </c>
      <c r="I2380" s="15">
        <v>-3391.1</v>
      </c>
      <c r="J2380" s="13" t="s">
        <v>5</v>
      </c>
      <c r="K2380" s="13" t="s">
        <v>6</v>
      </c>
      <c r="L2380" s="15">
        <v>-284682.84999999998</v>
      </c>
      <c r="M2380" s="15">
        <v>-3391.1</v>
      </c>
      <c r="N2380" s="16" t="str">
        <f>IF(M2380="","",IF(M2380&lt;0,-M2380&amp;"_"&amp;COUNTIF(M$2:M2380,M2380),M2380&amp;"_"&amp;COUNTIF(M$2:M2380,M2380)))</f>
        <v>3391.1_1</v>
      </c>
      <c r="O2380" s="17" t="str">
        <f t="shared" si="37"/>
        <v/>
      </c>
      <c r="P2380" s="13" t="s">
        <v>1251</v>
      </c>
      <c r="Q2380" s="13" t="s">
        <v>1245</v>
      </c>
      <c r="R2380" s="13" t="s">
        <v>0</v>
      </c>
      <c r="S2380" s="13" t="s">
        <v>0</v>
      </c>
      <c r="T2380" s="13" t="s">
        <v>9</v>
      </c>
      <c r="U2380" s="13" t="s">
        <v>0</v>
      </c>
      <c r="V2380" s="13" t="s">
        <v>0</v>
      </c>
      <c r="W2380" s="13" t="s">
        <v>0</v>
      </c>
      <c r="X2380" s="13" t="s">
        <v>0</v>
      </c>
      <c r="Y2380" s="13" t="s">
        <v>10</v>
      </c>
      <c r="Z2380" s="13" t="s">
        <v>0</v>
      </c>
      <c r="AA2380" s="14"/>
      <c r="AB2380" s="13" t="s">
        <v>0</v>
      </c>
      <c r="AC2380" s="13" t="s">
        <v>0</v>
      </c>
      <c r="AD2380" s="13" t="s">
        <v>0</v>
      </c>
      <c r="AE2380" s="15">
        <v>0</v>
      </c>
    </row>
    <row r="2381" spans="1:31" ht="14.15" customHeight="1" x14ac:dyDescent="0.25">
      <c r="A2381" s="12" t="s">
        <v>0</v>
      </c>
      <c r="B2381" s="13" t="s">
        <v>1</v>
      </c>
      <c r="C2381" s="13" t="s">
        <v>3597</v>
      </c>
      <c r="D2381" s="14">
        <v>44328</v>
      </c>
      <c r="E2381" s="14">
        <v>44328</v>
      </c>
      <c r="F2381" s="14">
        <v>44336</v>
      </c>
      <c r="G2381" s="13" t="s">
        <v>3</v>
      </c>
      <c r="H2381" s="13" t="s">
        <v>4</v>
      </c>
      <c r="I2381" s="15">
        <v>-3370.46</v>
      </c>
      <c r="J2381" s="13" t="s">
        <v>5</v>
      </c>
      <c r="K2381" s="13" t="s">
        <v>6</v>
      </c>
      <c r="L2381" s="15">
        <v>-282950.12</v>
      </c>
      <c r="M2381" s="15">
        <v>-3370.46</v>
      </c>
      <c r="N2381" s="16" t="str">
        <f>IF(M2381="","",IF(M2381&lt;0,-M2381&amp;"_"&amp;COUNTIF(M$2:M2381,M2381),M2381&amp;"_"&amp;COUNTIF(M$2:M2381,M2381)))</f>
        <v>3370.46_1</v>
      </c>
      <c r="O2381" s="17" t="str">
        <f t="shared" si="37"/>
        <v/>
      </c>
      <c r="P2381" s="13" t="s">
        <v>3598</v>
      </c>
      <c r="Q2381" s="13" t="s">
        <v>3590</v>
      </c>
      <c r="R2381" s="13" t="s">
        <v>0</v>
      </c>
      <c r="S2381" s="13" t="s">
        <v>0</v>
      </c>
      <c r="T2381" s="13" t="s">
        <v>9</v>
      </c>
      <c r="U2381" s="13" t="s">
        <v>0</v>
      </c>
      <c r="V2381" s="13" t="s">
        <v>0</v>
      </c>
      <c r="W2381" s="13" t="s">
        <v>0</v>
      </c>
      <c r="X2381" s="13" t="s">
        <v>0</v>
      </c>
      <c r="Y2381" s="13" t="s">
        <v>10</v>
      </c>
      <c r="Z2381" s="13" t="s">
        <v>0</v>
      </c>
      <c r="AA2381" s="14"/>
      <c r="AB2381" s="13" t="s">
        <v>0</v>
      </c>
      <c r="AC2381" s="13" t="s">
        <v>0</v>
      </c>
      <c r="AD2381" s="13" t="s">
        <v>0</v>
      </c>
      <c r="AE2381" s="15">
        <v>0</v>
      </c>
    </row>
    <row r="2382" spans="1:31" ht="14.15" customHeight="1" x14ac:dyDescent="0.25">
      <c r="A2382" s="12" t="s">
        <v>0</v>
      </c>
      <c r="B2382" s="13" t="s">
        <v>1</v>
      </c>
      <c r="C2382" s="13" t="s">
        <v>1447</v>
      </c>
      <c r="D2382" s="14">
        <v>44158</v>
      </c>
      <c r="E2382" s="14">
        <v>44158</v>
      </c>
      <c r="F2382" s="14">
        <v>44163</v>
      </c>
      <c r="G2382" s="13" t="s">
        <v>3</v>
      </c>
      <c r="H2382" s="13" t="s">
        <v>4</v>
      </c>
      <c r="I2382" s="15">
        <v>-3355.05</v>
      </c>
      <c r="J2382" s="13" t="s">
        <v>5</v>
      </c>
      <c r="K2382" s="13" t="s">
        <v>6</v>
      </c>
      <c r="L2382" s="15">
        <v>-281656.45</v>
      </c>
      <c r="M2382" s="15">
        <v>-3355.05</v>
      </c>
      <c r="N2382" s="16" t="str">
        <f>IF(M2382="","",IF(M2382&lt;0,-M2382&amp;"_"&amp;COUNTIF(M$2:M2382,M2382),M2382&amp;"_"&amp;COUNTIF(M$2:M2382,M2382)))</f>
        <v>3355.05_1</v>
      </c>
      <c r="O2382" s="17" t="str">
        <f t="shared" si="37"/>
        <v/>
      </c>
      <c r="P2382" s="13" t="s">
        <v>1448</v>
      </c>
      <c r="Q2382" s="13" t="s">
        <v>1444</v>
      </c>
      <c r="R2382" s="13" t="s">
        <v>0</v>
      </c>
      <c r="S2382" s="13" t="s">
        <v>0</v>
      </c>
      <c r="T2382" s="13" t="s">
        <v>9</v>
      </c>
      <c r="U2382" s="13" t="s">
        <v>0</v>
      </c>
      <c r="V2382" s="13" t="s">
        <v>0</v>
      </c>
      <c r="W2382" s="13" t="s">
        <v>0</v>
      </c>
      <c r="X2382" s="13" t="s">
        <v>0</v>
      </c>
      <c r="Y2382" s="13" t="s">
        <v>10</v>
      </c>
      <c r="Z2382" s="13" t="s">
        <v>0</v>
      </c>
      <c r="AA2382" s="14"/>
      <c r="AB2382" s="13" t="s">
        <v>0</v>
      </c>
      <c r="AC2382" s="13" t="s">
        <v>0</v>
      </c>
      <c r="AD2382" s="13" t="s">
        <v>0</v>
      </c>
      <c r="AE2382" s="15">
        <v>0</v>
      </c>
    </row>
    <row r="2383" spans="1:31" ht="14.15" customHeight="1" x14ac:dyDescent="0.25">
      <c r="A2383" s="12" t="s">
        <v>0</v>
      </c>
      <c r="B2383" s="13" t="s">
        <v>1</v>
      </c>
      <c r="C2383" s="13" t="s">
        <v>2609</v>
      </c>
      <c r="D2383" s="14">
        <v>44243</v>
      </c>
      <c r="E2383" s="14">
        <v>44243</v>
      </c>
      <c r="F2383" s="14">
        <v>44252</v>
      </c>
      <c r="G2383" s="13" t="s">
        <v>3</v>
      </c>
      <c r="H2383" s="13" t="s">
        <v>4</v>
      </c>
      <c r="I2383" s="15">
        <v>-3351.13</v>
      </c>
      <c r="J2383" s="13" t="s">
        <v>5</v>
      </c>
      <c r="K2383" s="13" t="s">
        <v>6</v>
      </c>
      <c r="L2383" s="15">
        <v>-281327.35999999999</v>
      </c>
      <c r="M2383" s="15">
        <v>-3351.13</v>
      </c>
      <c r="N2383" s="16" t="str">
        <f>IF(M2383="","",IF(M2383&lt;0,-M2383&amp;"_"&amp;COUNTIF(M$2:M2383,M2383),M2383&amp;"_"&amp;COUNTIF(M$2:M2383,M2383)))</f>
        <v>3351.13_1</v>
      </c>
      <c r="O2383" s="17" t="str">
        <f t="shared" si="37"/>
        <v/>
      </c>
      <c r="P2383" s="13" t="s">
        <v>2610</v>
      </c>
      <c r="Q2383" s="13" t="s">
        <v>2574</v>
      </c>
      <c r="R2383" s="13" t="s">
        <v>0</v>
      </c>
      <c r="S2383" s="13" t="s">
        <v>0</v>
      </c>
      <c r="T2383" s="13" t="s">
        <v>9</v>
      </c>
      <c r="U2383" s="13" t="s">
        <v>0</v>
      </c>
      <c r="V2383" s="13" t="s">
        <v>0</v>
      </c>
      <c r="W2383" s="13" t="s">
        <v>0</v>
      </c>
      <c r="X2383" s="13" t="s">
        <v>0</v>
      </c>
      <c r="Y2383" s="13" t="s">
        <v>10</v>
      </c>
      <c r="Z2383" s="13" t="s">
        <v>0</v>
      </c>
      <c r="AA2383" s="14"/>
      <c r="AB2383" s="13" t="s">
        <v>0</v>
      </c>
      <c r="AC2383" s="13" t="s">
        <v>0</v>
      </c>
      <c r="AD2383" s="13" t="s">
        <v>0</v>
      </c>
      <c r="AE2383" s="15">
        <v>0</v>
      </c>
    </row>
    <row r="2384" spans="1:31" ht="14.15" customHeight="1" x14ac:dyDescent="0.25">
      <c r="A2384" s="12" t="s">
        <v>0</v>
      </c>
      <c r="B2384" s="13" t="s">
        <v>1</v>
      </c>
      <c r="C2384" s="13" t="s">
        <v>4306</v>
      </c>
      <c r="D2384" s="14">
        <v>44371</v>
      </c>
      <c r="E2384" s="14">
        <v>44371</v>
      </c>
      <c r="F2384" s="14">
        <v>44371</v>
      </c>
      <c r="G2384" s="13" t="s">
        <v>3</v>
      </c>
      <c r="H2384" s="13" t="s">
        <v>4</v>
      </c>
      <c r="I2384" s="15">
        <v>-3334.67</v>
      </c>
      <c r="J2384" s="13" t="s">
        <v>5</v>
      </c>
      <c r="K2384" s="13" t="s">
        <v>6</v>
      </c>
      <c r="L2384" s="15">
        <v>-279945.55</v>
      </c>
      <c r="M2384" s="15">
        <v>-3334.67</v>
      </c>
      <c r="N2384" s="16" t="str">
        <f>IF(M2384="","",IF(M2384&lt;0,-M2384&amp;"_"&amp;COUNTIF(M$2:M2384,M2384),M2384&amp;"_"&amp;COUNTIF(M$2:M2384,M2384)))</f>
        <v>3334.67_1</v>
      </c>
      <c r="O2384" s="17" t="str">
        <f t="shared" si="37"/>
        <v/>
      </c>
      <c r="P2384" s="13" t="s">
        <v>4268</v>
      </c>
      <c r="Q2384" s="13" t="s">
        <v>4307</v>
      </c>
      <c r="R2384" s="13" t="s">
        <v>0</v>
      </c>
      <c r="S2384" s="13" t="s">
        <v>0</v>
      </c>
      <c r="T2384" s="13" t="s">
        <v>9</v>
      </c>
      <c r="U2384" s="13" t="s">
        <v>0</v>
      </c>
      <c r="V2384" s="13" t="s">
        <v>0</v>
      </c>
      <c r="W2384" s="13" t="s">
        <v>0</v>
      </c>
      <c r="X2384" s="13" t="s">
        <v>0</v>
      </c>
      <c r="Y2384" s="13" t="s">
        <v>10</v>
      </c>
      <c r="Z2384" s="13" t="s">
        <v>0</v>
      </c>
      <c r="AA2384" s="14"/>
      <c r="AB2384" s="13" t="s">
        <v>0</v>
      </c>
      <c r="AC2384" s="13" t="s">
        <v>0</v>
      </c>
      <c r="AD2384" s="13" t="s">
        <v>0</v>
      </c>
      <c r="AE2384" s="15">
        <v>0</v>
      </c>
    </row>
    <row r="2385" spans="1:31" ht="14.15" customHeight="1" x14ac:dyDescent="0.25">
      <c r="A2385" s="12" t="s">
        <v>0</v>
      </c>
      <c r="B2385" s="13" t="s">
        <v>1</v>
      </c>
      <c r="C2385" s="13" t="s">
        <v>1895</v>
      </c>
      <c r="D2385" s="14">
        <v>44189</v>
      </c>
      <c r="E2385" s="14">
        <v>44189</v>
      </c>
      <c r="F2385" s="14">
        <v>44195</v>
      </c>
      <c r="G2385" s="13" t="s">
        <v>3</v>
      </c>
      <c r="H2385" s="13" t="s">
        <v>4</v>
      </c>
      <c r="I2385" s="15">
        <v>-3320.06</v>
      </c>
      <c r="J2385" s="13" t="s">
        <v>5</v>
      </c>
      <c r="K2385" s="13" t="s">
        <v>6</v>
      </c>
      <c r="L2385" s="15">
        <v>-278719.03999999998</v>
      </c>
      <c r="M2385" s="15">
        <v>-3320.06</v>
      </c>
      <c r="N2385" s="16" t="str">
        <f>IF(M2385="","",IF(M2385&lt;0,-M2385&amp;"_"&amp;COUNTIF(M$2:M2385,M2385),M2385&amp;"_"&amp;COUNTIF(M$2:M2385,M2385)))</f>
        <v>3320.06_1</v>
      </c>
      <c r="O2385" s="17" t="str">
        <f t="shared" si="37"/>
        <v/>
      </c>
      <c r="P2385" s="13" t="s">
        <v>1896</v>
      </c>
      <c r="Q2385" s="13" t="s">
        <v>1886</v>
      </c>
      <c r="R2385" s="13" t="s">
        <v>0</v>
      </c>
      <c r="S2385" s="13" t="s">
        <v>0</v>
      </c>
      <c r="T2385" s="13" t="s">
        <v>9</v>
      </c>
      <c r="U2385" s="13" t="s">
        <v>0</v>
      </c>
      <c r="V2385" s="13" t="s">
        <v>0</v>
      </c>
      <c r="W2385" s="13" t="s">
        <v>0</v>
      </c>
      <c r="X2385" s="13" t="s">
        <v>0</v>
      </c>
      <c r="Y2385" s="13" t="s">
        <v>10</v>
      </c>
      <c r="Z2385" s="13" t="s">
        <v>0</v>
      </c>
      <c r="AA2385" s="14"/>
      <c r="AB2385" s="13" t="s">
        <v>0</v>
      </c>
      <c r="AC2385" s="13" t="s">
        <v>0</v>
      </c>
      <c r="AD2385" s="13" t="s">
        <v>0</v>
      </c>
      <c r="AE2385" s="15">
        <v>0</v>
      </c>
    </row>
    <row r="2386" spans="1:31" ht="14.15" customHeight="1" x14ac:dyDescent="0.25">
      <c r="A2386" s="12" t="s">
        <v>0</v>
      </c>
      <c r="B2386" s="13" t="s">
        <v>1</v>
      </c>
      <c r="C2386" s="13" t="s">
        <v>920</v>
      </c>
      <c r="D2386" s="14">
        <v>44117</v>
      </c>
      <c r="E2386" s="14">
        <v>44117</v>
      </c>
      <c r="F2386" s="14">
        <v>44121</v>
      </c>
      <c r="G2386" s="13" t="s">
        <v>3</v>
      </c>
      <c r="H2386" s="13" t="s">
        <v>4</v>
      </c>
      <c r="I2386" s="15">
        <v>-3313.01</v>
      </c>
      <c r="J2386" s="13" t="s">
        <v>5</v>
      </c>
      <c r="K2386" s="13" t="s">
        <v>6</v>
      </c>
      <c r="L2386" s="15">
        <v>-278127.19</v>
      </c>
      <c r="M2386" s="15">
        <v>-3313.01</v>
      </c>
      <c r="N2386" s="16" t="str">
        <f>IF(M2386="","",IF(M2386&lt;0,-M2386&amp;"_"&amp;COUNTIF(M$2:M2386,M2386),M2386&amp;"_"&amp;COUNTIF(M$2:M2386,M2386)))</f>
        <v>3313.01_1</v>
      </c>
      <c r="O2386" s="17" t="str">
        <f t="shared" si="37"/>
        <v/>
      </c>
      <c r="P2386" s="13" t="s">
        <v>921</v>
      </c>
      <c r="Q2386" s="13" t="s">
        <v>917</v>
      </c>
      <c r="R2386" s="13" t="s">
        <v>0</v>
      </c>
      <c r="S2386" s="13" t="s">
        <v>0</v>
      </c>
      <c r="T2386" s="13" t="s">
        <v>9</v>
      </c>
      <c r="U2386" s="13" t="s">
        <v>0</v>
      </c>
      <c r="V2386" s="13" t="s">
        <v>0</v>
      </c>
      <c r="W2386" s="13" t="s">
        <v>0</v>
      </c>
      <c r="X2386" s="13" t="s">
        <v>0</v>
      </c>
      <c r="Y2386" s="13" t="s">
        <v>10</v>
      </c>
      <c r="Z2386" s="13" t="s">
        <v>0</v>
      </c>
      <c r="AA2386" s="14"/>
      <c r="AB2386" s="13" t="s">
        <v>0</v>
      </c>
      <c r="AC2386" s="13" t="s">
        <v>0</v>
      </c>
      <c r="AD2386" s="13" t="s">
        <v>0</v>
      </c>
      <c r="AE2386" s="15">
        <v>0</v>
      </c>
    </row>
    <row r="2387" spans="1:31" ht="14.15" customHeight="1" x14ac:dyDescent="0.25">
      <c r="A2387" s="12" t="s">
        <v>0</v>
      </c>
      <c r="B2387" s="13" t="s">
        <v>1</v>
      </c>
      <c r="C2387" s="13" t="s">
        <v>86</v>
      </c>
      <c r="D2387" s="14">
        <v>44021</v>
      </c>
      <c r="E2387" s="14">
        <v>44021</v>
      </c>
      <c r="F2387" s="14">
        <v>44032</v>
      </c>
      <c r="G2387" s="13" t="s">
        <v>3</v>
      </c>
      <c r="H2387" s="13" t="s">
        <v>4</v>
      </c>
      <c r="I2387" s="15">
        <v>-3306.42</v>
      </c>
      <c r="J2387" s="13" t="s">
        <v>5</v>
      </c>
      <c r="K2387" s="13" t="s">
        <v>6</v>
      </c>
      <c r="L2387" s="15">
        <v>-277573.96000000002</v>
      </c>
      <c r="M2387" s="15">
        <v>-3306.42</v>
      </c>
      <c r="N2387" s="16" t="str">
        <f>IF(M2387="","",IF(M2387&lt;0,-M2387&amp;"_"&amp;COUNTIF(M$2:M2387,M2387),M2387&amp;"_"&amp;COUNTIF(M$2:M2387,M2387)))</f>
        <v>3306.42_1</v>
      </c>
      <c r="O2387" s="17" t="str">
        <f t="shared" si="37"/>
        <v/>
      </c>
      <c r="P2387" s="13" t="s">
        <v>87</v>
      </c>
      <c r="Q2387" s="13" t="s">
        <v>85</v>
      </c>
      <c r="R2387" s="13" t="s">
        <v>0</v>
      </c>
      <c r="S2387" s="13" t="s">
        <v>0</v>
      </c>
      <c r="T2387" s="13" t="s">
        <v>9</v>
      </c>
      <c r="U2387" s="13" t="s">
        <v>0</v>
      </c>
      <c r="V2387" s="13" t="s">
        <v>0</v>
      </c>
      <c r="W2387" s="13" t="s">
        <v>0</v>
      </c>
      <c r="X2387" s="13" t="s">
        <v>0</v>
      </c>
      <c r="Y2387" s="13" t="s">
        <v>10</v>
      </c>
      <c r="Z2387" s="13" t="s">
        <v>0</v>
      </c>
      <c r="AA2387" s="14"/>
      <c r="AB2387" s="13" t="s">
        <v>0</v>
      </c>
      <c r="AC2387" s="13" t="s">
        <v>0</v>
      </c>
      <c r="AD2387" s="13" t="s">
        <v>0</v>
      </c>
      <c r="AE2387" s="15">
        <v>0</v>
      </c>
    </row>
    <row r="2388" spans="1:31" ht="14.15" customHeight="1" x14ac:dyDescent="0.25">
      <c r="A2388" s="12" t="s">
        <v>0</v>
      </c>
      <c r="B2388" s="13" t="s">
        <v>1</v>
      </c>
      <c r="C2388" s="13" t="s">
        <v>1784</v>
      </c>
      <c r="D2388" s="14">
        <v>44182</v>
      </c>
      <c r="E2388" s="14">
        <v>44182</v>
      </c>
      <c r="F2388" s="14">
        <v>44199</v>
      </c>
      <c r="G2388" s="13" t="s">
        <v>3</v>
      </c>
      <c r="H2388" s="13" t="s">
        <v>4</v>
      </c>
      <c r="I2388" s="15">
        <v>-3302.21</v>
      </c>
      <c r="J2388" s="13" t="s">
        <v>5</v>
      </c>
      <c r="K2388" s="13" t="s">
        <v>6</v>
      </c>
      <c r="L2388" s="15">
        <v>-277220.53000000003</v>
      </c>
      <c r="M2388" s="15">
        <v>-3302.21</v>
      </c>
      <c r="N2388" s="16" t="str">
        <f>IF(M2388="","",IF(M2388&lt;0,-M2388&amp;"_"&amp;COUNTIF(M$2:M2388,M2388),M2388&amp;"_"&amp;COUNTIF(M$2:M2388,M2388)))</f>
        <v>3302.21_1</v>
      </c>
      <c r="O2388" s="17" t="str">
        <f t="shared" si="37"/>
        <v/>
      </c>
      <c r="P2388" s="13" t="s">
        <v>1785</v>
      </c>
      <c r="Q2388" s="13" t="s">
        <v>1777</v>
      </c>
      <c r="R2388" s="13" t="s">
        <v>0</v>
      </c>
      <c r="S2388" s="13" t="s">
        <v>0</v>
      </c>
      <c r="T2388" s="13" t="s">
        <v>9</v>
      </c>
      <c r="U2388" s="13" t="s">
        <v>0</v>
      </c>
      <c r="V2388" s="13" t="s">
        <v>0</v>
      </c>
      <c r="W2388" s="13" t="s">
        <v>0</v>
      </c>
      <c r="X2388" s="13" t="s">
        <v>0</v>
      </c>
      <c r="Y2388" s="13" t="s">
        <v>10</v>
      </c>
      <c r="Z2388" s="13" t="s">
        <v>0</v>
      </c>
      <c r="AA2388" s="14"/>
      <c r="AB2388" s="13" t="s">
        <v>0</v>
      </c>
      <c r="AC2388" s="13" t="s">
        <v>0</v>
      </c>
      <c r="AD2388" s="13" t="s">
        <v>0</v>
      </c>
      <c r="AE2388" s="15">
        <v>0</v>
      </c>
    </row>
    <row r="2389" spans="1:31" ht="14.15" customHeight="1" x14ac:dyDescent="0.25">
      <c r="A2389" s="12" t="s">
        <v>0</v>
      </c>
      <c r="B2389" s="13" t="s">
        <v>1</v>
      </c>
      <c r="C2389" s="13" t="s">
        <v>2976</v>
      </c>
      <c r="D2389" s="14">
        <v>44279</v>
      </c>
      <c r="E2389" s="14">
        <v>44279</v>
      </c>
      <c r="F2389" s="14">
        <v>44286</v>
      </c>
      <c r="G2389" s="13" t="s">
        <v>3</v>
      </c>
      <c r="H2389" s="13" t="s">
        <v>4</v>
      </c>
      <c r="I2389" s="15">
        <v>-3293.43</v>
      </c>
      <c r="J2389" s="13" t="s">
        <v>5</v>
      </c>
      <c r="K2389" s="13" t="s">
        <v>6</v>
      </c>
      <c r="L2389" s="15">
        <v>-276483.45</v>
      </c>
      <c r="M2389" s="15">
        <v>-3293.43</v>
      </c>
      <c r="N2389" s="16" t="str">
        <f>IF(M2389="","",IF(M2389&lt;0,-M2389&amp;"_"&amp;COUNTIF(M$2:M2389,M2389),M2389&amp;"_"&amp;COUNTIF(M$2:M2389,M2389)))</f>
        <v>3293.43_1</v>
      </c>
      <c r="O2389" s="17" t="str">
        <f t="shared" si="37"/>
        <v/>
      </c>
      <c r="P2389" s="13" t="s">
        <v>2977</v>
      </c>
      <c r="Q2389" s="13" t="s">
        <v>2978</v>
      </c>
      <c r="R2389" s="13" t="s">
        <v>0</v>
      </c>
      <c r="S2389" s="13" t="s">
        <v>0</v>
      </c>
      <c r="T2389" s="13" t="s">
        <v>9</v>
      </c>
      <c r="U2389" s="13" t="s">
        <v>0</v>
      </c>
      <c r="V2389" s="13" t="s">
        <v>0</v>
      </c>
      <c r="W2389" s="13" t="s">
        <v>0</v>
      </c>
      <c r="X2389" s="13" t="s">
        <v>0</v>
      </c>
      <c r="Y2389" s="13" t="s">
        <v>10</v>
      </c>
      <c r="Z2389" s="13" t="s">
        <v>0</v>
      </c>
      <c r="AA2389" s="14"/>
      <c r="AB2389" s="13" t="s">
        <v>0</v>
      </c>
      <c r="AC2389" s="13" t="s">
        <v>0</v>
      </c>
      <c r="AD2389" s="13" t="s">
        <v>0</v>
      </c>
      <c r="AE2389" s="15">
        <v>0</v>
      </c>
    </row>
    <row r="2390" spans="1:31" ht="14.15" customHeight="1" x14ac:dyDescent="0.25">
      <c r="A2390" s="12" t="s">
        <v>0</v>
      </c>
      <c r="B2390" s="13" t="s">
        <v>454</v>
      </c>
      <c r="C2390" s="13" t="s">
        <v>3256</v>
      </c>
      <c r="D2390" s="14">
        <v>44308</v>
      </c>
      <c r="E2390" s="14">
        <v>44308</v>
      </c>
      <c r="F2390" s="14">
        <v>44312</v>
      </c>
      <c r="G2390" s="13" t="s">
        <v>3</v>
      </c>
      <c r="H2390" s="13" t="s">
        <v>4</v>
      </c>
      <c r="I2390" s="15">
        <v>-3291.16</v>
      </c>
      <c r="J2390" s="13" t="s">
        <v>5</v>
      </c>
      <c r="K2390" s="13" t="s">
        <v>6</v>
      </c>
      <c r="L2390" s="15">
        <v>-276292.88</v>
      </c>
      <c r="M2390" s="15">
        <v>-3291.16</v>
      </c>
      <c r="N2390" s="16" t="str">
        <f>IF(M2390="","",IF(M2390&lt;0,-M2390&amp;"_"&amp;COUNTIF(M$2:M2390,M2390),M2390&amp;"_"&amp;COUNTIF(M$2:M2390,M2390)))</f>
        <v>3291.16_1</v>
      </c>
      <c r="O2390" s="17" t="str">
        <f t="shared" si="37"/>
        <v/>
      </c>
      <c r="P2390" s="13" t="s">
        <v>3257</v>
      </c>
      <c r="Q2390" s="13" t="s">
        <v>3251</v>
      </c>
      <c r="R2390" s="13" t="s">
        <v>0</v>
      </c>
      <c r="S2390" s="13" t="s">
        <v>0</v>
      </c>
      <c r="T2390" s="13" t="s">
        <v>9</v>
      </c>
      <c r="U2390" s="13" t="s">
        <v>0</v>
      </c>
      <c r="V2390" s="13" t="s">
        <v>0</v>
      </c>
      <c r="W2390" s="13" t="s">
        <v>0</v>
      </c>
      <c r="X2390" s="13" t="s">
        <v>0</v>
      </c>
      <c r="Y2390" s="13" t="s">
        <v>10</v>
      </c>
      <c r="Z2390" s="13" t="s">
        <v>0</v>
      </c>
      <c r="AA2390" s="14"/>
      <c r="AB2390" s="13" t="s">
        <v>0</v>
      </c>
      <c r="AC2390" s="13" t="s">
        <v>0</v>
      </c>
      <c r="AD2390" s="13" t="s">
        <v>0</v>
      </c>
      <c r="AE2390" s="15">
        <v>0</v>
      </c>
    </row>
    <row r="2391" spans="1:31" ht="14.15" customHeight="1" x14ac:dyDescent="0.25">
      <c r="A2391" s="12" t="s">
        <v>0</v>
      </c>
      <c r="B2391" s="13" t="s">
        <v>1</v>
      </c>
      <c r="C2391" s="13" t="s">
        <v>1947</v>
      </c>
      <c r="D2391" s="14">
        <v>44194</v>
      </c>
      <c r="E2391" s="14">
        <v>44194</v>
      </c>
      <c r="F2391" s="14">
        <v>44199</v>
      </c>
      <c r="G2391" s="13" t="s">
        <v>3</v>
      </c>
      <c r="H2391" s="13" t="s">
        <v>4</v>
      </c>
      <c r="I2391" s="15">
        <v>-3290.56</v>
      </c>
      <c r="J2391" s="13" t="s">
        <v>5</v>
      </c>
      <c r="K2391" s="13" t="s">
        <v>6</v>
      </c>
      <c r="L2391" s="15">
        <v>-276242.51</v>
      </c>
      <c r="M2391" s="15">
        <v>-3290.56</v>
      </c>
      <c r="N2391" s="16" t="str">
        <f>IF(M2391="","",IF(M2391&lt;0,-M2391&amp;"_"&amp;COUNTIF(M$2:M2391,M2391),M2391&amp;"_"&amp;COUNTIF(M$2:M2391,M2391)))</f>
        <v>3290.56_1</v>
      </c>
      <c r="O2391" s="17" t="str">
        <f t="shared" si="37"/>
        <v/>
      </c>
      <c r="P2391" s="13" t="s">
        <v>1948</v>
      </c>
      <c r="Q2391" s="13" t="s">
        <v>1949</v>
      </c>
      <c r="R2391" s="13" t="s">
        <v>0</v>
      </c>
      <c r="S2391" s="13" t="s">
        <v>0</v>
      </c>
      <c r="T2391" s="13" t="s">
        <v>9</v>
      </c>
      <c r="U2391" s="13" t="s">
        <v>0</v>
      </c>
      <c r="V2391" s="13" t="s">
        <v>0</v>
      </c>
      <c r="W2391" s="13" t="s">
        <v>0</v>
      </c>
      <c r="X2391" s="13" t="s">
        <v>0</v>
      </c>
      <c r="Y2391" s="13" t="s">
        <v>10</v>
      </c>
      <c r="Z2391" s="13" t="s">
        <v>0</v>
      </c>
      <c r="AA2391" s="14"/>
      <c r="AB2391" s="13" t="s">
        <v>0</v>
      </c>
      <c r="AC2391" s="13" t="s">
        <v>0</v>
      </c>
      <c r="AD2391" s="13" t="s">
        <v>0</v>
      </c>
      <c r="AE2391" s="15">
        <v>0</v>
      </c>
    </row>
    <row r="2392" spans="1:31" ht="14.15" customHeight="1" x14ac:dyDescent="0.25">
      <c r="A2392" s="12" t="s">
        <v>0</v>
      </c>
      <c r="B2392" s="13" t="s">
        <v>1</v>
      </c>
      <c r="C2392" s="13" t="s">
        <v>1786</v>
      </c>
      <c r="D2392" s="14">
        <v>44182</v>
      </c>
      <c r="E2392" s="14">
        <v>44182</v>
      </c>
      <c r="F2392" s="14">
        <v>44199</v>
      </c>
      <c r="G2392" s="13" t="s">
        <v>3</v>
      </c>
      <c r="H2392" s="13" t="s">
        <v>4</v>
      </c>
      <c r="I2392" s="15">
        <v>-3285.27</v>
      </c>
      <c r="J2392" s="13" t="s">
        <v>5</v>
      </c>
      <c r="K2392" s="13" t="s">
        <v>6</v>
      </c>
      <c r="L2392" s="15">
        <v>-275798.42</v>
      </c>
      <c r="M2392" s="15">
        <v>-3285.27</v>
      </c>
      <c r="N2392" s="16" t="str">
        <f>IF(M2392="","",IF(M2392&lt;0,-M2392&amp;"_"&amp;COUNTIF(M$2:M2392,M2392),M2392&amp;"_"&amp;COUNTIF(M$2:M2392,M2392)))</f>
        <v>3285.27_1</v>
      </c>
      <c r="O2392" s="17" t="str">
        <f t="shared" si="37"/>
        <v/>
      </c>
      <c r="P2392" s="13" t="s">
        <v>1787</v>
      </c>
      <c r="Q2392" s="13" t="s">
        <v>1777</v>
      </c>
      <c r="R2392" s="13" t="s">
        <v>0</v>
      </c>
      <c r="S2392" s="13" t="s">
        <v>0</v>
      </c>
      <c r="T2392" s="13" t="s">
        <v>9</v>
      </c>
      <c r="U2392" s="13" t="s">
        <v>0</v>
      </c>
      <c r="V2392" s="13" t="s">
        <v>0</v>
      </c>
      <c r="W2392" s="13" t="s">
        <v>0</v>
      </c>
      <c r="X2392" s="13" t="s">
        <v>0</v>
      </c>
      <c r="Y2392" s="13" t="s">
        <v>10</v>
      </c>
      <c r="Z2392" s="13" t="s">
        <v>0</v>
      </c>
      <c r="AA2392" s="14"/>
      <c r="AB2392" s="13" t="s">
        <v>0</v>
      </c>
      <c r="AC2392" s="13" t="s">
        <v>0</v>
      </c>
      <c r="AD2392" s="13" t="s">
        <v>0</v>
      </c>
      <c r="AE2392" s="15">
        <v>0</v>
      </c>
    </row>
    <row r="2393" spans="1:31" ht="14.15" customHeight="1" x14ac:dyDescent="0.25">
      <c r="A2393" s="12" t="s">
        <v>0</v>
      </c>
      <c r="B2393" s="13" t="s">
        <v>1</v>
      </c>
      <c r="C2393" s="13" t="s">
        <v>4178</v>
      </c>
      <c r="D2393" s="14">
        <v>44364</v>
      </c>
      <c r="E2393" s="14">
        <v>44364</v>
      </c>
      <c r="F2393" s="14">
        <v>44368</v>
      </c>
      <c r="G2393" s="13" t="s">
        <v>3</v>
      </c>
      <c r="H2393" s="13" t="s">
        <v>4</v>
      </c>
      <c r="I2393" s="15">
        <v>-3284.94</v>
      </c>
      <c r="J2393" s="13" t="s">
        <v>5</v>
      </c>
      <c r="K2393" s="13" t="s">
        <v>6</v>
      </c>
      <c r="L2393" s="15">
        <v>-275770.71000000002</v>
      </c>
      <c r="M2393" s="15">
        <v>-3284.94</v>
      </c>
      <c r="N2393" s="16" t="str">
        <f>IF(M2393="","",IF(M2393&lt;0,-M2393&amp;"_"&amp;COUNTIF(M$2:M2393,M2393),M2393&amp;"_"&amp;COUNTIF(M$2:M2393,M2393)))</f>
        <v>3284.94_1</v>
      </c>
      <c r="O2393" s="17" t="str">
        <f t="shared" si="37"/>
        <v/>
      </c>
      <c r="P2393" s="13" t="s">
        <v>4179</v>
      </c>
      <c r="Q2393" s="13" t="s">
        <v>4180</v>
      </c>
      <c r="R2393" s="13" t="s">
        <v>0</v>
      </c>
      <c r="S2393" s="13" t="s">
        <v>0</v>
      </c>
      <c r="T2393" s="13" t="s">
        <v>9</v>
      </c>
      <c r="U2393" s="13" t="s">
        <v>0</v>
      </c>
      <c r="V2393" s="13" t="s">
        <v>0</v>
      </c>
      <c r="W2393" s="13" t="s">
        <v>0</v>
      </c>
      <c r="X2393" s="13" t="s">
        <v>0</v>
      </c>
      <c r="Y2393" s="13" t="s">
        <v>10</v>
      </c>
      <c r="Z2393" s="13" t="s">
        <v>0</v>
      </c>
      <c r="AA2393" s="14"/>
      <c r="AB2393" s="13" t="s">
        <v>0</v>
      </c>
      <c r="AC2393" s="13" t="s">
        <v>0</v>
      </c>
      <c r="AD2393" s="13" t="s">
        <v>0</v>
      </c>
      <c r="AE2393" s="15">
        <v>0</v>
      </c>
    </row>
    <row r="2394" spans="1:31" ht="14.15" customHeight="1" x14ac:dyDescent="0.25">
      <c r="A2394" s="12" t="s">
        <v>0</v>
      </c>
      <c r="B2394" s="13" t="s">
        <v>454</v>
      </c>
      <c r="C2394" s="13" t="s">
        <v>4051</v>
      </c>
      <c r="D2394" s="14">
        <v>44358</v>
      </c>
      <c r="E2394" s="14">
        <v>44358</v>
      </c>
      <c r="F2394" s="14">
        <v>44366</v>
      </c>
      <c r="G2394" s="13" t="s">
        <v>3</v>
      </c>
      <c r="H2394" s="13" t="s">
        <v>4</v>
      </c>
      <c r="I2394" s="15">
        <v>-3279</v>
      </c>
      <c r="J2394" s="13" t="s">
        <v>5</v>
      </c>
      <c r="K2394" s="13" t="s">
        <v>6</v>
      </c>
      <c r="L2394" s="15">
        <v>-275272.05</v>
      </c>
      <c r="M2394" s="15">
        <v>-3279</v>
      </c>
      <c r="N2394" s="16" t="str">
        <f>IF(M2394="","",IF(M2394&lt;0,-M2394&amp;"_"&amp;COUNTIF(M$2:M2394,M2394),M2394&amp;"_"&amp;COUNTIF(M$2:M2394,M2394)))</f>
        <v>3279_1</v>
      </c>
      <c r="O2394" s="17" t="str">
        <f t="shared" si="37"/>
        <v/>
      </c>
      <c r="P2394" s="13" t="s">
        <v>4052</v>
      </c>
      <c r="Q2394" s="13" t="s">
        <v>4006</v>
      </c>
      <c r="R2394" s="13" t="s">
        <v>0</v>
      </c>
      <c r="S2394" s="13" t="s">
        <v>0</v>
      </c>
      <c r="T2394" s="13" t="s">
        <v>9</v>
      </c>
      <c r="U2394" s="13" t="s">
        <v>0</v>
      </c>
      <c r="V2394" s="13" t="s">
        <v>0</v>
      </c>
      <c r="W2394" s="13" t="s">
        <v>0</v>
      </c>
      <c r="X2394" s="13" t="s">
        <v>0</v>
      </c>
      <c r="Y2394" s="13" t="s">
        <v>10</v>
      </c>
      <c r="Z2394" s="13" t="s">
        <v>0</v>
      </c>
      <c r="AA2394" s="14"/>
      <c r="AB2394" s="13" t="s">
        <v>0</v>
      </c>
      <c r="AC2394" s="13" t="s">
        <v>0</v>
      </c>
      <c r="AD2394" s="13" t="s">
        <v>0</v>
      </c>
      <c r="AE2394" s="15">
        <v>0</v>
      </c>
    </row>
    <row r="2395" spans="1:31" ht="14.15" customHeight="1" x14ac:dyDescent="0.25">
      <c r="A2395" s="12" t="s">
        <v>0</v>
      </c>
      <c r="B2395" s="13" t="s">
        <v>1</v>
      </c>
      <c r="C2395" s="13" t="s">
        <v>1685</v>
      </c>
      <c r="D2395" s="14">
        <v>44173</v>
      </c>
      <c r="E2395" s="14">
        <v>44173</v>
      </c>
      <c r="F2395" s="14">
        <v>44178</v>
      </c>
      <c r="G2395" s="13" t="s">
        <v>3</v>
      </c>
      <c r="H2395" s="13" t="s">
        <v>4</v>
      </c>
      <c r="I2395" s="15">
        <v>-3272.89</v>
      </c>
      <c r="J2395" s="13" t="s">
        <v>5</v>
      </c>
      <c r="K2395" s="13" t="s">
        <v>6</v>
      </c>
      <c r="L2395" s="15">
        <v>-274759.12</v>
      </c>
      <c r="M2395" s="15">
        <v>-3272.89</v>
      </c>
      <c r="N2395" s="16" t="str">
        <f>IF(M2395="","",IF(M2395&lt;0,-M2395&amp;"_"&amp;COUNTIF(M$2:M2395,M2395),M2395&amp;"_"&amp;COUNTIF(M$2:M2395,M2395)))</f>
        <v>3272.89_1</v>
      </c>
      <c r="O2395" s="17" t="str">
        <f t="shared" si="37"/>
        <v/>
      </c>
      <c r="P2395" s="13" t="s">
        <v>1686</v>
      </c>
      <c r="Q2395" s="13" t="s">
        <v>1687</v>
      </c>
      <c r="R2395" s="13" t="s">
        <v>0</v>
      </c>
      <c r="S2395" s="13" t="s">
        <v>0</v>
      </c>
      <c r="T2395" s="13" t="s">
        <v>9</v>
      </c>
      <c r="U2395" s="13" t="s">
        <v>0</v>
      </c>
      <c r="V2395" s="13" t="s">
        <v>0</v>
      </c>
      <c r="W2395" s="13" t="s">
        <v>0</v>
      </c>
      <c r="X2395" s="13" t="s">
        <v>0</v>
      </c>
      <c r="Y2395" s="13" t="s">
        <v>10</v>
      </c>
      <c r="Z2395" s="13" t="s">
        <v>0</v>
      </c>
      <c r="AA2395" s="14"/>
      <c r="AB2395" s="13" t="s">
        <v>0</v>
      </c>
      <c r="AC2395" s="13" t="s">
        <v>0</v>
      </c>
      <c r="AD2395" s="13" t="s">
        <v>0</v>
      </c>
      <c r="AE2395" s="15">
        <v>0</v>
      </c>
    </row>
    <row r="2396" spans="1:31" ht="14.15" customHeight="1" x14ac:dyDescent="0.25">
      <c r="A2396" s="12" t="s">
        <v>0</v>
      </c>
      <c r="B2396" s="13" t="s">
        <v>1</v>
      </c>
      <c r="C2396" s="13" t="s">
        <v>1685</v>
      </c>
      <c r="D2396" s="14">
        <v>44173</v>
      </c>
      <c r="E2396" s="14">
        <v>44173</v>
      </c>
      <c r="F2396" s="14">
        <v>44178</v>
      </c>
      <c r="G2396" s="13" t="s">
        <v>3</v>
      </c>
      <c r="H2396" s="13" t="s">
        <v>4</v>
      </c>
      <c r="I2396" s="15">
        <v>-3272.89</v>
      </c>
      <c r="J2396" s="13" t="s">
        <v>5</v>
      </c>
      <c r="K2396" s="13" t="s">
        <v>6</v>
      </c>
      <c r="L2396" s="15">
        <v>-274759.12</v>
      </c>
      <c r="M2396" s="15">
        <v>-3272.89</v>
      </c>
      <c r="N2396" s="16" t="str">
        <f>IF(M2396="","",IF(M2396&lt;0,-M2396&amp;"_"&amp;COUNTIF(M$2:M2396,M2396),M2396&amp;"_"&amp;COUNTIF(M$2:M2396,M2396)))</f>
        <v>3272.89_2</v>
      </c>
      <c r="O2396" s="17" t="str">
        <f t="shared" si="37"/>
        <v/>
      </c>
      <c r="P2396" s="13" t="s">
        <v>1686</v>
      </c>
      <c r="Q2396" s="13" t="s">
        <v>1687</v>
      </c>
      <c r="R2396" s="13" t="s">
        <v>0</v>
      </c>
      <c r="S2396" s="13" t="s">
        <v>0</v>
      </c>
      <c r="T2396" s="13" t="s">
        <v>9</v>
      </c>
      <c r="U2396" s="13" t="s">
        <v>0</v>
      </c>
      <c r="V2396" s="13" t="s">
        <v>0</v>
      </c>
      <c r="W2396" s="13" t="s">
        <v>0</v>
      </c>
      <c r="X2396" s="13" t="s">
        <v>0</v>
      </c>
      <c r="Y2396" s="13" t="s">
        <v>10</v>
      </c>
      <c r="Z2396" s="13" t="s">
        <v>0</v>
      </c>
      <c r="AA2396" s="14"/>
      <c r="AB2396" s="13" t="s">
        <v>0</v>
      </c>
      <c r="AC2396" s="13" t="s">
        <v>0</v>
      </c>
      <c r="AD2396" s="13" t="s">
        <v>0</v>
      </c>
      <c r="AE2396" s="15">
        <v>0</v>
      </c>
    </row>
    <row r="2397" spans="1:31" ht="14.15" customHeight="1" x14ac:dyDescent="0.25">
      <c r="A2397" s="12" t="s">
        <v>0</v>
      </c>
      <c r="B2397" s="13" t="s">
        <v>1</v>
      </c>
      <c r="C2397" s="13" t="s">
        <v>2491</v>
      </c>
      <c r="D2397" s="14">
        <v>44234</v>
      </c>
      <c r="E2397" s="14">
        <v>44234</v>
      </c>
      <c r="F2397" s="14">
        <v>44241</v>
      </c>
      <c r="G2397" s="13" t="s">
        <v>3</v>
      </c>
      <c r="H2397" s="13" t="s">
        <v>4</v>
      </c>
      <c r="I2397" s="15">
        <v>-3263.4</v>
      </c>
      <c r="J2397" s="13" t="s">
        <v>5</v>
      </c>
      <c r="K2397" s="13" t="s">
        <v>6</v>
      </c>
      <c r="L2397" s="15">
        <v>-273962.43</v>
      </c>
      <c r="M2397" s="15">
        <v>-3263.4</v>
      </c>
      <c r="N2397" s="16" t="str">
        <f>IF(M2397="","",IF(M2397&lt;0,-M2397&amp;"_"&amp;COUNTIF(M$2:M2397,M2397),M2397&amp;"_"&amp;COUNTIF(M$2:M2397,M2397)))</f>
        <v>3263.4_1</v>
      </c>
      <c r="O2397" s="17" t="str">
        <f t="shared" si="37"/>
        <v/>
      </c>
      <c r="P2397" s="13" t="s">
        <v>2492</v>
      </c>
      <c r="Q2397" s="13" t="s">
        <v>2462</v>
      </c>
      <c r="R2397" s="13" t="s">
        <v>0</v>
      </c>
      <c r="S2397" s="13" t="s">
        <v>0</v>
      </c>
      <c r="T2397" s="13" t="s">
        <v>9</v>
      </c>
      <c r="U2397" s="13" t="s">
        <v>0</v>
      </c>
      <c r="V2397" s="13" t="s">
        <v>0</v>
      </c>
      <c r="W2397" s="13" t="s">
        <v>0</v>
      </c>
      <c r="X2397" s="13" t="s">
        <v>0</v>
      </c>
      <c r="Y2397" s="13" t="s">
        <v>10</v>
      </c>
      <c r="Z2397" s="13" t="s">
        <v>0</v>
      </c>
      <c r="AA2397" s="14"/>
      <c r="AB2397" s="13" t="s">
        <v>0</v>
      </c>
      <c r="AC2397" s="13" t="s">
        <v>0</v>
      </c>
      <c r="AD2397" s="13" t="s">
        <v>0</v>
      </c>
      <c r="AE2397" s="15">
        <v>0</v>
      </c>
    </row>
    <row r="2398" spans="1:31" ht="14.15" customHeight="1" x14ac:dyDescent="0.25">
      <c r="A2398" s="12" t="s">
        <v>0</v>
      </c>
      <c r="B2398" s="13" t="s">
        <v>1</v>
      </c>
      <c r="C2398" s="13" t="s">
        <v>4031</v>
      </c>
      <c r="D2398" s="14">
        <v>44358</v>
      </c>
      <c r="E2398" s="14">
        <v>44358</v>
      </c>
      <c r="F2398" s="14">
        <v>44364</v>
      </c>
      <c r="G2398" s="13" t="s">
        <v>3</v>
      </c>
      <c r="H2398" s="13" t="s">
        <v>4</v>
      </c>
      <c r="I2398" s="15">
        <v>-3260.98</v>
      </c>
      <c r="J2398" s="13" t="s">
        <v>5</v>
      </c>
      <c r="K2398" s="13" t="s">
        <v>6</v>
      </c>
      <c r="L2398" s="15">
        <v>-273759.27</v>
      </c>
      <c r="M2398" s="15">
        <v>-3260.98</v>
      </c>
      <c r="N2398" s="16" t="str">
        <f>IF(M2398="","",IF(M2398&lt;0,-M2398&amp;"_"&amp;COUNTIF(M$2:M2398,M2398),M2398&amp;"_"&amp;COUNTIF(M$2:M2398,M2398)))</f>
        <v>3260.98_1</v>
      </c>
      <c r="O2398" s="17" t="str">
        <f t="shared" si="37"/>
        <v/>
      </c>
      <c r="P2398" s="13" t="s">
        <v>4032</v>
      </c>
      <c r="Q2398" s="13" t="s">
        <v>4006</v>
      </c>
      <c r="R2398" s="13" t="s">
        <v>0</v>
      </c>
      <c r="S2398" s="13" t="s">
        <v>0</v>
      </c>
      <c r="T2398" s="13" t="s">
        <v>9</v>
      </c>
      <c r="U2398" s="13" t="s">
        <v>0</v>
      </c>
      <c r="V2398" s="13" t="s">
        <v>0</v>
      </c>
      <c r="W2398" s="13" t="s">
        <v>0</v>
      </c>
      <c r="X2398" s="13" t="s">
        <v>0</v>
      </c>
      <c r="Y2398" s="13" t="s">
        <v>10</v>
      </c>
      <c r="Z2398" s="13" t="s">
        <v>0</v>
      </c>
      <c r="AA2398" s="14"/>
      <c r="AB2398" s="13" t="s">
        <v>0</v>
      </c>
      <c r="AC2398" s="13" t="s">
        <v>0</v>
      </c>
      <c r="AD2398" s="13" t="s">
        <v>0</v>
      </c>
      <c r="AE2398" s="15">
        <v>0</v>
      </c>
    </row>
    <row r="2399" spans="1:31" ht="14.15" customHeight="1" x14ac:dyDescent="0.25">
      <c r="A2399" s="12" t="s">
        <v>0</v>
      </c>
      <c r="B2399" s="13" t="s">
        <v>289</v>
      </c>
      <c r="C2399" s="13" t="s">
        <v>2395</v>
      </c>
      <c r="D2399" s="14">
        <v>44227</v>
      </c>
      <c r="E2399" s="14">
        <v>44227</v>
      </c>
      <c r="F2399" s="14">
        <v>44234</v>
      </c>
      <c r="G2399" s="13" t="s">
        <v>48</v>
      </c>
      <c r="H2399" s="13" t="s">
        <v>4</v>
      </c>
      <c r="I2399" s="15">
        <v>-3244.43</v>
      </c>
      <c r="J2399" s="13" t="s">
        <v>5</v>
      </c>
      <c r="K2399" s="13" t="s">
        <v>6</v>
      </c>
      <c r="L2399" s="15">
        <v>-272369.90000000002</v>
      </c>
      <c r="M2399" s="15">
        <v>-3244.43</v>
      </c>
      <c r="N2399" s="16" t="str">
        <f>IF(M2399="","",IF(M2399&lt;0,-M2399&amp;"_"&amp;COUNTIF(M$2:M2399,M2399),M2399&amp;"_"&amp;COUNTIF(M$2:M2399,M2399)))</f>
        <v>3244.43_1</v>
      </c>
      <c r="O2399" s="17" t="str">
        <f t="shared" si="37"/>
        <v/>
      </c>
      <c r="P2399" s="13" t="s">
        <v>2396</v>
      </c>
      <c r="Q2399" s="13" t="s">
        <v>2396</v>
      </c>
      <c r="R2399" s="13" t="s">
        <v>1994</v>
      </c>
      <c r="S2399" s="13" t="s">
        <v>0</v>
      </c>
      <c r="T2399" s="13" t="s">
        <v>9</v>
      </c>
      <c r="U2399" s="13" t="s">
        <v>1995</v>
      </c>
      <c r="V2399" s="13" t="s">
        <v>0</v>
      </c>
      <c r="W2399" s="13" t="s">
        <v>0</v>
      </c>
      <c r="X2399" s="13" t="s">
        <v>0</v>
      </c>
      <c r="Y2399" s="13" t="s">
        <v>0</v>
      </c>
      <c r="Z2399" s="13" t="s">
        <v>0</v>
      </c>
      <c r="AA2399" s="14"/>
      <c r="AB2399" s="13" t="s">
        <v>0</v>
      </c>
      <c r="AC2399" s="13" t="s">
        <v>0</v>
      </c>
      <c r="AD2399" s="13" t="s">
        <v>0</v>
      </c>
      <c r="AE2399" s="15">
        <v>0</v>
      </c>
    </row>
    <row r="2400" spans="1:31" ht="14.15" customHeight="1" x14ac:dyDescent="0.25">
      <c r="A2400" s="12" t="s">
        <v>0</v>
      </c>
      <c r="B2400" s="13" t="s">
        <v>289</v>
      </c>
      <c r="C2400" s="13" t="s">
        <v>1096</v>
      </c>
      <c r="D2400" s="14">
        <v>44135</v>
      </c>
      <c r="E2400" s="14">
        <v>44135</v>
      </c>
      <c r="F2400" s="14">
        <v>44143</v>
      </c>
      <c r="G2400" s="13" t="s">
        <v>48</v>
      </c>
      <c r="H2400" s="13" t="s">
        <v>4</v>
      </c>
      <c r="I2400" s="15">
        <v>-3240.52</v>
      </c>
      <c r="J2400" s="13" t="s">
        <v>5</v>
      </c>
      <c r="K2400" s="13" t="s">
        <v>6</v>
      </c>
      <c r="L2400" s="15">
        <v>-272041.65000000002</v>
      </c>
      <c r="M2400" s="15">
        <v>-3240.52</v>
      </c>
      <c r="N2400" s="16" t="str">
        <f>IF(M2400="","",IF(M2400&lt;0,-M2400&amp;"_"&amp;COUNTIF(M$2:M2400,M2400),M2400&amp;"_"&amp;COUNTIF(M$2:M2400,M2400)))</f>
        <v>3240.52_1</v>
      </c>
      <c r="O2400" s="17" t="str">
        <f t="shared" si="37"/>
        <v/>
      </c>
      <c r="P2400" s="13" t="s">
        <v>1097</v>
      </c>
      <c r="Q2400" s="13" t="s">
        <v>1097</v>
      </c>
      <c r="R2400" s="13" t="s">
        <v>294</v>
      </c>
      <c r="S2400" s="13" t="s">
        <v>0</v>
      </c>
      <c r="T2400" s="13" t="s">
        <v>9</v>
      </c>
      <c r="U2400" s="13" t="s">
        <v>295</v>
      </c>
      <c r="V2400" s="13" t="s">
        <v>0</v>
      </c>
      <c r="W2400" s="13" t="s">
        <v>0</v>
      </c>
      <c r="X2400" s="13" t="s">
        <v>0</v>
      </c>
      <c r="Y2400" s="13" t="s">
        <v>291</v>
      </c>
      <c r="Z2400" s="13" t="s">
        <v>0</v>
      </c>
      <c r="AA2400" s="14"/>
      <c r="AB2400" s="13" t="s">
        <v>0</v>
      </c>
      <c r="AC2400" s="13" t="s">
        <v>0</v>
      </c>
      <c r="AD2400" s="13" t="s">
        <v>0</v>
      </c>
      <c r="AE2400" s="15">
        <v>0</v>
      </c>
    </row>
    <row r="2401" spans="1:31" ht="14.15" customHeight="1" x14ac:dyDescent="0.25">
      <c r="A2401" s="12" t="s">
        <v>0</v>
      </c>
      <c r="B2401" s="13" t="s">
        <v>1</v>
      </c>
      <c r="C2401" s="13" t="s">
        <v>940</v>
      </c>
      <c r="D2401" s="14">
        <v>44119</v>
      </c>
      <c r="E2401" s="14">
        <v>44119</v>
      </c>
      <c r="F2401" s="14">
        <v>44126</v>
      </c>
      <c r="G2401" s="13" t="s">
        <v>3</v>
      </c>
      <c r="H2401" s="13" t="s">
        <v>4</v>
      </c>
      <c r="I2401" s="15">
        <v>-3229.72</v>
      </c>
      <c r="J2401" s="13" t="s">
        <v>5</v>
      </c>
      <c r="K2401" s="13" t="s">
        <v>6</v>
      </c>
      <c r="L2401" s="15">
        <v>-271134.99</v>
      </c>
      <c r="M2401" s="15">
        <v>-3229.72</v>
      </c>
      <c r="N2401" s="16" t="str">
        <f>IF(M2401="","",IF(M2401&lt;0,-M2401&amp;"_"&amp;COUNTIF(M$2:M2401,M2401),M2401&amp;"_"&amp;COUNTIF(M$2:M2401,M2401)))</f>
        <v>3229.72_1</v>
      </c>
      <c r="O2401" s="17" t="str">
        <f t="shared" si="37"/>
        <v/>
      </c>
      <c r="P2401" s="13" t="s">
        <v>941</v>
      </c>
      <c r="Q2401" s="13" t="s">
        <v>939</v>
      </c>
      <c r="R2401" s="13" t="s">
        <v>0</v>
      </c>
      <c r="S2401" s="13" t="s">
        <v>0</v>
      </c>
      <c r="T2401" s="13" t="s">
        <v>9</v>
      </c>
      <c r="U2401" s="13" t="s">
        <v>0</v>
      </c>
      <c r="V2401" s="13" t="s">
        <v>0</v>
      </c>
      <c r="W2401" s="13" t="s">
        <v>0</v>
      </c>
      <c r="X2401" s="13" t="s">
        <v>0</v>
      </c>
      <c r="Y2401" s="13" t="s">
        <v>10</v>
      </c>
      <c r="Z2401" s="13" t="s">
        <v>0</v>
      </c>
      <c r="AA2401" s="14"/>
      <c r="AB2401" s="13" t="s">
        <v>0</v>
      </c>
      <c r="AC2401" s="13" t="s">
        <v>0</v>
      </c>
      <c r="AD2401" s="13" t="s">
        <v>0</v>
      </c>
      <c r="AE2401" s="15">
        <v>0</v>
      </c>
    </row>
    <row r="2402" spans="1:31" ht="14.15" customHeight="1" x14ac:dyDescent="0.25">
      <c r="A2402" s="12" t="s">
        <v>0</v>
      </c>
      <c r="B2402" s="13" t="s">
        <v>1</v>
      </c>
      <c r="C2402" s="13" t="s">
        <v>4031</v>
      </c>
      <c r="D2402" s="14">
        <v>44358</v>
      </c>
      <c r="E2402" s="14">
        <v>44358</v>
      </c>
      <c r="F2402" s="14">
        <v>44364</v>
      </c>
      <c r="G2402" s="13" t="s">
        <v>3</v>
      </c>
      <c r="H2402" s="13" t="s">
        <v>4</v>
      </c>
      <c r="I2402" s="15">
        <v>-3225.2</v>
      </c>
      <c r="J2402" s="13" t="s">
        <v>5</v>
      </c>
      <c r="K2402" s="13" t="s">
        <v>6</v>
      </c>
      <c r="L2402" s="15">
        <v>-270755.53999999998</v>
      </c>
      <c r="M2402" s="15">
        <v>-3225.2</v>
      </c>
      <c r="N2402" s="16" t="str">
        <f>IF(M2402="","",IF(M2402&lt;0,-M2402&amp;"_"&amp;COUNTIF(M$2:M2402,M2402),M2402&amp;"_"&amp;COUNTIF(M$2:M2402,M2402)))</f>
        <v>3225.2_1</v>
      </c>
      <c r="O2402" s="17" t="str">
        <f t="shared" si="37"/>
        <v/>
      </c>
      <c r="P2402" s="13" t="s">
        <v>4032</v>
      </c>
      <c r="Q2402" s="13" t="s">
        <v>4006</v>
      </c>
      <c r="R2402" s="13" t="s">
        <v>0</v>
      </c>
      <c r="S2402" s="13" t="s">
        <v>0</v>
      </c>
      <c r="T2402" s="13" t="s">
        <v>9</v>
      </c>
      <c r="U2402" s="13" t="s">
        <v>0</v>
      </c>
      <c r="V2402" s="13" t="s">
        <v>0</v>
      </c>
      <c r="W2402" s="13" t="s">
        <v>0</v>
      </c>
      <c r="X2402" s="13" t="s">
        <v>0</v>
      </c>
      <c r="Y2402" s="13" t="s">
        <v>10</v>
      </c>
      <c r="Z2402" s="13" t="s">
        <v>0</v>
      </c>
      <c r="AA2402" s="14"/>
      <c r="AB2402" s="13" t="s">
        <v>0</v>
      </c>
      <c r="AC2402" s="13" t="s">
        <v>0</v>
      </c>
      <c r="AD2402" s="13" t="s">
        <v>0</v>
      </c>
      <c r="AE2402" s="15">
        <v>0</v>
      </c>
    </row>
    <row r="2403" spans="1:31" ht="14.15" customHeight="1" x14ac:dyDescent="0.25">
      <c r="A2403" s="12" t="s">
        <v>0</v>
      </c>
      <c r="B2403" s="13" t="s">
        <v>1</v>
      </c>
      <c r="C2403" s="13" t="s">
        <v>1941</v>
      </c>
      <c r="D2403" s="14">
        <v>44192</v>
      </c>
      <c r="E2403" s="14">
        <v>44192</v>
      </c>
      <c r="F2403" s="14">
        <v>44198</v>
      </c>
      <c r="G2403" s="13" t="s">
        <v>3</v>
      </c>
      <c r="H2403" s="13" t="s">
        <v>4</v>
      </c>
      <c r="I2403" s="15">
        <v>-3220.11</v>
      </c>
      <c r="J2403" s="13" t="s">
        <v>5</v>
      </c>
      <c r="K2403" s="13" t="s">
        <v>6</v>
      </c>
      <c r="L2403" s="15">
        <v>-270328.23</v>
      </c>
      <c r="M2403" s="15">
        <v>-3220.11</v>
      </c>
      <c r="N2403" s="16" t="str">
        <f>IF(M2403="","",IF(M2403&lt;0,-M2403&amp;"_"&amp;COUNTIF(M$2:M2403,M2403),M2403&amp;"_"&amp;COUNTIF(M$2:M2403,M2403)))</f>
        <v>3220.11_1</v>
      </c>
      <c r="O2403" s="17" t="str">
        <f t="shared" si="37"/>
        <v/>
      </c>
      <c r="P2403" s="13" t="s">
        <v>1942</v>
      </c>
      <c r="Q2403" s="13" t="s">
        <v>1932</v>
      </c>
      <c r="R2403" s="13" t="s">
        <v>0</v>
      </c>
      <c r="S2403" s="13" t="s">
        <v>0</v>
      </c>
      <c r="T2403" s="13" t="s">
        <v>9</v>
      </c>
      <c r="U2403" s="13" t="s">
        <v>0</v>
      </c>
      <c r="V2403" s="13" t="s">
        <v>0</v>
      </c>
      <c r="W2403" s="13" t="s">
        <v>0</v>
      </c>
      <c r="X2403" s="13" t="s">
        <v>0</v>
      </c>
      <c r="Y2403" s="13" t="s">
        <v>10</v>
      </c>
      <c r="Z2403" s="13" t="s">
        <v>0</v>
      </c>
      <c r="AA2403" s="14"/>
      <c r="AB2403" s="13" t="s">
        <v>0</v>
      </c>
      <c r="AC2403" s="13" t="s">
        <v>0</v>
      </c>
      <c r="AD2403" s="13" t="s">
        <v>0</v>
      </c>
      <c r="AE2403" s="15">
        <v>0</v>
      </c>
    </row>
    <row r="2404" spans="1:31" ht="14.15" customHeight="1" x14ac:dyDescent="0.25">
      <c r="A2404" s="12" t="s">
        <v>0</v>
      </c>
      <c r="B2404" s="13" t="s">
        <v>1</v>
      </c>
      <c r="C2404" s="13" t="s">
        <v>1280</v>
      </c>
      <c r="D2404" s="14">
        <v>44146</v>
      </c>
      <c r="E2404" s="14">
        <v>44146</v>
      </c>
      <c r="F2404" s="14">
        <v>44149</v>
      </c>
      <c r="G2404" s="13" t="s">
        <v>3</v>
      </c>
      <c r="H2404" s="13" t="s">
        <v>4</v>
      </c>
      <c r="I2404" s="15">
        <v>-3219.71</v>
      </c>
      <c r="J2404" s="13" t="s">
        <v>5</v>
      </c>
      <c r="K2404" s="13" t="s">
        <v>6</v>
      </c>
      <c r="L2404" s="15">
        <v>-270294.65000000002</v>
      </c>
      <c r="M2404" s="15">
        <v>-3219.71</v>
      </c>
      <c r="N2404" s="16" t="str">
        <f>IF(M2404="","",IF(M2404&lt;0,-M2404&amp;"_"&amp;COUNTIF(M$2:M2404,M2404),M2404&amp;"_"&amp;COUNTIF(M$2:M2404,M2404)))</f>
        <v>3219.71_1</v>
      </c>
      <c r="O2404" s="17" t="str">
        <f t="shared" si="37"/>
        <v/>
      </c>
      <c r="P2404" s="13" t="s">
        <v>1281</v>
      </c>
      <c r="Q2404" s="13" t="s">
        <v>1282</v>
      </c>
      <c r="R2404" s="13" t="s">
        <v>0</v>
      </c>
      <c r="S2404" s="13" t="s">
        <v>0</v>
      </c>
      <c r="T2404" s="13" t="s">
        <v>9</v>
      </c>
      <c r="U2404" s="13" t="s">
        <v>0</v>
      </c>
      <c r="V2404" s="13" t="s">
        <v>0</v>
      </c>
      <c r="W2404" s="13" t="s">
        <v>0</v>
      </c>
      <c r="X2404" s="13" t="s">
        <v>0</v>
      </c>
      <c r="Y2404" s="13" t="s">
        <v>10</v>
      </c>
      <c r="Z2404" s="13" t="s">
        <v>0</v>
      </c>
      <c r="AA2404" s="14"/>
      <c r="AB2404" s="13" t="s">
        <v>0</v>
      </c>
      <c r="AC2404" s="13" t="s">
        <v>0</v>
      </c>
      <c r="AD2404" s="13" t="s">
        <v>0</v>
      </c>
      <c r="AE2404" s="15">
        <v>0</v>
      </c>
    </row>
    <row r="2405" spans="1:31" ht="14.15" customHeight="1" x14ac:dyDescent="0.25">
      <c r="A2405" s="12" t="s">
        <v>0</v>
      </c>
      <c r="B2405" s="13" t="s">
        <v>1</v>
      </c>
      <c r="C2405" s="13" t="s">
        <v>922</v>
      </c>
      <c r="D2405" s="14">
        <v>44117</v>
      </c>
      <c r="E2405" s="14">
        <v>44117</v>
      </c>
      <c r="F2405" s="14">
        <v>44123</v>
      </c>
      <c r="G2405" s="13" t="s">
        <v>3</v>
      </c>
      <c r="H2405" s="13" t="s">
        <v>4</v>
      </c>
      <c r="I2405" s="15">
        <v>-3208.64</v>
      </c>
      <c r="J2405" s="13" t="s">
        <v>5</v>
      </c>
      <c r="K2405" s="13" t="s">
        <v>6</v>
      </c>
      <c r="L2405" s="15">
        <v>-269365.33</v>
      </c>
      <c r="M2405" s="15">
        <v>-3208.64</v>
      </c>
      <c r="N2405" s="16" t="str">
        <f>IF(M2405="","",IF(M2405&lt;0,-M2405&amp;"_"&amp;COUNTIF(M$2:M2405,M2405),M2405&amp;"_"&amp;COUNTIF(M$2:M2405,M2405)))</f>
        <v>3208.64_1</v>
      </c>
      <c r="O2405" s="17" t="str">
        <f t="shared" si="37"/>
        <v/>
      </c>
      <c r="P2405" s="13" t="s">
        <v>923</v>
      </c>
      <c r="Q2405" s="13" t="s">
        <v>917</v>
      </c>
      <c r="R2405" s="13" t="s">
        <v>0</v>
      </c>
      <c r="S2405" s="13" t="s">
        <v>0</v>
      </c>
      <c r="T2405" s="13" t="s">
        <v>9</v>
      </c>
      <c r="U2405" s="13" t="s">
        <v>0</v>
      </c>
      <c r="V2405" s="13" t="s">
        <v>0</v>
      </c>
      <c r="W2405" s="13" t="s">
        <v>0</v>
      </c>
      <c r="X2405" s="13" t="s">
        <v>0</v>
      </c>
      <c r="Y2405" s="13" t="s">
        <v>10</v>
      </c>
      <c r="Z2405" s="13" t="s">
        <v>0</v>
      </c>
      <c r="AA2405" s="14"/>
      <c r="AB2405" s="13" t="s">
        <v>0</v>
      </c>
      <c r="AC2405" s="13" t="s">
        <v>0</v>
      </c>
      <c r="AD2405" s="13" t="s">
        <v>0</v>
      </c>
      <c r="AE2405" s="15">
        <v>0</v>
      </c>
    </row>
    <row r="2406" spans="1:31" ht="14.15" customHeight="1" x14ac:dyDescent="0.25">
      <c r="A2406" s="12" t="s">
        <v>0</v>
      </c>
      <c r="B2406" s="13" t="s">
        <v>1</v>
      </c>
      <c r="C2406" s="13" t="s">
        <v>1221</v>
      </c>
      <c r="D2406" s="14">
        <v>44141</v>
      </c>
      <c r="E2406" s="14">
        <v>44141</v>
      </c>
      <c r="F2406" s="14">
        <v>44146</v>
      </c>
      <c r="G2406" s="13" t="s">
        <v>3</v>
      </c>
      <c r="H2406" s="13" t="s">
        <v>4</v>
      </c>
      <c r="I2406" s="15">
        <v>-3207.12</v>
      </c>
      <c r="J2406" s="13" t="s">
        <v>5</v>
      </c>
      <c r="K2406" s="13" t="s">
        <v>6</v>
      </c>
      <c r="L2406" s="15">
        <v>-269237.71999999997</v>
      </c>
      <c r="M2406" s="15">
        <v>-3207.12</v>
      </c>
      <c r="N2406" s="16" t="str">
        <f>IF(M2406="","",IF(M2406&lt;0,-M2406&amp;"_"&amp;COUNTIF(M$2:M2406,M2406),M2406&amp;"_"&amp;COUNTIF(M$2:M2406,M2406)))</f>
        <v>3207.12_1</v>
      </c>
      <c r="O2406" s="17" t="str">
        <f t="shared" si="37"/>
        <v/>
      </c>
      <c r="P2406" s="13" t="s">
        <v>1222</v>
      </c>
      <c r="Q2406" s="13" t="s">
        <v>1220</v>
      </c>
      <c r="R2406" s="13" t="s">
        <v>0</v>
      </c>
      <c r="S2406" s="13" t="s">
        <v>0</v>
      </c>
      <c r="T2406" s="13" t="s">
        <v>9</v>
      </c>
      <c r="U2406" s="13" t="s">
        <v>0</v>
      </c>
      <c r="V2406" s="13" t="s">
        <v>0</v>
      </c>
      <c r="W2406" s="13" t="s">
        <v>0</v>
      </c>
      <c r="X2406" s="13" t="s">
        <v>0</v>
      </c>
      <c r="Y2406" s="13" t="s">
        <v>10</v>
      </c>
      <c r="Z2406" s="13" t="s">
        <v>0</v>
      </c>
      <c r="AA2406" s="14"/>
      <c r="AB2406" s="13" t="s">
        <v>0</v>
      </c>
      <c r="AC2406" s="13" t="s">
        <v>0</v>
      </c>
      <c r="AD2406" s="13" t="s">
        <v>0</v>
      </c>
      <c r="AE2406" s="15">
        <v>0</v>
      </c>
    </row>
    <row r="2407" spans="1:31" ht="14.15" customHeight="1" x14ac:dyDescent="0.25">
      <c r="A2407" s="12" t="s">
        <v>0</v>
      </c>
      <c r="B2407" s="13" t="s">
        <v>1</v>
      </c>
      <c r="C2407" s="13" t="s">
        <v>4037</v>
      </c>
      <c r="D2407" s="14">
        <v>44358</v>
      </c>
      <c r="E2407" s="14">
        <v>44358</v>
      </c>
      <c r="F2407" s="14">
        <v>44364</v>
      </c>
      <c r="G2407" s="13" t="s">
        <v>3</v>
      </c>
      <c r="H2407" s="13" t="s">
        <v>4</v>
      </c>
      <c r="I2407" s="15">
        <v>-3206.5</v>
      </c>
      <c r="J2407" s="13" t="s">
        <v>5</v>
      </c>
      <c r="K2407" s="13" t="s">
        <v>6</v>
      </c>
      <c r="L2407" s="15">
        <v>-269185.68</v>
      </c>
      <c r="M2407" s="15">
        <v>-3206.5</v>
      </c>
      <c r="N2407" s="16" t="str">
        <f>IF(M2407="","",IF(M2407&lt;0,-M2407&amp;"_"&amp;COUNTIF(M$2:M2407,M2407),M2407&amp;"_"&amp;COUNTIF(M$2:M2407,M2407)))</f>
        <v>3206.5_1</v>
      </c>
      <c r="O2407" s="17" t="str">
        <f t="shared" si="37"/>
        <v/>
      </c>
      <c r="P2407" s="13" t="s">
        <v>4038</v>
      </c>
      <c r="Q2407" s="13" t="s">
        <v>4006</v>
      </c>
      <c r="R2407" s="13" t="s">
        <v>0</v>
      </c>
      <c r="S2407" s="13" t="s">
        <v>0</v>
      </c>
      <c r="T2407" s="13" t="s">
        <v>9</v>
      </c>
      <c r="U2407" s="13" t="s">
        <v>0</v>
      </c>
      <c r="V2407" s="13" t="s">
        <v>0</v>
      </c>
      <c r="W2407" s="13" t="s">
        <v>0</v>
      </c>
      <c r="X2407" s="13" t="s">
        <v>0</v>
      </c>
      <c r="Y2407" s="13" t="s">
        <v>10</v>
      </c>
      <c r="Z2407" s="13" t="s">
        <v>0</v>
      </c>
      <c r="AA2407" s="14"/>
      <c r="AB2407" s="13" t="s">
        <v>0</v>
      </c>
      <c r="AC2407" s="13" t="s">
        <v>0</v>
      </c>
      <c r="AD2407" s="13" t="s">
        <v>0</v>
      </c>
      <c r="AE2407" s="15">
        <v>0</v>
      </c>
    </row>
    <row r="2408" spans="1:31" ht="14.15" customHeight="1" x14ac:dyDescent="0.25">
      <c r="A2408" s="12" t="s">
        <v>0</v>
      </c>
      <c r="B2408" s="13" t="s">
        <v>1</v>
      </c>
      <c r="C2408" s="13" t="s">
        <v>4037</v>
      </c>
      <c r="D2408" s="14">
        <v>44358</v>
      </c>
      <c r="E2408" s="14">
        <v>44358</v>
      </c>
      <c r="F2408" s="14">
        <v>44364</v>
      </c>
      <c r="G2408" s="13" t="s">
        <v>3</v>
      </c>
      <c r="H2408" s="13" t="s">
        <v>4</v>
      </c>
      <c r="I2408" s="15">
        <v>-3197.15</v>
      </c>
      <c r="J2408" s="13" t="s">
        <v>5</v>
      </c>
      <c r="K2408" s="13" t="s">
        <v>6</v>
      </c>
      <c r="L2408" s="15">
        <v>-268400.74</v>
      </c>
      <c r="M2408" s="15">
        <v>-3197.15</v>
      </c>
      <c r="N2408" s="16" t="str">
        <f>IF(M2408="","",IF(M2408&lt;0,-M2408&amp;"_"&amp;COUNTIF(M$2:M2408,M2408),M2408&amp;"_"&amp;COUNTIF(M$2:M2408,M2408)))</f>
        <v>3197.15_1</v>
      </c>
      <c r="O2408" s="17" t="str">
        <f t="shared" si="37"/>
        <v/>
      </c>
      <c r="P2408" s="13" t="s">
        <v>4038</v>
      </c>
      <c r="Q2408" s="13" t="s">
        <v>4006</v>
      </c>
      <c r="R2408" s="13" t="s">
        <v>0</v>
      </c>
      <c r="S2408" s="13" t="s">
        <v>0</v>
      </c>
      <c r="T2408" s="13" t="s">
        <v>9</v>
      </c>
      <c r="U2408" s="13" t="s">
        <v>0</v>
      </c>
      <c r="V2408" s="13" t="s">
        <v>0</v>
      </c>
      <c r="W2408" s="13" t="s">
        <v>0</v>
      </c>
      <c r="X2408" s="13" t="s">
        <v>0</v>
      </c>
      <c r="Y2408" s="13" t="s">
        <v>10</v>
      </c>
      <c r="Z2408" s="13" t="s">
        <v>0</v>
      </c>
      <c r="AA2408" s="14"/>
      <c r="AB2408" s="13" t="s">
        <v>0</v>
      </c>
      <c r="AC2408" s="13" t="s">
        <v>0</v>
      </c>
      <c r="AD2408" s="13" t="s">
        <v>0</v>
      </c>
      <c r="AE2408" s="15">
        <v>0</v>
      </c>
    </row>
    <row r="2409" spans="1:31" ht="14.15" customHeight="1" x14ac:dyDescent="0.25">
      <c r="A2409" s="12" t="s">
        <v>0</v>
      </c>
      <c r="B2409" s="13" t="s">
        <v>1</v>
      </c>
      <c r="C2409" s="13" t="s">
        <v>4037</v>
      </c>
      <c r="D2409" s="14">
        <v>44358</v>
      </c>
      <c r="E2409" s="14">
        <v>44358</v>
      </c>
      <c r="F2409" s="14">
        <v>44364</v>
      </c>
      <c r="G2409" s="13" t="s">
        <v>3</v>
      </c>
      <c r="H2409" s="13" t="s">
        <v>4</v>
      </c>
      <c r="I2409" s="15">
        <v>-3196.45</v>
      </c>
      <c r="J2409" s="13" t="s">
        <v>5</v>
      </c>
      <c r="K2409" s="13" t="s">
        <v>6</v>
      </c>
      <c r="L2409" s="15">
        <v>-268341.98</v>
      </c>
      <c r="M2409" s="15">
        <v>-3196.45</v>
      </c>
      <c r="N2409" s="16" t="str">
        <f>IF(M2409="","",IF(M2409&lt;0,-M2409&amp;"_"&amp;COUNTIF(M$2:M2409,M2409),M2409&amp;"_"&amp;COUNTIF(M$2:M2409,M2409)))</f>
        <v>3196.45_1</v>
      </c>
      <c r="O2409" s="17" t="str">
        <f t="shared" si="37"/>
        <v/>
      </c>
      <c r="P2409" s="13" t="s">
        <v>4038</v>
      </c>
      <c r="Q2409" s="13" t="s">
        <v>4006</v>
      </c>
      <c r="R2409" s="13" t="s">
        <v>0</v>
      </c>
      <c r="S2409" s="13" t="s">
        <v>0</v>
      </c>
      <c r="T2409" s="13" t="s">
        <v>9</v>
      </c>
      <c r="U2409" s="13" t="s">
        <v>0</v>
      </c>
      <c r="V2409" s="13" t="s">
        <v>0</v>
      </c>
      <c r="W2409" s="13" t="s">
        <v>0</v>
      </c>
      <c r="X2409" s="13" t="s">
        <v>0</v>
      </c>
      <c r="Y2409" s="13" t="s">
        <v>10</v>
      </c>
      <c r="Z2409" s="13" t="s">
        <v>0</v>
      </c>
      <c r="AA2409" s="14"/>
      <c r="AB2409" s="13" t="s">
        <v>0</v>
      </c>
      <c r="AC2409" s="13" t="s">
        <v>0</v>
      </c>
      <c r="AD2409" s="13" t="s">
        <v>0</v>
      </c>
      <c r="AE2409" s="15">
        <v>0</v>
      </c>
    </row>
    <row r="2410" spans="1:31" ht="14.15" customHeight="1" x14ac:dyDescent="0.25">
      <c r="A2410" s="12" t="s">
        <v>0</v>
      </c>
      <c r="B2410" s="13" t="s">
        <v>1</v>
      </c>
      <c r="C2410" s="13" t="s">
        <v>4246</v>
      </c>
      <c r="D2410" s="14">
        <v>44369</v>
      </c>
      <c r="E2410" s="14">
        <v>44369</v>
      </c>
      <c r="F2410" s="14">
        <v>44371</v>
      </c>
      <c r="G2410" s="13" t="s">
        <v>3</v>
      </c>
      <c r="H2410" s="13" t="s">
        <v>4</v>
      </c>
      <c r="I2410" s="15">
        <v>-3192.87</v>
      </c>
      <c r="J2410" s="13" t="s">
        <v>5</v>
      </c>
      <c r="K2410" s="13" t="s">
        <v>6</v>
      </c>
      <c r="L2410" s="15">
        <v>-268041.44</v>
      </c>
      <c r="M2410" s="15">
        <v>-3192.87</v>
      </c>
      <c r="N2410" s="16" t="str">
        <f>IF(M2410="","",IF(M2410&lt;0,-M2410&amp;"_"&amp;COUNTIF(M$2:M2410,M2410),M2410&amp;"_"&amp;COUNTIF(M$2:M2410,M2410)))</f>
        <v>3192.87_1</v>
      </c>
      <c r="O2410" s="17" t="str">
        <f t="shared" si="37"/>
        <v/>
      </c>
      <c r="P2410" s="13" t="s">
        <v>4247</v>
      </c>
      <c r="Q2410" s="13" t="s">
        <v>4248</v>
      </c>
      <c r="R2410" s="13" t="s">
        <v>0</v>
      </c>
      <c r="S2410" s="13" t="s">
        <v>0</v>
      </c>
      <c r="T2410" s="13" t="s">
        <v>9</v>
      </c>
      <c r="U2410" s="13" t="s">
        <v>0</v>
      </c>
      <c r="V2410" s="13" t="s">
        <v>0</v>
      </c>
      <c r="W2410" s="13" t="s">
        <v>0</v>
      </c>
      <c r="X2410" s="13" t="s">
        <v>0</v>
      </c>
      <c r="Y2410" s="13" t="s">
        <v>10</v>
      </c>
      <c r="Z2410" s="13" t="s">
        <v>0</v>
      </c>
      <c r="AA2410" s="14"/>
      <c r="AB2410" s="13" t="s">
        <v>0</v>
      </c>
      <c r="AC2410" s="13" t="s">
        <v>0</v>
      </c>
      <c r="AD2410" s="13" t="s">
        <v>0</v>
      </c>
      <c r="AE2410" s="15">
        <v>0</v>
      </c>
    </row>
    <row r="2411" spans="1:31" ht="14.15" customHeight="1" x14ac:dyDescent="0.25">
      <c r="A2411" s="12" t="s">
        <v>0</v>
      </c>
      <c r="B2411" s="13" t="s">
        <v>1</v>
      </c>
      <c r="C2411" s="13" t="s">
        <v>2170</v>
      </c>
      <c r="D2411" s="14">
        <v>44209</v>
      </c>
      <c r="E2411" s="14">
        <v>44209</v>
      </c>
      <c r="F2411" s="14">
        <v>44228</v>
      </c>
      <c r="G2411" s="13" t="s">
        <v>3</v>
      </c>
      <c r="H2411" s="13" t="s">
        <v>4</v>
      </c>
      <c r="I2411" s="15">
        <v>-3191.81</v>
      </c>
      <c r="J2411" s="13" t="s">
        <v>5</v>
      </c>
      <c r="K2411" s="13" t="s">
        <v>6</v>
      </c>
      <c r="L2411" s="15">
        <v>-267952.45</v>
      </c>
      <c r="M2411" s="15">
        <v>-3191.81</v>
      </c>
      <c r="N2411" s="16" t="str">
        <f>IF(M2411="","",IF(M2411&lt;0,-M2411&amp;"_"&amp;COUNTIF(M$2:M2411,M2411),M2411&amp;"_"&amp;COUNTIF(M$2:M2411,M2411)))</f>
        <v>3191.81_1</v>
      </c>
      <c r="O2411" s="17" t="str">
        <f t="shared" si="37"/>
        <v/>
      </c>
      <c r="P2411" s="13" t="s">
        <v>2171</v>
      </c>
      <c r="Q2411" s="13" t="s">
        <v>2159</v>
      </c>
      <c r="R2411" s="13" t="s">
        <v>0</v>
      </c>
      <c r="S2411" s="13" t="s">
        <v>0</v>
      </c>
      <c r="T2411" s="13" t="s">
        <v>9</v>
      </c>
      <c r="U2411" s="13" t="s">
        <v>0</v>
      </c>
      <c r="V2411" s="13" t="s">
        <v>0</v>
      </c>
      <c r="W2411" s="13" t="s">
        <v>0</v>
      </c>
      <c r="X2411" s="13" t="s">
        <v>0</v>
      </c>
      <c r="Y2411" s="13" t="s">
        <v>10</v>
      </c>
      <c r="Z2411" s="13" t="s">
        <v>0</v>
      </c>
      <c r="AA2411" s="14"/>
      <c r="AB2411" s="13" t="s">
        <v>0</v>
      </c>
      <c r="AC2411" s="13" t="s">
        <v>0</v>
      </c>
      <c r="AD2411" s="13" t="s">
        <v>0</v>
      </c>
      <c r="AE2411" s="15">
        <v>0</v>
      </c>
    </row>
    <row r="2412" spans="1:31" ht="14.15" customHeight="1" x14ac:dyDescent="0.25">
      <c r="A2412" s="12" t="s">
        <v>0</v>
      </c>
      <c r="B2412" s="13" t="s">
        <v>1</v>
      </c>
      <c r="C2412" s="13" t="s">
        <v>748</v>
      </c>
      <c r="D2412" s="14">
        <v>44096</v>
      </c>
      <c r="E2412" s="14">
        <v>44096</v>
      </c>
      <c r="F2412" s="14">
        <v>44108</v>
      </c>
      <c r="G2412" s="13" t="s">
        <v>3</v>
      </c>
      <c r="H2412" s="13" t="s">
        <v>4</v>
      </c>
      <c r="I2412" s="15">
        <v>-3189.35</v>
      </c>
      <c r="J2412" s="13" t="s">
        <v>5</v>
      </c>
      <c r="K2412" s="13" t="s">
        <v>6</v>
      </c>
      <c r="L2412" s="15">
        <v>-267745.93</v>
      </c>
      <c r="M2412" s="15">
        <v>-3189.35</v>
      </c>
      <c r="N2412" s="16" t="str">
        <f>IF(M2412="","",IF(M2412&lt;0,-M2412&amp;"_"&amp;COUNTIF(M$2:M2412,M2412),M2412&amp;"_"&amp;COUNTIF(M$2:M2412,M2412)))</f>
        <v>3189.35_1</v>
      </c>
      <c r="O2412" s="17" t="str">
        <f t="shared" si="37"/>
        <v/>
      </c>
      <c r="P2412" s="13" t="s">
        <v>749</v>
      </c>
      <c r="Q2412" s="13" t="s">
        <v>747</v>
      </c>
      <c r="R2412" s="13" t="s">
        <v>0</v>
      </c>
      <c r="S2412" s="13" t="s">
        <v>0</v>
      </c>
      <c r="T2412" s="13" t="s">
        <v>9</v>
      </c>
      <c r="U2412" s="13" t="s">
        <v>0</v>
      </c>
      <c r="V2412" s="13" t="s">
        <v>0</v>
      </c>
      <c r="W2412" s="13" t="s">
        <v>0</v>
      </c>
      <c r="X2412" s="13" t="s">
        <v>0</v>
      </c>
      <c r="Y2412" s="13" t="s">
        <v>10</v>
      </c>
      <c r="Z2412" s="13" t="s">
        <v>0</v>
      </c>
      <c r="AA2412" s="14"/>
      <c r="AB2412" s="13" t="s">
        <v>0</v>
      </c>
      <c r="AC2412" s="13" t="s">
        <v>0</v>
      </c>
      <c r="AD2412" s="13" t="s">
        <v>0</v>
      </c>
      <c r="AE2412" s="15">
        <v>0</v>
      </c>
    </row>
    <row r="2413" spans="1:31" ht="14.15" customHeight="1" x14ac:dyDescent="0.25">
      <c r="A2413" s="12" t="s">
        <v>0</v>
      </c>
      <c r="B2413" s="13" t="s">
        <v>1</v>
      </c>
      <c r="C2413" s="13" t="s">
        <v>1402</v>
      </c>
      <c r="D2413" s="14">
        <v>44153</v>
      </c>
      <c r="E2413" s="14">
        <v>44153</v>
      </c>
      <c r="F2413" s="14">
        <v>44161</v>
      </c>
      <c r="G2413" s="13" t="s">
        <v>3</v>
      </c>
      <c r="H2413" s="13" t="s">
        <v>4</v>
      </c>
      <c r="I2413" s="15">
        <v>-3183.1</v>
      </c>
      <c r="J2413" s="13" t="s">
        <v>5</v>
      </c>
      <c r="K2413" s="13" t="s">
        <v>6</v>
      </c>
      <c r="L2413" s="15">
        <v>-267221.25</v>
      </c>
      <c r="M2413" s="15">
        <v>-3183.1</v>
      </c>
      <c r="N2413" s="16" t="str">
        <f>IF(M2413="","",IF(M2413&lt;0,-M2413&amp;"_"&amp;COUNTIF(M$2:M2413,M2413),M2413&amp;"_"&amp;COUNTIF(M$2:M2413,M2413)))</f>
        <v>3183.1_1</v>
      </c>
      <c r="O2413" s="17" t="str">
        <f t="shared" si="37"/>
        <v/>
      </c>
      <c r="P2413" s="13" t="s">
        <v>1403</v>
      </c>
      <c r="Q2413" s="13" t="s">
        <v>1381</v>
      </c>
      <c r="R2413" s="13" t="s">
        <v>0</v>
      </c>
      <c r="S2413" s="13" t="s">
        <v>0</v>
      </c>
      <c r="T2413" s="13" t="s">
        <v>9</v>
      </c>
      <c r="U2413" s="13" t="s">
        <v>0</v>
      </c>
      <c r="V2413" s="13" t="s">
        <v>0</v>
      </c>
      <c r="W2413" s="13" t="s">
        <v>0</v>
      </c>
      <c r="X2413" s="13" t="s">
        <v>0</v>
      </c>
      <c r="Y2413" s="13" t="s">
        <v>10</v>
      </c>
      <c r="Z2413" s="13" t="s">
        <v>0</v>
      </c>
      <c r="AA2413" s="14"/>
      <c r="AB2413" s="13" t="s">
        <v>0</v>
      </c>
      <c r="AC2413" s="13" t="s">
        <v>0</v>
      </c>
      <c r="AD2413" s="13" t="s">
        <v>0</v>
      </c>
      <c r="AE2413" s="15">
        <v>0</v>
      </c>
    </row>
    <row r="2414" spans="1:31" ht="14.15" customHeight="1" x14ac:dyDescent="0.25">
      <c r="A2414" s="12" t="s">
        <v>0</v>
      </c>
      <c r="B2414" s="13" t="s">
        <v>1</v>
      </c>
      <c r="C2414" s="13" t="s">
        <v>2340</v>
      </c>
      <c r="D2414" s="14">
        <v>44223</v>
      </c>
      <c r="E2414" s="14">
        <v>44223</v>
      </c>
      <c r="F2414" s="14">
        <v>44231</v>
      </c>
      <c r="G2414" s="13" t="s">
        <v>3</v>
      </c>
      <c r="H2414" s="13" t="s">
        <v>4</v>
      </c>
      <c r="I2414" s="15">
        <v>-3176.09</v>
      </c>
      <c r="J2414" s="13" t="s">
        <v>5</v>
      </c>
      <c r="K2414" s="13" t="s">
        <v>6</v>
      </c>
      <c r="L2414" s="15">
        <v>-266632.76</v>
      </c>
      <c r="M2414" s="15">
        <v>-3176.09</v>
      </c>
      <c r="N2414" s="16" t="str">
        <f>IF(M2414="","",IF(M2414&lt;0,-M2414&amp;"_"&amp;COUNTIF(M$2:M2414,M2414),M2414&amp;"_"&amp;COUNTIF(M$2:M2414,M2414)))</f>
        <v>3176.09_1</v>
      </c>
      <c r="O2414" s="17" t="str">
        <f t="shared" si="37"/>
        <v/>
      </c>
      <c r="P2414" s="13" t="s">
        <v>2341</v>
      </c>
      <c r="Q2414" s="13" t="s">
        <v>2342</v>
      </c>
      <c r="R2414" s="13" t="s">
        <v>0</v>
      </c>
      <c r="S2414" s="13" t="s">
        <v>0</v>
      </c>
      <c r="T2414" s="13" t="s">
        <v>9</v>
      </c>
      <c r="U2414" s="13" t="s">
        <v>0</v>
      </c>
      <c r="V2414" s="13" t="s">
        <v>0</v>
      </c>
      <c r="W2414" s="13" t="s">
        <v>0</v>
      </c>
      <c r="X2414" s="13" t="s">
        <v>0</v>
      </c>
      <c r="Y2414" s="13" t="s">
        <v>10</v>
      </c>
      <c r="Z2414" s="13" t="s">
        <v>0</v>
      </c>
      <c r="AA2414" s="14"/>
      <c r="AB2414" s="13" t="s">
        <v>0</v>
      </c>
      <c r="AC2414" s="13" t="s">
        <v>0</v>
      </c>
      <c r="AD2414" s="13" t="s">
        <v>0</v>
      </c>
      <c r="AE2414" s="15">
        <v>0</v>
      </c>
    </row>
    <row r="2415" spans="1:31" ht="14.15" customHeight="1" x14ac:dyDescent="0.25">
      <c r="A2415" s="12" t="s">
        <v>0</v>
      </c>
      <c r="B2415" s="13" t="s">
        <v>1</v>
      </c>
      <c r="C2415" s="13" t="s">
        <v>3327</v>
      </c>
      <c r="D2415" s="14">
        <v>44314</v>
      </c>
      <c r="E2415" s="14">
        <v>44314</v>
      </c>
      <c r="F2415" s="14">
        <v>44323</v>
      </c>
      <c r="G2415" s="13" t="s">
        <v>3</v>
      </c>
      <c r="H2415" s="13" t="s">
        <v>4</v>
      </c>
      <c r="I2415" s="15">
        <v>-3175.12</v>
      </c>
      <c r="J2415" s="13" t="s">
        <v>5</v>
      </c>
      <c r="K2415" s="13" t="s">
        <v>6</v>
      </c>
      <c r="L2415" s="15">
        <v>-266551.32</v>
      </c>
      <c r="M2415" s="15">
        <v>-3175.12</v>
      </c>
      <c r="N2415" s="16" t="str">
        <f>IF(M2415="","",IF(M2415&lt;0,-M2415&amp;"_"&amp;COUNTIF(M$2:M2415,M2415),M2415&amp;"_"&amp;COUNTIF(M$2:M2415,M2415)))</f>
        <v>3175.12_1</v>
      </c>
      <c r="O2415" s="17" t="str">
        <f t="shared" si="37"/>
        <v/>
      </c>
      <c r="P2415" s="13" t="s">
        <v>3328</v>
      </c>
      <c r="Q2415" s="13" t="s">
        <v>3284</v>
      </c>
      <c r="R2415" s="13" t="s">
        <v>0</v>
      </c>
      <c r="S2415" s="13" t="s">
        <v>0</v>
      </c>
      <c r="T2415" s="13" t="s">
        <v>9</v>
      </c>
      <c r="U2415" s="13" t="s">
        <v>0</v>
      </c>
      <c r="V2415" s="13" t="s">
        <v>0</v>
      </c>
      <c r="W2415" s="13" t="s">
        <v>0</v>
      </c>
      <c r="X2415" s="13" t="s">
        <v>0</v>
      </c>
      <c r="Y2415" s="13" t="s">
        <v>10</v>
      </c>
      <c r="Z2415" s="13" t="s">
        <v>0</v>
      </c>
      <c r="AA2415" s="14"/>
      <c r="AB2415" s="13" t="s">
        <v>0</v>
      </c>
      <c r="AC2415" s="13" t="s">
        <v>0</v>
      </c>
      <c r="AD2415" s="13" t="s">
        <v>0</v>
      </c>
      <c r="AE2415" s="15">
        <v>0</v>
      </c>
    </row>
    <row r="2416" spans="1:31" ht="14.15" customHeight="1" x14ac:dyDescent="0.25">
      <c r="A2416" s="12" t="s">
        <v>0</v>
      </c>
      <c r="B2416" s="13" t="s">
        <v>1</v>
      </c>
      <c r="C2416" s="13" t="s">
        <v>4261</v>
      </c>
      <c r="D2416" s="14">
        <v>44369</v>
      </c>
      <c r="E2416" s="14">
        <v>44369</v>
      </c>
      <c r="F2416" s="14">
        <v>44373</v>
      </c>
      <c r="G2416" s="13" t="s">
        <v>3</v>
      </c>
      <c r="H2416" s="13" t="s">
        <v>4</v>
      </c>
      <c r="I2416" s="15">
        <v>-3175.12</v>
      </c>
      <c r="J2416" s="13" t="s">
        <v>5</v>
      </c>
      <c r="K2416" s="13" t="s">
        <v>6</v>
      </c>
      <c r="L2416" s="15">
        <v>-266551.32</v>
      </c>
      <c r="M2416" s="15">
        <v>-3175.12</v>
      </c>
      <c r="N2416" s="16" t="str">
        <f>IF(M2416="","",IF(M2416&lt;0,-M2416&amp;"_"&amp;COUNTIF(M$2:M2416,M2416),M2416&amp;"_"&amp;COUNTIF(M$2:M2416,M2416)))</f>
        <v>3175.12_2</v>
      </c>
      <c r="O2416" s="17" t="str">
        <f t="shared" si="37"/>
        <v/>
      </c>
      <c r="P2416" s="13" t="s">
        <v>4262</v>
      </c>
      <c r="Q2416" s="13" t="s">
        <v>4248</v>
      </c>
      <c r="R2416" s="13" t="s">
        <v>0</v>
      </c>
      <c r="S2416" s="13" t="s">
        <v>0</v>
      </c>
      <c r="T2416" s="13" t="s">
        <v>9</v>
      </c>
      <c r="U2416" s="13" t="s">
        <v>0</v>
      </c>
      <c r="V2416" s="13" t="s">
        <v>0</v>
      </c>
      <c r="W2416" s="13" t="s">
        <v>0</v>
      </c>
      <c r="X2416" s="13" t="s">
        <v>0</v>
      </c>
      <c r="Y2416" s="13" t="s">
        <v>10</v>
      </c>
      <c r="Z2416" s="13" t="s">
        <v>0</v>
      </c>
      <c r="AA2416" s="14"/>
      <c r="AB2416" s="13" t="s">
        <v>0</v>
      </c>
      <c r="AC2416" s="13" t="s">
        <v>0</v>
      </c>
      <c r="AD2416" s="13" t="s">
        <v>0</v>
      </c>
      <c r="AE2416" s="15">
        <v>0</v>
      </c>
    </row>
    <row r="2417" spans="1:31" ht="14.15" customHeight="1" x14ac:dyDescent="0.25">
      <c r="A2417" s="12" t="s">
        <v>0</v>
      </c>
      <c r="B2417" s="13" t="s">
        <v>1</v>
      </c>
      <c r="C2417" s="13" t="s">
        <v>330</v>
      </c>
      <c r="D2417" s="14">
        <v>44043</v>
      </c>
      <c r="E2417" s="14">
        <v>44043</v>
      </c>
      <c r="F2417" s="14">
        <v>44057</v>
      </c>
      <c r="G2417" s="13" t="s">
        <v>3</v>
      </c>
      <c r="H2417" s="13" t="s">
        <v>4</v>
      </c>
      <c r="I2417" s="15">
        <v>-3172.85</v>
      </c>
      <c r="J2417" s="13" t="s">
        <v>5</v>
      </c>
      <c r="K2417" s="13" t="s">
        <v>6</v>
      </c>
      <c r="L2417" s="15">
        <v>-266360.76</v>
      </c>
      <c r="M2417" s="15">
        <v>-3172.85</v>
      </c>
      <c r="N2417" s="16" t="str">
        <f>IF(M2417="","",IF(M2417&lt;0,-M2417&amp;"_"&amp;COUNTIF(M$2:M2417,M2417),M2417&amp;"_"&amp;COUNTIF(M$2:M2417,M2417)))</f>
        <v>3172.85_1</v>
      </c>
      <c r="O2417" s="17" t="str">
        <f t="shared" si="37"/>
        <v/>
      </c>
      <c r="P2417" s="13" t="s">
        <v>331</v>
      </c>
      <c r="Q2417" s="13" t="s">
        <v>316</v>
      </c>
      <c r="R2417" s="13" t="s">
        <v>0</v>
      </c>
      <c r="S2417" s="13" t="s">
        <v>0</v>
      </c>
      <c r="T2417" s="13" t="s">
        <v>9</v>
      </c>
      <c r="U2417" s="13" t="s">
        <v>0</v>
      </c>
      <c r="V2417" s="13" t="s">
        <v>0</v>
      </c>
      <c r="W2417" s="13" t="s">
        <v>0</v>
      </c>
      <c r="X2417" s="13" t="s">
        <v>0</v>
      </c>
      <c r="Y2417" s="13" t="s">
        <v>10</v>
      </c>
      <c r="Z2417" s="13" t="s">
        <v>0</v>
      </c>
      <c r="AA2417" s="14"/>
      <c r="AB2417" s="13" t="s">
        <v>0</v>
      </c>
      <c r="AC2417" s="13" t="s">
        <v>0</v>
      </c>
      <c r="AD2417" s="13" t="s">
        <v>0</v>
      </c>
      <c r="AE2417" s="15">
        <v>0</v>
      </c>
    </row>
    <row r="2418" spans="1:31" ht="14.15" customHeight="1" x14ac:dyDescent="0.25">
      <c r="A2418" s="12" t="s">
        <v>0</v>
      </c>
      <c r="B2418" s="13" t="s">
        <v>1</v>
      </c>
      <c r="C2418" s="13" t="s">
        <v>2360</v>
      </c>
      <c r="D2418" s="14">
        <v>44224</v>
      </c>
      <c r="E2418" s="14">
        <v>44224</v>
      </c>
      <c r="F2418" s="14">
        <v>44231</v>
      </c>
      <c r="G2418" s="13" t="s">
        <v>3</v>
      </c>
      <c r="H2418" s="13" t="s">
        <v>4</v>
      </c>
      <c r="I2418" s="15">
        <v>-3172.43</v>
      </c>
      <c r="J2418" s="13" t="s">
        <v>5</v>
      </c>
      <c r="K2418" s="13" t="s">
        <v>6</v>
      </c>
      <c r="L2418" s="15">
        <v>-266325.5</v>
      </c>
      <c r="M2418" s="15">
        <v>-3172.43</v>
      </c>
      <c r="N2418" s="16" t="str">
        <f>IF(M2418="","",IF(M2418&lt;0,-M2418&amp;"_"&amp;COUNTIF(M$2:M2418,M2418),M2418&amp;"_"&amp;COUNTIF(M$2:M2418,M2418)))</f>
        <v>3172.43_1</v>
      </c>
      <c r="O2418" s="17" t="str">
        <f t="shared" si="37"/>
        <v/>
      </c>
      <c r="P2418" s="13" t="s">
        <v>2361</v>
      </c>
      <c r="Q2418" s="13" t="s">
        <v>2345</v>
      </c>
      <c r="R2418" s="13" t="s">
        <v>0</v>
      </c>
      <c r="S2418" s="13" t="s">
        <v>0</v>
      </c>
      <c r="T2418" s="13" t="s">
        <v>9</v>
      </c>
      <c r="U2418" s="13" t="s">
        <v>0</v>
      </c>
      <c r="V2418" s="13" t="s">
        <v>0</v>
      </c>
      <c r="W2418" s="13" t="s">
        <v>0</v>
      </c>
      <c r="X2418" s="13" t="s">
        <v>0</v>
      </c>
      <c r="Y2418" s="13" t="s">
        <v>10</v>
      </c>
      <c r="Z2418" s="13" t="s">
        <v>0</v>
      </c>
      <c r="AA2418" s="14"/>
      <c r="AB2418" s="13" t="s">
        <v>0</v>
      </c>
      <c r="AC2418" s="13" t="s">
        <v>0</v>
      </c>
      <c r="AD2418" s="13" t="s">
        <v>0</v>
      </c>
      <c r="AE2418" s="15">
        <v>0</v>
      </c>
    </row>
    <row r="2419" spans="1:31" ht="14.15" customHeight="1" x14ac:dyDescent="0.25">
      <c r="A2419" s="12" t="s">
        <v>0</v>
      </c>
      <c r="B2419" s="13" t="s">
        <v>1</v>
      </c>
      <c r="C2419" s="13" t="s">
        <v>1939</v>
      </c>
      <c r="D2419" s="14">
        <v>44192</v>
      </c>
      <c r="E2419" s="14">
        <v>44192</v>
      </c>
      <c r="F2419" s="14">
        <v>44196</v>
      </c>
      <c r="G2419" s="13" t="s">
        <v>3</v>
      </c>
      <c r="H2419" s="13" t="s">
        <v>4</v>
      </c>
      <c r="I2419" s="15">
        <v>-3170.44</v>
      </c>
      <c r="J2419" s="13" t="s">
        <v>5</v>
      </c>
      <c r="K2419" s="13" t="s">
        <v>6</v>
      </c>
      <c r="L2419" s="15">
        <v>-266158.44</v>
      </c>
      <c r="M2419" s="15">
        <v>-3170.44</v>
      </c>
      <c r="N2419" s="16" t="str">
        <f>IF(M2419="","",IF(M2419&lt;0,-M2419&amp;"_"&amp;COUNTIF(M$2:M2419,M2419),M2419&amp;"_"&amp;COUNTIF(M$2:M2419,M2419)))</f>
        <v>3170.44_1</v>
      </c>
      <c r="O2419" s="17" t="str">
        <f t="shared" si="37"/>
        <v/>
      </c>
      <c r="P2419" s="13" t="s">
        <v>1940</v>
      </c>
      <c r="Q2419" s="13" t="s">
        <v>1932</v>
      </c>
      <c r="R2419" s="13" t="s">
        <v>0</v>
      </c>
      <c r="S2419" s="13" t="s">
        <v>0</v>
      </c>
      <c r="T2419" s="13" t="s">
        <v>9</v>
      </c>
      <c r="U2419" s="13" t="s">
        <v>0</v>
      </c>
      <c r="V2419" s="13" t="s">
        <v>0</v>
      </c>
      <c r="W2419" s="13" t="s">
        <v>0</v>
      </c>
      <c r="X2419" s="13" t="s">
        <v>0</v>
      </c>
      <c r="Y2419" s="13" t="s">
        <v>10</v>
      </c>
      <c r="Z2419" s="13" t="s">
        <v>0</v>
      </c>
      <c r="AA2419" s="14"/>
      <c r="AB2419" s="13" t="s">
        <v>0</v>
      </c>
      <c r="AC2419" s="13" t="s">
        <v>0</v>
      </c>
      <c r="AD2419" s="13" t="s">
        <v>0</v>
      </c>
      <c r="AE2419" s="15">
        <v>0</v>
      </c>
    </row>
    <row r="2420" spans="1:31" ht="14.15" customHeight="1" x14ac:dyDescent="0.25">
      <c r="A2420" s="12" t="s">
        <v>0</v>
      </c>
      <c r="B2420" s="13" t="s">
        <v>1</v>
      </c>
      <c r="C2420" s="13" t="s">
        <v>3658</v>
      </c>
      <c r="D2420" s="14">
        <v>44334</v>
      </c>
      <c r="E2420" s="14">
        <v>44334</v>
      </c>
      <c r="F2420" s="14">
        <v>44336</v>
      </c>
      <c r="G2420" s="13" t="s">
        <v>3</v>
      </c>
      <c r="H2420" s="13" t="s">
        <v>4</v>
      </c>
      <c r="I2420" s="15">
        <v>-3163.43</v>
      </c>
      <c r="J2420" s="13" t="s">
        <v>5</v>
      </c>
      <c r="K2420" s="13" t="s">
        <v>6</v>
      </c>
      <c r="L2420" s="15">
        <v>-265569.95</v>
      </c>
      <c r="M2420" s="15">
        <v>-3163.43</v>
      </c>
      <c r="N2420" s="16" t="str">
        <f>IF(M2420="","",IF(M2420&lt;0,-M2420&amp;"_"&amp;COUNTIF(M$2:M2420,M2420),M2420&amp;"_"&amp;COUNTIF(M$2:M2420,M2420)))</f>
        <v>3163.43_1</v>
      </c>
      <c r="O2420" s="17" t="str">
        <f t="shared" si="37"/>
        <v/>
      </c>
      <c r="P2420" s="13" t="s">
        <v>3659</v>
      </c>
      <c r="Q2420" s="13" t="s">
        <v>3660</v>
      </c>
      <c r="R2420" s="13" t="s">
        <v>0</v>
      </c>
      <c r="S2420" s="13" t="s">
        <v>0</v>
      </c>
      <c r="T2420" s="13" t="s">
        <v>9</v>
      </c>
      <c r="U2420" s="13" t="s">
        <v>0</v>
      </c>
      <c r="V2420" s="13" t="s">
        <v>0</v>
      </c>
      <c r="W2420" s="13" t="s">
        <v>0</v>
      </c>
      <c r="X2420" s="13" t="s">
        <v>0</v>
      </c>
      <c r="Y2420" s="13" t="s">
        <v>10</v>
      </c>
      <c r="Z2420" s="13" t="s">
        <v>0</v>
      </c>
      <c r="AA2420" s="14"/>
      <c r="AB2420" s="13" t="s">
        <v>0</v>
      </c>
      <c r="AC2420" s="13" t="s">
        <v>0</v>
      </c>
      <c r="AD2420" s="13" t="s">
        <v>0</v>
      </c>
      <c r="AE2420" s="15">
        <v>0</v>
      </c>
    </row>
    <row r="2421" spans="1:31" ht="14.15" customHeight="1" x14ac:dyDescent="0.25">
      <c r="A2421" s="12" t="s">
        <v>0</v>
      </c>
      <c r="B2421" s="13" t="s">
        <v>1</v>
      </c>
      <c r="C2421" s="13" t="s">
        <v>2775</v>
      </c>
      <c r="D2421" s="14">
        <v>44262</v>
      </c>
      <c r="E2421" s="14">
        <v>44262</v>
      </c>
      <c r="F2421" s="14">
        <v>44266</v>
      </c>
      <c r="G2421" s="13" t="s">
        <v>3</v>
      </c>
      <c r="H2421" s="13" t="s">
        <v>4</v>
      </c>
      <c r="I2421" s="15">
        <v>-3159.28</v>
      </c>
      <c r="J2421" s="13" t="s">
        <v>5</v>
      </c>
      <c r="K2421" s="13" t="s">
        <v>6</v>
      </c>
      <c r="L2421" s="15">
        <v>-265221.56</v>
      </c>
      <c r="M2421" s="15">
        <v>-3159.28</v>
      </c>
      <c r="N2421" s="16" t="str">
        <f>IF(M2421="","",IF(M2421&lt;0,-M2421&amp;"_"&amp;COUNTIF(M$2:M2421,M2421),M2421&amp;"_"&amp;COUNTIF(M$2:M2421,M2421)))</f>
        <v>3159.28_1</v>
      </c>
      <c r="O2421" s="17" t="str">
        <f t="shared" si="37"/>
        <v/>
      </c>
      <c r="P2421" s="13" t="s">
        <v>2776</v>
      </c>
      <c r="Q2421" s="13" t="s">
        <v>2770</v>
      </c>
      <c r="R2421" s="13" t="s">
        <v>0</v>
      </c>
      <c r="S2421" s="13" t="s">
        <v>0</v>
      </c>
      <c r="T2421" s="13" t="s">
        <v>9</v>
      </c>
      <c r="U2421" s="13" t="s">
        <v>0</v>
      </c>
      <c r="V2421" s="13" t="s">
        <v>0</v>
      </c>
      <c r="W2421" s="13" t="s">
        <v>0</v>
      </c>
      <c r="X2421" s="13" t="s">
        <v>0</v>
      </c>
      <c r="Y2421" s="13" t="s">
        <v>10</v>
      </c>
      <c r="Z2421" s="13" t="s">
        <v>0</v>
      </c>
      <c r="AA2421" s="14"/>
      <c r="AB2421" s="13" t="s">
        <v>0</v>
      </c>
      <c r="AC2421" s="13" t="s">
        <v>0</v>
      </c>
      <c r="AD2421" s="13" t="s">
        <v>0</v>
      </c>
      <c r="AE2421" s="15">
        <v>0</v>
      </c>
    </row>
    <row r="2422" spans="1:31" ht="14.15" customHeight="1" x14ac:dyDescent="0.25">
      <c r="A2422" s="12" t="s">
        <v>0</v>
      </c>
      <c r="B2422" s="13" t="s">
        <v>1</v>
      </c>
      <c r="C2422" s="13" t="s">
        <v>1807</v>
      </c>
      <c r="D2422" s="14">
        <v>44183</v>
      </c>
      <c r="E2422" s="14">
        <v>44183</v>
      </c>
      <c r="F2422" s="14">
        <v>44187</v>
      </c>
      <c r="G2422" s="13" t="s">
        <v>3</v>
      </c>
      <c r="H2422" s="13" t="s">
        <v>4</v>
      </c>
      <c r="I2422" s="15">
        <v>-3142.37</v>
      </c>
      <c r="J2422" s="13" t="s">
        <v>5</v>
      </c>
      <c r="K2422" s="13" t="s">
        <v>6</v>
      </c>
      <c r="L2422" s="15">
        <v>-263801.96000000002</v>
      </c>
      <c r="M2422" s="15">
        <v>-3142.37</v>
      </c>
      <c r="N2422" s="16" t="str">
        <f>IF(M2422="","",IF(M2422&lt;0,-M2422&amp;"_"&amp;COUNTIF(M$2:M2422,M2422),M2422&amp;"_"&amp;COUNTIF(M$2:M2422,M2422)))</f>
        <v>3142.37_1</v>
      </c>
      <c r="O2422" s="17" t="str">
        <f t="shared" si="37"/>
        <v/>
      </c>
      <c r="P2422" s="13" t="s">
        <v>1808</v>
      </c>
      <c r="Q2422" s="13" t="s">
        <v>1792</v>
      </c>
      <c r="R2422" s="13" t="s">
        <v>0</v>
      </c>
      <c r="S2422" s="13" t="s">
        <v>0</v>
      </c>
      <c r="T2422" s="13" t="s">
        <v>9</v>
      </c>
      <c r="U2422" s="13" t="s">
        <v>0</v>
      </c>
      <c r="V2422" s="13" t="s">
        <v>0</v>
      </c>
      <c r="W2422" s="13" t="s">
        <v>0</v>
      </c>
      <c r="X2422" s="13" t="s">
        <v>0</v>
      </c>
      <c r="Y2422" s="13" t="s">
        <v>10</v>
      </c>
      <c r="Z2422" s="13" t="s">
        <v>0</v>
      </c>
      <c r="AA2422" s="14"/>
      <c r="AB2422" s="13" t="s">
        <v>0</v>
      </c>
      <c r="AC2422" s="13" t="s">
        <v>0</v>
      </c>
      <c r="AD2422" s="13" t="s">
        <v>0</v>
      </c>
      <c r="AE2422" s="15">
        <v>0</v>
      </c>
    </row>
    <row r="2423" spans="1:31" ht="14.15" customHeight="1" x14ac:dyDescent="0.25">
      <c r="A2423" s="12" t="s">
        <v>0</v>
      </c>
      <c r="B2423" s="13" t="s">
        <v>454</v>
      </c>
      <c r="C2423" s="13" t="s">
        <v>3133</v>
      </c>
      <c r="D2423" s="14">
        <v>44293</v>
      </c>
      <c r="E2423" s="14">
        <v>44293</v>
      </c>
      <c r="F2423" s="14">
        <v>44296</v>
      </c>
      <c r="G2423" s="13" t="s">
        <v>3</v>
      </c>
      <c r="H2423" s="13" t="s">
        <v>4</v>
      </c>
      <c r="I2423" s="15">
        <v>-3137.4</v>
      </c>
      <c r="J2423" s="13" t="s">
        <v>5</v>
      </c>
      <c r="K2423" s="13" t="s">
        <v>6</v>
      </c>
      <c r="L2423" s="15">
        <v>-263384.73</v>
      </c>
      <c r="M2423" s="15">
        <v>-3137.4</v>
      </c>
      <c r="N2423" s="16" t="str">
        <f>IF(M2423="","",IF(M2423&lt;0,-M2423&amp;"_"&amp;COUNTIF(M$2:M2423,M2423),M2423&amp;"_"&amp;COUNTIF(M$2:M2423,M2423)))</f>
        <v>3137.4_1</v>
      </c>
      <c r="O2423" s="17" t="str">
        <f t="shared" si="37"/>
        <v/>
      </c>
      <c r="P2423" s="13" t="s">
        <v>3134</v>
      </c>
      <c r="Q2423" s="13" t="s">
        <v>3135</v>
      </c>
      <c r="R2423" s="13" t="s">
        <v>0</v>
      </c>
      <c r="S2423" s="13" t="s">
        <v>0</v>
      </c>
      <c r="T2423" s="13" t="s">
        <v>9</v>
      </c>
      <c r="U2423" s="13" t="s">
        <v>0</v>
      </c>
      <c r="V2423" s="13" t="s">
        <v>0</v>
      </c>
      <c r="W2423" s="13" t="s">
        <v>0</v>
      </c>
      <c r="X2423" s="13" t="s">
        <v>0</v>
      </c>
      <c r="Y2423" s="13" t="s">
        <v>10</v>
      </c>
      <c r="Z2423" s="13" t="s">
        <v>0</v>
      </c>
      <c r="AA2423" s="14"/>
      <c r="AB2423" s="13" t="s">
        <v>0</v>
      </c>
      <c r="AC2423" s="13" t="s">
        <v>0</v>
      </c>
      <c r="AD2423" s="13" t="s">
        <v>0</v>
      </c>
      <c r="AE2423" s="15">
        <v>0</v>
      </c>
    </row>
    <row r="2424" spans="1:31" ht="14.15" customHeight="1" x14ac:dyDescent="0.25">
      <c r="A2424" s="12" t="s">
        <v>0</v>
      </c>
      <c r="B2424" s="13" t="s">
        <v>454</v>
      </c>
      <c r="C2424" s="13" t="s">
        <v>4051</v>
      </c>
      <c r="D2424" s="14">
        <v>44358</v>
      </c>
      <c r="E2424" s="14">
        <v>44358</v>
      </c>
      <c r="F2424" s="14">
        <v>44366</v>
      </c>
      <c r="G2424" s="13" t="s">
        <v>3</v>
      </c>
      <c r="H2424" s="13" t="s">
        <v>4</v>
      </c>
      <c r="I2424" s="15">
        <v>-3137.4</v>
      </c>
      <c r="J2424" s="13" t="s">
        <v>5</v>
      </c>
      <c r="K2424" s="13" t="s">
        <v>6</v>
      </c>
      <c r="L2424" s="15">
        <v>-263384.73</v>
      </c>
      <c r="M2424" s="15">
        <v>-3137.4</v>
      </c>
      <c r="N2424" s="16" t="str">
        <f>IF(M2424="","",IF(M2424&lt;0,-M2424&amp;"_"&amp;COUNTIF(M$2:M2424,M2424),M2424&amp;"_"&amp;COUNTIF(M$2:M2424,M2424)))</f>
        <v>3137.4_2</v>
      </c>
      <c r="O2424" s="17" t="str">
        <f t="shared" si="37"/>
        <v/>
      </c>
      <c r="P2424" s="13" t="s">
        <v>4052</v>
      </c>
      <c r="Q2424" s="13" t="s">
        <v>4006</v>
      </c>
      <c r="R2424" s="13" t="s">
        <v>0</v>
      </c>
      <c r="S2424" s="13" t="s">
        <v>0</v>
      </c>
      <c r="T2424" s="13" t="s">
        <v>9</v>
      </c>
      <c r="U2424" s="13" t="s">
        <v>0</v>
      </c>
      <c r="V2424" s="13" t="s">
        <v>0</v>
      </c>
      <c r="W2424" s="13" t="s">
        <v>0</v>
      </c>
      <c r="X2424" s="13" t="s">
        <v>0</v>
      </c>
      <c r="Y2424" s="13" t="s">
        <v>10</v>
      </c>
      <c r="Z2424" s="13" t="s">
        <v>0</v>
      </c>
      <c r="AA2424" s="14"/>
      <c r="AB2424" s="13" t="s">
        <v>0</v>
      </c>
      <c r="AC2424" s="13" t="s">
        <v>0</v>
      </c>
      <c r="AD2424" s="13" t="s">
        <v>0</v>
      </c>
      <c r="AE2424" s="15">
        <v>0</v>
      </c>
    </row>
    <row r="2425" spans="1:31" ht="14.15" customHeight="1" x14ac:dyDescent="0.25">
      <c r="A2425" s="12" t="s">
        <v>0</v>
      </c>
      <c r="B2425" s="13" t="s">
        <v>1</v>
      </c>
      <c r="C2425" s="13" t="s">
        <v>2970</v>
      </c>
      <c r="D2425" s="14">
        <v>44278</v>
      </c>
      <c r="E2425" s="14">
        <v>44278</v>
      </c>
      <c r="F2425" s="14">
        <v>44286</v>
      </c>
      <c r="G2425" s="13" t="s">
        <v>3</v>
      </c>
      <c r="H2425" s="13" t="s">
        <v>4</v>
      </c>
      <c r="I2425" s="15">
        <v>-3129.26</v>
      </c>
      <c r="J2425" s="13" t="s">
        <v>5</v>
      </c>
      <c r="K2425" s="13" t="s">
        <v>6</v>
      </c>
      <c r="L2425" s="15">
        <v>-262701.38</v>
      </c>
      <c r="M2425" s="15">
        <v>-3129.26</v>
      </c>
      <c r="N2425" s="16" t="str">
        <f>IF(M2425="","",IF(M2425&lt;0,-M2425&amp;"_"&amp;COUNTIF(M$2:M2425,M2425),M2425&amp;"_"&amp;COUNTIF(M$2:M2425,M2425)))</f>
        <v>3129.26_1</v>
      </c>
      <c r="O2425" s="17" t="str">
        <f t="shared" si="37"/>
        <v/>
      </c>
      <c r="P2425" s="13" t="s">
        <v>2971</v>
      </c>
      <c r="Q2425" s="13" t="s">
        <v>2964</v>
      </c>
      <c r="R2425" s="13" t="s">
        <v>0</v>
      </c>
      <c r="S2425" s="13" t="s">
        <v>0</v>
      </c>
      <c r="T2425" s="13" t="s">
        <v>9</v>
      </c>
      <c r="U2425" s="13" t="s">
        <v>0</v>
      </c>
      <c r="V2425" s="13" t="s">
        <v>0</v>
      </c>
      <c r="W2425" s="13" t="s">
        <v>0</v>
      </c>
      <c r="X2425" s="13" t="s">
        <v>0</v>
      </c>
      <c r="Y2425" s="13" t="s">
        <v>10</v>
      </c>
      <c r="Z2425" s="13" t="s">
        <v>0</v>
      </c>
      <c r="AA2425" s="14"/>
      <c r="AB2425" s="13" t="s">
        <v>0</v>
      </c>
      <c r="AC2425" s="13" t="s">
        <v>0</v>
      </c>
      <c r="AD2425" s="13" t="s">
        <v>0</v>
      </c>
      <c r="AE2425" s="15">
        <v>0</v>
      </c>
    </row>
    <row r="2426" spans="1:31" ht="14.15" customHeight="1" x14ac:dyDescent="0.25">
      <c r="A2426" s="12" t="s">
        <v>0</v>
      </c>
      <c r="B2426" s="13" t="s">
        <v>1</v>
      </c>
      <c r="C2426" s="13" t="s">
        <v>1499</v>
      </c>
      <c r="D2426" s="14">
        <v>44161</v>
      </c>
      <c r="E2426" s="14">
        <v>44161</v>
      </c>
      <c r="F2426" s="14">
        <v>44165</v>
      </c>
      <c r="G2426" s="13" t="s">
        <v>3</v>
      </c>
      <c r="H2426" s="13" t="s">
        <v>4</v>
      </c>
      <c r="I2426" s="15">
        <v>-3123.71</v>
      </c>
      <c r="J2426" s="13" t="s">
        <v>5</v>
      </c>
      <c r="K2426" s="13" t="s">
        <v>6</v>
      </c>
      <c r="L2426" s="15">
        <v>-262235.45</v>
      </c>
      <c r="M2426" s="15">
        <v>-3123.71</v>
      </c>
      <c r="N2426" s="16" t="str">
        <f>IF(M2426="","",IF(M2426&lt;0,-M2426&amp;"_"&amp;COUNTIF(M$2:M2426,M2426),M2426&amp;"_"&amp;COUNTIF(M$2:M2426,M2426)))</f>
        <v>3123.71_1</v>
      </c>
      <c r="O2426" s="17" t="str">
        <f t="shared" si="37"/>
        <v/>
      </c>
      <c r="P2426" s="13" t="s">
        <v>1500</v>
      </c>
      <c r="Q2426" s="13" t="s">
        <v>1501</v>
      </c>
      <c r="R2426" s="13" t="s">
        <v>0</v>
      </c>
      <c r="S2426" s="13" t="s">
        <v>0</v>
      </c>
      <c r="T2426" s="13" t="s">
        <v>9</v>
      </c>
      <c r="U2426" s="13" t="s">
        <v>0</v>
      </c>
      <c r="V2426" s="13" t="s">
        <v>0</v>
      </c>
      <c r="W2426" s="13" t="s">
        <v>0</v>
      </c>
      <c r="X2426" s="13" t="s">
        <v>0</v>
      </c>
      <c r="Y2426" s="13" t="s">
        <v>10</v>
      </c>
      <c r="Z2426" s="13" t="s">
        <v>0</v>
      </c>
      <c r="AA2426" s="14"/>
      <c r="AB2426" s="13" t="s">
        <v>0</v>
      </c>
      <c r="AC2426" s="13" t="s">
        <v>0</v>
      </c>
      <c r="AD2426" s="13" t="s">
        <v>0</v>
      </c>
      <c r="AE2426" s="15">
        <v>0</v>
      </c>
    </row>
    <row r="2427" spans="1:31" ht="14.15" customHeight="1" x14ac:dyDescent="0.25">
      <c r="A2427" s="12" t="s">
        <v>0</v>
      </c>
      <c r="B2427" s="13" t="s">
        <v>1</v>
      </c>
      <c r="C2427" s="13" t="s">
        <v>3038</v>
      </c>
      <c r="D2427" s="14">
        <v>44282</v>
      </c>
      <c r="E2427" s="14">
        <v>44282</v>
      </c>
      <c r="F2427" s="14">
        <v>44287</v>
      </c>
      <c r="G2427" s="13" t="s">
        <v>3</v>
      </c>
      <c r="H2427" s="13" t="s">
        <v>4</v>
      </c>
      <c r="I2427" s="15">
        <v>-3113.14</v>
      </c>
      <c r="J2427" s="13" t="s">
        <v>5</v>
      </c>
      <c r="K2427" s="13" t="s">
        <v>6</v>
      </c>
      <c r="L2427" s="15">
        <v>-261348.1</v>
      </c>
      <c r="M2427" s="15">
        <v>-3113.14</v>
      </c>
      <c r="N2427" s="16" t="str">
        <f>IF(M2427="","",IF(M2427&lt;0,-M2427&amp;"_"&amp;COUNTIF(M$2:M2427,M2427),M2427&amp;"_"&amp;COUNTIF(M$2:M2427,M2427)))</f>
        <v>3113.14_1</v>
      </c>
      <c r="O2427" s="17" t="str">
        <f t="shared" si="37"/>
        <v/>
      </c>
      <c r="P2427" s="13" t="s">
        <v>3039</v>
      </c>
      <c r="Q2427" s="13" t="s">
        <v>3035</v>
      </c>
      <c r="R2427" s="13" t="s">
        <v>0</v>
      </c>
      <c r="S2427" s="13" t="s">
        <v>0</v>
      </c>
      <c r="T2427" s="13" t="s">
        <v>9</v>
      </c>
      <c r="U2427" s="13" t="s">
        <v>0</v>
      </c>
      <c r="V2427" s="13" t="s">
        <v>0</v>
      </c>
      <c r="W2427" s="13" t="s">
        <v>0</v>
      </c>
      <c r="X2427" s="13" t="s">
        <v>0</v>
      </c>
      <c r="Y2427" s="13" t="s">
        <v>10</v>
      </c>
      <c r="Z2427" s="13" t="s">
        <v>0</v>
      </c>
      <c r="AA2427" s="14"/>
      <c r="AB2427" s="13" t="s">
        <v>0</v>
      </c>
      <c r="AC2427" s="13" t="s">
        <v>0</v>
      </c>
      <c r="AD2427" s="13" t="s">
        <v>0</v>
      </c>
      <c r="AE2427" s="15">
        <v>0</v>
      </c>
    </row>
    <row r="2428" spans="1:31" ht="14.15" customHeight="1" x14ac:dyDescent="0.25">
      <c r="A2428" s="12" t="s">
        <v>0</v>
      </c>
      <c r="B2428" s="13" t="s">
        <v>1</v>
      </c>
      <c r="C2428" s="13" t="s">
        <v>1221</v>
      </c>
      <c r="D2428" s="14">
        <v>44141</v>
      </c>
      <c r="E2428" s="14">
        <v>44141</v>
      </c>
      <c r="F2428" s="14">
        <v>44146</v>
      </c>
      <c r="G2428" s="13" t="s">
        <v>3</v>
      </c>
      <c r="H2428" s="13" t="s">
        <v>4</v>
      </c>
      <c r="I2428" s="15">
        <v>-3112.8</v>
      </c>
      <c r="J2428" s="13" t="s">
        <v>5</v>
      </c>
      <c r="K2428" s="13" t="s">
        <v>6</v>
      </c>
      <c r="L2428" s="15">
        <v>-261319.56</v>
      </c>
      <c r="M2428" s="15">
        <v>-3112.8</v>
      </c>
      <c r="N2428" s="16" t="str">
        <f>IF(M2428="","",IF(M2428&lt;0,-M2428&amp;"_"&amp;COUNTIF(M$2:M2428,M2428),M2428&amp;"_"&amp;COUNTIF(M$2:M2428,M2428)))</f>
        <v>3112.8_1</v>
      </c>
      <c r="O2428" s="17" t="str">
        <f t="shared" si="37"/>
        <v/>
      </c>
      <c r="P2428" s="13" t="s">
        <v>1222</v>
      </c>
      <c r="Q2428" s="13" t="s">
        <v>1220</v>
      </c>
      <c r="R2428" s="13" t="s">
        <v>0</v>
      </c>
      <c r="S2428" s="13" t="s">
        <v>0</v>
      </c>
      <c r="T2428" s="13" t="s">
        <v>9</v>
      </c>
      <c r="U2428" s="13" t="s">
        <v>0</v>
      </c>
      <c r="V2428" s="13" t="s">
        <v>0</v>
      </c>
      <c r="W2428" s="13" t="s">
        <v>0</v>
      </c>
      <c r="X2428" s="13" t="s">
        <v>0</v>
      </c>
      <c r="Y2428" s="13" t="s">
        <v>10</v>
      </c>
      <c r="Z2428" s="13" t="s">
        <v>0</v>
      </c>
      <c r="AA2428" s="14"/>
      <c r="AB2428" s="13" t="s">
        <v>0</v>
      </c>
      <c r="AC2428" s="13" t="s">
        <v>0</v>
      </c>
      <c r="AD2428" s="13" t="s">
        <v>0</v>
      </c>
      <c r="AE2428" s="15">
        <v>0</v>
      </c>
    </row>
    <row r="2429" spans="1:31" ht="14.15" customHeight="1" x14ac:dyDescent="0.25">
      <c r="A2429" s="12" t="s">
        <v>0</v>
      </c>
      <c r="B2429" s="13" t="s">
        <v>1</v>
      </c>
      <c r="C2429" s="13" t="s">
        <v>3878</v>
      </c>
      <c r="D2429" s="14">
        <v>44352</v>
      </c>
      <c r="E2429" s="14">
        <v>44352</v>
      </c>
      <c r="F2429" s="14">
        <v>44357</v>
      </c>
      <c r="G2429" s="13" t="s">
        <v>3</v>
      </c>
      <c r="H2429" s="13" t="s">
        <v>4</v>
      </c>
      <c r="I2429" s="15">
        <v>-3107.85</v>
      </c>
      <c r="J2429" s="13" t="s">
        <v>5</v>
      </c>
      <c r="K2429" s="13" t="s">
        <v>6</v>
      </c>
      <c r="L2429" s="15">
        <v>-260904.01</v>
      </c>
      <c r="M2429" s="15">
        <v>-3107.85</v>
      </c>
      <c r="N2429" s="16" t="str">
        <f>IF(M2429="","",IF(M2429&lt;0,-M2429&amp;"_"&amp;COUNTIF(M$2:M2429,M2429),M2429&amp;"_"&amp;COUNTIF(M$2:M2429,M2429)))</f>
        <v>3107.85_1</v>
      </c>
      <c r="O2429" s="17" t="str">
        <f t="shared" si="37"/>
        <v/>
      </c>
      <c r="P2429" s="13" t="s">
        <v>3879</v>
      </c>
      <c r="Q2429" s="13" t="s">
        <v>3873</v>
      </c>
      <c r="R2429" s="13" t="s">
        <v>0</v>
      </c>
      <c r="S2429" s="13" t="s">
        <v>0</v>
      </c>
      <c r="T2429" s="13" t="s">
        <v>9</v>
      </c>
      <c r="U2429" s="13" t="s">
        <v>0</v>
      </c>
      <c r="V2429" s="13" t="s">
        <v>0</v>
      </c>
      <c r="W2429" s="13" t="s">
        <v>0</v>
      </c>
      <c r="X2429" s="13" t="s">
        <v>0</v>
      </c>
      <c r="Y2429" s="13" t="s">
        <v>10</v>
      </c>
      <c r="Z2429" s="13" t="s">
        <v>0</v>
      </c>
      <c r="AA2429" s="14"/>
      <c r="AB2429" s="13" t="s">
        <v>0</v>
      </c>
      <c r="AC2429" s="13" t="s">
        <v>0</v>
      </c>
      <c r="AD2429" s="13" t="s">
        <v>0</v>
      </c>
      <c r="AE2429" s="15">
        <v>0</v>
      </c>
    </row>
    <row r="2430" spans="1:31" ht="14.15" customHeight="1" x14ac:dyDescent="0.25">
      <c r="A2430" s="12" t="s">
        <v>0</v>
      </c>
      <c r="B2430" s="13" t="s">
        <v>1</v>
      </c>
      <c r="C2430" s="13" t="s">
        <v>75</v>
      </c>
      <c r="D2430" s="14">
        <v>44020</v>
      </c>
      <c r="E2430" s="14">
        <v>44020</v>
      </c>
      <c r="F2430" s="14">
        <v>44027</v>
      </c>
      <c r="G2430" s="13" t="s">
        <v>3</v>
      </c>
      <c r="H2430" s="13" t="s">
        <v>4</v>
      </c>
      <c r="I2430" s="15">
        <v>-3105.31</v>
      </c>
      <c r="J2430" s="13" t="s">
        <v>5</v>
      </c>
      <c r="K2430" s="13" t="s">
        <v>6</v>
      </c>
      <c r="L2430" s="15">
        <v>-260690.77</v>
      </c>
      <c r="M2430" s="15">
        <v>-3105.31</v>
      </c>
      <c r="N2430" s="16" t="str">
        <f>IF(M2430="","",IF(M2430&lt;0,-M2430&amp;"_"&amp;COUNTIF(M$2:M2430,M2430),M2430&amp;"_"&amp;COUNTIF(M$2:M2430,M2430)))</f>
        <v>3105.31_1</v>
      </c>
      <c r="O2430" s="17" t="str">
        <f t="shared" si="37"/>
        <v/>
      </c>
      <c r="P2430" s="13" t="s">
        <v>76</v>
      </c>
      <c r="Q2430" s="13" t="s">
        <v>70</v>
      </c>
      <c r="R2430" s="13" t="s">
        <v>0</v>
      </c>
      <c r="S2430" s="13" t="s">
        <v>0</v>
      </c>
      <c r="T2430" s="13" t="s">
        <v>9</v>
      </c>
      <c r="U2430" s="13" t="s">
        <v>0</v>
      </c>
      <c r="V2430" s="13" t="s">
        <v>0</v>
      </c>
      <c r="W2430" s="13" t="s">
        <v>0</v>
      </c>
      <c r="X2430" s="13" t="s">
        <v>0</v>
      </c>
      <c r="Y2430" s="13" t="s">
        <v>10</v>
      </c>
      <c r="Z2430" s="13" t="s">
        <v>0</v>
      </c>
      <c r="AA2430" s="14"/>
      <c r="AB2430" s="13" t="s">
        <v>0</v>
      </c>
      <c r="AC2430" s="13" t="s">
        <v>0</v>
      </c>
      <c r="AD2430" s="13" t="s">
        <v>0</v>
      </c>
      <c r="AE2430" s="15">
        <v>0</v>
      </c>
    </row>
    <row r="2431" spans="1:31" ht="14.15" customHeight="1" x14ac:dyDescent="0.25">
      <c r="A2431" s="12" t="s">
        <v>0</v>
      </c>
      <c r="B2431" s="13" t="s">
        <v>1</v>
      </c>
      <c r="C2431" s="13" t="s">
        <v>3070</v>
      </c>
      <c r="D2431" s="14">
        <v>44284</v>
      </c>
      <c r="E2431" s="14">
        <v>44284</v>
      </c>
      <c r="F2431" s="14">
        <v>44291</v>
      </c>
      <c r="G2431" s="13" t="s">
        <v>3</v>
      </c>
      <c r="H2431" s="13" t="s">
        <v>4</v>
      </c>
      <c r="I2431" s="15">
        <v>-3103.35</v>
      </c>
      <c r="J2431" s="13" t="s">
        <v>5</v>
      </c>
      <c r="K2431" s="13" t="s">
        <v>6</v>
      </c>
      <c r="L2431" s="15">
        <v>-260526.23</v>
      </c>
      <c r="M2431" s="15">
        <v>-3103.35</v>
      </c>
      <c r="N2431" s="16" t="str">
        <f>IF(M2431="","",IF(M2431&lt;0,-M2431&amp;"_"&amp;COUNTIF(M$2:M2431,M2431),M2431&amp;"_"&amp;COUNTIF(M$2:M2431,M2431)))</f>
        <v>3103.35_1</v>
      </c>
      <c r="O2431" s="17" t="str">
        <f t="shared" si="37"/>
        <v/>
      </c>
      <c r="P2431" s="13" t="s">
        <v>3071</v>
      </c>
      <c r="Q2431" s="13" t="s">
        <v>3061</v>
      </c>
      <c r="R2431" s="13" t="s">
        <v>0</v>
      </c>
      <c r="S2431" s="13" t="s">
        <v>0</v>
      </c>
      <c r="T2431" s="13" t="s">
        <v>9</v>
      </c>
      <c r="U2431" s="13" t="s">
        <v>0</v>
      </c>
      <c r="V2431" s="13" t="s">
        <v>0</v>
      </c>
      <c r="W2431" s="13" t="s">
        <v>0</v>
      </c>
      <c r="X2431" s="13" t="s">
        <v>0</v>
      </c>
      <c r="Y2431" s="13" t="s">
        <v>10</v>
      </c>
      <c r="Z2431" s="13" t="s">
        <v>0</v>
      </c>
      <c r="AA2431" s="14"/>
      <c r="AB2431" s="13" t="s">
        <v>0</v>
      </c>
      <c r="AC2431" s="13" t="s">
        <v>0</v>
      </c>
      <c r="AD2431" s="13" t="s">
        <v>0</v>
      </c>
      <c r="AE2431" s="15">
        <v>0</v>
      </c>
    </row>
    <row r="2432" spans="1:31" ht="14.15" customHeight="1" x14ac:dyDescent="0.25">
      <c r="A2432" s="12" t="s">
        <v>0</v>
      </c>
      <c r="B2432" s="13" t="s">
        <v>1</v>
      </c>
      <c r="C2432" s="13" t="s">
        <v>3931</v>
      </c>
      <c r="D2432" s="14">
        <v>44354</v>
      </c>
      <c r="E2432" s="14">
        <v>44354</v>
      </c>
      <c r="F2432" s="14">
        <v>44357</v>
      </c>
      <c r="G2432" s="13" t="s">
        <v>3</v>
      </c>
      <c r="H2432" s="13" t="s">
        <v>4</v>
      </c>
      <c r="I2432" s="15">
        <v>-3102.13</v>
      </c>
      <c r="J2432" s="13" t="s">
        <v>5</v>
      </c>
      <c r="K2432" s="13" t="s">
        <v>6</v>
      </c>
      <c r="L2432" s="15">
        <v>-260423.81</v>
      </c>
      <c r="M2432" s="15">
        <v>-3102.13</v>
      </c>
      <c r="N2432" s="16" t="str">
        <f>IF(M2432="","",IF(M2432&lt;0,-M2432&amp;"_"&amp;COUNTIF(M$2:M2432,M2432),M2432&amp;"_"&amp;COUNTIF(M$2:M2432,M2432)))</f>
        <v>3102.13_1</v>
      </c>
      <c r="O2432" s="17" t="str">
        <f t="shared" si="37"/>
        <v/>
      </c>
      <c r="P2432" s="13" t="s">
        <v>3932</v>
      </c>
      <c r="Q2432" s="13" t="s">
        <v>3914</v>
      </c>
      <c r="R2432" s="13" t="s">
        <v>0</v>
      </c>
      <c r="S2432" s="13" t="s">
        <v>0</v>
      </c>
      <c r="T2432" s="13" t="s">
        <v>9</v>
      </c>
      <c r="U2432" s="13" t="s">
        <v>0</v>
      </c>
      <c r="V2432" s="13" t="s">
        <v>0</v>
      </c>
      <c r="W2432" s="13" t="s">
        <v>0</v>
      </c>
      <c r="X2432" s="13" t="s">
        <v>0</v>
      </c>
      <c r="Y2432" s="13" t="s">
        <v>10</v>
      </c>
      <c r="Z2432" s="13" t="s">
        <v>0</v>
      </c>
      <c r="AA2432" s="14"/>
      <c r="AB2432" s="13" t="s">
        <v>0</v>
      </c>
      <c r="AC2432" s="13" t="s">
        <v>0</v>
      </c>
      <c r="AD2432" s="13" t="s">
        <v>0</v>
      </c>
      <c r="AE2432" s="15">
        <v>0</v>
      </c>
    </row>
    <row r="2433" spans="1:31" ht="14.15" customHeight="1" x14ac:dyDescent="0.25">
      <c r="A2433" s="12" t="s">
        <v>0</v>
      </c>
      <c r="B2433" s="13" t="s">
        <v>454</v>
      </c>
      <c r="C2433" s="13" t="s">
        <v>3620</v>
      </c>
      <c r="D2433" s="14">
        <v>44329</v>
      </c>
      <c r="E2433" s="14">
        <v>44329</v>
      </c>
      <c r="F2433" s="14">
        <v>44338</v>
      </c>
      <c r="G2433" s="13" t="s">
        <v>3</v>
      </c>
      <c r="H2433" s="13" t="s">
        <v>4</v>
      </c>
      <c r="I2433" s="15">
        <v>-3078</v>
      </c>
      <c r="J2433" s="13" t="s">
        <v>5</v>
      </c>
      <c r="K2433" s="13" t="s">
        <v>6</v>
      </c>
      <c r="L2433" s="15">
        <v>-258398.1</v>
      </c>
      <c r="M2433" s="15">
        <v>-3078</v>
      </c>
      <c r="N2433" s="16" t="str">
        <f>IF(M2433="","",IF(M2433&lt;0,-M2433&amp;"_"&amp;COUNTIF(M$2:M2433,M2433),M2433&amp;"_"&amp;COUNTIF(M$2:M2433,M2433)))</f>
        <v>3078_1</v>
      </c>
      <c r="O2433" s="17" t="str">
        <f t="shared" si="37"/>
        <v/>
      </c>
      <c r="P2433" s="13" t="s">
        <v>3621</v>
      </c>
      <c r="Q2433" s="13" t="s">
        <v>3603</v>
      </c>
      <c r="R2433" s="13" t="s">
        <v>0</v>
      </c>
      <c r="S2433" s="13" t="s">
        <v>0</v>
      </c>
      <c r="T2433" s="13" t="s">
        <v>9</v>
      </c>
      <c r="U2433" s="13" t="s">
        <v>0</v>
      </c>
      <c r="V2433" s="13" t="s">
        <v>0</v>
      </c>
      <c r="W2433" s="13" t="s">
        <v>0</v>
      </c>
      <c r="X2433" s="13" t="s">
        <v>0</v>
      </c>
      <c r="Y2433" s="13" t="s">
        <v>10</v>
      </c>
      <c r="Z2433" s="13" t="s">
        <v>0</v>
      </c>
      <c r="AA2433" s="14"/>
      <c r="AB2433" s="13" t="s">
        <v>0</v>
      </c>
      <c r="AC2433" s="13" t="s">
        <v>0</v>
      </c>
      <c r="AD2433" s="13" t="s">
        <v>0</v>
      </c>
      <c r="AE2433" s="15">
        <v>0</v>
      </c>
    </row>
    <row r="2434" spans="1:31" ht="14.15" customHeight="1" x14ac:dyDescent="0.25">
      <c r="A2434" s="12" t="s">
        <v>0</v>
      </c>
      <c r="B2434" s="13" t="s">
        <v>1</v>
      </c>
      <c r="C2434" s="13" t="s">
        <v>3897</v>
      </c>
      <c r="D2434" s="14">
        <v>44353</v>
      </c>
      <c r="E2434" s="14">
        <v>44353</v>
      </c>
      <c r="F2434" s="14">
        <v>44361</v>
      </c>
      <c r="G2434" s="13" t="s">
        <v>3</v>
      </c>
      <c r="H2434" s="13" t="s">
        <v>4</v>
      </c>
      <c r="I2434" s="15">
        <v>-3067.53</v>
      </c>
      <c r="J2434" s="13" t="s">
        <v>5</v>
      </c>
      <c r="K2434" s="13" t="s">
        <v>6</v>
      </c>
      <c r="L2434" s="15">
        <v>-257519.14</v>
      </c>
      <c r="M2434" s="15">
        <v>-3067.53</v>
      </c>
      <c r="N2434" s="16" t="str">
        <f>IF(M2434="","",IF(M2434&lt;0,-M2434&amp;"_"&amp;COUNTIF(M$2:M2434,M2434),M2434&amp;"_"&amp;COUNTIF(M$2:M2434,M2434)))</f>
        <v>3067.53_1</v>
      </c>
      <c r="O2434" s="17" t="str">
        <f t="shared" ref="O2434:O2497" si="38">IF(COUNTIF(N:N,N2434)=2,"x","")</f>
        <v/>
      </c>
      <c r="P2434" s="13" t="s">
        <v>3898</v>
      </c>
      <c r="Q2434" s="13" t="s">
        <v>3886</v>
      </c>
      <c r="R2434" s="13" t="s">
        <v>0</v>
      </c>
      <c r="S2434" s="13" t="s">
        <v>0</v>
      </c>
      <c r="T2434" s="13" t="s">
        <v>9</v>
      </c>
      <c r="U2434" s="13" t="s">
        <v>0</v>
      </c>
      <c r="V2434" s="13" t="s">
        <v>0</v>
      </c>
      <c r="W2434" s="13" t="s">
        <v>0</v>
      </c>
      <c r="X2434" s="13" t="s">
        <v>0</v>
      </c>
      <c r="Y2434" s="13" t="s">
        <v>10</v>
      </c>
      <c r="Z2434" s="13" t="s">
        <v>0</v>
      </c>
      <c r="AA2434" s="14"/>
      <c r="AB2434" s="13" t="s">
        <v>0</v>
      </c>
      <c r="AC2434" s="13" t="s">
        <v>0</v>
      </c>
      <c r="AD2434" s="13" t="s">
        <v>0</v>
      </c>
      <c r="AE2434" s="15">
        <v>0</v>
      </c>
    </row>
    <row r="2435" spans="1:31" ht="14.15" customHeight="1" x14ac:dyDescent="0.25">
      <c r="A2435" s="12" t="s">
        <v>0</v>
      </c>
      <c r="B2435" s="13" t="s">
        <v>1</v>
      </c>
      <c r="C2435" s="13" t="s">
        <v>3325</v>
      </c>
      <c r="D2435" s="14">
        <v>44314</v>
      </c>
      <c r="E2435" s="14">
        <v>44314</v>
      </c>
      <c r="F2435" s="14">
        <v>44323</v>
      </c>
      <c r="G2435" s="13" t="s">
        <v>3</v>
      </c>
      <c r="H2435" s="13" t="s">
        <v>4</v>
      </c>
      <c r="I2435" s="15">
        <v>-3065.63</v>
      </c>
      <c r="J2435" s="13" t="s">
        <v>5</v>
      </c>
      <c r="K2435" s="13" t="s">
        <v>6</v>
      </c>
      <c r="L2435" s="15">
        <v>-257359.64</v>
      </c>
      <c r="M2435" s="15">
        <v>-3065.63</v>
      </c>
      <c r="N2435" s="16" t="str">
        <f>IF(M2435="","",IF(M2435&lt;0,-M2435&amp;"_"&amp;COUNTIF(M$2:M2435,M2435),M2435&amp;"_"&amp;COUNTIF(M$2:M2435,M2435)))</f>
        <v>3065.63_1</v>
      </c>
      <c r="O2435" s="17" t="str">
        <f t="shared" si="38"/>
        <v/>
      </c>
      <c r="P2435" s="13" t="s">
        <v>3326</v>
      </c>
      <c r="Q2435" s="13" t="s">
        <v>3284</v>
      </c>
      <c r="R2435" s="13" t="s">
        <v>0</v>
      </c>
      <c r="S2435" s="13" t="s">
        <v>0</v>
      </c>
      <c r="T2435" s="13" t="s">
        <v>9</v>
      </c>
      <c r="U2435" s="13" t="s">
        <v>0</v>
      </c>
      <c r="V2435" s="13" t="s">
        <v>0</v>
      </c>
      <c r="W2435" s="13" t="s">
        <v>0</v>
      </c>
      <c r="X2435" s="13" t="s">
        <v>0</v>
      </c>
      <c r="Y2435" s="13" t="s">
        <v>10</v>
      </c>
      <c r="Z2435" s="13" t="s">
        <v>0</v>
      </c>
      <c r="AA2435" s="14"/>
      <c r="AB2435" s="13" t="s">
        <v>0</v>
      </c>
      <c r="AC2435" s="13" t="s">
        <v>0</v>
      </c>
      <c r="AD2435" s="13" t="s">
        <v>0</v>
      </c>
      <c r="AE2435" s="15">
        <v>0</v>
      </c>
    </row>
    <row r="2436" spans="1:31" ht="14.15" customHeight="1" x14ac:dyDescent="0.25">
      <c r="A2436" s="12" t="s">
        <v>0</v>
      </c>
      <c r="B2436" s="13" t="s">
        <v>1</v>
      </c>
      <c r="C2436" s="13" t="s">
        <v>1527</v>
      </c>
      <c r="D2436" s="14">
        <v>44164</v>
      </c>
      <c r="E2436" s="14">
        <v>44164</v>
      </c>
      <c r="F2436" s="14">
        <v>44166</v>
      </c>
      <c r="G2436" s="13" t="s">
        <v>3</v>
      </c>
      <c r="H2436" s="13" t="s">
        <v>4</v>
      </c>
      <c r="I2436" s="15">
        <v>-3062.22</v>
      </c>
      <c r="J2436" s="13" t="s">
        <v>5</v>
      </c>
      <c r="K2436" s="13" t="s">
        <v>6</v>
      </c>
      <c r="L2436" s="15">
        <v>-257073.37</v>
      </c>
      <c r="M2436" s="15">
        <v>-3062.22</v>
      </c>
      <c r="N2436" s="16" t="str">
        <f>IF(M2436="","",IF(M2436&lt;0,-M2436&amp;"_"&amp;COUNTIF(M$2:M2436,M2436),M2436&amp;"_"&amp;COUNTIF(M$2:M2436,M2436)))</f>
        <v>3062.22_1</v>
      </c>
      <c r="O2436" s="17" t="str">
        <f t="shared" si="38"/>
        <v/>
      </c>
      <c r="P2436" s="13" t="s">
        <v>1528</v>
      </c>
      <c r="Q2436" s="13" t="s">
        <v>1516</v>
      </c>
      <c r="R2436" s="13" t="s">
        <v>0</v>
      </c>
      <c r="S2436" s="13" t="s">
        <v>0</v>
      </c>
      <c r="T2436" s="13" t="s">
        <v>9</v>
      </c>
      <c r="U2436" s="13" t="s">
        <v>0</v>
      </c>
      <c r="V2436" s="13" t="s">
        <v>0</v>
      </c>
      <c r="W2436" s="13" t="s">
        <v>0</v>
      </c>
      <c r="X2436" s="13" t="s">
        <v>0</v>
      </c>
      <c r="Y2436" s="13" t="s">
        <v>10</v>
      </c>
      <c r="Z2436" s="13" t="s">
        <v>0</v>
      </c>
      <c r="AA2436" s="14"/>
      <c r="AB2436" s="13" t="s">
        <v>0</v>
      </c>
      <c r="AC2436" s="13" t="s">
        <v>0</v>
      </c>
      <c r="AD2436" s="13" t="s">
        <v>0</v>
      </c>
      <c r="AE2436" s="15">
        <v>0</v>
      </c>
    </row>
    <row r="2437" spans="1:31" ht="14.15" customHeight="1" x14ac:dyDescent="0.25">
      <c r="A2437" s="12" t="s">
        <v>0</v>
      </c>
      <c r="B2437" s="13" t="s">
        <v>1</v>
      </c>
      <c r="C2437" s="13" t="s">
        <v>1527</v>
      </c>
      <c r="D2437" s="14">
        <v>44164</v>
      </c>
      <c r="E2437" s="14">
        <v>44164</v>
      </c>
      <c r="F2437" s="14">
        <v>44166</v>
      </c>
      <c r="G2437" s="13" t="s">
        <v>3</v>
      </c>
      <c r="H2437" s="13" t="s">
        <v>4</v>
      </c>
      <c r="I2437" s="15">
        <v>-3062.22</v>
      </c>
      <c r="J2437" s="13" t="s">
        <v>5</v>
      </c>
      <c r="K2437" s="13" t="s">
        <v>6</v>
      </c>
      <c r="L2437" s="15">
        <v>-257073.37</v>
      </c>
      <c r="M2437" s="15">
        <v>-3062.22</v>
      </c>
      <c r="N2437" s="16" t="str">
        <f>IF(M2437="","",IF(M2437&lt;0,-M2437&amp;"_"&amp;COUNTIF(M$2:M2437,M2437),M2437&amp;"_"&amp;COUNTIF(M$2:M2437,M2437)))</f>
        <v>3062.22_2</v>
      </c>
      <c r="O2437" s="17" t="str">
        <f t="shared" si="38"/>
        <v/>
      </c>
      <c r="P2437" s="13" t="s">
        <v>1528</v>
      </c>
      <c r="Q2437" s="13" t="s">
        <v>1516</v>
      </c>
      <c r="R2437" s="13" t="s">
        <v>0</v>
      </c>
      <c r="S2437" s="13" t="s">
        <v>0</v>
      </c>
      <c r="T2437" s="13" t="s">
        <v>9</v>
      </c>
      <c r="U2437" s="13" t="s">
        <v>0</v>
      </c>
      <c r="V2437" s="13" t="s">
        <v>0</v>
      </c>
      <c r="W2437" s="13" t="s">
        <v>0</v>
      </c>
      <c r="X2437" s="13" t="s">
        <v>0</v>
      </c>
      <c r="Y2437" s="13" t="s">
        <v>10</v>
      </c>
      <c r="Z2437" s="13" t="s">
        <v>0</v>
      </c>
      <c r="AA2437" s="14"/>
      <c r="AB2437" s="13" t="s">
        <v>0</v>
      </c>
      <c r="AC2437" s="13" t="s">
        <v>0</v>
      </c>
      <c r="AD2437" s="13" t="s">
        <v>0</v>
      </c>
      <c r="AE2437" s="15">
        <v>0</v>
      </c>
    </row>
    <row r="2438" spans="1:31" ht="14.15" customHeight="1" x14ac:dyDescent="0.25">
      <c r="A2438" s="12" t="s">
        <v>0</v>
      </c>
      <c r="B2438" s="13" t="s">
        <v>1</v>
      </c>
      <c r="C2438" s="13" t="s">
        <v>3070</v>
      </c>
      <c r="D2438" s="14">
        <v>44284</v>
      </c>
      <c r="E2438" s="14">
        <v>44284</v>
      </c>
      <c r="F2438" s="14">
        <v>44291</v>
      </c>
      <c r="G2438" s="13" t="s">
        <v>3</v>
      </c>
      <c r="H2438" s="13" t="s">
        <v>4</v>
      </c>
      <c r="I2438" s="15">
        <v>-3056.64</v>
      </c>
      <c r="J2438" s="13" t="s">
        <v>5</v>
      </c>
      <c r="K2438" s="13" t="s">
        <v>6</v>
      </c>
      <c r="L2438" s="15">
        <v>-256604.93</v>
      </c>
      <c r="M2438" s="15">
        <v>-3056.64</v>
      </c>
      <c r="N2438" s="16" t="str">
        <f>IF(M2438="","",IF(M2438&lt;0,-M2438&amp;"_"&amp;COUNTIF(M$2:M2438,M2438),M2438&amp;"_"&amp;COUNTIF(M$2:M2438,M2438)))</f>
        <v>3056.64_1</v>
      </c>
      <c r="O2438" s="17" t="str">
        <f t="shared" si="38"/>
        <v/>
      </c>
      <c r="P2438" s="13" t="s">
        <v>3071</v>
      </c>
      <c r="Q2438" s="13" t="s">
        <v>3061</v>
      </c>
      <c r="R2438" s="13" t="s">
        <v>0</v>
      </c>
      <c r="S2438" s="13" t="s">
        <v>0</v>
      </c>
      <c r="T2438" s="13" t="s">
        <v>9</v>
      </c>
      <c r="U2438" s="13" t="s">
        <v>0</v>
      </c>
      <c r="V2438" s="13" t="s">
        <v>0</v>
      </c>
      <c r="W2438" s="13" t="s">
        <v>0</v>
      </c>
      <c r="X2438" s="13" t="s">
        <v>0</v>
      </c>
      <c r="Y2438" s="13" t="s">
        <v>10</v>
      </c>
      <c r="Z2438" s="13" t="s">
        <v>0</v>
      </c>
      <c r="AA2438" s="14"/>
      <c r="AB2438" s="13" t="s">
        <v>0</v>
      </c>
      <c r="AC2438" s="13" t="s">
        <v>0</v>
      </c>
      <c r="AD2438" s="13" t="s">
        <v>0</v>
      </c>
      <c r="AE2438" s="15">
        <v>0</v>
      </c>
    </row>
    <row r="2439" spans="1:31" ht="14.15" customHeight="1" x14ac:dyDescent="0.25">
      <c r="A2439" s="12" t="s">
        <v>0</v>
      </c>
      <c r="B2439" s="13" t="s">
        <v>1</v>
      </c>
      <c r="C2439" s="13" t="s">
        <v>2477</v>
      </c>
      <c r="D2439" s="14">
        <v>44234</v>
      </c>
      <c r="E2439" s="14">
        <v>44234</v>
      </c>
      <c r="F2439" s="14">
        <v>44241</v>
      </c>
      <c r="G2439" s="13" t="s">
        <v>3</v>
      </c>
      <c r="H2439" s="13" t="s">
        <v>4</v>
      </c>
      <c r="I2439" s="15">
        <v>-3053.48</v>
      </c>
      <c r="J2439" s="13" t="s">
        <v>5</v>
      </c>
      <c r="K2439" s="13" t="s">
        <v>6</v>
      </c>
      <c r="L2439" s="15">
        <v>-256339.65</v>
      </c>
      <c r="M2439" s="15">
        <v>-3053.48</v>
      </c>
      <c r="N2439" s="16" t="str">
        <f>IF(M2439="","",IF(M2439&lt;0,-M2439&amp;"_"&amp;COUNTIF(M$2:M2439,M2439),M2439&amp;"_"&amp;COUNTIF(M$2:M2439,M2439)))</f>
        <v>3053.48_1</v>
      </c>
      <c r="O2439" s="17" t="str">
        <f t="shared" si="38"/>
        <v/>
      </c>
      <c r="P2439" s="13" t="s">
        <v>2478</v>
      </c>
      <c r="Q2439" s="13" t="s">
        <v>2462</v>
      </c>
      <c r="R2439" s="13" t="s">
        <v>0</v>
      </c>
      <c r="S2439" s="13" t="s">
        <v>0</v>
      </c>
      <c r="T2439" s="13" t="s">
        <v>9</v>
      </c>
      <c r="U2439" s="13" t="s">
        <v>0</v>
      </c>
      <c r="V2439" s="13" t="s">
        <v>0</v>
      </c>
      <c r="W2439" s="13" t="s">
        <v>0</v>
      </c>
      <c r="X2439" s="13" t="s">
        <v>0</v>
      </c>
      <c r="Y2439" s="13" t="s">
        <v>10</v>
      </c>
      <c r="Z2439" s="13" t="s">
        <v>0</v>
      </c>
      <c r="AA2439" s="14"/>
      <c r="AB2439" s="13" t="s">
        <v>0</v>
      </c>
      <c r="AC2439" s="13" t="s">
        <v>0</v>
      </c>
      <c r="AD2439" s="13" t="s">
        <v>0</v>
      </c>
      <c r="AE2439" s="15">
        <v>0</v>
      </c>
    </row>
    <row r="2440" spans="1:31" ht="14.15" customHeight="1" x14ac:dyDescent="0.25">
      <c r="A2440" s="12" t="s">
        <v>0</v>
      </c>
      <c r="B2440" s="13" t="s">
        <v>1</v>
      </c>
      <c r="C2440" s="13" t="s">
        <v>1447</v>
      </c>
      <c r="D2440" s="14">
        <v>44158</v>
      </c>
      <c r="E2440" s="14">
        <v>44158</v>
      </c>
      <c r="F2440" s="14">
        <v>44163</v>
      </c>
      <c r="G2440" s="13" t="s">
        <v>3</v>
      </c>
      <c r="H2440" s="13" t="s">
        <v>4</v>
      </c>
      <c r="I2440" s="15">
        <v>-3051.1</v>
      </c>
      <c r="J2440" s="13" t="s">
        <v>5</v>
      </c>
      <c r="K2440" s="13" t="s">
        <v>6</v>
      </c>
      <c r="L2440" s="15">
        <v>-256139.83</v>
      </c>
      <c r="M2440" s="15">
        <v>-3051.1</v>
      </c>
      <c r="N2440" s="16" t="str">
        <f>IF(M2440="","",IF(M2440&lt;0,-M2440&amp;"_"&amp;COUNTIF(M$2:M2440,M2440),M2440&amp;"_"&amp;COUNTIF(M$2:M2440,M2440)))</f>
        <v>3051.1_1</v>
      </c>
      <c r="O2440" s="17" t="str">
        <f t="shared" si="38"/>
        <v/>
      </c>
      <c r="P2440" s="13" t="s">
        <v>1448</v>
      </c>
      <c r="Q2440" s="13" t="s">
        <v>1444</v>
      </c>
      <c r="R2440" s="13" t="s">
        <v>0</v>
      </c>
      <c r="S2440" s="13" t="s">
        <v>0</v>
      </c>
      <c r="T2440" s="13" t="s">
        <v>9</v>
      </c>
      <c r="U2440" s="13" t="s">
        <v>0</v>
      </c>
      <c r="V2440" s="13" t="s">
        <v>0</v>
      </c>
      <c r="W2440" s="13" t="s">
        <v>0</v>
      </c>
      <c r="X2440" s="13" t="s">
        <v>0</v>
      </c>
      <c r="Y2440" s="13" t="s">
        <v>10</v>
      </c>
      <c r="Z2440" s="13" t="s">
        <v>0</v>
      </c>
      <c r="AA2440" s="14"/>
      <c r="AB2440" s="13" t="s">
        <v>0</v>
      </c>
      <c r="AC2440" s="13" t="s">
        <v>0</v>
      </c>
      <c r="AD2440" s="13" t="s">
        <v>0</v>
      </c>
      <c r="AE2440" s="15">
        <v>0</v>
      </c>
    </row>
    <row r="2441" spans="1:31" ht="14.15" customHeight="1" x14ac:dyDescent="0.25">
      <c r="A2441" s="12" t="s">
        <v>0</v>
      </c>
      <c r="B2441" s="13" t="s">
        <v>1</v>
      </c>
      <c r="C2441" s="13" t="s">
        <v>1525</v>
      </c>
      <c r="D2441" s="14">
        <v>44164</v>
      </c>
      <c r="E2441" s="14">
        <v>44164</v>
      </c>
      <c r="F2441" s="14">
        <v>44166</v>
      </c>
      <c r="G2441" s="13" t="s">
        <v>3</v>
      </c>
      <c r="H2441" s="13" t="s">
        <v>4</v>
      </c>
      <c r="I2441" s="15">
        <v>-3045.04</v>
      </c>
      <c r="J2441" s="13" t="s">
        <v>5</v>
      </c>
      <c r="K2441" s="13" t="s">
        <v>6</v>
      </c>
      <c r="L2441" s="15">
        <v>-255631.11</v>
      </c>
      <c r="M2441" s="15">
        <v>-3045.04</v>
      </c>
      <c r="N2441" s="16" t="str">
        <f>IF(M2441="","",IF(M2441&lt;0,-M2441&amp;"_"&amp;COUNTIF(M$2:M2441,M2441),M2441&amp;"_"&amp;COUNTIF(M$2:M2441,M2441)))</f>
        <v>3045.04_1</v>
      </c>
      <c r="O2441" s="17" t="str">
        <f t="shared" si="38"/>
        <v/>
      </c>
      <c r="P2441" s="13" t="s">
        <v>1526</v>
      </c>
      <c r="Q2441" s="13" t="s">
        <v>1516</v>
      </c>
      <c r="R2441" s="13" t="s">
        <v>0</v>
      </c>
      <c r="S2441" s="13" t="s">
        <v>0</v>
      </c>
      <c r="T2441" s="13" t="s">
        <v>9</v>
      </c>
      <c r="U2441" s="13" t="s">
        <v>0</v>
      </c>
      <c r="V2441" s="13" t="s">
        <v>0</v>
      </c>
      <c r="W2441" s="13" t="s">
        <v>0</v>
      </c>
      <c r="X2441" s="13" t="s">
        <v>0</v>
      </c>
      <c r="Y2441" s="13" t="s">
        <v>10</v>
      </c>
      <c r="Z2441" s="13" t="s">
        <v>0</v>
      </c>
      <c r="AA2441" s="14"/>
      <c r="AB2441" s="13" t="s">
        <v>0</v>
      </c>
      <c r="AC2441" s="13" t="s">
        <v>0</v>
      </c>
      <c r="AD2441" s="13" t="s">
        <v>0</v>
      </c>
      <c r="AE2441" s="15">
        <v>0</v>
      </c>
    </row>
    <row r="2442" spans="1:31" ht="14.15" customHeight="1" x14ac:dyDescent="0.25">
      <c r="A2442" s="12" t="s">
        <v>0</v>
      </c>
      <c r="B2442" s="13" t="s">
        <v>1</v>
      </c>
      <c r="C2442" s="13" t="s">
        <v>2104</v>
      </c>
      <c r="D2442" s="14">
        <v>44199</v>
      </c>
      <c r="E2442" s="14">
        <v>44199</v>
      </c>
      <c r="F2442" s="14">
        <v>44203</v>
      </c>
      <c r="G2442" s="13" t="s">
        <v>3</v>
      </c>
      <c r="H2442" s="13" t="s">
        <v>4</v>
      </c>
      <c r="I2442" s="15">
        <v>-3044.64</v>
      </c>
      <c r="J2442" s="13" t="s">
        <v>5</v>
      </c>
      <c r="K2442" s="13" t="s">
        <v>6</v>
      </c>
      <c r="L2442" s="15">
        <v>-255597.53</v>
      </c>
      <c r="M2442" s="15">
        <v>-3044.64</v>
      </c>
      <c r="N2442" s="16" t="str">
        <f>IF(M2442="","",IF(M2442&lt;0,-M2442&amp;"_"&amp;COUNTIF(M$2:M2442,M2442),M2442&amp;"_"&amp;COUNTIF(M$2:M2442,M2442)))</f>
        <v>3044.64_1</v>
      </c>
      <c r="O2442" s="17" t="str">
        <f t="shared" si="38"/>
        <v/>
      </c>
      <c r="P2442" s="13" t="s">
        <v>2105</v>
      </c>
      <c r="Q2442" s="13" t="s">
        <v>2093</v>
      </c>
      <c r="R2442" s="13" t="s">
        <v>0</v>
      </c>
      <c r="S2442" s="13" t="s">
        <v>0</v>
      </c>
      <c r="T2442" s="13" t="s">
        <v>9</v>
      </c>
      <c r="U2442" s="13" t="s">
        <v>0</v>
      </c>
      <c r="V2442" s="13" t="s">
        <v>0</v>
      </c>
      <c r="W2442" s="13" t="s">
        <v>0</v>
      </c>
      <c r="X2442" s="13" t="s">
        <v>0</v>
      </c>
      <c r="Y2442" s="13" t="s">
        <v>10</v>
      </c>
      <c r="Z2442" s="13" t="s">
        <v>0</v>
      </c>
      <c r="AA2442" s="14"/>
      <c r="AB2442" s="13" t="s">
        <v>0</v>
      </c>
      <c r="AC2442" s="13" t="s">
        <v>0</v>
      </c>
      <c r="AD2442" s="13" t="s">
        <v>0</v>
      </c>
      <c r="AE2442" s="15">
        <v>0</v>
      </c>
    </row>
    <row r="2443" spans="1:31" ht="14.15" customHeight="1" x14ac:dyDescent="0.25">
      <c r="A2443" s="12" t="s">
        <v>0</v>
      </c>
      <c r="B2443" s="13" t="s">
        <v>1</v>
      </c>
      <c r="C2443" s="13" t="s">
        <v>2343</v>
      </c>
      <c r="D2443" s="14">
        <v>44224</v>
      </c>
      <c r="E2443" s="14">
        <v>44224</v>
      </c>
      <c r="F2443" s="14">
        <v>44228</v>
      </c>
      <c r="G2443" s="13" t="s">
        <v>3</v>
      </c>
      <c r="H2443" s="13" t="s">
        <v>4</v>
      </c>
      <c r="I2443" s="15">
        <v>-3044.64</v>
      </c>
      <c r="J2443" s="13" t="s">
        <v>5</v>
      </c>
      <c r="K2443" s="13" t="s">
        <v>6</v>
      </c>
      <c r="L2443" s="15">
        <v>-255597.53</v>
      </c>
      <c r="M2443" s="15">
        <v>-3044.64</v>
      </c>
      <c r="N2443" s="16" t="str">
        <f>IF(M2443="","",IF(M2443&lt;0,-M2443&amp;"_"&amp;COUNTIF(M$2:M2443,M2443),M2443&amp;"_"&amp;COUNTIF(M$2:M2443,M2443)))</f>
        <v>3044.64_2</v>
      </c>
      <c r="O2443" s="17" t="str">
        <f t="shared" si="38"/>
        <v/>
      </c>
      <c r="P2443" s="13" t="s">
        <v>2344</v>
      </c>
      <c r="Q2443" s="13" t="s">
        <v>2345</v>
      </c>
      <c r="R2443" s="13" t="s">
        <v>0</v>
      </c>
      <c r="S2443" s="13" t="s">
        <v>0</v>
      </c>
      <c r="T2443" s="13" t="s">
        <v>9</v>
      </c>
      <c r="U2443" s="13" t="s">
        <v>0</v>
      </c>
      <c r="V2443" s="13" t="s">
        <v>0</v>
      </c>
      <c r="W2443" s="13" t="s">
        <v>0</v>
      </c>
      <c r="X2443" s="13" t="s">
        <v>0</v>
      </c>
      <c r="Y2443" s="13" t="s">
        <v>10</v>
      </c>
      <c r="Z2443" s="13" t="s">
        <v>0</v>
      </c>
      <c r="AA2443" s="14"/>
      <c r="AB2443" s="13" t="s">
        <v>0</v>
      </c>
      <c r="AC2443" s="13" t="s">
        <v>0</v>
      </c>
      <c r="AD2443" s="13" t="s">
        <v>0</v>
      </c>
      <c r="AE2443" s="15">
        <v>0</v>
      </c>
    </row>
    <row r="2444" spans="1:31" ht="14.15" customHeight="1" x14ac:dyDescent="0.25">
      <c r="A2444" s="12" t="s">
        <v>0</v>
      </c>
      <c r="B2444" s="13" t="s">
        <v>1</v>
      </c>
      <c r="C2444" s="13" t="s">
        <v>986</v>
      </c>
      <c r="D2444" s="14">
        <v>44125</v>
      </c>
      <c r="E2444" s="14">
        <v>44125</v>
      </c>
      <c r="F2444" s="14">
        <v>44142</v>
      </c>
      <c r="G2444" s="13" t="s">
        <v>3</v>
      </c>
      <c r="H2444" s="13" t="s">
        <v>4</v>
      </c>
      <c r="I2444" s="15">
        <v>-3044.4</v>
      </c>
      <c r="J2444" s="13" t="s">
        <v>5</v>
      </c>
      <c r="K2444" s="13" t="s">
        <v>6</v>
      </c>
      <c r="L2444" s="15">
        <v>-255577.38</v>
      </c>
      <c r="M2444" s="15">
        <v>-3044.4</v>
      </c>
      <c r="N2444" s="16" t="str">
        <f>IF(M2444="","",IF(M2444&lt;0,-M2444&amp;"_"&amp;COUNTIF(M$2:M2444,M2444),M2444&amp;"_"&amp;COUNTIF(M$2:M2444,M2444)))</f>
        <v>3044.4_1</v>
      </c>
      <c r="O2444" s="17" t="str">
        <f t="shared" si="38"/>
        <v/>
      </c>
      <c r="P2444" s="13" t="s">
        <v>987</v>
      </c>
      <c r="Q2444" s="13" t="s">
        <v>977</v>
      </c>
      <c r="R2444" s="13" t="s">
        <v>0</v>
      </c>
      <c r="S2444" s="13" t="s">
        <v>0</v>
      </c>
      <c r="T2444" s="13" t="s">
        <v>9</v>
      </c>
      <c r="U2444" s="13" t="s">
        <v>0</v>
      </c>
      <c r="V2444" s="13" t="s">
        <v>0</v>
      </c>
      <c r="W2444" s="13" t="s">
        <v>0</v>
      </c>
      <c r="X2444" s="13" t="s">
        <v>0</v>
      </c>
      <c r="Y2444" s="13" t="s">
        <v>10</v>
      </c>
      <c r="Z2444" s="13" t="s">
        <v>0</v>
      </c>
      <c r="AA2444" s="14"/>
      <c r="AB2444" s="13" t="s">
        <v>0</v>
      </c>
      <c r="AC2444" s="13" t="s">
        <v>0</v>
      </c>
      <c r="AD2444" s="13" t="s">
        <v>0</v>
      </c>
      <c r="AE2444" s="15">
        <v>0</v>
      </c>
    </row>
    <row r="2445" spans="1:31" ht="14.15" customHeight="1" x14ac:dyDescent="0.25">
      <c r="A2445" s="12" t="s">
        <v>0</v>
      </c>
      <c r="B2445" s="13" t="s">
        <v>1</v>
      </c>
      <c r="C2445" s="13" t="s">
        <v>3604</v>
      </c>
      <c r="D2445" s="14">
        <v>44329</v>
      </c>
      <c r="E2445" s="14">
        <v>44329</v>
      </c>
      <c r="F2445" s="14">
        <v>44336</v>
      </c>
      <c r="G2445" s="13" t="s">
        <v>3</v>
      </c>
      <c r="H2445" s="13" t="s">
        <v>4</v>
      </c>
      <c r="I2445" s="15">
        <v>-3039.41</v>
      </c>
      <c r="J2445" s="13" t="s">
        <v>5</v>
      </c>
      <c r="K2445" s="13" t="s">
        <v>6</v>
      </c>
      <c r="L2445" s="15">
        <v>-255158.47</v>
      </c>
      <c r="M2445" s="15">
        <v>-3039.41</v>
      </c>
      <c r="N2445" s="16" t="str">
        <f>IF(M2445="","",IF(M2445&lt;0,-M2445&amp;"_"&amp;COUNTIF(M$2:M2445,M2445),M2445&amp;"_"&amp;COUNTIF(M$2:M2445,M2445)))</f>
        <v>3039.41_1</v>
      </c>
      <c r="O2445" s="17" t="str">
        <f t="shared" si="38"/>
        <v/>
      </c>
      <c r="P2445" s="13" t="s">
        <v>3605</v>
      </c>
      <c r="Q2445" s="13" t="s">
        <v>3603</v>
      </c>
      <c r="R2445" s="13" t="s">
        <v>0</v>
      </c>
      <c r="S2445" s="13" t="s">
        <v>0</v>
      </c>
      <c r="T2445" s="13" t="s">
        <v>9</v>
      </c>
      <c r="U2445" s="13" t="s">
        <v>0</v>
      </c>
      <c r="V2445" s="13" t="s">
        <v>0</v>
      </c>
      <c r="W2445" s="13" t="s">
        <v>0</v>
      </c>
      <c r="X2445" s="13" t="s">
        <v>0</v>
      </c>
      <c r="Y2445" s="13" t="s">
        <v>10</v>
      </c>
      <c r="Z2445" s="13" t="s">
        <v>0</v>
      </c>
      <c r="AA2445" s="14"/>
      <c r="AB2445" s="13" t="s">
        <v>0</v>
      </c>
      <c r="AC2445" s="13" t="s">
        <v>0</v>
      </c>
      <c r="AD2445" s="13" t="s">
        <v>0</v>
      </c>
      <c r="AE2445" s="15">
        <v>0</v>
      </c>
    </row>
    <row r="2446" spans="1:31" ht="14.15" customHeight="1" x14ac:dyDescent="0.25">
      <c r="A2446" s="12" t="s">
        <v>0</v>
      </c>
      <c r="B2446" s="13" t="s">
        <v>1</v>
      </c>
      <c r="C2446" s="13" t="s">
        <v>4090</v>
      </c>
      <c r="D2446" s="14">
        <v>44361</v>
      </c>
      <c r="E2446" s="14">
        <v>44361</v>
      </c>
      <c r="F2446" s="14">
        <v>44364</v>
      </c>
      <c r="G2446" s="13" t="s">
        <v>3</v>
      </c>
      <c r="H2446" s="13" t="s">
        <v>4</v>
      </c>
      <c r="I2446" s="15">
        <v>-3038.08</v>
      </c>
      <c r="J2446" s="13" t="s">
        <v>5</v>
      </c>
      <c r="K2446" s="13" t="s">
        <v>6</v>
      </c>
      <c r="L2446" s="15">
        <v>-255046.82</v>
      </c>
      <c r="M2446" s="15">
        <v>-3038.08</v>
      </c>
      <c r="N2446" s="16" t="str">
        <f>IF(M2446="","",IF(M2446&lt;0,-M2446&amp;"_"&amp;COUNTIF(M$2:M2446,M2446),M2446&amp;"_"&amp;COUNTIF(M$2:M2446,M2446)))</f>
        <v>3038.08_1</v>
      </c>
      <c r="O2446" s="17" t="str">
        <f t="shared" si="38"/>
        <v/>
      </c>
      <c r="P2446" s="13" t="s">
        <v>4091</v>
      </c>
      <c r="Q2446" s="13" t="s">
        <v>4075</v>
      </c>
      <c r="R2446" s="13" t="s">
        <v>0</v>
      </c>
      <c r="S2446" s="13" t="s">
        <v>0</v>
      </c>
      <c r="T2446" s="13" t="s">
        <v>9</v>
      </c>
      <c r="U2446" s="13" t="s">
        <v>0</v>
      </c>
      <c r="V2446" s="13" t="s">
        <v>0</v>
      </c>
      <c r="W2446" s="13" t="s">
        <v>0</v>
      </c>
      <c r="X2446" s="13" t="s">
        <v>0</v>
      </c>
      <c r="Y2446" s="13" t="s">
        <v>10</v>
      </c>
      <c r="Z2446" s="13" t="s">
        <v>0</v>
      </c>
      <c r="AA2446" s="14"/>
      <c r="AB2446" s="13" t="s">
        <v>0</v>
      </c>
      <c r="AC2446" s="13" t="s">
        <v>0</v>
      </c>
      <c r="AD2446" s="13" t="s">
        <v>0</v>
      </c>
      <c r="AE2446" s="15">
        <v>0</v>
      </c>
    </row>
    <row r="2447" spans="1:31" ht="14.15" customHeight="1" x14ac:dyDescent="0.25">
      <c r="A2447" s="12" t="s">
        <v>0</v>
      </c>
      <c r="B2447" s="13" t="s">
        <v>1</v>
      </c>
      <c r="C2447" s="13" t="s">
        <v>4205</v>
      </c>
      <c r="D2447" s="14">
        <v>44364</v>
      </c>
      <c r="E2447" s="14">
        <v>44364</v>
      </c>
      <c r="F2447" s="14">
        <v>44371</v>
      </c>
      <c r="G2447" s="13" t="s">
        <v>3</v>
      </c>
      <c r="H2447" s="13" t="s">
        <v>4</v>
      </c>
      <c r="I2447" s="15">
        <v>-3036.98</v>
      </c>
      <c r="J2447" s="13" t="s">
        <v>5</v>
      </c>
      <c r="K2447" s="13" t="s">
        <v>6</v>
      </c>
      <c r="L2447" s="15">
        <v>-254954.47</v>
      </c>
      <c r="M2447" s="15">
        <v>-3036.98</v>
      </c>
      <c r="N2447" s="16" t="str">
        <f>IF(M2447="","",IF(M2447&lt;0,-M2447&amp;"_"&amp;COUNTIF(M$2:M2447,M2447),M2447&amp;"_"&amp;COUNTIF(M$2:M2447,M2447)))</f>
        <v>3036.98_1</v>
      </c>
      <c r="O2447" s="17" t="str">
        <f t="shared" si="38"/>
        <v/>
      </c>
      <c r="P2447" s="13" t="s">
        <v>4206</v>
      </c>
      <c r="Q2447" s="13" t="s">
        <v>4180</v>
      </c>
      <c r="R2447" s="13" t="s">
        <v>0</v>
      </c>
      <c r="S2447" s="13" t="s">
        <v>0</v>
      </c>
      <c r="T2447" s="13" t="s">
        <v>9</v>
      </c>
      <c r="U2447" s="13" t="s">
        <v>0</v>
      </c>
      <c r="V2447" s="13" t="s">
        <v>0</v>
      </c>
      <c r="W2447" s="13" t="s">
        <v>0</v>
      </c>
      <c r="X2447" s="13" t="s">
        <v>0</v>
      </c>
      <c r="Y2447" s="13" t="s">
        <v>10</v>
      </c>
      <c r="Z2447" s="13" t="s">
        <v>0</v>
      </c>
      <c r="AA2447" s="14"/>
      <c r="AB2447" s="13" t="s">
        <v>0</v>
      </c>
      <c r="AC2447" s="13" t="s">
        <v>0</v>
      </c>
      <c r="AD2447" s="13" t="s">
        <v>0</v>
      </c>
      <c r="AE2447" s="15">
        <v>0</v>
      </c>
    </row>
    <row r="2448" spans="1:31" ht="14.15" customHeight="1" x14ac:dyDescent="0.25">
      <c r="A2448" s="12" t="s">
        <v>0</v>
      </c>
      <c r="B2448" s="13" t="s">
        <v>1</v>
      </c>
      <c r="C2448" s="13" t="s">
        <v>2146</v>
      </c>
      <c r="D2448" s="14">
        <v>44207</v>
      </c>
      <c r="E2448" s="14">
        <v>44207</v>
      </c>
      <c r="F2448" s="14">
        <v>44217</v>
      </c>
      <c r="G2448" s="13" t="s">
        <v>3</v>
      </c>
      <c r="H2448" s="13" t="s">
        <v>4</v>
      </c>
      <c r="I2448" s="15">
        <v>-3034.13</v>
      </c>
      <c r="J2448" s="13" t="s">
        <v>5</v>
      </c>
      <c r="K2448" s="13" t="s">
        <v>6</v>
      </c>
      <c r="L2448" s="15">
        <v>-254715.21</v>
      </c>
      <c r="M2448" s="15">
        <v>-3034.13</v>
      </c>
      <c r="N2448" s="16" t="str">
        <f>IF(M2448="","",IF(M2448&lt;0,-M2448&amp;"_"&amp;COUNTIF(M$2:M2448,M2448),M2448&amp;"_"&amp;COUNTIF(M$2:M2448,M2448)))</f>
        <v>3034.13_1</v>
      </c>
      <c r="O2448" s="17" t="str">
        <f t="shared" si="38"/>
        <v/>
      </c>
      <c r="P2448" s="13" t="s">
        <v>2147</v>
      </c>
      <c r="Q2448" s="13" t="s">
        <v>2145</v>
      </c>
      <c r="R2448" s="13" t="s">
        <v>0</v>
      </c>
      <c r="S2448" s="13" t="s">
        <v>0</v>
      </c>
      <c r="T2448" s="13" t="s">
        <v>9</v>
      </c>
      <c r="U2448" s="13" t="s">
        <v>0</v>
      </c>
      <c r="V2448" s="13" t="s">
        <v>0</v>
      </c>
      <c r="W2448" s="13" t="s">
        <v>0</v>
      </c>
      <c r="X2448" s="13" t="s">
        <v>0</v>
      </c>
      <c r="Y2448" s="13" t="s">
        <v>10</v>
      </c>
      <c r="Z2448" s="13" t="s">
        <v>0</v>
      </c>
      <c r="AA2448" s="14"/>
      <c r="AB2448" s="13" t="s">
        <v>0</v>
      </c>
      <c r="AC2448" s="13" t="s">
        <v>0</v>
      </c>
      <c r="AD2448" s="13" t="s">
        <v>0</v>
      </c>
      <c r="AE2448" s="15">
        <v>0</v>
      </c>
    </row>
    <row r="2449" spans="1:31" ht="14.15" customHeight="1" x14ac:dyDescent="0.25">
      <c r="A2449" s="12" t="s">
        <v>0</v>
      </c>
      <c r="B2449" s="13" t="s">
        <v>1</v>
      </c>
      <c r="C2449" s="13" t="s">
        <v>2649</v>
      </c>
      <c r="D2449" s="14">
        <v>44249</v>
      </c>
      <c r="E2449" s="14">
        <v>44249</v>
      </c>
      <c r="F2449" s="14">
        <v>44255</v>
      </c>
      <c r="G2449" s="13" t="s">
        <v>3</v>
      </c>
      <c r="H2449" s="13" t="s">
        <v>4</v>
      </c>
      <c r="I2449" s="15">
        <v>-3032.71</v>
      </c>
      <c r="J2449" s="13" t="s">
        <v>5</v>
      </c>
      <c r="K2449" s="13" t="s">
        <v>6</v>
      </c>
      <c r="L2449" s="15">
        <v>-254596</v>
      </c>
      <c r="M2449" s="15">
        <v>-3032.71</v>
      </c>
      <c r="N2449" s="16" t="str">
        <f>IF(M2449="","",IF(M2449&lt;0,-M2449&amp;"_"&amp;COUNTIF(M$2:M2449,M2449),M2449&amp;"_"&amp;COUNTIF(M$2:M2449,M2449)))</f>
        <v>3032.71_1</v>
      </c>
      <c r="O2449" s="17" t="str">
        <f t="shared" si="38"/>
        <v/>
      </c>
      <c r="P2449" s="13" t="s">
        <v>2650</v>
      </c>
      <c r="Q2449" s="13" t="s">
        <v>2646</v>
      </c>
      <c r="R2449" s="13" t="s">
        <v>0</v>
      </c>
      <c r="S2449" s="13" t="s">
        <v>0</v>
      </c>
      <c r="T2449" s="13" t="s">
        <v>9</v>
      </c>
      <c r="U2449" s="13" t="s">
        <v>0</v>
      </c>
      <c r="V2449" s="13" t="s">
        <v>0</v>
      </c>
      <c r="W2449" s="13" t="s">
        <v>0</v>
      </c>
      <c r="X2449" s="13" t="s">
        <v>0</v>
      </c>
      <c r="Y2449" s="13" t="s">
        <v>10</v>
      </c>
      <c r="Z2449" s="13" t="s">
        <v>0</v>
      </c>
      <c r="AA2449" s="14"/>
      <c r="AB2449" s="13" t="s">
        <v>0</v>
      </c>
      <c r="AC2449" s="13" t="s">
        <v>0</v>
      </c>
      <c r="AD2449" s="13" t="s">
        <v>0</v>
      </c>
      <c r="AE2449" s="15">
        <v>0</v>
      </c>
    </row>
    <row r="2450" spans="1:31" ht="14.15" customHeight="1" x14ac:dyDescent="0.25">
      <c r="A2450" s="12" t="s">
        <v>0</v>
      </c>
      <c r="B2450" s="13" t="s">
        <v>1</v>
      </c>
      <c r="C2450" s="13" t="s">
        <v>3036</v>
      </c>
      <c r="D2450" s="14">
        <v>44282</v>
      </c>
      <c r="E2450" s="14">
        <v>44282</v>
      </c>
      <c r="F2450" s="14">
        <v>44287</v>
      </c>
      <c r="G2450" s="13" t="s">
        <v>3</v>
      </c>
      <c r="H2450" s="13" t="s">
        <v>4</v>
      </c>
      <c r="I2450" s="15">
        <v>-3032.71</v>
      </c>
      <c r="J2450" s="13" t="s">
        <v>5</v>
      </c>
      <c r="K2450" s="13" t="s">
        <v>6</v>
      </c>
      <c r="L2450" s="15">
        <v>-254596</v>
      </c>
      <c r="M2450" s="15">
        <v>-3032.71</v>
      </c>
      <c r="N2450" s="16" t="str">
        <f>IF(M2450="","",IF(M2450&lt;0,-M2450&amp;"_"&amp;COUNTIF(M$2:M2450,M2450),M2450&amp;"_"&amp;COUNTIF(M$2:M2450,M2450)))</f>
        <v>3032.71_2</v>
      </c>
      <c r="O2450" s="17" t="str">
        <f t="shared" si="38"/>
        <v/>
      </c>
      <c r="P2450" s="13" t="s">
        <v>3037</v>
      </c>
      <c r="Q2450" s="13" t="s">
        <v>3035</v>
      </c>
      <c r="R2450" s="13" t="s">
        <v>0</v>
      </c>
      <c r="S2450" s="13" t="s">
        <v>0</v>
      </c>
      <c r="T2450" s="13" t="s">
        <v>9</v>
      </c>
      <c r="U2450" s="13" t="s">
        <v>0</v>
      </c>
      <c r="V2450" s="13" t="s">
        <v>0</v>
      </c>
      <c r="W2450" s="13" t="s">
        <v>0</v>
      </c>
      <c r="X2450" s="13" t="s">
        <v>0</v>
      </c>
      <c r="Y2450" s="13" t="s">
        <v>10</v>
      </c>
      <c r="Z2450" s="13" t="s">
        <v>0</v>
      </c>
      <c r="AA2450" s="14"/>
      <c r="AB2450" s="13" t="s">
        <v>0</v>
      </c>
      <c r="AC2450" s="13" t="s">
        <v>0</v>
      </c>
      <c r="AD2450" s="13" t="s">
        <v>0</v>
      </c>
      <c r="AE2450" s="15">
        <v>0</v>
      </c>
    </row>
    <row r="2451" spans="1:31" ht="14.15" customHeight="1" x14ac:dyDescent="0.25">
      <c r="A2451" s="12" t="s">
        <v>0</v>
      </c>
      <c r="B2451" s="13" t="s">
        <v>1</v>
      </c>
      <c r="C2451" s="13" t="s">
        <v>1580</v>
      </c>
      <c r="D2451" s="14">
        <v>44166</v>
      </c>
      <c r="E2451" s="14">
        <v>44166</v>
      </c>
      <c r="F2451" s="14">
        <v>44174</v>
      </c>
      <c r="G2451" s="13" t="s">
        <v>3</v>
      </c>
      <c r="H2451" s="13" t="s">
        <v>4</v>
      </c>
      <c r="I2451" s="15">
        <v>-3020.79</v>
      </c>
      <c r="J2451" s="13" t="s">
        <v>5</v>
      </c>
      <c r="K2451" s="13" t="s">
        <v>6</v>
      </c>
      <c r="L2451" s="15">
        <v>-253595.32</v>
      </c>
      <c r="M2451" s="15">
        <v>-3020.79</v>
      </c>
      <c r="N2451" s="16" t="str">
        <f>IF(M2451="","",IF(M2451&lt;0,-M2451&amp;"_"&amp;COUNTIF(M$2:M2451,M2451),M2451&amp;"_"&amp;COUNTIF(M$2:M2451,M2451)))</f>
        <v>3020.79_1</v>
      </c>
      <c r="O2451" s="17" t="str">
        <f t="shared" si="38"/>
        <v/>
      </c>
      <c r="P2451" s="13" t="s">
        <v>1581</v>
      </c>
      <c r="Q2451" s="13" t="s">
        <v>1579</v>
      </c>
      <c r="R2451" s="13" t="s">
        <v>0</v>
      </c>
      <c r="S2451" s="13" t="s">
        <v>0</v>
      </c>
      <c r="T2451" s="13" t="s">
        <v>9</v>
      </c>
      <c r="U2451" s="13" t="s">
        <v>0</v>
      </c>
      <c r="V2451" s="13" t="s">
        <v>0</v>
      </c>
      <c r="W2451" s="13" t="s">
        <v>0</v>
      </c>
      <c r="X2451" s="13" t="s">
        <v>0</v>
      </c>
      <c r="Y2451" s="13" t="s">
        <v>10</v>
      </c>
      <c r="Z2451" s="13" t="s">
        <v>0</v>
      </c>
      <c r="AA2451" s="14"/>
      <c r="AB2451" s="13" t="s">
        <v>0</v>
      </c>
      <c r="AC2451" s="13" t="s">
        <v>0</v>
      </c>
      <c r="AD2451" s="13" t="s">
        <v>0</v>
      </c>
      <c r="AE2451" s="15">
        <v>0</v>
      </c>
    </row>
    <row r="2452" spans="1:31" ht="14.15" customHeight="1" x14ac:dyDescent="0.25">
      <c r="A2452" s="12" t="s">
        <v>0</v>
      </c>
      <c r="B2452" s="13" t="s">
        <v>1</v>
      </c>
      <c r="C2452" s="13" t="s">
        <v>980</v>
      </c>
      <c r="D2452" s="14">
        <v>44125</v>
      </c>
      <c r="E2452" s="14">
        <v>44125</v>
      </c>
      <c r="F2452" s="14">
        <v>44132</v>
      </c>
      <c r="G2452" s="13" t="s">
        <v>3</v>
      </c>
      <c r="H2452" s="13" t="s">
        <v>4</v>
      </c>
      <c r="I2452" s="15">
        <v>-3013.52</v>
      </c>
      <c r="J2452" s="13" t="s">
        <v>5</v>
      </c>
      <c r="K2452" s="13" t="s">
        <v>6</v>
      </c>
      <c r="L2452" s="15">
        <v>-252985</v>
      </c>
      <c r="M2452" s="15">
        <v>-3013.52</v>
      </c>
      <c r="N2452" s="16" t="str">
        <f>IF(M2452="","",IF(M2452&lt;0,-M2452&amp;"_"&amp;COUNTIF(M$2:M2452,M2452),M2452&amp;"_"&amp;COUNTIF(M$2:M2452,M2452)))</f>
        <v>3013.52_1</v>
      </c>
      <c r="O2452" s="17" t="str">
        <f t="shared" si="38"/>
        <v/>
      </c>
      <c r="P2452" s="13" t="s">
        <v>981</v>
      </c>
      <c r="Q2452" s="13" t="s">
        <v>977</v>
      </c>
      <c r="R2452" s="13" t="s">
        <v>0</v>
      </c>
      <c r="S2452" s="13" t="s">
        <v>0</v>
      </c>
      <c r="T2452" s="13" t="s">
        <v>9</v>
      </c>
      <c r="U2452" s="13" t="s">
        <v>0</v>
      </c>
      <c r="V2452" s="13" t="s">
        <v>0</v>
      </c>
      <c r="W2452" s="13" t="s">
        <v>0</v>
      </c>
      <c r="X2452" s="13" t="s">
        <v>0</v>
      </c>
      <c r="Y2452" s="13" t="s">
        <v>10</v>
      </c>
      <c r="Z2452" s="13" t="s">
        <v>0</v>
      </c>
      <c r="AA2452" s="14"/>
      <c r="AB2452" s="13" t="s">
        <v>0</v>
      </c>
      <c r="AC2452" s="13" t="s">
        <v>0</v>
      </c>
      <c r="AD2452" s="13" t="s">
        <v>0</v>
      </c>
      <c r="AE2452" s="15">
        <v>0</v>
      </c>
    </row>
    <row r="2453" spans="1:31" ht="14.15" customHeight="1" x14ac:dyDescent="0.25">
      <c r="A2453" s="12" t="s">
        <v>0</v>
      </c>
      <c r="B2453" s="13" t="s">
        <v>1</v>
      </c>
      <c r="C2453" s="13" t="s">
        <v>4353</v>
      </c>
      <c r="D2453" s="14">
        <v>44376</v>
      </c>
      <c r="E2453" s="14">
        <v>44376</v>
      </c>
      <c r="F2453" s="14">
        <v>44377</v>
      </c>
      <c r="G2453" s="13" t="s">
        <v>3</v>
      </c>
      <c r="H2453" s="13" t="s">
        <v>4</v>
      </c>
      <c r="I2453" s="15">
        <v>-3001.37</v>
      </c>
      <c r="J2453" s="13" t="s">
        <v>5</v>
      </c>
      <c r="K2453" s="13" t="s">
        <v>6</v>
      </c>
      <c r="L2453" s="15">
        <v>-251965.01</v>
      </c>
      <c r="M2453" s="15">
        <v>-3001.37</v>
      </c>
      <c r="N2453" s="16" t="str">
        <f>IF(M2453="","",IF(M2453&lt;0,-M2453&amp;"_"&amp;COUNTIF(M$2:M2453,M2453),M2453&amp;"_"&amp;COUNTIF(M$2:M2453,M2453)))</f>
        <v>3001.37_1</v>
      </c>
      <c r="O2453" s="17" t="str">
        <f t="shared" si="38"/>
        <v/>
      </c>
      <c r="P2453" s="13" t="s">
        <v>4354</v>
      </c>
      <c r="Q2453" s="13" t="s">
        <v>4350</v>
      </c>
      <c r="R2453" s="13" t="s">
        <v>0</v>
      </c>
      <c r="S2453" s="13" t="s">
        <v>0</v>
      </c>
      <c r="T2453" s="13" t="s">
        <v>9</v>
      </c>
      <c r="U2453" s="13" t="s">
        <v>0</v>
      </c>
      <c r="V2453" s="13" t="s">
        <v>0</v>
      </c>
      <c r="W2453" s="13" t="s">
        <v>0</v>
      </c>
      <c r="X2453" s="13" t="s">
        <v>0</v>
      </c>
      <c r="Y2453" s="13" t="s">
        <v>10</v>
      </c>
      <c r="Z2453" s="13" t="s">
        <v>0</v>
      </c>
      <c r="AA2453" s="14"/>
      <c r="AB2453" s="13" t="s">
        <v>0</v>
      </c>
      <c r="AC2453" s="13" t="s">
        <v>0</v>
      </c>
      <c r="AD2453" s="13" t="s">
        <v>0</v>
      </c>
      <c r="AE2453" s="15">
        <v>0</v>
      </c>
    </row>
    <row r="2454" spans="1:31" ht="14.15" customHeight="1" x14ac:dyDescent="0.25">
      <c r="A2454" s="12" t="s">
        <v>0</v>
      </c>
      <c r="B2454" s="13" t="s">
        <v>303</v>
      </c>
      <c r="C2454" s="13" t="s">
        <v>2404</v>
      </c>
      <c r="D2454" s="14">
        <v>44227</v>
      </c>
      <c r="E2454" s="14">
        <v>44227</v>
      </c>
      <c r="F2454" s="14">
        <v>44234</v>
      </c>
      <c r="G2454" s="13" t="s">
        <v>48</v>
      </c>
      <c r="H2454" s="13" t="s">
        <v>4</v>
      </c>
      <c r="I2454" s="15">
        <v>-3001.33</v>
      </c>
      <c r="J2454" s="13" t="s">
        <v>5</v>
      </c>
      <c r="K2454" s="13" t="s">
        <v>6</v>
      </c>
      <c r="L2454" s="15">
        <v>-251961.65</v>
      </c>
      <c r="M2454" s="15">
        <v>-3001.33</v>
      </c>
      <c r="N2454" s="16" t="str">
        <f>IF(M2454="","",IF(M2454&lt;0,-M2454&amp;"_"&amp;COUNTIF(M$2:M2454,M2454),M2454&amp;"_"&amp;COUNTIF(M$2:M2454,M2454)))</f>
        <v>3001.33_1</v>
      </c>
      <c r="O2454" s="17" t="str">
        <f t="shared" si="38"/>
        <v/>
      </c>
      <c r="P2454" s="13" t="s">
        <v>2405</v>
      </c>
      <c r="Q2454" s="13" t="s">
        <v>2405</v>
      </c>
      <c r="R2454" s="13" t="s">
        <v>2002</v>
      </c>
      <c r="S2454" s="13" t="s">
        <v>0</v>
      </c>
      <c r="T2454" s="13" t="s">
        <v>9</v>
      </c>
      <c r="U2454" s="13" t="s">
        <v>1999</v>
      </c>
      <c r="V2454" s="13" t="s">
        <v>0</v>
      </c>
      <c r="W2454" s="13" t="s">
        <v>0</v>
      </c>
      <c r="X2454" s="13" t="s">
        <v>0</v>
      </c>
      <c r="Y2454" s="13" t="s">
        <v>0</v>
      </c>
      <c r="Z2454" s="13" t="s">
        <v>0</v>
      </c>
      <c r="AA2454" s="14"/>
      <c r="AB2454" s="13" t="s">
        <v>0</v>
      </c>
      <c r="AC2454" s="13" t="s">
        <v>0</v>
      </c>
      <c r="AD2454" s="13" t="s">
        <v>0</v>
      </c>
      <c r="AE2454" s="15">
        <v>0</v>
      </c>
    </row>
    <row r="2455" spans="1:31" ht="14.15" customHeight="1" x14ac:dyDescent="0.25">
      <c r="A2455" s="12" t="s">
        <v>0</v>
      </c>
      <c r="B2455" s="13" t="s">
        <v>1</v>
      </c>
      <c r="C2455" s="13" t="s">
        <v>1683</v>
      </c>
      <c r="D2455" s="14">
        <v>44172</v>
      </c>
      <c r="E2455" s="14">
        <v>44172</v>
      </c>
      <c r="F2455" s="14">
        <v>44178</v>
      </c>
      <c r="G2455" s="13" t="s">
        <v>3</v>
      </c>
      <c r="H2455" s="13" t="s">
        <v>4</v>
      </c>
      <c r="I2455" s="15">
        <v>-2995.87</v>
      </c>
      <c r="J2455" s="13" t="s">
        <v>5</v>
      </c>
      <c r="K2455" s="13" t="s">
        <v>6</v>
      </c>
      <c r="L2455" s="15">
        <v>-251503.29</v>
      </c>
      <c r="M2455" s="15">
        <v>-2995.87</v>
      </c>
      <c r="N2455" s="16" t="str">
        <f>IF(M2455="","",IF(M2455&lt;0,-M2455&amp;"_"&amp;COUNTIF(M$2:M2455,M2455),M2455&amp;"_"&amp;COUNTIF(M$2:M2455,M2455)))</f>
        <v>2995.87_1</v>
      </c>
      <c r="O2455" s="17" t="str">
        <f t="shared" si="38"/>
        <v/>
      </c>
      <c r="P2455" s="13" t="s">
        <v>1684</v>
      </c>
      <c r="Q2455" s="13" t="s">
        <v>1672</v>
      </c>
      <c r="R2455" s="13" t="s">
        <v>0</v>
      </c>
      <c r="S2455" s="13" t="s">
        <v>0</v>
      </c>
      <c r="T2455" s="13" t="s">
        <v>9</v>
      </c>
      <c r="U2455" s="13" t="s">
        <v>0</v>
      </c>
      <c r="V2455" s="13" t="s">
        <v>0</v>
      </c>
      <c r="W2455" s="13" t="s">
        <v>0</v>
      </c>
      <c r="X2455" s="13" t="s">
        <v>0</v>
      </c>
      <c r="Y2455" s="13" t="s">
        <v>10</v>
      </c>
      <c r="Z2455" s="13" t="s">
        <v>0</v>
      </c>
      <c r="AA2455" s="14"/>
      <c r="AB2455" s="13" t="s">
        <v>0</v>
      </c>
      <c r="AC2455" s="13" t="s">
        <v>0</v>
      </c>
      <c r="AD2455" s="13" t="s">
        <v>0</v>
      </c>
      <c r="AE2455" s="15">
        <v>0</v>
      </c>
    </row>
    <row r="2456" spans="1:31" ht="14.15" customHeight="1" x14ac:dyDescent="0.25">
      <c r="A2456" s="12" t="s">
        <v>0</v>
      </c>
      <c r="B2456" s="13" t="s">
        <v>1</v>
      </c>
      <c r="C2456" s="13" t="s">
        <v>2824</v>
      </c>
      <c r="D2456" s="14">
        <v>44267</v>
      </c>
      <c r="E2456" s="14">
        <v>44267</v>
      </c>
      <c r="F2456" s="14">
        <v>44272</v>
      </c>
      <c r="G2456" s="13" t="s">
        <v>3</v>
      </c>
      <c r="H2456" s="13" t="s">
        <v>4</v>
      </c>
      <c r="I2456" s="15">
        <v>-2995.03</v>
      </c>
      <c r="J2456" s="13" t="s">
        <v>5</v>
      </c>
      <c r="K2456" s="13" t="s">
        <v>6</v>
      </c>
      <c r="L2456" s="15">
        <v>-251432.77</v>
      </c>
      <c r="M2456" s="15">
        <v>-2995.03</v>
      </c>
      <c r="N2456" s="16" t="str">
        <f>IF(M2456="","",IF(M2456&lt;0,-M2456&amp;"_"&amp;COUNTIF(M$2:M2456,M2456),M2456&amp;"_"&amp;COUNTIF(M$2:M2456,M2456)))</f>
        <v>2995.03_1</v>
      </c>
      <c r="O2456" s="17" t="str">
        <f t="shared" si="38"/>
        <v/>
      </c>
      <c r="P2456" s="13" t="s">
        <v>2825</v>
      </c>
      <c r="Q2456" s="13" t="s">
        <v>2823</v>
      </c>
      <c r="R2456" s="13" t="s">
        <v>0</v>
      </c>
      <c r="S2456" s="13" t="s">
        <v>0</v>
      </c>
      <c r="T2456" s="13" t="s">
        <v>9</v>
      </c>
      <c r="U2456" s="13" t="s">
        <v>0</v>
      </c>
      <c r="V2456" s="13" t="s">
        <v>0</v>
      </c>
      <c r="W2456" s="13" t="s">
        <v>0</v>
      </c>
      <c r="X2456" s="13" t="s">
        <v>0</v>
      </c>
      <c r="Y2456" s="13" t="s">
        <v>10</v>
      </c>
      <c r="Z2456" s="13" t="s">
        <v>0</v>
      </c>
      <c r="AA2456" s="14"/>
      <c r="AB2456" s="13" t="s">
        <v>0</v>
      </c>
      <c r="AC2456" s="13" t="s">
        <v>0</v>
      </c>
      <c r="AD2456" s="13" t="s">
        <v>0</v>
      </c>
      <c r="AE2456" s="15">
        <v>0</v>
      </c>
    </row>
    <row r="2457" spans="1:31" ht="14.15" customHeight="1" x14ac:dyDescent="0.25">
      <c r="A2457" s="12" t="s">
        <v>0</v>
      </c>
      <c r="B2457" s="13" t="s">
        <v>1</v>
      </c>
      <c r="C2457" s="13" t="s">
        <v>2170</v>
      </c>
      <c r="D2457" s="14">
        <v>44209</v>
      </c>
      <c r="E2457" s="14">
        <v>44209</v>
      </c>
      <c r="F2457" s="14">
        <v>44228</v>
      </c>
      <c r="G2457" s="13" t="s">
        <v>3</v>
      </c>
      <c r="H2457" s="13" t="s">
        <v>4</v>
      </c>
      <c r="I2457" s="15">
        <v>-2985.91</v>
      </c>
      <c r="J2457" s="13" t="s">
        <v>5</v>
      </c>
      <c r="K2457" s="13" t="s">
        <v>6</v>
      </c>
      <c r="L2457" s="15">
        <v>-250667.14</v>
      </c>
      <c r="M2457" s="15">
        <v>-2985.91</v>
      </c>
      <c r="N2457" s="16" t="str">
        <f>IF(M2457="","",IF(M2457&lt;0,-M2457&amp;"_"&amp;COUNTIF(M$2:M2457,M2457),M2457&amp;"_"&amp;COUNTIF(M$2:M2457,M2457)))</f>
        <v>2985.91_1</v>
      </c>
      <c r="O2457" s="17" t="str">
        <f t="shared" si="38"/>
        <v/>
      </c>
      <c r="P2457" s="13" t="s">
        <v>2171</v>
      </c>
      <c r="Q2457" s="13" t="s">
        <v>2159</v>
      </c>
      <c r="R2457" s="13" t="s">
        <v>0</v>
      </c>
      <c r="S2457" s="13" t="s">
        <v>0</v>
      </c>
      <c r="T2457" s="13" t="s">
        <v>9</v>
      </c>
      <c r="U2457" s="13" t="s">
        <v>0</v>
      </c>
      <c r="V2457" s="13" t="s">
        <v>0</v>
      </c>
      <c r="W2457" s="13" t="s">
        <v>0</v>
      </c>
      <c r="X2457" s="13" t="s">
        <v>0</v>
      </c>
      <c r="Y2457" s="13" t="s">
        <v>10</v>
      </c>
      <c r="Z2457" s="13" t="s">
        <v>0</v>
      </c>
      <c r="AA2457" s="14"/>
      <c r="AB2457" s="13" t="s">
        <v>0</v>
      </c>
      <c r="AC2457" s="13" t="s">
        <v>0</v>
      </c>
      <c r="AD2457" s="13" t="s">
        <v>0</v>
      </c>
      <c r="AE2457" s="15">
        <v>0</v>
      </c>
    </row>
    <row r="2458" spans="1:31" ht="14.15" customHeight="1" x14ac:dyDescent="0.25">
      <c r="A2458" s="12" t="s">
        <v>0</v>
      </c>
      <c r="B2458" s="13" t="s">
        <v>1</v>
      </c>
      <c r="C2458" s="13" t="s">
        <v>2368</v>
      </c>
      <c r="D2458" s="14">
        <v>44225</v>
      </c>
      <c r="E2458" s="14">
        <v>44225</v>
      </c>
      <c r="F2458" s="14">
        <v>44229</v>
      </c>
      <c r="G2458" s="13" t="s">
        <v>3</v>
      </c>
      <c r="H2458" s="13" t="s">
        <v>4</v>
      </c>
      <c r="I2458" s="15">
        <v>-2970.44</v>
      </c>
      <c r="J2458" s="13" t="s">
        <v>5</v>
      </c>
      <c r="K2458" s="13" t="s">
        <v>6</v>
      </c>
      <c r="L2458" s="15">
        <v>-249368.44</v>
      </c>
      <c r="M2458" s="15">
        <v>-2970.44</v>
      </c>
      <c r="N2458" s="16" t="str">
        <f>IF(M2458="","",IF(M2458&lt;0,-M2458&amp;"_"&amp;COUNTIF(M$2:M2458,M2458),M2458&amp;"_"&amp;COUNTIF(M$2:M2458,M2458)))</f>
        <v>2970.44_1</v>
      </c>
      <c r="O2458" s="17" t="str">
        <f t="shared" si="38"/>
        <v/>
      </c>
      <c r="P2458" s="13" t="s">
        <v>2369</v>
      </c>
      <c r="Q2458" s="13" t="s">
        <v>2370</v>
      </c>
      <c r="R2458" s="13" t="s">
        <v>0</v>
      </c>
      <c r="S2458" s="13" t="s">
        <v>0</v>
      </c>
      <c r="T2458" s="13" t="s">
        <v>9</v>
      </c>
      <c r="U2458" s="13" t="s">
        <v>0</v>
      </c>
      <c r="V2458" s="13" t="s">
        <v>0</v>
      </c>
      <c r="W2458" s="13" t="s">
        <v>0</v>
      </c>
      <c r="X2458" s="13" t="s">
        <v>0</v>
      </c>
      <c r="Y2458" s="13" t="s">
        <v>10</v>
      </c>
      <c r="Z2458" s="13" t="s">
        <v>0</v>
      </c>
      <c r="AA2458" s="14"/>
      <c r="AB2458" s="13" t="s">
        <v>0</v>
      </c>
      <c r="AC2458" s="13" t="s">
        <v>0</v>
      </c>
      <c r="AD2458" s="13" t="s">
        <v>0</v>
      </c>
      <c r="AE2458" s="15">
        <v>0</v>
      </c>
    </row>
    <row r="2459" spans="1:31" ht="14.15" customHeight="1" x14ac:dyDescent="0.25">
      <c r="A2459" s="12" t="s">
        <v>0</v>
      </c>
      <c r="B2459" s="13" t="s">
        <v>454</v>
      </c>
      <c r="C2459" s="13" t="s">
        <v>3853</v>
      </c>
      <c r="D2459" s="14">
        <v>44350</v>
      </c>
      <c r="E2459" s="14">
        <v>44350</v>
      </c>
      <c r="F2459" s="14">
        <v>44366</v>
      </c>
      <c r="G2459" s="13" t="s">
        <v>3</v>
      </c>
      <c r="H2459" s="13" t="s">
        <v>4</v>
      </c>
      <c r="I2459" s="15">
        <v>-2970.04</v>
      </c>
      <c r="J2459" s="13" t="s">
        <v>5</v>
      </c>
      <c r="K2459" s="13" t="s">
        <v>6</v>
      </c>
      <c r="L2459" s="15">
        <v>-249334.86</v>
      </c>
      <c r="M2459" s="15">
        <v>-2970.04</v>
      </c>
      <c r="N2459" s="16" t="str">
        <f>IF(M2459="","",IF(M2459&lt;0,-M2459&amp;"_"&amp;COUNTIF(M$2:M2459,M2459),M2459&amp;"_"&amp;COUNTIF(M$2:M2459,M2459)))</f>
        <v>2970.04_1</v>
      </c>
      <c r="O2459" s="17" t="str">
        <f t="shared" si="38"/>
        <v/>
      </c>
      <c r="P2459" s="13" t="s">
        <v>3854</v>
      </c>
      <c r="Q2459" s="13" t="s">
        <v>3844</v>
      </c>
      <c r="R2459" s="13" t="s">
        <v>0</v>
      </c>
      <c r="S2459" s="13" t="s">
        <v>0</v>
      </c>
      <c r="T2459" s="13" t="s">
        <v>9</v>
      </c>
      <c r="U2459" s="13" t="s">
        <v>0</v>
      </c>
      <c r="V2459" s="13" t="s">
        <v>0</v>
      </c>
      <c r="W2459" s="13" t="s">
        <v>0</v>
      </c>
      <c r="X2459" s="13" t="s">
        <v>0</v>
      </c>
      <c r="Y2459" s="13" t="s">
        <v>10</v>
      </c>
      <c r="Z2459" s="13" t="s">
        <v>0</v>
      </c>
      <c r="AA2459" s="14"/>
      <c r="AB2459" s="13" t="s">
        <v>0</v>
      </c>
      <c r="AC2459" s="13" t="s">
        <v>0</v>
      </c>
      <c r="AD2459" s="13" t="s">
        <v>0</v>
      </c>
      <c r="AE2459" s="15">
        <v>0</v>
      </c>
    </row>
    <row r="2460" spans="1:31" ht="14.15" customHeight="1" x14ac:dyDescent="0.25">
      <c r="A2460" s="12" t="s">
        <v>0</v>
      </c>
      <c r="B2460" s="13" t="s">
        <v>454</v>
      </c>
      <c r="C2460" s="13" t="s">
        <v>3853</v>
      </c>
      <c r="D2460" s="14">
        <v>44350</v>
      </c>
      <c r="E2460" s="14">
        <v>44350</v>
      </c>
      <c r="F2460" s="14">
        <v>44366</v>
      </c>
      <c r="G2460" s="13" t="s">
        <v>3</v>
      </c>
      <c r="H2460" s="13" t="s">
        <v>4</v>
      </c>
      <c r="I2460" s="15">
        <v>-2970.04</v>
      </c>
      <c r="J2460" s="13" t="s">
        <v>5</v>
      </c>
      <c r="K2460" s="13" t="s">
        <v>6</v>
      </c>
      <c r="L2460" s="15">
        <v>-249334.86</v>
      </c>
      <c r="M2460" s="15">
        <v>-2970.04</v>
      </c>
      <c r="N2460" s="16" t="str">
        <f>IF(M2460="","",IF(M2460&lt;0,-M2460&amp;"_"&amp;COUNTIF(M$2:M2460,M2460),M2460&amp;"_"&amp;COUNTIF(M$2:M2460,M2460)))</f>
        <v>2970.04_2</v>
      </c>
      <c r="O2460" s="17" t="str">
        <f t="shared" si="38"/>
        <v/>
      </c>
      <c r="P2460" s="13" t="s">
        <v>3854</v>
      </c>
      <c r="Q2460" s="13" t="s">
        <v>3844</v>
      </c>
      <c r="R2460" s="13" t="s">
        <v>0</v>
      </c>
      <c r="S2460" s="13" t="s">
        <v>0</v>
      </c>
      <c r="T2460" s="13" t="s">
        <v>9</v>
      </c>
      <c r="U2460" s="13" t="s">
        <v>0</v>
      </c>
      <c r="V2460" s="13" t="s">
        <v>0</v>
      </c>
      <c r="W2460" s="13" t="s">
        <v>0</v>
      </c>
      <c r="X2460" s="13" t="s">
        <v>0</v>
      </c>
      <c r="Y2460" s="13" t="s">
        <v>10</v>
      </c>
      <c r="Z2460" s="13" t="s">
        <v>0</v>
      </c>
      <c r="AA2460" s="14"/>
      <c r="AB2460" s="13" t="s">
        <v>0</v>
      </c>
      <c r="AC2460" s="13" t="s">
        <v>0</v>
      </c>
      <c r="AD2460" s="13" t="s">
        <v>0</v>
      </c>
      <c r="AE2460" s="15">
        <v>0</v>
      </c>
    </row>
    <row r="2461" spans="1:31" ht="14.15" customHeight="1" x14ac:dyDescent="0.25">
      <c r="A2461" s="12" t="s">
        <v>0</v>
      </c>
      <c r="B2461" s="13" t="s">
        <v>1</v>
      </c>
      <c r="C2461" s="13" t="s">
        <v>2295</v>
      </c>
      <c r="D2461" s="14">
        <v>44219</v>
      </c>
      <c r="E2461" s="14">
        <v>44219</v>
      </c>
      <c r="F2461" s="14">
        <v>44226</v>
      </c>
      <c r="G2461" s="13" t="s">
        <v>3</v>
      </c>
      <c r="H2461" s="13" t="s">
        <v>4</v>
      </c>
      <c r="I2461" s="15">
        <v>-2958.27</v>
      </c>
      <c r="J2461" s="13" t="s">
        <v>5</v>
      </c>
      <c r="K2461" s="13" t="s">
        <v>6</v>
      </c>
      <c r="L2461" s="15">
        <v>-248346.77</v>
      </c>
      <c r="M2461" s="15">
        <v>-2958.27</v>
      </c>
      <c r="N2461" s="16" t="str">
        <f>IF(M2461="","",IF(M2461&lt;0,-M2461&amp;"_"&amp;COUNTIF(M$2:M2461,M2461),M2461&amp;"_"&amp;COUNTIF(M$2:M2461,M2461)))</f>
        <v>2958.27_1</v>
      </c>
      <c r="O2461" s="17" t="str">
        <f t="shared" si="38"/>
        <v/>
      </c>
      <c r="P2461" s="13" t="s">
        <v>2296</v>
      </c>
      <c r="Q2461" s="13" t="s">
        <v>2282</v>
      </c>
      <c r="R2461" s="13" t="s">
        <v>0</v>
      </c>
      <c r="S2461" s="13" t="s">
        <v>0</v>
      </c>
      <c r="T2461" s="13" t="s">
        <v>9</v>
      </c>
      <c r="U2461" s="13" t="s">
        <v>0</v>
      </c>
      <c r="V2461" s="13" t="s">
        <v>0</v>
      </c>
      <c r="W2461" s="13" t="s">
        <v>0</v>
      </c>
      <c r="X2461" s="13" t="s">
        <v>0</v>
      </c>
      <c r="Y2461" s="13" t="s">
        <v>10</v>
      </c>
      <c r="Z2461" s="13" t="s">
        <v>0</v>
      </c>
      <c r="AA2461" s="14"/>
      <c r="AB2461" s="13" t="s">
        <v>0</v>
      </c>
      <c r="AC2461" s="13" t="s">
        <v>0</v>
      </c>
      <c r="AD2461" s="13" t="s">
        <v>0</v>
      </c>
      <c r="AE2461" s="15">
        <v>0</v>
      </c>
    </row>
    <row r="2462" spans="1:31" ht="14.15" customHeight="1" x14ac:dyDescent="0.25">
      <c r="A2462" s="12" t="s">
        <v>0</v>
      </c>
      <c r="B2462" s="13" t="s">
        <v>1</v>
      </c>
      <c r="C2462" s="13" t="s">
        <v>1606</v>
      </c>
      <c r="D2462" s="14">
        <v>44168</v>
      </c>
      <c r="E2462" s="14">
        <v>44168</v>
      </c>
      <c r="F2462" s="14">
        <v>44174</v>
      </c>
      <c r="G2462" s="13" t="s">
        <v>3</v>
      </c>
      <c r="H2462" s="13" t="s">
        <v>4</v>
      </c>
      <c r="I2462" s="15">
        <v>-2949.11</v>
      </c>
      <c r="J2462" s="13" t="s">
        <v>5</v>
      </c>
      <c r="K2462" s="13" t="s">
        <v>6</v>
      </c>
      <c r="L2462" s="15">
        <v>-247577.78</v>
      </c>
      <c r="M2462" s="15">
        <v>-2949.11</v>
      </c>
      <c r="N2462" s="16" t="str">
        <f>IF(M2462="","",IF(M2462&lt;0,-M2462&amp;"_"&amp;COUNTIF(M$2:M2462,M2462),M2462&amp;"_"&amp;COUNTIF(M$2:M2462,M2462)))</f>
        <v>2949.11_1</v>
      </c>
      <c r="O2462" s="17" t="str">
        <f t="shared" si="38"/>
        <v/>
      </c>
      <c r="P2462" s="13" t="s">
        <v>1607</v>
      </c>
      <c r="Q2462" s="13" t="s">
        <v>1605</v>
      </c>
      <c r="R2462" s="13" t="s">
        <v>0</v>
      </c>
      <c r="S2462" s="13" t="s">
        <v>0</v>
      </c>
      <c r="T2462" s="13" t="s">
        <v>9</v>
      </c>
      <c r="U2462" s="13" t="s">
        <v>0</v>
      </c>
      <c r="V2462" s="13" t="s">
        <v>0</v>
      </c>
      <c r="W2462" s="13" t="s">
        <v>0</v>
      </c>
      <c r="X2462" s="13" t="s">
        <v>0</v>
      </c>
      <c r="Y2462" s="13" t="s">
        <v>10</v>
      </c>
      <c r="Z2462" s="13" t="s">
        <v>0</v>
      </c>
      <c r="AA2462" s="14"/>
      <c r="AB2462" s="13" t="s">
        <v>0</v>
      </c>
      <c r="AC2462" s="13" t="s">
        <v>0</v>
      </c>
      <c r="AD2462" s="13" t="s">
        <v>0</v>
      </c>
      <c r="AE2462" s="15">
        <v>0</v>
      </c>
    </row>
    <row r="2463" spans="1:31" ht="14.15" customHeight="1" x14ac:dyDescent="0.25">
      <c r="A2463" s="12" t="s">
        <v>0</v>
      </c>
      <c r="B2463" s="13" t="s">
        <v>1</v>
      </c>
      <c r="C2463" s="13" t="s">
        <v>2246</v>
      </c>
      <c r="D2463" s="14">
        <v>44214</v>
      </c>
      <c r="E2463" s="14">
        <v>44214</v>
      </c>
      <c r="F2463" s="14">
        <v>44219</v>
      </c>
      <c r="G2463" s="13" t="s">
        <v>3</v>
      </c>
      <c r="H2463" s="13" t="s">
        <v>4</v>
      </c>
      <c r="I2463" s="15">
        <v>-2937.39</v>
      </c>
      <c r="J2463" s="13" t="s">
        <v>5</v>
      </c>
      <c r="K2463" s="13" t="s">
        <v>6</v>
      </c>
      <c r="L2463" s="15">
        <v>-246593.89</v>
      </c>
      <c r="M2463" s="15">
        <v>-2937.39</v>
      </c>
      <c r="N2463" s="16" t="str">
        <f>IF(M2463="","",IF(M2463&lt;0,-M2463&amp;"_"&amp;COUNTIF(M$2:M2463,M2463),M2463&amp;"_"&amp;COUNTIF(M$2:M2463,M2463)))</f>
        <v>2937.39_1</v>
      </c>
      <c r="O2463" s="17" t="str">
        <f t="shared" si="38"/>
        <v/>
      </c>
      <c r="P2463" s="13" t="s">
        <v>2247</v>
      </c>
      <c r="Q2463" s="13" t="s">
        <v>2243</v>
      </c>
      <c r="R2463" s="13" t="s">
        <v>0</v>
      </c>
      <c r="S2463" s="13" t="s">
        <v>0</v>
      </c>
      <c r="T2463" s="13" t="s">
        <v>9</v>
      </c>
      <c r="U2463" s="13" t="s">
        <v>0</v>
      </c>
      <c r="V2463" s="13" t="s">
        <v>0</v>
      </c>
      <c r="W2463" s="13" t="s">
        <v>0</v>
      </c>
      <c r="X2463" s="13" t="s">
        <v>0</v>
      </c>
      <c r="Y2463" s="13" t="s">
        <v>10</v>
      </c>
      <c r="Z2463" s="13" t="s">
        <v>0</v>
      </c>
      <c r="AA2463" s="14"/>
      <c r="AB2463" s="13" t="s">
        <v>0</v>
      </c>
      <c r="AC2463" s="13" t="s">
        <v>0</v>
      </c>
      <c r="AD2463" s="13" t="s">
        <v>0</v>
      </c>
      <c r="AE2463" s="15">
        <v>0</v>
      </c>
    </row>
    <row r="2464" spans="1:31" ht="14.15" customHeight="1" x14ac:dyDescent="0.25">
      <c r="A2464" s="12" t="s">
        <v>0</v>
      </c>
      <c r="B2464" s="13" t="s">
        <v>1</v>
      </c>
      <c r="C2464" s="13" t="s">
        <v>3068</v>
      </c>
      <c r="D2464" s="14">
        <v>44284</v>
      </c>
      <c r="E2464" s="14">
        <v>44284</v>
      </c>
      <c r="F2464" s="14">
        <v>44291</v>
      </c>
      <c r="G2464" s="13" t="s">
        <v>3</v>
      </c>
      <c r="H2464" s="13" t="s">
        <v>4</v>
      </c>
      <c r="I2464" s="15">
        <v>-2936.66</v>
      </c>
      <c r="J2464" s="13" t="s">
        <v>5</v>
      </c>
      <c r="K2464" s="13" t="s">
        <v>6</v>
      </c>
      <c r="L2464" s="15">
        <v>-246532.61</v>
      </c>
      <c r="M2464" s="15">
        <v>-2936.66</v>
      </c>
      <c r="N2464" s="16" t="str">
        <f>IF(M2464="","",IF(M2464&lt;0,-M2464&amp;"_"&amp;COUNTIF(M$2:M2464,M2464),M2464&amp;"_"&amp;COUNTIF(M$2:M2464,M2464)))</f>
        <v>2936.66_1</v>
      </c>
      <c r="O2464" s="17" t="str">
        <f t="shared" si="38"/>
        <v/>
      </c>
      <c r="P2464" s="13" t="s">
        <v>3069</v>
      </c>
      <c r="Q2464" s="13" t="s">
        <v>3061</v>
      </c>
      <c r="R2464" s="13" t="s">
        <v>0</v>
      </c>
      <c r="S2464" s="13" t="s">
        <v>0</v>
      </c>
      <c r="T2464" s="13" t="s">
        <v>9</v>
      </c>
      <c r="U2464" s="13" t="s">
        <v>0</v>
      </c>
      <c r="V2464" s="13" t="s">
        <v>0</v>
      </c>
      <c r="W2464" s="13" t="s">
        <v>0</v>
      </c>
      <c r="X2464" s="13" t="s">
        <v>0</v>
      </c>
      <c r="Y2464" s="13" t="s">
        <v>10</v>
      </c>
      <c r="Z2464" s="13" t="s">
        <v>0</v>
      </c>
      <c r="AA2464" s="14"/>
      <c r="AB2464" s="13" t="s">
        <v>0</v>
      </c>
      <c r="AC2464" s="13" t="s">
        <v>0</v>
      </c>
      <c r="AD2464" s="13" t="s">
        <v>0</v>
      </c>
      <c r="AE2464" s="15">
        <v>0</v>
      </c>
    </row>
    <row r="2465" spans="1:31" ht="14.15" customHeight="1" x14ac:dyDescent="0.25">
      <c r="A2465" s="12" t="s">
        <v>0</v>
      </c>
      <c r="B2465" s="13" t="s">
        <v>1</v>
      </c>
      <c r="C2465" s="13" t="s">
        <v>3068</v>
      </c>
      <c r="D2465" s="14">
        <v>44284</v>
      </c>
      <c r="E2465" s="14">
        <v>44284</v>
      </c>
      <c r="F2465" s="14">
        <v>44291</v>
      </c>
      <c r="G2465" s="13" t="s">
        <v>3</v>
      </c>
      <c r="H2465" s="13" t="s">
        <v>4</v>
      </c>
      <c r="I2465" s="15">
        <v>-2936.66</v>
      </c>
      <c r="J2465" s="13" t="s">
        <v>5</v>
      </c>
      <c r="K2465" s="13" t="s">
        <v>6</v>
      </c>
      <c r="L2465" s="15">
        <v>-246532.61</v>
      </c>
      <c r="M2465" s="15">
        <v>-2936.66</v>
      </c>
      <c r="N2465" s="16" t="str">
        <f>IF(M2465="","",IF(M2465&lt;0,-M2465&amp;"_"&amp;COUNTIF(M$2:M2465,M2465),M2465&amp;"_"&amp;COUNTIF(M$2:M2465,M2465)))</f>
        <v>2936.66_2</v>
      </c>
      <c r="O2465" s="17" t="str">
        <f t="shared" si="38"/>
        <v/>
      </c>
      <c r="P2465" s="13" t="s">
        <v>3069</v>
      </c>
      <c r="Q2465" s="13" t="s">
        <v>3061</v>
      </c>
      <c r="R2465" s="13" t="s">
        <v>0</v>
      </c>
      <c r="S2465" s="13" t="s">
        <v>0</v>
      </c>
      <c r="T2465" s="13" t="s">
        <v>9</v>
      </c>
      <c r="U2465" s="13" t="s">
        <v>0</v>
      </c>
      <c r="V2465" s="13" t="s">
        <v>0</v>
      </c>
      <c r="W2465" s="13" t="s">
        <v>0</v>
      </c>
      <c r="X2465" s="13" t="s">
        <v>0</v>
      </c>
      <c r="Y2465" s="13" t="s">
        <v>10</v>
      </c>
      <c r="Z2465" s="13" t="s">
        <v>0</v>
      </c>
      <c r="AA2465" s="14"/>
      <c r="AB2465" s="13" t="s">
        <v>0</v>
      </c>
      <c r="AC2465" s="13" t="s">
        <v>0</v>
      </c>
      <c r="AD2465" s="13" t="s">
        <v>0</v>
      </c>
      <c r="AE2465" s="15">
        <v>0</v>
      </c>
    </row>
    <row r="2466" spans="1:31" ht="14.15" customHeight="1" x14ac:dyDescent="0.25">
      <c r="A2466" s="12" t="s">
        <v>0</v>
      </c>
      <c r="B2466" s="13" t="s">
        <v>1</v>
      </c>
      <c r="C2466" s="13" t="s">
        <v>3744</v>
      </c>
      <c r="D2466" s="14">
        <v>44339</v>
      </c>
      <c r="E2466" s="14">
        <v>44339</v>
      </c>
      <c r="F2466" s="14">
        <v>44342</v>
      </c>
      <c r="G2466" s="13" t="s">
        <v>3</v>
      </c>
      <c r="H2466" s="13" t="s">
        <v>4</v>
      </c>
      <c r="I2466" s="15">
        <v>-2935.97</v>
      </c>
      <c r="J2466" s="13" t="s">
        <v>5</v>
      </c>
      <c r="K2466" s="13" t="s">
        <v>6</v>
      </c>
      <c r="L2466" s="15">
        <v>-246474.68</v>
      </c>
      <c r="M2466" s="15">
        <v>-2935.97</v>
      </c>
      <c r="N2466" s="16" t="str">
        <f>IF(M2466="","",IF(M2466&lt;0,-M2466&amp;"_"&amp;COUNTIF(M$2:M2466,M2466),M2466&amp;"_"&amp;COUNTIF(M$2:M2466,M2466)))</f>
        <v>2935.97_1</v>
      </c>
      <c r="O2466" s="17" t="str">
        <f t="shared" si="38"/>
        <v/>
      </c>
      <c r="P2466" s="13" t="s">
        <v>3745</v>
      </c>
      <c r="Q2466" s="13" t="s">
        <v>3746</v>
      </c>
      <c r="R2466" s="13" t="s">
        <v>0</v>
      </c>
      <c r="S2466" s="13" t="s">
        <v>0</v>
      </c>
      <c r="T2466" s="13" t="s">
        <v>9</v>
      </c>
      <c r="U2466" s="13" t="s">
        <v>0</v>
      </c>
      <c r="V2466" s="13" t="s">
        <v>0</v>
      </c>
      <c r="W2466" s="13" t="s">
        <v>0</v>
      </c>
      <c r="X2466" s="13" t="s">
        <v>0</v>
      </c>
      <c r="Y2466" s="13" t="s">
        <v>10</v>
      </c>
      <c r="Z2466" s="13" t="s">
        <v>0</v>
      </c>
      <c r="AA2466" s="14"/>
      <c r="AB2466" s="13" t="s">
        <v>0</v>
      </c>
      <c r="AC2466" s="13" t="s">
        <v>0</v>
      </c>
      <c r="AD2466" s="13" t="s">
        <v>0</v>
      </c>
      <c r="AE2466" s="15">
        <v>0</v>
      </c>
    </row>
    <row r="2467" spans="1:31" ht="14.15" customHeight="1" x14ac:dyDescent="0.25">
      <c r="A2467" s="12" t="s">
        <v>0</v>
      </c>
      <c r="B2467" s="13" t="s">
        <v>1</v>
      </c>
      <c r="C2467" s="13" t="s">
        <v>4033</v>
      </c>
      <c r="D2467" s="14">
        <v>44358</v>
      </c>
      <c r="E2467" s="14">
        <v>44358</v>
      </c>
      <c r="F2467" s="14">
        <v>44364</v>
      </c>
      <c r="G2467" s="13" t="s">
        <v>3</v>
      </c>
      <c r="H2467" s="13" t="s">
        <v>4</v>
      </c>
      <c r="I2467" s="15">
        <v>-2931.14</v>
      </c>
      <c r="J2467" s="13" t="s">
        <v>5</v>
      </c>
      <c r="K2467" s="13" t="s">
        <v>6</v>
      </c>
      <c r="L2467" s="15">
        <v>-246069.2</v>
      </c>
      <c r="M2467" s="15">
        <v>-2931.14</v>
      </c>
      <c r="N2467" s="16" t="str">
        <f>IF(M2467="","",IF(M2467&lt;0,-M2467&amp;"_"&amp;COUNTIF(M$2:M2467,M2467),M2467&amp;"_"&amp;COUNTIF(M$2:M2467,M2467)))</f>
        <v>2931.14_1</v>
      </c>
      <c r="O2467" s="17" t="str">
        <f t="shared" si="38"/>
        <v/>
      </c>
      <c r="P2467" s="13" t="s">
        <v>4034</v>
      </c>
      <c r="Q2467" s="13" t="s">
        <v>4006</v>
      </c>
      <c r="R2467" s="13" t="s">
        <v>0</v>
      </c>
      <c r="S2467" s="13" t="s">
        <v>0</v>
      </c>
      <c r="T2467" s="13" t="s">
        <v>9</v>
      </c>
      <c r="U2467" s="13" t="s">
        <v>0</v>
      </c>
      <c r="V2467" s="13" t="s">
        <v>0</v>
      </c>
      <c r="W2467" s="13" t="s">
        <v>0</v>
      </c>
      <c r="X2467" s="13" t="s">
        <v>0</v>
      </c>
      <c r="Y2467" s="13" t="s">
        <v>10</v>
      </c>
      <c r="Z2467" s="13" t="s">
        <v>0</v>
      </c>
      <c r="AA2467" s="14"/>
      <c r="AB2467" s="13" t="s">
        <v>0</v>
      </c>
      <c r="AC2467" s="13" t="s">
        <v>0</v>
      </c>
      <c r="AD2467" s="13" t="s">
        <v>0</v>
      </c>
      <c r="AE2467" s="15">
        <v>0</v>
      </c>
    </row>
    <row r="2468" spans="1:31" ht="14.15" customHeight="1" x14ac:dyDescent="0.25">
      <c r="A2468" s="12" t="s">
        <v>0</v>
      </c>
      <c r="B2468" s="13" t="s">
        <v>1</v>
      </c>
      <c r="C2468" s="13" t="s">
        <v>1225</v>
      </c>
      <c r="D2468" s="14">
        <v>44141</v>
      </c>
      <c r="E2468" s="14">
        <v>44141</v>
      </c>
      <c r="F2468" s="14">
        <v>44149</v>
      </c>
      <c r="G2468" s="13" t="s">
        <v>3</v>
      </c>
      <c r="H2468" s="13" t="s">
        <v>4</v>
      </c>
      <c r="I2468" s="15">
        <v>-2912</v>
      </c>
      <c r="J2468" s="13" t="s">
        <v>5</v>
      </c>
      <c r="K2468" s="13" t="s">
        <v>6</v>
      </c>
      <c r="L2468" s="15">
        <v>-244462.4</v>
      </c>
      <c r="M2468" s="15">
        <v>-2912</v>
      </c>
      <c r="N2468" s="16" t="str">
        <f>IF(M2468="","",IF(M2468&lt;0,-M2468&amp;"_"&amp;COUNTIF(M$2:M2468,M2468),M2468&amp;"_"&amp;COUNTIF(M$2:M2468,M2468)))</f>
        <v>2912_1</v>
      </c>
      <c r="O2468" s="17" t="str">
        <f t="shared" si="38"/>
        <v/>
      </c>
      <c r="P2468" s="13" t="s">
        <v>1226</v>
      </c>
      <c r="Q2468" s="13" t="s">
        <v>1220</v>
      </c>
      <c r="R2468" s="13" t="s">
        <v>0</v>
      </c>
      <c r="S2468" s="13" t="s">
        <v>0</v>
      </c>
      <c r="T2468" s="13" t="s">
        <v>9</v>
      </c>
      <c r="U2468" s="13" t="s">
        <v>0</v>
      </c>
      <c r="V2468" s="13" t="s">
        <v>0</v>
      </c>
      <c r="W2468" s="13" t="s">
        <v>0</v>
      </c>
      <c r="X2468" s="13" t="s">
        <v>0</v>
      </c>
      <c r="Y2468" s="13" t="s">
        <v>10</v>
      </c>
      <c r="Z2468" s="13" t="s">
        <v>0</v>
      </c>
      <c r="AA2468" s="14"/>
      <c r="AB2468" s="13" t="s">
        <v>0</v>
      </c>
      <c r="AC2468" s="13" t="s">
        <v>0</v>
      </c>
      <c r="AD2468" s="13" t="s">
        <v>0</v>
      </c>
      <c r="AE2468" s="15">
        <v>0</v>
      </c>
    </row>
    <row r="2469" spans="1:31" ht="14.15" customHeight="1" x14ac:dyDescent="0.25">
      <c r="A2469" s="12" t="s">
        <v>0</v>
      </c>
      <c r="B2469" s="13" t="s">
        <v>1</v>
      </c>
      <c r="C2469" s="13" t="s">
        <v>1359</v>
      </c>
      <c r="D2469" s="14">
        <v>44150</v>
      </c>
      <c r="E2469" s="14">
        <v>44150</v>
      </c>
      <c r="F2469" s="14">
        <v>44159</v>
      </c>
      <c r="G2469" s="13" t="s">
        <v>3</v>
      </c>
      <c r="H2469" s="13" t="s">
        <v>4</v>
      </c>
      <c r="I2469" s="15">
        <v>-2909.11</v>
      </c>
      <c r="J2469" s="13" t="s">
        <v>5</v>
      </c>
      <c r="K2469" s="13" t="s">
        <v>6</v>
      </c>
      <c r="L2469" s="15">
        <v>-244219.78</v>
      </c>
      <c r="M2469" s="15">
        <v>-2909.11</v>
      </c>
      <c r="N2469" s="16" t="str">
        <f>IF(M2469="","",IF(M2469&lt;0,-M2469&amp;"_"&amp;COUNTIF(M$2:M2469,M2469),M2469&amp;"_"&amp;COUNTIF(M$2:M2469,M2469)))</f>
        <v>2909.11_1</v>
      </c>
      <c r="O2469" s="17" t="str">
        <f t="shared" si="38"/>
        <v/>
      </c>
      <c r="P2469" s="13" t="s">
        <v>1360</v>
      </c>
      <c r="Q2469" s="13" t="s">
        <v>1338</v>
      </c>
      <c r="R2469" s="13" t="s">
        <v>0</v>
      </c>
      <c r="S2469" s="13" t="s">
        <v>0</v>
      </c>
      <c r="T2469" s="13" t="s">
        <v>9</v>
      </c>
      <c r="U2469" s="13" t="s">
        <v>0</v>
      </c>
      <c r="V2469" s="13" t="s">
        <v>0</v>
      </c>
      <c r="W2469" s="13" t="s">
        <v>0</v>
      </c>
      <c r="X2469" s="13" t="s">
        <v>0</v>
      </c>
      <c r="Y2469" s="13" t="s">
        <v>10</v>
      </c>
      <c r="Z2469" s="13" t="s">
        <v>0</v>
      </c>
      <c r="AA2469" s="14"/>
      <c r="AB2469" s="13" t="s">
        <v>0</v>
      </c>
      <c r="AC2469" s="13" t="s">
        <v>0</v>
      </c>
      <c r="AD2469" s="13" t="s">
        <v>0</v>
      </c>
      <c r="AE2469" s="15">
        <v>0</v>
      </c>
    </row>
    <row r="2470" spans="1:31" ht="14.15" customHeight="1" x14ac:dyDescent="0.25">
      <c r="A2470" s="12" t="s">
        <v>0</v>
      </c>
      <c r="B2470" s="13" t="s">
        <v>1</v>
      </c>
      <c r="C2470" s="13" t="s">
        <v>2539</v>
      </c>
      <c r="D2470" s="14">
        <v>44238</v>
      </c>
      <c r="E2470" s="14">
        <v>44238</v>
      </c>
      <c r="F2470" s="14">
        <v>44243</v>
      </c>
      <c r="G2470" s="13" t="s">
        <v>3</v>
      </c>
      <c r="H2470" s="13" t="s">
        <v>4</v>
      </c>
      <c r="I2470" s="15">
        <v>-2908.08</v>
      </c>
      <c r="J2470" s="13" t="s">
        <v>5</v>
      </c>
      <c r="K2470" s="13" t="s">
        <v>6</v>
      </c>
      <c r="L2470" s="15">
        <v>-244133.32</v>
      </c>
      <c r="M2470" s="15">
        <v>-2908.08</v>
      </c>
      <c r="N2470" s="16" t="str">
        <f>IF(M2470="","",IF(M2470&lt;0,-M2470&amp;"_"&amp;COUNTIF(M$2:M2470,M2470),M2470&amp;"_"&amp;COUNTIF(M$2:M2470,M2470)))</f>
        <v>2908.08_1</v>
      </c>
      <c r="O2470" s="17" t="str">
        <f t="shared" si="38"/>
        <v/>
      </c>
      <c r="P2470" s="13" t="s">
        <v>2540</v>
      </c>
      <c r="Q2470" s="13" t="s">
        <v>2528</v>
      </c>
      <c r="R2470" s="13" t="s">
        <v>0</v>
      </c>
      <c r="S2470" s="13" t="s">
        <v>0</v>
      </c>
      <c r="T2470" s="13" t="s">
        <v>9</v>
      </c>
      <c r="U2470" s="13" t="s">
        <v>0</v>
      </c>
      <c r="V2470" s="13" t="s">
        <v>0</v>
      </c>
      <c r="W2470" s="13" t="s">
        <v>0</v>
      </c>
      <c r="X2470" s="13" t="s">
        <v>0</v>
      </c>
      <c r="Y2470" s="13" t="s">
        <v>10</v>
      </c>
      <c r="Z2470" s="13" t="s">
        <v>0</v>
      </c>
      <c r="AA2470" s="14"/>
      <c r="AB2470" s="13" t="s">
        <v>0</v>
      </c>
      <c r="AC2470" s="13" t="s">
        <v>0</v>
      </c>
      <c r="AD2470" s="13" t="s">
        <v>0</v>
      </c>
      <c r="AE2470" s="15">
        <v>0</v>
      </c>
    </row>
    <row r="2471" spans="1:31" ht="14.15" customHeight="1" x14ac:dyDescent="0.25">
      <c r="A2471" s="12" t="s">
        <v>0</v>
      </c>
      <c r="B2471" s="13" t="s">
        <v>1</v>
      </c>
      <c r="C2471" s="13" t="s">
        <v>1121</v>
      </c>
      <c r="D2471" s="14">
        <v>44137</v>
      </c>
      <c r="E2471" s="14">
        <v>44137</v>
      </c>
      <c r="F2471" s="14">
        <v>44139</v>
      </c>
      <c r="G2471" s="13" t="s">
        <v>3</v>
      </c>
      <c r="H2471" s="13" t="s">
        <v>4</v>
      </c>
      <c r="I2471" s="15">
        <v>-2905.42</v>
      </c>
      <c r="J2471" s="13" t="s">
        <v>5</v>
      </c>
      <c r="K2471" s="13" t="s">
        <v>6</v>
      </c>
      <c r="L2471" s="15">
        <v>-243910.01</v>
      </c>
      <c r="M2471" s="15">
        <v>-2905.42</v>
      </c>
      <c r="N2471" s="16" t="str">
        <f>IF(M2471="","",IF(M2471&lt;0,-M2471&amp;"_"&amp;COUNTIF(M$2:M2471,M2471),M2471&amp;"_"&amp;COUNTIF(M$2:M2471,M2471)))</f>
        <v>2905.42_1</v>
      </c>
      <c r="O2471" s="17" t="str">
        <f t="shared" si="38"/>
        <v/>
      </c>
      <c r="P2471" s="13" t="s">
        <v>1122</v>
      </c>
      <c r="Q2471" s="13" t="s">
        <v>1120</v>
      </c>
      <c r="R2471" s="13" t="s">
        <v>0</v>
      </c>
      <c r="S2471" s="13" t="s">
        <v>0</v>
      </c>
      <c r="T2471" s="13" t="s">
        <v>9</v>
      </c>
      <c r="U2471" s="13" t="s">
        <v>0</v>
      </c>
      <c r="V2471" s="13" t="s">
        <v>0</v>
      </c>
      <c r="W2471" s="13" t="s">
        <v>0</v>
      </c>
      <c r="X2471" s="13" t="s">
        <v>0</v>
      </c>
      <c r="Y2471" s="13" t="s">
        <v>10</v>
      </c>
      <c r="Z2471" s="13" t="s">
        <v>0</v>
      </c>
      <c r="AA2471" s="14"/>
      <c r="AB2471" s="13" t="s">
        <v>0</v>
      </c>
      <c r="AC2471" s="13" t="s">
        <v>0</v>
      </c>
      <c r="AD2471" s="13" t="s">
        <v>0</v>
      </c>
      <c r="AE2471" s="15">
        <v>0</v>
      </c>
    </row>
    <row r="2472" spans="1:31" ht="14.15" customHeight="1" x14ac:dyDescent="0.25">
      <c r="A2472" s="12" t="s">
        <v>0</v>
      </c>
      <c r="B2472" s="13" t="s">
        <v>1</v>
      </c>
      <c r="C2472" s="13" t="s">
        <v>1580</v>
      </c>
      <c r="D2472" s="14">
        <v>44166</v>
      </c>
      <c r="E2472" s="14">
        <v>44166</v>
      </c>
      <c r="F2472" s="14">
        <v>44174</v>
      </c>
      <c r="G2472" s="13" t="s">
        <v>3</v>
      </c>
      <c r="H2472" s="13" t="s">
        <v>4</v>
      </c>
      <c r="I2472" s="15">
        <v>-2899.96</v>
      </c>
      <c r="J2472" s="13" t="s">
        <v>5</v>
      </c>
      <c r="K2472" s="13" t="s">
        <v>6</v>
      </c>
      <c r="L2472" s="15">
        <v>-243451.64</v>
      </c>
      <c r="M2472" s="15">
        <v>-2899.96</v>
      </c>
      <c r="N2472" s="16" t="str">
        <f>IF(M2472="","",IF(M2472&lt;0,-M2472&amp;"_"&amp;COUNTIF(M$2:M2472,M2472),M2472&amp;"_"&amp;COUNTIF(M$2:M2472,M2472)))</f>
        <v>2899.96_1</v>
      </c>
      <c r="O2472" s="17" t="str">
        <f t="shared" si="38"/>
        <v/>
      </c>
      <c r="P2472" s="13" t="s">
        <v>1581</v>
      </c>
      <c r="Q2472" s="13" t="s">
        <v>1579</v>
      </c>
      <c r="R2472" s="13" t="s">
        <v>0</v>
      </c>
      <c r="S2472" s="13" t="s">
        <v>0</v>
      </c>
      <c r="T2472" s="13" t="s">
        <v>9</v>
      </c>
      <c r="U2472" s="13" t="s">
        <v>0</v>
      </c>
      <c r="V2472" s="13" t="s">
        <v>0</v>
      </c>
      <c r="W2472" s="13" t="s">
        <v>0</v>
      </c>
      <c r="X2472" s="13" t="s">
        <v>0</v>
      </c>
      <c r="Y2472" s="13" t="s">
        <v>10</v>
      </c>
      <c r="Z2472" s="13" t="s">
        <v>0</v>
      </c>
      <c r="AA2472" s="14"/>
      <c r="AB2472" s="13" t="s">
        <v>0</v>
      </c>
      <c r="AC2472" s="13" t="s">
        <v>0</v>
      </c>
      <c r="AD2472" s="13" t="s">
        <v>0</v>
      </c>
      <c r="AE2472" s="15">
        <v>0</v>
      </c>
    </row>
    <row r="2473" spans="1:31" ht="14.15" customHeight="1" x14ac:dyDescent="0.25">
      <c r="A2473" s="12" t="s">
        <v>0</v>
      </c>
      <c r="B2473" s="13" t="s">
        <v>1</v>
      </c>
      <c r="C2473" s="13" t="s">
        <v>3055</v>
      </c>
      <c r="D2473" s="14">
        <v>44283</v>
      </c>
      <c r="E2473" s="14">
        <v>44283</v>
      </c>
      <c r="F2473" s="14">
        <v>44290</v>
      </c>
      <c r="G2473" s="13" t="s">
        <v>3</v>
      </c>
      <c r="H2473" s="13" t="s">
        <v>4</v>
      </c>
      <c r="I2473" s="15">
        <v>-2888.49</v>
      </c>
      <c r="J2473" s="13" t="s">
        <v>5</v>
      </c>
      <c r="K2473" s="13" t="s">
        <v>6</v>
      </c>
      <c r="L2473" s="15">
        <v>-242488.74</v>
      </c>
      <c r="M2473" s="15">
        <v>-2888.49</v>
      </c>
      <c r="N2473" s="16" t="str">
        <f>IF(M2473="","",IF(M2473&lt;0,-M2473&amp;"_"&amp;COUNTIF(M$2:M2473,M2473),M2473&amp;"_"&amp;COUNTIF(M$2:M2473,M2473)))</f>
        <v>2888.49_1</v>
      </c>
      <c r="O2473" s="17" t="str">
        <f t="shared" si="38"/>
        <v/>
      </c>
      <c r="P2473" s="13" t="s">
        <v>3056</v>
      </c>
      <c r="Q2473" s="13" t="s">
        <v>3048</v>
      </c>
      <c r="R2473" s="13" t="s">
        <v>0</v>
      </c>
      <c r="S2473" s="13" t="s">
        <v>0</v>
      </c>
      <c r="T2473" s="13" t="s">
        <v>9</v>
      </c>
      <c r="U2473" s="13" t="s">
        <v>0</v>
      </c>
      <c r="V2473" s="13" t="s">
        <v>0</v>
      </c>
      <c r="W2473" s="13" t="s">
        <v>0</v>
      </c>
      <c r="X2473" s="13" t="s">
        <v>0</v>
      </c>
      <c r="Y2473" s="13" t="s">
        <v>10</v>
      </c>
      <c r="Z2473" s="13" t="s">
        <v>0</v>
      </c>
      <c r="AA2473" s="14"/>
      <c r="AB2473" s="13" t="s">
        <v>0</v>
      </c>
      <c r="AC2473" s="13" t="s">
        <v>0</v>
      </c>
      <c r="AD2473" s="13" t="s">
        <v>0</v>
      </c>
      <c r="AE2473" s="15">
        <v>0</v>
      </c>
    </row>
    <row r="2474" spans="1:31" ht="14.15" customHeight="1" x14ac:dyDescent="0.25">
      <c r="A2474" s="12" t="s">
        <v>0</v>
      </c>
      <c r="B2474" s="13" t="s">
        <v>1</v>
      </c>
      <c r="C2474" s="13" t="s">
        <v>3027</v>
      </c>
      <c r="D2474" s="14">
        <v>44281</v>
      </c>
      <c r="E2474" s="14">
        <v>44281</v>
      </c>
      <c r="F2474" s="14">
        <v>44290</v>
      </c>
      <c r="G2474" s="13" t="s">
        <v>3</v>
      </c>
      <c r="H2474" s="13" t="s">
        <v>4</v>
      </c>
      <c r="I2474" s="15">
        <v>-2882.02</v>
      </c>
      <c r="J2474" s="13" t="s">
        <v>5</v>
      </c>
      <c r="K2474" s="13" t="s">
        <v>6</v>
      </c>
      <c r="L2474" s="15">
        <v>-241945.58</v>
      </c>
      <c r="M2474" s="15">
        <v>-2882.02</v>
      </c>
      <c r="N2474" s="16" t="str">
        <f>IF(M2474="","",IF(M2474&lt;0,-M2474&amp;"_"&amp;COUNTIF(M$2:M2474,M2474),M2474&amp;"_"&amp;COUNTIF(M$2:M2474,M2474)))</f>
        <v>2882.02_1</v>
      </c>
      <c r="O2474" s="17" t="str">
        <f t="shared" si="38"/>
        <v/>
      </c>
      <c r="P2474" s="13" t="s">
        <v>3028</v>
      </c>
      <c r="Q2474" s="13" t="s">
        <v>3014</v>
      </c>
      <c r="R2474" s="13" t="s">
        <v>0</v>
      </c>
      <c r="S2474" s="13" t="s">
        <v>0</v>
      </c>
      <c r="T2474" s="13" t="s">
        <v>9</v>
      </c>
      <c r="U2474" s="13" t="s">
        <v>0</v>
      </c>
      <c r="V2474" s="13" t="s">
        <v>0</v>
      </c>
      <c r="W2474" s="13" t="s">
        <v>0</v>
      </c>
      <c r="X2474" s="13" t="s">
        <v>0</v>
      </c>
      <c r="Y2474" s="13" t="s">
        <v>10</v>
      </c>
      <c r="Z2474" s="13" t="s">
        <v>0</v>
      </c>
      <c r="AA2474" s="14"/>
      <c r="AB2474" s="13" t="s">
        <v>0</v>
      </c>
      <c r="AC2474" s="13" t="s">
        <v>0</v>
      </c>
      <c r="AD2474" s="13" t="s">
        <v>0</v>
      </c>
      <c r="AE2474" s="15">
        <v>0</v>
      </c>
    </row>
    <row r="2475" spans="1:31" ht="14.15" customHeight="1" x14ac:dyDescent="0.25">
      <c r="A2475" s="12" t="s">
        <v>0</v>
      </c>
      <c r="B2475" s="13" t="s">
        <v>1</v>
      </c>
      <c r="C2475" s="13" t="s">
        <v>2653</v>
      </c>
      <c r="D2475" s="14">
        <v>44249</v>
      </c>
      <c r="E2475" s="14">
        <v>44249</v>
      </c>
      <c r="F2475" s="14">
        <v>44257</v>
      </c>
      <c r="G2475" s="13" t="s">
        <v>3</v>
      </c>
      <c r="H2475" s="13" t="s">
        <v>4</v>
      </c>
      <c r="I2475" s="15">
        <v>-2874.4</v>
      </c>
      <c r="J2475" s="13" t="s">
        <v>5</v>
      </c>
      <c r="K2475" s="13" t="s">
        <v>6</v>
      </c>
      <c r="L2475" s="15">
        <v>-241305.88</v>
      </c>
      <c r="M2475" s="15">
        <v>-2874.4</v>
      </c>
      <c r="N2475" s="16" t="str">
        <f>IF(M2475="","",IF(M2475&lt;0,-M2475&amp;"_"&amp;COUNTIF(M$2:M2475,M2475),M2475&amp;"_"&amp;COUNTIF(M$2:M2475,M2475)))</f>
        <v>2874.4_1</v>
      </c>
      <c r="O2475" s="17" t="str">
        <f t="shared" si="38"/>
        <v/>
      </c>
      <c r="P2475" s="13" t="s">
        <v>2654</v>
      </c>
      <c r="Q2475" s="13" t="s">
        <v>2646</v>
      </c>
      <c r="R2475" s="13" t="s">
        <v>0</v>
      </c>
      <c r="S2475" s="13" t="s">
        <v>0</v>
      </c>
      <c r="T2475" s="13" t="s">
        <v>9</v>
      </c>
      <c r="U2475" s="13" t="s">
        <v>0</v>
      </c>
      <c r="V2475" s="13" t="s">
        <v>0</v>
      </c>
      <c r="W2475" s="13" t="s">
        <v>0</v>
      </c>
      <c r="X2475" s="13" t="s">
        <v>0</v>
      </c>
      <c r="Y2475" s="13" t="s">
        <v>10</v>
      </c>
      <c r="Z2475" s="13" t="s">
        <v>0</v>
      </c>
      <c r="AA2475" s="14"/>
      <c r="AB2475" s="13" t="s">
        <v>0</v>
      </c>
      <c r="AC2475" s="13" t="s">
        <v>0</v>
      </c>
      <c r="AD2475" s="13" t="s">
        <v>0</v>
      </c>
      <c r="AE2475" s="15">
        <v>0</v>
      </c>
    </row>
    <row r="2476" spans="1:31" ht="14.15" customHeight="1" x14ac:dyDescent="0.25">
      <c r="A2476" s="12" t="s">
        <v>0</v>
      </c>
      <c r="B2476" s="13" t="s">
        <v>1</v>
      </c>
      <c r="C2476" s="13" t="s">
        <v>3822</v>
      </c>
      <c r="D2476" s="14">
        <v>44347</v>
      </c>
      <c r="E2476" s="14">
        <v>44347</v>
      </c>
      <c r="F2476" s="14">
        <v>44350</v>
      </c>
      <c r="G2476" s="13" t="s">
        <v>3</v>
      </c>
      <c r="H2476" s="13" t="s">
        <v>4</v>
      </c>
      <c r="I2476" s="15">
        <v>-2874.08</v>
      </c>
      <c r="J2476" s="13" t="s">
        <v>5</v>
      </c>
      <c r="K2476" s="13" t="s">
        <v>6</v>
      </c>
      <c r="L2476" s="15">
        <v>-241279.02</v>
      </c>
      <c r="M2476" s="15">
        <v>-2874.08</v>
      </c>
      <c r="N2476" s="16" t="str">
        <f>IF(M2476="","",IF(M2476&lt;0,-M2476&amp;"_"&amp;COUNTIF(M$2:M2476,M2476),M2476&amp;"_"&amp;COUNTIF(M$2:M2476,M2476)))</f>
        <v>2874.08_1</v>
      </c>
      <c r="O2476" s="17" t="str">
        <f t="shared" si="38"/>
        <v/>
      </c>
      <c r="P2476" s="13" t="s">
        <v>3823</v>
      </c>
      <c r="Q2476" s="13" t="s">
        <v>3824</v>
      </c>
      <c r="R2476" s="13" t="s">
        <v>0</v>
      </c>
      <c r="S2476" s="13" t="s">
        <v>0</v>
      </c>
      <c r="T2476" s="13" t="s">
        <v>9</v>
      </c>
      <c r="U2476" s="13" t="s">
        <v>0</v>
      </c>
      <c r="V2476" s="13" t="s">
        <v>0</v>
      </c>
      <c r="W2476" s="13" t="s">
        <v>0</v>
      </c>
      <c r="X2476" s="13" t="s">
        <v>0</v>
      </c>
      <c r="Y2476" s="13" t="s">
        <v>10</v>
      </c>
      <c r="Z2476" s="13" t="s">
        <v>0</v>
      </c>
      <c r="AA2476" s="14"/>
      <c r="AB2476" s="13" t="s">
        <v>0</v>
      </c>
      <c r="AC2476" s="13" t="s">
        <v>0</v>
      </c>
      <c r="AD2476" s="13" t="s">
        <v>0</v>
      </c>
      <c r="AE2476" s="15">
        <v>0</v>
      </c>
    </row>
    <row r="2477" spans="1:31" ht="14.15" customHeight="1" x14ac:dyDescent="0.25">
      <c r="A2477" s="12" t="s">
        <v>0</v>
      </c>
      <c r="B2477" s="13" t="s">
        <v>1</v>
      </c>
      <c r="C2477" s="13" t="s">
        <v>1773</v>
      </c>
      <c r="D2477" s="14">
        <v>44181</v>
      </c>
      <c r="E2477" s="14">
        <v>44181</v>
      </c>
      <c r="F2477" s="14">
        <v>44187</v>
      </c>
      <c r="G2477" s="13" t="s">
        <v>3</v>
      </c>
      <c r="H2477" s="13" t="s">
        <v>4</v>
      </c>
      <c r="I2477" s="15">
        <v>-2865.16</v>
      </c>
      <c r="J2477" s="13" t="s">
        <v>5</v>
      </c>
      <c r="K2477" s="13" t="s">
        <v>6</v>
      </c>
      <c r="L2477" s="15">
        <v>-240530.18</v>
      </c>
      <c r="M2477" s="15">
        <v>-2865.16</v>
      </c>
      <c r="N2477" s="16" t="str">
        <f>IF(M2477="","",IF(M2477&lt;0,-M2477&amp;"_"&amp;COUNTIF(M$2:M2477,M2477),M2477&amp;"_"&amp;COUNTIF(M$2:M2477,M2477)))</f>
        <v>2865.16_1</v>
      </c>
      <c r="O2477" s="17" t="str">
        <f t="shared" si="38"/>
        <v/>
      </c>
      <c r="P2477" s="13" t="s">
        <v>1774</v>
      </c>
      <c r="Q2477" s="13" t="s">
        <v>1766</v>
      </c>
      <c r="R2477" s="13" t="s">
        <v>0</v>
      </c>
      <c r="S2477" s="13" t="s">
        <v>0</v>
      </c>
      <c r="T2477" s="13" t="s">
        <v>9</v>
      </c>
      <c r="U2477" s="13" t="s">
        <v>0</v>
      </c>
      <c r="V2477" s="13" t="s">
        <v>0</v>
      </c>
      <c r="W2477" s="13" t="s">
        <v>0</v>
      </c>
      <c r="X2477" s="13" t="s">
        <v>0</v>
      </c>
      <c r="Y2477" s="13" t="s">
        <v>10</v>
      </c>
      <c r="Z2477" s="13" t="s">
        <v>0</v>
      </c>
      <c r="AA2477" s="14"/>
      <c r="AB2477" s="13" t="s">
        <v>0</v>
      </c>
      <c r="AC2477" s="13" t="s">
        <v>0</v>
      </c>
      <c r="AD2477" s="13" t="s">
        <v>0</v>
      </c>
      <c r="AE2477" s="15">
        <v>0</v>
      </c>
    </row>
    <row r="2478" spans="1:31" ht="14.15" customHeight="1" x14ac:dyDescent="0.25">
      <c r="A2478" s="12" t="s">
        <v>0</v>
      </c>
      <c r="B2478" s="13" t="s">
        <v>1</v>
      </c>
      <c r="C2478" s="13" t="s">
        <v>1136</v>
      </c>
      <c r="D2478" s="14">
        <v>44139</v>
      </c>
      <c r="E2478" s="14">
        <v>44139</v>
      </c>
      <c r="F2478" s="14">
        <v>44146</v>
      </c>
      <c r="G2478" s="13" t="s">
        <v>3</v>
      </c>
      <c r="H2478" s="13" t="s">
        <v>4</v>
      </c>
      <c r="I2478" s="15">
        <v>-2864.84</v>
      </c>
      <c r="J2478" s="13" t="s">
        <v>5</v>
      </c>
      <c r="K2478" s="13" t="s">
        <v>6</v>
      </c>
      <c r="L2478" s="15">
        <v>-240503.32</v>
      </c>
      <c r="M2478" s="15">
        <v>-2864.84</v>
      </c>
      <c r="N2478" s="16" t="str">
        <f>IF(M2478="","",IF(M2478&lt;0,-M2478&amp;"_"&amp;COUNTIF(M$2:M2478,M2478),M2478&amp;"_"&amp;COUNTIF(M$2:M2478,M2478)))</f>
        <v>2864.84_1</v>
      </c>
      <c r="O2478" s="17" t="str">
        <f t="shared" si="38"/>
        <v/>
      </c>
      <c r="P2478" s="13" t="s">
        <v>1137</v>
      </c>
      <c r="Q2478" s="13" t="s">
        <v>1138</v>
      </c>
      <c r="R2478" s="13" t="s">
        <v>0</v>
      </c>
      <c r="S2478" s="13" t="s">
        <v>0</v>
      </c>
      <c r="T2478" s="13" t="s">
        <v>9</v>
      </c>
      <c r="U2478" s="13" t="s">
        <v>0</v>
      </c>
      <c r="V2478" s="13" t="s">
        <v>0</v>
      </c>
      <c r="W2478" s="13" t="s">
        <v>0</v>
      </c>
      <c r="X2478" s="13" t="s">
        <v>0</v>
      </c>
      <c r="Y2478" s="13" t="s">
        <v>10</v>
      </c>
      <c r="Z2478" s="13" t="s">
        <v>0</v>
      </c>
      <c r="AA2478" s="14"/>
      <c r="AB2478" s="13" t="s">
        <v>0</v>
      </c>
      <c r="AC2478" s="13" t="s">
        <v>0</v>
      </c>
      <c r="AD2478" s="13" t="s">
        <v>0</v>
      </c>
      <c r="AE2478" s="15">
        <v>0</v>
      </c>
    </row>
    <row r="2479" spans="1:31" ht="14.15" customHeight="1" x14ac:dyDescent="0.25">
      <c r="A2479" s="12" t="s">
        <v>0</v>
      </c>
      <c r="B2479" s="13" t="s">
        <v>1</v>
      </c>
      <c r="C2479" s="13" t="s">
        <v>4033</v>
      </c>
      <c r="D2479" s="14">
        <v>44358</v>
      </c>
      <c r="E2479" s="14">
        <v>44358</v>
      </c>
      <c r="F2479" s="14">
        <v>44364</v>
      </c>
      <c r="G2479" s="13" t="s">
        <v>3</v>
      </c>
      <c r="H2479" s="13" t="s">
        <v>4</v>
      </c>
      <c r="I2479" s="15">
        <v>-2863.84</v>
      </c>
      <c r="J2479" s="13" t="s">
        <v>5</v>
      </c>
      <c r="K2479" s="13" t="s">
        <v>6</v>
      </c>
      <c r="L2479" s="15">
        <v>-240419.37</v>
      </c>
      <c r="M2479" s="15">
        <v>-2863.84</v>
      </c>
      <c r="N2479" s="16" t="str">
        <f>IF(M2479="","",IF(M2479&lt;0,-M2479&amp;"_"&amp;COUNTIF(M$2:M2479,M2479),M2479&amp;"_"&amp;COUNTIF(M$2:M2479,M2479)))</f>
        <v>2863.84_1</v>
      </c>
      <c r="O2479" s="17" t="str">
        <f t="shared" si="38"/>
        <v/>
      </c>
      <c r="P2479" s="13" t="s">
        <v>4034</v>
      </c>
      <c r="Q2479" s="13" t="s">
        <v>4006</v>
      </c>
      <c r="R2479" s="13" t="s">
        <v>0</v>
      </c>
      <c r="S2479" s="13" t="s">
        <v>0</v>
      </c>
      <c r="T2479" s="13" t="s">
        <v>9</v>
      </c>
      <c r="U2479" s="13" t="s">
        <v>0</v>
      </c>
      <c r="V2479" s="13" t="s">
        <v>0</v>
      </c>
      <c r="W2479" s="13" t="s">
        <v>0</v>
      </c>
      <c r="X2479" s="13" t="s">
        <v>0</v>
      </c>
      <c r="Y2479" s="13" t="s">
        <v>10</v>
      </c>
      <c r="Z2479" s="13" t="s">
        <v>0</v>
      </c>
      <c r="AA2479" s="14"/>
      <c r="AB2479" s="13" t="s">
        <v>0</v>
      </c>
      <c r="AC2479" s="13" t="s">
        <v>0</v>
      </c>
      <c r="AD2479" s="13" t="s">
        <v>0</v>
      </c>
      <c r="AE2479" s="15">
        <v>0</v>
      </c>
    </row>
    <row r="2480" spans="1:31" ht="14.15" customHeight="1" x14ac:dyDescent="0.25">
      <c r="A2480" s="12" t="s">
        <v>0</v>
      </c>
      <c r="B2480" s="13" t="s">
        <v>1</v>
      </c>
      <c r="C2480" s="13" t="s">
        <v>1941</v>
      </c>
      <c r="D2480" s="14">
        <v>44192</v>
      </c>
      <c r="E2480" s="14">
        <v>44192</v>
      </c>
      <c r="F2480" s="14">
        <v>44198</v>
      </c>
      <c r="G2480" s="13" t="s">
        <v>3</v>
      </c>
      <c r="H2480" s="13" t="s">
        <v>4</v>
      </c>
      <c r="I2480" s="15">
        <v>-2849.88</v>
      </c>
      <c r="J2480" s="13" t="s">
        <v>5</v>
      </c>
      <c r="K2480" s="13" t="s">
        <v>6</v>
      </c>
      <c r="L2480" s="15">
        <v>-239247.43</v>
      </c>
      <c r="M2480" s="15">
        <v>-2849.88</v>
      </c>
      <c r="N2480" s="16" t="str">
        <f>IF(M2480="","",IF(M2480&lt;0,-M2480&amp;"_"&amp;COUNTIF(M$2:M2480,M2480),M2480&amp;"_"&amp;COUNTIF(M$2:M2480,M2480)))</f>
        <v>2849.88_1</v>
      </c>
      <c r="O2480" s="17" t="str">
        <f t="shared" si="38"/>
        <v/>
      </c>
      <c r="P2480" s="13" t="s">
        <v>1942</v>
      </c>
      <c r="Q2480" s="13" t="s">
        <v>1932</v>
      </c>
      <c r="R2480" s="13" t="s">
        <v>0</v>
      </c>
      <c r="S2480" s="13" t="s">
        <v>0</v>
      </c>
      <c r="T2480" s="13" t="s">
        <v>9</v>
      </c>
      <c r="U2480" s="13" t="s">
        <v>0</v>
      </c>
      <c r="V2480" s="13" t="s">
        <v>0</v>
      </c>
      <c r="W2480" s="13" t="s">
        <v>0</v>
      </c>
      <c r="X2480" s="13" t="s">
        <v>0</v>
      </c>
      <c r="Y2480" s="13" t="s">
        <v>10</v>
      </c>
      <c r="Z2480" s="13" t="s">
        <v>0</v>
      </c>
      <c r="AA2480" s="14"/>
      <c r="AB2480" s="13" t="s">
        <v>0</v>
      </c>
      <c r="AC2480" s="13" t="s">
        <v>0</v>
      </c>
      <c r="AD2480" s="13" t="s">
        <v>0</v>
      </c>
      <c r="AE2480" s="15">
        <v>0</v>
      </c>
    </row>
    <row r="2481" spans="1:31" ht="14.15" customHeight="1" x14ac:dyDescent="0.25">
      <c r="A2481" s="12" t="s">
        <v>0</v>
      </c>
      <c r="B2481" s="13" t="s">
        <v>1</v>
      </c>
      <c r="C2481" s="13" t="s">
        <v>1941</v>
      </c>
      <c r="D2481" s="14">
        <v>44192</v>
      </c>
      <c r="E2481" s="14">
        <v>44192</v>
      </c>
      <c r="F2481" s="14">
        <v>44198</v>
      </c>
      <c r="G2481" s="13" t="s">
        <v>3</v>
      </c>
      <c r="H2481" s="13" t="s">
        <v>4</v>
      </c>
      <c r="I2481" s="15">
        <v>-2849.88</v>
      </c>
      <c r="J2481" s="13" t="s">
        <v>5</v>
      </c>
      <c r="K2481" s="13" t="s">
        <v>6</v>
      </c>
      <c r="L2481" s="15">
        <v>-239247.43</v>
      </c>
      <c r="M2481" s="15">
        <v>-2849.88</v>
      </c>
      <c r="N2481" s="16" t="str">
        <f>IF(M2481="","",IF(M2481&lt;0,-M2481&amp;"_"&amp;COUNTIF(M$2:M2481,M2481),M2481&amp;"_"&amp;COUNTIF(M$2:M2481,M2481)))</f>
        <v>2849.88_2</v>
      </c>
      <c r="O2481" s="17" t="str">
        <f t="shared" si="38"/>
        <v/>
      </c>
      <c r="P2481" s="13" t="s">
        <v>1942</v>
      </c>
      <c r="Q2481" s="13" t="s">
        <v>1932</v>
      </c>
      <c r="R2481" s="13" t="s">
        <v>0</v>
      </c>
      <c r="S2481" s="13" t="s">
        <v>0</v>
      </c>
      <c r="T2481" s="13" t="s">
        <v>9</v>
      </c>
      <c r="U2481" s="13" t="s">
        <v>0</v>
      </c>
      <c r="V2481" s="13" t="s">
        <v>0</v>
      </c>
      <c r="W2481" s="13" t="s">
        <v>0</v>
      </c>
      <c r="X2481" s="13" t="s">
        <v>0</v>
      </c>
      <c r="Y2481" s="13" t="s">
        <v>10</v>
      </c>
      <c r="Z2481" s="13" t="s">
        <v>0</v>
      </c>
      <c r="AA2481" s="14"/>
      <c r="AB2481" s="13" t="s">
        <v>0</v>
      </c>
      <c r="AC2481" s="13" t="s">
        <v>0</v>
      </c>
      <c r="AD2481" s="13" t="s">
        <v>0</v>
      </c>
      <c r="AE2481" s="15">
        <v>0</v>
      </c>
    </row>
    <row r="2482" spans="1:31" ht="14.15" customHeight="1" x14ac:dyDescent="0.25">
      <c r="A2482" s="12" t="s">
        <v>0</v>
      </c>
      <c r="B2482" s="13" t="s">
        <v>1</v>
      </c>
      <c r="C2482" s="13" t="s">
        <v>1941</v>
      </c>
      <c r="D2482" s="14">
        <v>44192</v>
      </c>
      <c r="E2482" s="14">
        <v>44192</v>
      </c>
      <c r="F2482" s="14">
        <v>44198</v>
      </c>
      <c r="G2482" s="13" t="s">
        <v>3</v>
      </c>
      <c r="H2482" s="13" t="s">
        <v>4</v>
      </c>
      <c r="I2482" s="15">
        <v>-2849.88</v>
      </c>
      <c r="J2482" s="13" t="s">
        <v>5</v>
      </c>
      <c r="K2482" s="13" t="s">
        <v>6</v>
      </c>
      <c r="L2482" s="15">
        <v>-239247.43</v>
      </c>
      <c r="M2482" s="15">
        <v>-2849.88</v>
      </c>
      <c r="N2482" s="16" t="str">
        <f>IF(M2482="","",IF(M2482&lt;0,-M2482&amp;"_"&amp;COUNTIF(M$2:M2482,M2482),M2482&amp;"_"&amp;COUNTIF(M$2:M2482,M2482)))</f>
        <v>2849.88_3</v>
      </c>
      <c r="O2482" s="17" t="str">
        <f t="shared" si="38"/>
        <v/>
      </c>
      <c r="P2482" s="13" t="s">
        <v>1942</v>
      </c>
      <c r="Q2482" s="13" t="s">
        <v>1932</v>
      </c>
      <c r="R2482" s="13" t="s">
        <v>0</v>
      </c>
      <c r="S2482" s="13" t="s">
        <v>0</v>
      </c>
      <c r="T2482" s="13" t="s">
        <v>9</v>
      </c>
      <c r="U2482" s="13" t="s">
        <v>0</v>
      </c>
      <c r="V2482" s="13" t="s">
        <v>0</v>
      </c>
      <c r="W2482" s="13" t="s">
        <v>0</v>
      </c>
      <c r="X2482" s="13" t="s">
        <v>0</v>
      </c>
      <c r="Y2482" s="13" t="s">
        <v>10</v>
      </c>
      <c r="Z2482" s="13" t="s">
        <v>0</v>
      </c>
      <c r="AA2482" s="14"/>
      <c r="AB2482" s="13" t="s">
        <v>0</v>
      </c>
      <c r="AC2482" s="13" t="s">
        <v>0</v>
      </c>
      <c r="AD2482" s="13" t="s">
        <v>0</v>
      </c>
      <c r="AE2482" s="15">
        <v>0</v>
      </c>
    </row>
    <row r="2483" spans="1:31" ht="14.15" customHeight="1" x14ac:dyDescent="0.25">
      <c r="A2483" s="12" t="s">
        <v>0</v>
      </c>
      <c r="B2483" s="13" t="s">
        <v>1</v>
      </c>
      <c r="C2483" s="13" t="s">
        <v>1941</v>
      </c>
      <c r="D2483" s="14">
        <v>44192</v>
      </c>
      <c r="E2483" s="14">
        <v>44192</v>
      </c>
      <c r="F2483" s="14">
        <v>44198</v>
      </c>
      <c r="G2483" s="13" t="s">
        <v>3</v>
      </c>
      <c r="H2483" s="13" t="s">
        <v>4</v>
      </c>
      <c r="I2483" s="15">
        <v>-2837.08</v>
      </c>
      <c r="J2483" s="13" t="s">
        <v>5</v>
      </c>
      <c r="K2483" s="13" t="s">
        <v>6</v>
      </c>
      <c r="L2483" s="15">
        <v>-238172.87</v>
      </c>
      <c r="M2483" s="15">
        <v>-2837.08</v>
      </c>
      <c r="N2483" s="16" t="str">
        <f>IF(M2483="","",IF(M2483&lt;0,-M2483&amp;"_"&amp;COUNTIF(M$2:M2483,M2483),M2483&amp;"_"&amp;COUNTIF(M$2:M2483,M2483)))</f>
        <v>2837.08_1</v>
      </c>
      <c r="O2483" s="17" t="str">
        <f t="shared" si="38"/>
        <v/>
      </c>
      <c r="P2483" s="13" t="s">
        <v>1942</v>
      </c>
      <c r="Q2483" s="13" t="s">
        <v>1932</v>
      </c>
      <c r="R2483" s="13" t="s">
        <v>0</v>
      </c>
      <c r="S2483" s="13" t="s">
        <v>0</v>
      </c>
      <c r="T2483" s="13" t="s">
        <v>9</v>
      </c>
      <c r="U2483" s="13" t="s">
        <v>0</v>
      </c>
      <c r="V2483" s="13" t="s">
        <v>0</v>
      </c>
      <c r="W2483" s="13" t="s">
        <v>0</v>
      </c>
      <c r="X2483" s="13" t="s">
        <v>0</v>
      </c>
      <c r="Y2483" s="13" t="s">
        <v>10</v>
      </c>
      <c r="Z2483" s="13" t="s">
        <v>0</v>
      </c>
      <c r="AA2483" s="14"/>
      <c r="AB2483" s="13" t="s">
        <v>0</v>
      </c>
      <c r="AC2483" s="13" t="s">
        <v>0</v>
      </c>
      <c r="AD2483" s="13" t="s">
        <v>0</v>
      </c>
      <c r="AE2483" s="15">
        <v>0</v>
      </c>
    </row>
    <row r="2484" spans="1:31" ht="14.15" customHeight="1" x14ac:dyDescent="0.25">
      <c r="A2484" s="12" t="s">
        <v>0</v>
      </c>
      <c r="B2484" s="13" t="s">
        <v>1</v>
      </c>
      <c r="C2484" s="13" t="s">
        <v>1447</v>
      </c>
      <c r="D2484" s="14">
        <v>44158</v>
      </c>
      <c r="E2484" s="14">
        <v>44158</v>
      </c>
      <c r="F2484" s="14">
        <v>44163</v>
      </c>
      <c r="G2484" s="13" t="s">
        <v>3</v>
      </c>
      <c r="H2484" s="13" t="s">
        <v>4</v>
      </c>
      <c r="I2484" s="15">
        <v>-2836.44</v>
      </c>
      <c r="J2484" s="13" t="s">
        <v>5</v>
      </c>
      <c r="K2484" s="13" t="s">
        <v>6</v>
      </c>
      <c r="L2484" s="15">
        <v>-238119.14</v>
      </c>
      <c r="M2484" s="15">
        <v>-2836.44</v>
      </c>
      <c r="N2484" s="16" t="str">
        <f>IF(M2484="","",IF(M2484&lt;0,-M2484&amp;"_"&amp;COUNTIF(M$2:M2484,M2484),M2484&amp;"_"&amp;COUNTIF(M$2:M2484,M2484)))</f>
        <v>2836.44_1</v>
      </c>
      <c r="O2484" s="17" t="str">
        <f t="shared" si="38"/>
        <v/>
      </c>
      <c r="P2484" s="13" t="s">
        <v>1448</v>
      </c>
      <c r="Q2484" s="13" t="s">
        <v>1444</v>
      </c>
      <c r="R2484" s="13" t="s">
        <v>0</v>
      </c>
      <c r="S2484" s="13" t="s">
        <v>0</v>
      </c>
      <c r="T2484" s="13" t="s">
        <v>9</v>
      </c>
      <c r="U2484" s="13" t="s">
        <v>0</v>
      </c>
      <c r="V2484" s="13" t="s">
        <v>0</v>
      </c>
      <c r="W2484" s="13" t="s">
        <v>0</v>
      </c>
      <c r="X2484" s="13" t="s">
        <v>0</v>
      </c>
      <c r="Y2484" s="13" t="s">
        <v>10</v>
      </c>
      <c r="Z2484" s="13" t="s">
        <v>0</v>
      </c>
      <c r="AA2484" s="14"/>
      <c r="AB2484" s="13" t="s">
        <v>0</v>
      </c>
      <c r="AC2484" s="13" t="s">
        <v>0</v>
      </c>
      <c r="AD2484" s="13" t="s">
        <v>0</v>
      </c>
      <c r="AE2484" s="15">
        <v>0</v>
      </c>
    </row>
    <row r="2485" spans="1:31" ht="14.15" customHeight="1" x14ac:dyDescent="0.25">
      <c r="A2485" s="12" t="s">
        <v>0</v>
      </c>
      <c r="B2485" s="13" t="s">
        <v>1</v>
      </c>
      <c r="C2485" s="13" t="s">
        <v>2241</v>
      </c>
      <c r="D2485" s="14">
        <v>44214</v>
      </c>
      <c r="E2485" s="14">
        <v>44214</v>
      </c>
      <c r="F2485" s="14">
        <v>44219</v>
      </c>
      <c r="G2485" s="13" t="s">
        <v>3</v>
      </c>
      <c r="H2485" s="13" t="s">
        <v>4</v>
      </c>
      <c r="I2485" s="15">
        <v>-2830.67</v>
      </c>
      <c r="J2485" s="13" t="s">
        <v>5</v>
      </c>
      <c r="K2485" s="13" t="s">
        <v>6</v>
      </c>
      <c r="L2485" s="15">
        <v>-237634.75</v>
      </c>
      <c r="M2485" s="15">
        <v>-2830.67</v>
      </c>
      <c r="N2485" s="16" t="str">
        <f>IF(M2485="","",IF(M2485&lt;0,-M2485&amp;"_"&amp;COUNTIF(M$2:M2485,M2485),M2485&amp;"_"&amp;COUNTIF(M$2:M2485,M2485)))</f>
        <v>2830.67_1</v>
      </c>
      <c r="O2485" s="17" t="str">
        <f t="shared" si="38"/>
        <v/>
      </c>
      <c r="P2485" s="13" t="s">
        <v>2242</v>
      </c>
      <c r="Q2485" s="13" t="s">
        <v>2243</v>
      </c>
      <c r="R2485" s="13" t="s">
        <v>0</v>
      </c>
      <c r="S2485" s="13" t="s">
        <v>0</v>
      </c>
      <c r="T2485" s="13" t="s">
        <v>9</v>
      </c>
      <c r="U2485" s="13" t="s">
        <v>0</v>
      </c>
      <c r="V2485" s="13" t="s">
        <v>0</v>
      </c>
      <c r="W2485" s="13" t="s">
        <v>0</v>
      </c>
      <c r="X2485" s="13" t="s">
        <v>0</v>
      </c>
      <c r="Y2485" s="13" t="s">
        <v>10</v>
      </c>
      <c r="Z2485" s="13" t="s">
        <v>0</v>
      </c>
      <c r="AA2485" s="14"/>
      <c r="AB2485" s="13" t="s">
        <v>0</v>
      </c>
      <c r="AC2485" s="13" t="s">
        <v>0</v>
      </c>
      <c r="AD2485" s="13" t="s">
        <v>0</v>
      </c>
      <c r="AE2485" s="15">
        <v>0</v>
      </c>
    </row>
    <row r="2486" spans="1:31" ht="14.15" customHeight="1" x14ac:dyDescent="0.25">
      <c r="A2486" s="12" t="s">
        <v>0</v>
      </c>
      <c r="B2486" s="13" t="s">
        <v>1</v>
      </c>
      <c r="C2486" s="13" t="s">
        <v>1947</v>
      </c>
      <c r="D2486" s="14">
        <v>44194</v>
      </c>
      <c r="E2486" s="14">
        <v>44194</v>
      </c>
      <c r="F2486" s="14">
        <v>44199</v>
      </c>
      <c r="G2486" s="13" t="s">
        <v>3</v>
      </c>
      <c r="H2486" s="13" t="s">
        <v>4</v>
      </c>
      <c r="I2486" s="15">
        <v>-2829.82</v>
      </c>
      <c r="J2486" s="13" t="s">
        <v>5</v>
      </c>
      <c r="K2486" s="13" t="s">
        <v>6</v>
      </c>
      <c r="L2486" s="15">
        <v>-237563.39</v>
      </c>
      <c r="M2486" s="15">
        <v>-2829.82</v>
      </c>
      <c r="N2486" s="16" t="str">
        <f>IF(M2486="","",IF(M2486&lt;0,-M2486&amp;"_"&amp;COUNTIF(M$2:M2486,M2486),M2486&amp;"_"&amp;COUNTIF(M$2:M2486,M2486)))</f>
        <v>2829.82_1</v>
      </c>
      <c r="O2486" s="17" t="str">
        <f t="shared" si="38"/>
        <v/>
      </c>
      <c r="P2486" s="13" t="s">
        <v>1948</v>
      </c>
      <c r="Q2486" s="13" t="s">
        <v>1949</v>
      </c>
      <c r="R2486" s="13" t="s">
        <v>0</v>
      </c>
      <c r="S2486" s="13" t="s">
        <v>0</v>
      </c>
      <c r="T2486" s="13" t="s">
        <v>9</v>
      </c>
      <c r="U2486" s="13" t="s">
        <v>0</v>
      </c>
      <c r="V2486" s="13" t="s">
        <v>0</v>
      </c>
      <c r="W2486" s="13" t="s">
        <v>0</v>
      </c>
      <c r="X2486" s="13" t="s">
        <v>0</v>
      </c>
      <c r="Y2486" s="13" t="s">
        <v>10</v>
      </c>
      <c r="Z2486" s="13" t="s">
        <v>0</v>
      </c>
      <c r="AA2486" s="14"/>
      <c r="AB2486" s="13" t="s">
        <v>0</v>
      </c>
      <c r="AC2486" s="13" t="s">
        <v>0</v>
      </c>
      <c r="AD2486" s="13" t="s">
        <v>0</v>
      </c>
      <c r="AE2486" s="15">
        <v>0</v>
      </c>
    </row>
    <row r="2487" spans="1:31" ht="14.15" customHeight="1" x14ac:dyDescent="0.25">
      <c r="A2487" s="12" t="s">
        <v>0</v>
      </c>
      <c r="B2487" s="13" t="s">
        <v>1</v>
      </c>
      <c r="C2487" s="13" t="s">
        <v>2112</v>
      </c>
      <c r="D2487" s="14">
        <v>44199</v>
      </c>
      <c r="E2487" s="14">
        <v>44199</v>
      </c>
      <c r="F2487" s="14">
        <v>44208</v>
      </c>
      <c r="G2487" s="13" t="s">
        <v>3</v>
      </c>
      <c r="H2487" s="13" t="s">
        <v>4</v>
      </c>
      <c r="I2487" s="15">
        <v>-2828.02</v>
      </c>
      <c r="J2487" s="13" t="s">
        <v>5</v>
      </c>
      <c r="K2487" s="13" t="s">
        <v>6</v>
      </c>
      <c r="L2487" s="15">
        <v>-237412.28</v>
      </c>
      <c r="M2487" s="15">
        <v>-2828.02</v>
      </c>
      <c r="N2487" s="16" t="str">
        <f>IF(M2487="","",IF(M2487&lt;0,-M2487&amp;"_"&amp;COUNTIF(M$2:M2487,M2487),M2487&amp;"_"&amp;COUNTIF(M$2:M2487,M2487)))</f>
        <v>2828.02_1</v>
      </c>
      <c r="O2487" s="17" t="str">
        <f t="shared" si="38"/>
        <v/>
      </c>
      <c r="P2487" s="13" t="s">
        <v>2113</v>
      </c>
      <c r="Q2487" s="13" t="s">
        <v>2093</v>
      </c>
      <c r="R2487" s="13" t="s">
        <v>0</v>
      </c>
      <c r="S2487" s="13" t="s">
        <v>0</v>
      </c>
      <c r="T2487" s="13" t="s">
        <v>9</v>
      </c>
      <c r="U2487" s="13" t="s">
        <v>0</v>
      </c>
      <c r="V2487" s="13" t="s">
        <v>0</v>
      </c>
      <c r="W2487" s="13" t="s">
        <v>0</v>
      </c>
      <c r="X2487" s="13" t="s">
        <v>0</v>
      </c>
      <c r="Y2487" s="13" t="s">
        <v>10</v>
      </c>
      <c r="Z2487" s="13" t="s">
        <v>0</v>
      </c>
      <c r="AA2487" s="14"/>
      <c r="AB2487" s="13" t="s">
        <v>0</v>
      </c>
      <c r="AC2487" s="13" t="s">
        <v>0</v>
      </c>
      <c r="AD2487" s="13" t="s">
        <v>0</v>
      </c>
      <c r="AE2487" s="15">
        <v>0</v>
      </c>
    </row>
    <row r="2488" spans="1:31" ht="14.15" customHeight="1" x14ac:dyDescent="0.25">
      <c r="A2488" s="12" t="s">
        <v>0</v>
      </c>
      <c r="B2488" s="13" t="s">
        <v>1</v>
      </c>
      <c r="C2488" s="13" t="s">
        <v>168</v>
      </c>
      <c r="D2488" s="14">
        <v>44033</v>
      </c>
      <c r="E2488" s="14">
        <v>44033</v>
      </c>
      <c r="F2488" s="14">
        <v>44037</v>
      </c>
      <c r="G2488" s="13" t="s">
        <v>3</v>
      </c>
      <c r="H2488" s="13" t="s">
        <v>4</v>
      </c>
      <c r="I2488" s="15">
        <v>-2824.72</v>
      </c>
      <c r="J2488" s="13" t="s">
        <v>5</v>
      </c>
      <c r="K2488" s="13" t="s">
        <v>6</v>
      </c>
      <c r="L2488" s="15">
        <v>-237135.25</v>
      </c>
      <c r="M2488" s="15">
        <v>-2824.72</v>
      </c>
      <c r="N2488" s="16" t="str">
        <f>IF(M2488="","",IF(M2488&lt;0,-M2488&amp;"_"&amp;COUNTIF(M$2:M2488,M2488),M2488&amp;"_"&amp;COUNTIF(M$2:M2488,M2488)))</f>
        <v>2824.72_1</v>
      </c>
      <c r="O2488" s="17" t="str">
        <f t="shared" si="38"/>
        <v/>
      </c>
      <c r="P2488" s="13" t="s">
        <v>169</v>
      </c>
      <c r="Q2488" s="13" t="s">
        <v>170</v>
      </c>
      <c r="R2488" s="13" t="s">
        <v>0</v>
      </c>
      <c r="S2488" s="13" t="s">
        <v>0</v>
      </c>
      <c r="T2488" s="13" t="s">
        <v>9</v>
      </c>
      <c r="U2488" s="13" t="s">
        <v>0</v>
      </c>
      <c r="V2488" s="13" t="s">
        <v>0</v>
      </c>
      <c r="W2488" s="13" t="s">
        <v>0</v>
      </c>
      <c r="X2488" s="13" t="s">
        <v>0</v>
      </c>
      <c r="Y2488" s="13" t="s">
        <v>10</v>
      </c>
      <c r="Z2488" s="13" t="s">
        <v>0</v>
      </c>
      <c r="AA2488" s="14"/>
      <c r="AB2488" s="13" t="s">
        <v>0</v>
      </c>
      <c r="AC2488" s="13" t="s">
        <v>0</v>
      </c>
      <c r="AD2488" s="13" t="s">
        <v>0</v>
      </c>
      <c r="AE2488" s="15">
        <v>0</v>
      </c>
    </row>
    <row r="2489" spans="1:31" ht="14.15" customHeight="1" x14ac:dyDescent="0.25">
      <c r="A2489" s="12" t="s">
        <v>0</v>
      </c>
      <c r="B2489" s="13" t="s">
        <v>1</v>
      </c>
      <c r="C2489" s="13" t="s">
        <v>399</v>
      </c>
      <c r="D2489" s="14">
        <v>44061</v>
      </c>
      <c r="E2489" s="14">
        <v>44061</v>
      </c>
      <c r="F2489" s="14">
        <v>44068</v>
      </c>
      <c r="G2489" s="13" t="s">
        <v>3</v>
      </c>
      <c r="H2489" s="13" t="s">
        <v>4</v>
      </c>
      <c r="I2489" s="15">
        <v>-2824.71</v>
      </c>
      <c r="J2489" s="13" t="s">
        <v>5</v>
      </c>
      <c r="K2489" s="13" t="s">
        <v>6</v>
      </c>
      <c r="L2489" s="15">
        <v>-237134.4</v>
      </c>
      <c r="M2489" s="15">
        <v>-2824.71</v>
      </c>
      <c r="N2489" s="16" t="str">
        <f>IF(M2489="","",IF(M2489&lt;0,-M2489&amp;"_"&amp;COUNTIF(M$2:M2489,M2489),M2489&amp;"_"&amp;COUNTIF(M$2:M2489,M2489)))</f>
        <v>2824.71_1</v>
      </c>
      <c r="O2489" s="17" t="str">
        <f t="shared" si="38"/>
        <v/>
      </c>
      <c r="P2489" s="13" t="s">
        <v>400</v>
      </c>
      <c r="Q2489" s="13" t="s">
        <v>398</v>
      </c>
      <c r="R2489" s="13" t="s">
        <v>0</v>
      </c>
      <c r="S2489" s="13" t="s">
        <v>0</v>
      </c>
      <c r="T2489" s="13" t="s">
        <v>9</v>
      </c>
      <c r="U2489" s="13" t="s">
        <v>0</v>
      </c>
      <c r="V2489" s="13" t="s">
        <v>0</v>
      </c>
      <c r="W2489" s="13" t="s">
        <v>0</v>
      </c>
      <c r="X2489" s="13" t="s">
        <v>0</v>
      </c>
      <c r="Y2489" s="13" t="s">
        <v>10</v>
      </c>
      <c r="Z2489" s="13" t="s">
        <v>0</v>
      </c>
      <c r="AA2489" s="14"/>
      <c r="AB2489" s="13" t="s">
        <v>0</v>
      </c>
      <c r="AC2489" s="13" t="s">
        <v>0</v>
      </c>
      <c r="AD2489" s="13" t="s">
        <v>0</v>
      </c>
      <c r="AE2489" s="15">
        <v>0</v>
      </c>
    </row>
    <row r="2490" spans="1:31" ht="14.15" customHeight="1" x14ac:dyDescent="0.25">
      <c r="A2490" s="12" t="s">
        <v>0</v>
      </c>
      <c r="B2490" s="13" t="s">
        <v>1</v>
      </c>
      <c r="C2490" s="13" t="s">
        <v>399</v>
      </c>
      <c r="D2490" s="14">
        <v>44061</v>
      </c>
      <c r="E2490" s="14">
        <v>44061</v>
      </c>
      <c r="F2490" s="14">
        <v>44068</v>
      </c>
      <c r="G2490" s="13" t="s">
        <v>3</v>
      </c>
      <c r="H2490" s="13" t="s">
        <v>4</v>
      </c>
      <c r="I2490" s="15">
        <v>-2824.71</v>
      </c>
      <c r="J2490" s="13" t="s">
        <v>5</v>
      </c>
      <c r="K2490" s="13" t="s">
        <v>6</v>
      </c>
      <c r="L2490" s="15">
        <v>-237134.4</v>
      </c>
      <c r="M2490" s="15">
        <v>-2824.71</v>
      </c>
      <c r="N2490" s="16" t="str">
        <f>IF(M2490="","",IF(M2490&lt;0,-M2490&amp;"_"&amp;COUNTIF(M$2:M2490,M2490),M2490&amp;"_"&amp;COUNTIF(M$2:M2490,M2490)))</f>
        <v>2824.71_2</v>
      </c>
      <c r="O2490" s="17" t="str">
        <f t="shared" si="38"/>
        <v/>
      </c>
      <c r="P2490" s="13" t="s">
        <v>400</v>
      </c>
      <c r="Q2490" s="13" t="s">
        <v>398</v>
      </c>
      <c r="R2490" s="13" t="s">
        <v>0</v>
      </c>
      <c r="S2490" s="13" t="s">
        <v>0</v>
      </c>
      <c r="T2490" s="13" t="s">
        <v>9</v>
      </c>
      <c r="U2490" s="13" t="s">
        <v>0</v>
      </c>
      <c r="V2490" s="13" t="s">
        <v>0</v>
      </c>
      <c r="W2490" s="13" t="s">
        <v>0</v>
      </c>
      <c r="X2490" s="13" t="s">
        <v>0</v>
      </c>
      <c r="Y2490" s="13" t="s">
        <v>10</v>
      </c>
      <c r="Z2490" s="13" t="s">
        <v>0</v>
      </c>
      <c r="AA2490" s="14"/>
      <c r="AB2490" s="13" t="s">
        <v>0</v>
      </c>
      <c r="AC2490" s="13" t="s">
        <v>0</v>
      </c>
      <c r="AD2490" s="13" t="s">
        <v>0</v>
      </c>
      <c r="AE2490" s="15">
        <v>0</v>
      </c>
    </row>
    <row r="2491" spans="1:31" ht="14.15" customHeight="1" x14ac:dyDescent="0.25">
      <c r="A2491" s="12" t="s">
        <v>0</v>
      </c>
      <c r="B2491" s="13" t="s">
        <v>1</v>
      </c>
      <c r="C2491" s="13" t="s">
        <v>2214</v>
      </c>
      <c r="D2491" s="14">
        <v>44213</v>
      </c>
      <c r="E2491" s="14">
        <v>44213</v>
      </c>
      <c r="F2491" s="14">
        <v>44219</v>
      </c>
      <c r="G2491" s="13" t="s">
        <v>3</v>
      </c>
      <c r="H2491" s="13" t="s">
        <v>4</v>
      </c>
      <c r="I2491" s="15">
        <v>-2822.24</v>
      </c>
      <c r="J2491" s="13" t="s">
        <v>5</v>
      </c>
      <c r="K2491" s="13" t="s">
        <v>6</v>
      </c>
      <c r="L2491" s="15">
        <v>-236927.05</v>
      </c>
      <c r="M2491" s="15">
        <v>-2822.24</v>
      </c>
      <c r="N2491" s="16" t="str">
        <f>IF(M2491="","",IF(M2491&lt;0,-M2491&amp;"_"&amp;COUNTIF(M$2:M2491,M2491),M2491&amp;"_"&amp;COUNTIF(M$2:M2491,M2491)))</f>
        <v>2822.24_1</v>
      </c>
      <c r="O2491" s="17" t="str">
        <f t="shared" si="38"/>
        <v/>
      </c>
      <c r="P2491" s="13" t="s">
        <v>2215</v>
      </c>
      <c r="Q2491" s="13" t="s">
        <v>2211</v>
      </c>
      <c r="R2491" s="13" t="s">
        <v>0</v>
      </c>
      <c r="S2491" s="13" t="s">
        <v>0</v>
      </c>
      <c r="T2491" s="13" t="s">
        <v>9</v>
      </c>
      <c r="U2491" s="13" t="s">
        <v>0</v>
      </c>
      <c r="V2491" s="13" t="s">
        <v>0</v>
      </c>
      <c r="W2491" s="13" t="s">
        <v>0</v>
      </c>
      <c r="X2491" s="13" t="s">
        <v>0</v>
      </c>
      <c r="Y2491" s="13" t="s">
        <v>10</v>
      </c>
      <c r="Z2491" s="13" t="s">
        <v>0</v>
      </c>
      <c r="AA2491" s="14"/>
      <c r="AB2491" s="13" t="s">
        <v>0</v>
      </c>
      <c r="AC2491" s="13" t="s">
        <v>0</v>
      </c>
      <c r="AD2491" s="13" t="s">
        <v>0</v>
      </c>
      <c r="AE2491" s="15">
        <v>0</v>
      </c>
    </row>
    <row r="2492" spans="1:31" ht="14.15" customHeight="1" x14ac:dyDescent="0.25">
      <c r="A2492" s="12" t="s">
        <v>0</v>
      </c>
      <c r="B2492" s="13" t="s">
        <v>1</v>
      </c>
      <c r="C2492" s="13" t="s">
        <v>3822</v>
      </c>
      <c r="D2492" s="14">
        <v>44347</v>
      </c>
      <c r="E2492" s="14">
        <v>44347</v>
      </c>
      <c r="F2492" s="14">
        <v>44350</v>
      </c>
      <c r="G2492" s="13" t="s">
        <v>3</v>
      </c>
      <c r="H2492" s="13" t="s">
        <v>4</v>
      </c>
      <c r="I2492" s="15">
        <v>-2818.81</v>
      </c>
      <c r="J2492" s="13" t="s">
        <v>5</v>
      </c>
      <c r="K2492" s="13" t="s">
        <v>6</v>
      </c>
      <c r="L2492" s="15">
        <v>-236639.1</v>
      </c>
      <c r="M2492" s="15">
        <v>-2818.81</v>
      </c>
      <c r="N2492" s="16" t="str">
        <f>IF(M2492="","",IF(M2492&lt;0,-M2492&amp;"_"&amp;COUNTIF(M$2:M2492,M2492),M2492&amp;"_"&amp;COUNTIF(M$2:M2492,M2492)))</f>
        <v>2818.81_1</v>
      </c>
      <c r="O2492" s="17" t="str">
        <f t="shared" si="38"/>
        <v/>
      </c>
      <c r="P2492" s="13" t="s">
        <v>3823</v>
      </c>
      <c r="Q2492" s="13" t="s">
        <v>3824</v>
      </c>
      <c r="R2492" s="13" t="s">
        <v>0</v>
      </c>
      <c r="S2492" s="13" t="s">
        <v>0</v>
      </c>
      <c r="T2492" s="13" t="s">
        <v>9</v>
      </c>
      <c r="U2492" s="13" t="s">
        <v>0</v>
      </c>
      <c r="V2492" s="13" t="s">
        <v>0</v>
      </c>
      <c r="W2492" s="13" t="s">
        <v>0</v>
      </c>
      <c r="X2492" s="13" t="s">
        <v>0</v>
      </c>
      <c r="Y2492" s="13" t="s">
        <v>10</v>
      </c>
      <c r="Z2492" s="13" t="s">
        <v>0</v>
      </c>
      <c r="AA2492" s="14"/>
      <c r="AB2492" s="13" t="s">
        <v>0</v>
      </c>
      <c r="AC2492" s="13" t="s">
        <v>0</v>
      </c>
      <c r="AD2492" s="13" t="s">
        <v>0</v>
      </c>
      <c r="AE2492" s="15">
        <v>0</v>
      </c>
    </row>
    <row r="2493" spans="1:31" ht="14.15" customHeight="1" x14ac:dyDescent="0.25">
      <c r="A2493" s="12" t="s">
        <v>0</v>
      </c>
      <c r="B2493" s="13" t="s">
        <v>1</v>
      </c>
      <c r="C2493" s="13" t="s">
        <v>3849</v>
      </c>
      <c r="D2493" s="14">
        <v>44350</v>
      </c>
      <c r="E2493" s="14">
        <v>44350</v>
      </c>
      <c r="F2493" s="14">
        <v>44356</v>
      </c>
      <c r="G2493" s="13" t="s">
        <v>3</v>
      </c>
      <c r="H2493" s="13" t="s">
        <v>4</v>
      </c>
      <c r="I2493" s="15">
        <v>-2804.44</v>
      </c>
      <c r="J2493" s="13" t="s">
        <v>5</v>
      </c>
      <c r="K2493" s="13" t="s">
        <v>6</v>
      </c>
      <c r="L2493" s="15">
        <v>-235432.74</v>
      </c>
      <c r="M2493" s="15">
        <v>-2804.44</v>
      </c>
      <c r="N2493" s="16" t="str">
        <f>IF(M2493="","",IF(M2493&lt;0,-M2493&amp;"_"&amp;COUNTIF(M$2:M2493,M2493),M2493&amp;"_"&amp;COUNTIF(M$2:M2493,M2493)))</f>
        <v>2804.44_1</v>
      </c>
      <c r="O2493" s="17" t="str">
        <f t="shared" si="38"/>
        <v/>
      </c>
      <c r="P2493" s="13" t="s">
        <v>3850</v>
      </c>
      <c r="Q2493" s="13" t="s">
        <v>3844</v>
      </c>
      <c r="R2493" s="13" t="s">
        <v>0</v>
      </c>
      <c r="S2493" s="13" t="s">
        <v>0</v>
      </c>
      <c r="T2493" s="13" t="s">
        <v>9</v>
      </c>
      <c r="U2493" s="13" t="s">
        <v>0</v>
      </c>
      <c r="V2493" s="13" t="s">
        <v>0</v>
      </c>
      <c r="W2493" s="13" t="s">
        <v>0</v>
      </c>
      <c r="X2493" s="13" t="s">
        <v>0</v>
      </c>
      <c r="Y2493" s="13" t="s">
        <v>10</v>
      </c>
      <c r="Z2493" s="13" t="s">
        <v>0</v>
      </c>
      <c r="AA2493" s="14"/>
      <c r="AB2493" s="13" t="s">
        <v>0</v>
      </c>
      <c r="AC2493" s="13" t="s">
        <v>0</v>
      </c>
      <c r="AD2493" s="13" t="s">
        <v>0</v>
      </c>
      <c r="AE2493" s="15">
        <v>0</v>
      </c>
    </row>
    <row r="2494" spans="1:31" ht="14.15" customHeight="1" x14ac:dyDescent="0.25">
      <c r="A2494" s="12" t="s">
        <v>0</v>
      </c>
      <c r="B2494" s="13" t="s">
        <v>1</v>
      </c>
      <c r="C2494" s="13" t="s">
        <v>2543</v>
      </c>
      <c r="D2494" s="14">
        <v>44238</v>
      </c>
      <c r="E2494" s="14">
        <v>44238</v>
      </c>
      <c r="F2494" s="14">
        <v>44243</v>
      </c>
      <c r="G2494" s="13" t="s">
        <v>3</v>
      </c>
      <c r="H2494" s="13" t="s">
        <v>4</v>
      </c>
      <c r="I2494" s="15">
        <v>-2799.29</v>
      </c>
      <c r="J2494" s="13" t="s">
        <v>5</v>
      </c>
      <c r="K2494" s="13" t="s">
        <v>6</v>
      </c>
      <c r="L2494" s="15">
        <v>-235000.4</v>
      </c>
      <c r="M2494" s="15">
        <v>-2799.29</v>
      </c>
      <c r="N2494" s="16" t="str">
        <f>IF(M2494="","",IF(M2494&lt;0,-M2494&amp;"_"&amp;COUNTIF(M$2:M2494,M2494),M2494&amp;"_"&amp;COUNTIF(M$2:M2494,M2494)))</f>
        <v>2799.29_1</v>
      </c>
      <c r="O2494" s="17" t="str">
        <f t="shared" si="38"/>
        <v/>
      </c>
      <c r="P2494" s="13" t="s">
        <v>2544</v>
      </c>
      <c r="Q2494" s="13" t="s">
        <v>2528</v>
      </c>
      <c r="R2494" s="13" t="s">
        <v>0</v>
      </c>
      <c r="S2494" s="13" t="s">
        <v>0</v>
      </c>
      <c r="T2494" s="13" t="s">
        <v>9</v>
      </c>
      <c r="U2494" s="13" t="s">
        <v>0</v>
      </c>
      <c r="V2494" s="13" t="s">
        <v>0</v>
      </c>
      <c r="W2494" s="13" t="s">
        <v>0</v>
      </c>
      <c r="X2494" s="13" t="s">
        <v>0</v>
      </c>
      <c r="Y2494" s="13" t="s">
        <v>10</v>
      </c>
      <c r="Z2494" s="13" t="s">
        <v>0</v>
      </c>
      <c r="AA2494" s="14"/>
      <c r="AB2494" s="13" t="s">
        <v>0</v>
      </c>
      <c r="AC2494" s="13" t="s">
        <v>0</v>
      </c>
      <c r="AD2494" s="13" t="s">
        <v>0</v>
      </c>
      <c r="AE2494" s="15">
        <v>0</v>
      </c>
    </row>
    <row r="2495" spans="1:31" ht="14.15" customHeight="1" x14ac:dyDescent="0.25">
      <c r="A2495" s="12" t="s">
        <v>0</v>
      </c>
      <c r="B2495" s="13" t="s">
        <v>1</v>
      </c>
      <c r="C2495" s="13" t="s">
        <v>1762</v>
      </c>
      <c r="D2495" s="14">
        <v>44180</v>
      </c>
      <c r="E2495" s="14">
        <v>44180</v>
      </c>
      <c r="F2495" s="14">
        <v>44196</v>
      </c>
      <c r="G2495" s="13" t="s">
        <v>3</v>
      </c>
      <c r="H2495" s="13" t="s">
        <v>4</v>
      </c>
      <c r="I2495" s="15">
        <v>-2796.14</v>
      </c>
      <c r="J2495" s="13" t="s">
        <v>5</v>
      </c>
      <c r="K2495" s="13" t="s">
        <v>6</v>
      </c>
      <c r="L2495" s="15">
        <v>-234735.95</v>
      </c>
      <c r="M2495" s="15">
        <v>-2796.14</v>
      </c>
      <c r="N2495" s="16" t="str">
        <f>IF(M2495="","",IF(M2495&lt;0,-M2495&amp;"_"&amp;COUNTIF(M$2:M2495,M2495),M2495&amp;"_"&amp;COUNTIF(M$2:M2495,M2495)))</f>
        <v>2796.14_1</v>
      </c>
      <c r="O2495" s="17" t="str">
        <f t="shared" si="38"/>
        <v/>
      </c>
      <c r="P2495" s="13" t="s">
        <v>1763</v>
      </c>
      <c r="Q2495" s="13" t="s">
        <v>1757</v>
      </c>
      <c r="R2495" s="13" t="s">
        <v>0</v>
      </c>
      <c r="S2495" s="13" t="s">
        <v>0</v>
      </c>
      <c r="T2495" s="13" t="s">
        <v>9</v>
      </c>
      <c r="U2495" s="13" t="s">
        <v>0</v>
      </c>
      <c r="V2495" s="13" t="s">
        <v>0</v>
      </c>
      <c r="W2495" s="13" t="s">
        <v>0</v>
      </c>
      <c r="X2495" s="13" t="s">
        <v>0</v>
      </c>
      <c r="Y2495" s="13" t="s">
        <v>10</v>
      </c>
      <c r="Z2495" s="13" t="s">
        <v>0</v>
      </c>
      <c r="AA2495" s="14"/>
      <c r="AB2495" s="13" t="s">
        <v>0</v>
      </c>
      <c r="AC2495" s="13" t="s">
        <v>0</v>
      </c>
      <c r="AD2495" s="13" t="s">
        <v>0</v>
      </c>
      <c r="AE2495" s="15">
        <v>0</v>
      </c>
    </row>
    <row r="2496" spans="1:31" ht="14.15" customHeight="1" x14ac:dyDescent="0.25">
      <c r="A2496" s="12" t="s">
        <v>0</v>
      </c>
      <c r="B2496" s="13" t="s">
        <v>1</v>
      </c>
      <c r="C2496" s="13" t="s">
        <v>952</v>
      </c>
      <c r="D2496" s="14">
        <v>44122</v>
      </c>
      <c r="E2496" s="14">
        <v>44122</v>
      </c>
      <c r="F2496" s="14">
        <v>44126</v>
      </c>
      <c r="G2496" s="13" t="s">
        <v>3</v>
      </c>
      <c r="H2496" s="13" t="s">
        <v>4</v>
      </c>
      <c r="I2496" s="15">
        <v>-2786.72</v>
      </c>
      <c r="J2496" s="13" t="s">
        <v>5</v>
      </c>
      <c r="K2496" s="13" t="s">
        <v>6</v>
      </c>
      <c r="L2496" s="15">
        <v>-233945.14</v>
      </c>
      <c r="M2496" s="15">
        <v>-2786.72</v>
      </c>
      <c r="N2496" s="16" t="str">
        <f>IF(M2496="","",IF(M2496&lt;0,-M2496&amp;"_"&amp;COUNTIF(M$2:M2496,M2496),M2496&amp;"_"&amp;COUNTIF(M$2:M2496,M2496)))</f>
        <v>2786.72_1</v>
      </c>
      <c r="O2496" s="17" t="str">
        <f t="shared" si="38"/>
        <v/>
      </c>
      <c r="P2496" s="13" t="s">
        <v>953</v>
      </c>
      <c r="Q2496" s="13" t="s">
        <v>947</v>
      </c>
      <c r="R2496" s="13" t="s">
        <v>0</v>
      </c>
      <c r="S2496" s="13" t="s">
        <v>0</v>
      </c>
      <c r="T2496" s="13" t="s">
        <v>9</v>
      </c>
      <c r="U2496" s="13" t="s">
        <v>0</v>
      </c>
      <c r="V2496" s="13" t="s">
        <v>0</v>
      </c>
      <c r="W2496" s="13" t="s">
        <v>0</v>
      </c>
      <c r="X2496" s="13" t="s">
        <v>0</v>
      </c>
      <c r="Y2496" s="13" t="s">
        <v>10</v>
      </c>
      <c r="Z2496" s="13" t="s">
        <v>0</v>
      </c>
      <c r="AA2496" s="14"/>
      <c r="AB2496" s="13" t="s">
        <v>0</v>
      </c>
      <c r="AC2496" s="13" t="s">
        <v>0</v>
      </c>
      <c r="AD2496" s="13" t="s">
        <v>0</v>
      </c>
      <c r="AE2496" s="15">
        <v>0</v>
      </c>
    </row>
    <row r="2497" spans="1:31" ht="14.15" customHeight="1" x14ac:dyDescent="0.25">
      <c r="A2497" s="12" t="s">
        <v>0</v>
      </c>
      <c r="B2497" s="13" t="s">
        <v>1</v>
      </c>
      <c r="C2497" s="13" t="s">
        <v>1477</v>
      </c>
      <c r="D2497" s="14">
        <v>44160</v>
      </c>
      <c r="E2497" s="14">
        <v>44160</v>
      </c>
      <c r="F2497" s="14">
        <v>44165</v>
      </c>
      <c r="G2497" s="13" t="s">
        <v>3</v>
      </c>
      <c r="H2497" s="13" t="s">
        <v>4</v>
      </c>
      <c r="I2497" s="15">
        <v>-2781.79</v>
      </c>
      <c r="J2497" s="13" t="s">
        <v>5</v>
      </c>
      <c r="K2497" s="13" t="s">
        <v>6</v>
      </c>
      <c r="L2497" s="15">
        <v>-233531.27</v>
      </c>
      <c r="M2497" s="15">
        <v>-2781.79</v>
      </c>
      <c r="N2497" s="16" t="str">
        <f>IF(M2497="","",IF(M2497&lt;0,-M2497&amp;"_"&amp;COUNTIF(M$2:M2497,M2497),M2497&amp;"_"&amp;COUNTIF(M$2:M2497,M2497)))</f>
        <v>2781.79_1</v>
      </c>
      <c r="O2497" s="17" t="str">
        <f t="shared" si="38"/>
        <v/>
      </c>
      <c r="P2497" s="13" t="s">
        <v>1478</v>
      </c>
      <c r="Q2497" s="13" t="s">
        <v>1470</v>
      </c>
      <c r="R2497" s="13" t="s">
        <v>0</v>
      </c>
      <c r="S2497" s="13" t="s">
        <v>0</v>
      </c>
      <c r="T2497" s="13" t="s">
        <v>9</v>
      </c>
      <c r="U2497" s="13" t="s">
        <v>0</v>
      </c>
      <c r="V2497" s="13" t="s">
        <v>0</v>
      </c>
      <c r="W2497" s="13" t="s">
        <v>0</v>
      </c>
      <c r="X2497" s="13" t="s">
        <v>0</v>
      </c>
      <c r="Y2497" s="13" t="s">
        <v>10</v>
      </c>
      <c r="Z2497" s="13" t="s">
        <v>0</v>
      </c>
      <c r="AA2497" s="14"/>
      <c r="AB2497" s="13" t="s">
        <v>0</v>
      </c>
      <c r="AC2497" s="13" t="s">
        <v>0</v>
      </c>
      <c r="AD2497" s="13" t="s">
        <v>0</v>
      </c>
      <c r="AE2497" s="15">
        <v>0</v>
      </c>
    </row>
    <row r="2498" spans="1:31" ht="14.15" customHeight="1" x14ac:dyDescent="0.25">
      <c r="A2498" s="12" t="s">
        <v>0</v>
      </c>
      <c r="B2498" s="13" t="s">
        <v>303</v>
      </c>
      <c r="C2498" s="13" t="s">
        <v>832</v>
      </c>
      <c r="D2498" s="14">
        <v>44104</v>
      </c>
      <c r="E2498" s="14">
        <v>44104</v>
      </c>
      <c r="F2498" s="14">
        <v>44114</v>
      </c>
      <c r="G2498" s="13" t="s">
        <v>48</v>
      </c>
      <c r="H2498" s="13" t="s">
        <v>4</v>
      </c>
      <c r="I2498" s="15">
        <v>-2777.46</v>
      </c>
      <c r="J2498" s="13" t="s">
        <v>5</v>
      </c>
      <c r="K2498" s="13" t="s">
        <v>6</v>
      </c>
      <c r="L2498" s="15">
        <v>-233167.77</v>
      </c>
      <c r="M2498" s="15">
        <v>-2777.46</v>
      </c>
      <c r="N2498" s="16" t="str">
        <f>IF(M2498="","",IF(M2498&lt;0,-M2498&amp;"_"&amp;COUNTIF(M$2:M2498,M2498),M2498&amp;"_"&amp;COUNTIF(M$2:M2498,M2498)))</f>
        <v>2777.46_1</v>
      </c>
      <c r="O2498" s="17" t="str">
        <f t="shared" ref="O2498:O2561" si="39">IF(COUNTIF(N:N,N2498)=2,"x","")</f>
        <v/>
      </c>
      <c r="P2498" s="13" t="s">
        <v>833</v>
      </c>
      <c r="Q2498" s="13" t="s">
        <v>833</v>
      </c>
      <c r="R2498" s="13" t="s">
        <v>306</v>
      </c>
      <c r="S2498" s="13" t="s">
        <v>0</v>
      </c>
      <c r="T2498" s="13" t="s">
        <v>9</v>
      </c>
      <c r="U2498" s="13" t="s">
        <v>307</v>
      </c>
      <c r="V2498" s="13" t="s">
        <v>0</v>
      </c>
      <c r="W2498" s="13" t="s">
        <v>0</v>
      </c>
      <c r="X2498" s="13" t="s">
        <v>0</v>
      </c>
      <c r="Y2498" s="13" t="s">
        <v>291</v>
      </c>
      <c r="Z2498" s="13" t="s">
        <v>0</v>
      </c>
      <c r="AA2498" s="14"/>
      <c r="AB2498" s="13" t="s">
        <v>0</v>
      </c>
      <c r="AC2498" s="13" t="s">
        <v>0</v>
      </c>
      <c r="AD2498" s="13" t="s">
        <v>0</v>
      </c>
      <c r="AE2498" s="15">
        <v>0</v>
      </c>
    </row>
    <row r="2499" spans="1:31" ht="14.15" customHeight="1" x14ac:dyDescent="0.25">
      <c r="A2499" s="12" t="s">
        <v>0</v>
      </c>
      <c r="B2499" s="13" t="s">
        <v>1</v>
      </c>
      <c r="C2499" s="13" t="s">
        <v>4357</v>
      </c>
      <c r="D2499" s="14">
        <v>44376</v>
      </c>
      <c r="E2499" s="14">
        <v>44376</v>
      </c>
      <c r="F2499" s="14">
        <v>44381</v>
      </c>
      <c r="G2499" s="13" t="s">
        <v>3</v>
      </c>
      <c r="H2499" s="13" t="s">
        <v>4</v>
      </c>
      <c r="I2499" s="15">
        <v>-2775.87</v>
      </c>
      <c r="J2499" s="13" t="s">
        <v>5</v>
      </c>
      <c r="K2499" s="13" t="s">
        <v>6</v>
      </c>
      <c r="L2499" s="15">
        <v>-233034.29</v>
      </c>
      <c r="M2499" s="15">
        <v>-2775.87</v>
      </c>
      <c r="N2499" s="16" t="str">
        <f>IF(M2499="","",IF(M2499&lt;0,-M2499&amp;"_"&amp;COUNTIF(M$2:M2499,M2499),M2499&amp;"_"&amp;COUNTIF(M$2:M2499,M2499)))</f>
        <v>2775.87_1</v>
      </c>
      <c r="O2499" s="17" t="str">
        <f t="shared" si="39"/>
        <v/>
      </c>
      <c r="P2499" s="13" t="s">
        <v>4358</v>
      </c>
      <c r="Q2499" s="13" t="s">
        <v>4350</v>
      </c>
      <c r="R2499" s="13" t="s">
        <v>0</v>
      </c>
      <c r="S2499" s="13" t="s">
        <v>0</v>
      </c>
      <c r="T2499" s="13" t="s">
        <v>9</v>
      </c>
      <c r="U2499" s="13" t="s">
        <v>0</v>
      </c>
      <c r="V2499" s="13" t="s">
        <v>0</v>
      </c>
      <c r="W2499" s="13" t="s">
        <v>0</v>
      </c>
      <c r="X2499" s="13" t="s">
        <v>0</v>
      </c>
      <c r="Y2499" s="13" t="s">
        <v>10</v>
      </c>
      <c r="Z2499" s="13" t="s">
        <v>0</v>
      </c>
      <c r="AA2499" s="14"/>
      <c r="AB2499" s="13" t="s">
        <v>0</v>
      </c>
      <c r="AC2499" s="13" t="s">
        <v>0</v>
      </c>
      <c r="AD2499" s="13" t="s">
        <v>0</v>
      </c>
      <c r="AE2499" s="15">
        <v>0</v>
      </c>
    </row>
    <row r="2500" spans="1:31" ht="14.15" customHeight="1" x14ac:dyDescent="0.25">
      <c r="A2500" s="12" t="s">
        <v>0</v>
      </c>
      <c r="B2500" s="13" t="s">
        <v>303</v>
      </c>
      <c r="C2500" s="13" t="s">
        <v>2000</v>
      </c>
      <c r="D2500" s="14">
        <v>44196</v>
      </c>
      <c r="E2500" s="14">
        <v>44196</v>
      </c>
      <c r="F2500" s="14">
        <v>44203</v>
      </c>
      <c r="G2500" s="13" t="s">
        <v>48</v>
      </c>
      <c r="H2500" s="13" t="s">
        <v>4</v>
      </c>
      <c r="I2500" s="15">
        <v>-2773.9</v>
      </c>
      <c r="J2500" s="13" t="s">
        <v>5</v>
      </c>
      <c r="K2500" s="13" t="s">
        <v>6</v>
      </c>
      <c r="L2500" s="15">
        <v>-232868.91</v>
      </c>
      <c r="M2500" s="15">
        <v>-2773.9</v>
      </c>
      <c r="N2500" s="16" t="str">
        <f>IF(M2500="","",IF(M2500&lt;0,-M2500&amp;"_"&amp;COUNTIF(M$2:M2500,M2500),M2500&amp;"_"&amp;COUNTIF(M$2:M2500,M2500)))</f>
        <v>2773.9_1</v>
      </c>
      <c r="O2500" s="17" t="str">
        <f t="shared" si="39"/>
        <v/>
      </c>
      <c r="P2500" s="13" t="s">
        <v>2001</v>
      </c>
      <c r="Q2500" s="13" t="s">
        <v>2001</v>
      </c>
      <c r="R2500" s="13" t="s">
        <v>2002</v>
      </c>
      <c r="S2500" s="13" t="s">
        <v>0</v>
      </c>
      <c r="T2500" s="13" t="s">
        <v>9</v>
      </c>
      <c r="U2500" s="13" t="s">
        <v>1999</v>
      </c>
      <c r="V2500" s="13" t="s">
        <v>0</v>
      </c>
      <c r="W2500" s="13" t="s">
        <v>0</v>
      </c>
      <c r="X2500" s="13" t="s">
        <v>0</v>
      </c>
      <c r="Y2500" s="13" t="s">
        <v>0</v>
      </c>
      <c r="Z2500" s="13" t="s">
        <v>0</v>
      </c>
      <c r="AA2500" s="14"/>
      <c r="AB2500" s="13" t="s">
        <v>0</v>
      </c>
      <c r="AC2500" s="13" t="s">
        <v>0</v>
      </c>
      <c r="AD2500" s="13" t="s">
        <v>0</v>
      </c>
      <c r="AE2500" s="15">
        <v>0</v>
      </c>
    </row>
    <row r="2501" spans="1:31" ht="14.15" customHeight="1" x14ac:dyDescent="0.25">
      <c r="A2501" s="12" t="s">
        <v>0</v>
      </c>
      <c r="B2501" s="13" t="s">
        <v>1</v>
      </c>
      <c r="C2501" s="13" t="s">
        <v>1935</v>
      </c>
      <c r="D2501" s="14">
        <v>44192</v>
      </c>
      <c r="E2501" s="14">
        <v>44192</v>
      </c>
      <c r="F2501" s="14">
        <v>44196</v>
      </c>
      <c r="G2501" s="13" t="s">
        <v>3</v>
      </c>
      <c r="H2501" s="13" t="s">
        <v>4</v>
      </c>
      <c r="I2501" s="15">
        <v>-2773.65</v>
      </c>
      <c r="J2501" s="13" t="s">
        <v>5</v>
      </c>
      <c r="K2501" s="13" t="s">
        <v>6</v>
      </c>
      <c r="L2501" s="15">
        <v>-232847.92</v>
      </c>
      <c r="M2501" s="15">
        <v>-2773.65</v>
      </c>
      <c r="N2501" s="16" t="str">
        <f>IF(M2501="","",IF(M2501&lt;0,-M2501&amp;"_"&amp;COUNTIF(M$2:M2501,M2501),M2501&amp;"_"&amp;COUNTIF(M$2:M2501,M2501)))</f>
        <v>2773.65_1</v>
      </c>
      <c r="O2501" s="17" t="str">
        <f t="shared" si="39"/>
        <v/>
      </c>
      <c r="P2501" s="13" t="s">
        <v>1936</v>
      </c>
      <c r="Q2501" s="13" t="s">
        <v>1932</v>
      </c>
      <c r="R2501" s="13" t="s">
        <v>0</v>
      </c>
      <c r="S2501" s="13" t="s">
        <v>0</v>
      </c>
      <c r="T2501" s="13" t="s">
        <v>9</v>
      </c>
      <c r="U2501" s="13" t="s">
        <v>0</v>
      </c>
      <c r="V2501" s="13" t="s">
        <v>0</v>
      </c>
      <c r="W2501" s="13" t="s">
        <v>0</v>
      </c>
      <c r="X2501" s="13" t="s">
        <v>0</v>
      </c>
      <c r="Y2501" s="13" t="s">
        <v>10</v>
      </c>
      <c r="Z2501" s="13" t="s">
        <v>0</v>
      </c>
      <c r="AA2501" s="14"/>
      <c r="AB2501" s="13" t="s">
        <v>0</v>
      </c>
      <c r="AC2501" s="13" t="s">
        <v>0</v>
      </c>
      <c r="AD2501" s="13" t="s">
        <v>0</v>
      </c>
      <c r="AE2501" s="15">
        <v>0</v>
      </c>
    </row>
    <row r="2502" spans="1:31" ht="14.15" customHeight="1" x14ac:dyDescent="0.25">
      <c r="A2502" s="12" t="s">
        <v>0</v>
      </c>
      <c r="B2502" s="13" t="s">
        <v>454</v>
      </c>
      <c r="C2502" s="13" t="s">
        <v>2366</v>
      </c>
      <c r="D2502" s="14">
        <v>44224</v>
      </c>
      <c r="E2502" s="14">
        <v>44224</v>
      </c>
      <c r="F2502" s="14">
        <v>44228</v>
      </c>
      <c r="G2502" s="13" t="s">
        <v>3</v>
      </c>
      <c r="H2502" s="13" t="s">
        <v>4</v>
      </c>
      <c r="I2502" s="15">
        <v>-2771.19</v>
      </c>
      <c r="J2502" s="13" t="s">
        <v>5</v>
      </c>
      <c r="K2502" s="13" t="s">
        <v>6</v>
      </c>
      <c r="L2502" s="15">
        <v>-232641.4</v>
      </c>
      <c r="M2502" s="15">
        <v>-2771.19</v>
      </c>
      <c r="N2502" s="16" t="str">
        <f>IF(M2502="","",IF(M2502&lt;0,-M2502&amp;"_"&amp;COUNTIF(M$2:M2502,M2502),M2502&amp;"_"&amp;COUNTIF(M$2:M2502,M2502)))</f>
        <v>2771.19_1</v>
      </c>
      <c r="O2502" s="17" t="str">
        <f t="shared" si="39"/>
        <v/>
      </c>
      <c r="P2502" s="13" t="s">
        <v>2367</v>
      </c>
      <c r="Q2502" s="13" t="s">
        <v>2345</v>
      </c>
      <c r="R2502" s="13" t="s">
        <v>0</v>
      </c>
      <c r="S2502" s="13" t="s">
        <v>0</v>
      </c>
      <c r="T2502" s="13" t="s">
        <v>9</v>
      </c>
      <c r="U2502" s="13" t="s">
        <v>0</v>
      </c>
      <c r="V2502" s="13" t="s">
        <v>0</v>
      </c>
      <c r="W2502" s="13" t="s">
        <v>0</v>
      </c>
      <c r="X2502" s="13" t="s">
        <v>0</v>
      </c>
      <c r="Y2502" s="13" t="s">
        <v>10</v>
      </c>
      <c r="Z2502" s="13" t="s">
        <v>0</v>
      </c>
      <c r="AA2502" s="14"/>
      <c r="AB2502" s="13" t="s">
        <v>0</v>
      </c>
      <c r="AC2502" s="13" t="s">
        <v>0</v>
      </c>
      <c r="AD2502" s="13" t="s">
        <v>0</v>
      </c>
      <c r="AE2502" s="15">
        <v>0</v>
      </c>
    </row>
    <row r="2503" spans="1:31" ht="14.15" customHeight="1" x14ac:dyDescent="0.25">
      <c r="A2503" s="12" t="s">
        <v>0</v>
      </c>
      <c r="B2503" s="13" t="s">
        <v>1</v>
      </c>
      <c r="C2503" s="13" t="s">
        <v>1666</v>
      </c>
      <c r="D2503" s="14">
        <v>44171</v>
      </c>
      <c r="E2503" s="14">
        <v>44171</v>
      </c>
      <c r="F2503" s="14">
        <v>44186</v>
      </c>
      <c r="G2503" s="13" t="s">
        <v>3</v>
      </c>
      <c r="H2503" s="13" t="s">
        <v>4</v>
      </c>
      <c r="I2503" s="15">
        <v>-2770.88</v>
      </c>
      <c r="J2503" s="13" t="s">
        <v>5</v>
      </c>
      <c r="K2503" s="13" t="s">
        <v>6</v>
      </c>
      <c r="L2503" s="15">
        <v>-232615.37</v>
      </c>
      <c r="M2503" s="15">
        <v>-2770.88</v>
      </c>
      <c r="N2503" s="16" t="str">
        <f>IF(M2503="","",IF(M2503&lt;0,-M2503&amp;"_"&amp;COUNTIF(M$2:M2503,M2503),M2503&amp;"_"&amp;COUNTIF(M$2:M2503,M2503)))</f>
        <v>2770.88_1</v>
      </c>
      <c r="O2503" s="17" t="str">
        <f t="shared" si="39"/>
        <v/>
      </c>
      <c r="P2503" s="13" t="s">
        <v>1667</v>
      </c>
      <c r="Q2503" s="13" t="s">
        <v>1659</v>
      </c>
      <c r="R2503" s="13" t="s">
        <v>0</v>
      </c>
      <c r="S2503" s="13" t="s">
        <v>0</v>
      </c>
      <c r="T2503" s="13" t="s">
        <v>9</v>
      </c>
      <c r="U2503" s="13" t="s">
        <v>0</v>
      </c>
      <c r="V2503" s="13" t="s">
        <v>0</v>
      </c>
      <c r="W2503" s="13" t="s">
        <v>0</v>
      </c>
      <c r="X2503" s="13" t="s">
        <v>0</v>
      </c>
      <c r="Y2503" s="13" t="s">
        <v>10</v>
      </c>
      <c r="Z2503" s="13" t="s">
        <v>0</v>
      </c>
      <c r="AA2503" s="14"/>
      <c r="AB2503" s="13" t="s">
        <v>0</v>
      </c>
      <c r="AC2503" s="13" t="s">
        <v>0</v>
      </c>
      <c r="AD2503" s="13" t="s">
        <v>0</v>
      </c>
      <c r="AE2503" s="15">
        <v>0</v>
      </c>
    </row>
    <row r="2504" spans="1:31" ht="14.15" customHeight="1" x14ac:dyDescent="0.25">
      <c r="A2504" s="12" t="s">
        <v>0</v>
      </c>
      <c r="B2504" s="13" t="s">
        <v>1</v>
      </c>
      <c r="C2504" s="13" t="s">
        <v>3740</v>
      </c>
      <c r="D2504" s="14">
        <v>44338</v>
      </c>
      <c r="E2504" s="14">
        <v>44338</v>
      </c>
      <c r="F2504" s="14">
        <v>44344</v>
      </c>
      <c r="G2504" s="13" t="s">
        <v>3</v>
      </c>
      <c r="H2504" s="13" t="s">
        <v>4</v>
      </c>
      <c r="I2504" s="15">
        <v>-2761.24</v>
      </c>
      <c r="J2504" s="13" t="s">
        <v>5</v>
      </c>
      <c r="K2504" s="13" t="s">
        <v>6</v>
      </c>
      <c r="L2504" s="15">
        <v>-231806.1</v>
      </c>
      <c r="M2504" s="15">
        <v>-2761.24</v>
      </c>
      <c r="N2504" s="16" t="str">
        <f>IF(M2504="","",IF(M2504&lt;0,-M2504&amp;"_"&amp;COUNTIF(M$2:M2504,M2504),M2504&amp;"_"&amp;COUNTIF(M$2:M2504,M2504)))</f>
        <v>2761.24_1</v>
      </c>
      <c r="O2504" s="17" t="str">
        <f t="shared" si="39"/>
        <v/>
      </c>
      <c r="P2504" s="13" t="s">
        <v>3741</v>
      </c>
      <c r="Q2504" s="13" t="s">
        <v>3739</v>
      </c>
      <c r="R2504" s="13" t="s">
        <v>0</v>
      </c>
      <c r="S2504" s="13" t="s">
        <v>0</v>
      </c>
      <c r="T2504" s="13" t="s">
        <v>9</v>
      </c>
      <c r="U2504" s="13" t="s">
        <v>0</v>
      </c>
      <c r="V2504" s="13" t="s">
        <v>0</v>
      </c>
      <c r="W2504" s="13" t="s">
        <v>0</v>
      </c>
      <c r="X2504" s="13" t="s">
        <v>0</v>
      </c>
      <c r="Y2504" s="13" t="s">
        <v>10</v>
      </c>
      <c r="Z2504" s="13" t="s">
        <v>0</v>
      </c>
      <c r="AA2504" s="14"/>
      <c r="AB2504" s="13" t="s">
        <v>0</v>
      </c>
      <c r="AC2504" s="13" t="s">
        <v>0</v>
      </c>
      <c r="AD2504" s="13" t="s">
        <v>0</v>
      </c>
      <c r="AE2504" s="15">
        <v>0</v>
      </c>
    </row>
    <row r="2505" spans="1:31" ht="14.15" customHeight="1" x14ac:dyDescent="0.25">
      <c r="A2505" s="12" t="s">
        <v>0</v>
      </c>
      <c r="B2505" s="13" t="s">
        <v>1</v>
      </c>
      <c r="C2505" s="13" t="s">
        <v>105</v>
      </c>
      <c r="D2505" s="14">
        <v>44025</v>
      </c>
      <c r="E2505" s="14">
        <v>44025</v>
      </c>
      <c r="F2505" s="14">
        <v>44030</v>
      </c>
      <c r="G2505" s="13" t="s">
        <v>3</v>
      </c>
      <c r="H2505" s="13" t="s">
        <v>4</v>
      </c>
      <c r="I2505" s="15">
        <v>-2757.74</v>
      </c>
      <c r="J2505" s="13" t="s">
        <v>5</v>
      </c>
      <c r="K2505" s="13" t="s">
        <v>6</v>
      </c>
      <c r="L2505" s="15">
        <v>-231512.27</v>
      </c>
      <c r="M2505" s="15">
        <v>-2757.74</v>
      </c>
      <c r="N2505" s="16" t="str">
        <f>IF(M2505="","",IF(M2505&lt;0,-M2505&amp;"_"&amp;COUNTIF(M$2:M2505,M2505),M2505&amp;"_"&amp;COUNTIF(M$2:M2505,M2505)))</f>
        <v>2757.74_1</v>
      </c>
      <c r="O2505" s="17" t="str">
        <f t="shared" si="39"/>
        <v/>
      </c>
      <c r="P2505" s="13" t="s">
        <v>106</v>
      </c>
      <c r="Q2505" s="13" t="s">
        <v>104</v>
      </c>
      <c r="R2505" s="13" t="s">
        <v>0</v>
      </c>
      <c r="S2505" s="13" t="s">
        <v>0</v>
      </c>
      <c r="T2505" s="13" t="s">
        <v>9</v>
      </c>
      <c r="U2505" s="13" t="s">
        <v>0</v>
      </c>
      <c r="V2505" s="13" t="s">
        <v>0</v>
      </c>
      <c r="W2505" s="13" t="s">
        <v>0</v>
      </c>
      <c r="X2505" s="13" t="s">
        <v>0</v>
      </c>
      <c r="Y2505" s="13" t="s">
        <v>10</v>
      </c>
      <c r="Z2505" s="13" t="s">
        <v>0</v>
      </c>
      <c r="AA2505" s="14"/>
      <c r="AB2505" s="13" t="s">
        <v>0</v>
      </c>
      <c r="AC2505" s="13" t="s">
        <v>0</v>
      </c>
      <c r="AD2505" s="13" t="s">
        <v>0</v>
      </c>
      <c r="AE2505" s="15">
        <v>0</v>
      </c>
    </row>
    <row r="2506" spans="1:31" ht="14.15" customHeight="1" x14ac:dyDescent="0.25">
      <c r="A2506" s="12" t="s">
        <v>0</v>
      </c>
      <c r="B2506" s="13" t="s">
        <v>1</v>
      </c>
      <c r="C2506" s="13" t="s">
        <v>4114</v>
      </c>
      <c r="D2506" s="14">
        <v>44363</v>
      </c>
      <c r="E2506" s="14">
        <v>44363</v>
      </c>
      <c r="F2506" s="14">
        <v>44368</v>
      </c>
      <c r="G2506" s="13" t="s">
        <v>3</v>
      </c>
      <c r="H2506" s="13" t="s">
        <v>4</v>
      </c>
      <c r="I2506" s="15">
        <v>-2750.79</v>
      </c>
      <c r="J2506" s="13" t="s">
        <v>5</v>
      </c>
      <c r="K2506" s="13" t="s">
        <v>6</v>
      </c>
      <c r="L2506" s="15">
        <v>-230928.82</v>
      </c>
      <c r="M2506" s="15">
        <v>-2750.79</v>
      </c>
      <c r="N2506" s="16" t="str">
        <f>IF(M2506="","",IF(M2506&lt;0,-M2506&amp;"_"&amp;COUNTIF(M$2:M2506,M2506),M2506&amp;"_"&amp;COUNTIF(M$2:M2506,M2506)))</f>
        <v>2750.79_1</v>
      </c>
      <c r="O2506" s="17" t="str">
        <f t="shared" si="39"/>
        <v/>
      </c>
      <c r="P2506" s="13" t="s">
        <v>4115</v>
      </c>
      <c r="Q2506" s="13" t="s">
        <v>4107</v>
      </c>
      <c r="R2506" s="13" t="s">
        <v>0</v>
      </c>
      <c r="S2506" s="13" t="s">
        <v>0</v>
      </c>
      <c r="T2506" s="13" t="s">
        <v>9</v>
      </c>
      <c r="U2506" s="13" t="s">
        <v>0</v>
      </c>
      <c r="V2506" s="13" t="s">
        <v>0</v>
      </c>
      <c r="W2506" s="13" t="s">
        <v>0</v>
      </c>
      <c r="X2506" s="13" t="s">
        <v>0</v>
      </c>
      <c r="Y2506" s="13" t="s">
        <v>10</v>
      </c>
      <c r="Z2506" s="13" t="s">
        <v>0</v>
      </c>
      <c r="AA2506" s="14"/>
      <c r="AB2506" s="13" t="s">
        <v>0</v>
      </c>
      <c r="AC2506" s="13" t="s">
        <v>0</v>
      </c>
      <c r="AD2506" s="13" t="s">
        <v>0</v>
      </c>
      <c r="AE2506" s="15">
        <v>0</v>
      </c>
    </row>
    <row r="2507" spans="1:31" ht="14.15" customHeight="1" x14ac:dyDescent="0.25">
      <c r="A2507" s="12" t="s">
        <v>0</v>
      </c>
      <c r="B2507" s="13" t="s">
        <v>1</v>
      </c>
      <c r="C2507" s="13" t="s">
        <v>1813</v>
      </c>
      <c r="D2507" s="14">
        <v>44183</v>
      </c>
      <c r="E2507" s="14">
        <v>44183</v>
      </c>
      <c r="F2507" s="14">
        <v>44187</v>
      </c>
      <c r="G2507" s="13" t="s">
        <v>3</v>
      </c>
      <c r="H2507" s="13" t="s">
        <v>4</v>
      </c>
      <c r="I2507" s="15">
        <v>-2749.57</v>
      </c>
      <c r="J2507" s="13" t="s">
        <v>5</v>
      </c>
      <c r="K2507" s="13" t="s">
        <v>6</v>
      </c>
      <c r="L2507" s="15">
        <v>-230826.4</v>
      </c>
      <c r="M2507" s="15">
        <v>-2749.57</v>
      </c>
      <c r="N2507" s="16" t="str">
        <f>IF(M2507="","",IF(M2507&lt;0,-M2507&amp;"_"&amp;COUNTIF(M$2:M2507,M2507),M2507&amp;"_"&amp;COUNTIF(M$2:M2507,M2507)))</f>
        <v>2749.57_1</v>
      </c>
      <c r="O2507" s="17" t="str">
        <f t="shared" si="39"/>
        <v/>
      </c>
      <c r="P2507" s="13" t="s">
        <v>1814</v>
      </c>
      <c r="Q2507" s="13" t="s">
        <v>1792</v>
      </c>
      <c r="R2507" s="13" t="s">
        <v>0</v>
      </c>
      <c r="S2507" s="13" t="s">
        <v>0</v>
      </c>
      <c r="T2507" s="13" t="s">
        <v>9</v>
      </c>
      <c r="U2507" s="13" t="s">
        <v>0</v>
      </c>
      <c r="V2507" s="13" t="s">
        <v>0</v>
      </c>
      <c r="W2507" s="13" t="s">
        <v>0</v>
      </c>
      <c r="X2507" s="13" t="s">
        <v>0</v>
      </c>
      <c r="Y2507" s="13" t="s">
        <v>10</v>
      </c>
      <c r="Z2507" s="13" t="s">
        <v>0</v>
      </c>
      <c r="AA2507" s="14"/>
      <c r="AB2507" s="13" t="s">
        <v>0</v>
      </c>
      <c r="AC2507" s="13" t="s">
        <v>0</v>
      </c>
      <c r="AD2507" s="13" t="s">
        <v>0</v>
      </c>
      <c r="AE2507" s="15">
        <v>0</v>
      </c>
    </row>
    <row r="2508" spans="1:31" ht="14.15" customHeight="1" x14ac:dyDescent="0.25">
      <c r="A2508" s="12" t="s">
        <v>0</v>
      </c>
      <c r="B2508" s="13" t="s">
        <v>1</v>
      </c>
      <c r="C2508" s="13" t="s">
        <v>1813</v>
      </c>
      <c r="D2508" s="14">
        <v>44183</v>
      </c>
      <c r="E2508" s="14">
        <v>44183</v>
      </c>
      <c r="F2508" s="14">
        <v>44187</v>
      </c>
      <c r="G2508" s="13" t="s">
        <v>3</v>
      </c>
      <c r="H2508" s="13" t="s">
        <v>4</v>
      </c>
      <c r="I2508" s="15">
        <v>-2749.57</v>
      </c>
      <c r="J2508" s="13" t="s">
        <v>5</v>
      </c>
      <c r="K2508" s="13" t="s">
        <v>6</v>
      </c>
      <c r="L2508" s="15">
        <v>-230826.4</v>
      </c>
      <c r="M2508" s="15">
        <v>-2749.57</v>
      </c>
      <c r="N2508" s="16" t="str">
        <f>IF(M2508="","",IF(M2508&lt;0,-M2508&amp;"_"&amp;COUNTIF(M$2:M2508,M2508),M2508&amp;"_"&amp;COUNTIF(M$2:M2508,M2508)))</f>
        <v>2749.57_2</v>
      </c>
      <c r="O2508" s="17" t="str">
        <f t="shared" si="39"/>
        <v/>
      </c>
      <c r="P2508" s="13" t="s">
        <v>1814</v>
      </c>
      <c r="Q2508" s="13" t="s">
        <v>1792</v>
      </c>
      <c r="R2508" s="13" t="s">
        <v>0</v>
      </c>
      <c r="S2508" s="13" t="s">
        <v>0</v>
      </c>
      <c r="T2508" s="13" t="s">
        <v>9</v>
      </c>
      <c r="U2508" s="13" t="s">
        <v>0</v>
      </c>
      <c r="V2508" s="13" t="s">
        <v>0</v>
      </c>
      <c r="W2508" s="13" t="s">
        <v>0</v>
      </c>
      <c r="X2508" s="13" t="s">
        <v>0</v>
      </c>
      <c r="Y2508" s="13" t="s">
        <v>10</v>
      </c>
      <c r="Z2508" s="13" t="s">
        <v>0</v>
      </c>
      <c r="AA2508" s="14"/>
      <c r="AB2508" s="13" t="s">
        <v>0</v>
      </c>
      <c r="AC2508" s="13" t="s">
        <v>0</v>
      </c>
      <c r="AD2508" s="13" t="s">
        <v>0</v>
      </c>
      <c r="AE2508" s="15">
        <v>0</v>
      </c>
    </row>
    <row r="2509" spans="1:31" ht="14.15" customHeight="1" x14ac:dyDescent="0.25">
      <c r="A2509" s="12" t="s">
        <v>0</v>
      </c>
      <c r="B2509" s="13" t="s">
        <v>1</v>
      </c>
      <c r="C2509" s="13" t="s">
        <v>1377</v>
      </c>
      <c r="D2509" s="14">
        <v>44152</v>
      </c>
      <c r="E2509" s="14">
        <v>44152</v>
      </c>
      <c r="F2509" s="14">
        <v>44159</v>
      </c>
      <c r="G2509" s="13" t="s">
        <v>3</v>
      </c>
      <c r="H2509" s="13" t="s">
        <v>4</v>
      </c>
      <c r="I2509" s="15">
        <v>-2747.93</v>
      </c>
      <c r="J2509" s="13" t="s">
        <v>5</v>
      </c>
      <c r="K2509" s="13" t="s">
        <v>6</v>
      </c>
      <c r="L2509" s="15">
        <v>-230688.72</v>
      </c>
      <c r="M2509" s="15">
        <v>-2747.93</v>
      </c>
      <c r="N2509" s="16" t="str">
        <f>IF(M2509="","",IF(M2509&lt;0,-M2509&amp;"_"&amp;COUNTIF(M$2:M2509,M2509),M2509&amp;"_"&amp;COUNTIF(M$2:M2509,M2509)))</f>
        <v>2747.93_1</v>
      </c>
      <c r="O2509" s="17" t="str">
        <f t="shared" si="39"/>
        <v/>
      </c>
      <c r="P2509" s="13" t="s">
        <v>1378</v>
      </c>
      <c r="Q2509" s="13" t="s">
        <v>1376</v>
      </c>
      <c r="R2509" s="13" t="s">
        <v>0</v>
      </c>
      <c r="S2509" s="13" t="s">
        <v>0</v>
      </c>
      <c r="T2509" s="13" t="s">
        <v>9</v>
      </c>
      <c r="U2509" s="13" t="s">
        <v>0</v>
      </c>
      <c r="V2509" s="13" t="s">
        <v>0</v>
      </c>
      <c r="W2509" s="13" t="s">
        <v>0</v>
      </c>
      <c r="X2509" s="13" t="s">
        <v>0</v>
      </c>
      <c r="Y2509" s="13" t="s">
        <v>10</v>
      </c>
      <c r="Z2509" s="13" t="s">
        <v>0</v>
      </c>
      <c r="AA2509" s="14"/>
      <c r="AB2509" s="13" t="s">
        <v>0</v>
      </c>
      <c r="AC2509" s="13" t="s">
        <v>0</v>
      </c>
      <c r="AD2509" s="13" t="s">
        <v>0</v>
      </c>
      <c r="AE2509" s="15">
        <v>0</v>
      </c>
    </row>
    <row r="2510" spans="1:31" ht="14.15" customHeight="1" x14ac:dyDescent="0.25">
      <c r="A2510" s="12" t="s">
        <v>0</v>
      </c>
      <c r="B2510" s="13" t="s">
        <v>1</v>
      </c>
      <c r="C2510" s="13" t="s">
        <v>1017</v>
      </c>
      <c r="D2510" s="14">
        <v>44129</v>
      </c>
      <c r="E2510" s="14">
        <v>44129</v>
      </c>
      <c r="F2510" s="14">
        <v>44136</v>
      </c>
      <c r="G2510" s="13" t="s">
        <v>3</v>
      </c>
      <c r="H2510" s="13" t="s">
        <v>4</v>
      </c>
      <c r="I2510" s="15">
        <v>-2737.58</v>
      </c>
      <c r="J2510" s="13" t="s">
        <v>5</v>
      </c>
      <c r="K2510" s="13" t="s">
        <v>6</v>
      </c>
      <c r="L2510" s="15">
        <v>-229819.84</v>
      </c>
      <c r="M2510" s="15">
        <v>-2737.58</v>
      </c>
      <c r="N2510" s="16" t="str">
        <f>IF(M2510="","",IF(M2510&lt;0,-M2510&amp;"_"&amp;COUNTIF(M$2:M2510,M2510),M2510&amp;"_"&amp;COUNTIF(M$2:M2510,M2510)))</f>
        <v>2737.58_1</v>
      </c>
      <c r="O2510" s="17" t="str">
        <f t="shared" si="39"/>
        <v/>
      </c>
      <c r="P2510" s="13" t="s">
        <v>1018</v>
      </c>
      <c r="Q2510" s="13" t="s">
        <v>1019</v>
      </c>
      <c r="R2510" s="13" t="s">
        <v>0</v>
      </c>
      <c r="S2510" s="13" t="s">
        <v>0</v>
      </c>
      <c r="T2510" s="13" t="s">
        <v>9</v>
      </c>
      <c r="U2510" s="13" t="s">
        <v>0</v>
      </c>
      <c r="V2510" s="13" t="s">
        <v>0</v>
      </c>
      <c r="W2510" s="13" t="s">
        <v>0</v>
      </c>
      <c r="X2510" s="13" t="s">
        <v>0</v>
      </c>
      <c r="Y2510" s="13" t="s">
        <v>10</v>
      </c>
      <c r="Z2510" s="13" t="s">
        <v>0</v>
      </c>
      <c r="AA2510" s="14"/>
      <c r="AB2510" s="13" t="s">
        <v>0</v>
      </c>
      <c r="AC2510" s="13" t="s">
        <v>0</v>
      </c>
      <c r="AD2510" s="13" t="s">
        <v>0</v>
      </c>
      <c r="AE2510" s="15">
        <v>0</v>
      </c>
    </row>
    <row r="2511" spans="1:31" ht="14.15" customHeight="1" x14ac:dyDescent="0.25">
      <c r="A2511" s="12" t="s">
        <v>0</v>
      </c>
      <c r="B2511" s="13" t="s">
        <v>1</v>
      </c>
      <c r="C2511" s="13" t="s">
        <v>3842</v>
      </c>
      <c r="D2511" s="14">
        <v>44350</v>
      </c>
      <c r="E2511" s="14">
        <v>44350</v>
      </c>
      <c r="F2511" s="14">
        <v>44356</v>
      </c>
      <c r="G2511" s="13" t="s">
        <v>3</v>
      </c>
      <c r="H2511" s="13" t="s">
        <v>4</v>
      </c>
      <c r="I2511" s="15">
        <v>-2737.17</v>
      </c>
      <c r="J2511" s="13" t="s">
        <v>5</v>
      </c>
      <c r="K2511" s="13" t="s">
        <v>6</v>
      </c>
      <c r="L2511" s="15">
        <v>-229785.42</v>
      </c>
      <c r="M2511" s="15">
        <v>-2737.17</v>
      </c>
      <c r="N2511" s="16" t="str">
        <f>IF(M2511="","",IF(M2511&lt;0,-M2511&amp;"_"&amp;COUNTIF(M$2:M2511,M2511),M2511&amp;"_"&amp;COUNTIF(M$2:M2511,M2511)))</f>
        <v>2737.17_1</v>
      </c>
      <c r="O2511" s="17" t="str">
        <f t="shared" si="39"/>
        <v/>
      </c>
      <c r="P2511" s="13" t="s">
        <v>3843</v>
      </c>
      <c r="Q2511" s="13" t="s">
        <v>3844</v>
      </c>
      <c r="R2511" s="13" t="s">
        <v>0</v>
      </c>
      <c r="S2511" s="13" t="s">
        <v>0</v>
      </c>
      <c r="T2511" s="13" t="s">
        <v>9</v>
      </c>
      <c r="U2511" s="13" t="s">
        <v>0</v>
      </c>
      <c r="V2511" s="13" t="s">
        <v>0</v>
      </c>
      <c r="W2511" s="13" t="s">
        <v>0</v>
      </c>
      <c r="X2511" s="13" t="s">
        <v>0</v>
      </c>
      <c r="Y2511" s="13" t="s">
        <v>10</v>
      </c>
      <c r="Z2511" s="13" t="s">
        <v>0</v>
      </c>
      <c r="AA2511" s="14"/>
      <c r="AB2511" s="13" t="s">
        <v>0</v>
      </c>
      <c r="AC2511" s="13" t="s">
        <v>0</v>
      </c>
      <c r="AD2511" s="13" t="s">
        <v>0</v>
      </c>
      <c r="AE2511" s="15">
        <v>0</v>
      </c>
    </row>
    <row r="2512" spans="1:31" ht="14.15" customHeight="1" x14ac:dyDescent="0.25">
      <c r="A2512" s="12" t="s">
        <v>0</v>
      </c>
      <c r="B2512" s="13" t="s">
        <v>1</v>
      </c>
      <c r="C2512" s="13" t="s">
        <v>3921</v>
      </c>
      <c r="D2512" s="14">
        <v>44354</v>
      </c>
      <c r="E2512" s="14">
        <v>44354</v>
      </c>
      <c r="F2512" s="14">
        <v>44357</v>
      </c>
      <c r="G2512" s="13" t="s">
        <v>3</v>
      </c>
      <c r="H2512" s="13" t="s">
        <v>4</v>
      </c>
      <c r="I2512" s="15">
        <v>-2737.17</v>
      </c>
      <c r="J2512" s="13" t="s">
        <v>5</v>
      </c>
      <c r="K2512" s="13" t="s">
        <v>6</v>
      </c>
      <c r="L2512" s="15">
        <v>-229785.42</v>
      </c>
      <c r="M2512" s="15">
        <v>-2737.17</v>
      </c>
      <c r="N2512" s="16" t="str">
        <f>IF(M2512="","",IF(M2512&lt;0,-M2512&amp;"_"&amp;COUNTIF(M$2:M2512,M2512),M2512&amp;"_"&amp;COUNTIF(M$2:M2512,M2512)))</f>
        <v>2737.17_2</v>
      </c>
      <c r="O2512" s="17" t="str">
        <f t="shared" si="39"/>
        <v/>
      </c>
      <c r="P2512" s="13" t="s">
        <v>3922</v>
      </c>
      <c r="Q2512" s="13" t="s">
        <v>3914</v>
      </c>
      <c r="R2512" s="13" t="s">
        <v>0</v>
      </c>
      <c r="S2512" s="13" t="s">
        <v>0</v>
      </c>
      <c r="T2512" s="13" t="s">
        <v>9</v>
      </c>
      <c r="U2512" s="13" t="s">
        <v>0</v>
      </c>
      <c r="V2512" s="13" t="s">
        <v>0</v>
      </c>
      <c r="W2512" s="13" t="s">
        <v>0</v>
      </c>
      <c r="X2512" s="13" t="s">
        <v>0</v>
      </c>
      <c r="Y2512" s="13" t="s">
        <v>10</v>
      </c>
      <c r="Z2512" s="13" t="s">
        <v>0</v>
      </c>
      <c r="AA2512" s="14"/>
      <c r="AB2512" s="13" t="s">
        <v>0</v>
      </c>
      <c r="AC2512" s="13" t="s">
        <v>0</v>
      </c>
      <c r="AD2512" s="13" t="s">
        <v>0</v>
      </c>
      <c r="AE2512" s="15">
        <v>0</v>
      </c>
    </row>
    <row r="2513" spans="1:31" ht="14.15" customHeight="1" x14ac:dyDescent="0.25">
      <c r="A2513" s="12" t="s">
        <v>0</v>
      </c>
      <c r="B2513" s="13" t="s">
        <v>1</v>
      </c>
      <c r="C2513" s="13" t="s">
        <v>1943</v>
      </c>
      <c r="D2513" s="14">
        <v>44192</v>
      </c>
      <c r="E2513" s="14">
        <v>44192</v>
      </c>
      <c r="F2513" s="14">
        <v>44198</v>
      </c>
      <c r="G2513" s="13" t="s">
        <v>3</v>
      </c>
      <c r="H2513" s="13" t="s">
        <v>4</v>
      </c>
      <c r="I2513" s="15">
        <v>-2716.5</v>
      </c>
      <c r="J2513" s="13" t="s">
        <v>5</v>
      </c>
      <c r="K2513" s="13" t="s">
        <v>6</v>
      </c>
      <c r="L2513" s="15">
        <v>-228050.18</v>
      </c>
      <c r="M2513" s="15">
        <v>-2716.5</v>
      </c>
      <c r="N2513" s="16" t="str">
        <f>IF(M2513="","",IF(M2513&lt;0,-M2513&amp;"_"&amp;COUNTIF(M$2:M2513,M2513),M2513&amp;"_"&amp;COUNTIF(M$2:M2513,M2513)))</f>
        <v>2716.5_1</v>
      </c>
      <c r="O2513" s="17" t="str">
        <f t="shared" si="39"/>
        <v/>
      </c>
      <c r="P2513" s="13" t="s">
        <v>1944</v>
      </c>
      <c r="Q2513" s="13" t="s">
        <v>1932</v>
      </c>
      <c r="R2513" s="13" t="s">
        <v>0</v>
      </c>
      <c r="S2513" s="13" t="s">
        <v>0</v>
      </c>
      <c r="T2513" s="13" t="s">
        <v>9</v>
      </c>
      <c r="U2513" s="13" t="s">
        <v>0</v>
      </c>
      <c r="V2513" s="13" t="s">
        <v>0</v>
      </c>
      <c r="W2513" s="13" t="s">
        <v>0</v>
      </c>
      <c r="X2513" s="13" t="s">
        <v>0</v>
      </c>
      <c r="Y2513" s="13" t="s">
        <v>10</v>
      </c>
      <c r="Z2513" s="13" t="s">
        <v>0</v>
      </c>
      <c r="AA2513" s="14"/>
      <c r="AB2513" s="13" t="s">
        <v>0</v>
      </c>
      <c r="AC2513" s="13" t="s">
        <v>0</v>
      </c>
      <c r="AD2513" s="13" t="s">
        <v>0</v>
      </c>
      <c r="AE2513" s="15">
        <v>0</v>
      </c>
    </row>
    <row r="2514" spans="1:31" ht="14.15" customHeight="1" x14ac:dyDescent="0.25">
      <c r="A2514" s="12" t="s">
        <v>0</v>
      </c>
      <c r="B2514" s="13" t="s">
        <v>1</v>
      </c>
      <c r="C2514" s="13" t="s">
        <v>115</v>
      </c>
      <c r="D2514" s="14">
        <v>44025</v>
      </c>
      <c r="E2514" s="14">
        <v>44025</v>
      </c>
      <c r="F2514" s="14">
        <v>44030</v>
      </c>
      <c r="G2514" s="13" t="s">
        <v>3</v>
      </c>
      <c r="H2514" s="13" t="s">
        <v>4</v>
      </c>
      <c r="I2514" s="15">
        <v>-2716.2</v>
      </c>
      <c r="J2514" s="13" t="s">
        <v>5</v>
      </c>
      <c r="K2514" s="13" t="s">
        <v>6</v>
      </c>
      <c r="L2514" s="15">
        <v>-228024.99</v>
      </c>
      <c r="M2514" s="15">
        <v>-2716.2</v>
      </c>
      <c r="N2514" s="16" t="str">
        <f>IF(M2514="","",IF(M2514&lt;0,-M2514&amp;"_"&amp;COUNTIF(M$2:M2514,M2514),M2514&amp;"_"&amp;COUNTIF(M$2:M2514,M2514)))</f>
        <v>2716.2_1</v>
      </c>
      <c r="O2514" s="17" t="str">
        <f t="shared" si="39"/>
        <v/>
      </c>
      <c r="P2514" s="13" t="s">
        <v>116</v>
      </c>
      <c r="Q2514" s="13" t="s">
        <v>104</v>
      </c>
      <c r="R2514" s="13" t="s">
        <v>0</v>
      </c>
      <c r="S2514" s="13" t="s">
        <v>0</v>
      </c>
      <c r="T2514" s="13" t="s">
        <v>9</v>
      </c>
      <c r="U2514" s="13" t="s">
        <v>0</v>
      </c>
      <c r="V2514" s="13" t="s">
        <v>0</v>
      </c>
      <c r="W2514" s="13" t="s">
        <v>0</v>
      </c>
      <c r="X2514" s="13" t="s">
        <v>0</v>
      </c>
      <c r="Y2514" s="13" t="s">
        <v>10</v>
      </c>
      <c r="Z2514" s="13" t="s">
        <v>0</v>
      </c>
      <c r="AA2514" s="14"/>
      <c r="AB2514" s="13" t="s">
        <v>0</v>
      </c>
      <c r="AC2514" s="13" t="s">
        <v>0</v>
      </c>
      <c r="AD2514" s="13" t="s">
        <v>0</v>
      </c>
      <c r="AE2514" s="15">
        <v>0</v>
      </c>
    </row>
    <row r="2515" spans="1:31" ht="14.15" customHeight="1" x14ac:dyDescent="0.25">
      <c r="A2515" s="12" t="s">
        <v>0</v>
      </c>
      <c r="B2515" s="13" t="s">
        <v>1</v>
      </c>
      <c r="C2515" s="13" t="s">
        <v>2360</v>
      </c>
      <c r="D2515" s="14">
        <v>44224</v>
      </c>
      <c r="E2515" s="14">
        <v>44224</v>
      </c>
      <c r="F2515" s="14">
        <v>44231</v>
      </c>
      <c r="G2515" s="13" t="s">
        <v>3</v>
      </c>
      <c r="H2515" s="13" t="s">
        <v>4</v>
      </c>
      <c r="I2515" s="15">
        <v>-2715.61</v>
      </c>
      <c r="J2515" s="13" t="s">
        <v>5</v>
      </c>
      <c r="K2515" s="13" t="s">
        <v>6</v>
      </c>
      <c r="L2515" s="15">
        <v>-227975.46</v>
      </c>
      <c r="M2515" s="15">
        <v>-2715.61</v>
      </c>
      <c r="N2515" s="16" t="str">
        <f>IF(M2515="","",IF(M2515&lt;0,-M2515&amp;"_"&amp;COUNTIF(M$2:M2515,M2515),M2515&amp;"_"&amp;COUNTIF(M$2:M2515,M2515)))</f>
        <v>2715.61_1</v>
      </c>
      <c r="O2515" s="17" t="str">
        <f t="shared" si="39"/>
        <v/>
      </c>
      <c r="P2515" s="13" t="s">
        <v>2361</v>
      </c>
      <c r="Q2515" s="13" t="s">
        <v>2345</v>
      </c>
      <c r="R2515" s="13" t="s">
        <v>0</v>
      </c>
      <c r="S2515" s="13" t="s">
        <v>0</v>
      </c>
      <c r="T2515" s="13" t="s">
        <v>9</v>
      </c>
      <c r="U2515" s="13" t="s">
        <v>0</v>
      </c>
      <c r="V2515" s="13" t="s">
        <v>0</v>
      </c>
      <c r="W2515" s="13" t="s">
        <v>0</v>
      </c>
      <c r="X2515" s="13" t="s">
        <v>0</v>
      </c>
      <c r="Y2515" s="13" t="s">
        <v>10</v>
      </c>
      <c r="Z2515" s="13" t="s">
        <v>0</v>
      </c>
      <c r="AA2515" s="14"/>
      <c r="AB2515" s="13" t="s">
        <v>0</v>
      </c>
      <c r="AC2515" s="13" t="s">
        <v>0</v>
      </c>
      <c r="AD2515" s="13" t="s">
        <v>0</v>
      </c>
      <c r="AE2515" s="15">
        <v>0</v>
      </c>
    </row>
    <row r="2516" spans="1:31" ht="14.15" customHeight="1" x14ac:dyDescent="0.25">
      <c r="A2516" s="12" t="s">
        <v>0</v>
      </c>
      <c r="B2516" s="13" t="s">
        <v>454</v>
      </c>
      <c r="C2516" s="13" t="s">
        <v>1077</v>
      </c>
      <c r="D2516" s="14">
        <v>44134</v>
      </c>
      <c r="E2516" s="14">
        <v>44134</v>
      </c>
      <c r="F2516" s="14">
        <v>44137</v>
      </c>
      <c r="G2516" s="13" t="s">
        <v>3</v>
      </c>
      <c r="H2516" s="13" t="s">
        <v>4</v>
      </c>
      <c r="I2516" s="15">
        <v>-2711.11</v>
      </c>
      <c r="J2516" s="13" t="s">
        <v>5</v>
      </c>
      <c r="K2516" s="13" t="s">
        <v>6</v>
      </c>
      <c r="L2516" s="15">
        <v>-227597.68</v>
      </c>
      <c r="M2516" s="15">
        <v>-2711.11</v>
      </c>
      <c r="N2516" s="16" t="str">
        <f>IF(M2516="","",IF(M2516&lt;0,-M2516&amp;"_"&amp;COUNTIF(M$2:M2516,M2516),M2516&amp;"_"&amp;COUNTIF(M$2:M2516,M2516)))</f>
        <v>2711.11_1</v>
      </c>
      <c r="O2516" s="17" t="str">
        <f t="shared" si="39"/>
        <v/>
      </c>
      <c r="P2516" s="13" t="s">
        <v>1078</v>
      </c>
      <c r="Q2516" s="13" t="s">
        <v>1076</v>
      </c>
      <c r="R2516" s="13" t="s">
        <v>0</v>
      </c>
      <c r="S2516" s="13" t="s">
        <v>0</v>
      </c>
      <c r="T2516" s="13" t="s">
        <v>9</v>
      </c>
      <c r="U2516" s="13" t="s">
        <v>0</v>
      </c>
      <c r="V2516" s="13" t="s">
        <v>0</v>
      </c>
      <c r="W2516" s="13" t="s">
        <v>0</v>
      </c>
      <c r="X2516" s="13" t="s">
        <v>0</v>
      </c>
      <c r="Y2516" s="13" t="s">
        <v>10</v>
      </c>
      <c r="Z2516" s="13" t="s">
        <v>0</v>
      </c>
      <c r="AA2516" s="14"/>
      <c r="AB2516" s="13" t="s">
        <v>0</v>
      </c>
      <c r="AC2516" s="13" t="s">
        <v>0</v>
      </c>
      <c r="AD2516" s="13" t="s">
        <v>0</v>
      </c>
      <c r="AE2516" s="15">
        <v>0</v>
      </c>
    </row>
    <row r="2517" spans="1:31" ht="14.15" customHeight="1" x14ac:dyDescent="0.25">
      <c r="A2517" s="12" t="s">
        <v>0</v>
      </c>
      <c r="B2517" s="13" t="s">
        <v>1</v>
      </c>
      <c r="C2517" s="13" t="s">
        <v>1588</v>
      </c>
      <c r="D2517" s="14">
        <v>44166</v>
      </c>
      <c r="E2517" s="14">
        <v>44166</v>
      </c>
      <c r="F2517" s="14">
        <v>44189</v>
      </c>
      <c r="G2517" s="13" t="s">
        <v>3</v>
      </c>
      <c r="H2517" s="13" t="s">
        <v>4</v>
      </c>
      <c r="I2517" s="15">
        <v>-2709.4</v>
      </c>
      <c r="J2517" s="13" t="s">
        <v>5</v>
      </c>
      <c r="K2517" s="13" t="s">
        <v>6</v>
      </c>
      <c r="L2517" s="15">
        <v>-227454.13</v>
      </c>
      <c r="M2517" s="15">
        <v>-2709.4</v>
      </c>
      <c r="N2517" s="16" t="str">
        <f>IF(M2517="","",IF(M2517&lt;0,-M2517&amp;"_"&amp;COUNTIF(M$2:M2517,M2517),M2517&amp;"_"&amp;COUNTIF(M$2:M2517,M2517)))</f>
        <v>2709.4_1</v>
      </c>
      <c r="O2517" s="17" t="str">
        <f t="shared" si="39"/>
        <v/>
      </c>
      <c r="P2517" s="13" t="s">
        <v>1589</v>
      </c>
      <c r="Q2517" s="13" t="s">
        <v>1579</v>
      </c>
      <c r="R2517" s="13" t="s">
        <v>0</v>
      </c>
      <c r="S2517" s="13" t="s">
        <v>0</v>
      </c>
      <c r="T2517" s="13" t="s">
        <v>9</v>
      </c>
      <c r="U2517" s="13" t="s">
        <v>0</v>
      </c>
      <c r="V2517" s="13" t="s">
        <v>0</v>
      </c>
      <c r="W2517" s="13" t="s">
        <v>0</v>
      </c>
      <c r="X2517" s="13" t="s">
        <v>0</v>
      </c>
      <c r="Y2517" s="13" t="s">
        <v>10</v>
      </c>
      <c r="Z2517" s="13" t="s">
        <v>0</v>
      </c>
      <c r="AA2517" s="14"/>
      <c r="AB2517" s="13" t="s">
        <v>0</v>
      </c>
      <c r="AC2517" s="13" t="s">
        <v>0</v>
      </c>
      <c r="AD2517" s="13" t="s">
        <v>0</v>
      </c>
      <c r="AE2517" s="15">
        <v>0</v>
      </c>
    </row>
    <row r="2518" spans="1:31" ht="14.15" customHeight="1" x14ac:dyDescent="0.25">
      <c r="A2518" s="12" t="s">
        <v>0</v>
      </c>
      <c r="B2518" s="13" t="s">
        <v>1</v>
      </c>
      <c r="C2518" s="13" t="s">
        <v>374</v>
      </c>
      <c r="D2518" s="14">
        <v>44057</v>
      </c>
      <c r="E2518" s="14">
        <v>44057</v>
      </c>
      <c r="F2518" s="14">
        <v>44063</v>
      </c>
      <c r="G2518" s="13" t="s">
        <v>3</v>
      </c>
      <c r="H2518" s="13" t="s">
        <v>4</v>
      </c>
      <c r="I2518" s="15">
        <v>-2707.43</v>
      </c>
      <c r="J2518" s="13" t="s">
        <v>5</v>
      </c>
      <c r="K2518" s="13" t="s">
        <v>6</v>
      </c>
      <c r="L2518" s="15">
        <v>-227288.75</v>
      </c>
      <c r="M2518" s="15">
        <v>-2707.43</v>
      </c>
      <c r="N2518" s="16" t="str">
        <f>IF(M2518="","",IF(M2518&lt;0,-M2518&amp;"_"&amp;COUNTIF(M$2:M2518,M2518),M2518&amp;"_"&amp;COUNTIF(M$2:M2518,M2518)))</f>
        <v>2707.43_1</v>
      </c>
      <c r="O2518" s="17" t="str">
        <f t="shared" si="39"/>
        <v/>
      </c>
      <c r="P2518" s="13" t="s">
        <v>375</v>
      </c>
      <c r="Q2518" s="13" t="s">
        <v>376</v>
      </c>
      <c r="R2518" s="13" t="s">
        <v>0</v>
      </c>
      <c r="S2518" s="13" t="s">
        <v>0</v>
      </c>
      <c r="T2518" s="13" t="s">
        <v>9</v>
      </c>
      <c r="U2518" s="13" t="s">
        <v>0</v>
      </c>
      <c r="V2518" s="13" t="s">
        <v>0</v>
      </c>
      <c r="W2518" s="13" t="s">
        <v>0</v>
      </c>
      <c r="X2518" s="13" t="s">
        <v>0</v>
      </c>
      <c r="Y2518" s="13" t="s">
        <v>10</v>
      </c>
      <c r="Z2518" s="13" t="s">
        <v>0</v>
      </c>
      <c r="AA2518" s="14"/>
      <c r="AB2518" s="13" t="s">
        <v>0</v>
      </c>
      <c r="AC2518" s="13" t="s">
        <v>0</v>
      </c>
      <c r="AD2518" s="13" t="s">
        <v>0</v>
      </c>
      <c r="AE2518" s="15">
        <v>0</v>
      </c>
    </row>
    <row r="2519" spans="1:31" ht="14.15" customHeight="1" x14ac:dyDescent="0.25">
      <c r="A2519" s="12" t="s">
        <v>0</v>
      </c>
      <c r="B2519" s="13" t="s">
        <v>303</v>
      </c>
      <c r="C2519" s="13" t="s">
        <v>3098</v>
      </c>
      <c r="D2519" s="14">
        <v>44286</v>
      </c>
      <c r="E2519" s="14">
        <v>44286</v>
      </c>
      <c r="F2519" s="14">
        <v>44292</v>
      </c>
      <c r="G2519" s="13" t="s">
        <v>48</v>
      </c>
      <c r="H2519" s="13" t="s">
        <v>4</v>
      </c>
      <c r="I2519" s="15">
        <v>-2700.4</v>
      </c>
      <c r="J2519" s="13" t="s">
        <v>5</v>
      </c>
      <c r="K2519" s="13" t="s">
        <v>6</v>
      </c>
      <c r="L2519" s="15">
        <v>-226698.58</v>
      </c>
      <c r="M2519" s="15">
        <v>-2700.4</v>
      </c>
      <c r="N2519" s="16" t="str">
        <f>IF(M2519="","",IF(M2519&lt;0,-M2519&amp;"_"&amp;COUNTIF(M$2:M2519,M2519),M2519&amp;"_"&amp;COUNTIF(M$2:M2519,M2519)))</f>
        <v>2700.4_1</v>
      </c>
      <c r="O2519" s="17" t="str">
        <f t="shared" si="39"/>
        <v/>
      </c>
      <c r="P2519" s="13" t="s">
        <v>3099</v>
      </c>
      <c r="Q2519" s="13" t="s">
        <v>3099</v>
      </c>
      <c r="R2519" s="13" t="s">
        <v>2002</v>
      </c>
      <c r="S2519" s="13" t="s">
        <v>0</v>
      </c>
      <c r="T2519" s="13" t="s">
        <v>9</v>
      </c>
      <c r="U2519" s="13" t="s">
        <v>3095</v>
      </c>
      <c r="V2519" s="13" t="s">
        <v>0</v>
      </c>
      <c r="W2519" s="13" t="s">
        <v>0</v>
      </c>
      <c r="X2519" s="13" t="s">
        <v>0</v>
      </c>
      <c r="Y2519" s="13" t="s">
        <v>0</v>
      </c>
      <c r="Z2519" s="13" t="s">
        <v>0</v>
      </c>
      <c r="AA2519" s="14"/>
      <c r="AB2519" s="13" t="s">
        <v>0</v>
      </c>
      <c r="AC2519" s="13" t="s">
        <v>0</v>
      </c>
      <c r="AD2519" s="13" t="s">
        <v>0</v>
      </c>
      <c r="AE2519" s="15">
        <v>0</v>
      </c>
    </row>
    <row r="2520" spans="1:31" ht="14.15" customHeight="1" x14ac:dyDescent="0.25">
      <c r="A2520" s="12" t="s">
        <v>0</v>
      </c>
      <c r="B2520" s="13" t="s">
        <v>1</v>
      </c>
      <c r="C2520" s="13" t="s">
        <v>1449</v>
      </c>
      <c r="D2520" s="14">
        <v>44158</v>
      </c>
      <c r="E2520" s="14">
        <v>44158</v>
      </c>
      <c r="F2520" s="14">
        <v>44167</v>
      </c>
      <c r="G2520" s="13" t="s">
        <v>3</v>
      </c>
      <c r="H2520" s="13" t="s">
        <v>4</v>
      </c>
      <c r="I2520" s="15">
        <v>-2689.07</v>
      </c>
      <c r="J2520" s="13" t="s">
        <v>5</v>
      </c>
      <c r="K2520" s="13" t="s">
        <v>6</v>
      </c>
      <c r="L2520" s="15">
        <v>-225747.43</v>
      </c>
      <c r="M2520" s="15">
        <v>-2689.07</v>
      </c>
      <c r="N2520" s="16" t="str">
        <f>IF(M2520="","",IF(M2520&lt;0,-M2520&amp;"_"&amp;COUNTIF(M$2:M2520,M2520),M2520&amp;"_"&amp;COUNTIF(M$2:M2520,M2520)))</f>
        <v>2689.07_1</v>
      </c>
      <c r="O2520" s="17" t="str">
        <f t="shared" si="39"/>
        <v/>
      </c>
      <c r="P2520" s="13" t="s">
        <v>1450</v>
      </c>
      <c r="Q2520" s="13" t="s">
        <v>1444</v>
      </c>
      <c r="R2520" s="13" t="s">
        <v>0</v>
      </c>
      <c r="S2520" s="13" t="s">
        <v>0</v>
      </c>
      <c r="T2520" s="13" t="s">
        <v>9</v>
      </c>
      <c r="U2520" s="13" t="s">
        <v>0</v>
      </c>
      <c r="V2520" s="13" t="s">
        <v>0</v>
      </c>
      <c r="W2520" s="13" t="s">
        <v>0</v>
      </c>
      <c r="X2520" s="13" t="s">
        <v>0</v>
      </c>
      <c r="Y2520" s="13" t="s">
        <v>10</v>
      </c>
      <c r="Z2520" s="13" t="s">
        <v>0</v>
      </c>
      <c r="AA2520" s="14"/>
      <c r="AB2520" s="13" t="s">
        <v>0</v>
      </c>
      <c r="AC2520" s="13" t="s">
        <v>0</v>
      </c>
      <c r="AD2520" s="13" t="s">
        <v>0</v>
      </c>
      <c r="AE2520" s="15">
        <v>0</v>
      </c>
    </row>
    <row r="2521" spans="1:31" ht="14.15" customHeight="1" x14ac:dyDescent="0.25">
      <c r="A2521" s="12" t="s">
        <v>0</v>
      </c>
      <c r="B2521" s="13" t="s">
        <v>1</v>
      </c>
      <c r="C2521" s="13" t="s">
        <v>1192</v>
      </c>
      <c r="D2521" s="14">
        <v>44140</v>
      </c>
      <c r="E2521" s="14">
        <v>44140</v>
      </c>
      <c r="F2521" s="14">
        <v>44146</v>
      </c>
      <c r="G2521" s="13" t="s">
        <v>3</v>
      </c>
      <c r="H2521" s="13" t="s">
        <v>4</v>
      </c>
      <c r="I2521" s="15">
        <v>-2688.59</v>
      </c>
      <c r="J2521" s="13" t="s">
        <v>5</v>
      </c>
      <c r="K2521" s="13" t="s">
        <v>6</v>
      </c>
      <c r="L2521" s="15">
        <v>-225707.13</v>
      </c>
      <c r="M2521" s="15">
        <v>-2688.59</v>
      </c>
      <c r="N2521" s="16" t="str">
        <f>IF(M2521="","",IF(M2521&lt;0,-M2521&amp;"_"&amp;COUNTIF(M$2:M2521,M2521),M2521&amp;"_"&amp;COUNTIF(M$2:M2521,M2521)))</f>
        <v>2688.59_1</v>
      </c>
      <c r="O2521" s="17" t="str">
        <f t="shared" si="39"/>
        <v/>
      </c>
      <c r="P2521" s="13" t="s">
        <v>1193</v>
      </c>
      <c r="Q2521" s="13" t="s">
        <v>1165</v>
      </c>
      <c r="R2521" s="13" t="s">
        <v>0</v>
      </c>
      <c r="S2521" s="13" t="s">
        <v>0</v>
      </c>
      <c r="T2521" s="13" t="s">
        <v>9</v>
      </c>
      <c r="U2521" s="13" t="s">
        <v>0</v>
      </c>
      <c r="V2521" s="13" t="s">
        <v>0</v>
      </c>
      <c r="W2521" s="13" t="s">
        <v>0</v>
      </c>
      <c r="X2521" s="13" t="s">
        <v>0</v>
      </c>
      <c r="Y2521" s="13" t="s">
        <v>10</v>
      </c>
      <c r="Z2521" s="13" t="s">
        <v>0</v>
      </c>
      <c r="AA2521" s="14"/>
      <c r="AB2521" s="13" t="s">
        <v>0</v>
      </c>
      <c r="AC2521" s="13" t="s">
        <v>0</v>
      </c>
      <c r="AD2521" s="13" t="s">
        <v>0</v>
      </c>
      <c r="AE2521" s="15">
        <v>0</v>
      </c>
    </row>
    <row r="2522" spans="1:31" ht="14.15" customHeight="1" x14ac:dyDescent="0.25">
      <c r="A2522" s="12" t="s">
        <v>0</v>
      </c>
      <c r="B2522" s="13" t="s">
        <v>1</v>
      </c>
      <c r="C2522" s="13" t="s">
        <v>1884</v>
      </c>
      <c r="D2522" s="14">
        <v>44189</v>
      </c>
      <c r="E2522" s="14">
        <v>44189</v>
      </c>
      <c r="F2522" s="14">
        <v>44194</v>
      </c>
      <c r="G2522" s="13" t="s">
        <v>3</v>
      </c>
      <c r="H2522" s="13" t="s">
        <v>4</v>
      </c>
      <c r="I2522" s="15">
        <v>-2661.45</v>
      </c>
      <c r="J2522" s="13" t="s">
        <v>5</v>
      </c>
      <c r="K2522" s="13" t="s">
        <v>6</v>
      </c>
      <c r="L2522" s="15">
        <v>-223428.72</v>
      </c>
      <c r="M2522" s="15">
        <v>-2661.45</v>
      </c>
      <c r="N2522" s="16" t="str">
        <f>IF(M2522="","",IF(M2522&lt;0,-M2522&amp;"_"&amp;COUNTIF(M$2:M2522,M2522),M2522&amp;"_"&amp;COUNTIF(M$2:M2522,M2522)))</f>
        <v>2661.45_1</v>
      </c>
      <c r="O2522" s="17" t="str">
        <f t="shared" si="39"/>
        <v/>
      </c>
      <c r="P2522" s="13" t="s">
        <v>1885</v>
      </c>
      <c r="Q2522" s="13" t="s">
        <v>1886</v>
      </c>
      <c r="R2522" s="13" t="s">
        <v>0</v>
      </c>
      <c r="S2522" s="13" t="s">
        <v>0</v>
      </c>
      <c r="T2522" s="13" t="s">
        <v>9</v>
      </c>
      <c r="U2522" s="13" t="s">
        <v>0</v>
      </c>
      <c r="V2522" s="13" t="s">
        <v>0</v>
      </c>
      <c r="W2522" s="13" t="s">
        <v>0</v>
      </c>
      <c r="X2522" s="13" t="s">
        <v>0</v>
      </c>
      <c r="Y2522" s="13" t="s">
        <v>10</v>
      </c>
      <c r="Z2522" s="13" t="s">
        <v>0</v>
      </c>
      <c r="AA2522" s="14"/>
      <c r="AB2522" s="13" t="s">
        <v>0</v>
      </c>
      <c r="AC2522" s="13" t="s">
        <v>0</v>
      </c>
      <c r="AD2522" s="13" t="s">
        <v>0</v>
      </c>
      <c r="AE2522" s="15">
        <v>0</v>
      </c>
    </row>
    <row r="2523" spans="1:31" ht="14.15" customHeight="1" x14ac:dyDescent="0.25">
      <c r="A2523" s="12" t="s">
        <v>0</v>
      </c>
      <c r="B2523" s="13" t="s">
        <v>1</v>
      </c>
      <c r="C2523" s="13" t="s">
        <v>2322</v>
      </c>
      <c r="D2523" s="14">
        <v>44220</v>
      </c>
      <c r="E2523" s="14">
        <v>44220</v>
      </c>
      <c r="F2523" s="14">
        <v>44228</v>
      </c>
      <c r="G2523" s="13" t="s">
        <v>3</v>
      </c>
      <c r="H2523" s="13" t="s">
        <v>4</v>
      </c>
      <c r="I2523" s="15">
        <v>-2654.51</v>
      </c>
      <c r="J2523" s="13" t="s">
        <v>5</v>
      </c>
      <c r="K2523" s="13" t="s">
        <v>6</v>
      </c>
      <c r="L2523" s="15">
        <v>-222846.11</v>
      </c>
      <c r="M2523" s="15">
        <v>-2654.51</v>
      </c>
      <c r="N2523" s="16" t="str">
        <f>IF(M2523="","",IF(M2523&lt;0,-M2523&amp;"_"&amp;COUNTIF(M$2:M2523,M2523),M2523&amp;"_"&amp;COUNTIF(M$2:M2523,M2523)))</f>
        <v>2654.51_1</v>
      </c>
      <c r="O2523" s="17" t="str">
        <f t="shared" si="39"/>
        <v/>
      </c>
      <c r="P2523" s="13" t="s">
        <v>2323</v>
      </c>
      <c r="Q2523" s="13" t="s">
        <v>2317</v>
      </c>
      <c r="R2523" s="13" t="s">
        <v>0</v>
      </c>
      <c r="S2523" s="13" t="s">
        <v>0</v>
      </c>
      <c r="T2523" s="13" t="s">
        <v>9</v>
      </c>
      <c r="U2523" s="13" t="s">
        <v>0</v>
      </c>
      <c r="V2523" s="13" t="s">
        <v>0</v>
      </c>
      <c r="W2523" s="13" t="s">
        <v>0</v>
      </c>
      <c r="X2523" s="13" t="s">
        <v>0</v>
      </c>
      <c r="Y2523" s="13" t="s">
        <v>10</v>
      </c>
      <c r="Z2523" s="13" t="s">
        <v>0</v>
      </c>
      <c r="AA2523" s="14"/>
      <c r="AB2523" s="13" t="s">
        <v>0</v>
      </c>
      <c r="AC2523" s="13" t="s">
        <v>0</v>
      </c>
      <c r="AD2523" s="13" t="s">
        <v>0</v>
      </c>
      <c r="AE2523" s="15">
        <v>0</v>
      </c>
    </row>
    <row r="2524" spans="1:31" ht="14.15" customHeight="1" x14ac:dyDescent="0.25">
      <c r="A2524" s="12" t="s">
        <v>0</v>
      </c>
      <c r="B2524" s="13" t="s">
        <v>1</v>
      </c>
      <c r="C2524" s="13" t="s">
        <v>3027</v>
      </c>
      <c r="D2524" s="14">
        <v>44281</v>
      </c>
      <c r="E2524" s="14">
        <v>44281</v>
      </c>
      <c r="F2524" s="14">
        <v>44290</v>
      </c>
      <c r="G2524" s="13" t="s">
        <v>3</v>
      </c>
      <c r="H2524" s="13" t="s">
        <v>4</v>
      </c>
      <c r="I2524" s="15">
        <v>-2653.61</v>
      </c>
      <c r="J2524" s="13" t="s">
        <v>5</v>
      </c>
      <c r="K2524" s="13" t="s">
        <v>6</v>
      </c>
      <c r="L2524" s="15">
        <v>-222770.56</v>
      </c>
      <c r="M2524" s="15">
        <v>-2653.61</v>
      </c>
      <c r="N2524" s="16" t="str">
        <f>IF(M2524="","",IF(M2524&lt;0,-M2524&amp;"_"&amp;COUNTIF(M$2:M2524,M2524),M2524&amp;"_"&amp;COUNTIF(M$2:M2524,M2524)))</f>
        <v>2653.61_1</v>
      </c>
      <c r="O2524" s="17" t="str">
        <f t="shared" si="39"/>
        <v/>
      </c>
      <c r="P2524" s="13" t="s">
        <v>3028</v>
      </c>
      <c r="Q2524" s="13" t="s">
        <v>3014</v>
      </c>
      <c r="R2524" s="13" t="s">
        <v>0</v>
      </c>
      <c r="S2524" s="13" t="s">
        <v>0</v>
      </c>
      <c r="T2524" s="13" t="s">
        <v>9</v>
      </c>
      <c r="U2524" s="13" t="s">
        <v>0</v>
      </c>
      <c r="V2524" s="13" t="s">
        <v>0</v>
      </c>
      <c r="W2524" s="13" t="s">
        <v>0</v>
      </c>
      <c r="X2524" s="13" t="s">
        <v>0</v>
      </c>
      <c r="Y2524" s="13" t="s">
        <v>10</v>
      </c>
      <c r="Z2524" s="13" t="s">
        <v>0</v>
      </c>
      <c r="AA2524" s="14"/>
      <c r="AB2524" s="13" t="s">
        <v>0</v>
      </c>
      <c r="AC2524" s="13" t="s">
        <v>0</v>
      </c>
      <c r="AD2524" s="13" t="s">
        <v>0</v>
      </c>
      <c r="AE2524" s="15">
        <v>0</v>
      </c>
    </row>
    <row r="2525" spans="1:31" ht="14.15" customHeight="1" x14ac:dyDescent="0.25">
      <c r="A2525" s="12" t="s">
        <v>0</v>
      </c>
      <c r="B2525" s="13" t="s">
        <v>1</v>
      </c>
      <c r="C2525" s="13" t="s">
        <v>3851</v>
      </c>
      <c r="D2525" s="14">
        <v>44350</v>
      </c>
      <c r="E2525" s="14">
        <v>44350</v>
      </c>
      <c r="F2525" s="14">
        <v>44356</v>
      </c>
      <c r="G2525" s="13" t="s">
        <v>3</v>
      </c>
      <c r="H2525" s="13" t="s">
        <v>4</v>
      </c>
      <c r="I2525" s="15">
        <v>-2651.16</v>
      </c>
      <c r="J2525" s="13" t="s">
        <v>5</v>
      </c>
      <c r="K2525" s="13" t="s">
        <v>6</v>
      </c>
      <c r="L2525" s="15">
        <v>-222564.88</v>
      </c>
      <c r="M2525" s="15">
        <v>-2651.16</v>
      </c>
      <c r="N2525" s="16" t="str">
        <f>IF(M2525="","",IF(M2525&lt;0,-M2525&amp;"_"&amp;COUNTIF(M$2:M2525,M2525),M2525&amp;"_"&amp;COUNTIF(M$2:M2525,M2525)))</f>
        <v>2651.16_1</v>
      </c>
      <c r="O2525" s="17" t="str">
        <f t="shared" si="39"/>
        <v/>
      </c>
      <c r="P2525" s="13" t="s">
        <v>3852</v>
      </c>
      <c r="Q2525" s="13" t="s">
        <v>3844</v>
      </c>
      <c r="R2525" s="13" t="s">
        <v>0</v>
      </c>
      <c r="S2525" s="13" t="s">
        <v>0</v>
      </c>
      <c r="T2525" s="13" t="s">
        <v>9</v>
      </c>
      <c r="U2525" s="13" t="s">
        <v>0</v>
      </c>
      <c r="V2525" s="13" t="s">
        <v>0</v>
      </c>
      <c r="W2525" s="13" t="s">
        <v>0</v>
      </c>
      <c r="X2525" s="13" t="s">
        <v>0</v>
      </c>
      <c r="Y2525" s="13" t="s">
        <v>10</v>
      </c>
      <c r="Z2525" s="13" t="s">
        <v>0</v>
      </c>
      <c r="AA2525" s="14"/>
      <c r="AB2525" s="13" t="s">
        <v>0</v>
      </c>
      <c r="AC2525" s="13" t="s">
        <v>0</v>
      </c>
      <c r="AD2525" s="13" t="s">
        <v>0</v>
      </c>
      <c r="AE2525" s="15">
        <v>0</v>
      </c>
    </row>
    <row r="2526" spans="1:31" ht="14.15" customHeight="1" x14ac:dyDescent="0.25">
      <c r="A2526" s="12" t="s">
        <v>0</v>
      </c>
      <c r="B2526" s="13" t="s">
        <v>1</v>
      </c>
      <c r="C2526" s="13" t="s">
        <v>1066</v>
      </c>
      <c r="D2526" s="14">
        <v>44133</v>
      </c>
      <c r="E2526" s="14">
        <v>44133</v>
      </c>
      <c r="F2526" s="14">
        <v>44137</v>
      </c>
      <c r="G2526" s="13" t="s">
        <v>3</v>
      </c>
      <c r="H2526" s="13" t="s">
        <v>4</v>
      </c>
      <c r="I2526" s="15">
        <v>-2650.51</v>
      </c>
      <c r="J2526" s="13" t="s">
        <v>5</v>
      </c>
      <c r="K2526" s="13" t="s">
        <v>6</v>
      </c>
      <c r="L2526" s="15">
        <v>-222510.31</v>
      </c>
      <c r="M2526" s="15">
        <v>-2650.51</v>
      </c>
      <c r="N2526" s="16" t="str">
        <f>IF(M2526="","",IF(M2526&lt;0,-M2526&amp;"_"&amp;COUNTIF(M$2:M2526,M2526),M2526&amp;"_"&amp;COUNTIF(M$2:M2526,M2526)))</f>
        <v>2650.51_1</v>
      </c>
      <c r="O2526" s="17" t="str">
        <f t="shared" si="39"/>
        <v/>
      </c>
      <c r="P2526" s="13" t="s">
        <v>1067</v>
      </c>
      <c r="Q2526" s="13" t="s">
        <v>1065</v>
      </c>
      <c r="R2526" s="13" t="s">
        <v>0</v>
      </c>
      <c r="S2526" s="13" t="s">
        <v>0</v>
      </c>
      <c r="T2526" s="13" t="s">
        <v>9</v>
      </c>
      <c r="U2526" s="13" t="s">
        <v>0</v>
      </c>
      <c r="V2526" s="13" t="s">
        <v>0</v>
      </c>
      <c r="W2526" s="13" t="s">
        <v>0</v>
      </c>
      <c r="X2526" s="13" t="s">
        <v>0</v>
      </c>
      <c r="Y2526" s="13" t="s">
        <v>10</v>
      </c>
      <c r="Z2526" s="13" t="s">
        <v>0</v>
      </c>
      <c r="AA2526" s="14"/>
      <c r="AB2526" s="13" t="s">
        <v>0</v>
      </c>
      <c r="AC2526" s="13" t="s">
        <v>0</v>
      </c>
      <c r="AD2526" s="13" t="s">
        <v>0</v>
      </c>
      <c r="AE2526" s="15">
        <v>0</v>
      </c>
    </row>
    <row r="2527" spans="1:31" ht="14.15" customHeight="1" x14ac:dyDescent="0.25">
      <c r="A2527" s="12" t="s">
        <v>0</v>
      </c>
      <c r="B2527" s="13" t="s">
        <v>1</v>
      </c>
      <c r="C2527" s="13" t="s">
        <v>1930</v>
      </c>
      <c r="D2527" s="14">
        <v>44192</v>
      </c>
      <c r="E2527" s="14">
        <v>44192</v>
      </c>
      <c r="F2527" s="14">
        <v>44196</v>
      </c>
      <c r="G2527" s="13" t="s">
        <v>3</v>
      </c>
      <c r="H2527" s="13" t="s">
        <v>4</v>
      </c>
      <c r="I2527" s="15">
        <v>-2642.5</v>
      </c>
      <c r="J2527" s="13" t="s">
        <v>5</v>
      </c>
      <c r="K2527" s="13" t="s">
        <v>6</v>
      </c>
      <c r="L2527" s="15">
        <v>-221837.87</v>
      </c>
      <c r="M2527" s="15">
        <v>-2642.5</v>
      </c>
      <c r="N2527" s="16" t="str">
        <f>IF(M2527="","",IF(M2527&lt;0,-M2527&amp;"_"&amp;COUNTIF(M$2:M2527,M2527),M2527&amp;"_"&amp;COUNTIF(M$2:M2527,M2527)))</f>
        <v>2642.5_1</v>
      </c>
      <c r="O2527" s="17" t="str">
        <f t="shared" si="39"/>
        <v/>
      </c>
      <c r="P2527" s="13" t="s">
        <v>1931</v>
      </c>
      <c r="Q2527" s="13" t="s">
        <v>1932</v>
      </c>
      <c r="R2527" s="13" t="s">
        <v>0</v>
      </c>
      <c r="S2527" s="13" t="s">
        <v>0</v>
      </c>
      <c r="T2527" s="13" t="s">
        <v>9</v>
      </c>
      <c r="U2527" s="13" t="s">
        <v>0</v>
      </c>
      <c r="V2527" s="13" t="s">
        <v>0</v>
      </c>
      <c r="W2527" s="13" t="s">
        <v>0</v>
      </c>
      <c r="X2527" s="13" t="s">
        <v>0</v>
      </c>
      <c r="Y2527" s="13" t="s">
        <v>10</v>
      </c>
      <c r="Z2527" s="13" t="s">
        <v>0</v>
      </c>
      <c r="AA2527" s="14"/>
      <c r="AB2527" s="13" t="s">
        <v>0</v>
      </c>
      <c r="AC2527" s="13" t="s">
        <v>0</v>
      </c>
      <c r="AD2527" s="13" t="s">
        <v>0</v>
      </c>
      <c r="AE2527" s="15">
        <v>0</v>
      </c>
    </row>
    <row r="2528" spans="1:31" ht="14.15" customHeight="1" x14ac:dyDescent="0.25">
      <c r="A2528" s="12" t="s">
        <v>0</v>
      </c>
      <c r="B2528" s="13" t="s">
        <v>1</v>
      </c>
      <c r="C2528" s="13" t="s">
        <v>3317</v>
      </c>
      <c r="D2528" s="14">
        <v>44314</v>
      </c>
      <c r="E2528" s="14">
        <v>44314</v>
      </c>
      <c r="F2528" s="14">
        <v>44323</v>
      </c>
      <c r="G2528" s="13" t="s">
        <v>3</v>
      </c>
      <c r="H2528" s="13" t="s">
        <v>4</v>
      </c>
      <c r="I2528" s="15">
        <v>-2642.22</v>
      </c>
      <c r="J2528" s="13" t="s">
        <v>5</v>
      </c>
      <c r="K2528" s="13" t="s">
        <v>6</v>
      </c>
      <c r="L2528" s="15">
        <v>-221814.37</v>
      </c>
      <c r="M2528" s="15">
        <v>-2642.22</v>
      </c>
      <c r="N2528" s="16" t="str">
        <f>IF(M2528="","",IF(M2528&lt;0,-M2528&amp;"_"&amp;COUNTIF(M$2:M2528,M2528),M2528&amp;"_"&amp;COUNTIF(M$2:M2528,M2528)))</f>
        <v>2642.22_1</v>
      </c>
      <c r="O2528" s="17" t="str">
        <f t="shared" si="39"/>
        <v/>
      </c>
      <c r="P2528" s="13" t="s">
        <v>3318</v>
      </c>
      <c r="Q2528" s="13" t="s">
        <v>3284</v>
      </c>
      <c r="R2528" s="13" t="s">
        <v>0</v>
      </c>
      <c r="S2528" s="13" t="s">
        <v>0</v>
      </c>
      <c r="T2528" s="13" t="s">
        <v>9</v>
      </c>
      <c r="U2528" s="13" t="s">
        <v>0</v>
      </c>
      <c r="V2528" s="13" t="s">
        <v>0</v>
      </c>
      <c r="W2528" s="13" t="s">
        <v>0</v>
      </c>
      <c r="X2528" s="13" t="s">
        <v>0</v>
      </c>
      <c r="Y2528" s="13" t="s">
        <v>10</v>
      </c>
      <c r="Z2528" s="13" t="s">
        <v>0</v>
      </c>
      <c r="AA2528" s="14"/>
      <c r="AB2528" s="13" t="s">
        <v>0</v>
      </c>
      <c r="AC2528" s="13" t="s">
        <v>0</v>
      </c>
      <c r="AD2528" s="13" t="s">
        <v>0</v>
      </c>
      <c r="AE2528" s="15">
        <v>0</v>
      </c>
    </row>
    <row r="2529" spans="1:31" ht="14.15" customHeight="1" x14ac:dyDescent="0.25">
      <c r="A2529" s="12" t="s">
        <v>0</v>
      </c>
      <c r="B2529" s="13" t="s">
        <v>1</v>
      </c>
      <c r="C2529" s="13" t="s">
        <v>4114</v>
      </c>
      <c r="D2529" s="14">
        <v>44363</v>
      </c>
      <c r="E2529" s="14">
        <v>44363</v>
      </c>
      <c r="F2529" s="14">
        <v>44368</v>
      </c>
      <c r="G2529" s="13" t="s">
        <v>3</v>
      </c>
      <c r="H2529" s="13" t="s">
        <v>4</v>
      </c>
      <c r="I2529" s="15">
        <v>-2622.42</v>
      </c>
      <c r="J2529" s="13" t="s">
        <v>5</v>
      </c>
      <c r="K2529" s="13" t="s">
        <v>6</v>
      </c>
      <c r="L2529" s="15">
        <v>-220152.16</v>
      </c>
      <c r="M2529" s="15">
        <v>-2622.42</v>
      </c>
      <c r="N2529" s="16" t="str">
        <f>IF(M2529="","",IF(M2529&lt;0,-M2529&amp;"_"&amp;COUNTIF(M$2:M2529,M2529),M2529&amp;"_"&amp;COUNTIF(M$2:M2529,M2529)))</f>
        <v>2622.42_1</v>
      </c>
      <c r="O2529" s="17" t="str">
        <f t="shared" si="39"/>
        <v/>
      </c>
      <c r="P2529" s="13" t="s">
        <v>4115</v>
      </c>
      <c r="Q2529" s="13" t="s">
        <v>4107</v>
      </c>
      <c r="R2529" s="13" t="s">
        <v>0</v>
      </c>
      <c r="S2529" s="13" t="s">
        <v>0</v>
      </c>
      <c r="T2529" s="13" t="s">
        <v>9</v>
      </c>
      <c r="U2529" s="13" t="s">
        <v>0</v>
      </c>
      <c r="V2529" s="13" t="s">
        <v>0</v>
      </c>
      <c r="W2529" s="13" t="s">
        <v>0</v>
      </c>
      <c r="X2529" s="13" t="s">
        <v>0</v>
      </c>
      <c r="Y2529" s="13" t="s">
        <v>10</v>
      </c>
      <c r="Z2529" s="13" t="s">
        <v>0</v>
      </c>
      <c r="AA2529" s="14"/>
      <c r="AB2529" s="13" t="s">
        <v>0</v>
      </c>
      <c r="AC2529" s="13" t="s">
        <v>0</v>
      </c>
      <c r="AD2529" s="13" t="s">
        <v>0</v>
      </c>
      <c r="AE2529" s="15">
        <v>0</v>
      </c>
    </row>
    <row r="2530" spans="1:31" ht="14.15" customHeight="1" x14ac:dyDescent="0.25">
      <c r="A2530" s="12" t="s">
        <v>0</v>
      </c>
      <c r="B2530" s="13" t="s">
        <v>1</v>
      </c>
      <c r="C2530" s="13" t="s">
        <v>4244</v>
      </c>
      <c r="D2530" s="14">
        <v>44368</v>
      </c>
      <c r="E2530" s="14">
        <v>44368</v>
      </c>
      <c r="F2530" s="14">
        <v>44371</v>
      </c>
      <c r="G2530" s="13" t="s">
        <v>3</v>
      </c>
      <c r="H2530" s="13" t="s">
        <v>4</v>
      </c>
      <c r="I2530" s="15">
        <v>-2622.42</v>
      </c>
      <c r="J2530" s="13" t="s">
        <v>5</v>
      </c>
      <c r="K2530" s="13" t="s">
        <v>6</v>
      </c>
      <c r="L2530" s="15">
        <v>-220152.16</v>
      </c>
      <c r="M2530" s="15">
        <v>-2622.42</v>
      </c>
      <c r="N2530" s="16" t="str">
        <f>IF(M2530="","",IF(M2530&lt;0,-M2530&amp;"_"&amp;COUNTIF(M$2:M2530,M2530),M2530&amp;"_"&amp;COUNTIF(M$2:M2530,M2530)))</f>
        <v>2622.42_2</v>
      </c>
      <c r="O2530" s="17" t="str">
        <f t="shared" si="39"/>
        <v/>
      </c>
      <c r="P2530" s="13" t="s">
        <v>4245</v>
      </c>
      <c r="Q2530" s="13" t="s">
        <v>4239</v>
      </c>
      <c r="R2530" s="13" t="s">
        <v>0</v>
      </c>
      <c r="S2530" s="13" t="s">
        <v>0</v>
      </c>
      <c r="T2530" s="13" t="s">
        <v>9</v>
      </c>
      <c r="U2530" s="13" t="s">
        <v>0</v>
      </c>
      <c r="V2530" s="13" t="s">
        <v>0</v>
      </c>
      <c r="W2530" s="13" t="s">
        <v>0</v>
      </c>
      <c r="X2530" s="13" t="s">
        <v>0</v>
      </c>
      <c r="Y2530" s="13" t="s">
        <v>10</v>
      </c>
      <c r="Z2530" s="13" t="s">
        <v>0</v>
      </c>
      <c r="AA2530" s="14"/>
      <c r="AB2530" s="13" t="s">
        <v>0</v>
      </c>
      <c r="AC2530" s="13" t="s">
        <v>0</v>
      </c>
      <c r="AD2530" s="13" t="s">
        <v>0</v>
      </c>
      <c r="AE2530" s="15">
        <v>0</v>
      </c>
    </row>
    <row r="2531" spans="1:31" ht="14.15" customHeight="1" x14ac:dyDescent="0.25">
      <c r="A2531" s="12" t="s">
        <v>0</v>
      </c>
      <c r="B2531" s="13" t="s">
        <v>1</v>
      </c>
      <c r="C2531" s="13" t="s">
        <v>517</v>
      </c>
      <c r="D2531" s="14">
        <v>44070</v>
      </c>
      <c r="E2531" s="14">
        <v>44070</v>
      </c>
      <c r="F2531" s="14">
        <v>44084</v>
      </c>
      <c r="G2531" s="13" t="s">
        <v>3</v>
      </c>
      <c r="H2531" s="13" t="s">
        <v>4</v>
      </c>
      <c r="I2531" s="15">
        <v>-2614.02</v>
      </c>
      <c r="J2531" s="13" t="s">
        <v>5</v>
      </c>
      <c r="K2531" s="13" t="s">
        <v>6</v>
      </c>
      <c r="L2531" s="15">
        <v>-219446.98</v>
      </c>
      <c r="M2531" s="15">
        <v>-2614.02</v>
      </c>
      <c r="N2531" s="16" t="str">
        <f>IF(M2531="","",IF(M2531&lt;0,-M2531&amp;"_"&amp;COUNTIF(M$2:M2531,M2531),M2531&amp;"_"&amp;COUNTIF(M$2:M2531,M2531)))</f>
        <v>2614.02_1</v>
      </c>
      <c r="O2531" s="17" t="str">
        <f t="shared" si="39"/>
        <v/>
      </c>
      <c r="P2531" s="13" t="s">
        <v>518</v>
      </c>
      <c r="Q2531" s="13" t="s">
        <v>519</v>
      </c>
      <c r="R2531" s="13" t="s">
        <v>0</v>
      </c>
      <c r="S2531" s="13" t="s">
        <v>0</v>
      </c>
      <c r="T2531" s="13" t="s">
        <v>9</v>
      </c>
      <c r="U2531" s="13" t="s">
        <v>0</v>
      </c>
      <c r="V2531" s="13" t="s">
        <v>0</v>
      </c>
      <c r="W2531" s="13" t="s">
        <v>0</v>
      </c>
      <c r="X2531" s="13" t="s">
        <v>0</v>
      </c>
      <c r="Y2531" s="13" t="s">
        <v>10</v>
      </c>
      <c r="Z2531" s="13" t="s">
        <v>0</v>
      </c>
      <c r="AA2531" s="14"/>
      <c r="AB2531" s="13" t="s">
        <v>0</v>
      </c>
      <c r="AC2531" s="13" t="s">
        <v>0</v>
      </c>
      <c r="AD2531" s="13" t="s">
        <v>0</v>
      </c>
      <c r="AE2531" s="15">
        <v>0</v>
      </c>
    </row>
    <row r="2532" spans="1:31" ht="14.15" customHeight="1" x14ac:dyDescent="0.25">
      <c r="A2532" s="12" t="s">
        <v>0</v>
      </c>
      <c r="B2532" s="13" t="s">
        <v>1</v>
      </c>
      <c r="C2532" s="13" t="s">
        <v>2465</v>
      </c>
      <c r="D2532" s="14">
        <v>44234</v>
      </c>
      <c r="E2532" s="14">
        <v>44234</v>
      </c>
      <c r="F2532" s="14">
        <v>44241</v>
      </c>
      <c r="G2532" s="13" t="s">
        <v>3</v>
      </c>
      <c r="H2532" s="13" t="s">
        <v>4</v>
      </c>
      <c r="I2532" s="15">
        <v>-2596.5</v>
      </c>
      <c r="J2532" s="13" t="s">
        <v>5</v>
      </c>
      <c r="K2532" s="13" t="s">
        <v>6</v>
      </c>
      <c r="L2532" s="15">
        <v>-217976.18</v>
      </c>
      <c r="M2532" s="15">
        <v>-2596.5</v>
      </c>
      <c r="N2532" s="16" t="str">
        <f>IF(M2532="","",IF(M2532&lt;0,-M2532&amp;"_"&amp;COUNTIF(M$2:M2532,M2532),M2532&amp;"_"&amp;COUNTIF(M$2:M2532,M2532)))</f>
        <v>2596.5_1</v>
      </c>
      <c r="O2532" s="17" t="str">
        <f t="shared" si="39"/>
        <v/>
      </c>
      <c r="P2532" s="13" t="s">
        <v>2466</v>
      </c>
      <c r="Q2532" s="13" t="s">
        <v>2462</v>
      </c>
      <c r="R2532" s="13" t="s">
        <v>0</v>
      </c>
      <c r="S2532" s="13" t="s">
        <v>0</v>
      </c>
      <c r="T2532" s="13" t="s">
        <v>9</v>
      </c>
      <c r="U2532" s="13" t="s">
        <v>0</v>
      </c>
      <c r="V2532" s="13" t="s">
        <v>0</v>
      </c>
      <c r="W2532" s="13" t="s">
        <v>0</v>
      </c>
      <c r="X2532" s="13" t="s">
        <v>0</v>
      </c>
      <c r="Y2532" s="13" t="s">
        <v>10</v>
      </c>
      <c r="Z2532" s="13" t="s">
        <v>0</v>
      </c>
      <c r="AA2532" s="14"/>
      <c r="AB2532" s="13" t="s">
        <v>0</v>
      </c>
      <c r="AC2532" s="13" t="s">
        <v>0</v>
      </c>
      <c r="AD2532" s="13" t="s">
        <v>0</v>
      </c>
      <c r="AE2532" s="15">
        <v>0</v>
      </c>
    </row>
    <row r="2533" spans="1:31" ht="14.15" customHeight="1" x14ac:dyDescent="0.25">
      <c r="A2533" s="12" t="s">
        <v>0</v>
      </c>
      <c r="B2533" s="13" t="s">
        <v>1</v>
      </c>
      <c r="C2533" s="13" t="s">
        <v>3070</v>
      </c>
      <c r="D2533" s="14">
        <v>44284</v>
      </c>
      <c r="E2533" s="14">
        <v>44284</v>
      </c>
      <c r="F2533" s="14">
        <v>44291</v>
      </c>
      <c r="G2533" s="13" t="s">
        <v>3</v>
      </c>
      <c r="H2533" s="13" t="s">
        <v>4</v>
      </c>
      <c r="I2533" s="15">
        <v>-2596.2800000000002</v>
      </c>
      <c r="J2533" s="13" t="s">
        <v>5</v>
      </c>
      <c r="K2533" s="13" t="s">
        <v>6</v>
      </c>
      <c r="L2533" s="15">
        <v>-217957.71</v>
      </c>
      <c r="M2533" s="15">
        <v>-2596.2800000000002</v>
      </c>
      <c r="N2533" s="16" t="str">
        <f>IF(M2533="","",IF(M2533&lt;0,-M2533&amp;"_"&amp;COUNTIF(M$2:M2533,M2533),M2533&amp;"_"&amp;COUNTIF(M$2:M2533,M2533)))</f>
        <v>2596.28_1</v>
      </c>
      <c r="O2533" s="17" t="str">
        <f t="shared" si="39"/>
        <v/>
      </c>
      <c r="P2533" s="13" t="s">
        <v>3071</v>
      </c>
      <c r="Q2533" s="13" t="s">
        <v>3061</v>
      </c>
      <c r="R2533" s="13" t="s">
        <v>0</v>
      </c>
      <c r="S2533" s="13" t="s">
        <v>0</v>
      </c>
      <c r="T2533" s="13" t="s">
        <v>9</v>
      </c>
      <c r="U2533" s="13" t="s">
        <v>0</v>
      </c>
      <c r="V2533" s="13" t="s">
        <v>0</v>
      </c>
      <c r="W2533" s="13" t="s">
        <v>0</v>
      </c>
      <c r="X2533" s="13" t="s">
        <v>0</v>
      </c>
      <c r="Y2533" s="13" t="s">
        <v>10</v>
      </c>
      <c r="Z2533" s="13" t="s">
        <v>0</v>
      </c>
      <c r="AA2533" s="14"/>
      <c r="AB2533" s="13" t="s">
        <v>0</v>
      </c>
      <c r="AC2533" s="13" t="s">
        <v>0</v>
      </c>
      <c r="AD2533" s="13" t="s">
        <v>0</v>
      </c>
      <c r="AE2533" s="15">
        <v>0</v>
      </c>
    </row>
    <row r="2534" spans="1:31" ht="14.15" customHeight="1" x14ac:dyDescent="0.25">
      <c r="A2534" s="12" t="s">
        <v>0</v>
      </c>
      <c r="B2534" s="13" t="s">
        <v>1</v>
      </c>
      <c r="C2534" s="13" t="s">
        <v>1058</v>
      </c>
      <c r="D2534" s="14">
        <v>44132</v>
      </c>
      <c r="E2534" s="14">
        <v>44132</v>
      </c>
      <c r="F2534" s="14">
        <v>44137</v>
      </c>
      <c r="G2534" s="13" t="s">
        <v>3</v>
      </c>
      <c r="H2534" s="13" t="s">
        <v>4</v>
      </c>
      <c r="I2534" s="15">
        <v>-2594.73</v>
      </c>
      <c r="J2534" s="13" t="s">
        <v>5</v>
      </c>
      <c r="K2534" s="13" t="s">
        <v>6</v>
      </c>
      <c r="L2534" s="15">
        <v>-217827.58</v>
      </c>
      <c r="M2534" s="15">
        <v>-2594.73</v>
      </c>
      <c r="N2534" s="16" t="str">
        <f>IF(M2534="","",IF(M2534&lt;0,-M2534&amp;"_"&amp;COUNTIF(M$2:M2534,M2534),M2534&amp;"_"&amp;COUNTIF(M$2:M2534,M2534)))</f>
        <v>2594.73_1</v>
      </c>
      <c r="O2534" s="17" t="str">
        <f t="shared" si="39"/>
        <v/>
      </c>
      <c r="P2534" s="13" t="s">
        <v>1059</v>
      </c>
      <c r="Q2534" s="13" t="s">
        <v>1060</v>
      </c>
      <c r="R2534" s="13" t="s">
        <v>0</v>
      </c>
      <c r="S2534" s="13" t="s">
        <v>0</v>
      </c>
      <c r="T2534" s="13" t="s">
        <v>9</v>
      </c>
      <c r="U2534" s="13" t="s">
        <v>0</v>
      </c>
      <c r="V2534" s="13" t="s">
        <v>0</v>
      </c>
      <c r="W2534" s="13" t="s">
        <v>0</v>
      </c>
      <c r="X2534" s="13" t="s">
        <v>0</v>
      </c>
      <c r="Y2534" s="13" t="s">
        <v>10</v>
      </c>
      <c r="Z2534" s="13" t="s">
        <v>0</v>
      </c>
      <c r="AA2534" s="14"/>
      <c r="AB2534" s="13" t="s">
        <v>0</v>
      </c>
      <c r="AC2534" s="13" t="s">
        <v>0</v>
      </c>
      <c r="AD2534" s="13" t="s">
        <v>0</v>
      </c>
      <c r="AE2534" s="15">
        <v>0</v>
      </c>
    </row>
    <row r="2535" spans="1:31" ht="14.15" customHeight="1" x14ac:dyDescent="0.25">
      <c r="A2535" s="12" t="s">
        <v>0</v>
      </c>
      <c r="B2535" s="13" t="s">
        <v>1</v>
      </c>
      <c r="C2535" s="13" t="s">
        <v>2920</v>
      </c>
      <c r="D2535" s="14">
        <v>44276</v>
      </c>
      <c r="E2535" s="14">
        <v>44276</v>
      </c>
      <c r="F2535" s="14">
        <v>44280</v>
      </c>
      <c r="G2535" s="13" t="s">
        <v>3</v>
      </c>
      <c r="H2535" s="13" t="s">
        <v>4</v>
      </c>
      <c r="I2535" s="15">
        <v>-2584.1999999999998</v>
      </c>
      <c r="J2535" s="13" t="s">
        <v>5</v>
      </c>
      <c r="K2535" s="13" t="s">
        <v>6</v>
      </c>
      <c r="L2535" s="15">
        <v>-216943.59</v>
      </c>
      <c r="M2535" s="15">
        <v>-2584.1999999999998</v>
      </c>
      <c r="N2535" s="16" t="str">
        <f>IF(M2535="","",IF(M2535&lt;0,-M2535&amp;"_"&amp;COUNTIF(M$2:M2535,M2535),M2535&amp;"_"&amp;COUNTIF(M$2:M2535,M2535)))</f>
        <v>2584.2_1</v>
      </c>
      <c r="O2535" s="17" t="str">
        <f t="shared" si="39"/>
        <v/>
      </c>
      <c r="P2535" s="13" t="s">
        <v>2921</v>
      </c>
      <c r="Q2535" s="13" t="s">
        <v>2922</v>
      </c>
      <c r="R2535" s="13" t="s">
        <v>0</v>
      </c>
      <c r="S2535" s="13" t="s">
        <v>0</v>
      </c>
      <c r="T2535" s="13" t="s">
        <v>9</v>
      </c>
      <c r="U2535" s="13" t="s">
        <v>0</v>
      </c>
      <c r="V2535" s="13" t="s">
        <v>0</v>
      </c>
      <c r="W2535" s="13" t="s">
        <v>0</v>
      </c>
      <c r="X2535" s="13" t="s">
        <v>0</v>
      </c>
      <c r="Y2535" s="13" t="s">
        <v>10</v>
      </c>
      <c r="Z2535" s="13" t="s">
        <v>0</v>
      </c>
      <c r="AA2535" s="14"/>
      <c r="AB2535" s="13" t="s">
        <v>0</v>
      </c>
      <c r="AC2535" s="13" t="s">
        <v>0</v>
      </c>
      <c r="AD2535" s="13" t="s">
        <v>0</v>
      </c>
      <c r="AE2535" s="15">
        <v>0</v>
      </c>
    </row>
    <row r="2536" spans="1:31" ht="14.15" customHeight="1" x14ac:dyDescent="0.25">
      <c r="A2536" s="12" t="s">
        <v>0</v>
      </c>
      <c r="B2536" s="13" t="s">
        <v>1</v>
      </c>
      <c r="C2536" s="13" t="s">
        <v>3252</v>
      </c>
      <c r="D2536" s="14">
        <v>44308</v>
      </c>
      <c r="E2536" s="14">
        <v>44308</v>
      </c>
      <c r="F2536" s="14">
        <v>44312</v>
      </c>
      <c r="G2536" s="13" t="s">
        <v>3</v>
      </c>
      <c r="H2536" s="13" t="s">
        <v>4</v>
      </c>
      <c r="I2536" s="15">
        <v>-2580.23</v>
      </c>
      <c r="J2536" s="13" t="s">
        <v>5</v>
      </c>
      <c r="K2536" s="13" t="s">
        <v>6</v>
      </c>
      <c r="L2536" s="15">
        <v>-216610.31</v>
      </c>
      <c r="M2536" s="15">
        <v>-2580.23</v>
      </c>
      <c r="N2536" s="16" t="str">
        <f>IF(M2536="","",IF(M2536&lt;0,-M2536&amp;"_"&amp;COUNTIF(M$2:M2536,M2536),M2536&amp;"_"&amp;COUNTIF(M$2:M2536,M2536)))</f>
        <v>2580.23_1</v>
      </c>
      <c r="O2536" s="17" t="str">
        <f t="shared" si="39"/>
        <v/>
      </c>
      <c r="P2536" s="13" t="s">
        <v>3253</v>
      </c>
      <c r="Q2536" s="13" t="s">
        <v>3251</v>
      </c>
      <c r="R2536" s="13" t="s">
        <v>0</v>
      </c>
      <c r="S2536" s="13" t="s">
        <v>0</v>
      </c>
      <c r="T2536" s="13" t="s">
        <v>9</v>
      </c>
      <c r="U2536" s="13" t="s">
        <v>0</v>
      </c>
      <c r="V2536" s="13" t="s">
        <v>0</v>
      </c>
      <c r="W2536" s="13" t="s">
        <v>0</v>
      </c>
      <c r="X2536" s="13" t="s">
        <v>0</v>
      </c>
      <c r="Y2536" s="13" t="s">
        <v>10</v>
      </c>
      <c r="Z2536" s="13" t="s">
        <v>0</v>
      </c>
      <c r="AA2536" s="14"/>
      <c r="AB2536" s="13" t="s">
        <v>0</v>
      </c>
      <c r="AC2536" s="13" t="s">
        <v>0</v>
      </c>
      <c r="AD2536" s="13" t="s">
        <v>0</v>
      </c>
      <c r="AE2536" s="15">
        <v>0</v>
      </c>
    </row>
    <row r="2537" spans="1:31" ht="14.15" customHeight="1" x14ac:dyDescent="0.25">
      <c r="A2537" s="12" t="s">
        <v>0</v>
      </c>
      <c r="B2537" s="13" t="s">
        <v>1</v>
      </c>
      <c r="C2537" s="13" t="s">
        <v>945</v>
      </c>
      <c r="D2537" s="14">
        <v>44122</v>
      </c>
      <c r="E2537" s="14">
        <v>44122</v>
      </c>
      <c r="F2537" s="14">
        <v>44126</v>
      </c>
      <c r="G2537" s="13" t="s">
        <v>3</v>
      </c>
      <c r="H2537" s="13" t="s">
        <v>4</v>
      </c>
      <c r="I2537" s="15">
        <v>-2576.89</v>
      </c>
      <c r="J2537" s="13" t="s">
        <v>5</v>
      </c>
      <c r="K2537" s="13" t="s">
        <v>6</v>
      </c>
      <c r="L2537" s="15">
        <v>-216329.92</v>
      </c>
      <c r="M2537" s="15">
        <v>-2576.89</v>
      </c>
      <c r="N2537" s="16" t="str">
        <f>IF(M2537="","",IF(M2537&lt;0,-M2537&amp;"_"&amp;COUNTIF(M$2:M2537,M2537),M2537&amp;"_"&amp;COUNTIF(M$2:M2537,M2537)))</f>
        <v>2576.89_1</v>
      </c>
      <c r="O2537" s="17" t="str">
        <f t="shared" si="39"/>
        <v/>
      </c>
      <c r="P2537" s="13" t="s">
        <v>946</v>
      </c>
      <c r="Q2537" s="13" t="s">
        <v>947</v>
      </c>
      <c r="R2537" s="13" t="s">
        <v>0</v>
      </c>
      <c r="S2537" s="13" t="s">
        <v>0</v>
      </c>
      <c r="T2537" s="13" t="s">
        <v>9</v>
      </c>
      <c r="U2537" s="13" t="s">
        <v>0</v>
      </c>
      <c r="V2537" s="13" t="s">
        <v>0</v>
      </c>
      <c r="W2537" s="13" t="s">
        <v>0</v>
      </c>
      <c r="X2537" s="13" t="s">
        <v>0</v>
      </c>
      <c r="Y2537" s="13" t="s">
        <v>10</v>
      </c>
      <c r="Z2537" s="13" t="s">
        <v>0</v>
      </c>
      <c r="AA2537" s="14"/>
      <c r="AB2537" s="13" t="s">
        <v>0</v>
      </c>
      <c r="AC2537" s="13" t="s">
        <v>0</v>
      </c>
      <c r="AD2537" s="13" t="s">
        <v>0</v>
      </c>
      <c r="AE2537" s="15">
        <v>0</v>
      </c>
    </row>
    <row r="2538" spans="1:31" ht="14.15" customHeight="1" x14ac:dyDescent="0.25">
      <c r="A2538" s="12" t="s">
        <v>0</v>
      </c>
      <c r="B2538" s="13" t="s">
        <v>1</v>
      </c>
      <c r="C2538" s="13" t="s">
        <v>3201</v>
      </c>
      <c r="D2538" s="14">
        <v>44302</v>
      </c>
      <c r="E2538" s="14">
        <v>44302</v>
      </c>
      <c r="F2538" s="14">
        <v>44308</v>
      </c>
      <c r="G2538" s="13" t="s">
        <v>3</v>
      </c>
      <c r="H2538" s="13" t="s">
        <v>4</v>
      </c>
      <c r="I2538" s="15">
        <v>-2571.62</v>
      </c>
      <c r="J2538" s="13" t="s">
        <v>5</v>
      </c>
      <c r="K2538" s="13" t="s">
        <v>6</v>
      </c>
      <c r="L2538" s="15">
        <v>-215887.5</v>
      </c>
      <c r="M2538" s="15">
        <v>-2571.62</v>
      </c>
      <c r="N2538" s="16" t="str">
        <f>IF(M2538="","",IF(M2538&lt;0,-M2538&amp;"_"&amp;COUNTIF(M$2:M2538,M2538),M2538&amp;"_"&amp;COUNTIF(M$2:M2538,M2538)))</f>
        <v>2571.62_1</v>
      </c>
      <c r="O2538" s="17" t="str">
        <f t="shared" si="39"/>
        <v/>
      </c>
      <c r="P2538" s="13" t="s">
        <v>3202</v>
      </c>
      <c r="Q2538" s="13" t="s">
        <v>3196</v>
      </c>
      <c r="R2538" s="13" t="s">
        <v>0</v>
      </c>
      <c r="S2538" s="13" t="s">
        <v>0</v>
      </c>
      <c r="T2538" s="13" t="s">
        <v>9</v>
      </c>
      <c r="U2538" s="13" t="s">
        <v>0</v>
      </c>
      <c r="V2538" s="13" t="s">
        <v>0</v>
      </c>
      <c r="W2538" s="13" t="s">
        <v>0</v>
      </c>
      <c r="X2538" s="13" t="s">
        <v>0</v>
      </c>
      <c r="Y2538" s="13" t="s">
        <v>10</v>
      </c>
      <c r="Z2538" s="13" t="s">
        <v>0</v>
      </c>
      <c r="AA2538" s="14"/>
      <c r="AB2538" s="13" t="s">
        <v>0</v>
      </c>
      <c r="AC2538" s="13" t="s">
        <v>0</v>
      </c>
      <c r="AD2538" s="13" t="s">
        <v>0</v>
      </c>
      <c r="AE2538" s="15">
        <v>0</v>
      </c>
    </row>
    <row r="2539" spans="1:31" ht="14.15" customHeight="1" x14ac:dyDescent="0.25">
      <c r="A2539" s="12" t="s">
        <v>0</v>
      </c>
      <c r="B2539" s="13" t="s">
        <v>1</v>
      </c>
      <c r="C2539" s="13" t="s">
        <v>3678</v>
      </c>
      <c r="D2539" s="14">
        <v>44335</v>
      </c>
      <c r="E2539" s="14">
        <v>44335</v>
      </c>
      <c r="F2539" s="14">
        <v>44340</v>
      </c>
      <c r="G2539" s="13" t="s">
        <v>3</v>
      </c>
      <c r="H2539" s="13" t="s">
        <v>4</v>
      </c>
      <c r="I2539" s="15">
        <v>-2571.62</v>
      </c>
      <c r="J2539" s="13" t="s">
        <v>5</v>
      </c>
      <c r="K2539" s="13" t="s">
        <v>6</v>
      </c>
      <c r="L2539" s="15">
        <v>-215887.5</v>
      </c>
      <c r="M2539" s="15">
        <v>-2571.62</v>
      </c>
      <c r="N2539" s="16" t="str">
        <f>IF(M2539="","",IF(M2539&lt;0,-M2539&amp;"_"&amp;COUNTIF(M$2:M2539,M2539),M2539&amp;"_"&amp;COUNTIF(M$2:M2539,M2539)))</f>
        <v>2571.62_2</v>
      </c>
      <c r="O2539" s="17" t="str">
        <f t="shared" si="39"/>
        <v/>
      </c>
      <c r="P2539" s="13" t="s">
        <v>3679</v>
      </c>
      <c r="Q2539" s="13" t="s">
        <v>3665</v>
      </c>
      <c r="R2539" s="13" t="s">
        <v>0</v>
      </c>
      <c r="S2539" s="13" t="s">
        <v>0</v>
      </c>
      <c r="T2539" s="13" t="s">
        <v>9</v>
      </c>
      <c r="U2539" s="13" t="s">
        <v>0</v>
      </c>
      <c r="V2539" s="13" t="s">
        <v>0</v>
      </c>
      <c r="W2539" s="13" t="s">
        <v>0</v>
      </c>
      <c r="X2539" s="13" t="s">
        <v>0</v>
      </c>
      <c r="Y2539" s="13" t="s">
        <v>10</v>
      </c>
      <c r="Z2539" s="13" t="s">
        <v>0</v>
      </c>
      <c r="AA2539" s="14"/>
      <c r="AB2539" s="13" t="s">
        <v>0</v>
      </c>
      <c r="AC2539" s="13" t="s">
        <v>0</v>
      </c>
      <c r="AD2539" s="13" t="s">
        <v>0</v>
      </c>
      <c r="AE2539" s="15">
        <v>0</v>
      </c>
    </row>
    <row r="2540" spans="1:31" ht="14.15" customHeight="1" x14ac:dyDescent="0.25">
      <c r="A2540" s="12" t="s">
        <v>0</v>
      </c>
      <c r="B2540" s="13" t="s">
        <v>303</v>
      </c>
      <c r="C2540" s="13" t="s">
        <v>1573</v>
      </c>
      <c r="D2540" s="14">
        <v>44165</v>
      </c>
      <c r="E2540" s="14">
        <v>44165</v>
      </c>
      <c r="F2540" s="14">
        <v>44171</v>
      </c>
      <c r="G2540" s="13" t="s">
        <v>48</v>
      </c>
      <c r="H2540" s="13" t="s">
        <v>4</v>
      </c>
      <c r="I2540" s="15">
        <v>-2567.6</v>
      </c>
      <c r="J2540" s="13" t="s">
        <v>5</v>
      </c>
      <c r="K2540" s="13" t="s">
        <v>6</v>
      </c>
      <c r="L2540" s="15">
        <v>-215550.02</v>
      </c>
      <c r="M2540" s="15">
        <v>-2567.6</v>
      </c>
      <c r="N2540" s="16" t="str">
        <f>IF(M2540="","",IF(M2540&lt;0,-M2540&amp;"_"&amp;COUNTIF(M$2:M2540,M2540),M2540&amp;"_"&amp;COUNTIF(M$2:M2540,M2540)))</f>
        <v>2567.6_1</v>
      </c>
      <c r="O2540" s="17" t="str">
        <f t="shared" si="39"/>
        <v/>
      </c>
      <c r="P2540" s="13" t="s">
        <v>1574</v>
      </c>
      <c r="Q2540" s="13" t="s">
        <v>1574</v>
      </c>
      <c r="R2540" s="13" t="s">
        <v>306</v>
      </c>
      <c r="S2540" s="13" t="s">
        <v>0</v>
      </c>
      <c r="T2540" s="13" t="s">
        <v>9</v>
      </c>
      <c r="U2540" s="13" t="s">
        <v>307</v>
      </c>
      <c r="V2540" s="13" t="s">
        <v>0</v>
      </c>
      <c r="W2540" s="13" t="s">
        <v>0</v>
      </c>
      <c r="X2540" s="13" t="s">
        <v>0</v>
      </c>
      <c r="Y2540" s="13" t="s">
        <v>291</v>
      </c>
      <c r="Z2540" s="13" t="s">
        <v>0</v>
      </c>
      <c r="AA2540" s="14"/>
      <c r="AB2540" s="13" t="s">
        <v>0</v>
      </c>
      <c r="AC2540" s="13" t="s">
        <v>0</v>
      </c>
      <c r="AD2540" s="13" t="s">
        <v>0</v>
      </c>
      <c r="AE2540" s="15">
        <v>0</v>
      </c>
    </row>
    <row r="2541" spans="1:31" ht="14.15" customHeight="1" x14ac:dyDescent="0.25">
      <c r="A2541" s="12" t="s">
        <v>0</v>
      </c>
      <c r="B2541" s="13" t="s">
        <v>1</v>
      </c>
      <c r="C2541" s="13" t="s">
        <v>1819</v>
      </c>
      <c r="D2541" s="14">
        <v>44183</v>
      </c>
      <c r="E2541" s="14">
        <v>44183</v>
      </c>
      <c r="F2541" s="14">
        <v>44188</v>
      </c>
      <c r="G2541" s="13" t="s">
        <v>3</v>
      </c>
      <c r="H2541" s="13" t="s">
        <v>4</v>
      </c>
      <c r="I2541" s="15">
        <v>-2566.21</v>
      </c>
      <c r="J2541" s="13" t="s">
        <v>5</v>
      </c>
      <c r="K2541" s="13" t="s">
        <v>6</v>
      </c>
      <c r="L2541" s="15">
        <v>-215433.33</v>
      </c>
      <c r="M2541" s="15">
        <v>-2566.21</v>
      </c>
      <c r="N2541" s="16" t="str">
        <f>IF(M2541="","",IF(M2541&lt;0,-M2541&amp;"_"&amp;COUNTIF(M$2:M2541,M2541),M2541&amp;"_"&amp;COUNTIF(M$2:M2541,M2541)))</f>
        <v>2566.21_1</v>
      </c>
      <c r="O2541" s="17" t="str">
        <f t="shared" si="39"/>
        <v/>
      </c>
      <c r="P2541" s="13" t="s">
        <v>1820</v>
      </c>
      <c r="Q2541" s="13" t="s">
        <v>1792</v>
      </c>
      <c r="R2541" s="13" t="s">
        <v>0</v>
      </c>
      <c r="S2541" s="13" t="s">
        <v>0</v>
      </c>
      <c r="T2541" s="13" t="s">
        <v>9</v>
      </c>
      <c r="U2541" s="13" t="s">
        <v>0</v>
      </c>
      <c r="V2541" s="13" t="s">
        <v>0</v>
      </c>
      <c r="W2541" s="13" t="s">
        <v>0</v>
      </c>
      <c r="X2541" s="13" t="s">
        <v>0</v>
      </c>
      <c r="Y2541" s="13" t="s">
        <v>10</v>
      </c>
      <c r="Z2541" s="13" t="s">
        <v>0</v>
      </c>
      <c r="AA2541" s="14"/>
      <c r="AB2541" s="13" t="s">
        <v>0</v>
      </c>
      <c r="AC2541" s="13" t="s">
        <v>0</v>
      </c>
      <c r="AD2541" s="13" t="s">
        <v>0</v>
      </c>
      <c r="AE2541" s="15">
        <v>0</v>
      </c>
    </row>
    <row r="2542" spans="1:31" ht="14.15" customHeight="1" x14ac:dyDescent="0.25">
      <c r="A2542" s="12" t="s">
        <v>0</v>
      </c>
      <c r="B2542" s="13" t="s">
        <v>1</v>
      </c>
      <c r="C2542" s="13" t="s">
        <v>3325</v>
      </c>
      <c r="D2542" s="14">
        <v>44314</v>
      </c>
      <c r="E2542" s="14">
        <v>44314</v>
      </c>
      <c r="F2542" s="14">
        <v>44323</v>
      </c>
      <c r="G2542" s="13" t="s">
        <v>3</v>
      </c>
      <c r="H2542" s="13" t="s">
        <v>4</v>
      </c>
      <c r="I2542" s="15">
        <v>-2554.69</v>
      </c>
      <c r="J2542" s="13" t="s">
        <v>5</v>
      </c>
      <c r="K2542" s="13" t="s">
        <v>6</v>
      </c>
      <c r="L2542" s="15">
        <v>-214466.22</v>
      </c>
      <c r="M2542" s="15">
        <v>-2554.69</v>
      </c>
      <c r="N2542" s="16" t="str">
        <f>IF(M2542="","",IF(M2542&lt;0,-M2542&amp;"_"&amp;COUNTIF(M$2:M2542,M2542),M2542&amp;"_"&amp;COUNTIF(M$2:M2542,M2542)))</f>
        <v>2554.69_1</v>
      </c>
      <c r="O2542" s="17" t="str">
        <f t="shared" si="39"/>
        <v/>
      </c>
      <c r="P2542" s="13" t="s">
        <v>3326</v>
      </c>
      <c r="Q2542" s="13" t="s">
        <v>3284</v>
      </c>
      <c r="R2542" s="13" t="s">
        <v>0</v>
      </c>
      <c r="S2542" s="13" t="s">
        <v>0</v>
      </c>
      <c r="T2542" s="13" t="s">
        <v>9</v>
      </c>
      <c r="U2542" s="13" t="s">
        <v>0</v>
      </c>
      <c r="V2542" s="13" t="s">
        <v>0</v>
      </c>
      <c r="W2542" s="13" t="s">
        <v>0</v>
      </c>
      <c r="X2542" s="13" t="s">
        <v>0</v>
      </c>
      <c r="Y2542" s="13" t="s">
        <v>10</v>
      </c>
      <c r="Z2542" s="13" t="s">
        <v>0</v>
      </c>
      <c r="AA2542" s="14"/>
      <c r="AB2542" s="13" t="s">
        <v>0</v>
      </c>
      <c r="AC2542" s="13" t="s">
        <v>0</v>
      </c>
      <c r="AD2542" s="13" t="s">
        <v>0</v>
      </c>
      <c r="AE2542" s="15">
        <v>0</v>
      </c>
    </row>
    <row r="2543" spans="1:31" ht="14.15" customHeight="1" x14ac:dyDescent="0.25">
      <c r="A2543" s="12" t="s">
        <v>0</v>
      </c>
      <c r="B2543" s="13" t="s">
        <v>1</v>
      </c>
      <c r="C2543" s="13" t="s">
        <v>810</v>
      </c>
      <c r="D2543" s="14">
        <v>44104</v>
      </c>
      <c r="E2543" s="14">
        <v>44104</v>
      </c>
      <c r="F2543" s="14">
        <v>44108</v>
      </c>
      <c r="G2543" s="13" t="s">
        <v>3</v>
      </c>
      <c r="H2543" s="13" t="s">
        <v>4</v>
      </c>
      <c r="I2543" s="15">
        <v>-2553.58</v>
      </c>
      <c r="J2543" s="13" t="s">
        <v>5</v>
      </c>
      <c r="K2543" s="13" t="s">
        <v>6</v>
      </c>
      <c r="L2543" s="15">
        <v>-214373.04</v>
      </c>
      <c r="M2543" s="15">
        <v>-2553.58</v>
      </c>
      <c r="N2543" s="16" t="str">
        <f>IF(M2543="","",IF(M2543&lt;0,-M2543&amp;"_"&amp;COUNTIF(M$2:M2543,M2543),M2543&amp;"_"&amp;COUNTIF(M$2:M2543,M2543)))</f>
        <v>2553.58_1</v>
      </c>
      <c r="O2543" s="17" t="str">
        <f t="shared" si="39"/>
        <v/>
      </c>
      <c r="P2543" s="13" t="s">
        <v>811</v>
      </c>
      <c r="Q2543" s="13" t="s">
        <v>812</v>
      </c>
      <c r="R2543" s="13" t="s">
        <v>0</v>
      </c>
      <c r="S2543" s="13" t="s">
        <v>0</v>
      </c>
      <c r="T2543" s="13" t="s">
        <v>9</v>
      </c>
      <c r="U2543" s="13" t="s">
        <v>0</v>
      </c>
      <c r="V2543" s="13" t="s">
        <v>0</v>
      </c>
      <c r="W2543" s="13" t="s">
        <v>0</v>
      </c>
      <c r="X2543" s="13" t="s">
        <v>0</v>
      </c>
      <c r="Y2543" s="13" t="s">
        <v>10</v>
      </c>
      <c r="Z2543" s="13" t="s">
        <v>0</v>
      </c>
      <c r="AA2543" s="14"/>
      <c r="AB2543" s="13" t="s">
        <v>0</v>
      </c>
      <c r="AC2543" s="13" t="s">
        <v>0</v>
      </c>
      <c r="AD2543" s="13" t="s">
        <v>0</v>
      </c>
      <c r="AE2543" s="15">
        <v>0</v>
      </c>
    </row>
    <row r="2544" spans="1:31" ht="14.15" customHeight="1" x14ac:dyDescent="0.25">
      <c r="A2544" s="12" t="s">
        <v>0</v>
      </c>
      <c r="B2544" s="13" t="s">
        <v>1</v>
      </c>
      <c r="C2544" s="13" t="s">
        <v>1790</v>
      </c>
      <c r="D2544" s="14">
        <v>44183</v>
      </c>
      <c r="E2544" s="14">
        <v>44183</v>
      </c>
      <c r="F2544" s="14">
        <v>44187</v>
      </c>
      <c r="G2544" s="13" t="s">
        <v>3</v>
      </c>
      <c r="H2544" s="13" t="s">
        <v>4</v>
      </c>
      <c r="I2544" s="15">
        <v>-2553.17</v>
      </c>
      <c r="J2544" s="13" t="s">
        <v>5</v>
      </c>
      <c r="K2544" s="13" t="s">
        <v>6</v>
      </c>
      <c r="L2544" s="15">
        <v>-214338.62</v>
      </c>
      <c r="M2544" s="15">
        <v>-2553.17</v>
      </c>
      <c r="N2544" s="16" t="str">
        <f>IF(M2544="","",IF(M2544&lt;0,-M2544&amp;"_"&amp;COUNTIF(M$2:M2544,M2544),M2544&amp;"_"&amp;COUNTIF(M$2:M2544,M2544)))</f>
        <v>2553.17_1</v>
      </c>
      <c r="O2544" s="17" t="str">
        <f t="shared" si="39"/>
        <v/>
      </c>
      <c r="P2544" s="13" t="s">
        <v>1791</v>
      </c>
      <c r="Q2544" s="13" t="s">
        <v>1792</v>
      </c>
      <c r="R2544" s="13" t="s">
        <v>0</v>
      </c>
      <c r="S2544" s="13" t="s">
        <v>0</v>
      </c>
      <c r="T2544" s="13" t="s">
        <v>9</v>
      </c>
      <c r="U2544" s="13" t="s">
        <v>0</v>
      </c>
      <c r="V2544" s="13" t="s">
        <v>0</v>
      </c>
      <c r="W2544" s="13" t="s">
        <v>0</v>
      </c>
      <c r="X2544" s="13" t="s">
        <v>0</v>
      </c>
      <c r="Y2544" s="13" t="s">
        <v>10</v>
      </c>
      <c r="Z2544" s="13" t="s">
        <v>0</v>
      </c>
      <c r="AA2544" s="14"/>
      <c r="AB2544" s="13" t="s">
        <v>0</v>
      </c>
      <c r="AC2544" s="13" t="s">
        <v>0</v>
      </c>
      <c r="AD2544" s="13" t="s">
        <v>0</v>
      </c>
      <c r="AE2544" s="15">
        <v>0</v>
      </c>
    </row>
    <row r="2545" spans="1:31" ht="14.15" customHeight="1" x14ac:dyDescent="0.25">
      <c r="A2545" s="12" t="s">
        <v>0</v>
      </c>
      <c r="B2545" s="13" t="s">
        <v>1</v>
      </c>
      <c r="C2545" s="13" t="s">
        <v>1803</v>
      </c>
      <c r="D2545" s="14">
        <v>44183</v>
      </c>
      <c r="E2545" s="14">
        <v>44183</v>
      </c>
      <c r="F2545" s="14">
        <v>44187</v>
      </c>
      <c r="G2545" s="13" t="s">
        <v>3</v>
      </c>
      <c r="H2545" s="13" t="s">
        <v>4</v>
      </c>
      <c r="I2545" s="15">
        <v>-2553.17</v>
      </c>
      <c r="J2545" s="13" t="s">
        <v>5</v>
      </c>
      <c r="K2545" s="13" t="s">
        <v>6</v>
      </c>
      <c r="L2545" s="15">
        <v>-214338.62</v>
      </c>
      <c r="M2545" s="15">
        <v>-2553.17</v>
      </c>
      <c r="N2545" s="16" t="str">
        <f>IF(M2545="","",IF(M2545&lt;0,-M2545&amp;"_"&amp;COUNTIF(M$2:M2545,M2545),M2545&amp;"_"&amp;COUNTIF(M$2:M2545,M2545)))</f>
        <v>2553.17_2</v>
      </c>
      <c r="O2545" s="17" t="str">
        <f t="shared" si="39"/>
        <v/>
      </c>
      <c r="P2545" s="13" t="s">
        <v>1804</v>
      </c>
      <c r="Q2545" s="13" t="s">
        <v>1792</v>
      </c>
      <c r="R2545" s="13" t="s">
        <v>0</v>
      </c>
      <c r="S2545" s="13" t="s">
        <v>0</v>
      </c>
      <c r="T2545" s="13" t="s">
        <v>9</v>
      </c>
      <c r="U2545" s="13" t="s">
        <v>0</v>
      </c>
      <c r="V2545" s="13" t="s">
        <v>0</v>
      </c>
      <c r="W2545" s="13" t="s">
        <v>0</v>
      </c>
      <c r="X2545" s="13" t="s">
        <v>0</v>
      </c>
      <c r="Y2545" s="13" t="s">
        <v>10</v>
      </c>
      <c r="Z2545" s="13" t="s">
        <v>0</v>
      </c>
      <c r="AA2545" s="14"/>
      <c r="AB2545" s="13" t="s">
        <v>0</v>
      </c>
      <c r="AC2545" s="13" t="s">
        <v>0</v>
      </c>
      <c r="AD2545" s="13" t="s">
        <v>0</v>
      </c>
      <c r="AE2545" s="15">
        <v>0</v>
      </c>
    </row>
    <row r="2546" spans="1:31" ht="14.15" customHeight="1" x14ac:dyDescent="0.25">
      <c r="A2546" s="12" t="s">
        <v>0</v>
      </c>
      <c r="B2546" s="13" t="s">
        <v>1</v>
      </c>
      <c r="C2546" s="13" t="s">
        <v>2110</v>
      </c>
      <c r="D2546" s="14">
        <v>44199</v>
      </c>
      <c r="E2546" s="14">
        <v>44199</v>
      </c>
      <c r="F2546" s="14">
        <v>44208</v>
      </c>
      <c r="G2546" s="13" t="s">
        <v>3</v>
      </c>
      <c r="H2546" s="13" t="s">
        <v>4</v>
      </c>
      <c r="I2546" s="15">
        <v>-2552.11</v>
      </c>
      <c r="J2546" s="13" t="s">
        <v>5</v>
      </c>
      <c r="K2546" s="13" t="s">
        <v>6</v>
      </c>
      <c r="L2546" s="15">
        <v>-214249.63</v>
      </c>
      <c r="M2546" s="15">
        <v>-2552.11</v>
      </c>
      <c r="N2546" s="16" t="str">
        <f>IF(M2546="","",IF(M2546&lt;0,-M2546&amp;"_"&amp;COUNTIF(M$2:M2546,M2546),M2546&amp;"_"&amp;COUNTIF(M$2:M2546,M2546)))</f>
        <v>2552.11_1</v>
      </c>
      <c r="O2546" s="17" t="str">
        <f t="shared" si="39"/>
        <v/>
      </c>
      <c r="P2546" s="13" t="s">
        <v>2111</v>
      </c>
      <c r="Q2546" s="13" t="s">
        <v>2093</v>
      </c>
      <c r="R2546" s="13" t="s">
        <v>0</v>
      </c>
      <c r="S2546" s="13" t="s">
        <v>0</v>
      </c>
      <c r="T2546" s="13" t="s">
        <v>9</v>
      </c>
      <c r="U2546" s="13" t="s">
        <v>0</v>
      </c>
      <c r="V2546" s="13" t="s">
        <v>0</v>
      </c>
      <c r="W2546" s="13" t="s">
        <v>0</v>
      </c>
      <c r="X2546" s="13" t="s">
        <v>0</v>
      </c>
      <c r="Y2546" s="13" t="s">
        <v>10</v>
      </c>
      <c r="Z2546" s="13" t="s">
        <v>0</v>
      </c>
      <c r="AA2546" s="14"/>
      <c r="AB2546" s="13" t="s">
        <v>0</v>
      </c>
      <c r="AC2546" s="13" t="s">
        <v>0</v>
      </c>
      <c r="AD2546" s="13" t="s">
        <v>0</v>
      </c>
      <c r="AE2546" s="15">
        <v>0</v>
      </c>
    </row>
    <row r="2547" spans="1:31" ht="14.15" customHeight="1" x14ac:dyDescent="0.25">
      <c r="A2547" s="12" t="s">
        <v>0</v>
      </c>
      <c r="B2547" s="13" t="s">
        <v>1</v>
      </c>
      <c r="C2547" s="13" t="s">
        <v>4274</v>
      </c>
      <c r="D2547" s="14">
        <v>44370</v>
      </c>
      <c r="E2547" s="14">
        <v>44370</v>
      </c>
      <c r="F2547" s="14">
        <v>44371</v>
      </c>
      <c r="G2547" s="13" t="s">
        <v>3</v>
      </c>
      <c r="H2547" s="13" t="s">
        <v>4</v>
      </c>
      <c r="I2547" s="15">
        <v>-2541.9299999999998</v>
      </c>
      <c r="J2547" s="13" t="s">
        <v>5</v>
      </c>
      <c r="K2547" s="13" t="s">
        <v>6</v>
      </c>
      <c r="L2547" s="15">
        <v>-213395.02</v>
      </c>
      <c r="M2547" s="15">
        <v>-2541.9299999999998</v>
      </c>
      <c r="N2547" s="16" t="str">
        <f>IF(M2547="","",IF(M2547&lt;0,-M2547&amp;"_"&amp;COUNTIF(M$2:M2547,M2547),M2547&amp;"_"&amp;COUNTIF(M$2:M2547,M2547)))</f>
        <v>2541.93_1</v>
      </c>
      <c r="O2547" s="17" t="str">
        <f t="shared" si="39"/>
        <v/>
      </c>
      <c r="P2547" s="13" t="s">
        <v>4275</v>
      </c>
      <c r="Q2547" s="13" t="s">
        <v>4269</v>
      </c>
      <c r="R2547" s="13" t="s">
        <v>0</v>
      </c>
      <c r="S2547" s="13" t="s">
        <v>0</v>
      </c>
      <c r="T2547" s="13" t="s">
        <v>9</v>
      </c>
      <c r="U2547" s="13" t="s">
        <v>0</v>
      </c>
      <c r="V2547" s="13" t="s">
        <v>0</v>
      </c>
      <c r="W2547" s="13" t="s">
        <v>0</v>
      </c>
      <c r="X2547" s="13" t="s">
        <v>0</v>
      </c>
      <c r="Y2547" s="13" t="s">
        <v>10</v>
      </c>
      <c r="Z2547" s="13" t="s">
        <v>0</v>
      </c>
      <c r="AA2547" s="14"/>
      <c r="AB2547" s="13" t="s">
        <v>0</v>
      </c>
      <c r="AC2547" s="13" t="s">
        <v>0</v>
      </c>
      <c r="AD2547" s="13" t="s">
        <v>0</v>
      </c>
      <c r="AE2547" s="15">
        <v>0</v>
      </c>
    </row>
    <row r="2548" spans="1:31" ht="14.15" customHeight="1" x14ac:dyDescent="0.25">
      <c r="A2548" s="12" t="s">
        <v>0</v>
      </c>
      <c r="B2548" s="13" t="s">
        <v>1</v>
      </c>
      <c r="C2548" s="13" t="s">
        <v>1136</v>
      </c>
      <c r="D2548" s="14">
        <v>44139</v>
      </c>
      <c r="E2548" s="14">
        <v>44139</v>
      </c>
      <c r="F2548" s="14">
        <v>44146</v>
      </c>
      <c r="G2548" s="13" t="s">
        <v>3</v>
      </c>
      <c r="H2548" s="13" t="s">
        <v>4</v>
      </c>
      <c r="I2548" s="15">
        <v>-2540.88</v>
      </c>
      <c r="J2548" s="13" t="s">
        <v>5</v>
      </c>
      <c r="K2548" s="13" t="s">
        <v>6</v>
      </c>
      <c r="L2548" s="15">
        <v>-213306.87</v>
      </c>
      <c r="M2548" s="15">
        <v>-2540.88</v>
      </c>
      <c r="N2548" s="16" t="str">
        <f>IF(M2548="","",IF(M2548&lt;0,-M2548&amp;"_"&amp;COUNTIF(M$2:M2548,M2548),M2548&amp;"_"&amp;COUNTIF(M$2:M2548,M2548)))</f>
        <v>2540.88_1</v>
      </c>
      <c r="O2548" s="17" t="str">
        <f t="shared" si="39"/>
        <v/>
      </c>
      <c r="P2548" s="13" t="s">
        <v>1137</v>
      </c>
      <c r="Q2548" s="13" t="s">
        <v>1138</v>
      </c>
      <c r="R2548" s="13" t="s">
        <v>0</v>
      </c>
      <c r="S2548" s="13" t="s">
        <v>0</v>
      </c>
      <c r="T2548" s="13" t="s">
        <v>9</v>
      </c>
      <c r="U2548" s="13" t="s">
        <v>0</v>
      </c>
      <c r="V2548" s="13" t="s">
        <v>0</v>
      </c>
      <c r="W2548" s="13" t="s">
        <v>0</v>
      </c>
      <c r="X2548" s="13" t="s">
        <v>0</v>
      </c>
      <c r="Y2548" s="13" t="s">
        <v>10</v>
      </c>
      <c r="Z2548" s="13" t="s">
        <v>0</v>
      </c>
      <c r="AA2548" s="14"/>
      <c r="AB2548" s="13" t="s">
        <v>0</v>
      </c>
      <c r="AC2548" s="13" t="s">
        <v>0</v>
      </c>
      <c r="AD2548" s="13" t="s">
        <v>0</v>
      </c>
      <c r="AE2548" s="15">
        <v>0</v>
      </c>
    </row>
    <row r="2549" spans="1:31" ht="14.15" customHeight="1" x14ac:dyDescent="0.25">
      <c r="A2549" s="12" t="s">
        <v>0</v>
      </c>
      <c r="B2549" s="13" t="s">
        <v>1</v>
      </c>
      <c r="C2549" s="13" t="s">
        <v>391</v>
      </c>
      <c r="D2549" s="14">
        <v>44060</v>
      </c>
      <c r="E2549" s="14">
        <v>44060</v>
      </c>
      <c r="F2549" s="14">
        <v>44068</v>
      </c>
      <c r="G2549" s="13" t="s">
        <v>3</v>
      </c>
      <c r="H2549" s="13" t="s">
        <v>4</v>
      </c>
      <c r="I2549" s="15">
        <v>-2527.38</v>
      </c>
      <c r="J2549" s="13" t="s">
        <v>5</v>
      </c>
      <c r="K2549" s="13" t="s">
        <v>6</v>
      </c>
      <c r="L2549" s="15">
        <v>-212173.55</v>
      </c>
      <c r="M2549" s="15">
        <v>-2527.38</v>
      </c>
      <c r="N2549" s="16" t="str">
        <f>IF(M2549="","",IF(M2549&lt;0,-M2549&amp;"_"&amp;COUNTIF(M$2:M2549,M2549),M2549&amp;"_"&amp;COUNTIF(M$2:M2549,M2549)))</f>
        <v>2527.38_1</v>
      </c>
      <c r="O2549" s="17" t="str">
        <f t="shared" si="39"/>
        <v/>
      </c>
      <c r="P2549" s="13" t="s">
        <v>392</v>
      </c>
      <c r="Q2549" s="13" t="s">
        <v>388</v>
      </c>
      <c r="R2549" s="13" t="s">
        <v>0</v>
      </c>
      <c r="S2549" s="13" t="s">
        <v>0</v>
      </c>
      <c r="T2549" s="13" t="s">
        <v>9</v>
      </c>
      <c r="U2549" s="13" t="s">
        <v>0</v>
      </c>
      <c r="V2549" s="13" t="s">
        <v>0</v>
      </c>
      <c r="W2549" s="13" t="s">
        <v>0</v>
      </c>
      <c r="X2549" s="13" t="s">
        <v>0</v>
      </c>
      <c r="Y2549" s="13" t="s">
        <v>10</v>
      </c>
      <c r="Z2549" s="13" t="s">
        <v>0</v>
      </c>
      <c r="AA2549" s="14"/>
      <c r="AB2549" s="13" t="s">
        <v>0</v>
      </c>
      <c r="AC2549" s="13" t="s">
        <v>0</v>
      </c>
      <c r="AD2549" s="13" t="s">
        <v>0</v>
      </c>
      <c r="AE2549" s="15">
        <v>0</v>
      </c>
    </row>
    <row r="2550" spans="1:31" ht="14.15" customHeight="1" x14ac:dyDescent="0.25">
      <c r="A2550" s="12" t="s">
        <v>0</v>
      </c>
      <c r="B2550" s="13" t="s">
        <v>1</v>
      </c>
      <c r="C2550" s="13" t="s">
        <v>3913</v>
      </c>
      <c r="D2550" s="14">
        <v>44354</v>
      </c>
      <c r="E2550" s="14">
        <v>44354</v>
      </c>
      <c r="F2550" s="14">
        <v>44357</v>
      </c>
      <c r="G2550" s="13" t="s">
        <v>3</v>
      </c>
      <c r="H2550" s="13" t="s">
        <v>4</v>
      </c>
      <c r="I2550" s="15">
        <v>-2522.4499999999998</v>
      </c>
      <c r="J2550" s="13" t="s">
        <v>5</v>
      </c>
      <c r="K2550" s="13" t="s">
        <v>6</v>
      </c>
      <c r="L2550" s="15">
        <v>-211759.68</v>
      </c>
      <c r="M2550" s="15">
        <v>-2522.4499999999998</v>
      </c>
      <c r="N2550" s="16" t="str">
        <f>IF(M2550="","",IF(M2550&lt;0,-M2550&amp;"_"&amp;COUNTIF(M$2:M2550,M2550),M2550&amp;"_"&amp;COUNTIF(M$2:M2550,M2550)))</f>
        <v>2522.45_1</v>
      </c>
      <c r="O2550" s="17" t="str">
        <f t="shared" si="39"/>
        <v/>
      </c>
      <c r="P2550" s="13" t="s">
        <v>3879</v>
      </c>
      <c r="Q2550" s="13" t="s">
        <v>3914</v>
      </c>
      <c r="R2550" s="13" t="s">
        <v>0</v>
      </c>
      <c r="S2550" s="13" t="s">
        <v>0</v>
      </c>
      <c r="T2550" s="13" t="s">
        <v>9</v>
      </c>
      <c r="U2550" s="13" t="s">
        <v>0</v>
      </c>
      <c r="V2550" s="13" t="s">
        <v>0</v>
      </c>
      <c r="W2550" s="13" t="s">
        <v>0</v>
      </c>
      <c r="X2550" s="13" t="s">
        <v>0</v>
      </c>
      <c r="Y2550" s="13" t="s">
        <v>10</v>
      </c>
      <c r="Z2550" s="13" t="s">
        <v>0</v>
      </c>
      <c r="AA2550" s="14"/>
      <c r="AB2550" s="13" t="s">
        <v>0</v>
      </c>
      <c r="AC2550" s="13" t="s">
        <v>0</v>
      </c>
      <c r="AD2550" s="13" t="s">
        <v>0</v>
      </c>
      <c r="AE2550" s="15">
        <v>0</v>
      </c>
    </row>
    <row r="2551" spans="1:31" ht="14.15" customHeight="1" x14ac:dyDescent="0.25">
      <c r="A2551" s="12" t="s">
        <v>0</v>
      </c>
      <c r="B2551" s="13" t="s">
        <v>303</v>
      </c>
      <c r="C2551" s="13" t="s">
        <v>2003</v>
      </c>
      <c r="D2551" s="14">
        <v>44196</v>
      </c>
      <c r="E2551" s="14">
        <v>44196</v>
      </c>
      <c r="F2551" s="14">
        <v>44203</v>
      </c>
      <c r="G2551" s="13" t="s">
        <v>48</v>
      </c>
      <c r="H2551" s="13" t="s">
        <v>4</v>
      </c>
      <c r="I2551" s="15">
        <v>-2520</v>
      </c>
      <c r="J2551" s="13" t="s">
        <v>5</v>
      </c>
      <c r="K2551" s="13" t="s">
        <v>6</v>
      </c>
      <c r="L2551" s="15">
        <v>-211554</v>
      </c>
      <c r="M2551" s="15">
        <v>-2520</v>
      </c>
      <c r="N2551" s="16" t="str">
        <f>IF(M2551="","",IF(M2551&lt;0,-M2551&amp;"_"&amp;COUNTIF(M$2:M2551,M2551),M2551&amp;"_"&amp;COUNTIF(M$2:M2551,M2551)))</f>
        <v>2520_1</v>
      </c>
      <c r="O2551" s="17" t="str">
        <f t="shared" si="39"/>
        <v/>
      </c>
      <c r="P2551" s="13" t="s">
        <v>2004</v>
      </c>
      <c r="Q2551" s="13" t="s">
        <v>2005</v>
      </c>
      <c r="R2551" s="13" t="s">
        <v>2002</v>
      </c>
      <c r="S2551" s="13" t="s">
        <v>0</v>
      </c>
      <c r="T2551" s="13" t="s">
        <v>9</v>
      </c>
      <c r="U2551" s="13" t="s">
        <v>1999</v>
      </c>
      <c r="V2551" s="13" t="s">
        <v>0</v>
      </c>
      <c r="W2551" s="13" t="s">
        <v>0</v>
      </c>
      <c r="X2551" s="13" t="s">
        <v>0</v>
      </c>
      <c r="Y2551" s="13" t="s">
        <v>0</v>
      </c>
      <c r="Z2551" s="13" t="s">
        <v>0</v>
      </c>
      <c r="AA2551" s="14"/>
      <c r="AB2551" s="13" t="s">
        <v>0</v>
      </c>
      <c r="AC2551" s="13" t="s">
        <v>0</v>
      </c>
      <c r="AD2551" s="13" t="s">
        <v>0</v>
      </c>
      <c r="AE2551" s="15">
        <v>0</v>
      </c>
    </row>
    <row r="2552" spans="1:31" ht="14.15" customHeight="1" x14ac:dyDescent="0.25">
      <c r="A2552" s="12" t="s">
        <v>0</v>
      </c>
      <c r="B2552" s="13" t="s">
        <v>303</v>
      </c>
      <c r="C2552" s="13" t="s">
        <v>2006</v>
      </c>
      <c r="D2552" s="14">
        <v>44196</v>
      </c>
      <c r="E2552" s="14">
        <v>44196</v>
      </c>
      <c r="F2552" s="14">
        <v>44203</v>
      </c>
      <c r="G2552" s="13" t="s">
        <v>48</v>
      </c>
      <c r="H2552" s="13" t="s">
        <v>4</v>
      </c>
      <c r="I2552" s="15">
        <v>-2516.67</v>
      </c>
      <c r="J2552" s="13" t="s">
        <v>5</v>
      </c>
      <c r="K2552" s="13" t="s">
        <v>6</v>
      </c>
      <c r="L2552" s="15">
        <v>-211274.45</v>
      </c>
      <c r="M2552" s="15">
        <v>-2516.67</v>
      </c>
      <c r="N2552" s="16" t="str">
        <f>IF(M2552="","",IF(M2552&lt;0,-M2552&amp;"_"&amp;COUNTIF(M$2:M2552,M2552),M2552&amp;"_"&amp;COUNTIF(M$2:M2552,M2552)))</f>
        <v>2516.67_1</v>
      </c>
      <c r="O2552" s="17" t="str">
        <f t="shared" si="39"/>
        <v/>
      </c>
      <c r="P2552" s="13" t="s">
        <v>2007</v>
      </c>
      <c r="Q2552" s="13" t="s">
        <v>2007</v>
      </c>
      <c r="R2552" s="13" t="s">
        <v>2002</v>
      </c>
      <c r="S2552" s="13" t="s">
        <v>0</v>
      </c>
      <c r="T2552" s="13" t="s">
        <v>9</v>
      </c>
      <c r="U2552" s="13" t="s">
        <v>1999</v>
      </c>
      <c r="V2552" s="13" t="s">
        <v>0</v>
      </c>
      <c r="W2552" s="13" t="s">
        <v>0</v>
      </c>
      <c r="X2552" s="13" t="s">
        <v>0</v>
      </c>
      <c r="Y2552" s="13" t="s">
        <v>0</v>
      </c>
      <c r="Z2552" s="13" t="s">
        <v>0</v>
      </c>
      <c r="AA2552" s="14"/>
      <c r="AB2552" s="13" t="s">
        <v>0</v>
      </c>
      <c r="AC2552" s="13" t="s">
        <v>0</v>
      </c>
      <c r="AD2552" s="13" t="s">
        <v>0</v>
      </c>
      <c r="AE2552" s="15">
        <v>0</v>
      </c>
    </row>
    <row r="2553" spans="1:31" ht="14.15" customHeight="1" x14ac:dyDescent="0.25">
      <c r="A2553" s="12" t="s">
        <v>0</v>
      </c>
      <c r="B2553" s="13" t="s">
        <v>1</v>
      </c>
      <c r="C2553" s="13" t="s">
        <v>1580</v>
      </c>
      <c r="D2553" s="14">
        <v>44166</v>
      </c>
      <c r="E2553" s="14">
        <v>44166</v>
      </c>
      <c r="F2553" s="14">
        <v>44174</v>
      </c>
      <c r="G2553" s="13" t="s">
        <v>3</v>
      </c>
      <c r="H2553" s="13" t="s">
        <v>4</v>
      </c>
      <c r="I2553" s="15">
        <v>-2515.7399999999998</v>
      </c>
      <c r="J2553" s="13" t="s">
        <v>5</v>
      </c>
      <c r="K2553" s="13" t="s">
        <v>6</v>
      </c>
      <c r="L2553" s="15">
        <v>-211196.37</v>
      </c>
      <c r="M2553" s="15">
        <v>-2515.7399999999998</v>
      </c>
      <c r="N2553" s="16" t="str">
        <f>IF(M2553="","",IF(M2553&lt;0,-M2553&amp;"_"&amp;COUNTIF(M$2:M2553,M2553),M2553&amp;"_"&amp;COUNTIF(M$2:M2553,M2553)))</f>
        <v>2515.74_1</v>
      </c>
      <c r="O2553" s="17" t="str">
        <f t="shared" si="39"/>
        <v/>
      </c>
      <c r="P2553" s="13" t="s">
        <v>1581</v>
      </c>
      <c r="Q2553" s="13" t="s">
        <v>1579</v>
      </c>
      <c r="R2553" s="13" t="s">
        <v>0</v>
      </c>
      <c r="S2553" s="13" t="s">
        <v>0</v>
      </c>
      <c r="T2553" s="13" t="s">
        <v>9</v>
      </c>
      <c r="U2553" s="13" t="s">
        <v>0</v>
      </c>
      <c r="V2553" s="13" t="s">
        <v>0</v>
      </c>
      <c r="W2553" s="13" t="s">
        <v>0</v>
      </c>
      <c r="X2553" s="13" t="s">
        <v>0</v>
      </c>
      <c r="Y2553" s="13" t="s">
        <v>10</v>
      </c>
      <c r="Z2553" s="13" t="s">
        <v>0</v>
      </c>
      <c r="AA2553" s="14"/>
      <c r="AB2553" s="13" t="s">
        <v>0</v>
      </c>
      <c r="AC2553" s="13" t="s">
        <v>0</v>
      </c>
      <c r="AD2553" s="13" t="s">
        <v>0</v>
      </c>
      <c r="AE2553" s="15">
        <v>0</v>
      </c>
    </row>
    <row r="2554" spans="1:31" ht="14.15" customHeight="1" x14ac:dyDescent="0.25">
      <c r="A2554" s="12" t="s">
        <v>0</v>
      </c>
      <c r="B2554" s="13" t="s">
        <v>1</v>
      </c>
      <c r="C2554" s="13" t="s">
        <v>1849</v>
      </c>
      <c r="D2554" s="14">
        <v>44185</v>
      </c>
      <c r="E2554" s="14">
        <v>44185</v>
      </c>
      <c r="F2554" s="14">
        <v>44196</v>
      </c>
      <c r="G2554" s="13" t="s">
        <v>3</v>
      </c>
      <c r="H2554" s="13" t="s">
        <v>4</v>
      </c>
      <c r="I2554" s="15">
        <v>-2513.9699999999998</v>
      </c>
      <c r="J2554" s="13" t="s">
        <v>5</v>
      </c>
      <c r="K2554" s="13" t="s">
        <v>6</v>
      </c>
      <c r="L2554" s="15">
        <v>-211047.78</v>
      </c>
      <c r="M2554" s="15">
        <v>-2513.9699999999998</v>
      </c>
      <c r="N2554" s="16" t="str">
        <f>IF(M2554="","",IF(M2554&lt;0,-M2554&amp;"_"&amp;COUNTIF(M$2:M2554,M2554),M2554&amp;"_"&amp;COUNTIF(M$2:M2554,M2554)))</f>
        <v>2513.97_1</v>
      </c>
      <c r="O2554" s="17" t="str">
        <f t="shared" si="39"/>
        <v/>
      </c>
      <c r="P2554" s="13" t="s">
        <v>1850</v>
      </c>
      <c r="Q2554" s="13" t="s">
        <v>1848</v>
      </c>
      <c r="R2554" s="13" t="s">
        <v>0</v>
      </c>
      <c r="S2554" s="13" t="s">
        <v>0</v>
      </c>
      <c r="T2554" s="13" t="s">
        <v>9</v>
      </c>
      <c r="U2554" s="13" t="s">
        <v>0</v>
      </c>
      <c r="V2554" s="13" t="s">
        <v>0</v>
      </c>
      <c r="W2554" s="13" t="s">
        <v>0</v>
      </c>
      <c r="X2554" s="13" t="s">
        <v>0</v>
      </c>
      <c r="Y2554" s="13" t="s">
        <v>10</v>
      </c>
      <c r="Z2554" s="13" t="s">
        <v>0</v>
      </c>
      <c r="AA2554" s="14"/>
      <c r="AB2554" s="13" t="s">
        <v>0</v>
      </c>
      <c r="AC2554" s="13" t="s">
        <v>0</v>
      </c>
      <c r="AD2554" s="13" t="s">
        <v>0</v>
      </c>
      <c r="AE2554" s="15">
        <v>0</v>
      </c>
    </row>
    <row r="2555" spans="1:31" ht="14.15" customHeight="1" x14ac:dyDescent="0.25">
      <c r="A2555" s="12" t="s">
        <v>0</v>
      </c>
      <c r="B2555" s="13" t="s">
        <v>1</v>
      </c>
      <c r="C2555" s="13" t="s">
        <v>1606</v>
      </c>
      <c r="D2555" s="14">
        <v>44168</v>
      </c>
      <c r="E2555" s="14">
        <v>44168</v>
      </c>
      <c r="F2555" s="14">
        <v>44174</v>
      </c>
      <c r="G2555" s="13" t="s">
        <v>3</v>
      </c>
      <c r="H2555" s="13" t="s">
        <v>4</v>
      </c>
      <c r="I2555" s="15">
        <v>-2506.37</v>
      </c>
      <c r="J2555" s="13" t="s">
        <v>5</v>
      </c>
      <c r="K2555" s="13" t="s">
        <v>6</v>
      </c>
      <c r="L2555" s="15">
        <v>-210409.76</v>
      </c>
      <c r="M2555" s="15">
        <v>-2506.37</v>
      </c>
      <c r="N2555" s="16" t="str">
        <f>IF(M2555="","",IF(M2555&lt;0,-M2555&amp;"_"&amp;COUNTIF(M$2:M2555,M2555),M2555&amp;"_"&amp;COUNTIF(M$2:M2555,M2555)))</f>
        <v>2506.37_1</v>
      </c>
      <c r="O2555" s="17" t="str">
        <f t="shared" si="39"/>
        <v/>
      </c>
      <c r="P2555" s="13" t="s">
        <v>1607</v>
      </c>
      <c r="Q2555" s="13" t="s">
        <v>1605</v>
      </c>
      <c r="R2555" s="13" t="s">
        <v>0</v>
      </c>
      <c r="S2555" s="13" t="s">
        <v>0</v>
      </c>
      <c r="T2555" s="13" t="s">
        <v>9</v>
      </c>
      <c r="U2555" s="13" t="s">
        <v>0</v>
      </c>
      <c r="V2555" s="13" t="s">
        <v>0</v>
      </c>
      <c r="W2555" s="13" t="s">
        <v>0</v>
      </c>
      <c r="X2555" s="13" t="s">
        <v>0</v>
      </c>
      <c r="Y2555" s="13" t="s">
        <v>10</v>
      </c>
      <c r="Z2555" s="13" t="s">
        <v>0</v>
      </c>
      <c r="AA2555" s="14"/>
      <c r="AB2555" s="13" t="s">
        <v>0</v>
      </c>
      <c r="AC2555" s="13" t="s">
        <v>0</v>
      </c>
      <c r="AD2555" s="13" t="s">
        <v>0</v>
      </c>
      <c r="AE2555" s="15">
        <v>0</v>
      </c>
    </row>
    <row r="2556" spans="1:31" ht="14.15" customHeight="1" x14ac:dyDescent="0.25">
      <c r="A2556" s="12" t="s">
        <v>0</v>
      </c>
      <c r="B2556" s="13" t="s">
        <v>1</v>
      </c>
      <c r="C2556" s="13" t="s">
        <v>945</v>
      </c>
      <c r="D2556" s="14">
        <v>44122</v>
      </c>
      <c r="E2556" s="14">
        <v>44122</v>
      </c>
      <c r="F2556" s="14">
        <v>44126</v>
      </c>
      <c r="G2556" s="13" t="s">
        <v>3</v>
      </c>
      <c r="H2556" s="13" t="s">
        <v>4</v>
      </c>
      <c r="I2556" s="15">
        <v>-2503.2600000000002</v>
      </c>
      <c r="J2556" s="13" t="s">
        <v>394</v>
      </c>
      <c r="K2556" s="13" t="s">
        <v>6</v>
      </c>
      <c r="L2556" s="15">
        <v>-210148.66</v>
      </c>
      <c r="M2556" s="15">
        <v>-2503.2600000000002</v>
      </c>
      <c r="N2556" s="16" t="str">
        <f>IF(M2556="","",IF(M2556&lt;0,-M2556&amp;"_"&amp;COUNTIF(M$2:M2556,M2556),M2556&amp;"_"&amp;COUNTIF(M$2:M2556,M2556)))</f>
        <v>2503.26_1</v>
      </c>
      <c r="O2556" s="17" t="str">
        <f t="shared" si="39"/>
        <v/>
      </c>
      <c r="P2556" s="13" t="s">
        <v>946</v>
      </c>
      <c r="Q2556" s="13" t="s">
        <v>947</v>
      </c>
      <c r="R2556" s="13" t="s">
        <v>0</v>
      </c>
      <c r="S2556" s="13" t="s">
        <v>0</v>
      </c>
      <c r="T2556" s="13" t="s">
        <v>9</v>
      </c>
      <c r="U2556" s="13" t="s">
        <v>0</v>
      </c>
      <c r="V2556" s="13" t="s">
        <v>0</v>
      </c>
      <c r="W2556" s="13" t="s">
        <v>0</v>
      </c>
      <c r="X2556" s="13" t="s">
        <v>0</v>
      </c>
      <c r="Y2556" s="13" t="s">
        <v>10</v>
      </c>
      <c r="Z2556" s="13" t="s">
        <v>0</v>
      </c>
      <c r="AA2556" s="14"/>
      <c r="AB2556" s="13" t="s">
        <v>0</v>
      </c>
      <c r="AC2556" s="13" t="s">
        <v>0</v>
      </c>
      <c r="AD2556" s="13" t="s">
        <v>0</v>
      </c>
      <c r="AE2556" s="15">
        <v>0</v>
      </c>
    </row>
    <row r="2557" spans="1:31" ht="14.15" customHeight="1" x14ac:dyDescent="0.25">
      <c r="A2557" s="12" t="s">
        <v>0</v>
      </c>
      <c r="B2557" s="13" t="s">
        <v>1</v>
      </c>
      <c r="C2557" s="13" t="s">
        <v>945</v>
      </c>
      <c r="D2557" s="14">
        <v>44122</v>
      </c>
      <c r="E2557" s="14">
        <v>44122</v>
      </c>
      <c r="F2557" s="14">
        <v>44126</v>
      </c>
      <c r="G2557" s="13" t="s">
        <v>3</v>
      </c>
      <c r="H2557" s="13" t="s">
        <v>4</v>
      </c>
      <c r="I2557" s="15">
        <v>-2503.2600000000002</v>
      </c>
      <c r="J2557" s="13" t="s">
        <v>5</v>
      </c>
      <c r="K2557" s="13" t="s">
        <v>6</v>
      </c>
      <c r="L2557" s="15">
        <v>-210148.68</v>
      </c>
      <c r="M2557" s="15">
        <v>-2503.2600000000002</v>
      </c>
      <c r="N2557" s="16" t="str">
        <f>IF(M2557="","",IF(M2557&lt;0,-M2557&amp;"_"&amp;COUNTIF(M$2:M2557,M2557),M2557&amp;"_"&amp;COUNTIF(M$2:M2557,M2557)))</f>
        <v>2503.26_2</v>
      </c>
      <c r="O2557" s="17" t="str">
        <f t="shared" si="39"/>
        <v/>
      </c>
      <c r="P2557" s="13" t="s">
        <v>946</v>
      </c>
      <c r="Q2557" s="13" t="s">
        <v>947</v>
      </c>
      <c r="R2557" s="13" t="s">
        <v>0</v>
      </c>
      <c r="S2557" s="13" t="s">
        <v>0</v>
      </c>
      <c r="T2557" s="13" t="s">
        <v>9</v>
      </c>
      <c r="U2557" s="13" t="s">
        <v>0</v>
      </c>
      <c r="V2557" s="13" t="s">
        <v>0</v>
      </c>
      <c r="W2557" s="13" t="s">
        <v>0</v>
      </c>
      <c r="X2557" s="13" t="s">
        <v>0</v>
      </c>
      <c r="Y2557" s="13" t="s">
        <v>10</v>
      </c>
      <c r="Z2557" s="13" t="s">
        <v>0</v>
      </c>
      <c r="AA2557" s="14"/>
      <c r="AB2557" s="13" t="s">
        <v>0</v>
      </c>
      <c r="AC2557" s="13" t="s">
        <v>0</v>
      </c>
      <c r="AD2557" s="13" t="s">
        <v>0</v>
      </c>
      <c r="AE2557" s="15">
        <v>0</v>
      </c>
    </row>
    <row r="2558" spans="1:31" ht="14.15" customHeight="1" x14ac:dyDescent="0.25">
      <c r="A2558" s="12" t="s">
        <v>0</v>
      </c>
      <c r="B2558" s="13" t="s">
        <v>1</v>
      </c>
      <c r="C2558" s="13" t="s">
        <v>945</v>
      </c>
      <c r="D2558" s="14">
        <v>44122</v>
      </c>
      <c r="E2558" s="14">
        <v>44122</v>
      </c>
      <c r="F2558" s="14">
        <v>44126</v>
      </c>
      <c r="G2558" s="13" t="s">
        <v>3</v>
      </c>
      <c r="H2558" s="13" t="s">
        <v>4</v>
      </c>
      <c r="I2558" s="15">
        <v>-2503.2600000000002</v>
      </c>
      <c r="J2558" s="13" t="s">
        <v>5</v>
      </c>
      <c r="K2558" s="13" t="s">
        <v>6</v>
      </c>
      <c r="L2558" s="15">
        <v>-210148.68</v>
      </c>
      <c r="M2558" s="15">
        <v>-2503.2600000000002</v>
      </c>
      <c r="N2558" s="16" t="str">
        <f>IF(M2558="","",IF(M2558&lt;0,-M2558&amp;"_"&amp;COUNTIF(M$2:M2558,M2558),M2558&amp;"_"&amp;COUNTIF(M$2:M2558,M2558)))</f>
        <v>2503.26_3</v>
      </c>
      <c r="O2558" s="17" t="str">
        <f t="shared" si="39"/>
        <v/>
      </c>
      <c r="P2558" s="13" t="s">
        <v>946</v>
      </c>
      <c r="Q2558" s="13" t="s">
        <v>947</v>
      </c>
      <c r="R2558" s="13" t="s">
        <v>0</v>
      </c>
      <c r="S2558" s="13" t="s">
        <v>0</v>
      </c>
      <c r="T2558" s="13" t="s">
        <v>9</v>
      </c>
      <c r="U2558" s="13" t="s">
        <v>0</v>
      </c>
      <c r="V2558" s="13" t="s">
        <v>0</v>
      </c>
      <c r="W2558" s="13" t="s">
        <v>0</v>
      </c>
      <c r="X2558" s="13" t="s">
        <v>0</v>
      </c>
      <c r="Y2558" s="13" t="s">
        <v>10</v>
      </c>
      <c r="Z2558" s="13" t="s">
        <v>0</v>
      </c>
      <c r="AA2558" s="14"/>
      <c r="AB2558" s="13" t="s">
        <v>0</v>
      </c>
      <c r="AC2558" s="13" t="s">
        <v>0</v>
      </c>
      <c r="AD2558" s="13" t="s">
        <v>0</v>
      </c>
      <c r="AE2558" s="15">
        <v>0</v>
      </c>
    </row>
    <row r="2559" spans="1:31" ht="14.15" customHeight="1" x14ac:dyDescent="0.25">
      <c r="A2559" s="12" t="s">
        <v>0</v>
      </c>
      <c r="B2559" s="13" t="s">
        <v>1</v>
      </c>
      <c r="C2559" s="13" t="s">
        <v>2104</v>
      </c>
      <c r="D2559" s="14">
        <v>44199</v>
      </c>
      <c r="E2559" s="14">
        <v>44199</v>
      </c>
      <c r="F2559" s="14">
        <v>44203</v>
      </c>
      <c r="G2559" s="13" t="s">
        <v>3</v>
      </c>
      <c r="H2559" s="13" t="s">
        <v>4</v>
      </c>
      <c r="I2559" s="15">
        <v>-2502.29</v>
      </c>
      <c r="J2559" s="13" t="s">
        <v>5</v>
      </c>
      <c r="K2559" s="13" t="s">
        <v>6</v>
      </c>
      <c r="L2559" s="15">
        <v>-210067.25</v>
      </c>
      <c r="M2559" s="15">
        <v>-2502.29</v>
      </c>
      <c r="N2559" s="16" t="str">
        <f>IF(M2559="","",IF(M2559&lt;0,-M2559&amp;"_"&amp;COUNTIF(M$2:M2559,M2559),M2559&amp;"_"&amp;COUNTIF(M$2:M2559,M2559)))</f>
        <v>2502.29_1</v>
      </c>
      <c r="O2559" s="17" t="str">
        <f t="shared" si="39"/>
        <v/>
      </c>
      <c r="P2559" s="13" t="s">
        <v>2105</v>
      </c>
      <c r="Q2559" s="13" t="s">
        <v>2093</v>
      </c>
      <c r="R2559" s="13" t="s">
        <v>0</v>
      </c>
      <c r="S2559" s="13" t="s">
        <v>0</v>
      </c>
      <c r="T2559" s="13" t="s">
        <v>9</v>
      </c>
      <c r="U2559" s="13" t="s">
        <v>0</v>
      </c>
      <c r="V2559" s="13" t="s">
        <v>0</v>
      </c>
      <c r="W2559" s="13" t="s">
        <v>0</v>
      </c>
      <c r="X2559" s="13" t="s">
        <v>0</v>
      </c>
      <c r="Y2559" s="13" t="s">
        <v>10</v>
      </c>
      <c r="Z2559" s="13" t="s">
        <v>0</v>
      </c>
      <c r="AA2559" s="14"/>
      <c r="AB2559" s="13" t="s">
        <v>0</v>
      </c>
      <c r="AC2559" s="13" t="s">
        <v>0</v>
      </c>
      <c r="AD2559" s="13" t="s">
        <v>0</v>
      </c>
      <c r="AE2559" s="15">
        <v>0</v>
      </c>
    </row>
    <row r="2560" spans="1:31" ht="14.15" customHeight="1" x14ac:dyDescent="0.25">
      <c r="A2560" s="12" t="s">
        <v>0</v>
      </c>
      <c r="B2560" s="13" t="s">
        <v>1</v>
      </c>
      <c r="C2560" s="13" t="s">
        <v>924</v>
      </c>
      <c r="D2560" s="14">
        <v>44117</v>
      </c>
      <c r="E2560" s="14">
        <v>44117</v>
      </c>
      <c r="F2560" s="14">
        <v>44123</v>
      </c>
      <c r="G2560" s="13" t="s">
        <v>3</v>
      </c>
      <c r="H2560" s="13" t="s">
        <v>4</v>
      </c>
      <c r="I2560" s="15">
        <v>-2491.7600000000002</v>
      </c>
      <c r="J2560" s="13" t="s">
        <v>5</v>
      </c>
      <c r="K2560" s="13" t="s">
        <v>6</v>
      </c>
      <c r="L2560" s="15">
        <v>-209183.25</v>
      </c>
      <c r="M2560" s="15">
        <v>-2491.7600000000002</v>
      </c>
      <c r="N2560" s="16" t="str">
        <f>IF(M2560="","",IF(M2560&lt;0,-M2560&amp;"_"&amp;COUNTIF(M$2:M2560,M2560),M2560&amp;"_"&amp;COUNTIF(M$2:M2560,M2560)))</f>
        <v>2491.76_1</v>
      </c>
      <c r="O2560" s="17" t="str">
        <f t="shared" si="39"/>
        <v/>
      </c>
      <c r="P2560" s="13" t="s">
        <v>925</v>
      </c>
      <c r="Q2560" s="13" t="s">
        <v>917</v>
      </c>
      <c r="R2560" s="13" t="s">
        <v>0</v>
      </c>
      <c r="S2560" s="13" t="s">
        <v>0</v>
      </c>
      <c r="T2560" s="13" t="s">
        <v>9</v>
      </c>
      <c r="U2560" s="13" t="s">
        <v>0</v>
      </c>
      <c r="V2560" s="13" t="s">
        <v>0</v>
      </c>
      <c r="W2560" s="13" t="s">
        <v>0</v>
      </c>
      <c r="X2560" s="13" t="s">
        <v>0</v>
      </c>
      <c r="Y2560" s="13" t="s">
        <v>10</v>
      </c>
      <c r="Z2560" s="13" t="s">
        <v>0</v>
      </c>
      <c r="AA2560" s="14"/>
      <c r="AB2560" s="13" t="s">
        <v>0</v>
      </c>
      <c r="AC2560" s="13" t="s">
        <v>0</v>
      </c>
      <c r="AD2560" s="13" t="s">
        <v>0</v>
      </c>
      <c r="AE2560" s="15">
        <v>0</v>
      </c>
    </row>
    <row r="2561" spans="1:31" ht="14.15" customHeight="1" x14ac:dyDescent="0.25">
      <c r="A2561" s="12" t="s">
        <v>0</v>
      </c>
      <c r="B2561" s="13" t="s">
        <v>1</v>
      </c>
      <c r="C2561" s="13" t="s">
        <v>1616</v>
      </c>
      <c r="D2561" s="14">
        <v>44168</v>
      </c>
      <c r="E2561" s="14">
        <v>44168</v>
      </c>
      <c r="F2561" s="14">
        <v>44189</v>
      </c>
      <c r="G2561" s="13" t="s">
        <v>3</v>
      </c>
      <c r="H2561" s="13" t="s">
        <v>4</v>
      </c>
      <c r="I2561" s="15">
        <v>-2478.9499999999998</v>
      </c>
      <c r="J2561" s="13" t="s">
        <v>5</v>
      </c>
      <c r="K2561" s="13" t="s">
        <v>6</v>
      </c>
      <c r="L2561" s="15">
        <v>-208107.85</v>
      </c>
      <c r="M2561" s="15">
        <v>-2478.9499999999998</v>
      </c>
      <c r="N2561" s="16" t="str">
        <f>IF(M2561="","",IF(M2561&lt;0,-M2561&amp;"_"&amp;COUNTIF(M$2:M2561,M2561),M2561&amp;"_"&amp;COUNTIF(M$2:M2561,M2561)))</f>
        <v>2478.95_1</v>
      </c>
      <c r="O2561" s="17" t="str">
        <f t="shared" si="39"/>
        <v/>
      </c>
      <c r="P2561" s="13" t="s">
        <v>1617</v>
      </c>
      <c r="Q2561" s="13" t="s">
        <v>1605</v>
      </c>
      <c r="R2561" s="13" t="s">
        <v>0</v>
      </c>
      <c r="S2561" s="13" t="s">
        <v>0</v>
      </c>
      <c r="T2561" s="13" t="s">
        <v>9</v>
      </c>
      <c r="U2561" s="13" t="s">
        <v>0</v>
      </c>
      <c r="V2561" s="13" t="s">
        <v>0</v>
      </c>
      <c r="W2561" s="13" t="s">
        <v>0</v>
      </c>
      <c r="X2561" s="13" t="s">
        <v>0</v>
      </c>
      <c r="Y2561" s="13" t="s">
        <v>10</v>
      </c>
      <c r="Z2561" s="13" t="s">
        <v>0</v>
      </c>
      <c r="AA2561" s="14"/>
      <c r="AB2561" s="13" t="s">
        <v>0</v>
      </c>
      <c r="AC2561" s="13" t="s">
        <v>0</v>
      </c>
      <c r="AD2561" s="13" t="s">
        <v>0</v>
      </c>
      <c r="AE2561" s="15">
        <v>0</v>
      </c>
    </row>
    <row r="2562" spans="1:31" ht="14.15" customHeight="1" x14ac:dyDescent="0.25">
      <c r="A2562" s="12" t="s">
        <v>0</v>
      </c>
      <c r="B2562" s="13" t="s">
        <v>1</v>
      </c>
      <c r="C2562" s="13" t="s">
        <v>4041</v>
      </c>
      <c r="D2562" s="14">
        <v>44358</v>
      </c>
      <c r="E2562" s="14">
        <v>44358</v>
      </c>
      <c r="F2562" s="14">
        <v>44364</v>
      </c>
      <c r="G2562" s="13" t="s">
        <v>3</v>
      </c>
      <c r="H2562" s="13" t="s">
        <v>4</v>
      </c>
      <c r="I2562" s="15">
        <v>-2474.56</v>
      </c>
      <c r="J2562" s="13" t="s">
        <v>5</v>
      </c>
      <c r="K2562" s="13" t="s">
        <v>6</v>
      </c>
      <c r="L2562" s="15">
        <v>-207739.31</v>
      </c>
      <c r="M2562" s="15">
        <v>-2474.56</v>
      </c>
      <c r="N2562" s="16" t="str">
        <f>IF(M2562="","",IF(M2562&lt;0,-M2562&amp;"_"&amp;COUNTIF(M$2:M2562,M2562),M2562&amp;"_"&amp;COUNTIF(M$2:M2562,M2562)))</f>
        <v>2474.56_1</v>
      </c>
      <c r="O2562" s="17" t="str">
        <f t="shared" ref="O2562:O2625" si="40">IF(COUNTIF(N:N,N2562)=2,"x","")</f>
        <v/>
      </c>
      <c r="P2562" s="13" t="s">
        <v>4042</v>
      </c>
      <c r="Q2562" s="13" t="s">
        <v>4006</v>
      </c>
      <c r="R2562" s="13" t="s">
        <v>0</v>
      </c>
      <c r="S2562" s="13" t="s">
        <v>0</v>
      </c>
      <c r="T2562" s="13" t="s">
        <v>9</v>
      </c>
      <c r="U2562" s="13" t="s">
        <v>0</v>
      </c>
      <c r="V2562" s="13" t="s">
        <v>0</v>
      </c>
      <c r="W2562" s="13" t="s">
        <v>0</v>
      </c>
      <c r="X2562" s="13" t="s">
        <v>0</v>
      </c>
      <c r="Y2562" s="13" t="s">
        <v>10</v>
      </c>
      <c r="Z2562" s="13" t="s">
        <v>0</v>
      </c>
      <c r="AA2562" s="14"/>
      <c r="AB2562" s="13" t="s">
        <v>0</v>
      </c>
      <c r="AC2562" s="13" t="s">
        <v>0</v>
      </c>
      <c r="AD2562" s="13" t="s">
        <v>0</v>
      </c>
      <c r="AE2562" s="15">
        <v>0</v>
      </c>
    </row>
    <row r="2563" spans="1:31" ht="14.15" customHeight="1" x14ac:dyDescent="0.25">
      <c r="A2563" s="12" t="s">
        <v>0</v>
      </c>
      <c r="B2563" s="13" t="s">
        <v>1</v>
      </c>
      <c r="C2563" s="13" t="s">
        <v>3315</v>
      </c>
      <c r="D2563" s="14">
        <v>44314</v>
      </c>
      <c r="E2563" s="14">
        <v>44314</v>
      </c>
      <c r="F2563" s="14">
        <v>44323</v>
      </c>
      <c r="G2563" s="13" t="s">
        <v>3</v>
      </c>
      <c r="H2563" s="13" t="s">
        <v>4</v>
      </c>
      <c r="I2563" s="15">
        <v>-2453.4899999999998</v>
      </c>
      <c r="J2563" s="13" t="s">
        <v>5</v>
      </c>
      <c r="K2563" s="13" t="s">
        <v>6</v>
      </c>
      <c r="L2563" s="15">
        <v>-205970.49</v>
      </c>
      <c r="M2563" s="15">
        <v>-2453.4899999999998</v>
      </c>
      <c r="N2563" s="16" t="str">
        <f>IF(M2563="","",IF(M2563&lt;0,-M2563&amp;"_"&amp;COUNTIF(M$2:M2563,M2563),M2563&amp;"_"&amp;COUNTIF(M$2:M2563,M2563)))</f>
        <v>2453.49_1</v>
      </c>
      <c r="O2563" s="17" t="str">
        <f t="shared" si="40"/>
        <v/>
      </c>
      <c r="P2563" s="13" t="s">
        <v>3316</v>
      </c>
      <c r="Q2563" s="13" t="s">
        <v>3284</v>
      </c>
      <c r="R2563" s="13" t="s">
        <v>0</v>
      </c>
      <c r="S2563" s="13" t="s">
        <v>0</v>
      </c>
      <c r="T2563" s="13" t="s">
        <v>9</v>
      </c>
      <c r="U2563" s="13" t="s">
        <v>0</v>
      </c>
      <c r="V2563" s="13" t="s">
        <v>0</v>
      </c>
      <c r="W2563" s="13" t="s">
        <v>0</v>
      </c>
      <c r="X2563" s="13" t="s">
        <v>0</v>
      </c>
      <c r="Y2563" s="13" t="s">
        <v>10</v>
      </c>
      <c r="Z2563" s="13" t="s">
        <v>0</v>
      </c>
      <c r="AA2563" s="14"/>
      <c r="AB2563" s="13" t="s">
        <v>0</v>
      </c>
      <c r="AC2563" s="13" t="s">
        <v>0</v>
      </c>
      <c r="AD2563" s="13" t="s">
        <v>0</v>
      </c>
      <c r="AE2563" s="15">
        <v>0</v>
      </c>
    </row>
    <row r="2564" spans="1:31" ht="14.15" customHeight="1" x14ac:dyDescent="0.25">
      <c r="A2564" s="12" t="s">
        <v>0</v>
      </c>
      <c r="B2564" s="13" t="s">
        <v>1</v>
      </c>
      <c r="C2564" s="13" t="s">
        <v>75</v>
      </c>
      <c r="D2564" s="14">
        <v>44020</v>
      </c>
      <c r="E2564" s="14">
        <v>44020</v>
      </c>
      <c r="F2564" s="14">
        <v>44027</v>
      </c>
      <c r="G2564" s="13" t="s">
        <v>3</v>
      </c>
      <c r="H2564" s="13" t="s">
        <v>4</v>
      </c>
      <c r="I2564" s="15">
        <v>-2451.7600000000002</v>
      </c>
      <c r="J2564" s="13" t="s">
        <v>5</v>
      </c>
      <c r="K2564" s="13" t="s">
        <v>6</v>
      </c>
      <c r="L2564" s="15">
        <v>-205825.25</v>
      </c>
      <c r="M2564" s="15">
        <v>-2451.7600000000002</v>
      </c>
      <c r="N2564" s="16" t="str">
        <f>IF(M2564="","",IF(M2564&lt;0,-M2564&amp;"_"&amp;COUNTIF(M$2:M2564,M2564),M2564&amp;"_"&amp;COUNTIF(M$2:M2564,M2564)))</f>
        <v>2451.76_1</v>
      </c>
      <c r="O2564" s="17" t="str">
        <f t="shared" si="40"/>
        <v/>
      </c>
      <c r="P2564" s="13" t="s">
        <v>76</v>
      </c>
      <c r="Q2564" s="13" t="s">
        <v>70</v>
      </c>
      <c r="R2564" s="13" t="s">
        <v>0</v>
      </c>
      <c r="S2564" s="13" t="s">
        <v>0</v>
      </c>
      <c r="T2564" s="13" t="s">
        <v>9</v>
      </c>
      <c r="U2564" s="13" t="s">
        <v>0</v>
      </c>
      <c r="V2564" s="13" t="s">
        <v>0</v>
      </c>
      <c r="W2564" s="13" t="s">
        <v>0</v>
      </c>
      <c r="X2564" s="13" t="s">
        <v>0</v>
      </c>
      <c r="Y2564" s="13" t="s">
        <v>10</v>
      </c>
      <c r="Z2564" s="13" t="s">
        <v>0</v>
      </c>
      <c r="AA2564" s="14"/>
      <c r="AB2564" s="13" t="s">
        <v>0</v>
      </c>
      <c r="AC2564" s="13" t="s">
        <v>0</v>
      </c>
      <c r="AD2564" s="13" t="s">
        <v>0</v>
      </c>
      <c r="AE2564" s="15">
        <v>0</v>
      </c>
    </row>
    <row r="2565" spans="1:31" ht="14.15" customHeight="1" x14ac:dyDescent="0.25">
      <c r="A2565" s="12" t="s">
        <v>0</v>
      </c>
      <c r="B2565" s="13" t="s">
        <v>1</v>
      </c>
      <c r="C2565" s="13" t="s">
        <v>2039</v>
      </c>
      <c r="D2565" s="14">
        <v>44197</v>
      </c>
      <c r="E2565" s="14">
        <v>44197</v>
      </c>
      <c r="F2565" s="14">
        <v>44201</v>
      </c>
      <c r="G2565" s="13" t="s">
        <v>3</v>
      </c>
      <c r="H2565" s="13" t="s">
        <v>4</v>
      </c>
      <c r="I2565" s="15">
        <v>-2443.2199999999998</v>
      </c>
      <c r="J2565" s="13" t="s">
        <v>5</v>
      </c>
      <c r="K2565" s="13" t="s">
        <v>6</v>
      </c>
      <c r="L2565" s="15">
        <v>-205108.32</v>
      </c>
      <c r="M2565" s="15">
        <v>-2443.2199999999998</v>
      </c>
      <c r="N2565" s="16" t="str">
        <f>IF(M2565="","",IF(M2565&lt;0,-M2565&amp;"_"&amp;COUNTIF(M$2:M2565,M2565),M2565&amp;"_"&amp;COUNTIF(M$2:M2565,M2565)))</f>
        <v>2443.22_1</v>
      </c>
      <c r="O2565" s="17" t="str">
        <f t="shared" si="40"/>
        <v/>
      </c>
      <c r="P2565" s="13" t="s">
        <v>2040</v>
      </c>
      <c r="Q2565" s="13" t="s">
        <v>2034</v>
      </c>
      <c r="R2565" s="13" t="s">
        <v>0</v>
      </c>
      <c r="S2565" s="13" t="s">
        <v>0</v>
      </c>
      <c r="T2565" s="13" t="s">
        <v>9</v>
      </c>
      <c r="U2565" s="13" t="s">
        <v>0</v>
      </c>
      <c r="V2565" s="13" t="s">
        <v>0</v>
      </c>
      <c r="W2565" s="13" t="s">
        <v>0</v>
      </c>
      <c r="X2565" s="13" t="s">
        <v>0</v>
      </c>
      <c r="Y2565" s="13" t="s">
        <v>10</v>
      </c>
      <c r="Z2565" s="13" t="s">
        <v>0</v>
      </c>
      <c r="AA2565" s="14"/>
      <c r="AB2565" s="13" t="s">
        <v>0</v>
      </c>
      <c r="AC2565" s="13" t="s">
        <v>0</v>
      </c>
      <c r="AD2565" s="13" t="s">
        <v>0</v>
      </c>
      <c r="AE2565" s="15">
        <v>0</v>
      </c>
    </row>
    <row r="2566" spans="1:31" ht="14.15" customHeight="1" x14ac:dyDescent="0.25">
      <c r="A2566" s="12" t="s">
        <v>0</v>
      </c>
      <c r="B2566" s="13" t="s">
        <v>1</v>
      </c>
      <c r="C2566" s="13" t="s">
        <v>2289</v>
      </c>
      <c r="D2566" s="14">
        <v>44219</v>
      </c>
      <c r="E2566" s="14">
        <v>44219</v>
      </c>
      <c r="F2566" s="14">
        <v>44226</v>
      </c>
      <c r="G2566" s="13" t="s">
        <v>3</v>
      </c>
      <c r="H2566" s="13" t="s">
        <v>4</v>
      </c>
      <c r="I2566" s="15">
        <v>-2443.2199999999998</v>
      </c>
      <c r="J2566" s="13" t="s">
        <v>5</v>
      </c>
      <c r="K2566" s="13" t="s">
        <v>6</v>
      </c>
      <c r="L2566" s="15">
        <v>-205108.32</v>
      </c>
      <c r="M2566" s="15">
        <v>-2443.2199999999998</v>
      </c>
      <c r="N2566" s="16" t="str">
        <f>IF(M2566="","",IF(M2566&lt;0,-M2566&amp;"_"&amp;COUNTIF(M$2:M2566,M2566),M2566&amp;"_"&amp;COUNTIF(M$2:M2566,M2566)))</f>
        <v>2443.22_2</v>
      </c>
      <c r="O2566" s="17" t="str">
        <f t="shared" si="40"/>
        <v/>
      </c>
      <c r="P2566" s="13" t="s">
        <v>2290</v>
      </c>
      <c r="Q2566" s="13" t="s">
        <v>2282</v>
      </c>
      <c r="R2566" s="13" t="s">
        <v>0</v>
      </c>
      <c r="S2566" s="13" t="s">
        <v>0</v>
      </c>
      <c r="T2566" s="13" t="s">
        <v>9</v>
      </c>
      <c r="U2566" s="13" t="s">
        <v>0</v>
      </c>
      <c r="V2566" s="13" t="s">
        <v>0</v>
      </c>
      <c r="W2566" s="13" t="s">
        <v>0</v>
      </c>
      <c r="X2566" s="13" t="s">
        <v>0</v>
      </c>
      <c r="Y2566" s="13" t="s">
        <v>10</v>
      </c>
      <c r="Z2566" s="13" t="s">
        <v>0</v>
      </c>
      <c r="AA2566" s="14"/>
      <c r="AB2566" s="13" t="s">
        <v>0</v>
      </c>
      <c r="AC2566" s="13" t="s">
        <v>0</v>
      </c>
      <c r="AD2566" s="13" t="s">
        <v>0</v>
      </c>
      <c r="AE2566" s="15">
        <v>0</v>
      </c>
    </row>
    <row r="2567" spans="1:31" ht="14.15" customHeight="1" x14ac:dyDescent="0.25">
      <c r="A2567" s="12" t="s">
        <v>0</v>
      </c>
      <c r="B2567" s="13" t="s">
        <v>1</v>
      </c>
      <c r="C2567" s="13" t="s">
        <v>1168</v>
      </c>
      <c r="D2567" s="14">
        <v>44140</v>
      </c>
      <c r="E2567" s="14">
        <v>44140</v>
      </c>
      <c r="F2567" s="14">
        <v>44145</v>
      </c>
      <c r="G2567" s="13" t="s">
        <v>3</v>
      </c>
      <c r="H2567" s="13" t="s">
        <v>4</v>
      </c>
      <c r="I2567" s="15">
        <v>-2440.88</v>
      </c>
      <c r="J2567" s="13" t="s">
        <v>5</v>
      </c>
      <c r="K2567" s="13" t="s">
        <v>6</v>
      </c>
      <c r="L2567" s="15">
        <v>-204911.88</v>
      </c>
      <c r="M2567" s="15">
        <v>-2440.88</v>
      </c>
      <c r="N2567" s="16" t="str">
        <f>IF(M2567="","",IF(M2567&lt;0,-M2567&amp;"_"&amp;COUNTIF(M$2:M2567,M2567),M2567&amp;"_"&amp;COUNTIF(M$2:M2567,M2567)))</f>
        <v>2440.88_1</v>
      </c>
      <c r="O2567" s="17" t="str">
        <f t="shared" si="40"/>
        <v/>
      </c>
      <c r="P2567" s="13" t="s">
        <v>1169</v>
      </c>
      <c r="Q2567" s="13" t="s">
        <v>1165</v>
      </c>
      <c r="R2567" s="13" t="s">
        <v>0</v>
      </c>
      <c r="S2567" s="13" t="s">
        <v>0</v>
      </c>
      <c r="T2567" s="13" t="s">
        <v>9</v>
      </c>
      <c r="U2567" s="13" t="s">
        <v>0</v>
      </c>
      <c r="V2567" s="13" t="s">
        <v>0</v>
      </c>
      <c r="W2567" s="13" t="s">
        <v>0</v>
      </c>
      <c r="X2567" s="13" t="s">
        <v>0</v>
      </c>
      <c r="Y2567" s="13" t="s">
        <v>10</v>
      </c>
      <c r="Z2567" s="13" t="s">
        <v>0</v>
      </c>
      <c r="AA2567" s="14"/>
      <c r="AB2567" s="13" t="s">
        <v>0</v>
      </c>
      <c r="AC2567" s="13" t="s">
        <v>0</v>
      </c>
      <c r="AD2567" s="13" t="s">
        <v>0</v>
      </c>
      <c r="AE2567" s="15">
        <v>0</v>
      </c>
    </row>
    <row r="2568" spans="1:31" ht="14.15" customHeight="1" x14ac:dyDescent="0.25">
      <c r="A2568" s="12" t="s">
        <v>0</v>
      </c>
      <c r="B2568" s="13" t="s">
        <v>1</v>
      </c>
      <c r="C2568" s="13" t="s">
        <v>1748</v>
      </c>
      <c r="D2568" s="14">
        <v>44178</v>
      </c>
      <c r="E2568" s="14">
        <v>44178</v>
      </c>
      <c r="F2568" s="14">
        <v>44188</v>
      </c>
      <c r="G2568" s="13" t="s">
        <v>3</v>
      </c>
      <c r="H2568" s="13" t="s">
        <v>4</v>
      </c>
      <c r="I2568" s="15">
        <v>-2436.9699999999998</v>
      </c>
      <c r="J2568" s="13" t="s">
        <v>5</v>
      </c>
      <c r="K2568" s="13" t="s">
        <v>6</v>
      </c>
      <c r="L2568" s="15">
        <v>-204583.63</v>
      </c>
      <c r="M2568" s="15">
        <v>-2436.9699999999998</v>
      </c>
      <c r="N2568" s="16" t="str">
        <f>IF(M2568="","",IF(M2568&lt;0,-M2568&amp;"_"&amp;COUNTIF(M$2:M2568,M2568),M2568&amp;"_"&amp;COUNTIF(M$2:M2568,M2568)))</f>
        <v>2436.97_1</v>
      </c>
      <c r="O2568" s="17" t="str">
        <f t="shared" si="40"/>
        <v/>
      </c>
      <c r="P2568" s="13" t="s">
        <v>1749</v>
      </c>
      <c r="Q2568" s="13" t="s">
        <v>1739</v>
      </c>
      <c r="R2568" s="13" t="s">
        <v>0</v>
      </c>
      <c r="S2568" s="13" t="s">
        <v>0</v>
      </c>
      <c r="T2568" s="13" t="s">
        <v>9</v>
      </c>
      <c r="U2568" s="13" t="s">
        <v>0</v>
      </c>
      <c r="V2568" s="13" t="s">
        <v>0</v>
      </c>
      <c r="W2568" s="13" t="s">
        <v>0</v>
      </c>
      <c r="X2568" s="13" t="s">
        <v>0</v>
      </c>
      <c r="Y2568" s="13" t="s">
        <v>10</v>
      </c>
      <c r="Z2568" s="13" t="s">
        <v>0</v>
      </c>
      <c r="AA2568" s="14"/>
      <c r="AB2568" s="13" t="s">
        <v>0</v>
      </c>
      <c r="AC2568" s="13" t="s">
        <v>0</v>
      </c>
      <c r="AD2568" s="13" t="s">
        <v>0</v>
      </c>
      <c r="AE2568" s="15">
        <v>0</v>
      </c>
    </row>
    <row r="2569" spans="1:31" ht="14.15" customHeight="1" x14ac:dyDescent="0.25">
      <c r="A2569" s="12" t="s">
        <v>0</v>
      </c>
      <c r="B2569" s="13" t="s">
        <v>1</v>
      </c>
      <c r="C2569" s="13" t="s">
        <v>3293</v>
      </c>
      <c r="D2569" s="14">
        <v>44314</v>
      </c>
      <c r="E2569" s="14">
        <v>44314</v>
      </c>
      <c r="F2569" s="14">
        <v>44319</v>
      </c>
      <c r="G2569" s="13" t="s">
        <v>3</v>
      </c>
      <c r="H2569" s="13" t="s">
        <v>4</v>
      </c>
      <c r="I2569" s="15">
        <v>-2435.3200000000002</v>
      </c>
      <c r="J2569" s="13" t="s">
        <v>5</v>
      </c>
      <c r="K2569" s="13" t="s">
        <v>6</v>
      </c>
      <c r="L2569" s="15">
        <v>-204445.11</v>
      </c>
      <c r="M2569" s="15">
        <v>-2435.3200000000002</v>
      </c>
      <c r="N2569" s="16" t="str">
        <f>IF(M2569="","",IF(M2569&lt;0,-M2569&amp;"_"&amp;COUNTIF(M$2:M2569,M2569),M2569&amp;"_"&amp;COUNTIF(M$2:M2569,M2569)))</f>
        <v>2435.32_1</v>
      </c>
      <c r="O2569" s="17" t="str">
        <f t="shared" si="40"/>
        <v/>
      </c>
      <c r="P2569" s="13" t="s">
        <v>3294</v>
      </c>
      <c r="Q2569" s="13" t="s">
        <v>3284</v>
      </c>
      <c r="R2569" s="13" t="s">
        <v>0</v>
      </c>
      <c r="S2569" s="13" t="s">
        <v>0</v>
      </c>
      <c r="T2569" s="13" t="s">
        <v>9</v>
      </c>
      <c r="U2569" s="13" t="s">
        <v>0</v>
      </c>
      <c r="V2569" s="13" t="s">
        <v>0</v>
      </c>
      <c r="W2569" s="13" t="s">
        <v>0</v>
      </c>
      <c r="X2569" s="13" t="s">
        <v>0</v>
      </c>
      <c r="Y2569" s="13" t="s">
        <v>10</v>
      </c>
      <c r="Z2569" s="13" t="s">
        <v>0</v>
      </c>
      <c r="AA2569" s="14"/>
      <c r="AB2569" s="13" t="s">
        <v>0</v>
      </c>
      <c r="AC2569" s="13" t="s">
        <v>0</v>
      </c>
      <c r="AD2569" s="13" t="s">
        <v>0</v>
      </c>
      <c r="AE2569" s="15">
        <v>0</v>
      </c>
    </row>
    <row r="2570" spans="1:31" ht="14.15" customHeight="1" x14ac:dyDescent="0.25">
      <c r="A2570" s="12" t="s">
        <v>0</v>
      </c>
      <c r="B2570" s="13" t="s">
        <v>1</v>
      </c>
      <c r="C2570" s="13" t="s">
        <v>945</v>
      </c>
      <c r="D2570" s="14">
        <v>44122</v>
      </c>
      <c r="E2570" s="14">
        <v>44122</v>
      </c>
      <c r="F2570" s="14">
        <v>44126</v>
      </c>
      <c r="G2570" s="13" t="s">
        <v>3</v>
      </c>
      <c r="H2570" s="13" t="s">
        <v>4</v>
      </c>
      <c r="I2570" s="15">
        <v>-2429.64</v>
      </c>
      <c r="J2570" s="13" t="s">
        <v>5</v>
      </c>
      <c r="K2570" s="13" t="s">
        <v>6</v>
      </c>
      <c r="L2570" s="15">
        <v>-203968.28</v>
      </c>
      <c r="M2570" s="15">
        <v>-2429.64</v>
      </c>
      <c r="N2570" s="16" t="str">
        <f>IF(M2570="","",IF(M2570&lt;0,-M2570&amp;"_"&amp;COUNTIF(M$2:M2570,M2570),M2570&amp;"_"&amp;COUNTIF(M$2:M2570,M2570)))</f>
        <v>2429.64_1</v>
      </c>
      <c r="O2570" s="17" t="str">
        <f t="shared" si="40"/>
        <v/>
      </c>
      <c r="P2570" s="13" t="s">
        <v>946</v>
      </c>
      <c r="Q2570" s="13" t="s">
        <v>947</v>
      </c>
      <c r="R2570" s="13" t="s">
        <v>0</v>
      </c>
      <c r="S2570" s="13" t="s">
        <v>0</v>
      </c>
      <c r="T2570" s="13" t="s">
        <v>9</v>
      </c>
      <c r="U2570" s="13" t="s">
        <v>0</v>
      </c>
      <c r="V2570" s="13" t="s">
        <v>0</v>
      </c>
      <c r="W2570" s="13" t="s">
        <v>0</v>
      </c>
      <c r="X2570" s="13" t="s">
        <v>0</v>
      </c>
      <c r="Y2570" s="13" t="s">
        <v>10</v>
      </c>
      <c r="Z2570" s="13" t="s">
        <v>0</v>
      </c>
      <c r="AA2570" s="14"/>
      <c r="AB2570" s="13" t="s">
        <v>0</v>
      </c>
      <c r="AC2570" s="13" t="s">
        <v>0</v>
      </c>
      <c r="AD2570" s="13" t="s">
        <v>0</v>
      </c>
      <c r="AE2570" s="15">
        <v>0</v>
      </c>
    </row>
    <row r="2571" spans="1:31" ht="14.15" customHeight="1" x14ac:dyDescent="0.25">
      <c r="A2571" s="12" t="s">
        <v>0</v>
      </c>
      <c r="B2571" s="13" t="s">
        <v>1</v>
      </c>
      <c r="C2571" s="13" t="s">
        <v>3804</v>
      </c>
      <c r="D2571" s="14">
        <v>44345</v>
      </c>
      <c r="E2571" s="14">
        <v>44345</v>
      </c>
      <c r="F2571" s="14">
        <v>44349</v>
      </c>
      <c r="G2571" s="13" t="s">
        <v>48</v>
      </c>
      <c r="H2571" s="13" t="s">
        <v>4</v>
      </c>
      <c r="I2571" s="15">
        <v>-2425</v>
      </c>
      <c r="J2571" s="13" t="s">
        <v>5</v>
      </c>
      <c r="K2571" s="13" t="s">
        <v>6</v>
      </c>
      <c r="L2571" s="15">
        <v>-203578.75</v>
      </c>
      <c r="M2571" s="15">
        <v>-2425</v>
      </c>
      <c r="N2571" s="16" t="str">
        <f>IF(M2571="","",IF(M2571&lt;0,-M2571&amp;"_"&amp;COUNTIF(M$2:M2571,M2571),M2571&amp;"_"&amp;COUNTIF(M$2:M2571,M2571)))</f>
        <v>2425_1</v>
      </c>
      <c r="O2571" s="17" t="str">
        <f t="shared" si="40"/>
        <v/>
      </c>
      <c r="P2571" s="13" t="s">
        <v>3805</v>
      </c>
      <c r="Q2571" s="13" t="s">
        <v>3805</v>
      </c>
      <c r="R2571" s="13" t="s">
        <v>1656</v>
      </c>
      <c r="S2571" s="13" t="s">
        <v>0</v>
      </c>
      <c r="T2571" s="13" t="s">
        <v>9</v>
      </c>
      <c r="U2571" s="13" t="s">
        <v>1656</v>
      </c>
      <c r="V2571" s="13" t="s">
        <v>0</v>
      </c>
      <c r="W2571" s="13" t="s">
        <v>0</v>
      </c>
      <c r="X2571" s="13" t="s">
        <v>0</v>
      </c>
      <c r="Y2571" s="13" t="s">
        <v>10</v>
      </c>
      <c r="Z2571" s="13" t="s">
        <v>0</v>
      </c>
      <c r="AA2571" s="14"/>
      <c r="AB2571" s="13" t="s">
        <v>0</v>
      </c>
      <c r="AC2571" s="13" t="s">
        <v>0</v>
      </c>
      <c r="AD2571" s="13" t="s">
        <v>0</v>
      </c>
      <c r="AE2571" s="15">
        <v>0</v>
      </c>
    </row>
    <row r="2572" spans="1:31" ht="14.15" customHeight="1" x14ac:dyDescent="0.25">
      <c r="A2572" s="12" t="s">
        <v>0</v>
      </c>
      <c r="B2572" s="13" t="s">
        <v>1</v>
      </c>
      <c r="C2572" s="13" t="s">
        <v>4033</v>
      </c>
      <c r="D2572" s="14">
        <v>44358</v>
      </c>
      <c r="E2572" s="14">
        <v>44358</v>
      </c>
      <c r="F2572" s="14">
        <v>44364</v>
      </c>
      <c r="G2572" s="13" t="s">
        <v>3</v>
      </c>
      <c r="H2572" s="13" t="s">
        <v>4</v>
      </c>
      <c r="I2572" s="15">
        <v>-2422.9299999999998</v>
      </c>
      <c r="J2572" s="13" t="s">
        <v>5</v>
      </c>
      <c r="K2572" s="13" t="s">
        <v>6</v>
      </c>
      <c r="L2572" s="15">
        <v>-203404.97</v>
      </c>
      <c r="M2572" s="15">
        <v>-2422.9299999999998</v>
      </c>
      <c r="N2572" s="16" t="str">
        <f>IF(M2572="","",IF(M2572&lt;0,-M2572&amp;"_"&amp;COUNTIF(M$2:M2572,M2572),M2572&amp;"_"&amp;COUNTIF(M$2:M2572,M2572)))</f>
        <v>2422.93_1</v>
      </c>
      <c r="O2572" s="17" t="str">
        <f t="shared" si="40"/>
        <v/>
      </c>
      <c r="P2572" s="13" t="s">
        <v>4034</v>
      </c>
      <c r="Q2572" s="13" t="s">
        <v>4006</v>
      </c>
      <c r="R2572" s="13" t="s">
        <v>0</v>
      </c>
      <c r="S2572" s="13" t="s">
        <v>0</v>
      </c>
      <c r="T2572" s="13" t="s">
        <v>9</v>
      </c>
      <c r="U2572" s="13" t="s">
        <v>0</v>
      </c>
      <c r="V2572" s="13" t="s">
        <v>0</v>
      </c>
      <c r="W2572" s="13" t="s">
        <v>0</v>
      </c>
      <c r="X2572" s="13" t="s">
        <v>0</v>
      </c>
      <c r="Y2572" s="13" t="s">
        <v>10</v>
      </c>
      <c r="Z2572" s="13" t="s">
        <v>0</v>
      </c>
      <c r="AA2572" s="14"/>
      <c r="AB2572" s="13" t="s">
        <v>0</v>
      </c>
      <c r="AC2572" s="13" t="s">
        <v>0</v>
      </c>
      <c r="AD2572" s="13" t="s">
        <v>0</v>
      </c>
      <c r="AE2572" s="15">
        <v>0</v>
      </c>
    </row>
    <row r="2573" spans="1:31" ht="14.15" customHeight="1" x14ac:dyDescent="0.25">
      <c r="A2573" s="12" t="s">
        <v>0</v>
      </c>
      <c r="B2573" s="13" t="s">
        <v>1</v>
      </c>
      <c r="C2573" s="13" t="s">
        <v>3157</v>
      </c>
      <c r="D2573" s="14">
        <v>44297</v>
      </c>
      <c r="E2573" s="14">
        <v>44297</v>
      </c>
      <c r="F2573" s="14">
        <v>44308</v>
      </c>
      <c r="G2573" s="13" t="s">
        <v>3</v>
      </c>
      <c r="H2573" s="13" t="s">
        <v>4</v>
      </c>
      <c r="I2573" s="15">
        <v>-2422.1</v>
      </c>
      <c r="J2573" s="13" t="s">
        <v>5</v>
      </c>
      <c r="K2573" s="13" t="s">
        <v>6</v>
      </c>
      <c r="L2573" s="15">
        <v>-203335.3</v>
      </c>
      <c r="M2573" s="15">
        <v>-2422.1</v>
      </c>
      <c r="N2573" s="16" t="str">
        <f>IF(M2573="","",IF(M2573&lt;0,-M2573&amp;"_"&amp;COUNTIF(M$2:M2573,M2573),M2573&amp;"_"&amp;COUNTIF(M$2:M2573,M2573)))</f>
        <v>2422.1_1</v>
      </c>
      <c r="O2573" s="17" t="str">
        <f t="shared" si="40"/>
        <v/>
      </c>
      <c r="P2573" s="13" t="s">
        <v>3158</v>
      </c>
      <c r="Q2573" s="13" t="s">
        <v>3152</v>
      </c>
      <c r="R2573" s="13" t="s">
        <v>0</v>
      </c>
      <c r="S2573" s="13" t="s">
        <v>0</v>
      </c>
      <c r="T2573" s="13" t="s">
        <v>9</v>
      </c>
      <c r="U2573" s="13" t="s">
        <v>0</v>
      </c>
      <c r="V2573" s="13" t="s">
        <v>0</v>
      </c>
      <c r="W2573" s="13" t="s">
        <v>0</v>
      </c>
      <c r="X2573" s="13" t="s">
        <v>0</v>
      </c>
      <c r="Y2573" s="13" t="s">
        <v>10</v>
      </c>
      <c r="Z2573" s="13" t="s">
        <v>0</v>
      </c>
      <c r="AA2573" s="14"/>
      <c r="AB2573" s="13" t="s">
        <v>0</v>
      </c>
      <c r="AC2573" s="13" t="s">
        <v>0</v>
      </c>
      <c r="AD2573" s="13" t="s">
        <v>0</v>
      </c>
      <c r="AE2573" s="15">
        <v>0</v>
      </c>
    </row>
    <row r="2574" spans="1:31" ht="14.15" customHeight="1" x14ac:dyDescent="0.25">
      <c r="A2574" s="12" t="s">
        <v>0</v>
      </c>
      <c r="B2574" s="13" t="s">
        <v>289</v>
      </c>
      <c r="C2574" s="13" t="s">
        <v>2721</v>
      </c>
      <c r="D2574" s="14">
        <v>44255</v>
      </c>
      <c r="E2574" s="14">
        <v>44255</v>
      </c>
      <c r="F2574" s="14">
        <v>44262</v>
      </c>
      <c r="G2574" s="13" t="s">
        <v>48</v>
      </c>
      <c r="H2574" s="13" t="s">
        <v>4</v>
      </c>
      <c r="I2574" s="15">
        <v>-2421.63</v>
      </c>
      <c r="J2574" s="13" t="s">
        <v>5</v>
      </c>
      <c r="K2574" s="13" t="s">
        <v>6</v>
      </c>
      <c r="L2574" s="15">
        <v>-203295.84</v>
      </c>
      <c r="M2574" s="15">
        <v>-2421.63</v>
      </c>
      <c r="N2574" s="16" t="str">
        <f>IF(M2574="","",IF(M2574&lt;0,-M2574&amp;"_"&amp;COUNTIF(M$2:M2574,M2574),M2574&amp;"_"&amp;COUNTIF(M$2:M2574,M2574)))</f>
        <v>2421.63_1</v>
      </c>
      <c r="O2574" s="17" t="str">
        <f t="shared" si="40"/>
        <v/>
      </c>
      <c r="P2574" s="13" t="s">
        <v>2698</v>
      </c>
      <c r="Q2574" s="13" t="s">
        <v>2699</v>
      </c>
      <c r="R2574" s="13" t="s">
        <v>1994</v>
      </c>
      <c r="S2574" s="13" t="s">
        <v>0</v>
      </c>
      <c r="T2574" s="13" t="s">
        <v>9</v>
      </c>
      <c r="U2574" s="13" t="s">
        <v>1995</v>
      </c>
      <c r="V2574" s="13" t="s">
        <v>0</v>
      </c>
      <c r="W2574" s="13" t="s">
        <v>0</v>
      </c>
      <c r="X2574" s="13" t="s">
        <v>0</v>
      </c>
      <c r="Y2574" s="13" t="s">
        <v>0</v>
      </c>
      <c r="Z2574" s="13" t="s">
        <v>0</v>
      </c>
      <c r="AA2574" s="14"/>
      <c r="AB2574" s="13" t="s">
        <v>0</v>
      </c>
      <c r="AC2574" s="13" t="s">
        <v>0</v>
      </c>
      <c r="AD2574" s="13" t="s">
        <v>0</v>
      </c>
      <c r="AE2574" s="15">
        <v>0</v>
      </c>
    </row>
    <row r="2575" spans="1:31" ht="14.15" customHeight="1" x14ac:dyDescent="0.25">
      <c r="A2575" s="12" t="s">
        <v>0</v>
      </c>
      <c r="B2575" s="13" t="s">
        <v>1</v>
      </c>
      <c r="C2575" s="13" t="s">
        <v>3070</v>
      </c>
      <c r="D2575" s="14">
        <v>44284</v>
      </c>
      <c r="E2575" s="14">
        <v>44284</v>
      </c>
      <c r="F2575" s="14">
        <v>44291</v>
      </c>
      <c r="G2575" s="13" t="s">
        <v>3</v>
      </c>
      <c r="H2575" s="13" t="s">
        <v>4</v>
      </c>
      <c r="I2575" s="15">
        <v>-2417.3200000000002</v>
      </c>
      <c r="J2575" s="13" t="s">
        <v>5</v>
      </c>
      <c r="K2575" s="13" t="s">
        <v>6</v>
      </c>
      <c r="L2575" s="15">
        <v>-202934.01</v>
      </c>
      <c r="M2575" s="15">
        <v>-2417.3200000000002</v>
      </c>
      <c r="N2575" s="16" t="str">
        <f>IF(M2575="","",IF(M2575&lt;0,-M2575&amp;"_"&amp;COUNTIF(M$2:M2575,M2575),M2575&amp;"_"&amp;COUNTIF(M$2:M2575,M2575)))</f>
        <v>2417.32_1</v>
      </c>
      <c r="O2575" s="17" t="str">
        <f t="shared" si="40"/>
        <v/>
      </c>
      <c r="P2575" s="13" t="s">
        <v>3071</v>
      </c>
      <c r="Q2575" s="13" t="s">
        <v>3061</v>
      </c>
      <c r="R2575" s="13" t="s">
        <v>0</v>
      </c>
      <c r="S2575" s="13" t="s">
        <v>0</v>
      </c>
      <c r="T2575" s="13" t="s">
        <v>9</v>
      </c>
      <c r="U2575" s="13" t="s">
        <v>0</v>
      </c>
      <c r="V2575" s="13" t="s">
        <v>0</v>
      </c>
      <c r="W2575" s="13" t="s">
        <v>0</v>
      </c>
      <c r="X2575" s="13" t="s">
        <v>0</v>
      </c>
      <c r="Y2575" s="13" t="s">
        <v>10</v>
      </c>
      <c r="Z2575" s="13" t="s">
        <v>0</v>
      </c>
      <c r="AA2575" s="14"/>
      <c r="AB2575" s="13" t="s">
        <v>0</v>
      </c>
      <c r="AC2575" s="13" t="s">
        <v>0</v>
      </c>
      <c r="AD2575" s="13" t="s">
        <v>0</v>
      </c>
      <c r="AE2575" s="15">
        <v>0</v>
      </c>
    </row>
    <row r="2576" spans="1:31" ht="14.15" customHeight="1" x14ac:dyDescent="0.25">
      <c r="A2576" s="12" t="s">
        <v>0</v>
      </c>
      <c r="B2576" s="13" t="s">
        <v>1</v>
      </c>
      <c r="C2576" s="13" t="s">
        <v>729</v>
      </c>
      <c r="D2576" s="14">
        <v>44095</v>
      </c>
      <c r="E2576" s="14">
        <v>44095</v>
      </c>
      <c r="F2576" s="14">
        <v>44098</v>
      </c>
      <c r="G2576" s="13" t="s">
        <v>3</v>
      </c>
      <c r="H2576" s="13" t="s">
        <v>4</v>
      </c>
      <c r="I2576" s="15">
        <v>-2411.7800000000002</v>
      </c>
      <c r="J2576" s="13" t="s">
        <v>5</v>
      </c>
      <c r="K2576" s="13" t="s">
        <v>6</v>
      </c>
      <c r="L2576" s="15">
        <v>-202468.93</v>
      </c>
      <c r="M2576" s="15">
        <v>-2411.7800000000002</v>
      </c>
      <c r="N2576" s="16" t="str">
        <f>IF(M2576="","",IF(M2576&lt;0,-M2576&amp;"_"&amp;COUNTIF(M$2:M2576,M2576),M2576&amp;"_"&amp;COUNTIF(M$2:M2576,M2576)))</f>
        <v>2411.78_1</v>
      </c>
      <c r="O2576" s="17" t="str">
        <f t="shared" si="40"/>
        <v/>
      </c>
      <c r="P2576" s="13" t="s">
        <v>730</v>
      </c>
      <c r="Q2576" s="13" t="s">
        <v>726</v>
      </c>
      <c r="R2576" s="13" t="s">
        <v>0</v>
      </c>
      <c r="S2576" s="13" t="s">
        <v>0</v>
      </c>
      <c r="T2576" s="13" t="s">
        <v>9</v>
      </c>
      <c r="U2576" s="13" t="s">
        <v>0</v>
      </c>
      <c r="V2576" s="13" t="s">
        <v>0</v>
      </c>
      <c r="W2576" s="13" t="s">
        <v>0</v>
      </c>
      <c r="X2576" s="13" t="s">
        <v>0</v>
      </c>
      <c r="Y2576" s="13" t="s">
        <v>10</v>
      </c>
      <c r="Z2576" s="13" t="s">
        <v>0</v>
      </c>
      <c r="AA2576" s="14"/>
      <c r="AB2576" s="13" t="s">
        <v>0</v>
      </c>
      <c r="AC2576" s="13" t="s">
        <v>0</v>
      </c>
      <c r="AD2576" s="13" t="s">
        <v>0</v>
      </c>
      <c r="AE2576" s="15">
        <v>0</v>
      </c>
    </row>
    <row r="2577" spans="1:31" ht="14.15" customHeight="1" x14ac:dyDescent="0.25">
      <c r="A2577" s="12" t="s">
        <v>0</v>
      </c>
      <c r="B2577" s="13" t="s">
        <v>1</v>
      </c>
      <c r="C2577" s="13" t="s">
        <v>1184</v>
      </c>
      <c r="D2577" s="14">
        <v>44140</v>
      </c>
      <c r="E2577" s="14">
        <v>44140</v>
      </c>
      <c r="F2577" s="14">
        <v>44146</v>
      </c>
      <c r="G2577" s="13" t="s">
        <v>3</v>
      </c>
      <c r="H2577" s="13" t="s">
        <v>4</v>
      </c>
      <c r="I2577" s="15">
        <v>-2410.9299999999998</v>
      </c>
      <c r="J2577" s="13" t="s">
        <v>5</v>
      </c>
      <c r="K2577" s="13" t="s">
        <v>6</v>
      </c>
      <c r="L2577" s="15">
        <v>-202397.57</v>
      </c>
      <c r="M2577" s="15">
        <v>-2410.9299999999998</v>
      </c>
      <c r="N2577" s="16" t="str">
        <f>IF(M2577="","",IF(M2577&lt;0,-M2577&amp;"_"&amp;COUNTIF(M$2:M2577,M2577),M2577&amp;"_"&amp;COUNTIF(M$2:M2577,M2577)))</f>
        <v>2410.93_1</v>
      </c>
      <c r="O2577" s="17" t="str">
        <f t="shared" si="40"/>
        <v/>
      </c>
      <c r="P2577" s="13" t="s">
        <v>1185</v>
      </c>
      <c r="Q2577" s="13" t="s">
        <v>1165</v>
      </c>
      <c r="R2577" s="13" t="s">
        <v>0</v>
      </c>
      <c r="S2577" s="13" t="s">
        <v>0</v>
      </c>
      <c r="T2577" s="13" t="s">
        <v>9</v>
      </c>
      <c r="U2577" s="13" t="s">
        <v>0</v>
      </c>
      <c r="V2577" s="13" t="s">
        <v>0</v>
      </c>
      <c r="W2577" s="13" t="s">
        <v>0</v>
      </c>
      <c r="X2577" s="13" t="s">
        <v>0</v>
      </c>
      <c r="Y2577" s="13" t="s">
        <v>10</v>
      </c>
      <c r="Z2577" s="13" t="s">
        <v>0</v>
      </c>
      <c r="AA2577" s="14"/>
      <c r="AB2577" s="13" t="s">
        <v>0</v>
      </c>
      <c r="AC2577" s="13" t="s">
        <v>0</v>
      </c>
      <c r="AD2577" s="13" t="s">
        <v>0</v>
      </c>
      <c r="AE2577" s="15">
        <v>0</v>
      </c>
    </row>
    <row r="2578" spans="1:31" ht="14.15" customHeight="1" x14ac:dyDescent="0.25">
      <c r="A2578" s="12" t="s">
        <v>0</v>
      </c>
      <c r="B2578" s="13" t="s">
        <v>1</v>
      </c>
      <c r="C2578" s="13" t="s">
        <v>1374</v>
      </c>
      <c r="D2578" s="14">
        <v>44152</v>
      </c>
      <c r="E2578" s="14">
        <v>44152</v>
      </c>
      <c r="F2578" s="14">
        <v>44156</v>
      </c>
      <c r="G2578" s="13" t="s">
        <v>3</v>
      </c>
      <c r="H2578" s="13" t="s">
        <v>4</v>
      </c>
      <c r="I2578" s="15">
        <v>-2410.89</v>
      </c>
      <c r="J2578" s="13" t="s">
        <v>5</v>
      </c>
      <c r="K2578" s="13" t="s">
        <v>6</v>
      </c>
      <c r="L2578" s="15">
        <v>-202394.22</v>
      </c>
      <c r="M2578" s="15">
        <v>-2410.89</v>
      </c>
      <c r="N2578" s="16" t="str">
        <f>IF(M2578="","",IF(M2578&lt;0,-M2578&amp;"_"&amp;COUNTIF(M$2:M2578,M2578),M2578&amp;"_"&amp;COUNTIF(M$2:M2578,M2578)))</f>
        <v>2410.89_1</v>
      </c>
      <c r="O2578" s="17" t="str">
        <f t="shared" si="40"/>
        <v/>
      </c>
      <c r="P2578" s="13" t="s">
        <v>1375</v>
      </c>
      <c r="Q2578" s="13" t="s">
        <v>1376</v>
      </c>
      <c r="R2578" s="13" t="s">
        <v>0</v>
      </c>
      <c r="S2578" s="13" t="s">
        <v>0</v>
      </c>
      <c r="T2578" s="13" t="s">
        <v>9</v>
      </c>
      <c r="U2578" s="13" t="s">
        <v>0</v>
      </c>
      <c r="V2578" s="13" t="s">
        <v>0</v>
      </c>
      <c r="W2578" s="13" t="s">
        <v>0</v>
      </c>
      <c r="X2578" s="13" t="s">
        <v>0</v>
      </c>
      <c r="Y2578" s="13" t="s">
        <v>10</v>
      </c>
      <c r="Z2578" s="13" t="s">
        <v>0</v>
      </c>
      <c r="AA2578" s="14"/>
      <c r="AB2578" s="13" t="s">
        <v>0</v>
      </c>
      <c r="AC2578" s="13" t="s">
        <v>0</v>
      </c>
      <c r="AD2578" s="13" t="s">
        <v>0</v>
      </c>
      <c r="AE2578" s="15">
        <v>0</v>
      </c>
    </row>
    <row r="2579" spans="1:31" ht="14.15" customHeight="1" x14ac:dyDescent="0.25">
      <c r="A2579" s="12" t="s">
        <v>0</v>
      </c>
      <c r="B2579" s="13" t="s">
        <v>454</v>
      </c>
      <c r="C2579" s="13" t="s">
        <v>1309</v>
      </c>
      <c r="D2579" s="14">
        <v>44146</v>
      </c>
      <c r="E2579" s="14">
        <v>44146</v>
      </c>
      <c r="F2579" s="14">
        <v>44150</v>
      </c>
      <c r="G2579" s="13" t="s">
        <v>3</v>
      </c>
      <c r="H2579" s="13" t="s">
        <v>4</v>
      </c>
      <c r="I2579" s="15">
        <v>-2410.71</v>
      </c>
      <c r="J2579" s="13" t="s">
        <v>5</v>
      </c>
      <c r="K2579" s="13" t="s">
        <v>6</v>
      </c>
      <c r="L2579" s="15">
        <v>-202379.1</v>
      </c>
      <c r="M2579" s="15">
        <v>-2410.71</v>
      </c>
      <c r="N2579" s="16" t="str">
        <f>IF(M2579="","",IF(M2579&lt;0,-M2579&amp;"_"&amp;COUNTIF(M$2:M2579,M2579),M2579&amp;"_"&amp;COUNTIF(M$2:M2579,M2579)))</f>
        <v>2410.71_1</v>
      </c>
      <c r="O2579" s="17" t="str">
        <f t="shared" si="40"/>
        <v/>
      </c>
      <c r="P2579" s="13" t="s">
        <v>1310</v>
      </c>
      <c r="Q2579" s="13" t="s">
        <v>1282</v>
      </c>
      <c r="R2579" s="13" t="s">
        <v>0</v>
      </c>
      <c r="S2579" s="13" t="s">
        <v>0</v>
      </c>
      <c r="T2579" s="13" t="s">
        <v>9</v>
      </c>
      <c r="U2579" s="13" t="s">
        <v>0</v>
      </c>
      <c r="V2579" s="13" t="s">
        <v>0</v>
      </c>
      <c r="W2579" s="13" t="s">
        <v>0</v>
      </c>
      <c r="X2579" s="13" t="s">
        <v>0</v>
      </c>
      <c r="Y2579" s="13" t="s">
        <v>10</v>
      </c>
      <c r="Z2579" s="13" t="s">
        <v>0</v>
      </c>
      <c r="AA2579" s="14"/>
      <c r="AB2579" s="13" t="s">
        <v>0</v>
      </c>
      <c r="AC2579" s="13" t="s">
        <v>0</v>
      </c>
      <c r="AD2579" s="13" t="s">
        <v>0</v>
      </c>
      <c r="AE2579" s="15">
        <v>0</v>
      </c>
    </row>
    <row r="2580" spans="1:31" ht="14.15" customHeight="1" x14ac:dyDescent="0.25">
      <c r="A2580" s="12" t="s">
        <v>0</v>
      </c>
      <c r="B2580" s="13" t="s">
        <v>1</v>
      </c>
      <c r="C2580" s="13" t="s">
        <v>1694</v>
      </c>
      <c r="D2580" s="14">
        <v>44173</v>
      </c>
      <c r="E2580" s="14">
        <v>44173</v>
      </c>
      <c r="F2580" s="14">
        <v>44178</v>
      </c>
      <c r="G2580" s="13" t="s">
        <v>3</v>
      </c>
      <c r="H2580" s="13" t="s">
        <v>4</v>
      </c>
      <c r="I2580" s="15">
        <v>-2396.69</v>
      </c>
      <c r="J2580" s="13" t="s">
        <v>5</v>
      </c>
      <c r="K2580" s="13" t="s">
        <v>6</v>
      </c>
      <c r="L2580" s="15">
        <v>-201202.13</v>
      </c>
      <c r="M2580" s="15">
        <v>-2396.69</v>
      </c>
      <c r="N2580" s="16" t="str">
        <f>IF(M2580="","",IF(M2580&lt;0,-M2580&amp;"_"&amp;COUNTIF(M$2:M2580,M2580),M2580&amp;"_"&amp;COUNTIF(M$2:M2580,M2580)))</f>
        <v>2396.69_1</v>
      </c>
      <c r="O2580" s="17" t="str">
        <f t="shared" si="40"/>
        <v/>
      </c>
      <c r="P2580" s="13" t="s">
        <v>1695</v>
      </c>
      <c r="Q2580" s="13" t="s">
        <v>1687</v>
      </c>
      <c r="R2580" s="13" t="s">
        <v>0</v>
      </c>
      <c r="S2580" s="13" t="s">
        <v>0</v>
      </c>
      <c r="T2580" s="13" t="s">
        <v>9</v>
      </c>
      <c r="U2580" s="13" t="s">
        <v>0</v>
      </c>
      <c r="V2580" s="13" t="s">
        <v>0</v>
      </c>
      <c r="W2580" s="13" t="s">
        <v>0</v>
      </c>
      <c r="X2580" s="13" t="s">
        <v>0</v>
      </c>
      <c r="Y2580" s="13" t="s">
        <v>10</v>
      </c>
      <c r="Z2580" s="13" t="s">
        <v>0</v>
      </c>
      <c r="AA2580" s="14"/>
      <c r="AB2580" s="13" t="s">
        <v>0</v>
      </c>
      <c r="AC2580" s="13" t="s">
        <v>0</v>
      </c>
      <c r="AD2580" s="13" t="s">
        <v>0</v>
      </c>
      <c r="AE2580" s="15">
        <v>0</v>
      </c>
    </row>
    <row r="2581" spans="1:31" ht="14.15" customHeight="1" x14ac:dyDescent="0.25">
      <c r="A2581" s="12" t="s">
        <v>0</v>
      </c>
      <c r="B2581" s="13" t="s">
        <v>1</v>
      </c>
      <c r="C2581" s="13" t="s">
        <v>1880</v>
      </c>
      <c r="D2581" s="14">
        <v>44188</v>
      </c>
      <c r="E2581" s="14">
        <v>44188</v>
      </c>
      <c r="F2581" s="14">
        <v>44199</v>
      </c>
      <c r="G2581" s="13" t="s">
        <v>3</v>
      </c>
      <c r="H2581" s="13" t="s">
        <v>4</v>
      </c>
      <c r="I2581" s="15">
        <v>-2394.0300000000002</v>
      </c>
      <c r="J2581" s="13" t="s">
        <v>5</v>
      </c>
      <c r="K2581" s="13" t="s">
        <v>6</v>
      </c>
      <c r="L2581" s="15">
        <v>-200978.82</v>
      </c>
      <c r="M2581" s="15">
        <v>-2394.0300000000002</v>
      </c>
      <c r="N2581" s="16" t="str">
        <f>IF(M2581="","",IF(M2581&lt;0,-M2581&amp;"_"&amp;COUNTIF(M$2:M2581,M2581),M2581&amp;"_"&amp;COUNTIF(M$2:M2581,M2581)))</f>
        <v>2394.03_1</v>
      </c>
      <c r="O2581" s="17" t="str">
        <f t="shared" si="40"/>
        <v/>
      </c>
      <c r="P2581" s="13" t="s">
        <v>1881</v>
      </c>
      <c r="Q2581" s="13" t="s">
        <v>1869</v>
      </c>
      <c r="R2581" s="13" t="s">
        <v>0</v>
      </c>
      <c r="S2581" s="13" t="s">
        <v>0</v>
      </c>
      <c r="T2581" s="13" t="s">
        <v>9</v>
      </c>
      <c r="U2581" s="13" t="s">
        <v>0</v>
      </c>
      <c r="V2581" s="13" t="s">
        <v>0</v>
      </c>
      <c r="W2581" s="13" t="s">
        <v>0</v>
      </c>
      <c r="X2581" s="13" t="s">
        <v>0</v>
      </c>
      <c r="Y2581" s="13" t="s">
        <v>10</v>
      </c>
      <c r="Z2581" s="13" t="s">
        <v>0</v>
      </c>
      <c r="AA2581" s="14"/>
      <c r="AB2581" s="13" t="s">
        <v>0</v>
      </c>
      <c r="AC2581" s="13" t="s">
        <v>0</v>
      </c>
      <c r="AD2581" s="13" t="s">
        <v>0</v>
      </c>
      <c r="AE2581" s="15">
        <v>0</v>
      </c>
    </row>
    <row r="2582" spans="1:31" ht="14.15" customHeight="1" x14ac:dyDescent="0.25">
      <c r="A2582" s="12" t="s">
        <v>0</v>
      </c>
      <c r="B2582" s="13" t="s">
        <v>1</v>
      </c>
      <c r="C2582" s="13" t="s">
        <v>184</v>
      </c>
      <c r="D2582" s="14">
        <v>44034</v>
      </c>
      <c r="E2582" s="14">
        <v>44034</v>
      </c>
      <c r="F2582" s="14">
        <v>44040</v>
      </c>
      <c r="G2582" s="13" t="s">
        <v>3</v>
      </c>
      <c r="H2582" s="13" t="s">
        <v>4</v>
      </c>
      <c r="I2582" s="15">
        <v>-2385.39</v>
      </c>
      <c r="J2582" s="13" t="s">
        <v>5</v>
      </c>
      <c r="K2582" s="13" t="s">
        <v>6</v>
      </c>
      <c r="L2582" s="15">
        <v>-200253.49</v>
      </c>
      <c r="M2582" s="15">
        <v>-2385.39</v>
      </c>
      <c r="N2582" s="16" t="str">
        <f>IF(M2582="","",IF(M2582&lt;0,-M2582&amp;"_"&amp;COUNTIF(M$2:M2582,M2582),M2582&amp;"_"&amp;COUNTIF(M$2:M2582,M2582)))</f>
        <v>2385.39_1</v>
      </c>
      <c r="O2582" s="17" t="str">
        <f t="shared" si="40"/>
        <v/>
      </c>
      <c r="P2582" s="13" t="s">
        <v>185</v>
      </c>
      <c r="Q2582" s="13" t="s">
        <v>175</v>
      </c>
      <c r="R2582" s="13" t="s">
        <v>0</v>
      </c>
      <c r="S2582" s="13" t="s">
        <v>0</v>
      </c>
      <c r="T2582" s="13" t="s">
        <v>9</v>
      </c>
      <c r="U2582" s="13" t="s">
        <v>0</v>
      </c>
      <c r="V2582" s="13" t="s">
        <v>0</v>
      </c>
      <c r="W2582" s="13" t="s">
        <v>0</v>
      </c>
      <c r="X2582" s="13" t="s">
        <v>0</v>
      </c>
      <c r="Y2582" s="13" t="s">
        <v>10</v>
      </c>
      <c r="Z2582" s="13" t="s">
        <v>0</v>
      </c>
      <c r="AA2582" s="14"/>
      <c r="AB2582" s="13" t="s">
        <v>0</v>
      </c>
      <c r="AC2582" s="13" t="s">
        <v>0</v>
      </c>
      <c r="AD2582" s="13" t="s">
        <v>0</v>
      </c>
      <c r="AE2582" s="15">
        <v>0</v>
      </c>
    </row>
    <row r="2583" spans="1:31" ht="14.15" customHeight="1" x14ac:dyDescent="0.25">
      <c r="A2583" s="12" t="s">
        <v>0</v>
      </c>
      <c r="B2583" s="13" t="s">
        <v>1</v>
      </c>
      <c r="C2583" s="13" t="s">
        <v>188</v>
      </c>
      <c r="D2583" s="14">
        <v>44034</v>
      </c>
      <c r="E2583" s="14">
        <v>44034</v>
      </c>
      <c r="F2583" s="14">
        <v>44040</v>
      </c>
      <c r="G2583" s="13" t="s">
        <v>3</v>
      </c>
      <c r="H2583" s="13" t="s">
        <v>4</v>
      </c>
      <c r="I2583" s="15">
        <v>-2385.39</v>
      </c>
      <c r="J2583" s="13" t="s">
        <v>5</v>
      </c>
      <c r="K2583" s="13" t="s">
        <v>6</v>
      </c>
      <c r="L2583" s="15">
        <v>-200253.49</v>
      </c>
      <c r="M2583" s="15">
        <v>-2385.39</v>
      </c>
      <c r="N2583" s="16" t="str">
        <f>IF(M2583="","",IF(M2583&lt;0,-M2583&amp;"_"&amp;COUNTIF(M$2:M2583,M2583),M2583&amp;"_"&amp;COUNTIF(M$2:M2583,M2583)))</f>
        <v>2385.39_2</v>
      </c>
      <c r="O2583" s="17" t="str">
        <f t="shared" si="40"/>
        <v/>
      </c>
      <c r="P2583" s="13" t="s">
        <v>189</v>
      </c>
      <c r="Q2583" s="13" t="s">
        <v>175</v>
      </c>
      <c r="R2583" s="13" t="s">
        <v>0</v>
      </c>
      <c r="S2583" s="13" t="s">
        <v>0</v>
      </c>
      <c r="T2583" s="13" t="s">
        <v>9</v>
      </c>
      <c r="U2583" s="13" t="s">
        <v>0</v>
      </c>
      <c r="V2583" s="13" t="s">
        <v>0</v>
      </c>
      <c r="W2583" s="13" t="s">
        <v>0</v>
      </c>
      <c r="X2583" s="13" t="s">
        <v>0</v>
      </c>
      <c r="Y2583" s="13" t="s">
        <v>10</v>
      </c>
      <c r="Z2583" s="13" t="s">
        <v>0</v>
      </c>
      <c r="AA2583" s="14"/>
      <c r="AB2583" s="13" t="s">
        <v>0</v>
      </c>
      <c r="AC2583" s="13" t="s">
        <v>0</v>
      </c>
      <c r="AD2583" s="13" t="s">
        <v>0</v>
      </c>
      <c r="AE2583" s="15">
        <v>0</v>
      </c>
    </row>
    <row r="2584" spans="1:31" ht="14.15" customHeight="1" x14ac:dyDescent="0.25">
      <c r="A2584" s="12" t="s">
        <v>0</v>
      </c>
      <c r="B2584" s="13" t="s">
        <v>1</v>
      </c>
      <c r="C2584" s="13" t="s">
        <v>1954</v>
      </c>
      <c r="D2584" s="14">
        <v>44195</v>
      </c>
      <c r="E2584" s="14">
        <v>44195</v>
      </c>
      <c r="F2584" s="14">
        <v>44199</v>
      </c>
      <c r="G2584" s="13" t="s">
        <v>3</v>
      </c>
      <c r="H2584" s="13" t="s">
        <v>4</v>
      </c>
      <c r="I2584" s="15">
        <v>-2379.2399999999998</v>
      </c>
      <c r="J2584" s="13" t="s">
        <v>5</v>
      </c>
      <c r="K2584" s="13" t="s">
        <v>6</v>
      </c>
      <c r="L2584" s="15">
        <v>-199737.2</v>
      </c>
      <c r="M2584" s="15">
        <v>-2379.2399999999998</v>
      </c>
      <c r="N2584" s="16" t="str">
        <f>IF(M2584="","",IF(M2584&lt;0,-M2584&amp;"_"&amp;COUNTIF(M$2:M2584,M2584),M2584&amp;"_"&amp;COUNTIF(M$2:M2584,M2584)))</f>
        <v>2379.24_1</v>
      </c>
      <c r="O2584" s="17" t="str">
        <f t="shared" si="40"/>
        <v/>
      </c>
      <c r="P2584" s="13" t="s">
        <v>1955</v>
      </c>
      <c r="Q2584" s="13" t="s">
        <v>1956</v>
      </c>
      <c r="R2584" s="13" t="s">
        <v>0</v>
      </c>
      <c r="S2584" s="13" t="s">
        <v>0</v>
      </c>
      <c r="T2584" s="13" t="s">
        <v>9</v>
      </c>
      <c r="U2584" s="13" t="s">
        <v>0</v>
      </c>
      <c r="V2584" s="13" t="s">
        <v>0</v>
      </c>
      <c r="W2584" s="13" t="s">
        <v>0</v>
      </c>
      <c r="X2584" s="13" t="s">
        <v>0</v>
      </c>
      <c r="Y2584" s="13" t="s">
        <v>10</v>
      </c>
      <c r="Z2584" s="13" t="s">
        <v>0</v>
      </c>
      <c r="AA2584" s="14"/>
      <c r="AB2584" s="13" t="s">
        <v>0</v>
      </c>
      <c r="AC2584" s="13" t="s">
        <v>0</v>
      </c>
      <c r="AD2584" s="13" t="s">
        <v>0</v>
      </c>
      <c r="AE2584" s="15">
        <v>0</v>
      </c>
    </row>
    <row r="2585" spans="1:31" ht="14.15" customHeight="1" x14ac:dyDescent="0.25">
      <c r="A2585" s="12" t="s">
        <v>0</v>
      </c>
      <c r="B2585" s="13" t="s">
        <v>1</v>
      </c>
      <c r="C2585" s="13" t="s">
        <v>1351</v>
      </c>
      <c r="D2585" s="14">
        <v>44150</v>
      </c>
      <c r="E2585" s="14">
        <v>44150</v>
      </c>
      <c r="F2585" s="14">
        <v>44154</v>
      </c>
      <c r="G2585" s="13" t="s">
        <v>3</v>
      </c>
      <c r="H2585" s="13" t="s">
        <v>4</v>
      </c>
      <c r="I2585" s="15">
        <v>-2364</v>
      </c>
      <c r="J2585" s="13" t="s">
        <v>5</v>
      </c>
      <c r="K2585" s="13" t="s">
        <v>6</v>
      </c>
      <c r="L2585" s="15">
        <v>-198457.8</v>
      </c>
      <c r="M2585" s="15">
        <v>-2364</v>
      </c>
      <c r="N2585" s="16" t="str">
        <f>IF(M2585="","",IF(M2585&lt;0,-M2585&amp;"_"&amp;COUNTIF(M$2:M2585,M2585),M2585&amp;"_"&amp;COUNTIF(M$2:M2585,M2585)))</f>
        <v>2364_1</v>
      </c>
      <c r="O2585" s="17" t="str">
        <f t="shared" si="40"/>
        <v/>
      </c>
      <c r="P2585" s="13" t="s">
        <v>1352</v>
      </c>
      <c r="Q2585" s="13" t="s">
        <v>1338</v>
      </c>
      <c r="R2585" s="13" t="s">
        <v>0</v>
      </c>
      <c r="S2585" s="13" t="s">
        <v>0</v>
      </c>
      <c r="T2585" s="13" t="s">
        <v>9</v>
      </c>
      <c r="U2585" s="13" t="s">
        <v>0</v>
      </c>
      <c r="V2585" s="13" t="s">
        <v>0</v>
      </c>
      <c r="W2585" s="13" t="s">
        <v>0</v>
      </c>
      <c r="X2585" s="13" t="s">
        <v>0</v>
      </c>
      <c r="Y2585" s="13" t="s">
        <v>10</v>
      </c>
      <c r="Z2585" s="13" t="s">
        <v>0</v>
      </c>
      <c r="AA2585" s="14"/>
      <c r="AB2585" s="13" t="s">
        <v>0</v>
      </c>
      <c r="AC2585" s="13" t="s">
        <v>0</v>
      </c>
      <c r="AD2585" s="13" t="s">
        <v>0</v>
      </c>
      <c r="AE2585" s="15">
        <v>0</v>
      </c>
    </row>
    <row r="2586" spans="1:31" ht="14.15" customHeight="1" x14ac:dyDescent="0.25">
      <c r="A2586" s="12" t="s">
        <v>0</v>
      </c>
      <c r="B2586" s="13" t="s">
        <v>1</v>
      </c>
      <c r="C2586" s="13" t="s">
        <v>1243</v>
      </c>
      <c r="D2586" s="14">
        <v>44143</v>
      </c>
      <c r="E2586" s="14">
        <v>44143</v>
      </c>
      <c r="F2586" s="14">
        <v>44146</v>
      </c>
      <c r="G2586" s="13" t="s">
        <v>3</v>
      </c>
      <c r="H2586" s="13" t="s">
        <v>4</v>
      </c>
      <c r="I2586" s="15">
        <v>-2360.56</v>
      </c>
      <c r="J2586" s="13" t="s">
        <v>5</v>
      </c>
      <c r="K2586" s="13" t="s">
        <v>6</v>
      </c>
      <c r="L2586" s="15">
        <v>-198169.01</v>
      </c>
      <c r="M2586" s="15">
        <v>-2360.56</v>
      </c>
      <c r="N2586" s="16" t="str">
        <f>IF(M2586="","",IF(M2586&lt;0,-M2586&amp;"_"&amp;COUNTIF(M$2:M2586,M2586),M2586&amp;"_"&amp;COUNTIF(M$2:M2586,M2586)))</f>
        <v>2360.56_1</v>
      </c>
      <c r="O2586" s="17" t="str">
        <f t="shared" si="40"/>
        <v/>
      </c>
      <c r="P2586" s="13" t="s">
        <v>1244</v>
      </c>
      <c r="Q2586" s="13" t="s">
        <v>1245</v>
      </c>
      <c r="R2586" s="13" t="s">
        <v>0</v>
      </c>
      <c r="S2586" s="13" t="s">
        <v>0</v>
      </c>
      <c r="T2586" s="13" t="s">
        <v>9</v>
      </c>
      <c r="U2586" s="13" t="s">
        <v>0</v>
      </c>
      <c r="V2586" s="13" t="s">
        <v>0</v>
      </c>
      <c r="W2586" s="13" t="s">
        <v>0</v>
      </c>
      <c r="X2586" s="13" t="s">
        <v>0</v>
      </c>
      <c r="Y2586" s="13" t="s">
        <v>10</v>
      </c>
      <c r="Z2586" s="13" t="s">
        <v>0</v>
      </c>
      <c r="AA2586" s="14"/>
      <c r="AB2586" s="13" t="s">
        <v>0</v>
      </c>
      <c r="AC2586" s="13" t="s">
        <v>0</v>
      </c>
      <c r="AD2586" s="13" t="s">
        <v>0</v>
      </c>
      <c r="AE2586" s="15">
        <v>0</v>
      </c>
    </row>
    <row r="2587" spans="1:31" ht="14.15" customHeight="1" x14ac:dyDescent="0.25">
      <c r="A2587" s="12" t="s">
        <v>0</v>
      </c>
      <c r="B2587" s="13" t="s">
        <v>1</v>
      </c>
      <c r="C2587" s="13" t="s">
        <v>2318</v>
      </c>
      <c r="D2587" s="14">
        <v>44220</v>
      </c>
      <c r="E2587" s="14">
        <v>44220</v>
      </c>
      <c r="F2587" s="14">
        <v>44224</v>
      </c>
      <c r="G2587" s="13" t="s">
        <v>3</v>
      </c>
      <c r="H2587" s="13" t="s">
        <v>4</v>
      </c>
      <c r="I2587" s="15">
        <v>-2360.4</v>
      </c>
      <c r="J2587" s="13" t="s">
        <v>5</v>
      </c>
      <c r="K2587" s="13" t="s">
        <v>6</v>
      </c>
      <c r="L2587" s="15">
        <v>-198155.58</v>
      </c>
      <c r="M2587" s="15">
        <v>-2360.4</v>
      </c>
      <c r="N2587" s="16" t="str">
        <f>IF(M2587="","",IF(M2587&lt;0,-M2587&amp;"_"&amp;COUNTIF(M$2:M2587,M2587),M2587&amp;"_"&amp;COUNTIF(M$2:M2587,M2587)))</f>
        <v>2360.4_1</v>
      </c>
      <c r="O2587" s="17" t="str">
        <f t="shared" si="40"/>
        <v/>
      </c>
      <c r="P2587" s="13" t="s">
        <v>2319</v>
      </c>
      <c r="Q2587" s="13" t="s">
        <v>2317</v>
      </c>
      <c r="R2587" s="13" t="s">
        <v>0</v>
      </c>
      <c r="S2587" s="13" t="s">
        <v>0</v>
      </c>
      <c r="T2587" s="13" t="s">
        <v>9</v>
      </c>
      <c r="U2587" s="13" t="s">
        <v>0</v>
      </c>
      <c r="V2587" s="13" t="s">
        <v>0</v>
      </c>
      <c r="W2587" s="13" t="s">
        <v>0</v>
      </c>
      <c r="X2587" s="13" t="s">
        <v>0</v>
      </c>
      <c r="Y2587" s="13" t="s">
        <v>10</v>
      </c>
      <c r="Z2587" s="13" t="s">
        <v>0</v>
      </c>
      <c r="AA2587" s="14"/>
      <c r="AB2587" s="13" t="s">
        <v>0</v>
      </c>
      <c r="AC2587" s="13" t="s">
        <v>0</v>
      </c>
      <c r="AD2587" s="13" t="s">
        <v>0</v>
      </c>
      <c r="AE2587" s="15">
        <v>0</v>
      </c>
    </row>
    <row r="2588" spans="1:31" ht="14.15" customHeight="1" x14ac:dyDescent="0.25">
      <c r="A2588" s="12" t="s">
        <v>0</v>
      </c>
      <c r="B2588" s="13" t="s">
        <v>1</v>
      </c>
      <c r="C2588" s="13" t="s">
        <v>4033</v>
      </c>
      <c r="D2588" s="14">
        <v>44358</v>
      </c>
      <c r="E2588" s="14">
        <v>44358</v>
      </c>
      <c r="F2588" s="14">
        <v>44364</v>
      </c>
      <c r="G2588" s="13" t="s">
        <v>3</v>
      </c>
      <c r="H2588" s="13" t="s">
        <v>4</v>
      </c>
      <c r="I2588" s="15">
        <v>-2360.34</v>
      </c>
      <c r="J2588" s="13" t="s">
        <v>5</v>
      </c>
      <c r="K2588" s="13" t="s">
        <v>6</v>
      </c>
      <c r="L2588" s="15">
        <v>-198150.54</v>
      </c>
      <c r="M2588" s="15">
        <v>-2360.34</v>
      </c>
      <c r="N2588" s="16" t="str">
        <f>IF(M2588="","",IF(M2588&lt;0,-M2588&amp;"_"&amp;COUNTIF(M$2:M2588,M2588),M2588&amp;"_"&amp;COUNTIF(M$2:M2588,M2588)))</f>
        <v>2360.34_1</v>
      </c>
      <c r="O2588" s="17" t="str">
        <f t="shared" si="40"/>
        <v/>
      </c>
      <c r="P2588" s="13" t="s">
        <v>4034</v>
      </c>
      <c r="Q2588" s="13" t="s">
        <v>4006</v>
      </c>
      <c r="R2588" s="13" t="s">
        <v>0</v>
      </c>
      <c r="S2588" s="13" t="s">
        <v>0</v>
      </c>
      <c r="T2588" s="13" t="s">
        <v>9</v>
      </c>
      <c r="U2588" s="13" t="s">
        <v>0</v>
      </c>
      <c r="V2588" s="13" t="s">
        <v>0</v>
      </c>
      <c r="W2588" s="13" t="s">
        <v>0</v>
      </c>
      <c r="X2588" s="13" t="s">
        <v>0</v>
      </c>
      <c r="Y2588" s="13" t="s">
        <v>10</v>
      </c>
      <c r="Z2588" s="13" t="s">
        <v>0</v>
      </c>
      <c r="AA2588" s="14"/>
      <c r="AB2588" s="13" t="s">
        <v>0</v>
      </c>
      <c r="AC2588" s="13" t="s">
        <v>0</v>
      </c>
      <c r="AD2588" s="13" t="s">
        <v>0</v>
      </c>
      <c r="AE2588" s="15">
        <v>0</v>
      </c>
    </row>
    <row r="2589" spans="1:31" ht="14.15" customHeight="1" x14ac:dyDescent="0.25">
      <c r="A2589" s="12" t="s">
        <v>0</v>
      </c>
      <c r="B2589" s="13" t="s">
        <v>1</v>
      </c>
      <c r="C2589" s="13" t="s">
        <v>1813</v>
      </c>
      <c r="D2589" s="14">
        <v>44183</v>
      </c>
      <c r="E2589" s="14">
        <v>44183</v>
      </c>
      <c r="F2589" s="14">
        <v>44187</v>
      </c>
      <c r="G2589" s="13" t="s">
        <v>3</v>
      </c>
      <c r="H2589" s="13" t="s">
        <v>4</v>
      </c>
      <c r="I2589" s="15">
        <v>-2356.7800000000002</v>
      </c>
      <c r="J2589" s="13" t="s">
        <v>5</v>
      </c>
      <c r="K2589" s="13" t="s">
        <v>6</v>
      </c>
      <c r="L2589" s="15">
        <v>-197851.69</v>
      </c>
      <c r="M2589" s="15">
        <v>-2356.7800000000002</v>
      </c>
      <c r="N2589" s="16" t="str">
        <f>IF(M2589="","",IF(M2589&lt;0,-M2589&amp;"_"&amp;COUNTIF(M$2:M2589,M2589),M2589&amp;"_"&amp;COUNTIF(M$2:M2589,M2589)))</f>
        <v>2356.78_1</v>
      </c>
      <c r="O2589" s="17" t="str">
        <f t="shared" si="40"/>
        <v/>
      </c>
      <c r="P2589" s="13" t="s">
        <v>1814</v>
      </c>
      <c r="Q2589" s="13" t="s">
        <v>1792</v>
      </c>
      <c r="R2589" s="13" t="s">
        <v>0</v>
      </c>
      <c r="S2589" s="13" t="s">
        <v>0</v>
      </c>
      <c r="T2589" s="13" t="s">
        <v>9</v>
      </c>
      <c r="U2589" s="13" t="s">
        <v>0</v>
      </c>
      <c r="V2589" s="13" t="s">
        <v>0</v>
      </c>
      <c r="W2589" s="13" t="s">
        <v>0</v>
      </c>
      <c r="X2589" s="13" t="s">
        <v>0</v>
      </c>
      <c r="Y2589" s="13" t="s">
        <v>10</v>
      </c>
      <c r="Z2589" s="13" t="s">
        <v>0</v>
      </c>
      <c r="AA2589" s="14"/>
      <c r="AB2589" s="13" t="s">
        <v>0</v>
      </c>
      <c r="AC2589" s="13" t="s">
        <v>0</v>
      </c>
      <c r="AD2589" s="13" t="s">
        <v>0</v>
      </c>
      <c r="AE2589" s="15">
        <v>0</v>
      </c>
    </row>
    <row r="2590" spans="1:31" ht="14.15" customHeight="1" x14ac:dyDescent="0.25">
      <c r="A2590" s="12" t="s">
        <v>0</v>
      </c>
      <c r="B2590" s="13" t="s">
        <v>1</v>
      </c>
      <c r="C2590" s="13" t="s">
        <v>1813</v>
      </c>
      <c r="D2590" s="14">
        <v>44183</v>
      </c>
      <c r="E2590" s="14">
        <v>44183</v>
      </c>
      <c r="F2590" s="14">
        <v>44187</v>
      </c>
      <c r="G2590" s="13" t="s">
        <v>3</v>
      </c>
      <c r="H2590" s="13" t="s">
        <v>4</v>
      </c>
      <c r="I2590" s="15">
        <v>-2356.7800000000002</v>
      </c>
      <c r="J2590" s="13" t="s">
        <v>5</v>
      </c>
      <c r="K2590" s="13" t="s">
        <v>6</v>
      </c>
      <c r="L2590" s="15">
        <v>-197851.68</v>
      </c>
      <c r="M2590" s="15">
        <v>-2356.7800000000002</v>
      </c>
      <c r="N2590" s="16" t="str">
        <f>IF(M2590="","",IF(M2590&lt;0,-M2590&amp;"_"&amp;COUNTIF(M$2:M2590,M2590),M2590&amp;"_"&amp;COUNTIF(M$2:M2590,M2590)))</f>
        <v>2356.78_2</v>
      </c>
      <c r="O2590" s="17" t="str">
        <f t="shared" si="40"/>
        <v/>
      </c>
      <c r="P2590" s="13" t="s">
        <v>1814</v>
      </c>
      <c r="Q2590" s="13" t="s">
        <v>1792</v>
      </c>
      <c r="R2590" s="13" t="s">
        <v>0</v>
      </c>
      <c r="S2590" s="13" t="s">
        <v>0</v>
      </c>
      <c r="T2590" s="13" t="s">
        <v>9</v>
      </c>
      <c r="U2590" s="13" t="s">
        <v>0</v>
      </c>
      <c r="V2590" s="13" t="s">
        <v>0</v>
      </c>
      <c r="W2590" s="13" t="s">
        <v>0</v>
      </c>
      <c r="X2590" s="13" t="s">
        <v>0</v>
      </c>
      <c r="Y2590" s="13" t="s">
        <v>10</v>
      </c>
      <c r="Z2590" s="13" t="s">
        <v>0</v>
      </c>
      <c r="AA2590" s="14"/>
      <c r="AB2590" s="13" t="s">
        <v>0</v>
      </c>
      <c r="AC2590" s="13" t="s">
        <v>0</v>
      </c>
      <c r="AD2590" s="13" t="s">
        <v>0</v>
      </c>
      <c r="AE2590" s="15">
        <v>0</v>
      </c>
    </row>
    <row r="2591" spans="1:31" ht="14.15" customHeight="1" x14ac:dyDescent="0.25">
      <c r="A2591" s="12" t="s">
        <v>0</v>
      </c>
      <c r="B2591" s="13" t="s">
        <v>1</v>
      </c>
      <c r="C2591" s="13" t="s">
        <v>948</v>
      </c>
      <c r="D2591" s="14">
        <v>44122</v>
      </c>
      <c r="E2591" s="14">
        <v>44122</v>
      </c>
      <c r="F2591" s="14">
        <v>44126</v>
      </c>
      <c r="G2591" s="13" t="s">
        <v>3</v>
      </c>
      <c r="H2591" s="13" t="s">
        <v>4</v>
      </c>
      <c r="I2591" s="15">
        <v>-2356.0100000000002</v>
      </c>
      <c r="J2591" s="13" t="s">
        <v>5</v>
      </c>
      <c r="K2591" s="13" t="s">
        <v>6</v>
      </c>
      <c r="L2591" s="15">
        <v>-197787.04</v>
      </c>
      <c r="M2591" s="15">
        <v>-2356.0100000000002</v>
      </c>
      <c r="N2591" s="16" t="str">
        <f>IF(M2591="","",IF(M2591&lt;0,-M2591&amp;"_"&amp;COUNTIF(M$2:M2591,M2591),M2591&amp;"_"&amp;COUNTIF(M$2:M2591,M2591)))</f>
        <v>2356.01_1</v>
      </c>
      <c r="O2591" s="17" t="str">
        <f t="shared" si="40"/>
        <v/>
      </c>
      <c r="P2591" s="13" t="s">
        <v>949</v>
      </c>
      <c r="Q2591" s="13" t="s">
        <v>947</v>
      </c>
      <c r="R2591" s="13" t="s">
        <v>0</v>
      </c>
      <c r="S2591" s="13" t="s">
        <v>0</v>
      </c>
      <c r="T2591" s="13" t="s">
        <v>9</v>
      </c>
      <c r="U2591" s="13" t="s">
        <v>0</v>
      </c>
      <c r="V2591" s="13" t="s">
        <v>0</v>
      </c>
      <c r="W2591" s="13" t="s">
        <v>0</v>
      </c>
      <c r="X2591" s="13" t="s">
        <v>0</v>
      </c>
      <c r="Y2591" s="13" t="s">
        <v>10</v>
      </c>
      <c r="Z2591" s="13" t="s">
        <v>0</v>
      </c>
      <c r="AA2591" s="14"/>
      <c r="AB2591" s="13" t="s">
        <v>0</v>
      </c>
      <c r="AC2591" s="13" t="s">
        <v>0</v>
      </c>
      <c r="AD2591" s="13" t="s">
        <v>0</v>
      </c>
      <c r="AE2591" s="15">
        <v>0</v>
      </c>
    </row>
    <row r="2592" spans="1:31" ht="14.15" customHeight="1" x14ac:dyDescent="0.25">
      <c r="A2592" s="12" t="s">
        <v>0</v>
      </c>
      <c r="B2592" s="13" t="s">
        <v>1</v>
      </c>
      <c r="C2592" s="13" t="s">
        <v>2393</v>
      </c>
      <c r="D2592" s="14">
        <v>44227</v>
      </c>
      <c r="E2592" s="14">
        <v>44227</v>
      </c>
      <c r="F2592" s="14">
        <v>44231</v>
      </c>
      <c r="G2592" s="13" t="s">
        <v>3</v>
      </c>
      <c r="H2592" s="13" t="s">
        <v>4</v>
      </c>
      <c r="I2592" s="15">
        <v>-2348.15</v>
      </c>
      <c r="J2592" s="13" t="s">
        <v>5</v>
      </c>
      <c r="K2592" s="13" t="s">
        <v>6</v>
      </c>
      <c r="L2592" s="15">
        <v>-197127.19</v>
      </c>
      <c r="M2592" s="15">
        <v>-2348.15</v>
      </c>
      <c r="N2592" s="16" t="str">
        <f>IF(M2592="","",IF(M2592&lt;0,-M2592&amp;"_"&amp;COUNTIF(M$2:M2592,M2592),M2592&amp;"_"&amp;COUNTIF(M$2:M2592,M2592)))</f>
        <v>2348.15_1</v>
      </c>
      <c r="O2592" s="17" t="str">
        <f t="shared" si="40"/>
        <v/>
      </c>
      <c r="P2592" s="13" t="s">
        <v>2394</v>
      </c>
      <c r="Q2592" s="13" t="s">
        <v>2378</v>
      </c>
      <c r="R2592" s="13" t="s">
        <v>0</v>
      </c>
      <c r="S2592" s="13" t="s">
        <v>0</v>
      </c>
      <c r="T2592" s="13" t="s">
        <v>9</v>
      </c>
      <c r="U2592" s="13" t="s">
        <v>0</v>
      </c>
      <c r="V2592" s="13" t="s">
        <v>0</v>
      </c>
      <c r="W2592" s="13" t="s">
        <v>0</v>
      </c>
      <c r="X2592" s="13" t="s">
        <v>0</v>
      </c>
      <c r="Y2592" s="13" t="s">
        <v>10</v>
      </c>
      <c r="Z2592" s="13" t="s">
        <v>0</v>
      </c>
      <c r="AA2592" s="14"/>
      <c r="AB2592" s="13" t="s">
        <v>0</v>
      </c>
      <c r="AC2592" s="13" t="s">
        <v>0</v>
      </c>
      <c r="AD2592" s="13" t="s">
        <v>0</v>
      </c>
      <c r="AE2592" s="15">
        <v>0</v>
      </c>
    </row>
    <row r="2593" spans="1:31" ht="14.15" customHeight="1" x14ac:dyDescent="0.25">
      <c r="A2593" s="12" t="s">
        <v>0</v>
      </c>
      <c r="B2593" s="13" t="s">
        <v>1</v>
      </c>
      <c r="C2593" s="13" t="s">
        <v>2473</v>
      </c>
      <c r="D2593" s="14">
        <v>44234</v>
      </c>
      <c r="E2593" s="14">
        <v>44234</v>
      </c>
      <c r="F2593" s="14">
        <v>44241</v>
      </c>
      <c r="G2593" s="13" t="s">
        <v>3</v>
      </c>
      <c r="H2593" s="13" t="s">
        <v>4</v>
      </c>
      <c r="I2593" s="15">
        <v>-2347.2399999999998</v>
      </c>
      <c r="J2593" s="13" t="s">
        <v>5</v>
      </c>
      <c r="K2593" s="13" t="s">
        <v>6</v>
      </c>
      <c r="L2593" s="15">
        <v>-197050.8</v>
      </c>
      <c r="M2593" s="15">
        <v>-2347.2399999999998</v>
      </c>
      <c r="N2593" s="16" t="str">
        <f>IF(M2593="","",IF(M2593&lt;0,-M2593&amp;"_"&amp;COUNTIF(M$2:M2593,M2593),M2593&amp;"_"&amp;COUNTIF(M$2:M2593,M2593)))</f>
        <v>2347.24_1</v>
      </c>
      <c r="O2593" s="17" t="str">
        <f t="shared" si="40"/>
        <v/>
      </c>
      <c r="P2593" s="13" t="s">
        <v>2474</v>
      </c>
      <c r="Q2593" s="13" t="s">
        <v>2462</v>
      </c>
      <c r="R2593" s="13" t="s">
        <v>0</v>
      </c>
      <c r="S2593" s="13" t="s">
        <v>0</v>
      </c>
      <c r="T2593" s="13" t="s">
        <v>9</v>
      </c>
      <c r="U2593" s="13" t="s">
        <v>0</v>
      </c>
      <c r="V2593" s="13" t="s">
        <v>0</v>
      </c>
      <c r="W2593" s="13" t="s">
        <v>0</v>
      </c>
      <c r="X2593" s="13" t="s">
        <v>0</v>
      </c>
      <c r="Y2593" s="13" t="s">
        <v>10</v>
      </c>
      <c r="Z2593" s="13" t="s">
        <v>0</v>
      </c>
      <c r="AA2593" s="14"/>
      <c r="AB2593" s="13" t="s">
        <v>0</v>
      </c>
      <c r="AC2593" s="13" t="s">
        <v>0</v>
      </c>
      <c r="AD2593" s="13" t="s">
        <v>0</v>
      </c>
      <c r="AE2593" s="15">
        <v>0</v>
      </c>
    </row>
    <row r="2594" spans="1:31" ht="14.15" customHeight="1" x14ac:dyDescent="0.25">
      <c r="A2594" s="12" t="s">
        <v>0</v>
      </c>
      <c r="B2594" s="13" t="s">
        <v>1</v>
      </c>
      <c r="C2594" s="13" t="s">
        <v>3053</v>
      </c>
      <c r="D2594" s="14">
        <v>44283</v>
      </c>
      <c r="E2594" s="14">
        <v>44283</v>
      </c>
      <c r="F2594" s="14">
        <v>44290</v>
      </c>
      <c r="G2594" s="13" t="s">
        <v>3</v>
      </c>
      <c r="H2594" s="13" t="s">
        <v>4</v>
      </c>
      <c r="I2594" s="15">
        <v>-2346.89</v>
      </c>
      <c r="J2594" s="13" t="s">
        <v>5</v>
      </c>
      <c r="K2594" s="13" t="s">
        <v>6</v>
      </c>
      <c r="L2594" s="15">
        <v>-197021.41</v>
      </c>
      <c r="M2594" s="15">
        <v>-2346.89</v>
      </c>
      <c r="N2594" s="16" t="str">
        <f>IF(M2594="","",IF(M2594&lt;0,-M2594&amp;"_"&amp;COUNTIF(M$2:M2594,M2594),M2594&amp;"_"&amp;COUNTIF(M$2:M2594,M2594)))</f>
        <v>2346.89_1</v>
      </c>
      <c r="O2594" s="17" t="str">
        <f t="shared" si="40"/>
        <v/>
      </c>
      <c r="P2594" s="13" t="s">
        <v>3054</v>
      </c>
      <c r="Q2594" s="13" t="s">
        <v>3048</v>
      </c>
      <c r="R2594" s="13" t="s">
        <v>0</v>
      </c>
      <c r="S2594" s="13" t="s">
        <v>0</v>
      </c>
      <c r="T2594" s="13" t="s">
        <v>9</v>
      </c>
      <c r="U2594" s="13" t="s">
        <v>0</v>
      </c>
      <c r="V2594" s="13" t="s">
        <v>0</v>
      </c>
      <c r="W2594" s="13" t="s">
        <v>0</v>
      </c>
      <c r="X2594" s="13" t="s">
        <v>0</v>
      </c>
      <c r="Y2594" s="13" t="s">
        <v>10</v>
      </c>
      <c r="Z2594" s="13" t="s">
        <v>0</v>
      </c>
      <c r="AA2594" s="14"/>
      <c r="AB2594" s="13" t="s">
        <v>0</v>
      </c>
      <c r="AC2594" s="13" t="s">
        <v>0</v>
      </c>
      <c r="AD2594" s="13" t="s">
        <v>0</v>
      </c>
      <c r="AE2594" s="15">
        <v>0</v>
      </c>
    </row>
    <row r="2595" spans="1:31" ht="14.15" customHeight="1" x14ac:dyDescent="0.25">
      <c r="A2595" s="12" t="s">
        <v>0</v>
      </c>
      <c r="B2595" s="13" t="s">
        <v>1</v>
      </c>
      <c r="C2595" s="13" t="s">
        <v>2485</v>
      </c>
      <c r="D2595" s="14">
        <v>44234</v>
      </c>
      <c r="E2595" s="14">
        <v>44234</v>
      </c>
      <c r="F2595" s="14">
        <v>44241</v>
      </c>
      <c r="G2595" s="13" t="s">
        <v>3</v>
      </c>
      <c r="H2595" s="13" t="s">
        <v>4</v>
      </c>
      <c r="I2595" s="15">
        <v>-2343.5</v>
      </c>
      <c r="J2595" s="13" t="s">
        <v>5</v>
      </c>
      <c r="K2595" s="13" t="s">
        <v>6</v>
      </c>
      <c r="L2595" s="15">
        <v>-196736.82</v>
      </c>
      <c r="M2595" s="15">
        <v>-2343.5</v>
      </c>
      <c r="N2595" s="16" t="str">
        <f>IF(M2595="","",IF(M2595&lt;0,-M2595&amp;"_"&amp;COUNTIF(M$2:M2595,M2595),M2595&amp;"_"&amp;COUNTIF(M$2:M2595,M2595)))</f>
        <v>2343.5_1</v>
      </c>
      <c r="O2595" s="17" t="str">
        <f t="shared" si="40"/>
        <v/>
      </c>
      <c r="P2595" s="13" t="s">
        <v>2486</v>
      </c>
      <c r="Q2595" s="13" t="s">
        <v>2462</v>
      </c>
      <c r="R2595" s="13" t="s">
        <v>0</v>
      </c>
      <c r="S2595" s="13" t="s">
        <v>0</v>
      </c>
      <c r="T2595" s="13" t="s">
        <v>9</v>
      </c>
      <c r="U2595" s="13" t="s">
        <v>0</v>
      </c>
      <c r="V2595" s="13" t="s">
        <v>0</v>
      </c>
      <c r="W2595" s="13" t="s">
        <v>0</v>
      </c>
      <c r="X2595" s="13" t="s">
        <v>0</v>
      </c>
      <c r="Y2595" s="13" t="s">
        <v>10</v>
      </c>
      <c r="Z2595" s="13" t="s">
        <v>0</v>
      </c>
      <c r="AA2595" s="14"/>
      <c r="AB2595" s="13" t="s">
        <v>0</v>
      </c>
      <c r="AC2595" s="13" t="s">
        <v>0</v>
      </c>
      <c r="AD2595" s="13" t="s">
        <v>0</v>
      </c>
      <c r="AE2595" s="15">
        <v>0</v>
      </c>
    </row>
    <row r="2596" spans="1:31" ht="14.15" customHeight="1" x14ac:dyDescent="0.25">
      <c r="A2596" s="12" t="s">
        <v>0</v>
      </c>
      <c r="B2596" s="13" t="s">
        <v>1</v>
      </c>
      <c r="C2596" s="13" t="s">
        <v>2872</v>
      </c>
      <c r="D2596" s="14">
        <v>44274</v>
      </c>
      <c r="E2596" s="14">
        <v>44274</v>
      </c>
      <c r="F2596" s="14">
        <v>44279</v>
      </c>
      <c r="G2596" s="13" t="s">
        <v>3</v>
      </c>
      <c r="H2596" s="13" t="s">
        <v>4</v>
      </c>
      <c r="I2596" s="15">
        <v>-2334.85</v>
      </c>
      <c r="J2596" s="13" t="s">
        <v>5</v>
      </c>
      <c r="K2596" s="13" t="s">
        <v>6</v>
      </c>
      <c r="L2596" s="15">
        <v>-196010.66</v>
      </c>
      <c r="M2596" s="15">
        <v>-2334.85</v>
      </c>
      <c r="N2596" s="16" t="str">
        <f>IF(M2596="","",IF(M2596&lt;0,-M2596&amp;"_"&amp;COUNTIF(M$2:M2596,M2596),M2596&amp;"_"&amp;COUNTIF(M$2:M2596,M2596)))</f>
        <v>2334.85_1</v>
      </c>
      <c r="O2596" s="17" t="str">
        <f t="shared" si="40"/>
        <v/>
      </c>
      <c r="P2596" s="13" t="s">
        <v>2873</v>
      </c>
      <c r="Q2596" s="13" t="s">
        <v>2874</v>
      </c>
      <c r="R2596" s="13" t="s">
        <v>0</v>
      </c>
      <c r="S2596" s="13" t="s">
        <v>0</v>
      </c>
      <c r="T2596" s="13" t="s">
        <v>9</v>
      </c>
      <c r="U2596" s="13" t="s">
        <v>0</v>
      </c>
      <c r="V2596" s="13" t="s">
        <v>0</v>
      </c>
      <c r="W2596" s="13" t="s">
        <v>0</v>
      </c>
      <c r="X2596" s="13" t="s">
        <v>0</v>
      </c>
      <c r="Y2596" s="13" t="s">
        <v>10</v>
      </c>
      <c r="Z2596" s="13" t="s">
        <v>0</v>
      </c>
      <c r="AA2596" s="14"/>
      <c r="AB2596" s="13" t="s">
        <v>0</v>
      </c>
      <c r="AC2596" s="13" t="s">
        <v>0</v>
      </c>
      <c r="AD2596" s="13" t="s">
        <v>0</v>
      </c>
      <c r="AE2596" s="15">
        <v>0</v>
      </c>
    </row>
    <row r="2597" spans="1:31" ht="14.15" customHeight="1" x14ac:dyDescent="0.25">
      <c r="A2597" s="12" t="s">
        <v>0</v>
      </c>
      <c r="B2597" s="13" t="s">
        <v>1</v>
      </c>
      <c r="C2597" s="13" t="s">
        <v>3042</v>
      </c>
      <c r="D2597" s="14">
        <v>44282</v>
      </c>
      <c r="E2597" s="14">
        <v>44282</v>
      </c>
      <c r="F2597" s="14">
        <v>44287</v>
      </c>
      <c r="G2597" s="13" t="s">
        <v>3</v>
      </c>
      <c r="H2597" s="13" t="s">
        <v>4</v>
      </c>
      <c r="I2597" s="15">
        <v>-2334.85</v>
      </c>
      <c r="J2597" s="13" t="s">
        <v>5</v>
      </c>
      <c r="K2597" s="13" t="s">
        <v>6</v>
      </c>
      <c r="L2597" s="15">
        <v>-196010.66</v>
      </c>
      <c r="M2597" s="15">
        <v>-2334.85</v>
      </c>
      <c r="N2597" s="16" t="str">
        <f>IF(M2597="","",IF(M2597&lt;0,-M2597&amp;"_"&amp;COUNTIF(M$2:M2597,M2597),M2597&amp;"_"&amp;COUNTIF(M$2:M2597,M2597)))</f>
        <v>2334.85_2</v>
      </c>
      <c r="O2597" s="17" t="str">
        <f t="shared" si="40"/>
        <v/>
      </c>
      <c r="P2597" s="13" t="s">
        <v>3043</v>
      </c>
      <c r="Q2597" s="13" t="s">
        <v>3035</v>
      </c>
      <c r="R2597" s="13" t="s">
        <v>0</v>
      </c>
      <c r="S2597" s="13" t="s">
        <v>0</v>
      </c>
      <c r="T2597" s="13" t="s">
        <v>9</v>
      </c>
      <c r="U2597" s="13" t="s">
        <v>0</v>
      </c>
      <c r="V2597" s="13" t="s">
        <v>0</v>
      </c>
      <c r="W2597" s="13" t="s">
        <v>0</v>
      </c>
      <c r="X2597" s="13" t="s">
        <v>0</v>
      </c>
      <c r="Y2597" s="13" t="s">
        <v>10</v>
      </c>
      <c r="Z2597" s="13" t="s">
        <v>0</v>
      </c>
      <c r="AA2597" s="14"/>
      <c r="AB2597" s="13" t="s">
        <v>0</v>
      </c>
      <c r="AC2597" s="13" t="s">
        <v>0</v>
      </c>
      <c r="AD2597" s="13" t="s">
        <v>0</v>
      </c>
      <c r="AE2597" s="15">
        <v>0</v>
      </c>
    </row>
    <row r="2598" spans="1:31" ht="14.15" customHeight="1" x14ac:dyDescent="0.25">
      <c r="A2598" s="12" t="s">
        <v>0</v>
      </c>
      <c r="B2598" s="13" t="s">
        <v>1</v>
      </c>
      <c r="C2598" s="13" t="s">
        <v>1546</v>
      </c>
      <c r="D2598" s="14">
        <v>44165</v>
      </c>
      <c r="E2598" s="14">
        <v>44165</v>
      </c>
      <c r="F2598" s="14">
        <v>44170</v>
      </c>
      <c r="G2598" s="13" t="s">
        <v>3</v>
      </c>
      <c r="H2598" s="13" t="s">
        <v>4</v>
      </c>
      <c r="I2598" s="15">
        <v>-2333.0700000000002</v>
      </c>
      <c r="J2598" s="13" t="s">
        <v>5</v>
      </c>
      <c r="K2598" s="13" t="s">
        <v>6</v>
      </c>
      <c r="L2598" s="15">
        <v>-195861.23</v>
      </c>
      <c r="M2598" s="15">
        <v>-2333.0700000000002</v>
      </c>
      <c r="N2598" s="16" t="str">
        <f>IF(M2598="","",IF(M2598&lt;0,-M2598&amp;"_"&amp;COUNTIF(M$2:M2598,M2598),M2598&amp;"_"&amp;COUNTIF(M$2:M2598,M2598)))</f>
        <v>2333.07_1</v>
      </c>
      <c r="O2598" s="17" t="str">
        <f t="shared" si="40"/>
        <v/>
      </c>
      <c r="P2598" s="13" t="s">
        <v>1547</v>
      </c>
      <c r="Q2598" s="13" t="s">
        <v>1541</v>
      </c>
      <c r="R2598" s="13" t="s">
        <v>0</v>
      </c>
      <c r="S2598" s="13" t="s">
        <v>0</v>
      </c>
      <c r="T2598" s="13" t="s">
        <v>9</v>
      </c>
      <c r="U2598" s="13" t="s">
        <v>0</v>
      </c>
      <c r="V2598" s="13" t="s">
        <v>0</v>
      </c>
      <c r="W2598" s="13" t="s">
        <v>0</v>
      </c>
      <c r="X2598" s="13" t="s">
        <v>0</v>
      </c>
      <c r="Y2598" s="13" t="s">
        <v>10</v>
      </c>
      <c r="Z2598" s="13" t="s">
        <v>0</v>
      </c>
      <c r="AA2598" s="14"/>
      <c r="AB2598" s="13" t="s">
        <v>0</v>
      </c>
      <c r="AC2598" s="13" t="s">
        <v>0</v>
      </c>
      <c r="AD2598" s="13" t="s">
        <v>0</v>
      </c>
      <c r="AE2598" s="15">
        <v>0</v>
      </c>
    </row>
    <row r="2599" spans="1:31" ht="14.15" customHeight="1" x14ac:dyDescent="0.25">
      <c r="A2599" s="12" t="s">
        <v>0</v>
      </c>
      <c r="B2599" s="13" t="s">
        <v>1</v>
      </c>
      <c r="C2599" s="13" t="s">
        <v>1022</v>
      </c>
      <c r="D2599" s="14">
        <v>44130</v>
      </c>
      <c r="E2599" s="14">
        <v>44130</v>
      </c>
      <c r="F2599" s="14">
        <v>44132</v>
      </c>
      <c r="G2599" s="13" t="s">
        <v>3</v>
      </c>
      <c r="H2599" s="13" t="s">
        <v>4</v>
      </c>
      <c r="I2599" s="15">
        <v>-2332.48</v>
      </c>
      <c r="J2599" s="13" t="s">
        <v>5</v>
      </c>
      <c r="K2599" s="13" t="s">
        <v>6</v>
      </c>
      <c r="L2599" s="15">
        <v>-195811.7</v>
      </c>
      <c r="M2599" s="15">
        <v>-2332.48</v>
      </c>
      <c r="N2599" s="16" t="str">
        <f>IF(M2599="","",IF(M2599&lt;0,-M2599&amp;"_"&amp;COUNTIF(M$2:M2599,M2599),M2599&amp;"_"&amp;COUNTIF(M$2:M2599,M2599)))</f>
        <v>2332.48_1</v>
      </c>
      <c r="O2599" s="17" t="str">
        <f t="shared" si="40"/>
        <v/>
      </c>
      <c r="P2599" s="13" t="s">
        <v>1023</v>
      </c>
      <c r="Q2599" s="13" t="s">
        <v>1024</v>
      </c>
      <c r="R2599" s="13" t="s">
        <v>0</v>
      </c>
      <c r="S2599" s="13" t="s">
        <v>0</v>
      </c>
      <c r="T2599" s="13" t="s">
        <v>9</v>
      </c>
      <c r="U2599" s="13" t="s">
        <v>0</v>
      </c>
      <c r="V2599" s="13" t="s">
        <v>0</v>
      </c>
      <c r="W2599" s="13" t="s">
        <v>0</v>
      </c>
      <c r="X2599" s="13" t="s">
        <v>0</v>
      </c>
      <c r="Y2599" s="13" t="s">
        <v>10</v>
      </c>
      <c r="Z2599" s="13" t="s">
        <v>0</v>
      </c>
      <c r="AA2599" s="14"/>
      <c r="AB2599" s="13" t="s">
        <v>0</v>
      </c>
      <c r="AC2599" s="13" t="s">
        <v>0</v>
      </c>
      <c r="AD2599" s="13" t="s">
        <v>0</v>
      </c>
      <c r="AE2599" s="15">
        <v>0</v>
      </c>
    </row>
    <row r="2600" spans="1:31" ht="14.15" customHeight="1" x14ac:dyDescent="0.25">
      <c r="A2600" s="12" t="s">
        <v>0</v>
      </c>
      <c r="B2600" s="13" t="s">
        <v>1</v>
      </c>
      <c r="C2600" s="13" t="s">
        <v>3066</v>
      </c>
      <c r="D2600" s="14">
        <v>44284</v>
      </c>
      <c r="E2600" s="14">
        <v>44284</v>
      </c>
      <c r="F2600" s="14">
        <v>44290</v>
      </c>
      <c r="G2600" s="13" t="s">
        <v>3</v>
      </c>
      <c r="H2600" s="13" t="s">
        <v>4</v>
      </c>
      <c r="I2600" s="15">
        <v>-2325.38</v>
      </c>
      <c r="J2600" s="13" t="s">
        <v>5</v>
      </c>
      <c r="K2600" s="13" t="s">
        <v>6</v>
      </c>
      <c r="L2600" s="15">
        <v>-195215.66</v>
      </c>
      <c r="M2600" s="15">
        <v>-2325.38</v>
      </c>
      <c r="N2600" s="16" t="str">
        <f>IF(M2600="","",IF(M2600&lt;0,-M2600&amp;"_"&amp;COUNTIF(M$2:M2600,M2600),M2600&amp;"_"&amp;COUNTIF(M$2:M2600,M2600)))</f>
        <v>2325.38_1</v>
      </c>
      <c r="O2600" s="17" t="str">
        <f t="shared" si="40"/>
        <v/>
      </c>
      <c r="P2600" s="13" t="s">
        <v>3067</v>
      </c>
      <c r="Q2600" s="13" t="s">
        <v>3061</v>
      </c>
      <c r="R2600" s="13" t="s">
        <v>0</v>
      </c>
      <c r="S2600" s="13" t="s">
        <v>0</v>
      </c>
      <c r="T2600" s="13" t="s">
        <v>9</v>
      </c>
      <c r="U2600" s="13" t="s">
        <v>0</v>
      </c>
      <c r="V2600" s="13" t="s">
        <v>0</v>
      </c>
      <c r="W2600" s="13" t="s">
        <v>0</v>
      </c>
      <c r="X2600" s="13" t="s">
        <v>0</v>
      </c>
      <c r="Y2600" s="13" t="s">
        <v>10</v>
      </c>
      <c r="Z2600" s="13" t="s">
        <v>0</v>
      </c>
      <c r="AA2600" s="14"/>
      <c r="AB2600" s="13" t="s">
        <v>0</v>
      </c>
      <c r="AC2600" s="13" t="s">
        <v>0</v>
      </c>
      <c r="AD2600" s="13" t="s">
        <v>0</v>
      </c>
      <c r="AE2600" s="15">
        <v>0</v>
      </c>
    </row>
    <row r="2601" spans="1:31" ht="14.15" customHeight="1" x14ac:dyDescent="0.25">
      <c r="A2601" s="12" t="s">
        <v>0</v>
      </c>
      <c r="B2601" s="13" t="s">
        <v>1</v>
      </c>
      <c r="C2601" s="13" t="s">
        <v>668</v>
      </c>
      <c r="D2601" s="14">
        <v>44088</v>
      </c>
      <c r="E2601" s="14">
        <v>44088</v>
      </c>
      <c r="F2601" s="14">
        <v>44090</v>
      </c>
      <c r="G2601" s="13" t="s">
        <v>3</v>
      </c>
      <c r="H2601" s="13" t="s">
        <v>4</v>
      </c>
      <c r="I2601" s="15">
        <v>-2319.1</v>
      </c>
      <c r="J2601" s="13" t="s">
        <v>5</v>
      </c>
      <c r="K2601" s="13" t="s">
        <v>6</v>
      </c>
      <c r="L2601" s="15">
        <v>-194688.45</v>
      </c>
      <c r="M2601" s="15">
        <v>-2319.1</v>
      </c>
      <c r="N2601" s="16" t="str">
        <f>IF(M2601="","",IF(M2601&lt;0,-M2601&amp;"_"&amp;COUNTIF(M$2:M2601,M2601),M2601&amp;"_"&amp;COUNTIF(M$2:M2601,M2601)))</f>
        <v>2319.1_1</v>
      </c>
      <c r="O2601" s="17" t="str">
        <f t="shared" si="40"/>
        <v/>
      </c>
      <c r="P2601" s="13" t="s">
        <v>669</v>
      </c>
      <c r="Q2601" s="13" t="s">
        <v>667</v>
      </c>
      <c r="R2601" s="13" t="s">
        <v>0</v>
      </c>
      <c r="S2601" s="13" t="s">
        <v>0</v>
      </c>
      <c r="T2601" s="13" t="s">
        <v>9</v>
      </c>
      <c r="U2601" s="13" t="s">
        <v>0</v>
      </c>
      <c r="V2601" s="13" t="s">
        <v>0</v>
      </c>
      <c r="W2601" s="13" t="s">
        <v>0</v>
      </c>
      <c r="X2601" s="13" t="s">
        <v>0</v>
      </c>
      <c r="Y2601" s="13" t="s">
        <v>10</v>
      </c>
      <c r="Z2601" s="13" t="s">
        <v>0</v>
      </c>
      <c r="AA2601" s="14"/>
      <c r="AB2601" s="13" t="s">
        <v>0</v>
      </c>
      <c r="AC2601" s="13" t="s">
        <v>0</v>
      </c>
      <c r="AD2601" s="13" t="s">
        <v>0</v>
      </c>
      <c r="AE2601" s="15">
        <v>0</v>
      </c>
    </row>
    <row r="2602" spans="1:31" ht="14.15" customHeight="1" x14ac:dyDescent="0.25">
      <c r="A2602" s="12" t="s">
        <v>0</v>
      </c>
      <c r="B2602" s="13" t="s">
        <v>1</v>
      </c>
      <c r="C2602" s="13" t="s">
        <v>4217</v>
      </c>
      <c r="D2602" s="14">
        <v>44366</v>
      </c>
      <c r="E2602" s="14">
        <v>44366</v>
      </c>
      <c r="F2602" s="14">
        <v>44371</v>
      </c>
      <c r="G2602" s="13" t="s">
        <v>3</v>
      </c>
      <c r="H2602" s="13" t="s">
        <v>4</v>
      </c>
      <c r="I2602" s="15">
        <v>-2314.4</v>
      </c>
      <c r="J2602" s="13" t="s">
        <v>5</v>
      </c>
      <c r="K2602" s="13" t="s">
        <v>6</v>
      </c>
      <c r="L2602" s="15">
        <v>-194293.88</v>
      </c>
      <c r="M2602" s="15">
        <v>-2314.4</v>
      </c>
      <c r="N2602" s="16" t="str">
        <f>IF(M2602="","",IF(M2602&lt;0,-M2602&amp;"_"&amp;COUNTIF(M$2:M2602,M2602),M2602&amp;"_"&amp;COUNTIF(M$2:M2602,M2602)))</f>
        <v>2314.4_1</v>
      </c>
      <c r="O2602" s="17" t="str">
        <f t="shared" si="40"/>
        <v/>
      </c>
      <c r="P2602" s="13" t="s">
        <v>4218</v>
      </c>
      <c r="Q2602" s="13" t="s">
        <v>4216</v>
      </c>
      <c r="R2602" s="13" t="s">
        <v>0</v>
      </c>
      <c r="S2602" s="13" t="s">
        <v>0</v>
      </c>
      <c r="T2602" s="13" t="s">
        <v>9</v>
      </c>
      <c r="U2602" s="13" t="s">
        <v>0</v>
      </c>
      <c r="V2602" s="13" t="s">
        <v>0</v>
      </c>
      <c r="W2602" s="13" t="s">
        <v>0</v>
      </c>
      <c r="X2602" s="13" t="s">
        <v>0</v>
      </c>
      <c r="Y2602" s="13" t="s">
        <v>10</v>
      </c>
      <c r="Z2602" s="13" t="s">
        <v>0</v>
      </c>
      <c r="AA2602" s="14"/>
      <c r="AB2602" s="13" t="s">
        <v>0</v>
      </c>
      <c r="AC2602" s="13" t="s">
        <v>0</v>
      </c>
      <c r="AD2602" s="13" t="s">
        <v>0</v>
      </c>
      <c r="AE2602" s="15">
        <v>0</v>
      </c>
    </row>
    <row r="2603" spans="1:31" ht="14.15" customHeight="1" x14ac:dyDescent="0.25">
      <c r="A2603" s="12" t="s">
        <v>0</v>
      </c>
      <c r="B2603" s="13" t="s">
        <v>1</v>
      </c>
      <c r="C2603" s="13" t="s">
        <v>1723</v>
      </c>
      <c r="D2603" s="14">
        <v>44176</v>
      </c>
      <c r="E2603" s="14">
        <v>44176</v>
      </c>
      <c r="F2603" s="14">
        <v>44188</v>
      </c>
      <c r="G2603" s="13" t="s">
        <v>3</v>
      </c>
      <c r="H2603" s="13" t="s">
        <v>4</v>
      </c>
      <c r="I2603" s="15">
        <v>-2297.66</v>
      </c>
      <c r="J2603" s="13" t="s">
        <v>5</v>
      </c>
      <c r="K2603" s="13" t="s">
        <v>6</v>
      </c>
      <c r="L2603" s="15">
        <v>-192888.56</v>
      </c>
      <c r="M2603" s="15">
        <v>-2297.66</v>
      </c>
      <c r="N2603" s="16" t="str">
        <f>IF(M2603="","",IF(M2603&lt;0,-M2603&amp;"_"&amp;COUNTIF(M$2:M2603,M2603),M2603&amp;"_"&amp;COUNTIF(M$2:M2603,M2603)))</f>
        <v>2297.66_1</v>
      </c>
      <c r="O2603" s="17" t="str">
        <f t="shared" si="40"/>
        <v/>
      </c>
      <c r="P2603" s="13" t="s">
        <v>1724</v>
      </c>
      <c r="Q2603" s="13" t="s">
        <v>1718</v>
      </c>
      <c r="R2603" s="13" t="s">
        <v>0</v>
      </c>
      <c r="S2603" s="13" t="s">
        <v>0</v>
      </c>
      <c r="T2603" s="13" t="s">
        <v>9</v>
      </c>
      <c r="U2603" s="13" t="s">
        <v>0</v>
      </c>
      <c r="V2603" s="13" t="s">
        <v>0</v>
      </c>
      <c r="W2603" s="13" t="s">
        <v>0</v>
      </c>
      <c r="X2603" s="13" t="s">
        <v>0</v>
      </c>
      <c r="Y2603" s="13" t="s">
        <v>10</v>
      </c>
      <c r="Z2603" s="13" t="s">
        <v>0</v>
      </c>
      <c r="AA2603" s="14"/>
      <c r="AB2603" s="13" t="s">
        <v>0</v>
      </c>
      <c r="AC2603" s="13" t="s">
        <v>0</v>
      </c>
      <c r="AD2603" s="13" t="s">
        <v>0</v>
      </c>
      <c r="AE2603" s="15">
        <v>0</v>
      </c>
    </row>
    <row r="2604" spans="1:31" ht="14.15" customHeight="1" x14ac:dyDescent="0.25">
      <c r="A2604" s="12" t="s">
        <v>0</v>
      </c>
      <c r="B2604" s="13" t="s">
        <v>1</v>
      </c>
      <c r="C2604" s="13" t="s">
        <v>3293</v>
      </c>
      <c r="D2604" s="14">
        <v>44314</v>
      </c>
      <c r="E2604" s="14">
        <v>44314</v>
      </c>
      <c r="F2604" s="14">
        <v>44319</v>
      </c>
      <c r="G2604" s="13" t="s">
        <v>3</v>
      </c>
      <c r="H2604" s="13" t="s">
        <v>4</v>
      </c>
      <c r="I2604" s="15">
        <v>-2295.7199999999998</v>
      </c>
      <c r="J2604" s="13" t="s">
        <v>5</v>
      </c>
      <c r="K2604" s="13" t="s">
        <v>6</v>
      </c>
      <c r="L2604" s="15">
        <v>-192725.69</v>
      </c>
      <c r="M2604" s="15">
        <v>-2295.7199999999998</v>
      </c>
      <c r="N2604" s="16" t="str">
        <f>IF(M2604="","",IF(M2604&lt;0,-M2604&amp;"_"&amp;COUNTIF(M$2:M2604,M2604),M2604&amp;"_"&amp;COUNTIF(M$2:M2604,M2604)))</f>
        <v>2295.72_1</v>
      </c>
      <c r="O2604" s="17" t="str">
        <f t="shared" si="40"/>
        <v/>
      </c>
      <c r="P2604" s="13" t="s">
        <v>3294</v>
      </c>
      <c r="Q2604" s="13" t="s">
        <v>3284</v>
      </c>
      <c r="R2604" s="13" t="s">
        <v>0</v>
      </c>
      <c r="S2604" s="13" t="s">
        <v>0</v>
      </c>
      <c r="T2604" s="13" t="s">
        <v>9</v>
      </c>
      <c r="U2604" s="13" t="s">
        <v>0</v>
      </c>
      <c r="V2604" s="13" t="s">
        <v>0</v>
      </c>
      <c r="W2604" s="13" t="s">
        <v>0</v>
      </c>
      <c r="X2604" s="13" t="s">
        <v>0</v>
      </c>
      <c r="Y2604" s="13" t="s">
        <v>10</v>
      </c>
      <c r="Z2604" s="13" t="s">
        <v>0</v>
      </c>
      <c r="AA2604" s="14"/>
      <c r="AB2604" s="13" t="s">
        <v>0</v>
      </c>
      <c r="AC2604" s="13" t="s">
        <v>0</v>
      </c>
      <c r="AD2604" s="13" t="s">
        <v>0</v>
      </c>
      <c r="AE2604" s="15">
        <v>0</v>
      </c>
    </row>
    <row r="2605" spans="1:31" ht="14.15" customHeight="1" x14ac:dyDescent="0.25">
      <c r="A2605" s="12" t="s">
        <v>0</v>
      </c>
      <c r="B2605" s="13" t="s">
        <v>454</v>
      </c>
      <c r="C2605" s="13" t="s">
        <v>4051</v>
      </c>
      <c r="D2605" s="14">
        <v>44358</v>
      </c>
      <c r="E2605" s="14">
        <v>44358</v>
      </c>
      <c r="F2605" s="14">
        <v>44366</v>
      </c>
      <c r="G2605" s="13" t="s">
        <v>3</v>
      </c>
      <c r="H2605" s="13" t="s">
        <v>4</v>
      </c>
      <c r="I2605" s="15">
        <v>-2295.3000000000002</v>
      </c>
      <c r="J2605" s="13" t="s">
        <v>5</v>
      </c>
      <c r="K2605" s="13" t="s">
        <v>6</v>
      </c>
      <c r="L2605" s="15">
        <v>-192690.44</v>
      </c>
      <c r="M2605" s="15">
        <v>-2295.3000000000002</v>
      </c>
      <c r="N2605" s="16" t="str">
        <f>IF(M2605="","",IF(M2605&lt;0,-M2605&amp;"_"&amp;COUNTIF(M$2:M2605,M2605),M2605&amp;"_"&amp;COUNTIF(M$2:M2605,M2605)))</f>
        <v>2295.3_1</v>
      </c>
      <c r="O2605" s="17" t="str">
        <f t="shared" si="40"/>
        <v/>
      </c>
      <c r="P2605" s="13" t="s">
        <v>4052</v>
      </c>
      <c r="Q2605" s="13" t="s">
        <v>4006</v>
      </c>
      <c r="R2605" s="13" t="s">
        <v>0</v>
      </c>
      <c r="S2605" s="13" t="s">
        <v>0</v>
      </c>
      <c r="T2605" s="13" t="s">
        <v>9</v>
      </c>
      <c r="U2605" s="13" t="s">
        <v>0</v>
      </c>
      <c r="V2605" s="13" t="s">
        <v>0</v>
      </c>
      <c r="W2605" s="13" t="s">
        <v>0</v>
      </c>
      <c r="X2605" s="13" t="s">
        <v>0</v>
      </c>
      <c r="Y2605" s="13" t="s">
        <v>10</v>
      </c>
      <c r="Z2605" s="13" t="s">
        <v>0</v>
      </c>
      <c r="AA2605" s="14"/>
      <c r="AB2605" s="13" t="s">
        <v>0</v>
      </c>
      <c r="AC2605" s="13" t="s">
        <v>0</v>
      </c>
      <c r="AD2605" s="13" t="s">
        <v>0</v>
      </c>
      <c r="AE2605" s="15">
        <v>0</v>
      </c>
    </row>
    <row r="2606" spans="1:31" ht="14.15" customHeight="1" x14ac:dyDescent="0.25">
      <c r="A2606" s="12" t="s">
        <v>0</v>
      </c>
      <c r="B2606" s="13" t="s">
        <v>454</v>
      </c>
      <c r="C2606" s="13" t="s">
        <v>3853</v>
      </c>
      <c r="D2606" s="14">
        <v>44350</v>
      </c>
      <c r="E2606" s="14">
        <v>44350</v>
      </c>
      <c r="F2606" s="14">
        <v>44366</v>
      </c>
      <c r="G2606" s="13" t="s">
        <v>3</v>
      </c>
      <c r="H2606" s="13" t="s">
        <v>4</v>
      </c>
      <c r="I2606" s="15">
        <v>-2295.21</v>
      </c>
      <c r="J2606" s="13" t="s">
        <v>5</v>
      </c>
      <c r="K2606" s="13" t="s">
        <v>6</v>
      </c>
      <c r="L2606" s="15">
        <v>-192682.88</v>
      </c>
      <c r="M2606" s="15">
        <v>-2295.21</v>
      </c>
      <c r="N2606" s="16" t="str">
        <f>IF(M2606="","",IF(M2606&lt;0,-M2606&amp;"_"&amp;COUNTIF(M$2:M2606,M2606),M2606&amp;"_"&amp;COUNTIF(M$2:M2606,M2606)))</f>
        <v>2295.21_1</v>
      </c>
      <c r="O2606" s="17" t="str">
        <f t="shared" si="40"/>
        <v/>
      </c>
      <c r="P2606" s="13" t="s">
        <v>3854</v>
      </c>
      <c r="Q2606" s="13" t="s">
        <v>3844</v>
      </c>
      <c r="R2606" s="13" t="s">
        <v>0</v>
      </c>
      <c r="S2606" s="13" t="s">
        <v>0</v>
      </c>
      <c r="T2606" s="13" t="s">
        <v>9</v>
      </c>
      <c r="U2606" s="13" t="s">
        <v>0</v>
      </c>
      <c r="V2606" s="13" t="s">
        <v>0</v>
      </c>
      <c r="W2606" s="13" t="s">
        <v>0</v>
      </c>
      <c r="X2606" s="13" t="s">
        <v>0</v>
      </c>
      <c r="Y2606" s="13" t="s">
        <v>10</v>
      </c>
      <c r="Z2606" s="13" t="s">
        <v>0</v>
      </c>
      <c r="AA2606" s="14"/>
      <c r="AB2606" s="13" t="s">
        <v>0</v>
      </c>
      <c r="AC2606" s="13" t="s">
        <v>0</v>
      </c>
      <c r="AD2606" s="13" t="s">
        <v>0</v>
      </c>
      <c r="AE2606" s="15">
        <v>0</v>
      </c>
    </row>
    <row r="2607" spans="1:31" ht="14.15" customHeight="1" x14ac:dyDescent="0.25">
      <c r="A2607" s="12" t="s">
        <v>0</v>
      </c>
      <c r="B2607" s="13" t="s">
        <v>1</v>
      </c>
      <c r="C2607" s="13" t="s">
        <v>3046</v>
      </c>
      <c r="D2607" s="14">
        <v>44283</v>
      </c>
      <c r="E2607" s="14">
        <v>44283</v>
      </c>
      <c r="F2607" s="14">
        <v>44286</v>
      </c>
      <c r="G2607" s="13" t="s">
        <v>3</v>
      </c>
      <c r="H2607" s="13" t="s">
        <v>4</v>
      </c>
      <c r="I2607" s="15">
        <v>-2292.48</v>
      </c>
      <c r="J2607" s="13" t="s">
        <v>5</v>
      </c>
      <c r="K2607" s="13" t="s">
        <v>6</v>
      </c>
      <c r="L2607" s="15">
        <v>-192453.7</v>
      </c>
      <c r="M2607" s="15">
        <v>-2292.48</v>
      </c>
      <c r="N2607" s="16" t="str">
        <f>IF(M2607="","",IF(M2607&lt;0,-M2607&amp;"_"&amp;COUNTIF(M$2:M2607,M2607),M2607&amp;"_"&amp;COUNTIF(M$2:M2607,M2607)))</f>
        <v>2292.48_1</v>
      </c>
      <c r="O2607" s="17" t="str">
        <f t="shared" si="40"/>
        <v/>
      </c>
      <c r="P2607" s="13" t="s">
        <v>3047</v>
      </c>
      <c r="Q2607" s="13" t="s">
        <v>3048</v>
      </c>
      <c r="R2607" s="13" t="s">
        <v>0</v>
      </c>
      <c r="S2607" s="13" t="s">
        <v>0</v>
      </c>
      <c r="T2607" s="13" t="s">
        <v>9</v>
      </c>
      <c r="U2607" s="13" t="s">
        <v>0</v>
      </c>
      <c r="V2607" s="13" t="s">
        <v>0</v>
      </c>
      <c r="W2607" s="13" t="s">
        <v>0</v>
      </c>
      <c r="X2607" s="13" t="s">
        <v>0</v>
      </c>
      <c r="Y2607" s="13" t="s">
        <v>10</v>
      </c>
      <c r="Z2607" s="13" t="s">
        <v>0</v>
      </c>
      <c r="AA2607" s="14"/>
      <c r="AB2607" s="13" t="s">
        <v>0</v>
      </c>
      <c r="AC2607" s="13" t="s">
        <v>0</v>
      </c>
      <c r="AD2607" s="13" t="s">
        <v>0</v>
      </c>
      <c r="AE2607" s="15">
        <v>0</v>
      </c>
    </row>
    <row r="2608" spans="1:31" ht="14.15" customHeight="1" x14ac:dyDescent="0.25">
      <c r="A2608" s="12" t="s">
        <v>0</v>
      </c>
      <c r="B2608" s="13" t="s">
        <v>1</v>
      </c>
      <c r="C2608" s="13" t="s">
        <v>4244</v>
      </c>
      <c r="D2608" s="14">
        <v>44368</v>
      </c>
      <c r="E2608" s="14">
        <v>44368</v>
      </c>
      <c r="F2608" s="14">
        <v>44371</v>
      </c>
      <c r="G2608" s="13" t="s">
        <v>3</v>
      </c>
      <c r="H2608" s="13" t="s">
        <v>4</v>
      </c>
      <c r="I2608" s="15">
        <v>-2292.33</v>
      </c>
      <c r="J2608" s="13" t="s">
        <v>5</v>
      </c>
      <c r="K2608" s="13" t="s">
        <v>6</v>
      </c>
      <c r="L2608" s="15">
        <v>-192441.1</v>
      </c>
      <c r="M2608" s="15">
        <v>-2292.33</v>
      </c>
      <c r="N2608" s="16" t="str">
        <f>IF(M2608="","",IF(M2608&lt;0,-M2608&amp;"_"&amp;COUNTIF(M$2:M2608,M2608),M2608&amp;"_"&amp;COUNTIF(M$2:M2608,M2608)))</f>
        <v>2292.33_1</v>
      </c>
      <c r="O2608" s="17" t="str">
        <f t="shared" si="40"/>
        <v/>
      </c>
      <c r="P2608" s="13" t="s">
        <v>4245</v>
      </c>
      <c r="Q2608" s="13" t="s">
        <v>4239</v>
      </c>
      <c r="R2608" s="13" t="s">
        <v>0</v>
      </c>
      <c r="S2608" s="13" t="s">
        <v>0</v>
      </c>
      <c r="T2608" s="13" t="s">
        <v>9</v>
      </c>
      <c r="U2608" s="13" t="s">
        <v>0</v>
      </c>
      <c r="V2608" s="13" t="s">
        <v>0</v>
      </c>
      <c r="W2608" s="13" t="s">
        <v>0</v>
      </c>
      <c r="X2608" s="13" t="s">
        <v>0</v>
      </c>
      <c r="Y2608" s="13" t="s">
        <v>10</v>
      </c>
      <c r="Z2608" s="13" t="s">
        <v>0</v>
      </c>
      <c r="AA2608" s="14"/>
      <c r="AB2608" s="13" t="s">
        <v>0</v>
      </c>
      <c r="AC2608" s="13" t="s">
        <v>0</v>
      </c>
      <c r="AD2608" s="13" t="s">
        <v>0</v>
      </c>
      <c r="AE2608" s="15">
        <v>0</v>
      </c>
    </row>
    <row r="2609" spans="1:31" ht="14.15" customHeight="1" x14ac:dyDescent="0.25">
      <c r="A2609" s="12" t="s">
        <v>0</v>
      </c>
      <c r="B2609" s="13" t="s">
        <v>1</v>
      </c>
      <c r="C2609" s="13" t="s">
        <v>2737</v>
      </c>
      <c r="D2609" s="14">
        <v>44257</v>
      </c>
      <c r="E2609" s="14">
        <v>44257</v>
      </c>
      <c r="F2609" s="14">
        <v>44266</v>
      </c>
      <c r="G2609" s="13" t="s">
        <v>3</v>
      </c>
      <c r="H2609" s="13" t="s">
        <v>4</v>
      </c>
      <c r="I2609" s="15">
        <v>-2291.36</v>
      </c>
      <c r="J2609" s="13" t="s">
        <v>5</v>
      </c>
      <c r="K2609" s="13" t="s">
        <v>6</v>
      </c>
      <c r="L2609" s="15">
        <v>-192359.67</v>
      </c>
      <c r="M2609" s="15">
        <v>-2291.36</v>
      </c>
      <c r="N2609" s="16" t="str">
        <f>IF(M2609="","",IF(M2609&lt;0,-M2609&amp;"_"&amp;COUNTIF(M$2:M2609,M2609),M2609&amp;"_"&amp;COUNTIF(M$2:M2609,M2609)))</f>
        <v>2291.36_1</v>
      </c>
      <c r="O2609" s="17" t="str">
        <f t="shared" si="40"/>
        <v/>
      </c>
      <c r="P2609" s="13" t="s">
        <v>2738</v>
      </c>
      <c r="Q2609" s="13" t="s">
        <v>2736</v>
      </c>
      <c r="R2609" s="13" t="s">
        <v>0</v>
      </c>
      <c r="S2609" s="13" t="s">
        <v>0</v>
      </c>
      <c r="T2609" s="13" t="s">
        <v>9</v>
      </c>
      <c r="U2609" s="13" t="s">
        <v>0</v>
      </c>
      <c r="V2609" s="13" t="s">
        <v>0</v>
      </c>
      <c r="W2609" s="13" t="s">
        <v>0</v>
      </c>
      <c r="X2609" s="13" t="s">
        <v>0</v>
      </c>
      <c r="Y2609" s="13" t="s">
        <v>10</v>
      </c>
      <c r="Z2609" s="13" t="s">
        <v>0</v>
      </c>
      <c r="AA2609" s="14"/>
      <c r="AB2609" s="13" t="s">
        <v>0</v>
      </c>
      <c r="AC2609" s="13" t="s">
        <v>0</v>
      </c>
      <c r="AD2609" s="13" t="s">
        <v>0</v>
      </c>
      <c r="AE2609" s="15">
        <v>0</v>
      </c>
    </row>
    <row r="2610" spans="1:31" ht="14.15" customHeight="1" x14ac:dyDescent="0.25">
      <c r="A2610" s="12" t="s">
        <v>0</v>
      </c>
      <c r="B2610" s="13" t="s">
        <v>1</v>
      </c>
      <c r="C2610" s="13" t="s">
        <v>1954</v>
      </c>
      <c r="D2610" s="14">
        <v>44195</v>
      </c>
      <c r="E2610" s="14">
        <v>44195</v>
      </c>
      <c r="F2610" s="14">
        <v>44199</v>
      </c>
      <c r="G2610" s="13" t="s">
        <v>3</v>
      </c>
      <c r="H2610" s="13" t="s">
        <v>4</v>
      </c>
      <c r="I2610" s="15">
        <v>-2276.16</v>
      </c>
      <c r="J2610" s="13" t="s">
        <v>5</v>
      </c>
      <c r="K2610" s="13" t="s">
        <v>6</v>
      </c>
      <c r="L2610" s="15">
        <v>-191083.63</v>
      </c>
      <c r="M2610" s="15">
        <v>-2276.16</v>
      </c>
      <c r="N2610" s="16" t="str">
        <f>IF(M2610="","",IF(M2610&lt;0,-M2610&amp;"_"&amp;COUNTIF(M$2:M2610,M2610),M2610&amp;"_"&amp;COUNTIF(M$2:M2610,M2610)))</f>
        <v>2276.16_1</v>
      </c>
      <c r="O2610" s="17" t="str">
        <f t="shared" si="40"/>
        <v/>
      </c>
      <c r="P2610" s="13" t="s">
        <v>1955</v>
      </c>
      <c r="Q2610" s="13" t="s">
        <v>1956</v>
      </c>
      <c r="R2610" s="13" t="s">
        <v>0</v>
      </c>
      <c r="S2610" s="13" t="s">
        <v>0</v>
      </c>
      <c r="T2610" s="13" t="s">
        <v>9</v>
      </c>
      <c r="U2610" s="13" t="s">
        <v>0</v>
      </c>
      <c r="V2610" s="13" t="s">
        <v>0</v>
      </c>
      <c r="W2610" s="13" t="s">
        <v>0</v>
      </c>
      <c r="X2610" s="13" t="s">
        <v>0</v>
      </c>
      <c r="Y2610" s="13" t="s">
        <v>10</v>
      </c>
      <c r="Z2610" s="13" t="s">
        <v>0</v>
      </c>
      <c r="AA2610" s="14"/>
      <c r="AB2610" s="13" t="s">
        <v>0</v>
      </c>
      <c r="AC2610" s="13" t="s">
        <v>0</v>
      </c>
      <c r="AD2610" s="13" t="s">
        <v>0</v>
      </c>
      <c r="AE2610" s="15">
        <v>0</v>
      </c>
    </row>
    <row r="2611" spans="1:31" ht="14.15" customHeight="1" x14ac:dyDescent="0.25">
      <c r="A2611" s="12" t="s">
        <v>0</v>
      </c>
      <c r="B2611" s="13" t="s">
        <v>1</v>
      </c>
      <c r="C2611" s="13" t="s">
        <v>2299</v>
      </c>
      <c r="D2611" s="14">
        <v>44219</v>
      </c>
      <c r="E2611" s="14">
        <v>44219</v>
      </c>
      <c r="F2611" s="14">
        <v>44226</v>
      </c>
      <c r="G2611" s="13" t="s">
        <v>3</v>
      </c>
      <c r="H2611" s="13" t="s">
        <v>4</v>
      </c>
      <c r="I2611" s="15">
        <v>-2275.6</v>
      </c>
      <c r="J2611" s="13" t="s">
        <v>5</v>
      </c>
      <c r="K2611" s="13" t="s">
        <v>6</v>
      </c>
      <c r="L2611" s="15">
        <v>-191036.61</v>
      </c>
      <c r="M2611" s="15">
        <v>-2275.6</v>
      </c>
      <c r="N2611" s="16" t="str">
        <f>IF(M2611="","",IF(M2611&lt;0,-M2611&amp;"_"&amp;COUNTIF(M$2:M2611,M2611),M2611&amp;"_"&amp;COUNTIF(M$2:M2611,M2611)))</f>
        <v>2275.6_1</v>
      </c>
      <c r="O2611" s="17" t="str">
        <f t="shared" si="40"/>
        <v/>
      </c>
      <c r="P2611" s="13" t="s">
        <v>2300</v>
      </c>
      <c r="Q2611" s="13" t="s">
        <v>2282</v>
      </c>
      <c r="R2611" s="13" t="s">
        <v>0</v>
      </c>
      <c r="S2611" s="13" t="s">
        <v>0</v>
      </c>
      <c r="T2611" s="13" t="s">
        <v>9</v>
      </c>
      <c r="U2611" s="13" t="s">
        <v>0</v>
      </c>
      <c r="V2611" s="13" t="s">
        <v>0</v>
      </c>
      <c r="W2611" s="13" t="s">
        <v>0</v>
      </c>
      <c r="X2611" s="13" t="s">
        <v>0</v>
      </c>
      <c r="Y2611" s="13" t="s">
        <v>10</v>
      </c>
      <c r="Z2611" s="13" t="s">
        <v>0</v>
      </c>
      <c r="AA2611" s="14"/>
      <c r="AB2611" s="13" t="s">
        <v>0</v>
      </c>
      <c r="AC2611" s="13" t="s">
        <v>0</v>
      </c>
      <c r="AD2611" s="13" t="s">
        <v>0</v>
      </c>
      <c r="AE2611" s="15">
        <v>0</v>
      </c>
    </row>
    <row r="2612" spans="1:31" ht="14.15" customHeight="1" x14ac:dyDescent="0.25">
      <c r="A2612" s="12" t="s">
        <v>0</v>
      </c>
      <c r="B2612" s="13" t="s">
        <v>1</v>
      </c>
      <c r="C2612" s="13" t="s">
        <v>1941</v>
      </c>
      <c r="D2612" s="14">
        <v>44192</v>
      </c>
      <c r="E2612" s="14">
        <v>44192</v>
      </c>
      <c r="F2612" s="14">
        <v>44198</v>
      </c>
      <c r="G2612" s="13" t="s">
        <v>3</v>
      </c>
      <c r="H2612" s="13" t="s">
        <v>4</v>
      </c>
      <c r="I2612" s="15">
        <v>-2266.69</v>
      </c>
      <c r="J2612" s="13" t="s">
        <v>5</v>
      </c>
      <c r="K2612" s="13" t="s">
        <v>6</v>
      </c>
      <c r="L2612" s="15">
        <v>-190288.63</v>
      </c>
      <c r="M2612" s="15">
        <v>-2266.69</v>
      </c>
      <c r="N2612" s="16" t="str">
        <f>IF(M2612="","",IF(M2612&lt;0,-M2612&amp;"_"&amp;COUNTIF(M$2:M2612,M2612),M2612&amp;"_"&amp;COUNTIF(M$2:M2612,M2612)))</f>
        <v>2266.69_1</v>
      </c>
      <c r="O2612" s="17" t="str">
        <f t="shared" si="40"/>
        <v/>
      </c>
      <c r="P2612" s="13" t="s">
        <v>1942</v>
      </c>
      <c r="Q2612" s="13" t="s">
        <v>1932</v>
      </c>
      <c r="R2612" s="13" t="s">
        <v>0</v>
      </c>
      <c r="S2612" s="13" t="s">
        <v>0</v>
      </c>
      <c r="T2612" s="13" t="s">
        <v>9</v>
      </c>
      <c r="U2612" s="13" t="s">
        <v>0</v>
      </c>
      <c r="V2612" s="13" t="s">
        <v>0</v>
      </c>
      <c r="W2612" s="13" t="s">
        <v>0</v>
      </c>
      <c r="X2612" s="13" t="s">
        <v>0</v>
      </c>
      <c r="Y2612" s="13" t="s">
        <v>10</v>
      </c>
      <c r="Z2612" s="13" t="s">
        <v>0</v>
      </c>
      <c r="AA2612" s="14"/>
      <c r="AB2612" s="13" t="s">
        <v>0</v>
      </c>
      <c r="AC2612" s="13" t="s">
        <v>0</v>
      </c>
      <c r="AD2612" s="13" t="s">
        <v>0</v>
      </c>
      <c r="AE2612" s="15">
        <v>0</v>
      </c>
    </row>
    <row r="2613" spans="1:31" ht="14.15" customHeight="1" x14ac:dyDescent="0.25">
      <c r="A2613" s="12" t="s">
        <v>0</v>
      </c>
      <c r="B2613" s="13" t="s">
        <v>1</v>
      </c>
      <c r="C2613" s="13" t="s">
        <v>3315</v>
      </c>
      <c r="D2613" s="14">
        <v>44314</v>
      </c>
      <c r="E2613" s="14">
        <v>44314</v>
      </c>
      <c r="F2613" s="14">
        <v>44323</v>
      </c>
      <c r="G2613" s="13" t="s">
        <v>3</v>
      </c>
      <c r="H2613" s="13" t="s">
        <v>4</v>
      </c>
      <c r="I2613" s="15">
        <v>-2264.7600000000002</v>
      </c>
      <c r="J2613" s="13" t="s">
        <v>5</v>
      </c>
      <c r="K2613" s="13" t="s">
        <v>6</v>
      </c>
      <c r="L2613" s="15">
        <v>-190126.6</v>
      </c>
      <c r="M2613" s="15">
        <v>-2264.7600000000002</v>
      </c>
      <c r="N2613" s="16" t="str">
        <f>IF(M2613="","",IF(M2613&lt;0,-M2613&amp;"_"&amp;COUNTIF(M$2:M2613,M2613),M2613&amp;"_"&amp;COUNTIF(M$2:M2613,M2613)))</f>
        <v>2264.76_1</v>
      </c>
      <c r="O2613" s="17" t="str">
        <f t="shared" si="40"/>
        <v/>
      </c>
      <c r="P2613" s="13" t="s">
        <v>3316</v>
      </c>
      <c r="Q2613" s="13" t="s">
        <v>3284</v>
      </c>
      <c r="R2613" s="13" t="s">
        <v>0</v>
      </c>
      <c r="S2613" s="13" t="s">
        <v>0</v>
      </c>
      <c r="T2613" s="13" t="s">
        <v>9</v>
      </c>
      <c r="U2613" s="13" t="s">
        <v>0</v>
      </c>
      <c r="V2613" s="13" t="s">
        <v>0</v>
      </c>
      <c r="W2613" s="13" t="s">
        <v>0</v>
      </c>
      <c r="X2613" s="13" t="s">
        <v>0</v>
      </c>
      <c r="Y2613" s="13" t="s">
        <v>10</v>
      </c>
      <c r="Z2613" s="13" t="s">
        <v>0</v>
      </c>
      <c r="AA2613" s="14"/>
      <c r="AB2613" s="13" t="s">
        <v>0</v>
      </c>
      <c r="AC2613" s="13" t="s">
        <v>0</v>
      </c>
      <c r="AD2613" s="13" t="s">
        <v>0</v>
      </c>
      <c r="AE2613" s="15">
        <v>0</v>
      </c>
    </row>
    <row r="2614" spans="1:31" ht="14.15" customHeight="1" x14ac:dyDescent="0.25">
      <c r="A2614" s="12" t="s">
        <v>0</v>
      </c>
      <c r="B2614" s="13" t="s">
        <v>1</v>
      </c>
      <c r="C2614" s="13" t="s">
        <v>1738</v>
      </c>
      <c r="D2614" s="14">
        <v>44178</v>
      </c>
      <c r="E2614" s="14">
        <v>44178</v>
      </c>
      <c r="F2614" s="14">
        <v>44180</v>
      </c>
      <c r="G2614" s="13" t="s">
        <v>3</v>
      </c>
      <c r="H2614" s="13" t="s">
        <v>4</v>
      </c>
      <c r="I2614" s="15">
        <v>-2262.27</v>
      </c>
      <c r="J2614" s="13" t="s">
        <v>5</v>
      </c>
      <c r="K2614" s="13" t="s">
        <v>6</v>
      </c>
      <c r="L2614" s="15">
        <v>-189917.57</v>
      </c>
      <c r="M2614" s="15">
        <v>-2262.27</v>
      </c>
      <c r="N2614" s="16" t="str">
        <f>IF(M2614="","",IF(M2614&lt;0,-M2614&amp;"_"&amp;COUNTIF(M$2:M2614,M2614),M2614&amp;"_"&amp;COUNTIF(M$2:M2614,M2614)))</f>
        <v>2262.27_1</v>
      </c>
      <c r="O2614" s="17" t="str">
        <f t="shared" si="40"/>
        <v/>
      </c>
      <c r="P2614" s="13" t="s">
        <v>1714</v>
      </c>
      <c r="Q2614" s="13" t="s">
        <v>1739</v>
      </c>
      <c r="R2614" s="13" t="s">
        <v>0</v>
      </c>
      <c r="S2614" s="13" t="s">
        <v>0</v>
      </c>
      <c r="T2614" s="13" t="s">
        <v>9</v>
      </c>
      <c r="U2614" s="13" t="s">
        <v>0</v>
      </c>
      <c r="V2614" s="13" t="s">
        <v>0</v>
      </c>
      <c r="W2614" s="13" t="s">
        <v>0</v>
      </c>
      <c r="X2614" s="13" t="s">
        <v>0</v>
      </c>
      <c r="Y2614" s="13" t="s">
        <v>10</v>
      </c>
      <c r="Z2614" s="13" t="s">
        <v>0</v>
      </c>
      <c r="AA2614" s="14"/>
      <c r="AB2614" s="13" t="s">
        <v>0</v>
      </c>
      <c r="AC2614" s="13" t="s">
        <v>0</v>
      </c>
      <c r="AD2614" s="13" t="s">
        <v>0</v>
      </c>
      <c r="AE2614" s="15">
        <v>0</v>
      </c>
    </row>
    <row r="2615" spans="1:31" ht="14.15" customHeight="1" x14ac:dyDescent="0.25">
      <c r="A2615" s="12" t="s">
        <v>0</v>
      </c>
      <c r="B2615" s="13" t="s">
        <v>1</v>
      </c>
      <c r="C2615" s="13" t="s">
        <v>729</v>
      </c>
      <c r="D2615" s="14">
        <v>44095</v>
      </c>
      <c r="E2615" s="14">
        <v>44095</v>
      </c>
      <c r="F2615" s="14">
        <v>44098</v>
      </c>
      <c r="G2615" s="13" t="s">
        <v>3</v>
      </c>
      <c r="H2615" s="13" t="s">
        <v>4</v>
      </c>
      <c r="I2615" s="15">
        <v>-2259.13</v>
      </c>
      <c r="J2615" s="13" t="s">
        <v>5</v>
      </c>
      <c r="K2615" s="13" t="s">
        <v>6</v>
      </c>
      <c r="L2615" s="15">
        <v>-189653.96</v>
      </c>
      <c r="M2615" s="15">
        <v>-2259.13</v>
      </c>
      <c r="N2615" s="16" t="str">
        <f>IF(M2615="","",IF(M2615&lt;0,-M2615&amp;"_"&amp;COUNTIF(M$2:M2615,M2615),M2615&amp;"_"&amp;COUNTIF(M$2:M2615,M2615)))</f>
        <v>2259.13_1</v>
      </c>
      <c r="O2615" s="17" t="str">
        <f t="shared" si="40"/>
        <v/>
      </c>
      <c r="P2615" s="13" t="s">
        <v>730</v>
      </c>
      <c r="Q2615" s="13" t="s">
        <v>726</v>
      </c>
      <c r="R2615" s="13" t="s">
        <v>0</v>
      </c>
      <c r="S2615" s="13" t="s">
        <v>0</v>
      </c>
      <c r="T2615" s="13" t="s">
        <v>9</v>
      </c>
      <c r="U2615" s="13" t="s">
        <v>0</v>
      </c>
      <c r="V2615" s="13" t="s">
        <v>0</v>
      </c>
      <c r="W2615" s="13" t="s">
        <v>0</v>
      </c>
      <c r="X2615" s="13" t="s">
        <v>0</v>
      </c>
      <c r="Y2615" s="13" t="s">
        <v>10</v>
      </c>
      <c r="Z2615" s="13" t="s">
        <v>0</v>
      </c>
      <c r="AA2615" s="14"/>
      <c r="AB2615" s="13" t="s">
        <v>0</v>
      </c>
      <c r="AC2615" s="13" t="s">
        <v>0</v>
      </c>
      <c r="AD2615" s="13" t="s">
        <v>0</v>
      </c>
      <c r="AE2615" s="15">
        <v>0</v>
      </c>
    </row>
    <row r="2616" spans="1:31" ht="14.15" customHeight="1" x14ac:dyDescent="0.25">
      <c r="A2616" s="12" t="s">
        <v>0</v>
      </c>
      <c r="B2616" s="13" t="s">
        <v>1</v>
      </c>
      <c r="C2616" s="13" t="s">
        <v>330</v>
      </c>
      <c r="D2616" s="14">
        <v>44043</v>
      </c>
      <c r="E2616" s="14">
        <v>44043</v>
      </c>
      <c r="F2616" s="14">
        <v>44057</v>
      </c>
      <c r="G2616" s="13" t="s">
        <v>3</v>
      </c>
      <c r="H2616" s="13" t="s">
        <v>4</v>
      </c>
      <c r="I2616" s="15">
        <v>-2256.25</v>
      </c>
      <c r="J2616" s="13" t="s">
        <v>5</v>
      </c>
      <c r="K2616" s="13" t="s">
        <v>6</v>
      </c>
      <c r="L2616" s="15">
        <v>-189412.19</v>
      </c>
      <c r="M2616" s="15">
        <v>-2256.25</v>
      </c>
      <c r="N2616" s="16" t="str">
        <f>IF(M2616="","",IF(M2616&lt;0,-M2616&amp;"_"&amp;COUNTIF(M$2:M2616,M2616),M2616&amp;"_"&amp;COUNTIF(M$2:M2616,M2616)))</f>
        <v>2256.25_1</v>
      </c>
      <c r="O2616" s="17" t="str">
        <f t="shared" si="40"/>
        <v/>
      </c>
      <c r="P2616" s="13" t="s">
        <v>331</v>
      </c>
      <c r="Q2616" s="13" t="s">
        <v>316</v>
      </c>
      <c r="R2616" s="13" t="s">
        <v>0</v>
      </c>
      <c r="S2616" s="13" t="s">
        <v>0</v>
      </c>
      <c r="T2616" s="13" t="s">
        <v>9</v>
      </c>
      <c r="U2616" s="13" t="s">
        <v>0</v>
      </c>
      <c r="V2616" s="13" t="s">
        <v>0</v>
      </c>
      <c r="W2616" s="13" t="s">
        <v>0</v>
      </c>
      <c r="X2616" s="13" t="s">
        <v>0</v>
      </c>
      <c r="Y2616" s="13" t="s">
        <v>10</v>
      </c>
      <c r="Z2616" s="13" t="s">
        <v>0</v>
      </c>
      <c r="AA2616" s="14"/>
      <c r="AB2616" s="13" t="s">
        <v>0</v>
      </c>
      <c r="AC2616" s="13" t="s">
        <v>0</v>
      </c>
      <c r="AD2616" s="13" t="s">
        <v>0</v>
      </c>
      <c r="AE2616" s="15">
        <v>0</v>
      </c>
    </row>
    <row r="2617" spans="1:31" ht="14.15" customHeight="1" x14ac:dyDescent="0.25">
      <c r="A2617" s="12" t="s">
        <v>0</v>
      </c>
      <c r="B2617" s="13" t="s">
        <v>1</v>
      </c>
      <c r="C2617" s="13" t="s">
        <v>73</v>
      </c>
      <c r="D2617" s="14">
        <v>44020</v>
      </c>
      <c r="E2617" s="14">
        <v>44020</v>
      </c>
      <c r="F2617" s="14">
        <v>44027</v>
      </c>
      <c r="G2617" s="13" t="s">
        <v>3</v>
      </c>
      <c r="H2617" s="13" t="s">
        <v>4</v>
      </c>
      <c r="I2617" s="15">
        <v>-2253.84</v>
      </c>
      <c r="J2617" s="13" t="s">
        <v>5</v>
      </c>
      <c r="K2617" s="13" t="s">
        <v>6</v>
      </c>
      <c r="L2617" s="15">
        <v>-189209.86</v>
      </c>
      <c r="M2617" s="15">
        <v>-2253.84</v>
      </c>
      <c r="N2617" s="16" t="str">
        <f>IF(M2617="","",IF(M2617&lt;0,-M2617&amp;"_"&amp;COUNTIF(M$2:M2617,M2617),M2617&amp;"_"&amp;COUNTIF(M$2:M2617,M2617)))</f>
        <v>2253.84_1</v>
      </c>
      <c r="O2617" s="17" t="str">
        <f t="shared" si="40"/>
        <v/>
      </c>
      <c r="P2617" s="13" t="s">
        <v>74</v>
      </c>
      <c r="Q2617" s="13" t="s">
        <v>70</v>
      </c>
      <c r="R2617" s="13" t="s">
        <v>0</v>
      </c>
      <c r="S2617" s="13" t="s">
        <v>0</v>
      </c>
      <c r="T2617" s="13" t="s">
        <v>9</v>
      </c>
      <c r="U2617" s="13" t="s">
        <v>0</v>
      </c>
      <c r="V2617" s="13" t="s">
        <v>0</v>
      </c>
      <c r="W2617" s="13" t="s">
        <v>0</v>
      </c>
      <c r="X2617" s="13" t="s">
        <v>0</v>
      </c>
      <c r="Y2617" s="13" t="s">
        <v>10</v>
      </c>
      <c r="Z2617" s="13" t="s">
        <v>0</v>
      </c>
      <c r="AA2617" s="14"/>
      <c r="AB2617" s="13" t="s">
        <v>0</v>
      </c>
      <c r="AC2617" s="13" t="s">
        <v>0</v>
      </c>
      <c r="AD2617" s="13" t="s">
        <v>0</v>
      </c>
      <c r="AE2617" s="15">
        <v>0</v>
      </c>
    </row>
    <row r="2618" spans="1:31" ht="14.15" customHeight="1" x14ac:dyDescent="0.25">
      <c r="A2618" s="12" t="s">
        <v>0</v>
      </c>
      <c r="B2618" s="13" t="s">
        <v>1</v>
      </c>
      <c r="C2618" s="13" t="s">
        <v>2172</v>
      </c>
      <c r="D2618" s="14">
        <v>44209</v>
      </c>
      <c r="E2618" s="14">
        <v>44209</v>
      </c>
      <c r="F2618" s="14">
        <v>44228</v>
      </c>
      <c r="G2618" s="13" t="s">
        <v>3</v>
      </c>
      <c r="H2618" s="13" t="s">
        <v>4</v>
      </c>
      <c r="I2618" s="15">
        <v>-2248.42</v>
      </c>
      <c r="J2618" s="13" t="s">
        <v>5</v>
      </c>
      <c r="K2618" s="13" t="s">
        <v>6</v>
      </c>
      <c r="L2618" s="15">
        <v>-188754.86</v>
      </c>
      <c r="M2618" s="15">
        <v>-2248.42</v>
      </c>
      <c r="N2618" s="16" t="str">
        <f>IF(M2618="","",IF(M2618&lt;0,-M2618&amp;"_"&amp;COUNTIF(M$2:M2618,M2618),M2618&amp;"_"&amp;COUNTIF(M$2:M2618,M2618)))</f>
        <v>2248.42_1</v>
      </c>
      <c r="O2618" s="17" t="str">
        <f t="shared" si="40"/>
        <v/>
      </c>
      <c r="P2618" s="13" t="s">
        <v>2173</v>
      </c>
      <c r="Q2618" s="13" t="s">
        <v>2159</v>
      </c>
      <c r="R2618" s="13" t="s">
        <v>0</v>
      </c>
      <c r="S2618" s="13" t="s">
        <v>0</v>
      </c>
      <c r="T2618" s="13" t="s">
        <v>9</v>
      </c>
      <c r="U2618" s="13" t="s">
        <v>0</v>
      </c>
      <c r="V2618" s="13" t="s">
        <v>0</v>
      </c>
      <c r="W2618" s="13" t="s">
        <v>0</v>
      </c>
      <c r="X2618" s="13" t="s">
        <v>0</v>
      </c>
      <c r="Y2618" s="13" t="s">
        <v>10</v>
      </c>
      <c r="Z2618" s="13" t="s">
        <v>0</v>
      </c>
      <c r="AA2618" s="14"/>
      <c r="AB2618" s="13" t="s">
        <v>0</v>
      </c>
      <c r="AC2618" s="13" t="s">
        <v>0</v>
      </c>
      <c r="AD2618" s="13" t="s">
        <v>0</v>
      </c>
      <c r="AE2618" s="15">
        <v>0</v>
      </c>
    </row>
    <row r="2619" spans="1:31" ht="14.15" customHeight="1" x14ac:dyDescent="0.25">
      <c r="A2619" s="12" t="s">
        <v>0</v>
      </c>
      <c r="B2619" s="13" t="s">
        <v>1</v>
      </c>
      <c r="C2619" s="13" t="s">
        <v>2287</v>
      </c>
      <c r="D2619" s="14">
        <v>44219</v>
      </c>
      <c r="E2619" s="14">
        <v>44219</v>
      </c>
      <c r="F2619" s="14">
        <v>44226</v>
      </c>
      <c r="G2619" s="13" t="s">
        <v>3</v>
      </c>
      <c r="H2619" s="13" t="s">
        <v>4</v>
      </c>
      <c r="I2619" s="15">
        <v>-2239.62</v>
      </c>
      <c r="J2619" s="13" t="s">
        <v>5</v>
      </c>
      <c r="K2619" s="13" t="s">
        <v>6</v>
      </c>
      <c r="L2619" s="15">
        <v>-188016.1</v>
      </c>
      <c r="M2619" s="15">
        <v>-2239.62</v>
      </c>
      <c r="N2619" s="16" t="str">
        <f>IF(M2619="","",IF(M2619&lt;0,-M2619&amp;"_"&amp;COUNTIF(M$2:M2619,M2619),M2619&amp;"_"&amp;COUNTIF(M$2:M2619,M2619)))</f>
        <v>2239.62_1</v>
      </c>
      <c r="O2619" s="17" t="str">
        <f t="shared" si="40"/>
        <v/>
      </c>
      <c r="P2619" s="13" t="s">
        <v>2288</v>
      </c>
      <c r="Q2619" s="13" t="s">
        <v>2282</v>
      </c>
      <c r="R2619" s="13" t="s">
        <v>0</v>
      </c>
      <c r="S2619" s="13" t="s">
        <v>0</v>
      </c>
      <c r="T2619" s="13" t="s">
        <v>9</v>
      </c>
      <c r="U2619" s="13" t="s">
        <v>0</v>
      </c>
      <c r="V2619" s="13" t="s">
        <v>0</v>
      </c>
      <c r="W2619" s="13" t="s">
        <v>0</v>
      </c>
      <c r="X2619" s="13" t="s">
        <v>0</v>
      </c>
      <c r="Y2619" s="13" t="s">
        <v>10</v>
      </c>
      <c r="Z2619" s="13" t="s">
        <v>0</v>
      </c>
      <c r="AA2619" s="14"/>
      <c r="AB2619" s="13" t="s">
        <v>0</v>
      </c>
      <c r="AC2619" s="13" t="s">
        <v>0</v>
      </c>
      <c r="AD2619" s="13" t="s">
        <v>0</v>
      </c>
      <c r="AE2619" s="15">
        <v>0</v>
      </c>
    </row>
    <row r="2620" spans="1:31" ht="14.15" customHeight="1" x14ac:dyDescent="0.25">
      <c r="A2620" s="12" t="s">
        <v>0</v>
      </c>
      <c r="B2620" s="13" t="s">
        <v>1</v>
      </c>
      <c r="C2620" s="13" t="s">
        <v>2297</v>
      </c>
      <c r="D2620" s="14">
        <v>44219</v>
      </c>
      <c r="E2620" s="14">
        <v>44219</v>
      </c>
      <c r="F2620" s="14">
        <v>44226</v>
      </c>
      <c r="G2620" s="13" t="s">
        <v>3</v>
      </c>
      <c r="H2620" s="13" t="s">
        <v>4</v>
      </c>
      <c r="I2620" s="15">
        <v>-2239.62</v>
      </c>
      <c r="J2620" s="13" t="s">
        <v>5</v>
      </c>
      <c r="K2620" s="13" t="s">
        <v>6</v>
      </c>
      <c r="L2620" s="15">
        <v>-188016.1</v>
      </c>
      <c r="M2620" s="15">
        <v>-2239.62</v>
      </c>
      <c r="N2620" s="16" t="str">
        <f>IF(M2620="","",IF(M2620&lt;0,-M2620&amp;"_"&amp;COUNTIF(M$2:M2620,M2620),M2620&amp;"_"&amp;COUNTIF(M$2:M2620,M2620)))</f>
        <v>2239.62_2</v>
      </c>
      <c r="O2620" s="17" t="str">
        <f t="shared" si="40"/>
        <v/>
      </c>
      <c r="P2620" s="13" t="s">
        <v>2298</v>
      </c>
      <c r="Q2620" s="13" t="s">
        <v>2282</v>
      </c>
      <c r="R2620" s="13" t="s">
        <v>0</v>
      </c>
      <c r="S2620" s="13" t="s">
        <v>0</v>
      </c>
      <c r="T2620" s="13" t="s">
        <v>9</v>
      </c>
      <c r="U2620" s="13" t="s">
        <v>0</v>
      </c>
      <c r="V2620" s="13" t="s">
        <v>0</v>
      </c>
      <c r="W2620" s="13" t="s">
        <v>0</v>
      </c>
      <c r="X2620" s="13" t="s">
        <v>0</v>
      </c>
      <c r="Y2620" s="13" t="s">
        <v>10</v>
      </c>
      <c r="Z2620" s="13" t="s">
        <v>0</v>
      </c>
      <c r="AA2620" s="14"/>
      <c r="AB2620" s="13" t="s">
        <v>0</v>
      </c>
      <c r="AC2620" s="13" t="s">
        <v>0</v>
      </c>
      <c r="AD2620" s="13" t="s">
        <v>0</v>
      </c>
      <c r="AE2620" s="15">
        <v>0</v>
      </c>
    </row>
    <row r="2621" spans="1:31" ht="14.15" customHeight="1" x14ac:dyDescent="0.25">
      <c r="A2621" s="12" t="s">
        <v>0</v>
      </c>
      <c r="B2621" s="13" t="s">
        <v>1</v>
      </c>
      <c r="C2621" s="13" t="s">
        <v>2301</v>
      </c>
      <c r="D2621" s="14">
        <v>44219</v>
      </c>
      <c r="E2621" s="14">
        <v>44219</v>
      </c>
      <c r="F2621" s="14">
        <v>44226</v>
      </c>
      <c r="G2621" s="13" t="s">
        <v>3</v>
      </c>
      <c r="H2621" s="13" t="s">
        <v>4</v>
      </c>
      <c r="I2621" s="15">
        <v>-2239.62</v>
      </c>
      <c r="J2621" s="13" t="s">
        <v>5</v>
      </c>
      <c r="K2621" s="13" t="s">
        <v>6</v>
      </c>
      <c r="L2621" s="15">
        <v>-188016.1</v>
      </c>
      <c r="M2621" s="15">
        <v>-2239.62</v>
      </c>
      <c r="N2621" s="16" t="str">
        <f>IF(M2621="","",IF(M2621&lt;0,-M2621&amp;"_"&amp;COUNTIF(M$2:M2621,M2621),M2621&amp;"_"&amp;COUNTIF(M$2:M2621,M2621)))</f>
        <v>2239.62_3</v>
      </c>
      <c r="O2621" s="17" t="str">
        <f t="shared" si="40"/>
        <v/>
      </c>
      <c r="P2621" s="13" t="s">
        <v>2302</v>
      </c>
      <c r="Q2621" s="13" t="s">
        <v>2282</v>
      </c>
      <c r="R2621" s="13" t="s">
        <v>0</v>
      </c>
      <c r="S2621" s="13" t="s">
        <v>0</v>
      </c>
      <c r="T2621" s="13" t="s">
        <v>9</v>
      </c>
      <c r="U2621" s="13" t="s">
        <v>0</v>
      </c>
      <c r="V2621" s="13" t="s">
        <v>0</v>
      </c>
      <c r="W2621" s="13" t="s">
        <v>0</v>
      </c>
      <c r="X2621" s="13" t="s">
        <v>0</v>
      </c>
      <c r="Y2621" s="13" t="s">
        <v>10</v>
      </c>
      <c r="Z2621" s="13" t="s">
        <v>0</v>
      </c>
      <c r="AA2621" s="14"/>
      <c r="AB2621" s="13" t="s">
        <v>0</v>
      </c>
      <c r="AC2621" s="13" t="s">
        <v>0</v>
      </c>
      <c r="AD2621" s="13" t="s">
        <v>0</v>
      </c>
      <c r="AE2621" s="15">
        <v>0</v>
      </c>
    </row>
    <row r="2622" spans="1:31" ht="14.15" customHeight="1" x14ac:dyDescent="0.25">
      <c r="A2622" s="12" t="s">
        <v>0</v>
      </c>
      <c r="B2622" s="13" t="s">
        <v>1</v>
      </c>
      <c r="C2622" s="13" t="s">
        <v>4082</v>
      </c>
      <c r="D2622" s="14">
        <v>44361</v>
      </c>
      <c r="E2622" s="14">
        <v>44361</v>
      </c>
      <c r="F2622" s="14">
        <v>44364</v>
      </c>
      <c r="G2622" s="13" t="s">
        <v>3</v>
      </c>
      <c r="H2622" s="13" t="s">
        <v>4</v>
      </c>
      <c r="I2622" s="15">
        <v>-2237.0100000000002</v>
      </c>
      <c r="J2622" s="13" t="s">
        <v>5</v>
      </c>
      <c r="K2622" s="13" t="s">
        <v>6</v>
      </c>
      <c r="L2622" s="15">
        <v>-187796.99</v>
      </c>
      <c r="M2622" s="15">
        <v>-2237.0100000000002</v>
      </c>
      <c r="N2622" s="16" t="str">
        <f>IF(M2622="","",IF(M2622&lt;0,-M2622&amp;"_"&amp;COUNTIF(M$2:M2622,M2622),M2622&amp;"_"&amp;COUNTIF(M$2:M2622,M2622)))</f>
        <v>2237.01_1</v>
      </c>
      <c r="O2622" s="17" t="str">
        <f t="shared" si="40"/>
        <v/>
      </c>
      <c r="P2622" s="13" t="s">
        <v>4083</v>
      </c>
      <c r="Q2622" s="13" t="s">
        <v>4075</v>
      </c>
      <c r="R2622" s="13" t="s">
        <v>0</v>
      </c>
      <c r="S2622" s="13" t="s">
        <v>0</v>
      </c>
      <c r="T2622" s="13" t="s">
        <v>9</v>
      </c>
      <c r="U2622" s="13" t="s">
        <v>0</v>
      </c>
      <c r="V2622" s="13" t="s">
        <v>0</v>
      </c>
      <c r="W2622" s="13" t="s">
        <v>0</v>
      </c>
      <c r="X2622" s="13" t="s">
        <v>0</v>
      </c>
      <c r="Y2622" s="13" t="s">
        <v>10</v>
      </c>
      <c r="Z2622" s="13" t="s">
        <v>0</v>
      </c>
      <c r="AA2622" s="14"/>
      <c r="AB2622" s="13" t="s">
        <v>0</v>
      </c>
      <c r="AC2622" s="13" t="s">
        <v>0</v>
      </c>
      <c r="AD2622" s="13" t="s">
        <v>0</v>
      </c>
      <c r="AE2622" s="15">
        <v>0</v>
      </c>
    </row>
    <row r="2623" spans="1:31" ht="14.15" customHeight="1" x14ac:dyDescent="0.25">
      <c r="A2623" s="12" t="s">
        <v>0</v>
      </c>
      <c r="B2623" s="13" t="s">
        <v>1</v>
      </c>
      <c r="C2623" s="13" t="s">
        <v>1950</v>
      </c>
      <c r="D2623" s="14">
        <v>44194</v>
      </c>
      <c r="E2623" s="14">
        <v>44194</v>
      </c>
      <c r="F2623" s="14">
        <v>44199</v>
      </c>
      <c r="G2623" s="13" t="s">
        <v>3</v>
      </c>
      <c r="H2623" s="13" t="s">
        <v>4</v>
      </c>
      <c r="I2623" s="15">
        <v>-2229.09</v>
      </c>
      <c r="J2623" s="13" t="s">
        <v>5</v>
      </c>
      <c r="K2623" s="13" t="s">
        <v>6</v>
      </c>
      <c r="L2623" s="15">
        <v>-187132.11</v>
      </c>
      <c r="M2623" s="15">
        <v>-2229.09</v>
      </c>
      <c r="N2623" s="16" t="str">
        <f>IF(M2623="","",IF(M2623&lt;0,-M2623&amp;"_"&amp;COUNTIF(M$2:M2623,M2623),M2623&amp;"_"&amp;COUNTIF(M$2:M2623,M2623)))</f>
        <v>2229.09_1</v>
      </c>
      <c r="O2623" s="17" t="str">
        <f t="shared" si="40"/>
        <v/>
      </c>
      <c r="P2623" s="13" t="s">
        <v>1951</v>
      </c>
      <c r="Q2623" s="13" t="s">
        <v>1949</v>
      </c>
      <c r="R2623" s="13" t="s">
        <v>0</v>
      </c>
      <c r="S2623" s="13" t="s">
        <v>0</v>
      </c>
      <c r="T2623" s="13" t="s">
        <v>9</v>
      </c>
      <c r="U2623" s="13" t="s">
        <v>0</v>
      </c>
      <c r="V2623" s="13" t="s">
        <v>0</v>
      </c>
      <c r="W2623" s="13" t="s">
        <v>0</v>
      </c>
      <c r="X2623" s="13" t="s">
        <v>0</v>
      </c>
      <c r="Y2623" s="13" t="s">
        <v>10</v>
      </c>
      <c r="Z2623" s="13" t="s">
        <v>0</v>
      </c>
      <c r="AA2623" s="14"/>
      <c r="AB2623" s="13" t="s">
        <v>0</v>
      </c>
      <c r="AC2623" s="13" t="s">
        <v>0</v>
      </c>
      <c r="AD2623" s="13" t="s">
        <v>0</v>
      </c>
      <c r="AE2623" s="15">
        <v>0</v>
      </c>
    </row>
    <row r="2624" spans="1:31" ht="14.15" customHeight="1" x14ac:dyDescent="0.25">
      <c r="A2624" s="12" t="s">
        <v>0</v>
      </c>
      <c r="B2624" s="13" t="s">
        <v>1</v>
      </c>
      <c r="C2624" s="13" t="s">
        <v>1793</v>
      </c>
      <c r="D2624" s="14">
        <v>44183</v>
      </c>
      <c r="E2624" s="14">
        <v>44183</v>
      </c>
      <c r="F2624" s="14">
        <v>44187</v>
      </c>
      <c r="G2624" s="13" t="s">
        <v>3</v>
      </c>
      <c r="H2624" s="13" t="s">
        <v>4</v>
      </c>
      <c r="I2624" s="15">
        <v>-2225.84</v>
      </c>
      <c r="J2624" s="13" t="s">
        <v>5</v>
      </c>
      <c r="K2624" s="13" t="s">
        <v>6</v>
      </c>
      <c r="L2624" s="15">
        <v>-186859.27</v>
      </c>
      <c r="M2624" s="15">
        <v>-2225.84</v>
      </c>
      <c r="N2624" s="16" t="str">
        <f>IF(M2624="","",IF(M2624&lt;0,-M2624&amp;"_"&amp;COUNTIF(M$2:M2624,M2624),M2624&amp;"_"&amp;COUNTIF(M$2:M2624,M2624)))</f>
        <v>2225.84_1</v>
      </c>
      <c r="O2624" s="17" t="str">
        <f t="shared" si="40"/>
        <v/>
      </c>
      <c r="P2624" s="13" t="s">
        <v>1794</v>
      </c>
      <c r="Q2624" s="13" t="s">
        <v>1792</v>
      </c>
      <c r="R2624" s="13" t="s">
        <v>0</v>
      </c>
      <c r="S2624" s="13" t="s">
        <v>0</v>
      </c>
      <c r="T2624" s="13" t="s">
        <v>9</v>
      </c>
      <c r="U2624" s="13" t="s">
        <v>0</v>
      </c>
      <c r="V2624" s="13" t="s">
        <v>0</v>
      </c>
      <c r="W2624" s="13" t="s">
        <v>0</v>
      </c>
      <c r="X2624" s="13" t="s">
        <v>0</v>
      </c>
      <c r="Y2624" s="13" t="s">
        <v>10</v>
      </c>
      <c r="Z2624" s="13" t="s">
        <v>0</v>
      </c>
      <c r="AA2624" s="14"/>
      <c r="AB2624" s="13" t="s">
        <v>0</v>
      </c>
      <c r="AC2624" s="13" t="s">
        <v>0</v>
      </c>
      <c r="AD2624" s="13" t="s">
        <v>0</v>
      </c>
      <c r="AE2624" s="15">
        <v>0</v>
      </c>
    </row>
    <row r="2625" spans="1:31" ht="14.15" customHeight="1" x14ac:dyDescent="0.25">
      <c r="A2625" s="12" t="s">
        <v>0</v>
      </c>
      <c r="B2625" s="13" t="s">
        <v>1</v>
      </c>
      <c r="C2625" s="13" t="s">
        <v>1805</v>
      </c>
      <c r="D2625" s="14">
        <v>44183</v>
      </c>
      <c r="E2625" s="14">
        <v>44183</v>
      </c>
      <c r="F2625" s="14">
        <v>44187</v>
      </c>
      <c r="G2625" s="13" t="s">
        <v>3</v>
      </c>
      <c r="H2625" s="13" t="s">
        <v>4</v>
      </c>
      <c r="I2625" s="15">
        <v>-2225.84</v>
      </c>
      <c r="J2625" s="13" t="s">
        <v>5</v>
      </c>
      <c r="K2625" s="13" t="s">
        <v>6</v>
      </c>
      <c r="L2625" s="15">
        <v>-186859.27</v>
      </c>
      <c r="M2625" s="15">
        <v>-2225.84</v>
      </c>
      <c r="N2625" s="16" t="str">
        <f>IF(M2625="","",IF(M2625&lt;0,-M2625&amp;"_"&amp;COUNTIF(M$2:M2625,M2625),M2625&amp;"_"&amp;COUNTIF(M$2:M2625,M2625)))</f>
        <v>2225.84_2</v>
      </c>
      <c r="O2625" s="17" t="str">
        <f t="shared" si="40"/>
        <v/>
      </c>
      <c r="P2625" s="13" t="s">
        <v>1806</v>
      </c>
      <c r="Q2625" s="13" t="s">
        <v>1792</v>
      </c>
      <c r="R2625" s="13" t="s">
        <v>0</v>
      </c>
      <c r="S2625" s="13" t="s">
        <v>0</v>
      </c>
      <c r="T2625" s="13" t="s">
        <v>9</v>
      </c>
      <c r="U2625" s="13" t="s">
        <v>0</v>
      </c>
      <c r="V2625" s="13" t="s">
        <v>0</v>
      </c>
      <c r="W2625" s="13" t="s">
        <v>0</v>
      </c>
      <c r="X2625" s="13" t="s">
        <v>0</v>
      </c>
      <c r="Y2625" s="13" t="s">
        <v>10</v>
      </c>
      <c r="Z2625" s="13" t="s">
        <v>0</v>
      </c>
      <c r="AA2625" s="14"/>
      <c r="AB2625" s="13" t="s">
        <v>0</v>
      </c>
      <c r="AC2625" s="13" t="s">
        <v>0</v>
      </c>
      <c r="AD2625" s="13" t="s">
        <v>0</v>
      </c>
      <c r="AE2625" s="15">
        <v>0</v>
      </c>
    </row>
    <row r="2626" spans="1:31" ht="14.15" customHeight="1" x14ac:dyDescent="0.25">
      <c r="A2626" s="12" t="s">
        <v>0</v>
      </c>
      <c r="B2626" s="13" t="s">
        <v>1</v>
      </c>
      <c r="C2626" s="13" t="s">
        <v>3123</v>
      </c>
      <c r="D2626" s="14">
        <v>44291</v>
      </c>
      <c r="E2626" s="14">
        <v>44291</v>
      </c>
      <c r="F2626" s="14">
        <v>44294</v>
      </c>
      <c r="G2626" s="13" t="s">
        <v>3</v>
      </c>
      <c r="H2626" s="13" t="s">
        <v>4</v>
      </c>
      <c r="I2626" s="15">
        <v>-2220.7600000000002</v>
      </c>
      <c r="J2626" s="13" t="s">
        <v>5</v>
      </c>
      <c r="K2626" s="13" t="s">
        <v>6</v>
      </c>
      <c r="L2626" s="15">
        <v>-186432.8</v>
      </c>
      <c r="M2626" s="15">
        <v>-2220.7600000000002</v>
      </c>
      <c r="N2626" s="16" t="str">
        <f>IF(M2626="","",IF(M2626&lt;0,-M2626&amp;"_"&amp;COUNTIF(M$2:M2626,M2626),M2626&amp;"_"&amp;COUNTIF(M$2:M2626,M2626)))</f>
        <v>2220.76_1</v>
      </c>
      <c r="O2626" s="17" t="str">
        <f t="shared" ref="O2626:O2689" si="41">IF(COUNTIF(N:N,N2626)=2,"x","")</f>
        <v/>
      </c>
      <c r="P2626" s="13" t="s">
        <v>3124</v>
      </c>
      <c r="Q2626" s="13" t="s">
        <v>3125</v>
      </c>
      <c r="R2626" s="13" t="s">
        <v>0</v>
      </c>
      <c r="S2626" s="13" t="s">
        <v>0</v>
      </c>
      <c r="T2626" s="13" t="s">
        <v>9</v>
      </c>
      <c r="U2626" s="13" t="s">
        <v>0</v>
      </c>
      <c r="V2626" s="13" t="s">
        <v>0</v>
      </c>
      <c r="W2626" s="13" t="s">
        <v>0</v>
      </c>
      <c r="X2626" s="13" t="s">
        <v>0</v>
      </c>
      <c r="Y2626" s="13" t="s">
        <v>10</v>
      </c>
      <c r="Z2626" s="13" t="s">
        <v>0</v>
      </c>
      <c r="AA2626" s="14"/>
      <c r="AB2626" s="13" t="s">
        <v>0</v>
      </c>
      <c r="AC2626" s="13" t="s">
        <v>0</v>
      </c>
      <c r="AD2626" s="13" t="s">
        <v>0</v>
      </c>
      <c r="AE2626" s="15">
        <v>0</v>
      </c>
    </row>
    <row r="2627" spans="1:31" ht="14.15" customHeight="1" x14ac:dyDescent="0.25">
      <c r="A2627" s="12" t="s">
        <v>0</v>
      </c>
      <c r="B2627" s="13" t="s">
        <v>1</v>
      </c>
      <c r="C2627" s="13" t="s">
        <v>4088</v>
      </c>
      <c r="D2627" s="14">
        <v>44361</v>
      </c>
      <c r="E2627" s="14">
        <v>44361</v>
      </c>
      <c r="F2627" s="14">
        <v>44364</v>
      </c>
      <c r="G2627" s="13" t="s">
        <v>3</v>
      </c>
      <c r="H2627" s="13" t="s">
        <v>4</v>
      </c>
      <c r="I2627" s="15">
        <v>-2218.36</v>
      </c>
      <c r="J2627" s="13" t="s">
        <v>5</v>
      </c>
      <c r="K2627" s="13" t="s">
        <v>6</v>
      </c>
      <c r="L2627" s="15">
        <v>-186231.32</v>
      </c>
      <c r="M2627" s="15">
        <v>-2218.36</v>
      </c>
      <c r="N2627" s="16" t="str">
        <f>IF(M2627="","",IF(M2627&lt;0,-M2627&amp;"_"&amp;COUNTIF(M$2:M2627,M2627),M2627&amp;"_"&amp;COUNTIF(M$2:M2627,M2627)))</f>
        <v>2218.36_1</v>
      </c>
      <c r="O2627" s="17" t="str">
        <f t="shared" si="41"/>
        <v/>
      </c>
      <c r="P2627" s="13" t="s">
        <v>4089</v>
      </c>
      <c r="Q2627" s="13" t="s">
        <v>4075</v>
      </c>
      <c r="R2627" s="13" t="s">
        <v>0</v>
      </c>
      <c r="S2627" s="13" t="s">
        <v>0</v>
      </c>
      <c r="T2627" s="13" t="s">
        <v>9</v>
      </c>
      <c r="U2627" s="13" t="s">
        <v>0</v>
      </c>
      <c r="V2627" s="13" t="s">
        <v>0</v>
      </c>
      <c r="W2627" s="13" t="s">
        <v>0</v>
      </c>
      <c r="X2627" s="13" t="s">
        <v>0</v>
      </c>
      <c r="Y2627" s="13" t="s">
        <v>10</v>
      </c>
      <c r="Z2627" s="13" t="s">
        <v>0</v>
      </c>
      <c r="AA2627" s="14"/>
      <c r="AB2627" s="13" t="s">
        <v>0</v>
      </c>
      <c r="AC2627" s="13" t="s">
        <v>0</v>
      </c>
      <c r="AD2627" s="13" t="s">
        <v>0</v>
      </c>
      <c r="AE2627" s="15">
        <v>0</v>
      </c>
    </row>
    <row r="2628" spans="1:31" ht="14.15" customHeight="1" x14ac:dyDescent="0.25">
      <c r="A2628" s="12" t="s">
        <v>0</v>
      </c>
      <c r="B2628" s="13" t="s">
        <v>1</v>
      </c>
      <c r="C2628" s="13" t="s">
        <v>1243</v>
      </c>
      <c r="D2628" s="14">
        <v>44143</v>
      </c>
      <c r="E2628" s="14">
        <v>44143</v>
      </c>
      <c r="F2628" s="14">
        <v>44146</v>
      </c>
      <c r="G2628" s="13" t="s">
        <v>3</v>
      </c>
      <c r="H2628" s="13" t="s">
        <v>4</v>
      </c>
      <c r="I2628" s="15">
        <v>-2207.12</v>
      </c>
      <c r="J2628" s="13" t="s">
        <v>5</v>
      </c>
      <c r="K2628" s="13" t="s">
        <v>6</v>
      </c>
      <c r="L2628" s="15">
        <v>-185287.72</v>
      </c>
      <c r="M2628" s="15">
        <v>-2207.12</v>
      </c>
      <c r="N2628" s="16" t="str">
        <f>IF(M2628="","",IF(M2628&lt;0,-M2628&amp;"_"&amp;COUNTIF(M$2:M2628,M2628),M2628&amp;"_"&amp;COUNTIF(M$2:M2628,M2628)))</f>
        <v>2207.12_1</v>
      </c>
      <c r="O2628" s="17" t="str">
        <f t="shared" si="41"/>
        <v/>
      </c>
      <c r="P2628" s="13" t="s">
        <v>1244</v>
      </c>
      <c r="Q2628" s="13" t="s">
        <v>1245</v>
      </c>
      <c r="R2628" s="13" t="s">
        <v>0</v>
      </c>
      <c r="S2628" s="13" t="s">
        <v>0</v>
      </c>
      <c r="T2628" s="13" t="s">
        <v>9</v>
      </c>
      <c r="U2628" s="13" t="s">
        <v>0</v>
      </c>
      <c r="V2628" s="13" t="s">
        <v>0</v>
      </c>
      <c r="W2628" s="13" t="s">
        <v>0</v>
      </c>
      <c r="X2628" s="13" t="s">
        <v>0</v>
      </c>
      <c r="Y2628" s="13" t="s">
        <v>10</v>
      </c>
      <c r="Z2628" s="13" t="s">
        <v>0</v>
      </c>
      <c r="AA2628" s="14"/>
      <c r="AB2628" s="13" t="s">
        <v>0</v>
      </c>
      <c r="AC2628" s="13" t="s">
        <v>0</v>
      </c>
      <c r="AD2628" s="13" t="s">
        <v>0</v>
      </c>
      <c r="AE2628" s="15">
        <v>0</v>
      </c>
    </row>
    <row r="2629" spans="1:31" ht="14.15" customHeight="1" x14ac:dyDescent="0.25">
      <c r="A2629" s="12" t="s">
        <v>0</v>
      </c>
      <c r="B2629" s="13" t="s">
        <v>1</v>
      </c>
      <c r="C2629" s="13" t="s">
        <v>4330</v>
      </c>
      <c r="D2629" s="14">
        <v>44373</v>
      </c>
      <c r="E2629" s="14">
        <v>44373</v>
      </c>
      <c r="F2629" s="14">
        <v>44378</v>
      </c>
      <c r="G2629" s="13" t="s">
        <v>3</v>
      </c>
      <c r="H2629" s="13" t="s">
        <v>4</v>
      </c>
      <c r="I2629" s="15">
        <v>-2201.98</v>
      </c>
      <c r="J2629" s="13" t="s">
        <v>5</v>
      </c>
      <c r="K2629" s="13" t="s">
        <v>6</v>
      </c>
      <c r="L2629" s="15">
        <v>-184856.22</v>
      </c>
      <c r="M2629" s="15">
        <v>-2201.98</v>
      </c>
      <c r="N2629" s="16" t="str">
        <f>IF(M2629="","",IF(M2629&lt;0,-M2629&amp;"_"&amp;COUNTIF(M$2:M2629,M2629),M2629&amp;"_"&amp;COUNTIF(M$2:M2629,M2629)))</f>
        <v>2201.98_1</v>
      </c>
      <c r="O2629" s="17" t="str">
        <f t="shared" si="41"/>
        <v/>
      </c>
      <c r="P2629" s="13" t="s">
        <v>4331</v>
      </c>
      <c r="Q2629" s="13" t="s">
        <v>4325</v>
      </c>
      <c r="R2629" s="13" t="s">
        <v>0</v>
      </c>
      <c r="S2629" s="13" t="s">
        <v>0</v>
      </c>
      <c r="T2629" s="13" t="s">
        <v>9</v>
      </c>
      <c r="U2629" s="13" t="s">
        <v>0</v>
      </c>
      <c r="V2629" s="13" t="s">
        <v>0</v>
      </c>
      <c r="W2629" s="13" t="s">
        <v>0</v>
      </c>
      <c r="X2629" s="13" t="s">
        <v>0</v>
      </c>
      <c r="Y2629" s="13" t="s">
        <v>10</v>
      </c>
      <c r="Z2629" s="13" t="s">
        <v>0</v>
      </c>
      <c r="AA2629" s="14"/>
      <c r="AB2629" s="13" t="s">
        <v>0</v>
      </c>
      <c r="AC2629" s="13" t="s">
        <v>0</v>
      </c>
      <c r="AD2629" s="13" t="s">
        <v>0</v>
      </c>
      <c r="AE2629" s="15">
        <v>0</v>
      </c>
    </row>
    <row r="2630" spans="1:31" ht="14.15" customHeight="1" x14ac:dyDescent="0.25">
      <c r="A2630" s="12" t="s">
        <v>0</v>
      </c>
      <c r="B2630" s="13" t="s">
        <v>1</v>
      </c>
      <c r="C2630" s="13" t="s">
        <v>2360</v>
      </c>
      <c r="D2630" s="14">
        <v>44224</v>
      </c>
      <c r="E2630" s="14">
        <v>44224</v>
      </c>
      <c r="F2630" s="14">
        <v>44231</v>
      </c>
      <c r="G2630" s="13" t="s">
        <v>3</v>
      </c>
      <c r="H2630" s="13" t="s">
        <v>4</v>
      </c>
      <c r="I2630" s="15">
        <v>-2195.19</v>
      </c>
      <c r="J2630" s="13" t="s">
        <v>5</v>
      </c>
      <c r="K2630" s="13" t="s">
        <v>6</v>
      </c>
      <c r="L2630" s="15">
        <v>-184286.2</v>
      </c>
      <c r="M2630" s="15">
        <v>-2195.19</v>
      </c>
      <c r="N2630" s="16" t="str">
        <f>IF(M2630="","",IF(M2630&lt;0,-M2630&amp;"_"&amp;COUNTIF(M$2:M2630,M2630),M2630&amp;"_"&amp;COUNTIF(M$2:M2630,M2630)))</f>
        <v>2195.19_1</v>
      </c>
      <c r="O2630" s="17" t="str">
        <f t="shared" si="41"/>
        <v/>
      </c>
      <c r="P2630" s="13" t="s">
        <v>2361</v>
      </c>
      <c r="Q2630" s="13" t="s">
        <v>2345</v>
      </c>
      <c r="R2630" s="13" t="s">
        <v>0</v>
      </c>
      <c r="S2630" s="13" t="s">
        <v>0</v>
      </c>
      <c r="T2630" s="13" t="s">
        <v>9</v>
      </c>
      <c r="U2630" s="13" t="s">
        <v>0</v>
      </c>
      <c r="V2630" s="13" t="s">
        <v>0</v>
      </c>
      <c r="W2630" s="13" t="s">
        <v>0</v>
      </c>
      <c r="X2630" s="13" t="s">
        <v>0</v>
      </c>
      <c r="Y2630" s="13" t="s">
        <v>10</v>
      </c>
      <c r="Z2630" s="13" t="s">
        <v>0</v>
      </c>
      <c r="AA2630" s="14"/>
      <c r="AB2630" s="13" t="s">
        <v>0</v>
      </c>
      <c r="AC2630" s="13" t="s">
        <v>0</v>
      </c>
      <c r="AD2630" s="13" t="s">
        <v>0</v>
      </c>
      <c r="AE2630" s="15">
        <v>0</v>
      </c>
    </row>
    <row r="2631" spans="1:31" ht="14.15" customHeight="1" x14ac:dyDescent="0.25">
      <c r="A2631" s="12" t="s">
        <v>0</v>
      </c>
      <c r="B2631" s="13" t="s">
        <v>1</v>
      </c>
      <c r="C2631" s="13" t="s">
        <v>198</v>
      </c>
      <c r="D2631" s="14">
        <v>44034</v>
      </c>
      <c r="E2631" s="14">
        <v>44034</v>
      </c>
      <c r="F2631" s="14">
        <v>44049</v>
      </c>
      <c r="G2631" s="13" t="s">
        <v>3</v>
      </c>
      <c r="H2631" s="13" t="s">
        <v>4</v>
      </c>
      <c r="I2631" s="15">
        <v>-2185.7399999999998</v>
      </c>
      <c r="J2631" s="13" t="s">
        <v>5</v>
      </c>
      <c r="K2631" s="13" t="s">
        <v>6</v>
      </c>
      <c r="L2631" s="15">
        <v>-183492.87</v>
      </c>
      <c r="M2631" s="15">
        <v>-2185.7399999999998</v>
      </c>
      <c r="N2631" s="16" t="str">
        <f>IF(M2631="","",IF(M2631&lt;0,-M2631&amp;"_"&amp;COUNTIF(M$2:M2631,M2631),M2631&amp;"_"&amp;COUNTIF(M$2:M2631,M2631)))</f>
        <v>2185.74_1</v>
      </c>
      <c r="O2631" s="17" t="str">
        <f t="shared" si="41"/>
        <v/>
      </c>
      <c r="P2631" s="13" t="s">
        <v>199</v>
      </c>
      <c r="Q2631" s="13" t="s">
        <v>175</v>
      </c>
      <c r="R2631" s="13" t="s">
        <v>0</v>
      </c>
      <c r="S2631" s="13" t="s">
        <v>0</v>
      </c>
      <c r="T2631" s="13" t="s">
        <v>9</v>
      </c>
      <c r="U2631" s="13" t="s">
        <v>0</v>
      </c>
      <c r="V2631" s="13" t="s">
        <v>0</v>
      </c>
      <c r="W2631" s="13" t="s">
        <v>0</v>
      </c>
      <c r="X2631" s="13" t="s">
        <v>0</v>
      </c>
      <c r="Y2631" s="13" t="s">
        <v>10</v>
      </c>
      <c r="Z2631" s="13" t="s">
        <v>0</v>
      </c>
      <c r="AA2631" s="14"/>
      <c r="AB2631" s="13" t="s">
        <v>0</v>
      </c>
      <c r="AC2631" s="13" t="s">
        <v>0</v>
      </c>
      <c r="AD2631" s="13" t="s">
        <v>0</v>
      </c>
      <c r="AE2631" s="15">
        <v>0</v>
      </c>
    </row>
    <row r="2632" spans="1:31" ht="14.15" customHeight="1" x14ac:dyDescent="0.25">
      <c r="A2632" s="12" t="s">
        <v>0</v>
      </c>
      <c r="B2632" s="13" t="s">
        <v>1</v>
      </c>
      <c r="C2632" s="13" t="s">
        <v>4033</v>
      </c>
      <c r="D2632" s="14">
        <v>44358</v>
      </c>
      <c r="E2632" s="14">
        <v>44358</v>
      </c>
      <c r="F2632" s="14">
        <v>44364</v>
      </c>
      <c r="G2632" s="13" t="s">
        <v>3</v>
      </c>
      <c r="H2632" s="13" t="s">
        <v>4</v>
      </c>
      <c r="I2632" s="15">
        <v>-2175.92</v>
      </c>
      <c r="J2632" s="13" t="s">
        <v>5</v>
      </c>
      <c r="K2632" s="13" t="s">
        <v>6</v>
      </c>
      <c r="L2632" s="15">
        <v>-182668.48</v>
      </c>
      <c r="M2632" s="15">
        <v>-2175.92</v>
      </c>
      <c r="N2632" s="16" t="str">
        <f>IF(M2632="","",IF(M2632&lt;0,-M2632&amp;"_"&amp;COUNTIF(M$2:M2632,M2632),M2632&amp;"_"&amp;COUNTIF(M$2:M2632,M2632)))</f>
        <v>2175.92_1</v>
      </c>
      <c r="O2632" s="17" t="str">
        <f t="shared" si="41"/>
        <v/>
      </c>
      <c r="P2632" s="13" t="s">
        <v>4034</v>
      </c>
      <c r="Q2632" s="13" t="s">
        <v>4006</v>
      </c>
      <c r="R2632" s="13" t="s">
        <v>0</v>
      </c>
      <c r="S2632" s="13" t="s">
        <v>0</v>
      </c>
      <c r="T2632" s="13" t="s">
        <v>9</v>
      </c>
      <c r="U2632" s="13" t="s">
        <v>0</v>
      </c>
      <c r="V2632" s="13" t="s">
        <v>0</v>
      </c>
      <c r="W2632" s="13" t="s">
        <v>0</v>
      </c>
      <c r="X2632" s="13" t="s">
        <v>0</v>
      </c>
      <c r="Y2632" s="13" t="s">
        <v>10</v>
      </c>
      <c r="Z2632" s="13" t="s">
        <v>0</v>
      </c>
      <c r="AA2632" s="14"/>
      <c r="AB2632" s="13" t="s">
        <v>0</v>
      </c>
      <c r="AC2632" s="13" t="s">
        <v>0</v>
      </c>
      <c r="AD2632" s="13" t="s">
        <v>0</v>
      </c>
      <c r="AE2632" s="15">
        <v>0</v>
      </c>
    </row>
    <row r="2633" spans="1:31" ht="14.15" customHeight="1" x14ac:dyDescent="0.25">
      <c r="A2633" s="12" t="s">
        <v>0</v>
      </c>
      <c r="B2633" s="13" t="s">
        <v>1</v>
      </c>
      <c r="C2633" s="13" t="s">
        <v>1271</v>
      </c>
      <c r="D2633" s="14">
        <v>44144</v>
      </c>
      <c r="E2633" s="14">
        <v>44144</v>
      </c>
      <c r="F2633" s="14">
        <v>44149</v>
      </c>
      <c r="G2633" s="13" t="s">
        <v>3</v>
      </c>
      <c r="H2633" s="13" t="s">
        <v>4</v>
      </c>
      <c r="I2633" s="15">
        <v>-2172.61</v>
      </c>
      <c r="J2633" s="13" t="s">
        <v>5</v>
      </c>
      <c r="K2633" s="13" t="s">
        <v>6</v>
      </c>
      <c r="L2633" s="15">
        <v>-182390.61</v>
      </c>
      <c r="M2633" s="15">
        <v>-2172.61</v>
      </c>
      <c r="N2633" s="16" t="str">
        <f>IF(M2633="","",IF(M2633&lt;0,-M2633&amp;"_"&amp;COUNTIF(M$2:M2633,M2633),M2633&amp;"_"&amp;COUNTIF(M$2:M2633,M2633)))</f>
        <v>2172.61_1</v>
      </c>
      <c r="O2633" s="17" t="str">
        <f t="shared" si="41"/>
        <v/>
      </c>
      <c r="P2633" s="13" t="s">
        <v>1272</v>
      </c>
      <c r="Q2633" s="13" t="s">
        <v>1270</v>
      </c>
      <c r="R2633" s="13" t="s">
        <v>0</v>
      </c>
      <c r="S2633" s="13" t="s">
        <v>0</v>
      </c>
      <c r="T2633" s="13" t="s">
        <v>9</v>
      </c>
      <c r="U2633" s="13" t="s">
        <v>0</v>
      </c>
      <c r="V2633" s="13" t="s">
        <v>0</v>
      </c>
      <c r="W2633" s="13" t="s">
        <v>0</v>
      </c>
      <c r="X2633" s="13" t="s">
        <v>0</v>
      </c>
      <c r="Y2633" s="13" t="s">
        <v>10</v>
      </c>
      <c r="Z2633" s="13" t="s">
        <v>0</v>
      </c>
      <c r="AA2633" s="14"/>
      <c r="AB2633" s="13" t="s">
        <v>0</v>
      </c>
      <c r="AC2633" s="13" t="s">
        <v>0</v>
      </c>
      <c r="AD2633" s="13" t="s">
        <v>0</v>
      </c>
      <c r="AE2633" s="15">
        <v>0</v>
      </c>
    </row>
    <row r="2634" spans="1:31" ht="14.15" customHeight="1" x14ac:dyDescent="0.25">
      <c r="A2634" s="12" t="s">
        <v>0</v>
      </c>
      <c r="B2634" s="13" t="s">
        <v>1</v>
      </c>
      <c r="C2634" s="13" t="s">
        <v>3955</v>
      </c>
      <c r="D2634" s="14">
        <v>44357</v>
      </c>
      <c r="E2634" s="14">
        <v>44357</v>
      </c>
      <c r="F2634" s="14">
        <v>44371</v>
      </c>
      <c r="G2634" s="13" t="s">
        <v>3</v>
      </c>
      <c r="H2634" s="13" t="s">
        <v>4</v>
      </c>
      <c r="I2634" s="15">
        <v>-2162.5700000000002</v>
      </c>
      <c r="J2634" s="13" t="s">
        <v>5</v>
      </c>
      <c r="K2634" s="13" t="s">
        <v>6</v>
      </c>
      <c r="L2634" s="15">
        <v>-181547.75</v>
      </c>
      <c r="M2634" s="15">
        <v>-2162.5700000000002</v>
      </c>
      <c r="N2634" s="16" t="str">
        <f>IF(M2634="","",IF(M2634&lt;0,-M2634&amp;"_"&amp;COUNTIF(M$2:M2634,M2634),M2634&amp;"_"&amp;COUNTIF(M$2:M2634,M2634)))</f>
        <v>2162.57_1</v>
      </c>
      <c r="O2634" s="17" t="str">
        <f t="shared" si="41"/>
        <v/>
      </c>
      <c r="P2634" s="13" t="s">
        <v>3956</v>
      </c>
      <c r="Q2634" s="13" t="s">
        <v>3957</v>
      </c>
      <c r="R2634" s="13" t="s">
        <v>0</v>
      </c>
      <c r="S2634" s="13" t="s">
        <v>0</v>
      </c>
      <c r="T2634" s="13" t="s">
        <v>9</v>
      </c>
      <c r="U2634" s="13" t="s">
        <v>0</v>
      </c>
      <c r="V2634" s="13" t="s">
        <v>0</v>
      </c>
      <c r="W2634" s="13" t="s">
        <v>0</v>
      </c>
      <c r="X2634" s="13" t="s">
        <v>0</v>
      </c>
      <c r="Y2634" s="13" t="s">
        <v>10</v>
      </c>
      <c r="Z2634" s="13" t="s">
        <v>0</v>
      </c>
      <c r="AA2634" s="14"/>
      <c r="AB2634" s="13" t="s">
        <v>0</v>
      </c>
      <c r="AC2634" s="13" t="s">
        <v>0</v>
      </c>
      <c r="AD2634" s="13" t="s">
        <v>0</v>
      </c>
      <c r="AE2634" s="15">
        <v>0</v>
      </c>
    </row>
    <row r="2635" spans="1:31" ht="14.15" customHeight="1" x14ac:dyDescent="0.25">
      <c r="A2635" s="12" t="s">
        <v>0</v>
      </c>
      <c r="B2635" s="13" t="s">
        <v>1</v>
      </c>
      <c r="C2635" s="13" t="s">
        <v>3744</v>
      </c>
      <c r="D2635" s="14">
        <v>44339</v>
      </c>
      <c r="E2635" s="14">
        <v>44339</v>
      </c>
      <c r="F2635" s="14">
        <v>44342</v>
      </c>
      <c r="G2635" s="13" t="s">
        <v>3</v>
      </c>
      <c r="H2635" s="13" t="s">
        <v>4</v>
      </c>
      <c r="I2635" s="15">
        <v>-2152.3200000000002</v>
      </c>
      <c r="J2635" s="13" t="s">
        <v>5</v>
      </c>
      <c r="K2635" s="13" t="s">
        <v>6</v>
      </c>
      <c r="L2635" s="15">
        <v>-180687.26</v>
      </c>
      <c r="M2635" s="15">
        <v>-2152.3200000000002</v>
      </c>
      <c r="N2635" s="16" t="str">
        <f>IF(M2635="","",IF(M2635&lt;0,-M2635&amp;"_"&amp;COUNTIF(M$2:M2635,M2635),M2635&amp;"_"&amp;COUNTIF(M$2:M2635,M2635)))</f>
        <v>2152.32_1</v>
      </c>
      <c r="O2635" s="17" t="str">
        <f t="shared" si="41"/>
        <v/>
      </c>
      <c r="P2635" s="13" t="s">
        <v>3745</v>
      </c>
      <c r="Q2635" s="13" t="s">
        <v>3746</v>
      </c>
      <c r="R2635" s="13" t="s">
        <v>0</v>
      </c>
      <c r="S2635" s="13" t="s">
        <v>0</v>
      </c>
      <c r="T2635" s="13" t="s">
        <v>9</v>
      </c>
      <c r="U2635" s="13" t="s">
        <v>0</v>
      </c>
      <c r="V2635" s="13" t="s">
        <v>0</v>
      </c>
      <c r="W2635" s="13" t="s">
        <v>0</v>
      </c>
      <c r="X2635" s="13" t="s">
        <v>0</v>
      </c>
      <c r="Y2635" s="13" t="s">
        <v>10</v>
      </c>
      <c r="Z2635" s="13" t="s">
        <v>0</v>
      </c>
      <c r="AA2635" s="14"/>
      <c r="AB2635" s="13" t="s">
        <v>0</v>
      </c>
      <c r="AC2635" s="13" t="s">
        <v>0</v>
      </c>
      <c r="AD2635" s="13" t="s">
        <v>0</v>
      </c>
      <c r="AE2635" s="15">
        <v>0</v>
      </c>
    </row>
    <row r="2636" spans="1:31" ht="14.15" customHeight="1" x14ac:dyDescent="0.25">
      <c r="A2636" s="12" t="s">
        <v>0</v>
      </c>
      <c r="B2636" s="13" t="s">
        <v>1</v>
      </c>
      <c r="C2636" s="13" t="s">
        <v>246</v>
      </c>
      <c r="D2636" s="14">
        <v>44040</v>
      </c>
      <c r="E2636" s="14">
        <v>44040</v>
      </c>
      <c r="F2636" s="14">
        <v>44057</v>
      </c>
      <c r="G2636" s="13" t="s">
        <v>3</v>
      </c>
      <c r="H2636" s="13" t="s">
        <v>4</v>
      </c>
      <c r="I2636" s="15">
        <v>-2147.0700000000002</v>
      </c>
      <c r="J2636" s="13" t="s">
        <v>5</v>
      </c>
      <c r="K2636" s="13" t="s">
        <v>6</v>
      </c>
      <c r="L2636" s="15">
        <v>-180246.53</v>
      </c>
      <c r="M2636" s="15">
        <v>-2147.0700000000002</v>
      </c>
      <c r="N2636" s="16" t="str">
        <f>IF(M2636="","",IF(M2636&lt;0,-M2636&amp;"_"&amp;COUNTIF(M$2:M2636,M2636),M2636&amp;"_"&amp;COUNTIF(M$2:M2636,M2636)))</f>
        <v>2147.07_1</v>
      </c>
      <c r="O2636" s="17" t="str">
        <f t="shared" si="41"/>
        <v/>
      </c>
      <c r="P2636" s="13" t="s">
        <v>247</v>
      </c>
      <c r="Q2636" s="13" t="s">
        <v>241</v>
      </c>
      <c r="R2636" s="13" t="s">
        <v>0</v>
      </c>
      <c r="S2636" s="13" t="s">
        <v>0</v>
      </c>
      <c r="T2636" s="13" t="s">
        <v>9</v>
      </c>
      <c r="U2636" s="13" t="s">
        <v>0</v>
      </c>
      <c r="V2636" s="13" t="s">
        <v>0</v>
      </c>
      <c r="W2636" s="13" t="s">
        <v>0</v>
      </c>
      <c r="X2636" s="13" t="s">
        <v>0</v>
      </c>
      <c r="Y2636" s="13" t="s">
        <v>10</v>
      </c>
      <c r="Z2636" s="13" t="s">
        <v>0</v>
      </c>
      <c r="AA2636" s="14"/>
      <c r="AB2636" s="13" t="s">
        <v>0</v>
      </c>
      <c r="AC2636" s="13" t="s">
        <v>0</v>
      </c>
      <c r="AD2636" s="13" t="s">
        <v>0</v>
      </c>
      <c r="AE2636" s="15">
        <v>0</v>
      </c>
    </row>
    <row r="2637" spans="1:31" ht="14.15" customHeight="1" x14ac:dyDescent="0.25">
      <c r="A2637" s="12" t="s">
        <v>0</v>
      </c>
      <c r="B2637" s="13" t="s">
        <v>1</v>
      </c>
      <c r="C2637" s="13" t="s">
        <v>3858</v>
      </c>
      <c r="D2637" s="14">
        <v>44351</v>
      </c>
      <c r="E2637" s="14">
        <v>44351</v>
      </c>
      <c r="F2637" s="14">
        <v>44357</v>
      </c>
      <c r="G2637" s="13" t="s">
        <v>3</v>
      </c>
      <c r="H2637" s="13" t="s">
        <v>4</v>
      </c>
      <c r="I2637" s="15">
        <v>-2147.02</v>
      </c>
      <c r="J2637" s="13" t="s">
        <v>5</v>
      </c>
      <c r="K2637" s="13" t="s">
        <v>6</v>
      </c>
      <c r="L2637" s="15">
        <v>-180242.33</v>
      </c>
      <c r="M2637" s="15">
        <v>-2147.02</v>
      </c>
      <c r="N2637" s="16" t="str">
        <f>IF(M2637="","",IF(M2637&lt;0,-M2637&amp;"_"&amp;COUNTIF(M$2:M2637,M2637),M2637&amp;"_"&amp;COUNTIF(M$2:M2637,M2637)))</f>
        <v>2147.02_1</v>
      </c>
      <c r="O2637" s="17" t="str">
        <f t="shared" si="41"/>
        <v/>
      </c>
      <c r="P2637" s="13" t="s">
        <v>3859</v>
      </c>
      <c r="Q2637" s="13" t="s">
        <v>3857</v>
      </c>
      <c r="R2637" s="13" t="s">
        <v>0</v>
      </c>
      <c r="S2637" s="13" t="s">
        <v>0</v>
      </c>
      <c r="T2637" s="13" t="s">
        <v>9</v>
      </c>
      <c r="U2637" s="13" t="s">
        <v>0</v>
      </c>
      <c r="V2637" s="13" t="s">
        <v>0</v>
      </c>
      <c r="W2637" s="13" t="s">
        <v>0</v>
      </c>
      <c r="X2637" s="13" t="s">
        <v>0</v>
      </c>
      <c r="Y2637" s="13" t="s">
        <v>10</v>
      </c>
      <c r="Z2637" s="13" t="s">
        <v>0</v>
      </c>
      <c r="AA2637" s="14"/>
      <c r="AB2637" s="13" t="s">
        <v>0</v>
      </c>
      <c r="AC2637" s="13" t="s">
        <v>0</v>
      </c>
      <c r="AD2637" s="13" t="s">
        <v>0</v>
      </c>
      <c r="AE2637" s="15">
        <v>0</v>
      </c>
    </row>
    <row r="2638" spans="1:31" ht="14.15" customHeight="1" x14ac:dyDescent="0.25">
      <c r="A2638" s="12" t="s">
        <v>0</v>
      </c>
      <c r="B2638" s="13" t="s">
        <v>1</v>
      </c>
      <c r="C2638" s="13" t="s">
        <v>4035</v>
      </c>
      <c r="D2638" s="14">
        <v>44358</v>
      </c>
      <c r="E2638" s="14">
        <v>44358</v>
      </c>
      <c r="F2638" s="14">
        <v>44364</v>
      </c>
      <c r="G2638" s="13" t="s">
        <v>3</v>
      </c>
      <c r="H2638" s="13" t="s">
        <v>4</v>
      </c>
      <c r="I2638" s="15">
        <v>-2137.14</v>
      </c>
      <c r="J2638" s="13" t="s">
        <v>5</v>
      </c>
      <c r="K2638" s="13" t="s">
        <v>6</v>
      </c>
      <c r="L2638" s="15">
        <v>-179412.9</v>
      </c>
      <c r="M2638" s="15">
        <v>-2137.14</v>
      </c>
      <c r="N2638" s="16" t="str">
        <f>IF(M2638="","",IF(M2638&lt;0,-M2638&amp;"_"&amp;COUNTIF(M$2:M2638,M2638),M2638&amp;"_"&amp;COUNTIF(M$2:M2638,M2638)))</f>
        <v>2137.14_1</v>
      </c>
      <c r="O2638" s="17" t="str">
        <f t="shared" si="41"/>
        <v/>
      </c>
      <c r="P2638" s="13" t="s">
        <v>4036</v>
      </c>
      <c r="Q2638" s="13" t="s">
        <v>4006</v>
      </c>
      <c r="R2638" s="13" t="s">
        <v>0</v>
      </c>
      <c r="S2638" s="13" t="s">
        <v>0</v>
      </c>
      <c r="T2638" s="13" t="s">
        <v>9</v>
      </c>
      <c r="U2638" s="13" t="s">
        <v>0</v>
      </c>
      <c r="V2638" s="13" t="s">
        <v>0</v>
      </c>
      <c r="W2638" s="13" t="s">
        <v>0</v>
      </c>
      <c r="X2638" s="13" t="s">
        <v>0</v>
      </c>
      <c r="Y2638" s="13" t="s">
        <v>10</v>
      </c>
      <c r="Z2638" s="13" t="s">
        <v>0</v>
      </c>
      <c r="AA2638" s="14"/>
      <c r="AB2638" s="13" t="s">
        <v>0</v>
      </c>
      <c r="AC2638" s="13" t="s">
        <v>0</v>
      </c>
      <c r="AD2638" s="13" t="s">
        <v>0</v>
      </c>
      <c r="AE2638" s="15">
        <v>0</v>
      </c>
    </row>
    <row r="2639" spans="1:31" ht="14.15" customHeight="1" x14ac:dyDescent="0.25">
      <c r="A2639" s="12" t="s">
        <v>0</v>
      </c>
      <c r="B2639" s="13" t="s">
        <v>1</v>
      </c>
      <c r="C2639" s="13" t="s">
        <v>1116</v>
      </c>
      <c r="D2639" s="14">
        <v>44136</v>
      </c>
      <c r="E2639" s="14">
        <v>44136</v>
      </c>
      <c r="F2639" s="14">
        <v>44146</v>
      </c>
      <c r="G2639" s="13" t="s">
        <v>3</v>
      </c>
      <c r="H2639" s="13" t="s">
        <v>4</v>
      </c>
      <c r="I2639" s="15">
        <v>-2135.77</v>
      </c>
      <c r="J2639" s="13" t="s">
        <v>5</v>
      </c>
      <c r="K2639" s="13" t="s">
        <v>6</v>
      </c>
      <c r="L2639" s="15">
        <v>-179297.89</v>
      </c>
      <c r="M2639" s="15">
        <v>-2135.77</v>
      </c>
      <c r="N2639" s="16" t="str">
        <f>IF(M2639="","",IF(M2639&lt;0,-M2639&amp;"_"&amp;COUNTIF(M$2:M2639,M2639),M2639&amp;"_"&amp;COUNTIF(M$2:M2639,M2639)))</f>
        <v>2135.77_1</v>
      </c>
      <c r="O2639" s="17" t="str">
        <f t="shared" si="41"/>
        <v/>
      </c>
      <c r="P2639" s="13" t="s">
        <v>1117</v>
      </c>
      <c r="Q2639" s="13" t="s">
        <v>1111</v>
      </c>
      <c r="R2639" s="13" t="s">
        <v>0</v>
      </c>
      <c r="S2639" s="13" t="s">
        <v>0</v>
      </c>
      <c r="T2639" s="13" t="s">
        <v>9</v>
      </c>
      <c r="U2639" s="13" t="s">
        <v>0</v>
      </c>
      <c r="V2639" s="13" t="s">
        <v>0</v>
      </c>
      <c r="W2639" s="13" t="s">
        <v>0</v>
      </c>
      <c r="X2639" s="13" t="s">
        <v>0</v>
      </c>
      <c r="Y2639" s="13" t="s">
        <v>10</v>
      </c>
      <c r="Z2639" s="13" t="s">
        <v>0</v>
      </c>
      <c r="AA2639" s="14"/>
      <c r="AB2639" s="13" t="s">
        <v>0</v>
      </c>
      <c r="AC2639" s="13" t="s">
        <v>0</v>
      </c>
      <c r="AD2639" s="13" t="s">
        <v>0</v>
      </c>
      <c r="AE2639" s="15">
        <v>0</v>
      </c>
    </row>
    <row r="2640" spans="1:31" ht="14.15" customHeight="1" x14ac:dyDescent="0.25">
      <c r="A2640" s="12" t="s">
        <v>0</v>
      </c>
      <c r="B2640" s="13" t="s">
        <v>1</v>
      </c>
      <c r="C2640" s="13" t="s">
        <v>4230</v>
      </c>
      <c r="D2640" s="14">
        <v>44367</v>
      </c>
      <c r="E2640" s="14">
        <v>44367</v>
      </c>
      <c r="F2640" s="14">
        <v>44371</v>
      </c>
      <c r="G2640" s="13" t="s">
        <v>3</v>
      </c>
      <c r="H2640" s="13" t="s">
        <v>4</v>
      </c>
      <c r="I2640" s="15">
        <v>-2125.5500000000002</v>
      </c>
      <c r="J2640" s="13" t="s">
        <v>5</v>
      </c>
      <c r="K2640" s="13" t="s">
        <v>6</v>
      </c>
      <c r="L2640" s="15">
        <v>-178439.93</v>
      </c>
      <c r="M2640" s="15">
        <v>-2125.5500000000002</v>
      </c>
      <c r="N2640" s="16" t="str">
        <f>IF(M2640="","",IF(M2640&lt;0,-M2640&amp;"_"&amp;COUNTIF(M$2:M2640,M2640),M2640&amp;"_"&amp;COUNTIF(M$2:M2640,M2640)))</f>
        <v>2125.55_1</v>
      </c>
      <c r="O2640" s="17" t="str">
        <f t="shared" si="41"/>
        <v/>
      </c>
      <c r="P2640" s="13" t="s">
        <v>4231</v>
      </c>
      <c r="Q2640" s="13" t="s">
        <v>4227</v>
      </c>
      <c r="R2640" s="13" t="s">
        <v>0</v>
      </c>
      <c r="S2640" s="13" t="s">
        <v>0</v>
      </c>
      <c r="T2640" s="13" t="s">
        <v>9</v>
      </c>
      <c r="U2640" s="13" t="s">
        <v>0</v>
      </c>
      <c r="V2640" s="13" t="s">
        <v>0</v>
      </c>
      <c r="W2640" s="13" t="s">
        <v>0</v>
      </c>
      <c r="X2640" s="13" t="s">
        <v>0</v>
      </c>
      <c r="Y2640" s="13" t="s">
        <v>10</v>
      </c>
      <c r="Z2640" s="13" t="s">
        <v>0</v>
      </c>
      <c r="AA2640" s="14"/>
      <c r="AB2640" s="13" t="s">
        <v>0</v>
      </c>
      <c r="AC2640" s="13" t="s">
        <v>0</v>
      </c>
      <c r="AD2640" s="13" t="s">
        <v>0</v>
      </c>
      <c r="AE2640" s="15">
        <v>0</v>
      </c>
    </row>
    <row r="2641" spans="1:31" ht="14.15" customHeight="1" x14ac:dyDescent="0.25">
      <c r="A2641" s="12" t="s">
        <v>0</v>
      </c>
      <c r="B2641" s="13" t="s">
        <v>1</v>
      </c>
      <c r="C2641" s="13" t="s">
        <v>3925</v>
      </c>
      <c r="D2641" s="14">
        <v>44354</v>
      </c>
      <c r="E2641" s="14">
        <v>44354</v>
      </c>
      <c r="F2641" s="14">
        <v>44357</v>
      </c>
      <c r="G2641" s="13" t="s">
        <v>3</v>
      </c>
      <c r="H2641" s="13" t="s">
        <v>4</v>
      </c>
      <c r="I2641" s="15">
        <v>-2116.7399999999998</v>
      </c>
      <c r="J2641" s="13" t="s">
        <v>5</v>
      </c>
      <c r="K2641" s="13" t="s">
        <v>6</v>
      </c>
      <c r="L2641" s="15">
        <v>-177700.32</v>
      </c>
      <c r="M2641" s="15">
        <v>-2116.7399999999998</v>
      </c>
      <c r="N2641" s="16" t="str">
        <f>IF(M2641="","",IF(M2641&lt;0,-M2641&amp;"_"&amp;COUNTIF(M$2:M2641,M2641),M2641&amp;"_"&amp;COUNTIF(M$2:M2641,M2641)))</f>
        <v>2116.74_1</v>
      </c>
      <c r="O2641" s="17" t="str">
        <f t="shared" si="41"/>
        <v/>
      </c>
      <c r="P2641" s="13" t="s">
        <v>3926</v>
      </c>
      <c r="Q2641" s="13" t="s">
        <v>3914</v>
      </c>
      <c r="R2641" s="13" t="s">
        <v>0</v>
      </c>
      <c r="S2641" s="13" t="s">
        <v>0</v>
      </c>
      <c r="T2641" s="13" t="s">
        <v>9</v>
      </c>
      <c r="U2641" s="13" t="s">
        <v>0</v>
      </c>
      <c r="V2641" s="13" t="s">
        <v>0</v>
      </c>
      <c r="W2641" s="13" t="s">
        <v>0</v>
      </c>
      <c r="X2641" s="13" t="s">
        <v>0</v>
      </c>
      <c r="Y2641" s="13" t="s">
        <v>10</v>
      </c>
      <c r="Z2641" s="13" t="s">
        <v>0</v>
      </c>
      <c r="AA2641" s="14"/>
      <c r="AB2641" s="13" t="s">
        <v>0</v>
      </c>
      <c r="AC2641" s="13" t="s">
        <v>0</v>
      </c>
      <c r="AD2641" s="13" t="s">
        <v>0</v>
      </c>
      <c r="AE2641" s="15">
        <v>0</v>
      </c>
    </row>
    <row r="2642" spans="1:31" ht="14.15" customHeight="1" x14ac:dyDescent="0.25">
      <c r="A2642" s="12" t="s">
        <v>0</v>
      </c>
      <c r="B2642" s="13" t="s">
        <v>1</v>
      </c>
      <c r="C2642" s="13" t="s">
        <v>3851</v>
      </c>
      <c r="D2642" s="14">
        <v>44350</v>
      </c>
      <c r="E2642" s="14">
        <v>44350</v>
      </c>
      <c r="F2642" s="14">
        <v>44356</v>
      </c>
      <c r="G2642" s="13" t="s">
        <v>3</v>
      </c>
      <c r="H2642" s="13" t="s">
        <v>4</v>
      </c>
      <c r="I2642" s="15">
        <v>-2105.41</v>
      </c>
      <c r="J2642" s="13" t="s">
        <v>5</v>
      </c>
      <c r="K2642" s="13" t="s">
        <v>6</v>
      </c>
      <c r="L2642" s="15">
        <v>-176749.17</v>
      </c>
      <c r="M2642" s="15">
        <v>-2105.41</v>
      </c>
      <c r="N2642" s="16" t="str">
        <f>IF(M2642="","",IF(M2642&lt;0,-M2642&amp;"_"&amp;COUNTIF(M$2:M2642,M2642),M2642&amp;"_"&amp;COUNTIF(M$2:M2642,M2642)))</f>
        <v>2105.41_1</v>
      </c>
      <c r="O2642" s="17" t="str">
        <f t="shared" si="41"/>
        <v/>
      </c>
      <c r="P2642" s="13" t="s">
        <v>3852</v>
      </c>
      <c r="Q2642" s="13" t="s">
        <v>3844</v>
      </c>
      <c r="R2642" s="13" t="s">
        <v>0</v>
      </c>
      <c r="S2642" s="13" t="s">
        <v>0</v>
      </c>
      <c r="T2642" s="13" t="s">
        <v>9</v>
      </c>
      <c r="U2642" s="13" t="s">
        <v>0</v>
      </c>
      <c r="V2642" s="13" t="s">
        <v>0</v>
      </c>
      <c r="W2642" s="13" t="s">
        <v>0</v>
      </c>
      <c r="X2642" s="13" t="s">
        <v>0</v>
      </c>
      <c r="Y2642" s="13" t="s">
        <v>10</v>
      </c>
      <c r="Z2642" s="13" t="s">
        <v>0</v>
      </c>
      <c r="AA2642" s="14"/>
      <c r="AB2642" s="13" t="s">
        <v>0</v>
      </c>
      <c r="AC2642" s="13" t="s">
        <v>0</v>
      </c>
      <c r="AD2642" s="13" t="s">
        <v>0</v>
      </c>
      <c r="AE2642" s="15">
        <v>0</v>
      </c>
    </row>
    <row r="2643" spans="1:31" ht="14.15" customHeight="1" x14ac:dyDescent="0.25">
      <c r="A2643" s="12" t="s">
        <v>0</v>
      </c>
      <c r="B2643" s="13" t="s">
        <v>1</v>
      </c>
      <c r="C2643" s="13" t="s">
        <v>2647</v>
      </c>
      <c r="D2643" s="14">
        <v>44249</v>
      </c>
      <c r="E2643" s="14">
        <v>44249</v>
      </c>
      <c r="F2643" s="14">
        <v>44255</v>
      </c>
      <c r="G2643" s="13" t="s">
        <v>3</v>
      </c>
      <c r="H2643" s="13" t="s">
        <v>4</v>
      </c>
      <c r="I2643" s="15">
        <v>-2097.9699999999998</v>
      </c>
      <c r="J2643" s="13" t="s">
        <v>5</v>
      </c>
      <c r="K2643" s="13" t="s">
        <v>6</v>
      </c>
      <c r="L2643" s="15">
        <v>-176124.58</v>
      </c>
      <c r="M2643" s="15">
        <v>-2097.9699999999998</v>
      </c>
      <c r="N2643" s="16" t="str">
        <f>IF(M2643="","",IF(M2643&lt;0,-M2643&amp;"_"&amp;COUNTIF(M$2:M2643,M2643),M2643&amp;"_"&amp;COUNTIF(M$2:M2643,M2643)))</f>
        <v>2097.97_1</v>
      </c>
      <c r="O2643" s="17" t="str">
        <f t="shared" si="41"/>
        <v/>
      </c>
      <c r="P2643" s="13" t="s">
        <v>2648</v>
      </c>
      <c r="Q2643" s="13" t="s">
        <v>2646</v>
      </c>
      <c r="R2643" s="13" t="s">
        <v>0</v>
      </c>
      <c r="S2643" s="13" t="s">
        <v>0</v>
      </c>
      <c r="T2643" s="13" t="s">
        <v>9</v>
      </c>
      <c r="U2643" s="13" t="s">
        <v>0</v>
      </c>
      <c r="V2643" s="13" t="s">
        <v>0</v>
      </c>
      <c r="W2643" s="13" t="s">
        <v>0</v>
      </c>
      <c r="X2643" s="13" t="s">
        <v>0</v>
      </c>
      <c r="Y2643" s="13" t="s">
        <v>10</v>
      </c>
      <c r="Z2643" s="13" t="s">
        <v>0</v>
      </c>
      <c r="AA2643" s="14"/>
      <c r="AB2643" s="13" t="s">
        <v>0</v>
      </c>
      <c r="AC2643" s="13" t="s">
        <v>0</v>
      </c>
      <c r="AD2643" s="13" t="s">
        <v>0</v>
      </c>
      <c r="AE2643" s="15">
        <v>0</v>
      </c>
    </row>
    <row r="2644" spans="1:31" ht="14.15" customHeight="1" x14ac:dyDescent="0.25">
      <c r="A2644" s="12" t="s">
        <v>0</v>
      </c>
      <c r="B2644" s="13" t="s">
        <v>1</v>
      </c>
      <c r="C2644" s="13" t="s">
        <v>785</v>
      </c>
      <c r="D2644" s="14">
        <v>44101</v>
      </c>
      <c r="E2644" s="14">
        <v>44101</v>
      </c>
      <c r="F2644" s="14">
        <v>44105</v>
      </c>
      <c r="G2644" s="13" t="s">
        <v>3</v>
      </c>
      <c r="H2644" s="13" t="s">
        <v>4</v>
      </c>
      <c r="I2644" s="15">
        <v>-2097.6</v>
      </c>
      <c r="J2644" s="13" t="s">
        <v>5</v>
      </c>
      <c r="K2644" s="13" t="s">
        <v>6</v>
      </c>
      <c r="L2644" s="15">
        <v>-176093.52</v>
      </c>
      <c r="M2644" s="15">
        <v>-2097.6</v>
      </c>
      <c r="N2644" s="16" t="str">
        <f>IF(M2644="","",IF(M2644&lt;0,-M2644&amp;"_"&amp;COUNTIF(M$2:M2644,M2644),M2644&amp;"_"&amp;COUNTIF(M$2:M2644,M2644)))</f>
        <v>2097.6_1</v>
      </c>
      <c r="O2644" s="17" t="str">
        <f t="shared" si="41"/>
        <v/>
      </c>
      <c r="P2644" s="13" t="s">
        <v>786</v>
      </c>
      <c r="Q2644" s="13" t="s">
        <v>784</v>
      </c>
      <c r="R2644" s="13" t="s">
        <v>0</v>
      </c>
      <c r="S2644" s="13" t="s">
        <v>0</v>
      </c>
      <c r="T2644" s="13" t="s">
        <v>9</v>
      </c>
      <c r="U2644" s="13" t="s">
        <v>0</v>
      </c>
      <c r="V2644" s="13" t="s">
        <v>0</v>
      </c>
      <c r="W2644" s="13" t="s">
        <v>0</v>
      </c>
      <c r="X2644" s="13" t="s">
        <v>0</v>
      </c>
      <c r="Y2644" s="13" t="s">
        <v>10</v>
      </c>
      <c r="Z2644" s="13" t="s">
        <v>0</v>
      </c>
      <c r="AA2644" s="14"/>
      <c r="AB2644" s="13" t="s">
        <v>0</v>
      </c>
      <c r="AC2644" s="13" t="s">
        <v>0</v>
      </c>
      <c r="AD2644" s="13" t="s">
        <v>0</v>
      </c>
      <c r="AE2644" s="15">
        <v>0</v>
      </c>
    </row>
    <row r="2645" spans="1:31" ht="14.15" customHeight="1" x14ac:dyDescent="0.25">
      <c r="A2645" s="12" t="s">
        <v>0</v>
      </c>
      <c r="B2645" s="13" t="s">
        <v>1</v>
      </c>
      <c r="C2645" s="13" t="s">
        <v>1355</v>
      </c>
      <c r="D2645" s="14">
        <v>44150</v>
      </c>
      <c r="E2645" s="14">
        <v>44150</v>
      </c>
      <c r="F2645" s="14">
        <v>44159</v>
      </c>
      <c r="G2645" s="13" t="s">
        <v>3</v>
      </c>
      <c r="H2645" s="13" t="s">
        <v>4</v>
      </c>
      <c r="I2645" s="15">
        <v>-2082.31</v>
      </c>
      <c r="J2645" s="13" t="s">
        <v>5</v>
      </c>
      <c r="K2645" s="13" t="s">
        <v>6</v>
      </c>
      <c r="L2645" s="15">
        <v>-174809.92</v>
      </c>
      <c r="M2645" s="15">
        <v>-2082.31</v>
      </c>
      <c r="N2645" s="16" t="str">
        <f>IF(M2645="","",IF(M2645&lt;0,-M2645&amp;"_"&amp;COUNTIF(M$2:M2645,M2645),M2645&amp;"_"&amp;COUNTIF(M$2:M2645,M2645)))</f>
        <v>2082.31_1</v>
      </c>
      <c r="O2645" s="17" t="str">
        <f t="shared" si="41"/>
        <v/>
      </c>
      <c r="P2645" s="13" t="s">
        <v>1356</v>
      </c>
      <c r="Q2645" s="13" t="s">
        <v>1338</v>
      </c>
      <c r="R2645" s="13" t="s">
        <v>0</v>
      </c>
      <c r="S2645" s="13" t="s">
        <v>0</v>
      </c>
      <c r="T2645" s="13" t="s">
        <v>9</v>
      </c>
      <c r="U2645" s="13" t="s">
        <v>0</v>
      </c>
      <c r="V2645" s="13" t="s">
        <v>0</v>
      </c>
      <c r="W2645" s="13" t="s">
        <v>0</v>
      </c>
      <c r="X2645" s="13" t="s">
        <v>0</v>
      </c>
      <c r="Y2645" s="13" t="s">
        <v>10</v>
      </c>
      <c r="Z2645" s="13" t="s">
        <v>0</v>
      </c>
      <c r="AA2645" s="14"/>
      <c r="AB2645" s="13" t="s">
        <v>0</v>
      </c>
      <c r="AC2645" s="13" t="s">
        <v>0</v>
      </c>
      <c r="AD2645" s="13" t="s">
        <v>0</v>
      </c>
      <c r="AE2645" s="15">
        <v>0</v>
      </c>
    </row>
    <row r="2646" spans="1:31" ht="14.15" customHeight="1" x14ac:dyDescent="0.25">
      <c r="A2646" s="12" t="s">
        <v>0</v>
      </c>
      <c r="B2646" s="13" t="s">
        <v>1</v>
      </c>
      <c r="C2646" s="13" t="s">
        <v>3317</v>
      </c>
      <c r="D2646" s="14">
        <v>44314</v>
      </c>
      <c r="E2646" s="14">
        <v>44314</v>
      </c>
      <c r="F2646" s="14">
        <v>44323</v>
      </c>
      <c r="G2646" s="13" t="s">
        <v>3</v>
      </c>
      <c r="H2646" s="13" t="s">
        <v>4</v>
      </c>
      <c r="I2646" s="15">
        <v>-2076.0300000000002</v>
      </c>
      <c r="J2646" s="13" t="s">
        <v>5</v>
      </c>
      <c r="K2646" s="13" t="s">
        <v>6</v>
      </c>
      <c r="L2646" s="15">
        <v>-174282.72</v>
      </c>
      <c r="M2646" s="15">
        <v>-2076.0300000000002</v>
      </c>
      <c r="N2646" s="16" t="str">
        <f>IF(M2646="","",IF(M2646&lt;0,-M2646&amp;"_"&amp;COUNTIF(M$2:M2646,M2646),M2646&amp;"_"&amp;COUNTIF(M$2:M2646,M2646)))</f>
        <v>2076.03_1</v>
      </c>
      <c r="O2646" s="17" t="str">
        <f t="shared" si="41"/>
        <v/>
      </c>
      <c r="P2646" s="13" t="s">
        <v>3318</v>
      </c>
      <c r="Q2646" s="13" t="s">
        <v>3284</v>
      </c>
      <c r="R2646" s="13" t="s">
        <v>0</v>
      </c>
      <c r="S2646" s="13" t="s">
        <v>0</v>
      </c>
      <c r="T2646" s="13" t="s">
        <v>9</v>
      </c>
      <c r="U2646" s="13" t="s">
        <v>0</v>
      </c>
      <c r="V2646" s="13" t="s">
        <v>0</v>
      </c>
      <c r="W2646" s="13" t="s">
        <v>0</v>
      </c>
      <c r="X2646" s="13" t="s">
        <v>0</v>
      </c>
      <c r="Y2646" s="13" t="s">
        <v>10</v>
      </c>
      <c r="Z2646" s="13" t="s">
        <v>0</v>
      </c>
      <c r="AA2646" s="14"/>
      <c r="AB2646" s="13" t="s">
        <v>0</v>
      </c>
      <c r="AC2646" s="13" t="s">
        <v>0</v>
      </c>
      <c r="AD2646" s="13" t="s">
        <v>0</v>
      </c>
      <c r="AE2646" s="15">
        <v>0</v>
      </c>
    </row>
    <row r="2647" spans="1:31" ht="14.15" customHeight="1" x14ac:dyDescent="0.25">
      <c r="A2647" s="12" t="s">
        <v>0</v>
      </c>
      <c r="B2647" s="13" t="s">
        <v>454</v>
      </c>
      <c r="C2647" s="13" t="s">
        <v>3256</v>
      </c>
      <c r="D2647" s="14">
        <v>44308</v>
      </c>
      <c r="E2647" s="14">
        <v>44308</v>
      </c>
      <c r="F2647" s="14">
        <v>44312</v>
      </c>
      <c r="G2647" s="13" t="s">
        <v>3</v>
      </c>
      <c r="H2647" s="13" t="s">
        <v>4</v>
      </c>
      <c r="I2647" s="15">
        <v>-2054.2199999999998</v>
      </c>
      <c r="J2647" s="13" t="s">
        <v>5</v>
      </c>
      <c r="K2647" s="13" t="s">
        <v>6</v>
      </c>
      <c r="L2647" s="15">
        <v>-172451.77</v>
      </c>
      <c r="M2647" s="15">
        <v>-2054.2199999999998</v>
      </c>
      <c r="N2647" s="16" t="str">
        <f>IF(M2647="","",IF(M2647&lt;0,-M2647&amp;"_"&amp;COUNTIF(M$2:M2647,M2647),M2647&amp;"_"&amp;COUNTIF(M$2:M2647,M2647)))</f>
        <v>2054.22_1</v>
      </c>
      <c r="O2647" s="17" t="str">
        <f t="shared" si="41"/>
        <v/>
      </c>
      <c r="P2647" s="13" t="s">
        <v>3257</v>
      </c>
      <c r="Q2647" s="13" t="s">
        <v>3251</v>
      </c>
      <c r="R2647" s="13" t="s">
        <v>0</v>
      </c>
      <c r="S2647" s="13" t="s">
        <v>0</v>
      </c>
      <c r="T2647" s="13" t="s">
        <v>9</v>
      </c>
      <c r="U2647" s="13" t="s">
        <v>0</v>
      </c>
      <c r="V2647" s="13" t="s">
        <v>0</v>
      </c>
      <c r="W2647" s="13" t="s">
        <v>0</v>
      </c>
      <c r="X2647" s="13" t="s">
        <v>0</v>
      </c>
      <c r="Y2647" s="13" t="s">
        <v>10</v>
      </c>
      <c r="Z2647" s="13" t="s">
        <v>0</v>
      </c>
      <c r="AA2647" s="14"/>
      <c r="AB2647" s="13" t="s">
        <v>0</v>
      </c>
      <c r="AC2647" s="13" t="s">
        <v>0</v>
      </c>
      <c r="AD2647" s="13" t="s">
        <v>0</v>
      </c>
      <c r="AE2647" s="15">
        <v>0</v>
      </c>
    </row>
    <row r="2648" spans="1:31" ht="14.15" customHeight="1" x14ac:dyDescent="0.25">
      <c r="A2648" s="12" t="s">
        <v>0</v>
      </c>
      <c r="B2648" s="13" t="s">
        <v>1</v>
      </c>
      <c r="C2648" s="13" t="s">
        <v>3027</v>
      </c>
      <c r="D2648" s="14">
        <v>44281</v>
      </c>
      <c r="E2648" s="14">
        <v>44281</v>
      </c>
      <c r="F2648" s="14">
        <v>44290</v>
      </c>
      <c r="G2648" s="13" t="s">
        <v>3</v>
      </c>
      <c r="H2648" s="13" t="s">
        <v>4</v>
      </c>
      <c r="I2648" s="15">
        <v>-2048.9899999999998</v>
      </c>
      <c r="J2648" s="13" t="s">
        <v>5</v>
      </c>
      <c r="K2648" s="13" t="s">
        <v>6</v>
      </c>
      <c r="L2648" s="15">
        <v>-172012.71</v>
      </c>
      <c r="M2648" s="15">
        <v>-2048.9899999999998</v>
      </c>
      <c r="N2648" s="16" t="str">
        <f>IF(M2648="","",IF(M2648&lt;0,-M2648&amp;"_"&amp;COUNTIF(M$2:M2648,M2648),M2648&amp;"_"&amp;COUNTIF(M$2:M2648,M2648)))</f>
        <v>2048.99_1</v>
      </c>
      <c r="O2648" s="17" t="str">
        <f t="shared" si="41"/>
        <v/>
      </c>
      <c r="P2648" s="13" t="s">
        <v>3028</v>
      </c>
      <c r="Q2648" s="13" t="s">
        <v>3014</v>
      </c>
      <c r="R2648" s="13" t="s">
        <v>0</v>
      </c>
      <c r="S2648" s="13" t="s">
        <v>0</v>
      </c>
      <c r="T2648" s="13" t="s">
        <v>9</v>
      </c>
      <c r="U2648" s="13" t="s">
        <v>0</v>
      </c>
      <c r="V2648" s="13" t="s">
        <v>0</v>
      </c>
      <c r="W2648" s="13" t="s">
        <v>0</v>
      </c>
      <c r="X2648" s="13" t="s">
        <v>0</v>
      </c>
      <c r="Y2648" s="13" t="s">
        <v>10</v>
      </c>
      <c r="Z2648" s="13" t="s">
        <v>0</v>
      </c>
      <c r="AA2648" s="14"/>
      <c r="AB2648" s="13" t="s">
        <v>0</v>
      </c>
      <c r="AC2648" s="13" t="s">
        <v>0</v>
      </c>
      <c r="AD2648" s="13" t="s">
        <v>0</v>
      </c>
      <c r="AE2648" s="15">
        <v>0</v>
      </c>
    </row>
    <row r="2649" spans="1:31" ht="14.15" customHeight="1" x14ac:dyDescent="0.25">
      <c r="A2649" s="12" t="s">
        <v>0</v>
      </c>
      <c r="B2649" s="13" t="s">
        <v>1</v>
      </c>
      <c r="C2649" s="13" t="s">
        <v>1377</v>
      </c>
      <c r="D2649" s="14">
        <v>44152</v>
      </c>
      <c r="E2649" s="14">
        <v>44152</v>
      </c>
      <c r="F2649" s="14">
        <v>44159</v>
      </c>
      <c r="G2649" s="13" t="s">
        <v>3</v>
      </c>
      <c r="H2649" s="13" t="s">
        <v>4</v>
      </c>
      <c r="I2649" s="15">
        <v>-2046.5</v>
      </c>
      <c r="J2649" s="13" t="s">
        <v>5</v>
      </c>
      <c r="K2649" s="13" t="s">
        <v>6</v>
      </c>
      <c r="L2649" s="15">
        <v>-171803.68</v>
      </c>
      <c r="M2649" s="15">
        <v>-2046.5</v>
      </c>
      <c r="N2649" s="16" t="str">
        <f>IF(M2649="","",IF(M2649&lt;0,-M2649&amp;"_"&amp;COUNTIF(M$2:M2649,M2649),M2649&amp;"_"&amp;COUNTIF(M$2:M2649,M2649)))</f>
        <v>2046.5_1</v>
      </c>
      <c r="O2649" s="17" t="str">
        <f t="shared" si="41"/>
        <v/>
      </c>
      <c r="P2649" s="13" t="s">
        <v>1378</v>
      </c>
      <c r="Q2649" s="13" t="s">
        <v>1376</v>
      </c>
      <c r="R2649" s="13" t="s">
        <v>0</v>
      </c>
      <c r="S2649" s="13" t="s">
        <v>0</v>
      </c>
      <c r="T2649" s="13" t="s">
        <v>9</v>
      </c>
      <c r="U2649" s="13" t="s">
        <v>0</v>
      </c>
      <c r="V2649" s="13" t="s">
        <v>0</v>
      </c>
      <c r="W2649" s="13" t="s">
        <v>0</v>
      </c>
      <c r="X2649" s="13" t="s">
        <v>0</v>
      </c>
      <c r="Y2649" s="13" t="s">
        <v>10</v>
      </c>
      <c r="Z2649" s="13" t="s">
        <v>0</v>
      </c>
      <c r="AA2649" s="14"/>
      <c r="AB2649" s="13" t="s">
        <v>0</v>
      </c>
      <c r="AC2649" s="13" t="s">
        <v>0</v>
      </c>
      <c r="AD2649" s="13" t="s">
        <v>0</v>
      </c>
      <c r="AE2649" s="15">
        <v>0</v>
      </c>
    </row>
    <row r="2650" spans="1:31" ht="14.15" customHeight="1" x14ac:dyDescent="0.25">
      <c r="A2650" s="12" t="s">
        <v>0</v>
      </c>
      <c r="B2650" s="13" t="s">
        <v>1</v>
      </c>
      <c r="C2650" s="13" t="s">
        <v>2914</v>
      </c>
      <c r="D2650" s="14">
        <v>44275</v>
      </c>
      <c r="E2650" s="14">
        <v>44275</v>
      </c>
      <c r="F2650" s="14">
        <v>44286</v>
      </c>
      <c r="G2650" s="13" t="s">
        <v>3</v>
      </c>
      <c r="H2650" s="13" t="s">
        <v>4</v>
      </c>
      <c r="I2650" s="15">
        <v>-2043.43</v>
      </c>
      <c r="J2650" s="13" t="s">
        <v>5</v>
      </c>
      <c r="K2650" s="13" t="s">
        <v>6</v>
      </c>
      <c r="L2650" s="15">
        <v>-171545.95</v>
      </c>
      <c r="M2650" s="15">
        <v>-2043.43</v>
      </c>
      <c r="N2650" s="16" t="str">
        <f>IF(M2650="","",IF(M2650&lt;0,-M2650&amp;"_"&amp;COUNTIF(M$2:M2650,M2650),M2650&amp;"_"&amp;COUNTIF(M$2:M2650,M2650)))</f>
        <v>2043.43_1</v>
      </c>
      <c r="O2650" s="17" t="str">
        <f t="shared" si="41"/>
        <v/>
      </c>
      <c r="P2650" s="13" t="s">
        <v>2915</v>
      </c>
      <c r="Q2650" s="13" t="s">
        <v>2881</v>
      </c>
      <c r="R2650" s="13" t="s">
        <v>0</v>
      </c>
      <c r="S2650" s="13" t="s">
        <v>0</v>
      </c>
      <c r="T2650" s="13" t="s">
        <v>9</v>
      </c>
      <c r="U2650" s="13" t="s">
        <v>0</v>
      </c>
      <c r="V2650" s="13" t="s">
        <v>0</v>
      </c>
      <c r="W2650" s="13" t="s">
        <v>0</v>
      </c>
      <c r="X2650" s="13" t="s">
        <v>0</v>
      </c>
      <c r="Y2650" s="13" t="s">
        <v>10</v>
      </c>
      <c r="Z2650" s="13" t="s">
        <v>0</v>
      </c>
      <c r="AA2650" s="14"/>
      <c r="AB2650" s="13" t="s">
        <v>0</v>
      </c>
      <c r="AC2650" s="13" t="s">
        <v>0</v>
      </c>
      <c r="AD2650" s="13" t="s">
        <v>0</v>
      </c>
      <c r="AE2650" s="15">
        <v>0</v>
      </c>
    </row>
    <row r="2651" spans="1:31" ht="14.15" customHeight="1" x14ac:dyDescent="0.25">
      <c r="A2651" s="12" t="s">
        <v>0</v>
      </c>
      <c r="B2651" s="13" t="s">
        <v>1</v>
      </c>
      <c r="C2651" s="13" t="s">
        <v>2918</v>
      </c>
      <c r="D2651" s="14">
        <v>44275</v>
      </c>
      <c r="E2651" s="14">
        <v>44275</v>
      </c>
      <c r="F2651" s="14">
        <v>44286</v>
      </c>
      <c r="G2651" s="13" t="s">
        <v>3</v>
      </c>
      <c r="H2651" s="13" t="s">
        <v>4</v>
      </c>
      <c r="I2651" s="15">
        <v>-2043.43</v>
      </c>
      <c r="J2651" s="13" t="s">
        <v>5</v>
      </c>
      <c r="K2651" s="13" t="s">
        <v>6</v>
      </c>
      <c r="L2651" s="15">
        <v>-171545.95</v>
      </c>
      <c r="M2651" s="15">
        <v>-2043.43</v>
      </c>
      <c r="N2651" s="16" t="str">
        <f>IF(M2651="","",IF(M2651&lt;0,-M2651&amp;"_"&amp;COUNTIF(M$2:M2651,M2651),M2651&amp;"_"&amp;COUNTIF(M$2:M2651,M2651)))</f>
        <v>2043.43_2</v>
      </c>
      <c r="O2651" s="17" t="str">
        <f t="shared" si="41"/>
        <v/>
      </c>
      <c r="P2651" s="13" t="s">
        <v>2919</v>
      </c>
      <c r="Q2651" s="13" t="s">
        <v>2881</v>
      </c>
      <c r="R2651" s="13" t="s">
        <v>0</v>
      </c>
      <c r="S2651" s="13" t="s">
        <v>0</v>
      </c>
      <c r="T2651" s="13" t="s">
        <v>9</v>
      </c>
      <c r="U2651" s="13" t="s">
        <v>0</v>
      </c>
      <c r="V2651" s="13" t="s">
        <v>0</v>
      </c>
      <c r="W2651" s="13" t="s">
        <v>0</v>
      </c>
      <c r="X2651" s="13" t="s">
        <v>0</v>
      </c>
      <c r="Y2651" s="13" t="s">
        <v>10</v>
      </c>
      <c r="Z2651" s="13" t="s">
        <v>0</v>
      </c>
      <c r="AA2651" s="14"/>
      <c r="AB2651" s="13" t="s">
        <v>0</v>
      </c>
      <c r="AC2651" s="13" t="s">
        <v>0</v>
      </c>
      <c r="AD2651" s="13" t="s">
        <v>0</v>
      </c>
      <c r="AE2651" s="15">
        <v>0</v>
      </c>
    </row>
    <row r="2652" spans="1:31" ht="14.15" customHeight="1" x14ac:dyDescent="0.25">
      <c r="A2652" s="12" t="s">
        <v>0</v>
      </c>
      <c r="B2652" s="13" t="s">
        <v>1</v>
      </c>
      <c r="C2652" s="13" t="s">
        <v>3128</v>
      </c>
      <c r="D2652" s="14">
        <v>44291</v>
      </c>
      <c r="E2652" s="14">
        <v>44291</v>
      </c>
      <c r="F2652" s="14">
        <v>44306</v>
      </c>
      <c r="G2652" s="13" t="s">
        <v>3</v>
      </c>
      <c r="H2652" s="13" t="s">
        <v>4</v>
      </c>
      <c r="I2652" s="15">
        <v>-2039.69</v>
      </c>
      <c r="J2652" s="13" t="s">
        <v>5</v>
      </c>
      <c r="K2652" s="13" t="s">
        <v>6</v>
      </c>
      <c r="L2652" s="15">
        <v>-171231.98</v>
      </c>
      <c r="M2652" s="15">
        <v>-2039.69</v>
      </c>
      <c r="N2652" s="16" t="str">
        <f>IF(M2652="","",IF(M2652&lt;0,-M2652&amp;"_"&amp;COUNTIF(M$2:M2652,M2652),M2652&amp;"_"&amp;COUNTIF(M$2:M2652,M2652)))</f>
        <v>2039.69_1</v>
      </c>
      <c r="O2652" s="17" t="str">
        <f t="shared" si="41"/>
        <v/>
      </c>
      <c r="P2652" s="13" t="s">
        <v>3129</v>
      </c>
      <c r="Q2652" s="13" t="s">
        <v>3125</v>
      </c>
      <c r="R2652" s="13" t="s">
        <v>0</v>
      </c>
      <c r="S2652" s="13" t="s">
        <v>0</v>
      </c>
      <c r="T2652" s="13" t="s">
        <v>9</v>
      </c>
      <c r="U2652" s="13" t="s">
        <v>0</v>
      </c>
      <c r="V2652" s="13" t="s">
        <v>0</v>
      </c>
      <c r="W2652" s="13" t="s">
        <v>0</v>
      </c>
      <c r="X2652" s="13" t="s">
        <v>0</v>
      </c>
      <c r="Y2652" s="13" t="s">
        <v>10</v>
      </c>
      <c r="Z2652" s="13" t="s">
        <v>0</v>
      </c>
      <c r="AA2652" s="14"/>
      <c r="AB2652" s="13" t="s">
        <v>0</v>
      </c>
      <c r="AC2652" s="13" t="s">
        <v>0</v>
      </c>
      <c r="AD2652" s="13" t="s">
        <v>0</v>
      </c>
      <c r="AE2652" s="15">
        <v>0</v>
      </c>
    </row>
    <row r="2653" spans="1:31" ht="14.15" customHeight="1" x14ac:dyDescent="0.25">
      <c r="A2653" s="12" t="s">
        <v>0</v>
      </c>
      <c r="B2653" s="13" t="s">
        <v>1</v>
      </c>
      <c r="C2653" s="13" t="s">
        <v>3897</v>
      </c>
      <c r="D2653" s="14">
        <v>44353</v>
      </c>
      <c r="E2653" s="14">
        <v>44353</v>
      </c>
      <c r="F2653" s="14">
        <v>44361</v>
      </c>
      <c r="G2653" s="13" t="s">
        <v>3</v>
      </c>
      <c r="H2653" s="13" t="s">
        <v>4</v>
      </c>
      <c r="I2653" s="15">
        <v>-2039.67</v>
      </c>
      <c r="J2653" s="13" t="s">
        <v>5</v>
      </c>
      <c r="K2653" s="13" t="s">
        <v>6</v>
      </c>
      <c r="L2653" s="15">
        <v>-171230.3</v>
      </c>
      <c r="M2653" s="15">
        <v>-2039.67</v>
      </c>
      <c r="N2653" s="16" t="str">
        <f>IF(M2653="","",IF(M2653&lt;0,-M2653&amp;"_"&amp;COUNTIF(M$2:M2653,M2653),M2653&amp;"_"&amp;COUNTIF(M$2:M2653,M2653)))</f>
        <v>2039.67_1</v>
      </c>
      <c r="O2653" s="17" t="str">
        <f t="shared" si="41"/>
        <v/>
      </c>
      <c r="P2653" s="13" t="s">
        <v>3898</v>
      </c>
      <c r="Q2653" s="13" t="s">
        <v>3886</v>
      </c>
      <c r="R2653" s="13" t="s">
        <v>0</v>
      </c>
      <c r="S2653" s="13" t="s">
        <v>0</v>
      </c>
      <c r="T2653" s="13" t="s">
        <v>9</v>
      </c>
      <c r="U2653" s="13" t="s">
        <v>0</v>
      </c>
      <c r="V2653" s="13" t="s">
        <v>0</v>
      </c>
      <c r="W2653" s="13" t="s">
        <v>0</v>
      </c>
      <c r="X2653" s="13" t="s">
        <v>0</v>
      </c>
      <c r="Y2653" s="13" t="s">
        <v>10</v>
      </c>
      <c r="Z2653" s="13" t="s">
        <v>0</v>
      </c>
      <c r="AA2653" s="14"/>
      <c r="AB2653" s="13" t="s">
        <v>0</v>
      </c>
      <c r="AC2653" s="13" t="s">
        <v>0</v>
      </c>
      <c r="AD2653" s="13" t="s">
        <v>0</v>
      </c>
      <c r="AE2653" s="15">
        <v>0</v>
      </c>
    </row>
    <row r="2654" spans="1:31" ht="14.15" customHeight="1" x14ac:dyDescent="0.25">
      <c r="A2654" s="12" t="s">
        <v>0</v>
      </c>
      <c r="B2654" s="13" t="s">
        <v>1</v>
      </c>
      <c r="C2654" s="13" t="s">
        <v>67</v>
      </c>
      <c r="D2654" s="14">
        <v>44020</v>
      </c>
      <c r="E2654" s="14">
        <v>44020</v>
      </c>
      <c r="F2654" s="14">
        <v>44025</v>
      </c>
      <c r="G2654" s="13" t="s">
        <v>3</v>
      </c>
      <c r="H2654" s="13" t="s">
        <v>4</v>
      </c>
      <c r="I2654" s="15">
        <v>-2037.7</v>
      </c>
      <c r="J2654" s="13" t="s">
        <v>5</v>
      </c>
      <c r="K2654" s="13" t="s">
        <v>6</v>
      </c>
      <c r="L2654" s="15">
        <v>-171064.91</v>
      </c>
      <c r="M2654" s="15">
        <v>-2037.7</v>
      </c>
      <c r="N2654" s="16" t="str">
        <f>IF(M2654="","",IF(M2654&lt;0,-M2654&amp;"_"&amp;COUNTIF(M$2:M2654,M2654),M2654&amp;"_"&amp;COUNTIF(M$2:M2654,M2654)))</f>
        <v>2037.7_1</v>
      </c>
      <c r="O2654" s="17" t="str">
        <f t="shared" si="41"/>
        <v/>
      </c>
      <c r="P2654" s="13" t="s">
        <v>69</v>
      </c>
      <c r="Q2654" s="13" t="s">
        <v>70</v>
      </c>
      <c r="R2654" s="13" t="s">
        <v>0</v>
      </c>
      <c r="S2654" s="13" t="s">
        <v>0</v>
      </c>
      <c r="T2654" s="13" t="s">
        <v>9</v>
      </c>
      <c r="U2654" s="13" t="s">
        <v>0</v>
      </c>
      <c r="V2654" s="13" t="s">
        <v>0</v>
      </c>
      <c r="W2654" s="13" t="s">
        <v>0</v>
      </c>
      <c r="X2654" s="13" t="s">
        <v>0</v>
      </c>
      <c r="Y2654" s="13" t="s">
        <v>10</v>
      </c>
      <c r="Z2654" s="13" t="s">
        <v>0</v>
      </c>
      <c r="AA2654" s="14"/>
      <c r="AB2654" s="13" t="s">
        <v>0</v>
      </c>
      <c r="AC2654" s="13" t="s">
        <v>0</v>
      </c>
      <c r="AD2654" s="13" t="s">
        <v>0</v>
      </c>
      <c r="AE2654" s="15">
        <v>0</v>
      </c>
    </row>
    <row r="2655" spans="1:31" ht="14.15" customHeight="1" x14ac:dyDescent="0.25">
      <c r="A2655" s="12" t="s">
        <v>0</v>
      </c>
      <c r="B2655" s="13" t="s">
        <v>1</v>
      </c>
      <c r="C2655" s="13" t="s">
        <v>2311</v>
      </c>
      <c r="D2655" s="14">
        <v>44219</v>
      </c>
      <c r="E2655" s="14">
        <v>44219</v>
      </c>
      <c r="F2655" s="14">
        <v>44227</v>
      </c>
      <c r="G2655" s="13" t="s">
        <v>3</v>
      </c>
      <c r="H2655" s="13" t="s">
        <v>4</v>
      </c>
      <c r="I2655" s="15">
        <v>-2036.02</v>
      </c>
      <c r="J2655" s="13" t="s">
        <v>5</v>
      </c>
      <c r="K2655" s="13" t="s">
        <v>6</v>
      </c>
      <c r="L2655" s="15">
        <v>-170923.88</v>
      </c>
      <c r="M2655" s="15">
        <v>-2036.02</v>
      </c>
      <c r="N2655" s="16" t="str">
        <f>IF(M2655="","",IF(M2655&lt;0,-M2655&amp;"_"&amp;COUNTIF(M$2:M2655,M2655),M2655&amp;"_"&amp;COUNTIF(M$2:M2655,M2655)))</f>
        <v>2036.02_1</v>
      </c>
      <c r="O2655" s="17" t="str">
        <f t="shared" si="41"/>
        <v/>
      </c>
      <c r="P2655" s="13" t="s">
        <v>2312</v>
      </c>
      <c r="Q2655" s="13" t="s">
        <v>2282</v>
      </c>
      <c r="R2655" s="13" t="s">
        <v>0</v>
      </c>
      <c r="S2655" s="13" t="s">
        <v>0</v>
      </c>
      <c r="T2655" s="13" t="s">
        <v>9</v>
      </c>
      <c r="U2655" s="13" t="s">
        <v>0</v>
      </c>
      <c r="V2655" s="13" t="s">
        <v>0</v>
      </c>
      <c r="W2655" s="13" t="s">
        <v>0</v>
      </c>
      <c r="X2655" s="13" t="s">
        <v>0</v>
      </c>
      <c r="Y2655" s="13" t="s">
        <v>10</v>
      </c>
      <c r="Z2655" s="13" t="s">
        <v>0</v>
      </c>
      <c r="AA2655" s="14"/>
      <c r="AB2655" s="13" t="s">
        <v>0</v>
      </c>
      <c r="AC2655" s="13" t="s">
        <v>0</v>
      </c>
      <c r="AD2655" s="13" t="s">
        <v>0</v>
      </c>
      <c r="AE2655" s="15">
        <v>0</v>
      </c>
    </row>
    <row r="2656" spans="1:31" ht="14.15" customHeight="1" x14ac:dyDescent="0.25">
      <c r="A2656" s="12" t="s">
        <v>0</v>
      </c>
      <c r="B2656" s="13" t="s">
        <v>1</v>
      </c>
      <c r="C2656" s="13" t="s">
        <v>168</v>
      </c>
      <c r="D2656" s="14">
        <v>44033</v>
      </c>
      <c r="E2656" s="14">
        <v>44033</v>
      </c>
      <c r="F2656" s="14">
        <v>44037</v>
      </c>
      <c r="G2656" s="13" t="s">
        <v>3</v>
      </c>
      <c r="H2656" s="13" t="s">
        <v>4</v>
      </c>
      <c r="I2656" s="15">
        <v>-2031.81</v>
      </c>
      <c r="J2656" s="13" t="s">
        <v>5</v>
      </c>
      <c r="K2656" s="13" t="s">
        <v>6</v>
      </c>
      <c r="L2656" s="15">
        <v>-170570.44</v>
      </c>
      <c r="M2656" s="15">
        <v>-2031.81</v>
      </c>
      <c r="N2656" s="16" t="str">
        <f>IF(M2656="","",IF(M2656&lt;0,-M2656&amp;"_"&amp;COUNTIF(M$2:M2656,M2656),M2656&amp;"_"&amp;COUNTIF(M$2:M2656,M2656)))</f>
        <v>2031.81_1</v>
      </c>
      <c r="O2656" s="17" t="str">
        <f t="shared" si="41"/>
        <v/>
      </c>
      <c r="P2656" s="13" t="s">
        <v>169</v>
      </c>
      <c r="Q2656" s="13" t="s">
        <v>170</v>
      </c>
      <c r="R2656" s="13" t="s">
        <v>0</v>
      </c>
      <c r="S2656" s="13" t="s">
        <v>0</v>
      </c>
      <c r="T2656" s="13" t="s">
        <v>9</v>
      </c>
      <c r="U2656" s="13" t="s">
        <v>0</v>
      </c>
      <c r="V2656" s="13" t="s">
        <v>0</v>
      </c>
      <c r="W2656" s="13" t="s">
        <v>0</v>
      </c>
      <c r="X2656" s="13" t="s">
        <v>0</v>
      </c>
      <c r="Y2656" s="13" t="s">
        <v>10</v>
      </c>
      <c r="Z2656" s="13" t="s">
        <v>0</v>
      </c>
      <c r="AA2656" s="14"/>
      <c r="AB2656" s="13" t="s">
        <v>0</v>
      </c>
      <c r="AC2656" s="13" t="s">
        <v>0</v>
      </c>
      <c r="AD2656" s="13" t="s">
        <v>0</v>
      </c>
      <c r="AE2656" s="15">
        <v>0</v>
      </c>
    </row>
    <row r="2657" spans="1:31" ht="14.15" customHeight="1" x14ac:dyDescent="0.25">
      <c r="A2657" s="12" t="s">
        <v>0</v>
      </c>
      <c r="B2657" s="13" t="s">
        <v>1</v>
      </c>
      <c r="C2657" s="13" t="s">
        <v>168</v>
      </c>
      <c r="D2657" s="14">
        <v>44033</v>
      </c>
      <c r="E2657" s="14">
        <v>44033</v>
      </c>
      <c r="F2657" s="14">
        <v>44037</v>
      </c>
      <c r="G2657" s="13" t="s">
        <v>3</v>
      </c>
      <c r="H2657" s="13" t="s">
        <v>4</v>
      </c>
      <c r="I2657" s="15">
        <v>-2031.81</v>
      </c>
      <c r="J2657" s="13" t="s">
        <v>5</v>
      </c>
      <c r="K2657" s="13" t="s">
        <v>6</v>
      </c>
      <c r="L2657" s="15">
        <v>-170570.45</v>
      </c>
      <c r="M2657" s="15">
        <v>-2031.81</v>
      </c>
      <c r="N2657" s="16" t="str">
        <f>IF(M2657="","",IF(M2657&lt;0,-M2657&amp;"_"&amp;COUNTIF(M$2:M2657,M2657),M2657&amp;"_"&amp;COUNTIF(M$2:M2657,M2657)))</f>
        <v>2031.81_2</v>
      </c>
      <c r="O2657" s="17" t="str">
        <f t="shared" si="41"/>
        <v/>
      </c>
      <c r="P2657" s="13" t="s">
        <v>169</v>
      </c>
      <c r="Q2657" s="13" t="s">
        <v>170</v>
      </c>
      <c r="R2657" s="13" t="s">
        <v>0</v>
      </c>
      <c r="S2657" s="13" t="s">
        <v>0</v>
      </c>
      <c r="T2657" s="13" t="s">
        <v>9</v>
      </c>
      <c r="U2657" s="13" t="s">
        <v>0</v>
      </c>
      <c r="V2657" s="13" t="s">
        <v>0</v>
      </c>
      <c r="W2657" s="13" t="s">
        <v>0</v>
      </c>
      <c r="X2657" s="13" t="s">
        <v>0</v>
      </c>
      <c r="Y2657" s="13" t="s">
        <v>10</v>
      </c>
      <c r="Z2657" s="13" t="s">
        <v>0</v>
      </c>
      <c r="AA2657" s="14"/>
      <c r="AB2657" s="13" t="s">
        <v>0</v>
      </c>
      <c r="AC2657" s="13" t="s">
        <v>0</v>
      </c>
      <c r="AD2657" s="13" t="s">
        <v>0</v>
      </c>
      <c r="AE2657" s="15">
        <v>0</v>
      </c>
    </row>
    <row r="2658" spans="1:31" ht="14.15" customHeight="1" x14ac:dyDescent="0.25">
      <c r="A2658" s="12" t="s">
        <v>0</v>
      </c>
      <c r="B2658" s="13" t="s">
        <v>1</v>
      </c>
      <c r="C2658" s="13" t="s">
        <v>4039</v>
      </c>
      <c r="D2658" s="14">
        <v>44358</v>
      </c>
      <c r="E2658" s="14">
        <v>44358</v>
      </c>
      <c r="F2658" s="14">
        <v>44364</v>
      </c>
      <c r="G2658" s="13" t="s">
        <v>3</v>
      </c>
      <c r="H2658" s="13" t="s">
        <v>4</v>
      </c>
      <c r="I2658" s="15">
        <v>-2028.6</v>
      </c>
      <c r="J2658" s="13" t="s">
        <v>5</v>
      </c>
      <c r="K2658" s="13" t="s">
        <v>6</v>
      </c>
      <c r="L2658" s="15">
        <v>-170300.97</v>
      </c>
      <c r="M2658" s="15">
        <v>-2028.6</v>
      </c>
      <c r="N2658" s="16" t="str">
        <f>IF(M2658="","",IF(M2658&lt;0,-M2658&amp;"_"&amp;COUNTIF(M$2:M2658,M2658),M2658&amp;"_"&amp;COUNTIF(M$2:M2658,M2658)))</f>
        <v>2028.6_1</v>
      </c>
      <c r="O2658" s="17" t="str">
        <f t="shared" si="41"/>
        <v/>
      </c>
      <c r="P2658" s="13" t="s">
        <v>4040</v>
      </c>
      <c r="Q2658" s="13" t="s">
        <v>4006</v>
      </c>
      <c r="R2658" s="13" t="s">
        <v>0</v>
      </c>
      <c r="S2658" s="13" t="s">
        <v>0</v>
      </c>
      <c r="T2658" s="13" t="s">
        <v>9</v>
      </c>
      <c r="U2658" s="13" t="s">
        <v>0</v>
      </c>
      <c r="V2658" s="13" t="s">
        <v>0</v>
      </c>
      <c r="W2658" s="13" t="s">
        <v>0</v>
      </c>
      <c r="X2658" s="13" t="s">
        <v>0</v>
      </c>
      <c r="Y2658" s="13" t="s">
        <v>10</v>
      </c>
      <c r="Z2658" s="13" t="s">
        <v>0</v>
      </c>
      <c r="AA2658" s="14"/>
      <c r="AB2658" s="13" t="s">
        <v>0</v>
      </c>
      <c r="AC2658" s="13" t="s">
        <v>0</v>
      </c>
      <c r="AD2658" s="13" t="s">
        <v>0</v>
      </c>
      <c r="AE2658" s="15">
        <v>0</v>
      </c>
    </row>
    <row r="2659" spans="1:31" ht="14.15" customHeight="1" x14ac:dyDescent="0.25">
      <c r="A2659" s="12" t="s">
        <v>0</v>
      </c>
      <c r="B2659" s="13" t="s">
        <v>1</v>
      </c>
      <c r="C2659" s="13" t="s">
        <v>141</v>
      </c>
      <c r="D2659" s="14">
        <v>44029</v>
      </c>
      <c r="E2659" s="14">
        <v>44029</v>
      </c>
      <c r="F2659" s="14">
        <v>44033</v>
      </c>
      <c r="G2659" s="13" t="s">
        <v>3</v>
      </c>
      <c r="H2659" s="13" t="s">
        <v>4</v>
      </c>
      <c r="I2659" s="15">
        <v>-2028.02</v>
      </c>
      <c r="J2659" s="13" t="s">
        <v>5</v>
      </c>
      <c r="K2659" s="13" t="s">
        <v>6</v>
      </c>
      <c r="L2659" s="15">
        <v>-170252.28</v>
      </c>
      <c r="M2659" s="15">
        <v>-2028.02</v>
      </c>
      <c r="N2659" s="16" t="str">
        <f>IF(M2659="","",IF(M2659&lt;0,-M2659&amp;"_"&amp;COUNTIF(M$2:M2659,M2659),M2659&amp;"_"&amp;COUNTIF(M$2:M2659,M2659)))</f>
        <v>2028.02_1</v>
      </c>
      <c r="O2659" s="17" t="str">
        <f t="shared" si="41"/>
        <v/>
      </c>
      <c r="P2659" s="13" t="s">
        <v>142</v>
      </c>
      <c r="Q2659" s="13" t="s">
        <v>138</v>
      </c>
      <c r="R2659" s="13" t="s">
        <v>0</v>
      </c>
      <c r="S2659" s="13" t="s">
        <v>0</v>
      </c>
      <c r="T2659" s="13" t="s">
        <v>9</v>
      </c>
      <c r="U2659" s="13" t="s">
        <v>0</v>
      </c>
      <c r="V2659" s="13" t="s">
        <v>0</v>
      </c>
      <c r="W2659" s="13" t="s">
        <v>0</v>
      </c>
      <c r="X2659" s="13" t="s">
        <v>0</v>
      </c>
      <c r="Y2659" s="13" t="s">
        <v>10</v>
      </c>
      <c r="Z2659" s="13" t="s">
        <v>0</v>
      </c>
      <c r="AA2659" s="14"/>
      <c r="AB2659" s="13" t="s">
        <v>0</v>
      </c>
      <c r="AC2659" s="13" t="s">
        <v>0</v>
      </c>
      <c r="AD2659" s="13" t="s">
        <v>0</v>
      </c>
      <c r="AE2659" s="15">
        <v>0</v>
      </c>
    </row>
    <row r="2660" spans="1:31" ht="14.15" customHeight="1" x14ac:dyDescent="0.25">
      <c r="A2660" s="12" t="s">
        <v>0</v>
      </c>
      <c r="B2660" s="13" t="s">
        <v>1</v>
      </c>
      <c r="C2660" s="13" t="s">
        <v>1625</v>
      </c>
      <c r="D2660" s="14">
        <v>44169</v>
      </c>
      <c r="E2660" s="14">
        <v>44169</v>
      </c>
      <c r="F2660" s="14">
        <v>44186</v>
      </c>
      <c r="G2660" s="13" t="s">
        <v>3</v>
      </c>
      <c r="H2660" s="13" t="s">
        <v>4</v>
      </c>
      <c r="I2660" s="15">
        <v>-2021.82</v>
      </c>
      <c r="J2660" s="13" t="s">
        <v>5</v>
      </c>
      <c r="K2660" s="13" t="s">
        <v>6</v>
      </c>
      <c r="L2660" s="15">
        <v>-169731.79</v>
      </c>
      <c r="M2660" s="15">
        <v>-2021.82</v>
      </c>
      <c r="N2660" s="16" t="str">
        <f>IF(M2660="","",IF(M2660&lt;0,-M2660&amp;"_"&amp;COUNTIF(M$2:M2660,M2660),M2660&amp;"_"&amp;COUNTIF(M$2:M2660,M2660)))</f>
        <v>2021.82_1</v>
      </c>
      <c r="O2660" s="17" t="str">
        <f t="shared" si="41"/>
        <v/>
      </c>
      <c r="P2660" s="13" t="s">
        <v>1626</v>
      </c>
      <c r="Q2660" s="13" t="s">
        <v>1627</v>
      </c>
      <c r="R2660" s="13" t="s">
        <v>0</v>
      </c>
      <c r="S2660" s="13" t="s">
        <v>0</v>
      </c>
      <c r="T2660" s="13" t="s">
        <v>9</v>
      </c>
      <c r="U2660" s="13" t="s">
        <v>0</v>
      </c>
      <c r="V2660" s="13" t="s">
        <v>0</v>
      </c>
      <c r="W2660" s="13" t="s">
        <v>0</v>
      </c>
      <c r="X2660" s="13" t="s">
        <v>0</v>
      </c>
      <c r="Y2660" s="13" t="s">
        <v>10</v>
      </c>
      <c r="Z2660" s="13" t="s">
        <v>0</v>
      </c>
      <c r="AA2660" s="14"/>
      <c r="AB2660" s="13" t="s">
        <v>0</v>
      </c>
      <c r="AC2660" s="13" t="s">
        <v>0</v>
      </c>
      <c r="AD2660" s="13" t="s">
        <v>0</v>
      </c>
      <c r="AE2660" s="15">
        <v>0</v>
      </c>
    </row>
    <row r="2661" spans="1:31" ht="14.15" customHeight="1" x14ac:dyDescent="0.25">
      <c r="A2661" s="12" t="s">
        <v>0</v>
      </c>
      <c r="B2661" s="13" t="s">
        <v>1</v>
      </c>
      <c r="C2661" s="13" t="s">
        <v>3068</v>
      </c>
      <c r="D2661" s="14">
        <v>44284</v>
      </c>
      <c r="E2661" s="14">
        <v>44284</v>
      </c>
      <c r="F2661" s="14">
        <v>44291</v>
      </c>
      <c r="G2661" s="13" t="s">
        <v>3</v>
      </c>
      <c r="H2661" s="13" t="s">
        <v>4</v>
      </c>
      <c r="I2661" s="15">
        <v>-2021.82</v>
      </c>
      <c r="J2661" s="13" t="s">
        <v>5</v>
      </c>
      <c r="K2661" s="13" t="s">
        <v>6</v>
      </c>
      <c r="L2661" s="15">
        <v>-169731.79</v>
      </c>
      <c r="M2661" s="15">
        <v>-2021.82</v>
      </c>
      <c r="N2661" s="16" t="str">
        <f>IF(M2661="","",IF(M2661&lt;0,-M2661&amp;"_"&amp;COUNTIF(M$2:M2661,M2661),M2661&amp;"_"&amp;COUNTIF(M$2:M2661,M2661)))</f>
        <v>2021.82_2</v>
      </c>
      <c r="O2661" s="17" t="str">
        <f t="shared" si="41"/>
        <v/>
      </c>
      <c r="P2661" s="13" t="s">
        <v>3069</v>
      </c>
      <c r="Q2661" s="13" t="s">
        <v>3061</v>
      </c>
      <c r="R2661" s="13" t="s">
        <v>0</v>
      </c>
      <c r="S2661" s="13" t="s">
        <v>0</v>
      </c>
      <c r="T2661" s="13" t="s">
        <v>9</v>
      </c>
      <c r="U2661" s="13" t="s">
        <v>0</v>
      </c>
      <c r="V2661" s="13" t="s">
        <v>0</v>
      </c>
      <c r="W2661" s="13" t="s">
        <v>0</v>
      </c>
      <c r="X2661" s="13" t="s">
        <v>0</v>
      </c>
      <c r="Y2661" s="13" t="s">
        <v>10</v>
      </c>
      <c r="Z2661" s="13" t="s">
        <v>0</v>
      </c>
      <c r="AA2661" s="14"/>
      <c r="AB2661" s="13" t="s">
        <v>0</v>
      </c>
      <c r="AC2661" s="13" t="s">
        <v>0</v>
      </c>
      <c r="AD2661" s="13" t="s">
        <v>0</v>
      </c>
      <c r="AE2661" s="15">
        <v>0</v>
      </c>
    </row>
    <row r="2662" spans="1:31" ht="14.15" customHeight="1" x14ac:dyDescent="0.25">
      <c r="A2662" s="12" t="s">
        <v>0</v>
      </c>
      <c r="B2662" s="13" t="s">
        <v>1</v>
      </c>
      <c r="C2662" s="13" t="s">
        <v>2529</v>
      </c>
      <c r="D2662" s="14">
        <v>44238</v>
      </c>
      <c r="E2662" s="14">
        <v>44238</v>
      </c>
      <c r="F2662" s="14">
        <v>44243</v>
      </c>
      <c r="G2662" s="13" t="s">
        <v>3</v>
      </c>
      <c r="H2662" s="13" t="s">
        <v>4</v>
      </c>
      <c r="I2662" s="15">
        <v>-2014.88</v>
      </c>
      <c r="J2662" s="13" t="s">
        <v>5</v>
      </c>
      <c r="K2662" s="13" t="s">
        <v>6</v>
      </c>
      <c r="L2662" s="15">
        <v>-169149.18</v>
      </c>
      <c r="M2662" s="15">
        <v>-2014.88</v>
      </c>
      <c r="N2662" s="16" t="str">
        <f>IF(M2662="","",IF(M2662&lt;0,-M2662&amp;"_"&amp;COUNTIF(M$2:M2662,M2662),M2662&amp;"_"&amp;COUNTIF(M$2:M2662,M2662)))</f>
        <v>2014.88_1</v>
      </c>
      <c r="O2662" s="17" t="str">
        <f t="shared" si="41"/>
        <v/>
      </c>
      <c r="P2662" s="13" t="s">
        <v>2530</v>
      </c>
      <c r="Q2662" s="13" t="s">
        <v>2528</v>
      </c>
      <c r="R2662" s="13" t="s">
        <v>0</v>
      </c>
      <c r="S2662" s="13" t="s">
        <v>0</v>
      </c>
      <c r="T2662" s="13" t="s">
        <v>9</v>
      </c>
      <c r="U2662" s="13" t="s">
        <v>0</v>
      </c>
      <c r="V2662" s="13" t="s">
        <v>0</v>
      </c>
      <c r="W2662" s="13" t="s">
        <v>0</v>
      </c>
      <c r="X2662" s="13" t="s">
        <v>0</v>
      </c>
      <c r="Y2662" s="13" t="s">
        <v>10</v>
      </c>
      <c r="Z2662" s="13" t="s">
        <v>0</v>
      </c>
      <c r="AA2662" s="14"/>
      <c r="AB2662" s="13" t="s">
        <v>0</v>
      </c>
      <c r="AC2662" s="13" t="s">
        <v>0</v>
      </c>
      <c r="AD2662" s="13" t="s">
        <v>0</v>
      </c>
      <c r="AE2662" s="15">
        <v>0</v>
      </c>
    </row>
    <row r="2663" spans="1:31" ht="14.15" customHeight="1" x14ac:dyDescent="0.25">
      <c r="A2663" s="12" t="s">
        <v>0</v>
      </c>
      <c r="B2663" s="13" t="s">
        <v>289</v>
      </c>
      <c r="C2663" s="13" t="s">
        <v>1558</v>
      </c>
      <c r="D2663" s="14">
        <v>44165</v>
      </c>
      <c r="E2663" s="14">
        <v>44165</v>
      </c>
      <c r="F2663" s="14">
        <v>44171</v>
      </c>
      <c r="G2663" s="13" t="s">
        <v>48</v>
      </c>
      <c r="H2663" s="13" t="s">
        <v>4</v>
      </c>
      <c r="I2663" s="15">
        <v>-2008.63</v>
      </c>
      <c r="J2663" s="13" t="s">
        <v>5</v>
      </c>
      <c r="K2663" s="13" t="s">
        <v>6</v>
      </c>
      <c r="L2663" s="15">
        <v>-168624.49</v>
      </c>
      <c r="M2663" s="15">
        <v>-2008.63</v>
      </c>
      <c r="N2663" s="16" t="str">
        <f>IF(M2663="","",IF(M2663&lt;0,-M2663&amp;"_"&amp;COUNTIF(M$2:M2663,M2663),M2663&amp;"_"&amp;COUNTIF(M$2:M2663,M2663)))</f>
        <v>2008.63_1</v>
      </c>
      <c r="O2663" s="17" t="str">
        <f t="shared" si="41"/>
        <v/>
      </c>
      <c r="P2663" s="13" t="s">
        <v>1559</v>
      </c>
      <c r="Q2663" s="13" t="s">
        <v>1559</v>
      </c>
      <c r="R2663" s="13" t="s">
        <v>294</v>
      </c>
      <c r="S2663" s="13" t="s">
        <v>0</v>
      </c>
      <c r="T2663" s="13" t="s">
        <v>9</v>
      </c>
      <c r="U2663" s="13" t="s">
        <v>295</v>
      </c>
      <c r="V2663" s="13" t="s">
        <v>0</v>
      </c>
      <c r="W2663" s="13" t="s">
        <v>0</v>
      </c>
      <c r="X2663" s="13" t="s">
        <v>0</v>
      </c>
      <c r="Y2663" s="13" t="s">
        <v>291</v>
      </c>
      <c r="Z2663" s="13" t="s">
        <v>0</v>
      </c>
      <c r="AA2663" s="14"/>
      <c r="AB2663" s="13" t="s">
        <v>0</v>
      </c>
      <c r="AC2663" s="13" t="s">
        <v>0</v>
      </c>
      <c r="AD2663" s="13" t="s">
        <v>0</v>
      </c>
      <c r="AE2663" s="15">
        <v>0</v>
      </c>
    </row>
    <row r="2664" spans="1:31" ht="14.15" customHeight="1" x14ac:dyDescent="0.25">
      <c r="A2664" s="12" t="s">
        <v>0</v>
      </c>
      <c r="B2664" s="13" t="s">
        <v>1</v>
      </c>
      <c r="C2664" s="13" t="s">
        <v>3327</v>
      </c>
      <c r="D2664" s="14">
        <v>44314</v>
      </c>
      <c r="E2664" s="14">
        <v>44314</v>
      </c>
      <c r="F2664" s="14">
        <v>44323</v>
      </c>
      <c r="G2664" s="13" t="s">
        <v>3</v>
      </c>
      <c r="H2664" s="13" t="s">
        <v>4</v>
      </c>
      <c r="I2664" s="15">
        <v>-2007.26</v>
      </c>
      <c r="J2664" s="13" t="s">
        <v>5</v>
      </c>
      <c r="K2664" s="13" t="s">
        <v>6</v>
      </c>
      <c r="L2664" s="15">
        <v>-168509.48</v>
      </c>
      <c r="M2664" s="15">
        <v>-2007.26</v>
      </c>
      <c r="N2664" s="16" t="str">
        <f>IF(M2664="","",IF(M2664&lt;0,-M2664&amp;"_"&amp;COUNTIF(M$2:M2664,M2664),M2664&amp;"_"&amp;COUNTIF(M$2:M2664,M2664)))</f>
        <v>2007.26_1</v>
      </c>
      <c r="O2664" s="17" t="str">
        <f t="shared" si="41"/>
        <v/>
      </c>
      <c r="P2664" s="13" t="s">
        <v>3328</v>
      </c>
      <c r="Q2664" s="13" t="s">
        <v>3284</v>
      </c>
      <c r="R2664" s="13" t="s">
        <v>0</v>
      </c>
      <c r="S2664" s="13" t="s">
        <v>0</v>
      </c>
      <c r="T2664" s="13" t="s">
        <v>9</v>
      </c>
      <c r="U2664" s="13" t="s">
        <v>0</v>
      </c>
      <c r="V2664" s="13" t="s">
        <v>0</v>
      </c>
      <c r="W2664" s="13" t="s">
        <v>0</v>
      </c>
      <c r="X2664" s="13" t="s">
        <v>0</v>
      </c>
      <c r="Y2664" s="13" t="s">
        <v>10</v>
      </c>
      <c r="Z2664" s="13" t="s">
        <v>0</v>
      </c>
      <c r="AA2664" s="14"/>
      <c r="AB2664" s="13" t="s">
        <v>0</v>
      </c>
      <c r="AC2664" s="13" t="s">
        <v>0</v>
      </c>
      <c r="AD2664" s="13" t="s">
        <v>0</v>
      </c>
      <c r="AE2664" s="15">
        <v>0</v>
      </c>
    </row>
    <row r="2665" spans="1:31" ht="14.15" customHeight="1" x14ac:dyDescent="0.25">
      <c r="A2665" s="12" t="s">
        <v>0</v>
      </c>
      <c r="B2665" s="13" t="s">
        <v>1</v>
      </c>
      <c r="C2665" s="13" t="s">
        <v>2965</v>
      </c>
      <c r="D2665" s="14">
        <v>44278</v>
      </c>
      <c r="E2665" s="14">
        <v>44278</v>
      </c>
      <c r="F2665" s="14">
        <v>44283</v>
      </c>
      <c r="G2665" s="13" t="s">
        <v>3</v>
      </c>
      <c r="H2665" s="13" t="s">
        <v>4</v>
      </c>
      <c r="I2665" s="15">
        <v>-2003.62</v>
      </c>
      <c r="J2665" s="13" t="s">
        <v>394</v>
      </c>
      <c r="K2665" s="13" t="s">
        <v>6</v>
      </c>
      <c r="L2665" s="15">
        <v>-168203.88</v>
      </c>
      <c r="M2665" s="15">
        <v>-2003.62</v>
      </c>
      <c r="N2665" s="16" t="str">
        <f>IF(M2665="","",IF(M2665&lt;0,-M2665&amp;"_"&amp;COUNTIF(M$2:M2665,M2665),M2665&amp;"_"&amp;COUNTIF(M$2:M2665,M2665)))</f>
        <v>2003.62_1</v>
      </c>
      <c r="O2665" s="17" t="str">
        <f t="shared" si="41"/>
        <v/>
      </c>
      <c r="P2665" s="13" t="s">
        <v>2966</v>
      </c>
      <c r="Q2665" s="13" t="s">
        <v>2964</v>
      </c>
      <c r="R2665" s="13" t="s">
        <v>0</v>
      </c>
      <c r="S2665" s="13" t="s">
        <v>0</v>
      </c>
      <c r="T2665" s="13" t="s">
        <v>9</v>
      </c>
      <c r="U2665" s="13" t="s">
        <v>0</v>
      </c>
      <c r="V2665" s="13" t="s">
        <v>0</v>
      </c>
      <c r="W2665" s="13" t="s">
        <v>0</v>
      </c>
      <c r="X2665" s="13" t="s">
        <v>0</v>
      </c>
      <c r="Y2665" s="13" t="s">
        <v>10</v>
      </c>
      <c r="Z2665" s="13" t="s">
        <v>0</v>
      </c>
      <c r="AA2665" s="14"/>
      <c r="AB2665" s="13" t="s">
        <v>0</v>
      </c>
      <c r="AC2665" s="13" t="s">
        <v>0</v>
      </c>
      <c r="AD2665" s="13" t="s">
        <v>0</v>
      </c>
      <c r="AE2665" s="15">
        <v>0</v>
      </c>
    </row>
    <row r="2666" spans="1:31" ht="14.15" customHeight="1" x14ac:dyDescent="0.25">
      <c r="A2666" s="12" t="s">
        <v>0</v>
      </c>
      <c r="B2666" s="13" t="s">
        <v>1</v>
      </c>
      <c r="C2666" s="13" t="s">
        <v>4351</v>
      </c>
      <c r="D2666" s="14">
        <v>44376</v>
      </c>
      <c r="E2666" s="14">
        <v>44376</v>
      </c>
      <c r="F2666" s="14">
        <v>44377</v>
      </c>
      <c r="G2666" s="13" t="s">
        <v>3</v>
      </c>
      <c r="H2666" s="13" t="s">
        <v>4</v>
      </c>
      <c r="I2666" s="15">
        <v>-2002.07</v>
      </c>
      <c r="J2666" s="13" t="s">
        <v>5</v>
      </c>
      <c r="K2666" s="13" t="s">
        <v>6</v>
      </c>
      <c r="L2666" s="15">
        <v>-168073.78</v>
      </c>
      <c r="M2666" s="15">
        <v>-2002.07</v>
      </c>
      <c r="N2666" s="16" t="str">
        <f>IF(M2666="","",IF(M2666&lt;0,-M2666&amp;"_"&amp;COUNTIF(M$2:M2666,M2666),M2666&amp;"_"&amp;COUNTIF(M$2:M2666,M2666)))</f>
        <v>2002.07_1</v>
      </c>
      <c r="O2666" s="17" t="str">
        <f t="shared" si="41"/>
        <v/>
      </c>
      <c r="P2666" s="13" t="s">
        <v>4352</v>
      </c>
      <c r="Q2666" s="13" t="s">
        <v>4350</v>
      </c>
      <c r="R2666" s="13" t="s">
        <v>0</v>
      </c>
      <c r="S2666" s="13" t="s">
        <v>0</v>
      </c>
      <c r="T2666" s="13" t="s">
        <v>9</v>
      </c>
      <c r="U2666" s="13" t="s">
        <v>0</v>
      </c>
      <c r="V2666" s="13" t="s">
        <v>0</v>
      </c>
      <c r="W2666" s="13" t="s">
        <v>0</v>
      </c>
      <c r="X2666" s="13" t="s">
        <v>0</v>
      </c>
      <c r="Y2666" s="13" t="s">
        <v>10</v>
      </c>
      <c r="Z2666" s="13" t="s">
        <v>0</v>
      </c>
      <c r="AA2666" s="14"/>
      <c r="AB2666" s="13" t="s">
        <v>0</v>
      </c>
      <c r="AC2666" s="13" t="s">
        <v>0</v>
      </c>
      <c r="AD2666" s="13" t="s">
        <v>0</v>
      </c>
      <c r="AE2666" s="15">
        <v>0</v>
      </c>
    </row>
    <row r="2667" spans="1:31" ht="14.15" customHeight="1" x14ac:dyDescent="0.25">
      <c r="A2667" s="12" t="s">
        <v>0</v>
      </c>
      <c r="B2667" s="13" t="s">
        <v>303</v>
      </c>
      <c r="C2667" s="13" t="s">
        <v>552</v>
      </c>
      <c r="D2667" s="14">
        <v>44074</v>
      </c>
      <c r="E2667" s="14">
        <v>44074</v>
      </c>
      <c r="F2667" s="14">
        <v>44082</v>
      </c>
      <c r="G2667" s="13" t="s">
        <v>48</v>
      </c>
      <c r="H2667" s="13" t="s">
        <v>4</v>
      </c>
      <c r="I2667" s="15">
        <v>-2000</v>
      </c>
      <c r="J2667" s="13" t="s">
        <v>5</v>
      </c>
      <c r="K2667" s="13" t="s">
        <v>6</v>
      </c>
      <c r="L2667" s="15">
        <v>-167900</v>
      </c>
      <c r="M2667" s="15">
        <v>-2000</v>
      </c>
      <c r="N2667" s="16" t="str">
        <f>IF(M2667="","",IF(M2667&lt;0,-M2667&amp;"_"&amp;COUNTIF(M$2:M2667,M2667),M2667&amp;"_"&amp;COUNTIF(M$2:M2667,M2667)))</f>
        <v>2000_1</v>
      </c>
      <c r="O2667" s="17" t="str">
        <f t="shared" si="41"/>
        <v/>
      </c>
      <c r="P2667" s="13" t="s">
        <v>553</v>
      </c>
      <c r="Q2667" s="13" t="s">
        <v>553</v>
      </c>
      <c r="R2667" s="13" t="s">
        <v>306</v>
      </c>
      <c r="S2667" s="13" t="s">
        <v>0</v>
      </c>
      <c r="T2667" s="13" t="s">
        <v>9</v>
      </c>
      <c r="U2667" s="13" t="s">
        <v>307</v>
      </c>
      <c r="V2667" s="13" t="s">
        <v>0</v>
      </c>
      <c r="W2667" s="13" t="s">
        <v>0</v>
      </c>
      <c r="X2667" s="13" t="s">
        <v>0</v>
      </c>
      <c r="Y2667" s="13" t="s">
        <v>291</v>
      </c>
      <c r="Z2667" s="13" t="s">
        <v>0</v>
      </c>
      <c r="AA2667" s="14"/>
      <c r="AB2667" s="13" t="s">
        <v>0</v>
      </c>
      <c r="AC2667" s="13" t="s">
        <v>0</v>
      </c>
      <c r="AD2667" s="13" t="s">
        <v>0</v>
      </c>
      <c r="AE2667" s="15">
        <v>0</v>
      </c>
    </row>
    <row r="2668" spans="1:31" ht="14.15" customHeight="1" x14ac:dyDescent="0.25">
      <c r="A2668" s="12" t="s">
        <v>0</v>
      </c>
      <c r="B2668" s="13" t="s">
        <v>1</v>
      </c>
      <c r="C2668" s="13" t="s">
        <v>339</v>
      </c>
      <c r="D2668" s="14">
        <v>44046</v>
      </c>
      <c r="E2668" s="14">
        <v>44046</v>
      </c>
      <c r="F2668" s="14">
        <v>44051</v>
      </c>
      <c r="G2668" s="13" t="s">
        <v>3</v>
      </c>
      <c r="H2668" s="13" t="s">
        <v>4</v>
      </c>
      <c r="I2668" s="15">
        <v>-1999.18</v>
      </c>
      <c r="J2668" s="13" t="s">
        <v>5</v>
      </c>
      <c r="K2668" s="13" t="s">
        <v>6</v>
      </c>
      <c r="L2668" s="15">
        <v>-167831.16</v>
      </c>
      <c r="M2668" s="15">
        <v>-1999.18</v>
      </c>
      <c r="N2668" s="16" t="str">
        <f>IF(M2668="","",IF(M2668&lt;0,-M2668&amp;"_"&amp;COUNTIF(M$2:M2668,M2668),M2668&amp;"_"&amp;COUNTIF(M$2:M2668,M2668)))</f>
        <v>1999.18_1</v>
      </c>
      <c r="O2668" s="17" t="str">
        <f t="shared" si="41"/>
        <v/>
      </c>
      <c r="P2668" s="13" t="s">
        <v>340</v>
      </c>
      <c r="Q2668" s="13" t="s">
        <v>338</v>
      </c>
      <c r="R2668" s="13" t="s">
        <v>0</v>
      </c>
      <c r="S2668" s="13" t="s">
        <v>0</v>
      </c>
      <c r="T2668" s="13" t="s">
        <v>9</v>
      </c>
      <c r="U2668" s="13" t="s">
        <v>0</v>
      </c>
      <c r="V2668" s="13" t="s">
        <v>0</v>
      </c>
      <c r="W2668" s="13" t="s">
        <v>0</v>
      </c>
      <c r="X2668" s="13" t="s">
        <v>0</v>
      </c>
      <c r="Y2668" s="13" t="s">
        <v>10</v>
      </c>
      <c r="Z2668" s="13" t="s">
        <v>0</v>
      </c>
      <c r="AA2668" s="14"/>
      <c r="AB2668" s="13" t="s">
        <v>0</v>
      </c>
      <c r="AC2668" s="13" t="s">
        <v>0</v>
      </c>
      <c r="AD2668" s="13" t="s">
        <v>0</v>
      </c>
      <c r="AE2668" s="15">
        <v>0</v>
      </c>
    </row>
    <row r="2669" spans="1:31" ht="14.15" customHeight="1" x14ac:dyDescent="0.25">
      <c r="A2669" s="12" t="s">
        <v>0</v>
      </c>
      <c r="B2669" s="13" t="s">
        <v>303</v>
      </c>
      <c r="C2669" s="13" t="s">
        <v>1569</v>
      </c>
      <c r="D2669" s="14">
        <v>44165</v>
      </c>
      <c r="E2669" s="14">
        <v>44165</v>
      </c>
      <c r="F2669" s="14">
        <v>44171</v>
      </c>
      <c r="G2669" s="13" t="s">
        <v>48</v>
      </c>
      <c r="H2669" s="13" t="s">
        <v>4</v>
      </c>
      <c r="I2669" s="15">
        <v>-1998</v>
      </c>
      <c r="J2669" s="13" t="s">
        <v>5</v>
      </c>
      <c r="K2669" s="13" t="s">
        <v>6</v>
      </c>
      <c r="L2669" s="15">
        <v>-167732.1</v>
      </c>
      <c r="M2669" s="15">
        <v>-1998</v>
      </c>
      <c r="N2669" s="16" t="str">
        <f>IF(M2669="","",IF(M2669&lt;0,-M2669&amp;"_"&amp;COUNTIF(M$2:M2669,M2669),M2669&amp;"_"&amp;COUNTIF(M$2:M2669,M2669)))</f>
        <v>1998_1</v>
      </c>
      <c r="O2669" s="17" t="str">
        <f t="shared" si="41"/>
        <v/>
      </c>
      <c r="P2669" s="13" t="s">
        <v>1570</v>
      </c>
      <c r="Q2669" s="13" t="s">
        <v>1570</v>
      </c>
      <c r="R2669" s="13" t="s">
        <v>306</v>
      </c>
      <c r="S2669" s="13" t="s">
        <v>0</v>
      </c>
      <c r="T2669" s="13" t="s">
        <v>9</v>
      </c>
      <c r="U2669" s="13" t="s">
        <v>307</v>
      </c>
      <c r="V2669" s="13" t="s">
        <v>0</v>
      </c>
      <c r="W2669" s="13" t="s">
        <v>0</v>
      </c>
      <c r="X2669" s="13" t="s">
        <v>0</v>
      </c>
      <c r="Y2669" s="13" t="s">
        <v>291</v>
      </c>
      <c r="Z2669" s="13" t="s">
        <v>0</v>
      </c>
      <c r="AA2669" s="14"/>
      <c r="AB2669" s="13" t="s">
        <v>0</v>
      </c>
      <c r="AC2669" s="13" t="s">
        <v>0</v>
      </c>
      <c r="AD2669" s="13" t="s">
        <v>0</v>
      </c>
      <c r="AE2669" s="15">
        <v>0</v>
      </c>
    </row>
    <row r="2670" spans="1:31" ht="14.15" customHeight="1" x14ac:dyDescent="0.25">
      <c r="A2670" s="12" t="s">
        <v>0</v>
      </c>
      <c r="B2670" s="13" t="s">
        <v>1</v>
      </c>
      <c r="C2670" s="13" t="s">
        <v>2902</v>
      </c>
      <c r="D2670" s="14">
        <v>44275</v>
      </c>
      <c r="E2670" s="14">
        <v>44275</v>
      </c>
      <c r="F2670" s="14">
        <v>44286</v>
      </c>
      <c r="G2670" s="13" t="s">
        <v>3</v>
      </c>
      <c r="H2670" s="13" t="s">
        <v>4</v>
      </c>
      <c r="I2670" s="15">
        <v>-1996.73</v>
      </c>
      <c r="J2670" s="13" t="s">
        <v>5</v>
      </c>
      <c r="K2670" s="13" t="s">
        <v>6</v>
      </c>
      <c r="L2670" s="15">
        <v>-167625.48000000001</v>
      </c>
      <c r="M2670" s="15">
        <v>-1996.73</v>
      </c>
      <c r="N2670" s="16" t="str">
        <f>IF(M2670="","",IF(M2670&lt;0,-M2670&amp;"_"&amp;COUNTIF(M$2:M2670,M2670),M2670&amp;"_"&amp;COUNTIF(M$2:M2670,M2670)))</f>
        <v>1996.73_1</v>
      </c>
      <c r="O2670" s="17" t="str">
        <f t="shared" si="41"/>
        <v/>
      </c>
      <c r="P2670" s="13" t="s">
        <v>2903</v>
      </c>
      <c r="Q2670" s="13" t="s">
        <v>2881</v>
      </c>
      <c r="R2670" s="13" t="s">
        <v>0</v>
      </c>
      <c r="S2670" s="13" t="s">
        <v>0</v>
      </c>
      <c r="T2670" s="13" t="s">
        <v>9</v>
      </c>
      <c r="U2670" s="13" t="s">
        <v>0</v>
      </c>
      <c r="V2670" s="13" t="s">
        <v>0</v>
      </c>
      <c r="W2670" s="13" t="s">
        <v>0</v>
      </c>
      <c r="X2670" s="13" t="s">
        <v>0</v>
      </c>
      <c r="Y2670" s="13" t="s">
        <v>10</v>
      </c>
      <c r="Z2670" s="13" t="s">
        <v>0</v>
      </c>
      <c r="AA2670" s="14"/>
      <c r="AB2670" s="13" t="s">
        <v>0</v>
      </c>
      <c r="AC2670" s="13" t="s">
        <v>0</v>
      </c>
      <c r="AD2670" s="13" t="s">
        <v>0</v>
      </c>
      <c r="AE2670" s="15">
        <v>0</v>
      </c>
    </row>
    <row r="2671" spans="1:31" ht="14.15" customHeight="1" x14ac:dyDescent="0.25">
      <c r="A2671" s="12" t="s">
        <v>0</v>
      </c>
      <c r="B2671" s="13" t="s">
        <v>1</v>
      </c>
      <c r="C2671" s="13" t="s">
        <v>1700</v>
      </c>
      <c r="D2671" s="14">
        <v>44173</v>
      </c>
      <c r="E2671" s="14">
        <v>44173</v>
      </c>
      <c r="F2671" s="14">
        <v>44185</v>
      </c>
      <c r="G2671" s="13" t="s">
        <v>3</v>
      </c>
      <c r="H2671" s="13" t="s">
        <v>4</v>
      </c>
      <c r="I2671" s="15">
        <v>-1994.55</v>
      </c>
      <c r="J2671" s="13" t="s">
        <v>5</v>
      </c>
      <c r="K2671" s="13" t="s">
        <v>6</v>
      </c>
      <c r="L2671" s="15">
        <v>-167442.48000000001</v>
      </c>
      <c r="M2671" s="15">
        <v>-1994.55</v>
      </c>
      <c r="N2671" s="16" t="str">
        <f>IF(M2671="","",IF(M2671&lt;0,-M2671&amp;"_"&amp;COUNTIF(M$2:M2671,M2671),M2671&amp;"_"&amp;COUNTIF(M$2:M2671,M2671)))</f>
        <v>1994.55_1</v>
      </c>
      <c r="O2671" s="17" t="str">
        <f t="shared" si="41"/>
        <v/>
      </c>
      <c r="P2671" s="13" t="s">
        <v>1701</v>
      </c>
      <c r="Q2671" s="13" t="s">
        <v>1687</v>
      </c>
      <c r="R2671" s="13" t="s">
        <v>0</v>
      </c>
      <c r="S2671" s="13" t="s">
        <v>0</v>
      </c>
      <c r="T2671" s="13" t="s">
        <v>9</v>
      </c>
      <c r="U2671" s="13" t="s">
        <v>0</v>
      </c>
      <c r="V2671" s="13" t="s">
        <v>0</v>
      </c>
      <c r="W2671" s="13" t="s">
        <v>0</v>
      </c>
      <c r="X2671" s="13" t="s">
        <v>0</v>
      </c>
      <c r="Y2671" s="13" t="s">
        <v>10</v>
      </c>
      <c r="Z2671" s="13" t="s">
        <v>0</v>
      </c>
      <c r="AA2671" s="14"/>
      <c r="AB2671" s="13" t="s">
        <v>0</v>
      </c>
      <c r="AC2671" s="13" t="s">
        <v>0</v>
      </c>
      <c r="AD2671" s="13" t="s">
        <v>0</v>
      </c>
      <c r="AE2671" s="15">
        <v>0</v>
      </c>
    </row>
    <row r="2672" spans="1:31" ht="14.15" customHeight="1" x14ac:dyDescent="0.25">
      <c r="A2672" s="12" t="s">
        <v>0</v>
      </c>
      <c r="B2672" s="13" t="s">
        <v>1</v>
      </c>
      <c r="C2672" s="13" t="s">
        <v>1017</v>
      </c>
      <c r="D2672" s="14">
        <v>44129</v>
      </c>
      <c r="E2672" s="14">
        <v>44129</v>
      </c>
      <c r="F2672" s="14">
        <v>44136</v>
      </c>
      <c r="G2672" s="13" t="s">
        <v>3</v>
      </c>
      <c r="H2672" s="13" t="s">
        <v>4</v>
      </c>
      <c r="I2672" s="15">
        <v>-1984.75</v>
      </c>
      <c r="J2672" s="13" t="s">
        <v>5</v>
      </c>
      <c r="K2672" s="13" t="s">
        <v>6</v>
      </c>
      <c r="L2672" s="15">
        <v>-166619.76</v>
      </c>
      <c r="M2672" s="15">
        <v>-1984.75</v>
      </c>
      <c r="N2672" s="16" t="str">
        <f>IF(M2672="","",IF(M2672&lt;0,-M2672&amp;"_"&amp;COUNTIF(M$2:M2672,M2672),M2672&amp;"_"&amp;COUNTIF(M$2:M2672,M2672)))</f>
        <v>1984.75_1</v>
      </c>
      <c r="O2672" s="17" t="str">
        <f t="shared" si="41"/>
        <v/>
      </c>
      <c r="P2672" s="13" t="s">
        <v>1018</v>
      </c>
      <c r="Q2672" s="13" t="s">
        <v>1019</v>
      </c>
      <c r="R2672" s="13" t="s">
        <v>0</v>
      </c>
      <c r="S2672" s="13" t="s">
        <v>0</v>
      </c>
      <c r="T2672" s="13" t="s">
        <v>9</v>
      </c>
      <c r="U2672" s="13" t="s">
        <v>0</v>
      </c>
      <c r="V2672" s="13" t="s">
        <v>0</v>
      </c>
      <c r="W2672" s="13" t="s">
        <v>0</v>
      </c>
      <c r="X2672" s="13" t="s">
        <v>0</v>
      </c>
      <c r="Y2672" s="13" t="s">
        <v>10</v>
      </c>
      <c r="Z2672" s="13" t="s">
        <v>0</v>
      </c>
      <c r="AA2672" s="14"/>
      <c r="AB2672" s="13" t="s">
        <v>0</v>
      </c>
      <c r="AC2672" s="13" t="s">
        <v>0</v>
      </c>
      <c r="AD2672" s="13" t="s">
        <v>0</v>
      </c>
      <c r="AE2672" s="15">
        <v>0</v>
      </c>
    </row>
    <row r="2673" spans="1:31" ht="14.15" customHeight="1" x14ac:dyDescent="0.25">
      <c r="A2673" s="12" t="s">
        <v>0</v>
      </c>
      <c r="B2673" s="13" t="s">
        <v>1</v>
      </c>
      <c r="C2673" s="13" t="s">
        <v>168</v>
      </c>
      <c r="D2673" s="14">
        <v>44033</v>
      </c>
      <c r="E2673" s="14">
        <v>44033</v>
      </c>
      <c r="F2673" s="14">
        <v>44037</v>
      </c>
      <c r="G2673" s="13" t="s">
        <v>3</v>
      </c>
      <c r="H2673" s="13" t="s">
        <v>4</v>
      </c>
      <c r="I2673" s="15">
        <v>-1982.26</v>
      </c>
      <c r="J2673" s="13" t="s">
        <v>5</v>
      </c>
      <c r="K2673" s="13" t="s">
        <v>6</v>
      </c>
      <c r="L2673" s="15">
        <v>-166410.73000000001</v>
      </c>
      <c r="M2673" s="15">
        <v>-1982.26</v>
      </c>
      <c r="N2673" s="16" t="str">
        <f>IF(M2673="","",IF(M2673&lt;0,-M2673&amp;"_"&amp;COUNTIF(M$2:M2673,M2673),M2673&amp;"_"&amp;COUNTIF(M$2:M2673,M2673)))</f>
        <v>1982.26_1</v>
      </c>
      <c r="O2673" s="17" t="str">
        <f t="shared" si="41"/>
        <v/>
      </c>
      <c r="P2673" s="13" t="s">
        <v>169</v>
      </c>
      <c r="Q2673" s="13" t="s">
        <v>170</v>
      </c>
      <c r="R2673" s="13" t="s">
        <v>0</v>
      </c>
      <c r="S2673" s="13" t="s">
        <v>0</v>
      </c>
      <c r="T2673" s="13" t="s">
        <v>9</v>
      </c>
      <c r="U2673" s="13" t="s">
        <v>0</v>
      </c>
      <c r="V2673" s="13" t="s">
        <v>0</v>
      </c>
      <c r="W2673" s="13" t="s">
        <v>0</v>
      </c>
      <c r="X2673" s="13" t="s">
        <v>0</v>
      </c>
      <c r="Y2673" s="13" t="s">
        <v>10</v>
      </c>
      <c r="Z2673" s="13" t="s">
        <v>0</v>
      </c>
      <c r="AA2673" s="14"/>
      <c r="AB2673" s="13" t="s">
        <v>0</v>
      </c>
      <c r="AC2673" s="13" t="s">
        <v>0</v>
      </c>
      <c r="AD2673" s="13" t="s">
        <v>0</v>
      </c>
      <c r="AE2673" s="15">
        <v>0</v>
      </c>
    </row>
    <row r="2674" spans="1:31" ht="14.15" customHeight="1" x14ac:dyDescent="0.25">
      <c r="A2674" s="12" t="s">
        <v>0</v>
      </c>
      <c r="B2674" s="13" t="s">
        <v>1</v>
      </c>
      <c r="C2674" s="13" t="s">
        <v>2898</v>
      </c>
      <c r="D2674" s="14">
        <v>44275</v>
      </c>
      <c r="E2674" s="14">
        <v>44275</v>
      </c>
      <c r="F2674" s="14">
        <v>44286</v>
      </c>
      <c r="G2674" s="13" t="s">
        <v>3</v>
      </c>
      <c r="H2674" s="13" t="s">
        <v>4</v>
      </c>
      <c r="I2674" s="15">
        <v>-1970.29</v>
      </c>
      <c r="J2674" s="13" t="s">
        <v>5</v>
      </c>
      <c r="K2674" s="13" t="s">
        <v>6</v>
      </c>
      <c r="L2674" s="15">
        <v>-165405.85</v>
      </c>
      <c r="M2674" s="15">
        <v>-1970.29</v>
      </c>
      <c r="N2674" s="16" t="str">
        <f>IF(M2674="","",IF(M2674&lt;0,-M2674&amp;"_"&amp;COUNTIF(M$2:M2674,M2674),M2674&amp;"_"&amp;COUNTIF(M$2:M2674,M2674)))</f>
        <v>1970.29_1</v>
      </c>
      <c r="O2674" s="17" t="str">
        <f t="shared" si="41"/>
        <v/>
      </c>
      <c r="P2674" s="13" t="s">
        <v>2899</v>
      </c>
      <c r="Q2674" s="13" t="s">
        <v>2881</v>
      </c>
      <c r="R2674" s="13" t="s">
        <v>0</v>
      </c>
      <c r="S2674" s="13" t="s">
        <v>0</v>
      </c>
      <c r="T2674" s="13" t="s">
        <v>9</v>
      </c>
      <c r="U2674" s="13" t="s">
        <v>0</v>
      </c>
      <c r="V2674" s="13" t="s">
        <v>0</v>
      </c>
      <c r="W2674" s="13" t="s">
        <v>0</v>
      </c>
      <c r="X2674" s="13" t="s">
        <v>0</v>
      </c>
      <c r="Y2674" s="13" t="s">
        <v>10</v>
      </c>
      <c r="Z2674" s="13" t="s">
        <v>0</v>
      </c>
      <c r="AA2674" s="14"/>
      <c r="AB2674" s="13" t="s">
        <v>0</v>
      </c>
      <c r="AC2674" s="13" t="s">
        <v>0</v>
      </c>
      <c r="AD2674" s="13" t="s">
        <v>0</v>
      </c>
      <c r="AE2674" s="15">
        <v>0</v>
      </c>
    </row>
    <row r="2675" spans="1:31" ht="14.15" customHeight="1" x14ac:dyDescent="0.25">
      <c r="A2675" s="12" t="s">
        <v>0</v>
      </c>
      <c r="B2675" s="13" t="s">
        <v>1</v>
      </c>
      <c r="C2675" s="13" t="s">
        <v>317</v>
      </c>
      <c r="D2675" s="14">
        <v>44043</v>
      </c>
      <c r="E2675" s="14">
        <v>44043</v>
      </c>
      <c r="F2675" s="14">
        <v>44057</v>
      </c>
      <c r="G2675" s="13" t="s">
        <v>3</v>
      </c>
      <c r="H2675" s="13" t="s">
        <v>4</v>
      </c>
      <c r="I2675" s="15">
        <v>-1964.94</v>
      </c>
      <c r="J2675" s="13" t="s">
        <v>5</v>
      </c>
      <c r="K2675" s="13" t="s">
        <v>6</v>
      </c>
      <c r="L2675" s="15">
        <v>-164956.71</v>
      </c>
      <c r="M2675" s="15">
        <v>-1964.94</v>
      </c>
      <c r="N2675" s="16" t="str">
        <f>IF(M2675="","",IF(M2675&lt;0,-M2675&amp;"_"&amp;COUNTIF(M$2:M2675,M2675),M2675&amp;"_"&amp;COUNTIF(M$2:M2675,M2675)))</f>
        <v>1964.94_1</v>
      </c>
      <c r="O2675" s="17" t="str">
        <f t="shared" si="41"/>
        <v/>
      </c>
      <c r="P2675" s="13" t="s">
        <v>318</v>
      </c>
      <c r="Q2675" s="13" t="s">
        <v>316</v>
      </c>
      <c r="R2675" s="13" t="s">
        <v>0</v>
      </c>
      <c r="S2675" s="13" t="s">
        <v>0</v>
      </c>
      <c r="T2675" s="13" t="s">
        <v>9</v>
      </c>
      <c r="U2675" s="13" t="s">
        <v>0</v>
      </c>
      <c r="V2675" s="13" t="s">
        <v>0</v>
      </c>
      <c r="W2675" s="13" t="s">
        <v>0</v>
      </c>
      <c r="X2675" s="13" t="s">
        <v>0</v>
      </c>
      <c r="Y2675" s="13" t="s">
        <v>10</v>
      </c>
      <c r="Z2675" s="13" t="s">
        <v>0</v>
      </c>
      <c r="AA2675" s="14"/>
      <c r="AB2675" s="13" t="s">
        <v>0</v>
      </c>
      <c r="AC2675" s="13" t="s">
        <v>0</v>
      </c>
      <c r="AD2675" s="13" t="s">
        <v>0</v>
      </c>
      <c r="AE2675" s="15">
        <v>0</v>
      </c>
    </row>
    <row r="2676" spans="1:31" ht="14.15" customHeight="1" x14ac:dyDescent="0.25">
      <c r="A2676" s="12" t="s">
        <v>0</v>
      </c>
      <c r="B2676" s="13" t="s">
        <v>1</v>
      </c>
      <c r="C2676" s="13" t="s">
        <v>2882</v>
      </c>
      <c r="D2676" s="14">
        <v>44275</v>
      </c>
      <c r="E2676" s="14">
        <v>44275</v>
      </c>
      <c r="F2676" s="14">
        <v>44279</v>
      </c>
      <c r="G2676" s="13" t="s">
        <v>3</v>
      </c>
      <c r="H2676" s="13" t="s">
        <v>4</v>
      </c>
      <c r="I2676" s="15">
        <v>-1963.67</v>
      </c>
      <c r="J2676" s="13" t="s">
        <v>5</v>
      </c>
      <c r="K2676" s="13" t="s">
        <v>6</v>
      </c>
      <c r="L2676" s="15">
        <v>-164850.1</v>
      </c>
      <c r="M2676" s="15">
        <v>-1963.67</v>
      </c>
      <c r="N2676" s="16" t="str">
        <f>IF(M2676="","",IF(M2676&lt;0,-M2676&amp;"_"&amp;COUNTIF(M$2:M2676,M2676),M2676&amp;"_"&amp;COUNTIF(M$2:M2676,M2676)))</f>
        <v>1963.67_1</v>
      </c>
      <c r="O2676" s="17" t="str">
        <f t="shared" si="41"/>
        <v/>
      </c>
      <c r="P2676" s="13" t="s">
        <v>2883</v>
      </c>
      <c r="Q2676" s="13" t="s">
        <v>2881</v>
      </c>
      <c r="R2676" s="13" t="s">
        <v>0</v>
      </c>
      <c r="S2676" s="13" t="s">
        <v>0</v>
      </c>
      <c r="T2676" s="13" t="s">
        <v>9</v>
      </c>
      <c r="U2676" s="13" t="s">
        <v>0</v>
      </c>
      <c r="V2676" s="13" t="s">
        <v>0</v>
      </c>
      <c r="W2676" s="13" t="s">
        <v>0</v>
      </c>
      <c r="X2676" s="13" t="s">
        <v>0</v>
      </c>
      <c r="Y2676" s="13" t="s">
        <v>10</v>
      </c>
      <c r="Z2676" s="13" t="s">
        <v>0</v>
      </c>
      <c r="AA2676" s="14"/>
      <c r="AB2676" s="13" t="s">
        <v>0</v>
      </c>
      <c r="AC2676" s="13" t="s">
        <v>0</v>
      </c>
      <c r="AD2676" s="13" t="s">
        <v>0</v>
      </c>
      <c r="AE2676" s="15">
        <v>0</v>
      </c>
    </row>
    <row r="2677" spans="1:31" ht="14.15" customHeight="1" x14ac:dyDescent="0.25">
      <c r="A2677" s="12" t="s">
        <v>0</v>
      </c>
      <c r="B2677" s="13" t="s">
        <v>1</v>
      </c>
      <c r="C2677" s="13" t="s">
        <v>2886</v>
      </c>
      <c r="D2677" s="14">
        <v>44275</v>
      </c>
      <c r="E2677" s="14">
        <v>44275</v>
      </c>
      <c r="F2677" s="14">
        <v>44279</v>
      </c>
      <c r="G2677" s="13" t="s">
        <v>3</v>
      </c>
      <c r="H2677" s="13" t="s">
        <v>4</v>
      </c>
      <c r="I2677" s="15">
        <v>-1963.67</v>
      </c>
      <c r="J2677" s="13" t="s">
        <v>5</v>
      </c>
      <c r="K2677" s="13" t="s">
        <v>6</v>
      </c>
      <c r="L2677" s="15">
        <v>-164850.1</v>
      </c>
      <c r="M2677" s="15">
        <v>-1963.67</v>
      </c>
      <c r="N2677" s="16" t="str">
        <f>IF(M2677="","",IF(M2677&lt;0,-M2677&amp;"_"&amp;COUNTIF(M$2:M2677,M2677),M2677&amp;"_"&amp;COUNTIF(M$2:M2677,M2677)))</f>
        <v>1963.67_2</v>
      </c>
      <c r="O2677" s="17" t="str">
        <f t="shared" si="41"/>
        <v/>
      </c>
      <c r="P2677" s="13" t="s">
        <v>2887</v>
      </c>
      <c r="Q2677" s="13" t="s">
        <v>2881</v>
      </c>
      <c r="R2677" s="13" t="s">
        <v>0</v>
      </c>
      <c r="S2677" s="13" t="s">
        <v>0</v>
      </c>
      <c r="T2677" s="13" t="s">
        <v>9</v>
      </c>
      <c r="U2677" s="13" t="s">
        <v>0</v>
      </c>
      <c r="V2677" s="13" t="s">
        <v>0</v>
      </c>
      <c r="W2677" s="13" t="s">
        <v>0</v>
      </c>
      <c r="X2677" s="13" t="s">
        <v>0</v>
      </c>
      <c r="Y2677" s="13" t="s">
        <v>10</v>
      </c>
      <c r="Z2677" s="13" t="s">
        <v>0</v>
      </c>
      <c r="AA2677" s="14"/>
      <c r="AB2677" s="13" t="s">
        <v>0</v>
      </c>
      <c r="AC2677" s="13" t="s">
        <v>0</v>
      </c>
      <c r="AD2677" s="13" t="s">
        <v>0</v>
      </c>
      <c r="AE2677" s="15">
        <v>0</v>
      </c>
    </row>
    <row r="2678" spans="1:31" ht="14.15" customHeight="1" x14ac:dyDescent="0.25">
      <c r="A2678" s="12" t="s">
        <v>0</v>
      </c>
      <c r="B2678" s="13" t="s">
        <v>1</v>
      </c>
      <c r="C2678" s="13" t="s">
        <v>3252</v>
      </c>
      <c r="D2678" s="14">
        <v>44308</v>
      </c>
      <c r="E2678" s="14">
        <v>44308</v>
      </c>
      <c r="F2678" s="14">
        <v>44312</v>
      </c>
      <c r="G2678" s="13" t="s">
        <v>3</v>
      </c>
      <c r="H2678" s="13" t="s">
        <v>4</v>
      </c>
      <c r="I2678" s="15">
        <v>-1962.85</v>
      </c>
      <c r="J2678" s="13" t="s">
        <v>5</v>
      </c>
      <c r="K2678" s="13" t="s">
        <v>6</v>
      </c>
      <c r="L2678" s="15">
        <v>-164781.26</v>
      </c>
      <c r="M2678" s="15">
        <v>-1962.85</v>
      </c>
      <c r="N2678" s="16" t="str">
        <f>IF(M2678="","",IF(M2678&lt;0,-M2678&amp;"_"&amp;COUNTIF(M$2:M2678,M2678),M2678&amp;"_"&amp;COUNTIF(M$2:M2678,M2678)))</f>
        <v>1962.85_1</v>
      </c>
      <c r="O2678" s="17" t="str">
        <f t="shared" si="41"/>
        <v/>
      </c>
      <c r="P2678" s="13" t="s">
        <v>3253</v>
      </c>
      <c r="Q2678" s="13" t="s">
        <v>3251</v>
      </c>
      <c r="R2678" s="13" t="s">
        <v>0</v>
      </c>
      <c r="S2678" s="13" t="s">
        <v>0</v>
      </c>
      <c r="T2678" s="13" t="s">
        <v>9</v>
      </c>
      <c r="U2678" s="13" t="s">
        <v>0</v>
      </c>
      <c r="V2678" s="13" t="s">
        <v>0</v>
      </c>
      <c r="W2678" s="13" t="s">
        <v>0</v>
      </c>
      <c r="X2678" s="13" t="s">
        <v>0</v>
      </c>
      <c r="Y2678" s="13" t="s">
        <v>10</v>
      </c>
      <c r="Z2678" s="13" t="s">
        <v>0</v>
      </c>
      <c r="AA2678" s="14"/>
      <c r="AB2678" s="13" t="s">
        <v>0</v>
      </c>
      <c r="AC2678" s="13" t="s">
        <v>0</v>
      </c>
      <c r="AD2678" s="13" t="s">
        <v>0</v>
      </c>
      <c r="AE2678" s="15">
        <v>0</v>
      </c>
    </row>
    <row r="2679" spans="1:31" ht="14.15" customHeight="1" x14ac:dyDescent="0.25">
      <c r="A2679" s="12" t="s">
        <v>0</v>
      </c>
      <c r="B2679" s="13" t="s">
        <v>1</v>
      </c>
      <c r="C2679" s="13" t="s">
        <v>2331</v>
      </c>
      <c r="D2679" s="14">
        <v>44221</v>
      </c>
      <c r="E2679" s="14">
        <v>44221</v>
      </c>
      <c r="F2679" s="14">
        <v>44226</v>
      </c>
      <c r="G2679" s="13" t="s">
        <v>3</v>
      </c>
      <c r="H2679" s="13" t="s">
        <v>4</v>
      </c>
      <c r="I2679" s="15">
        <v>-1953.52</v>
      </c>
      <c r="J2679" s="13" t="s">
        <v>5</v>
      </c>
      <c r="K2679" s="13" t="s">
        <v>6</v>
      </c>
      <c r="L2679" s="15">
        <v>-163998</v>
      </c>
      <c r="M2679" s="15">
        <v>-1953.52</v>
      </c>
      <c r="N2679" s="16" t="str">
        <f>IF(M2679="","",IF(M2679&lt;0,-M2679&amp;"_"&amp;COUNTIF(M$2:M2679,M2679),M2679&amp;"_"&amp;COUNTIF(M$2:M2679,M2679)))</f>
        <v>1953.52_1</v>
      </c>
      <c r="O2679" s="17" t="str">
        <f t="shared" si="41"/>
        <v/>
      </c>
      <c r="P2679" s="13" t="s">
        <v>2332</v>
      </c>
      <c r="Q2679" s="13" t="s">
        <v>2330</v>
      </c>
      <c r="R2679" s="13" t="s">
        <v>0</v>
      </c>
      <c r="S2679" s="13" t="s">
        <v>0</v>
      </c>
      <c r="T2679" s="13" t="s">
        <v>9</v>
      </c>
      <c r="U2679" s="13" t="s">
        <v>0</v>
      </c>
      <c r="V2679" s="13" t="s">
        <v>0</v>
      </c>
      <c r="W2679" s="13" t="s">
        <v>0</v>
      </c>
      <c r="X2679" s="13" t="s">
        <v>0</v>
      </c>
      <c r="Y2679" s="13" t="s">
        <v>10</v>
      </c>
      <c r="Z2679" s="13" t="s">
        <v>0</v>
      </c>
      <c r="AA2679" s="14"/>
      <c r="AB2679" s="13" t="s">
        <v>0</v>
      </c>
      <c r="AC2679" s="13" t="s">
        <v>0</v>
      </c>
      <c r="AD2679" s="13" t="s">
        <v>0</v>
      </c>
      <c r="AE2679" s="15">
        <v>0</v>
      </c>
    </row>
    <row r="2680" spans="1:31" ht="14.15" customHeight="1" x14ac:dyDescent="0.25">
      <c r="A2680" s="12" t="s">
        <v>0</v>
      </c>
      <c r="B2680" s="13" t="s">
        <v>1</v>
      </c>
      <c r="C2680" s="13" t="s">
        <v>2539</v>
      </c>
      <c r="D2680" s="14">
        <v>44238</v>
      </c>
      <c r="E2680" s="14">
        <v>44238</v>
      </c>
      <c r="F2680" s="14">
        <v>44243</v>
      </c>
      <c r="G2680" s="13" t="s">
        <v>3</v>
      </c>
      <c r="H2680" s="13" t="s">
        <v>4</v>
      </c>
      <c r="I2680" s="15">
        <v>-1952.57</v>
      </c>
      <c r="J2680" s="13" t="s">
        <v>5</v>
      </c>
      <c r="K2680" s="13" t="s">
        <v>6</v>
      </c>
      <c r="L2680" s="15">
        <v>-163918.25</v>
      </c>
      <c r="M2680" s="15">
        <v>-1952.57</v>
      </c>
      <c r="N2680" s="16" t="str">
        <f>IF(M2680="","",IF(M2680&lt;0,-M2680&amp;"_"&amp;COUNTIF(M$2:M2680,M2680),M2680&amp;"_"&amp;COUNTIF(M$2:M2680,M2680)))</f>
        <v>1952.57_1</v>
      </c>
      <c r="O2680" s="17" t="str">
        <f t="shared" si="41"/>
        <v/>
      </c>
      <c r="P2680" s="13" t="s">
        <v>2540</v>
      </c>
      <c r="Q2680" s="13" t="s">
        <v>2528</v>
      </c>
      <c r="R2680" s="13" t="s">
        <v>0</v>
      </c>
      <c r="S2680" s="13" t="s">
        <v>0</v>
      </c>
      <c r="T2680" s="13" t="s">
        <v>9</v>
      </c>
      <c r="U2680" s="13" t="s">
        <v>0</v>
      </c>
      <c r="V2680" s="13" t="s">
        <v>0</v>
      </c>
      <c r="W2680" s="13" t="s">
        <v>0</v>
      </c>
      <c r="X2680" s="13" t="s">
        <v>0</v>
      </c>
      <c r="Y2680" s="13" t="s">
        <v>10</v>
      </c>
      <c r="Z2680" s="13" t="s">
        <v>0</v>
      </c>
      <c r="AA2680" s="14"/>
      <c r="AB2680" s="13" t="s">
        <v>0</v>
      </c>
      <c r="AC2680" s="13" t="s">
        <v>0</v>
      </c>
      <c r="AD2680" s="13" t="s">
        <v>0</v>
      </c>
      <c r="AE2680" s="15">
        <v>0</v>
      </c>
    </row>
    <row r="2681" spans="1:31" ht="14.15" customHeight="1" x14ac:dyDescent="0.25">
      <c r="A2681" s="12" t="s">
        <v>0</v>
      </c>
      <c r="B2681" s="13" t="s">
        <v>1</v>
      </c>
      <c r="C2681" s="13" t="s">
        <v>1832</v>
      </c>
      <c r="D2681" s="14">
        <v>44184</v>
      </c>
      <c r="E2681" s="14">
        <v>44184</v>
      </c>
      <c r="F2681" s="14">
        <v>44196</v>
      </c>
      <c r="G2681" s="13" t="s">
        <v>3</v>
      </c>
      <c r="H2681" s="13" t="s">
        <v>4</v>
      </c>
      <c r="I2681" s="15">
        <v>-1947.25</v>
      </c>
      <c r="J2681" s="13" t="s">
        <v>5</v>
      </c>
      <c r="K2681" s="13" t="s">
        <v>6</v>
      </c>
      <c r="L2681" s="15">
        <v>-163471.64000000001</v>
      </c>
      <c r="M2681" s="15">
        <v>-1947.25</v>
      </c>
      <c r="N2681" s="16" t="str">
        <f>IF(M2681="","",IF(M2681&lt;0,-M2681&amp;"_"&amp;COUNTIF(M$2:M2681,M2681),M2681&amp;"_"&amp;COUNTIF(M$2:M2681,M2681)))</f>
        <v>1947.25_1</v>
      </c>
      <c r="O2681" s="17" t="str">
        <f t="shared" si="41"/>
        <v/>
      </c>
      <c r="P2681" s="13" t="s">
        <v>1833</v>
      </c>
      <c r="Q2681" s="13" t="s">
        <v>1831</v>
      </c>
      <c r="R2681" s="13" t="s">
        <v>0</v>
      </c>
      <c r="S2681" s="13" t="s">
        <v>0</v>
      </c>
      <c r="T2681" s="13" t="s">
        <v>9</v>
      </c>
      <c r="U2681" s="13" t="s">
        <v>0</v>
      </c>
      <c r="V2681" s="13" t="s">
        <v>0</v>
      </c>
      <c r="W2681" s="13" t="s">
        <v>0</v>
      </c>
      <c r="X2681" s="13" t="s">
        <v>0</v>
      </c>
      <c r="Y2681" s="13" t="s">
        <v>10</v>
      </c>
      <c r="Z2681" s="13" t="s">
        <v>0</v>
      </c>
      <c r="AA2681" s="14"/>
      <c r="AB2681" s="13" t="s">
        <v>0</v>
      </c>
      <c r="AC2681" s="13" t="s">
        <v>0</v>
      </c>
      <c r="AD2681" s="13" t="s">
        <v>0</v>
      </c>
      <c r="AE2681" s="15">
        <v>0</v>
      </c>
    </row>
    <row r="2682" spans="1:31" ht="14.15" customHeight="1" x14ac:dyDescent="0.25">
      <c r="A2682" s="12" t="s">
        <v>0</v>
      </c>
      <c r="B2682" s="13" t="s">
        <v>1</v>
      </c>
      <c r="C2682" s="13" t="s">
        <v>2890</v>
      </c>
      <c r="D2682" s="14">
        <v>44275</v>
      </c>
      <c r="E2682" s="14">
        <v>44275</v>
      </c>
      <c r="F2682" s="14">
        <v>44279</v>
      </c>
      <c r="G2682" s="13" t="s">
        <v>3</v>
      </c>
      <c r="H2682" s="13" t="s">
        <v>4</v>
      </c>
      <c r="I2682" s="15">
        <v>-1944.02</v>
      </c>
      <c r="J2682" s="13" t="s">
        <v>5</v>
      </c>
      <c r="K2682" s="13" t="s">
        <v>6</v>
      </c>
      <c r="L2682" s="15">
        <v>-163200.48000000001</v>
      </c>
      <c r="M2682" s="15">
        <v>-1944.02</v>
      </c>
      <c r="N2682" s="16" t="str">
        <f>IF(M2682="","",IF(M2682&lt;0,-M2682&amp;"_"&amp;COUNTIF(M$2:M2682,M2682),M2682&amp;"_"&amp;COUNTIF(M$2:M2682,M2682)))</f>
        <v>1944.02_1</v>
      </c>
      <c r="O2682" s="17" t="str">
        <f t="shared" si="41"/>
        <v/>
      </c>
      <c r="P2682" s="13" t="s">
        <v>2891</v>
      </c>
      <c r="Q2682" s="13" t="s">
        <v>2881</v>
      </c>
      <c r="R2682" s="13" t="s">
        <v>0</v>
      </c>
      <c r="S2682" s="13" t="s">
        <v>0</v>
      </c>
      <c r="T2682" s="13" t="s">
        <v>9</v>
      </c>
      <c r="U2682" s="13" t="s">
        <v>0</v>
      </c>
      <c r="V2682" s="13" t="s">
        <v>0</v>
      </c>
      <c r="W2682" s="13" t="s">
        <v>0</v>
      </c>
      <c r="X2682" s="13" t="s">
        <v>0</v>
      </c>
      <c r="Y2682" s="13" t="s">
        <v>10</v>
      </c>
      <c r="Z2682" s="13" t="s">
        <v>0</v>
      </c>
      <c r="AA2682" s="14"/>
      <c r="AB2682" s="13" t="s">
        <v>0</v>
      </c>
      <c r="AC2682" s="13" t="s">
        <v>0</v>
      </c>
      <c r="AD2682" s="13" t="s">
        <v>0</v>
      </c>
      <c r="AE2682" s="15">
        <v>0</v>
      </c>
    </row>
    <row r="2683" spans="1:31" ht="14.15" customHeight="1" x14ac:dyDescent="0.25">
      <c r="A2683" s="12" t="s">
        <v>0</v>
      </c>
      <c r="B2683" s="13" t="s">
        <v>1</v>
      </c>
      <c r="C2683" s="13" t="s">
        <v>2894</v>
      </c>
      <c r="D2683" s="14">
        <v>44275</v>
      </c>
      <c r="E2683" s="14">
        <v>44275</v>
      </c>
      <c r="F2683" s="14">
        <v>44279</v>
      </c>
      <c r="G2683" s="13" t="s">
        <v>3</v>
      </c>
      <c r="H2683" s="13" t="s">
        <v>4</v>
      </c>
      <c r="I2683" s="15">
        <v>-1944.02</v>
      </c>
      <c r="J2683" s="13" t="s">
        <v>5</v>
      </c>
      <c r="K2683" s="13" t="s">
        <v>6</v>
      </c>
      <c r="L2683" s="15">
        <v>-163200.48000000001</v>
      </c>
      <c r="M2683" s="15">
        <v>-1944.02</v>
      </c>
      <c r="N2683" s="16" t="str">
        <f>IF(M2683="","",IF(M2683&lt;0,-M2683&amp;"_"&amp;COUNTIF(M$2:M2683,M2683),M2683&amp;"_"&amp;COUNTIF(M$2:M2683,M2683)))</f>
        <v>1944.02_2</v>
      </c>
      <c r="O2683" s="17" t="str">
        <f t="shared" si="41"/>
        <v/>
      </c>
      <c r="P2683" s="13" t="s">
        <v>2895</v>
      </c>
      <c r="Q2683" s="13" t="s">
        <v>2881</v>
      </c>
      <c r="R2683" s="13" t="s">
        <v>0</v>
      </c>
      <c r="S2683" s="13" t="s">
        <v>0</v>
      </c>
      <c r="T2683" s="13" t="s">
        <v>9</v>
      </c>
      <c r="U2683" s="13" t="s">
        <v>0</v>
      </c>
      <c r="V2683" s="13" t="s">
        <v>0</v>
      </c>
      <c r="W2683" s="13" t="s">
        <v>0</v>
      </c>
      <c r="X2683" s="13" t="s">
        <v>0</v>
      </c>
      <c r="Y2683" s="13" t="s">
        <v>10</v>
      </c>
      <c r="Z2683" s="13" t="s">
        <v>0</v>
      </c>
      <c r="AA2683" s="14"/>
      <c r="AB2683" s="13" t="s">
        <v>0</v>
      </c>
      <c r="AC2683" s="13" t="s">
        <v>0</v>
      </c>
      <c r="AD2683" s="13" t="s">
        <v>0</v>
      </c>
      <c r="AE2683" s="15">
        <v>0</v>
      </c>
    </row>
    <row r="2684" spans="1:31" ht="14.15" customHeight="1" x14ac:dyDescent="0.25">
      <c r="A2684" s="12" t="s">
        <v>0</v>
      </c>
      <c r="B2684" s="13" t="s">
        <v>1</v>
      </c>
      <c r="C2684" s="13" t="s">
        <v>935</v>
      </c>
      <c r="D2684" s="14">
        <v>44118</v>
      </c>
      <c r="E2684" s="14">
        <v>44118</v>
      </c>
      <c r="F2684" s="14">
        <v>44132</v>
      </c>
      <c r="G2684" s="13" t="s">
        <v>3</v>
      </c>
      <c r="H2684" s="13" t="s">
        <v>4</v>
      </c>
      <c r="I2684" s="15">
        <v>-1943.06</v>
      </c>
      <c r="J2684" s="13" t="s">
        <v>5</v>
      </c>
      <c r="K2684" s="13" t="s">
        <v>6</v>
      </c>
      <c r="L2684" s="15">
        <v>-163119.89000000001</v>
      </c>
      <c r="M2684" s="15">
        <v>-1943.06</v>
      </c>
      <c r="N2684" s="16" t="str">
        <f>IF(M2684="","",IF(M2684&lt;0,-M2684&amp;"_"&amp;COUNTIF(M$2:M2684,M2684),M2684&amp;"_"&amp;COUNTIF(M$2:M2684,M2684)))</f>
        <v>1943.06_1</v>
      </c>
      <c r="O2684" s="17" t="str">
        <f t="shared" si="41"/>
        <v/>
      </c>
      <c r="P2684" s="13" t="s">
        <v>936</v>
      </c>
      <c r="Q2684" s="13" t="s">
        <v>934</v>
      </c>
      <c r="R2684" s="13" t="s">
        <v>0</v>
      </c>
      <c r="S2684" s="13" t="s">
        <v>0</v>
      </c>
      <c r="T2684" s="13" t="s">
        <v>9</v>
      </c>
      <c r="U2684" s="13" t="s">
        <v>0</v>
      </c>
      <c r="V2684" s="13" t="s">
        <v>0</v>
      </c>
      <c r="W2684" s="13" t="s">
        <v>0</v>
      </c>
      <c r="X2684" s="13" t="s">
        <v>0</v>
      </c>
      <c r="Y2684" s="13" t="s">
        <v>10</v>
      </c>
      <c r="Z2684" s="13" t="s">
        <v>0</v>
      </c>
      <c r="AA2684" s="14"/>
      <c r="AB2684" s="13" t="s">
        <v>0</v>
      </c>
      <c r="AC2684" s="13" t="s">
        <v>0</v>
      </c>
      <c r="AD2684" s="13" t="s">
        <v>0</v>
      </c>
      <c r="AE2684" s="15">
        <v>0</v>
      </c>
    </row>
    <row r="2685" spans="1:31" ht="14.15" customHeight="1" x14ac:dyDescent="0.25">
      <c r="A2685" s="12" t="s">
        <v>0</v>
      </c>
      <c r="B2685" s="13" t="s">
        <v>1</v>
      </c>
      <c r="C2685" s="13" t="s">
        <v>3871</v>
      </c>
      <c r="D2685" s="14">
        <v>44352</v>
      </c>
      <c r="E2685" s="14">
        <v>44352</v>
      </c>
      <c r="F2685" s="14">
        <v>44356</v>
      </c>
      <c r="G2685" s="13" t="s">
        <v>3</v>
      </c>
      <c r="H2685" s="13" t="s">
        <v>4</v>
      </c>
      <c r="I2685" s="15">
        <v>-1936.82</v>
      </c>
      <c r="J2685" s="13" t="s">
        <v>5</v>
      </c>
      <c r="K2685" s="13" t="s">
        <v>6</v>
      </c>
      <c r="L2685" s="15">
        <v>-162596.04</v>
      </c>
      <c r="M2685" s="15">
        <v>-1936.82</v>
      </c>
      <c r="N2685" s="16" t="str">
        <f>IF(M2685="","",IF(M2685&lt;0,-M2685&amp;"_"&amp;COUNTIF(M$2:M2685,M2685),M2685&amp;"_"&amp;COUNTIF(M$2:M2685,M2685)))</f>
        <v>1936.82_1</v>
      </c>
      <c r="O2685" s="17" t="str">
        <f t="shared" si="41"/>
        <v/>
      </c>
      <c r="P2685" s="13" t="s">
        <v>3872</v>
      </c>
      <c r="Q2685" s="13" t="s">
        <v>3873</v>
      </c>
      <c r="R2685" s="13" t="s">
        <v>0</v>
      </c>
      <c r="S2685" s="13" t="s">
        <v>0</v>
      </c>
      <c r="T2685" s="13" t="s">
        <v>9</v>
      </c>
      <c r="U2685" s="13" t="s">
        <v>0</v>
      </c>
      <c r="V2685" s="13" t="s">
        <v>0</v>
      </c>
      <c r="W2685" s="13" t="s">
        <v>0</v>
      </c>
      <c r="X2685" s="13" t="s">
        <v>0</v>
      </c>
      <c r="Y2685" s="13" t="s">
        <v>10</v>
      </c>
      <c r="Z2685" s="13" t="s">
        <v>0</v>
      </c>
      <c r="AA2685" s="14"/>
      <c r="AB2685" s="13" t="s">
        <v>0</v>
      </c>
      <c r="AC2685" s="13" t="s">
        <v>0</v>
      </c>
      <c r="AD2685" s="13" t="s">
        <v>0</v>
      </c>
      <c r="AE2685" s="15">
        <v>0</v>
      </c>
    </row>
    <row r="2686" spans="1:31" ht="14.15" customHeight="1" x14ac:dyDescent="0.25">
      <c r="A2686" s="12" t="s">
        <v>0</v>
      </c>
      <c r="B2686" s="13" t="s">
        <v>1</v>
      </c>
      <c r="C2686" s="13" t="s">
        <v>391</v>
      </c>
      <c r="D2686" s="14">
        <v>44060</v>
      </c>
      <c r="E2686" s="14">
        <v>44060</v>
      </c>
      <c r="F2686" s="14">
        <v>44068</v>
      </c>
      <c r="G2686" s="13" t="s">
        <v>3</v>
      </c>
      <c r="H2686" s="13" t="s">
        <v>4</v>
      </c>
      <c r="I2686" s="15">
        <v>-1932.7</v>
      </c>
      <c r="J2686" s="13" t="s">
        <v>5</v>
      </c>
      <c r="K2686" s="13" t="s">
        <v>6</v>
      </c>
      <c r="L2686" s="15">
        <v>-162250.17000000001</v>
      </c>
      <c r="M2686" s="15">
        <v>-1932.7</v>
      </c>
      <c r="N2686" s="16" t="str">
        <f>IF(M2686="","",IF(M2686&lt;0,-M2686&amp;"_"&amp;COUNTIF(M$2:M2686,M2686),M2686&amp;"_"&amp;COUNTIF(M$2:M2686,M2686)))</f>
        <v>1932.7_1</v>
      </c>
      <c r="O2686" s="17" t="str">
        <f t="shared" si="41"/>
        <v/>
      </c>
      <c r="P2686" s="13" t="s">
        <v>392</v>
      </c>
      <c r="Q2686" s="13" t="s">
        <v>388</v>
      </c>
      <c r="R2686" s="13" t="s">
        <v>0</v>
      </c>
      <c r="S2686" s="13" t="s">
        <v>0</v>
      </c>
      <c r="T2686" s="13" t="s">
        <v>9</v>
      </c>
      <c r="U2686" s="13" t="s">
        <v>0</v>
      </c>
      <c r="V2686" s="13" t="s">
        <v>0</v>
      </c>
      <c r="W2686" s="13" t="s">
        <v>0</v>
      </c>
      <c r="X2686" s="13" t="s">
        <v>0</v>
      </c>
      <c r="Y2686" s="13" t="s">
        <v>10</v>
      </c>
      <c r="Z2686" s="13" t="s">
        <v>0</v>
      </c>
      <c r="AA2686" s="14"/>
      <c r="AB2686" s="13" t="s">
        <v>0</v>
      </c>
      <c r="AC2686" s="13" t="s">
        <v>0</v>
      </c>
      <c r="AD2686" s="13" t="s">
        <v>0</v>
      </c>
      <c r="AE2686" s="15">
        <v>0</v>
      </c>
    </row>
    <row r="2687" spans="1:31" ht="14.15" customHeight="1" x14ac:dyDescent="0.25">
      <c r="A2687" s="12" t="s">
        <v>0</v>
      </c>
      <c r="B2687" s="13" t="s">
        <v>1</v>
      </c>
      <c r="C2687" s="13" t="s">
        <v>360</v>
      </c>
      <c r="D2687" s="14">
        <v>44050</v>
      </c>
      <c r="E2687" s="14">
        <v>44050</v>
      </c>
      <c r="F2687" s="14">
        <v>44053</v>
      </c>
      <c r="G2687" s="13" t="s">
        <v>3</v>
      </c>
      <c r="H2687" s="13" t="s">
        <v>4</v>
      </c>
      <c r="I2687" s="15">
        <v>-1930.72</v>
      </c>
      <c r="J2687" s="13" t="s">
        <v>5</v>
      </c>
      <c r="K2687" s="13" t="s">
        <v>6</v>
      </c>
      <c r="L2687" s="15">
        <v>-162083.94</v>
      </c>
      <c r="M2687" s="15">
        <v>-1930.72</v>
      </c>
      <c r="N2687" s="16" t="str">
        <f>IF(M2687="","",IF(M2687&lt;0,-M2687&amp;"_"&amp;COUNTIF(M$2:M2687,M2687),M2687&amp;"_"&amp;COUNTIF(M$2:M2687,M2687)))</f>
        <v>1930.72_1</v>
      </c>
      <c r="O2687" s="17" t="str">
        <f t="shared" si="41"/>
        <v/>
      </c>
      <c r="P2687" s="13" t="s">
        <v>361</v>
      </c>
      <c r="Q2687" s="13" t="s">
        <v>362</v>
      </c>
      <c r="R2687" s="13" t="s">
        <v>0</v>
      </c>
      <c r="S2687" s="13" t="s">
        <v>0</v>
      </c>
      <c r="T2687" s="13" t="s">
        <v>9</v>
      </c>
      <c r="U2687" s="13" t="s">
        <v>0</v>
      </c>
      <c r="V2687" s="13" t="s">
        <v>0</v>
      </c>
      <c r="W2687" s="13" t="s">
        <v>0</v>
      </c>
      <c r="X2687" s="13" t="s">
        <v>0</v>
      </c>
      <c r="Y2687" s="13" t="s">
        <v>10</v>
      </c>
      <c r="Z2687" s="13" t="s">
        <v>0</v>
      </c>
      <c r="AA2687" s="14"/>
      <c r="AB2687" s="13" t="s">
        <v>0</v>
      </c>
      <c r="AC2687" s="13" t="s">
        <v>0</v>
      </c>
      <c r="AD2687" s="13" t="s">
        <v>0</v>
      </c>
      <c r="AE2687" s="15">
        <v>0</v>
      </c>
    </row>
    <row r="2688" spans="1:31" ht="14.15" customHeight="1" x14ac:dyDescent="0.25">
      <c r="A2688" s="12" t="s">
        <v>0</v>
      </c>
      <c r="B2688" s="13" t="s">
        <v>1</v>
      </c>
      <c r="C2688" s="13" t="s">
        <v>1681</v>
      </c>
      <c r="D2688" s="14">
        <v>44172</v>
      </c>
      <c r="E2688" s="14">
        <v>44172</v>
      </c>
      <c r="F2688" s="14">
        <v>44178</v>
      </c>
      <c r="G2688" s="13" t="s">
        <v>3</v>
      </c>
      <c r="H2688" s="13" t="s">
        <v>4</v>
      </c>
      <c r="I2688" s="15">
        <v>-1930.67</v>
      </c>
      <c r="J2688" s="13" t="s">
        <v>5</v>
      </c>
      <c r="K2688" s="13" t="s">
        <v>6</v>
      </c>
      <c r="L2688" s="15">
        <v>-162079.75</v>
      </c>
      <c r="M2688" s="15">
        <v>-1930.67</v>
      </c>
      <c r="N2688" s="16" t="str">
        <f>IF(M2688="","",IF(M2688&lt;0,-M2688&amp;"_"&amp;COUNTIF(M$2:M2688,M2688),M2688&amp;"_"&amp;COUNTIF(M$2:M2688,M2688)))</f>
        <v>1930.67_1</v>
      </c>
      <c r="O2688" s="17" t="str">
        <f t="shared" si="41"/>
        <v/>
      </c>
      <c r="P2688" s="13" t="s">
        <v>1682</v>
      </c>
      <c r="Q2688" s="13" t="s">
        <v>1672</v>
      </c>
      <c r="R2688" s="13" t="s">
        <v>0</v>
      </c>
      <c r="S2688" s="13" t="s">
        <v>0</v>
      </c>
      <c r="T2688" s="13" t="s">
        <v>9</v>
      </c>
      <c r="U2688" s="13" t="s">
        <v>0</v>
      </c>
      <c r="V2688" s="13" t="s">
        <v>0</v>
      </c>
      <c r="W2688" s="13" t="s">
        <v>0</v>
      </c>
      <c r="X2688" s="13" t="s">
        <v>0</v>
      </c>
      <c r="Y2688" s="13" t="s">
        <v>10</v>
      </c>
      <c r="Z2688" s="13" t="s">
        <v>0</v>
      </c>
      <c r="AA2688" s="14"/>
      <c r="AB2688" s="13" t="s">
        <v>0</v>
      </c>
      <c r="AC2688" s="13" t="s">
        <v>0</v>
      </c>
      <c r="AD2688" s="13" t="s">
        <v>0</v>
      </c>
      <c r="AE2688" s="15">
        <v>0</v>
      </c>
    </row>
    <row r="2689" spans="1:31" ht="14.15" customHeight="1" x14ac:dyDescent="0.25">
      <c r="A2689" s="12" t="s">
        <v>0</v>
      </c>
      <c r="B2689" s="13" t="s">
        <v>1</v>
      </c>
      <c r="C2689" s="13" t="s">
        <v>1762</v>
      </c>
      <c r="D2689" s="14">
        <v>44180</v>
      </c>
      <c r="E2689" s="14">
        <v>44180</v>
      </c>
      <c r="F2689" s="14">
        <v>44196</v>
      </c>
      <c r="G2689" s="13" t="s">
        <v>3</v>
      </c>
      <c r="H2689" s="13" t="s">
        <v>4</v>
      </c>
      <c r="I2689" s="15">
        <v>-1930.67</v>
      </c>
      <c r="J2689" s="13" t="s">
        <v>5</v>
      </c>
      <c r="K2689" s="13" t="s">
        <v>6</v>
      </c>
      <c r="L2689" s="15">
        <v>-162079.75</v>
      </c>
      <c r="M2689" s="15">
        <v>-1930.67</v>
      </c>
      <c r="N2689" s="16" t="str">
        <f>IF(M2689="","",IF(M2689&lt;0,-M2689&amp;"_"&amp;COUNTIF(M$2:M2689,M2689),M2689&amp;"_"&amp;COUNTIF(M$2:M2689,M2689)))</f>
        <v>1930.67_2</v>
      </c>
      <c r="O2689" s="17" t="str">
        <f t="shared" si="41"/>
        <v/>
      </c>
      <c r="P2689" s="13" t="s">
        <v>1763</v>
      </c>
      <c r="Q2689" s="13" t="s">
        <v>1757</v>
      </c>
      <c r="R2689" s="13" t="s">
        <v>0</v>
      </c>
      <c r="S2689" s="13" t="s">
        <v>0</v>
      </c>
      <c r="T2689" s="13" t="s">
        <v>9</v>
      </c>
      <c r="U2689" s="13" t="s">
        <v>0</v>
      </c>
      <c r="V2689" s="13" t="s">
        <v>0</v>
      </c>
      <c r="W2689" s="13" t="s">
        <v>0</v>
      </c>
      <c r="X2689" s="13" t="s">
        <v>0</v>
      </c>
      <c r="Y2689" s="13" t="s">
        <v>10</v>
      </c>
      <c r="Z2689" s="13" t="s">
        <v>0</v>
      </c>
      <c r="AA2689" s="14"/>
      <c r="AB2689" s="13" t="s">
        <v>0</v>
      </c>
      <c r="AC2689" s="13" t="s">
        <v>0</v>
      </c>
      <c r="AD2689" s="13" t="s">
        <v>0</v>
      </c>
      <c r="AE2689" s="15">
        <v>0</v>
      </c>
    </row>
    <row r="2690" spans="1:31" ht="14.15" customHeight="1" x14ac:dyDescent="0.25">
      <c r="A2690" s="12" t="s">
        <v>0</v>
      </c>
      <c r="B2690" s="13" t="s">
        <v>1</v>
      </c>
      <c r="C2690" s="13" t="s">
        <v>1252</v>
      </c>
      <c r="D2690" s="14">
        <v>44143</v>
      </c>
      <c r="E2690" s="14">
        <v>44143</v>
      </c>
      <c r="F2690" s="14">
        <v>44149</v>
      </c>
      <c r="G2690" s="13" t="s">
        <v>3</v>
      </c>
      <c r="H2690" s="13" t="s">
        <v>4</v>
      </c>
      <c r="I2690" s="15">
        <v>-1911.65</v>
      </c>
      <c r="J2690" s="13" t="s">
        <v>5</v>
      </c>
      <c r="K2690" s="13" t="s">
        <v>6</v>
      </c>
      <c r="L2690" s="15">
        <v>-160483.01999999999</v>
      </c>
      <c r="M2690" s="15">
        <v>-1911.65</v>
      </c>
      <c r="N2690" s="16" t="str">
        <f>IF(M2690="","",IF(M2690&lt;0,-M2690&amp;"_"&amp;COUNTIF(M$2:M2690,M2690),M2690&amp;"_"&amp;COUNTIF(M$2:M2690,M2690)))</f>
        <v>1911.65_1</v>
      </c>
      <c r="O2690" s="17" t="str">
        <f t="shared" ref="O2690:O2753" si="42">IF(COUNTIF(N:N,N2690)=2,"x","")</f>
        <v/>
      </c>
      <c r="P2690" s="13" t="s">
        <v>1253</v>
      </c>
      <c r="Q2690" s="13" t="s">
        <v>1245</v>
      </c>
      <c r="R2690" s="13" t="s">
        <v>0</v>
      </c>
      <c r="S2690" s="13" t="s">
        <v>0</v>
      </c>
      <c r="T2690" s="13" t="s">
        <v>9</v>
      </c>
      <c r="U2690" s="13" t="s">
        <v>0</v>
      </c>
      <c r="V2690" s="13" t="s">
        <v>0</v>
      </c>
      <c r="W2690" s="13" t="s">
        <v>0</v>
      </c>
      <c r="X2690" s="13" t="s">
        <v>0</v>
      </c>
      <c r="Y2690" s="13" t="s">
        <v>10</v>
      </c>
      <c r="Z2690" s="13" t="s">
        <v>0</v>
      </c>
      <c r="AA2690" s="14"/>
      <c r="AB2690" s="13" t="s">
        <v>0</v>
      </c>
      <c r="AC2690" s="13" t="s">
        <v>0</v>
      </c>
      <c r="AD2690" s="13" t="s">
        <v>0</v>
      </c>
      <c r="AE2690" s="15">
        <v>0</v>
      </c>
    </row>
    <row r="2691" spans="1:31" ht="14.15" customHeight="1" x14ac:dyDescent="0.25">
      <c r="A2691" s="12" t="s">
        <v>0</v>
      </c>
      <c r="B2691" s="13" t="s">
        <v>1</v>
      </c>
      <c r="C2691" s="13" t="s">
        <v>383</v>
      </c>
      <c r="D2691" s="14">
        <v>44059</v>
      </c>
      <c r="E2691" s="14">
        <v>44059</v>
      </c>
      <c r="F2691" s="14">
        <v>44063</v>
      </c>
      <c r="G2691" s="13" t="s">
        <v>3</v>
      </c>
      <c r="H2691" s="13" t="s">
        <v>4</v>
      </c>
      <c r="I2691" s="15">
        <v>-1909.78</v>
      </c>
      <c r="J2691" s="13" t="s">
        <v>5</v>
      </c>
      <c r="K2691" s="13" t="s">
        <v>6</v>
      </c>
      <c r="L2691" s="15">
        <v>-160326.03</v>
      </c>
      <c r="M2691" s="15">
        <v>-1909.78</v>
      </c>
      <c r="N2691" s="16" t="str">
        <f>IF(M2691="","",IF(M2691&lt;0,-M2691&amp;"_"&amp;COUNTIF(M$2:M2691,M2691),M2691&amp;"_"&amp;COUNTIF(M$2:M2691,M2691)))</f>
        <v>1909.78_1</v>
      </c>
      <c r="O2691" s="17" t="str">
        <f t="shared" si="42"/>
        <v/>
      </c>
      <c r="P2691" s="13" t="s">
        <v>384</v>
      </c>
      <c r="Q2691" s="13" t="s">
        <v>385</v>
      </c>
      <c r="R2691" s="13" t="s">
        <v>0</v>
      </c>
      <c r="S2691" s="13" t="s">
        <v>0</v>
      </c>
      <c r="T2691" s="13" t="s">
        <v>9</v>
      </c>
      <c r="U2691" s="13" t="s">
        <v>0</v>
      </c>
      <c r="V2691" s="13" t="s">
        <v>0</v>
      </c>
      <c r="W2691" s="13" t="s">
        <v>0</v>
      </c>
      <c r="X2691" s="13" t="s">
        <v>0</v>
      </c>
      <c r="Y2691" s="13" t="s">
        <v>10</v>
      </c>
      <c r="Z2691" s="13" t="s">
        <v>0</v>
      </c>
      <c r="AA2691" s="14"/>
      <c r="AB2691" s="13" t="s">
        <v>0</v>
      </c>
      <c r="AC2691" s="13" t="s">
        <v>0</v>
      </c>
      <c r="AD2691" s="13" t="s">
        <v>0</v>
      </c>
      <c r="AE2691" s="15">
        <v>0</v>
      </c>
    </row>
    <row r="2692" spans="1:31" ht="14.15" customHeight="1" x14ac:dyDescent="0.25">
      <c r="A2692" s="12" t="s">
        <v>0</v>
      </c>
      <c r="B2692" s="13" t="s">
        <v>1</v>
      </c>
      <c r="C2692" s="13" t="s">
        <v>3580</v>
      </c>
      <c r="D2692" s="14">
        <v>44326</v>
      </c>
      <c r="E2692" s="14">
        <v>44326</v>
      </c>
      <c r="F2692" s="14">
        <v>44333</v>
      </c>
      <c r="G2692" s="13" t="s">
        <v>3</v>
      </c>
      <c r="H2692" s="13" t="s">
        <v>4</v>
      </c>
      <c r="I2692" s="15">
        <v>-1905.68</v>
      </c>
      <c r="J2692" s="13" t="s">
        <v>5</v>
      </c>
      <c r="K2692" s="13" t="s">
        <v>6</v>
      </c>
      <c r="L2692" s="15">
        <v>-159981.84</v>
      </c>
      <c r="M2692" s="15">
        <v>-1905.68</v>
      </c>
      <c r="N2692" s="16" t="str">
        <f>IF(M2692="","",IF(M2692&lt;0,-M2692&amp;"_"&amp;COUNTIF(M$2:M2692,M2692),M2692&amp;"_"&amp;COUNTIF(M$2:M2692,M2692)))</f>
        <v>1905.68_1</v>
      </c>
      <c r="O2692" s="17" t="str">
        <f t="shared" si="42"/>
        <v/>
      </c>
      <c r="P2692" s="13" t="s">
        <v>3581</v>
      </c>
      <c r="Q2692" s="13" t="s">
        <v>3582</v>
      </c>
      <c r="R2692" s="13" t="s">
        <v>0</v>
      </c>
      <c r="S2692" s="13" t="s">
        <v>0</v>
      </c>
      <c r="T2692" s="13" t="s">
        <v>9</v>
      </c>
      <c r="U2692" s="13" t="s">
        <v>0</v>
      </c>
      <c r="V2692" s="13" t="s">
        <v>0</v>
      </c>
      <c r="W2692" s="13" t="s">
        <v>0</v>
      </c>
      <c r="X2692" s="13" t="s">
        <v>0</v>
      </c>
      <c r="Y2692" s="13" t="s">
        <v>10</v>
      </c>
      <c r="Z2692" s="13" t="s">
        <v>0</v>
      </c>
      <c r="AA2692" s="14"/>
      <c r="AB2692" s="13" t="s">
        <v>0</v>
      </c>
      <c r="AC2692" s="13" t="s">
        <v>0</v>
      </c>
      <c r="AD2692" s="13" t="s">
        <v>0</v>
      </c>
      <c r="AE2692" s="15">
        <v>0</v>
      </c>
    </row>
    <row r="2693" spans="1:31" ht="14.15" customHeight="1" x14ac:dyDescent="0.25">
      <c r="A2693" s="12" t="s">
        <v>0</v>
      </c>
      <c r="B2693" s="13" t="s">
        <v>1</v>
      </c>
      <c r="C2693" s="13" t="s">
        <v>3580</v>
      </c>
      <c r="D2693" s="14">
        <v>44326</v>
      </c>
      <c r="E2693" s="14">
        <v>44326</v>
      </c>
      <c r="F2693" s="14">
        <v>44333</v>
      </c>
      <c r="G2693" s="13" t="s">
        <v>3</v>
      </c>
      <c r="H2693" s="13" t="s">
        <v>4</v>
      </c>
      <c r="I2693" s="15">
        <v>-1905.68</v>
      </c>
      <c r="J2693" s="13" t="s">
        <v>5</v>
      </c>
      <c r="K2693" s="13" t="s">
        <v>6</v>
      </c>
      <c r="L2693" s="15">
        <v>-159981.84</v>
      </c>
      <c r="M2693" s="15">
        <v>-1905.68</v>
      </c>
      <c r="N2693" s="16" t="str">
        <f>IF(M2693="","",IF(M2693&lt;0,-M2693&amp;"_"&amp;COUNTIF(M$2:M2693,M2693),M2693&amp;"_"&amp;COUNTIF(M$2:M2693,M2693)))</f>
        <v>1905.68_2</v>
      </c>
      <c r="O2693" s="17" t="str">
        <f t="shared" si="42"/>
        <v/>
      </c>
      <c r="P2693" s="13" t="s">
        <v>3581</v>
      </c>
      <c r="Q2693" s="13" t="s">
        <v>3582</v>
      </c>
      <c r="R2693" s="13" t="s">
        <v>0</v>
      </c>
      <c r="S2693" s="13" t="s">
        <v>0</v>
      </c>
      <c r="T2693" s="13" t="s">
        <v>9</v>
      </c>
      <c r="U2693" s="13" t="s">
        <v>0</v>
      </c>
      <c r="V2693" s="13" t="s">
        <v>0</v>
      </c>
      <c r="W2693" s="13" t="s">
        <v>0</v>
      </c>
      <c r="X2693" s="13" t="s">
        <v>0</v>
      </c>
      <c r="Y2693" s="13" t="s">
        <v>10</v>
      </c>
      <c r="Z2693" s="13" t="s">
        <v>0</v>
      </c>
      <c r="AA2693" s="14"/>
      <c r="AB2693" s="13" t="s">
        <v>0</v>
      </c>
      <c r="AC2693" s="13" t="s">
        <v>0</v>
      </c>
      <c r="AD2693" s="13" t="s">
        <v>0</v>
      </c>
      <c r="AE2693" s="15">
        <v>0</v>
      </c>
    </row>
    <row r="2694" spans="1:31" ht="14.15" customHeight="1" x14ac:dyDescent="0.25">
      <c r="A2694" s="12" t="s">
        <v>0</v>
      </c>
      <c r="B2694" s="13" t="s">
        <v>1</v>
      </c>
      <c r="C2694" s="13" t="s">
        <v>3580</v>
      </c>
      <c r="D2694" s="14">
        <v>44326</v>
      </c>
      <c r="E2694" s="14">
        <v>44326</v>
      </c>
      <c r="F2694" s="14">
        <v>44333</v>
      </c>
      <c r="G2694" s="13" t="s">
        <v>3</v>
      </c>
      <c r="H2694" s="13" t="s">
        <v>4</v>
      </c>
      <c r="I2694" s="15">
        <v>-1905.68</v>
      </c>
      <c r="J2694" s="13" t="s">
        <v>5</v>
      </c>
      <c r="K2694" s="13" t="s">
        <v>6</v>
      </c>
      <c r="L2694" s="15">
        <v>-159981.84</v>
      </c>
      <c r="M2694" s="15">
        <v>-1905.68</v>
      </c>
      <c r="N2694" s="16" t="str">
        <f>IF(M2694="","",IF(M2694&lt;0,-M2694&amp;"_"&amp;COUNTIF(M$2:M2694,M2694),M2694&amp;"_"&amp;COUNTIF(M$2:M2694,M2694)))</f>
        <v>1905.68_3</v>
      </c>
      <c r="O2694" s="17" t="str">
        <f t="shared" si="42"/>
        <v/>
      </c>
      <c r="P2694" s="13" t="s">
        <v>3581</v>
      </c>
      <c r="Q2694" s="13" t="s">
        <v>3582</v>
      </c>
      <c r="R2694" s="13" t="s">
        <v>0</v>
      </c>
      <c r="S2694" s="13" t="s">
        <v>0</v>
      </c>
      <c r="T2694" s="13" t="s">
        <v>9</v>
      </c>
      <c r="U2694" s="13" t="s">
        <v>0</v>
      </c>
      <c r="V2694" s="13" t="s">
        <v>0</v>
      </c>
      <c r="W2694" s="13" t="s">
        <v>0</v>
      </c>
      <c r="X2694" s="13" t="s">
        <v>0</v>
      </c>
      <c r="Y2694" s="13" t="s">
        <v>10</v>
      </c>
      <c r="Z2694" s="13" t="s">
        <v>0</v>
      </c>
      <c r="AA2694" s="14"/>
      <c r="AB2694" s="13" t="s">
        <v>0</v>
      </c>
      <c r="AC2694" s="13" t="s">
        <v>0</v>
      </c>
      <c r="AD2694" s="13" t="s">
        <v>0</v>
      </c>
      <c r="AE2694" s="15">
        <v>0</v>
      </c>
    </row>
    <row r="2695" spans="1:31" ht="14.15" customHeight="1" x14ac:dyDescent="0.25">
      <c r="A2695" s="12" t="s">
        <v>0</v>
      </c>
      <c r="B2695" s="13" t="s">
        <v>1</v>
      </c>
      <c r="C2695" s="13" t="s">
        <v>3278</v>
      </c>
      <c r="D2695" s="14">
        <v>44311</v>
      </c>
      <c r="E2695" s="14">
        <v>44311</v>
      </c>
      <c r="F2695" s="14">
        <v>44315</v>
      </c>
      <c r="G2695" s="13" t="s">
        <v>3</v>
      </c>
      <c r="H2695" s="13" t="s">
        <v>4</v>
      </c>
      <c r="I2695" s="15">
        <v>-1901.43</v>
      </c>
      <c r="J2695" s="13" t="s">
        <v>5</v>
      </c>
      <c r="K2695" s="13" t="s">
        <v>6</v>
      </c>
      <c r="L2695" s="15">
        <v>-159625.04999999999</v>
      </c>
      <c r="M2695" s="15">
        <v>-1901.43</v>
      </c>
      <c r="N2695" s="16" t="str">
        <f>IF(M2695="","",IF(M2695&lt;0,-M2695&amp;"_"&amp;COUNTIF(M$2:M2695,M2695),M2695&amp;"_"&amp;COUNTIF(M$2:M2695,M2695)))</f>
        <v>1901.43_1</v>
      </c>
      <c r="O2695" s="17" t="str">
        <f t="shared" si="42"/>
        <v/>
      </c>
      <c r="P2695" s="13" t="s">
        <v>3279</v>
      </c>
      <c r="Q2695" s="13" t="s">
        <v>3269</v>
      </c>
      <c r="R2695" s="13" t="s">
        <v>0</v>
      </c>
      <c r="S2695" s="13" t="s">
        <v>0</v>
      </c>
      <c r="T2695" s="13" t="s">
        <v>9</v>
      </c>
      <c r="U2695" s="13" t="s">
        <v>0</v>
      </c>
      <c r="V2695" s="13" t="s">
        <v>0</v>
      </c>
      <c r="W2695" s="13" t="s">
        <v>0</v>
      </c>
      <c r="X2695" s="13" t="s">
        <v>0</v>
      </c>
      <c r="Y2695" s="13" t="s">
        <v>10</v>
      </c>
      <c r="Z2695" s="13" t="s">
        <v>0</v>
      </c>
      <c r="AA2695" s="14"/>
      <c r="AB2695" s="13" t="s">
        <v>0</v>
      </c>
      <c r="AC2695" s="13" t="s">
        <v>0</v>
      </c>
      <c r="AD2695" s="13" t="s">
        <v>0</v>
      </c>
      <c r="AE2695" s="15">
        <v>0</v>
      </c>
    </row>
    <row r="2696" spans="1:31" ht="14.15" customHeight="1" x14ac:dyDescent="0.25">
      <c r="A2696" s="12" t="s">
        <v>0</v>
      </c>
      <c r="B2696" s="13" t="s">
        <v>1</v>
      </c>
      <c r="C2696" s="13" t="s">
        <v>3285</v>
      </c>
      <c r="D2696" s="14">
        <v>44314</v>
      </c>
      <c r="E2696" s="14">
        <v>44314</v>
      </c>
      <c r="F2696" s="14">
        <v>44319</v>
      </c>
      <c r="G2696" s="13" t="s">
        <v>3</v>
      </c>
      <c r="H2696" s="13" t="s">
        <v>4</v>
      </c>
      <c r="I2696" s="15">
        <v>-1886.17</v>
      </c>
      <c r="J2696" s="13" t="s">
        <v>5</v>
      </c>
      <c r="K2696" s="13" t="s">
        <v>6</v>
      </c>
      <c r="L2696" s="15">
        <v>-158343.97</v>
      </c>
      <c r="M2696" s="15">
        <v>-1886.17</v>
      </c>
      <c r="N2696" s="16" t="str">
        <f>IF(M2696="","",IF(M2696&lt;0,-M2696&amp;"_"&amp;COUNTIF(M$2:M2696,M2696),M2696&amp;"_"&amp;COUNTIF(M$2:M2696,M2696)))</f>
        <v>1886.17_1</v>
      </c>
      <c r="O2696" s="17" t="str">
        <f t="shared" si="42"/>
        <v/>
      </c>
      <c r="P2696" s="13" t="s">
        <v>3286</v>
      </c>
      <c r="Q2696" s="13" t="s">
        <v>3284</v>
      </c>
      <c r="R2696" s="13" t="s">
        <v>0</v>
      </c>
      <c r="S2696" s="13" t="s">
        <v>0</v>
      </c>
      <c r="T2696" s="13" t="s">
        <v>9</v>
      </c>
      <c r="U2696" s="13" t="s">
        <v>0</v>
      </c>
      <c r="V2696" s="13" t="s">
        <v>0</v>
      </c>
      <c r="W2696" s="13" t="s">
        <v>0</v>
      </c>
      <c r="X2696" s="13" t="s">
        <v>0</v>
      </c>
      <c r="Y2696" s="13" t="s">
        <v>10</v>
      </c>
      <c r="Z2696" s="13" t="s">
        <v>0</v>
      </c>
      <c r="AA2696" s="14"/>
      <c r="AB2696" s="13" t="s">
        <v>0</v>
      </c>
      <c r="AC2696" s="13" t="s">
        <v>0</v>
      </c>
      <c r="AD2696" s="13" t="s">
        <v>0</v>
      </c>
      <c r="AE2696" s="15">
        <v>0</v>
      </c>
    </row>
    <row r="2697" spans="1:31" ht="14.15" customHeight="1" x14ac:dyDescent="0.25">
      <c r="A2697" s="12" t="s">
        <v>0</v>
      </c>
      <c r="B2697" s="13" t="s">
        <v>1</v>
      </c>
      <c r="C2697" s="13" t="s">
        <v>4276</v>
      </c>
      <c r="D2697" s="14">
        <v>44370</v>
      </c>
      <c r="E2697" s="14">
        <v>44370</v>
      </c>
      <c r="F2697" s="14">
        <v>44375</v>
      </c>
      <c r="G2697" s="13" t="s">
        <v>3</v>
      </c>
      <c r="H2697" s="13" t="s">
        <v>4</v>
      </c>
      <c r="I2697" s="15">
        <v>-1884.57</v>
      </c>
      <c r="J2697" s="13" t="s">
        <v>5</v>
      </c>
      <c r="K2697" s="13" t="s">
        <v>6</v>
      </c>
      <c r="L2697" s="15">
        <v>-158209.65</v>
      </c>
      <c r="M2697" s="15">
        <v>-1884.57</v>
      </c>
      <c r="N2697" s="16" t="str">
        <f>IF(M2697="","",IF(M2697&lt;0,-M2697&amp;"_"&amp;COUNTIF(M$2:M2697,M2697),M2697&amp;"_"&amp;COUNTIF(M$2:M2697,M2697)))</f>
        <v>1884.57_1</v>
      </c>
      <c r="O2697" s="17" t="str">
        <f t="shared" si="42"/>
        <v/>
      </c>
      <c r="P2697" s="13" t="s">
        <v>4277</v>
      </c>
      <c r="Q2697" s="13" t="s">
        <v>4269</v>
      </c>
      <c r="R2697" s="13" t="s">
        <v>0</v>
      </c>
      <c r="S2697" s="13" t="s">
        <v>0</v>
      </c>
      <c r="T2697" s="13" t="s">
        <v>9</v>
      </c>
      <c r="U2697" s="13" t="s">
        <v>0</v>
      </c>
      <c r="V2697" s="13" t="s">
        <v>0</v>
      </c>
      <c r="W2697" s="13" t="s">
        <v>0</v>
      </c>
      <c r="X2697" s="13" t="s">
        <v>0</v>
      </c>
      <c r="Y2697" s="13" t="s">
        <v>10</v>
      </c>
      <c r="Z2697" s="13" t="s">
        <v>0</v>
      </c>
      <c r="AA2697" s="14"/>
      <c r="AB2697" s="13" t="s">
        <v>0</v>
      </c>
      <c r="AC2697" s="13" t="s">
        <v>0</v>
      </c>
      <c r="AD2697" s="13" t="s">
        <v>0</v>
      </c>
      <c r="AE2697" s="15">
        <v>0</v>
      </c>
    </row>
    <row r="2698" spans="1:31" ht="14.15" customHeight="1" x14ac:dyDescent="0.25">
      <c r="A2698" s="12" t="s">
        <v>0</v>
      </c>
      <c r="B2698" s="13" t="s">
        <v>1</v>
      </c>
      <c r="C2698" s="13" t="s">
        <v>3747</v>
      </c>
      <c r="D2698" s="14">
        <v>44339</v>
      </c>
      <c r="E2698" s="14">
        <v>44339</v>
      </c>
      <c r="F2698" s="14">
        <v>44342</v>
      </c>
      <c r="G2698" s="13" t="s">
        <v>3</v>
      </c>
      <c r="H2698" s="13" t="s">
        <v>4</v>
      </c>
      <c r="I2698" s="15">
        <v>-1878.37</v>
      </c>
      <c r="J2698" s="13" t="s">
        <v>5</v>
      </c>
      <c r="K2698" s="13" t="s">
        <v>6</v>
      </c>
      <c r="L2698" s="15">
        <v>-157689.16</v>
      </c>
      <c r="M2698" s="15">
        <v>-1878.37</v>
      </c>
      <c r="N2698" s="16" t="str">
        <f>IF(M2698="","",IF(M2698&lt;0,-M2698&amp;"_"&amp;COUNTIF(M$2:M2698,M2698),M2698&amp;"_"&amp;COUNTIF(M$2:M2698,M2698)))</f>
        <v>1878.37_1</v>
      </c>
      <c r="O2698" s="17" t="str">
        <f t="shared" si="42"/>
        <v/>
      </c>
      <c r="P2698" s="13" t="s">
        <v>3748</v>
      </c>
      <c r="Q2698" s="13" t="s">
        <v>3746</v>
      </c>
      <c r="R2698" s="13" t="s">
        <v>0</v>
      </c>
      <c r="S2698" s="13" t="s">
        <v>0</v>
      </c>
      <c r="T2698" s="13" t="s">
        <v>9</v>
      </c>
      <c r="U2698" s="13" t="s">
        <v>0</v>
      </c>
      <c r="V2698" s="13" t="s">
        <v>0</v>
      </c>
      <c r="W2698" s="13" t="s">
        <v>0</v>
      </c>
      <c r="X2698" s="13" t="s">
        <v>0</v>
      </c>
      <c r="Y2698" s="13" t="s">
        <v>10</v>
      </c>
      <c r="Z2698" s="13" t="s">
        <v>0</v>
      </c>
      <c r="AA2698" s="14"/>
      <c r="AB2698" s="13" t="s">
        <v>0</v>
      </c>
      <c r="AC2698" s="13" t="s">
        <v>0</v>
      </c>
      <c r="AD2698" s="13" t="s">
        <v>0</v>
      </c>
      <c r="AE2698" s="15">
        <v>0</v>
      </c>
    </row>
    <row r="2699" spans="1:31" ht="14.15" customHeight="1" x14ac:dyDescent="0.25">
      <c r="A2699" s="12" t="s">
        <v>0</v>
      </c>
      <c r="B2699" s="13" t="s">
        <v>303</v>
      </c>
      <c r="C2699" s="13" t="s">
        <v>1098</v>
      </c>
      <c r="D2699" s="14">
        <v>44135</v>
      </c>
      <c r="E2699" s="14">
        <v>44135</v>
      </c>
      <c r="F2699" s="14">
        <v>44143</v>
      </c>
      <c r="G2699" s="13" t="s">
        <v>48</v>
      </c>
      <c r="H2699" s="13" t="s">
        <v>4</v>
      </c>
      <c r="I2699" s="15">
        <v>-1876.73</v>
      </c>
      <c r="J2699" s="13" t="s">
        <v>5</v>
      </c>
      <c r="K2699" s="13" t="s">
        <v>6</v>
      </c>
      <c r="L2699" s="15">
        <v>-157551.48000000001</v>
      </c>
      <c r="M2699" s="15">
        <v>-1876.73</v>
      </c>
      <c r="N2699" s="16" t="str">
        <f>IF(M2699="","",IF(M2699&lt;0,-M2699&amp;"_"&amp;COUNTIF(M$2:M2699,M2699),M2699&amp;"_"&amp;COUNTIF(M$2:M2699,M2699)))</f>
        <v>1876.73_1</v>
      </c>
      <c r="O2699" s="17" t="str">
        <f t="shared" si="42"/>
        <v/>
      </c>
      <c r="P2699" s="13" t="s">
        <v>1099</v>
      </c>
      <c r="Q2699" s="13" t="s">
        <v>1099</v>
      </c>
      <c r="R2699" s="13" t="s">
        <v>1100</v>
      </c>
      <c r="S2699" s="13" t="s">
        <v>0</v>
      </c>
      <c r="T2699" s="13" t="s">
        <v>9</v>
      </c>
      <c r="U2699" s="13" t="s">
        <v>307</v>
      </c>
      <c r="V2699" s="13" t="s">
        <v>0</v>
      </c>
      <c r="W2699" s="13" t="s">
        <v>0</v>
      </c>
      <c r="X2699" s="13" t="s">
        <v>0</v>
      </c>
      <c r="Y2699" s="13" t="s">
        <v>0</v>
      </c>
      <c r="Z2699" s="13" t="s">
        <v>0</v>
      </c>
      <c r="AA2699" s="14"/>
      <c r="AB2699" s="13" t="s">
        <v>0</v>
      </c>
      <c r="AC2699" s="13" t="s">
        <v>0</v>
      </c>
      <c r="AD2699" s="13" t="s">
        <v>0</v>
      </c>
      <c r="AE2699" s="15">
        <v>0</v>
      </c>
    </row>
    <row r="2700" spans="1:31" ht="14.15" customHeight="1" x14ac:dyDescent="0.25">
      <c r="A2700" s="12" t="s">
        <v>0</v>
      </c>
      <c r="B2700" s="13" t="s">
        <v>1</v>
      </c>
      <c r="C2700" s="13" t="s">
        <v>1293</v>
      </c>
      <c r="D2700" s="14">
        <v>44146</v>
      </c>
      <c r="E2700" s="14">
        <v>44146</v>
      </c>
      <c r="F2700" s="14">
        <v>44152</v>
      </c>
      <c r="G2700" s="13" t="s">
        <v>3</v>
      </c>
      <c r="H2700" s="13" t="s">
        <v>4</v>
      </c>
      <c r="I2700" s="15">
        <v>-1875.31</v>
      </c>
      <c r="J2700" s="13" t="s">
        <v>5</v>
      </c>
      <c r="K2700" s="13" t="s">
        <v>6</v>
      </c>
      <c r="L2700" s="15">
        <v>-157432.28</v>
      </c>
      <c r="M2700" s="15">
        <v>-1875.31</v>
      </c>
      <c r="N2700" s="16" t="str">
        <f>IF(M2700="","",IF(M2700&lt;0,-M2700&amp;"_"&amp;COUNTIF(M$2:M2700,M2700),M2700&amp;"_"&amp;COUNTIF(M$2:M2700,M2700)))</f>
        <v>1875.31_1</v>
      </c>
      <c r="O2700" s="17" t="str">
        <f t="shared" si="42"/>
        <v/>
      </c>
      <c r="P2700" s="13" t="s">
        <v>1294</v>
      </c>
      <c r="Q2700" s="13" t="s">
        <v>1282</v>
      </c>
      <c r="R2700" s="13" t="s">
        <v>0</v>
      </c>
      <c r="S2700" s="13" t="s">
        <v>0</v>
      </c>
      <c r="T2700" s="13" t="s">
        <v>9</v>
      </c>
      <c r="U2700" s="13" t="s">
        <v>0</v>
      </c>
      <c r="V2700" s="13" t="s">
        <v>0</v>
      </c>
      <c r="W2700" s="13" t="s">
        <v>0</v>
      </c>
      <c r="X2700" s="13" t="s">
        <v>0</v>
      </c>
      <c r="Y2700" s="13" t="s">
        <v>10</v>
      </c>
      <c r="Z2700" s="13" t="s">
        <v>0</v>
      </c>
      <c r="AA2700" s="14"/>
      <c r="AB2700" s="13" t="s">
        <v>0</v>
      </c>
      <c r="AC2700" s="13" t="s">
        <v>0</v>
      </c>
      <c r="AD2700" s="13" t="s">
        <v>0</v>
      </c>
      <c r="AE2700" s="15">
        <v>0</v>
      </c>
    </row>
    <row r="2701" spans="1:31" ht="14.15" customHeight="1" x14ac:dyDescent="0.25">
      <c r="A2701" s="12" t="s">
        <v>0</v>
      </c>
      <c r="B2701" s="13" t="s">
        <v>1</v>
      </c>
      <c r="C2701" s="13" t="s">
        <v>3205</v>
      </c>
      <c r="D2701" s="14">
        <v>44302</v>
      </c>
      <c r="E2701" s="14">
        <v>44302</v>
      </c>
      <c r="F2701" s="14">
        <v>44308</v>
      </c>
      <c r="G2701" s="13" t="s">
        <v>3</v>
      </c>
      <c r="H2701" s="13" t="s">
        <v>4</v>
      </c>
      <c r="I2701" s="15">
        <v>-1870.27</v>
      </c>
      <c r="J2701" s="13" t="s">
        <v>5</v>
      </c>
      <c r="K2701" s="13" t="s">
        <v>6</v>
      </c>
      <c r="L2701" s="15">
        <v>-157009.17000000001</v>
      </c>
      <c r="M2701" s="15">
        <v>-1870.27</v>
      </c>
      <c r="N2701" s="16" t="str">
        <f>IF(M2701="","",IF(M2701&lt;0,-M2701&amp;"_"&amp;COUNTIF(M$2:M2701,M2701),M2701&amp;"_"&amp;COUNTIF(M$2:M2701,M2701)))</f>
        <v>1870.27_1</v>
      </c>
      <c r="O2701" s="17" t="str">
        <f t="shared" si="42"/>
        <v/>
      </c>
      <c r="P2701" s="13" t="s">
        <v>3206</v>
      </c>
      <c r="Q2701" s="13" t="s">
        <v>3196</v>
      </c>
      <c r="R2701" s="13" t="s">
        <v>0</v>
      </c>
      <c r="S2701" s="13" t="s">
        <v>0</v>
      </c>
      <c r="T2701" s="13" t="s">
        <v>9</v>
      </c>
      <c r="U2701" s="13" t="s">
        <v>0</v>
      </c>
      <c r="V2701" s="13" t="s">
        <v>0</v>
      </c>
      <c r="W2701" s="13" t="s">
        <v>0</v>
      </c>
      <c r="X2701" s="13" t="s">
        <v>0</v>
      </c>
      <c r="Y2701" s="13" t="s">
        <v>10</v>
      </c>
      <c r="Z2701" s="13" t="s">
        <v>0</v>
      </c>
      <c r="AA2701" s="14"/>
      <c r="AB2701" s="13" t="s">
        <v>0</v>
      </c>
      <c r="AC2701" s="13" t="s">
        <v>0</v>
      </c>
      <c r="AD2701" s="13" t="s">
        <v>0</v>
      </c>
      <c r="AE2701" s="15">
        <v>0</v>
      </c>
    </row>
    <row r="2702" spans="1:31" ht="14.15" customHeight="1" x14ac:dyDescent="0.25">
      <c r="A2702" s="12" t="s">
        <v>0</v>
      </c>
      <c r="B2702" s="13" t="s">
        <v>1</v>
      </c>
      <c r="C2702" s="13" t="s">
        <v>1580</v>
      </c>
      <c r="D2702" s="14">
        <v>44166</v>
      </c>
      <c r="E2702" s="14">
        <v>44166</v>
      </c>
      <c r="F2702" s="14">
        <v>44174</v>
      </c>
      <c r="G2702" s="13" t="s">
        <v>3</v>
      </c>
      <c r="H2702" s="13" t="s">
        <v>4</v>
      </c>
      <c r="I2702" s="15">
        <v>-1868.52</v>
      </c>
      <c r="J2702" s="13" t="s">
        <v>5</v>
      </c>
      <c r="K2702" s="13" t="s">
        <v>6</v>
      </c>
      <c r="L2702" s="15">
        <v>-156862.25</v>
      </c>
      <c r="M2702" s="15">
        <v>-1868.52</v>
      </c>
      <c r="N2702" s="16" t="str">
        <f>IF(M2702="","",IF(M2702&lt;0,-M2702&amp;"_"&amp;COUNTIF(M$2:M2702,M2702),M2702&amp;"_"&amp;COUNTIF(M$2:M2702,M2702)))</f>
        <v>1868.52_1</v>
      </c>
      <c r="O2702" s="17" t="str">
        <f t="shared" si="42"/>
        <v/>
      </c>
      <c r="P2702" s="13" t="s">
        <v>1581</v>
      </c>
      <c r="Q2702" s="13" t="s">
        <v>1579</v>
      </c>
      <c r="R2702" s="13" t="s">
        <v>0</v>
      </c>
      <c r="S2702" s="13" t="s">
        <v>0</v>
      </c>
      <c r="T2702" s="13" t="s">
        <v>9</v>
      </c>
      <c r="U2702" s="13" t="s">
        <v>0</v>
      </c>
      <c r="V2702" s="13" t="s">
        <v>0</v>
      </c>
      <c r="W2702" s="13" t="s">
        <v>0</v>
      </c>
      <c r="X2702" s="13" t="s">
        <v>0</v>
      </c>
      <c r="Y2702" s="13" t="s">
        <v>10</v>
      </c>
      <c r="Z2702" s="13" t="s">
        <v>0</v>
      </c>
      <c r="AA2702" s="14"/>
      <c r="AB2702" s="13" t="s">
        <v>0</v>
      </c>
      <c r="AC2702" s="13" t="s">
        <v>0</v>
      </c>
      <c r="AD2702" s="13" t="s">
        <v>0</v>
      </c>
      <c r="AE2702" s="15">
        <v>0</v>
      </c>
    </row>
    <row r="2703" spans="1:31" ht="14.15" customHeight="1" x14ac:dyDescent="0.25">
      <c r="A2703" s="12" t="s">
        <v>0</v>
      </c>
      <c r="B2703" s="13" t="s">
        <v>1</v>
      </c>
      <c r="C2703" s="13" t="s">
        <v>1863</v>
      </c>
      <c r="D2703" s="14">
        <v>44187</v>
      </c>
      <c r="E2703" s="14">
        <v>44187</v>
      </c>
      <c r="F2703" s="14">
        <v>44195</v>
      </c>
      <c r="G2703" s="13" t="s">
        <v>3</v>
      </c>
      <c r="H2703" s="13" t="s">
        <v>4</v>
      </c>
      <c r="I2703" s="15">
        <v>-1867.41</v>
      </c>
      <c r="J2703" s="13" t="s">
        <v>5</v>
      </c>
      <c r="K2703" s="13" t="s">
        <v>6</v>
      </c>
      <c r="L2703" s="15">
        <v>-156769.07</v>
      </c>
      <c r="M2703" s="15">
        <v>-1867.41</v>
      </c>
      <c r="N2703" s="16" t="str">
        <f>IF(M2703="","",IF(M2703&lt;0,-M2703&amp;"_"&amp;COUNTIF(M$2:M2703,M2703),M2703&amp;"_"&amp;COUNTIF(M$2:M2703,M2703)))</f>
        <v>1867.41_1</v>
      </c>
      <c r="O2703" s="17" t="str">
        <f t="shared" si="42"/>
        <v/>
      </c>
      <c r="P2703" s="13" t="s">
        <v>1864</v>
      </c>
      <c r="Q2703" s="13" t="s">
        <v>1862</v>
      </c>
      <c r="R2703" s="13" t="s">
        <v>0</v>
      </c>
      <c r="S2703" s="13" t="s">
        <v>0</v>
      </c>
      <c r="T2703" s="13" t="s">
        <v>9</v>
      </c>
      <c r="U2703" s="13" t="s">
        <v>0</v>
      </c>
      <c r="V2703" s="13" t="s">
        <v>0</v>
      </c>
      <c r="W2703" s="13" t="s">
        <v>0</v>
      </c>
      <c r="X2703" s="13" t="s">
        <v>0</v>
      </c>
      <c r="Y2703" s="13" t="s">
        <v>10</v>
      </c>
      <c r="Z2703" s="13" t="s">
        <v>0</v>
      </c>
      <c r="AA2703" s="14"/>
      <c r="AB2703" s="13" t="s">
        <v>0</v>
      </c>
      <c r="AC2703" s="13" t="s">
        <v>0</v>
      </c>
      <c r="AD2703" s="13" t="s">
        <v>0</v>
      </c>
      <c r="AE2703" s="15">
        <v>0</v>
      </c>
    </row>
    <row r="2704" spans="1:31" ht="14.15" customHeight="1" x14ac:dyDescent="0.25">
      <c r="A2704" s="12" t="s">
        <v>0</v>
      </c>
      <c r="B2704" s="13" t="s">
        <v>1</v>
      </c>
      <c r="C2704" s="13" t="s">
        <v>2747</v>
      </c>
      <c r="D2704" s="14">
        <v>44260</v>
      </c>
      <c r="E2704" s="14">
        <v>44260</v>
      </c>
      <c r="F2704" s="14">
        <v>44265</v>
      </c>
      <c r="G2704" s="13" t="s">
        <v>3</v>
      </c>
      <c r="H2704" s="13" t="s">
        <v>4</v>
      </c>
      <c r="I2704" s="15">
        <v>-1862.01</v>
      </c>
      <c r="J2704" s="13" t="s">
        <v>5</v>
      </c>
      <c r="K2704" s="13" t="s">
        <v>6</v>
      </c>
      <c r="L2704" s="15">
        <v>-156315.74</v>
      </c>
      <c r="M2704" s="15">
        <v>-1862.01</v>
      </c>
      <c r="N2704" s="16" t="str">
        <f>IF(M2704="","",IF(M2704&lt;0,-M2704&amp;"_"&amp;COUNTIF(M$2:M2704,M2704),M2704&amp;"_"&amp;COUNTIF(M$2:M2704,M2704)))</f>
        <v>1862.01_1</v>
      </c>
      <c r="O2704" s="17" t="str">
        <f t="shared" si="42"/>
        <v/>
      </c>
      <c r="P2704" s="13" t="s">
        <v>2748</v>
      </c>
      <c r="Q2704" s="13" t="s">
        <v>2746</v>
      </c>
      <c r="R2704" s="13" t="s">
        <v>0</v>
      </c>
      <c r="S2704" s="13" t="s">
        <v>0</v>
      </c>
      <c r="T2704" s="13" t="s">
        <v>9</v>
      </c>
      <c r="U2704" s="13" t="s">
        <v>0</v>
      </c>
      <c r="V2704" s="13" t="s">
        <v>0</v>
      </c>
      <c r="W2704" s="13" t="s">
        <v>0</v>
      </c>
      <c r="X2704" s="13" t="s">
        <v>0</v>
      </c>
      <c r="Y2704" s="13" t="s">
        <v>10</v>
      </c>
      <c r="Z2704" s="13" t="s">
        <v>0</v>
      </c>
      <c r="AA2704" s="14"/>
      <c r="AB2704" s="13" t="s">
        <v>0</v>
      </c>
      <c r="AC2704" s="13" t="s">
        <v>0</v>
      </c>
      <c r="AD2704" s="13" t="s">
        <v>0</v>
      </c>
      <c r="AE2704" s="15">
        <v>0</v>
      </c>
    </row>
    <row r="2705" spans="1:31" ht="14.15" customHeight="1" x14ac:dyDescent="0.25">
      <c r="A2705" s="12" t="s">
        <v>0</v>
      </c>
      <c r="B2705" s="13" t="s">
        <v>1</v>
      </c>
      <c r="C2705" s="13" t="s">
        <v>2834</v>
      </c>
      <c r="D2705" s="14">
        <v>44269</v>
      </c>
      <c r="E2705" s="14">
        <v>44269</v>
      </c>
      <c r="F2705" s="14">
        <v>44275</v>
      </c>
      <c r="G2705" s="13" t="s">
        <v>3</v>
      </c>
      <c r="H2705" s="13" t="s">
        <v>4</v>
      </c>
      <c r="I2705" s="15">
        <v>-1862.01</v>
      </c>
      <c r="J2705" s="13" t="s">
        <v>5</v>
      </c>
      <c r="K2705" s="13" t="s">
        <v>6</v>
      </c>
      <c r="L2705" s="15">
        <v>-156315.74</v>
      </c>
      <c r="M2705" s="15">
        <v>-1862.01</v>
      </c>
      <c r="N2705" s="16" t="str">
        <f>IF(M2705="","",IF(M2705&lt;0,-M2705&amp;"_"&amp;COUNTIF(M$2:M2705,M2705),M2705&amp;"_"&amp;COUNTIF(M$2:M2705,M2705)))</f>
        <v>1862.01_2</v>
      </c>
      <c r="O2705" s="17" t="str">
        <f t="shared" si="42"/>
        <v/>
      </c>
      <c r="P2705" s="13" t="s">
        <v>2835</v>
      </c>
      <c r="Q2705" s="13" t="s">
        <v>2831</v>
      </c>
      <c r="R2705" s="13" t="s">
        <v>0</v>
      </c>
      <c r="S2705" s="13" t="s">
        <v>0</v>
      </c>
      <c r="T2705" s="13" t="s">
        <v>9</v>
      </c>
      <c r="U2705" s="13" t="s">
        <v>0</v>
      </c>
      <c r="V2705" s="13" t="s">
        <v>0</v>
      </c>
      <c r="W2705" s="13" t="s">
        <v>0</v>
      </c>
      <c r="X2705" s="13" t="s">
        <v>0</v>
      </c>
      <c r="Y2705" s="13" t="s">
        <v>10</v>
      </c>
      <c r="Z2705" s="13" t="s">
        <v>0</v>
      </c>
      <c r="AA2705" s="14"/>
      <c r="AB2705" s="13" t="s">
        <v>0</v>
      </c>
      <c r="AC2705" s="13" t="s">
        <v>0</v>
      </c>
      <c r="AD2705" s="13" t="s">
        <v>0</v>
      </c>
      <c r="AE2705" s="15">
        <v>0</v>
      </c>
    </row>
    <row r="2706" spans="1:31" ht="14.15" customHeight="1" x14ac:dyDescent="0.25">
      <c r="A2706" s="12" t="s">
        <v>0</v>
      </c>
      <c r="B2706" s="13" t="s">
        <v>1</v>
      </c>
      <c r="C2706" s="13" t="s">
        <v>942</v>
      </c>
      <c r="D2706" s="14">
        <v>44120</v>
      </c>
      <c r="E2706" s="14">
        <v>44120</v>
      </c>
      <c r="F2706" s="14">
        <v>44126</v>
      </c>
      <c r="G2706" s="13" t="s">
        <v>3</v>
      </c>
      <c r="H2706" s="13" t="s">
        <v>4</v>
      </c>
      <c r="I2706" s="15">
        <v>-1858.97</v>
      </c>
      <c r="J2706" s="13" t="s">
        <v>5</v>
      </c>
      <c r="K2706" s="13" t="s">
        <v>6</v>
      </c>
      <c r="L2706" s="15">
        <v>-156060.53</v>
      </c>
      <c r="M2706" s="15">
        <v>-1858.97</v>
      </c>
      <c r="N2706" s="16" t="str">
        <f>IF(M2706="","",IF(M2706&lt;0,-M2706&amp;"_"&amp;COUNTIF(M$2:M2706,M2706),M2706&amp;"_"&amp;COUNTIF(M$2:M2706,M2706)))</f>
        <v>1858.97_1</v>
      </c>
      <c r="O2706" s="17" t="str">
        <f t="shared" si="42"/>
        <v/>
      </c>
      <c r="P2706" s="13" t="s">
        <v>943</v>
      </c>
      <c r="Q2706" s="13" t="s">
        <v>944</v>
      </c>
      <c r="R2706" s="13" t="s">
        <v>0</v>
      </c>
      <c r="S2706" s="13" t="s">
        <v>0</v>
      </c>
      <c r="T2706" s="13" t="s">
        <v>9</v>
      </c>
      <c r="U2706" s="13" t="s">
        <v>0</v>
      </c>
      <c r="V2706" s="13" t="s">
        <v>0</v>
      </c>
      <c r="W2706" s="13" t="s">
        <v>0</v>
      </c>
      <c r="X2706" s="13" t="s">
        <v>0</v>
      </c>
      <c r="Y2706" s="13" t="s">
        <v>10</v>
      </c>
      <c r="Z2706" s="13" t="s">
        <v>0</v>
      </c>
      <c r="AA2706" s="14"/>
      <c r="AB2706" s="13" t="s">
        <v>0</v>
      </c>
      <c r="AC2706" s="13" t="s">
        <v>0</v>
      </c>
      <c r="AD2706" s="13" t="s">
        <v>0</v>
      </c>
      <c r="AE2706" s="15">
        <v>0</v>
      </c>
    </row>
    <row r="2707" spans="1:31" ht="14.15" customHeight="1" x14ac:dyDescent="0.25">
      <c r="A2707" s="12" t="s">
        <v>0</v>
      </c>
      <c r="B2707" s="13" t="s">
        <v>1</v>
      </c>
      <c r="C2707" s="13" t="s">
        <v>127</v>
      </c>
      <c r="D2707" s="14">
        <v>44028</v>
      </c>
      <c r="E2707" s="14">
        <v>44028</v>
      </c>
      <c r="F2707" s="14">
        <v>44032</v>
      </c>
      <c r="G2707" s="13" t="s">
        <v>3</v>
      </c>
      <c r="H2707" s="13" t="s">
        <v>4</v>
      </c>
      <c r="I2707" s="15">
        <v>-1855.41</v>
      </c>
      <c r="J2707" s="13" t="s">
        <v>5</v>
      </c>
      <c r="K2707" s="13" t="s">
        <v>6</v>
      </c>
      <c r="L2707" s="15">
        <v>-155761.67000000001</v>
      </c>
      <c r="M2707" s="15">
        <v>-1855.41</v>
      </c>
      <c r="N2707" s="16" t="str">
        <f>IF(M2707="","",IF(M2707&lt;0,-M2707&amp;"_"&amp;COUNTIF(M$2:M2707,M2707),M2707&amp;"_"&amp;COUNTIF(M$2:M2707,M2707)))</f>
        <v>1855.41_1</v>
      </c>
      <c r="O2707" s="17" t="str">
        <f t="shared" si="42"/>
        <v/>
      </c>
      <c r="P2707" s="13" t="s">
        <v>128</v>
      </c>
      <c r="Q2707" s="13" t="s">
        <v>129</v>
      </c>
      <c r="R2707" s="13" t="s">
        <v>0</v>
      </c>
      <c r="S2707" s="13" t="s">
        <v>0</v>
      </c>
      <c r="T2707" s="13" t="s">
        <v>9</v>
      </c>
      <c r="U2707" s="13" t="s">
        <v>0</v>
      </c>
      <c r="V2707" s="13" t="s">
        <v>0</v>
      </c>
      <c r="W2707" s="13" t="s">
        <v>0</v>
      </c>
      <c r="X2707" s="13" t="s">
        <v>0</v>
      </c>
      <c r="Y2707" s="13" t="s">
        <v>10</v>
      </c>
      <c r="Z2707" s="13" t="s">
        <v>0</v>
      </c>
      <c r="AA2707" s="14"/>
      <c r="AB2707" s="13" t="s">
        <v>0</v>
      </c>
      <c r="AC2707" s="13" t="s">
        <v>0</v>
      </c>
      <c r="AD2707" s="13" t="s">
        <v>0</v>
      </c>
      <c r="AE2707" s="15">
        <v>0</v>
      </c>
    </row>
    <row r="2708" spans="1:31" ht="14.15" customHeight="1" x14ac:dyDescent="0.25">
      <c r="A2708" s="12" t="s">
        <v>0</v>
      </c>
      <c r="B2708" s="13" t="s">
        <v>1</v>
      </c>
      <c r="C2708" s="13" t="s">
        <v>1834</v>
      </c>
      <c r="D2708" s="14">
        <v>44184</v>
      </c>
      <c r="E2708" s="14">
        <v>44184</v>
      </c>
      <c r="F2708" s="14">
        <v>44196</v>
      </c>
      <c r="G2708" s="13" t="s">
        <v>3</v>
      </c>
      <c r="H2708" s="13" t="s">
        <v>4</v>
      </c>
      <c r="I2708" s="15">
        <v>-1854.53</v>
      </c>
      <c r="J2708" s="13" t="s">
        <v>5</v>
      </c>
      <c r="K2708" s="13" t="s">
        <v>6</v>
      </c>
      <c r="L2708" s="15">
        <v>-155687.79</v>
      </c>
      <c r="M2708" s="15">
        <v>-1854.53</v>
      </c>
      <c r="N2708" s="16" t="str">
        <f>IF(M2708="","",IF(M2708&lt;0,-M2708&amp;"_"&amp;COUNTIF(M$2:M2708,M2708),M2708&amp;"_"&amp;COUNTIF(M$2:M2708,M2708)))</f>
        <v>1854.53_1</v>
      </c>
      <c r="O2708" s="17" t="str">
        <f t="shared" si="42"/>
        <v/>
      </c>
      <c r="P2708" s="13" t="s">
        <v>1835</v>
      </c>
      <c r="Q2708" s="13" t="s">
        <v>1831</v>
      </c>
      <c r="R2708" s="13" t="s">
        <v>0</v>
      </c>
      <c r="S2708" s="13" t="s">
        <v>0</v>
      </c>
      <c r="T2708" s="13" t="s">
        <v>9</v>
      </c>
      <c r="U2708" s="13" t="s">
        <v>0</v>
      </c>
      <c r="V2708" s="13" t="s">
        <v>0</v>
      </c>
      <c r="W2708" s="13" t="s">
        <v>0</v>
      </c>
      <c r="X2708" s="13" t="s">
        <v>0</v>
      </c>
      <c r="Y2708" s="13" t="s">
        <v>10</v>
      </c>
      <c r="Z2708" s="13" t="s">
        <v>0</v>
      </c>
      <c r="AA2708" s="14"/>
      <c r="AB2708" s="13" t="s">
        <v>0</v>
      </c>
      <c r="AC2708" s="13" t="s">
        <v>0</v>
      </c>
      <c r="AD2708" s="13" t="s">
        <v>0</v>
      </c>
      <c r="AE2708" s="15">
        <v>0</v>
      </c>
    </row>
    <row r="2709" spans="1:31" ht="14.15" customHeight="1" x14ac:dyDescent="0.25">
      <c r="A2709" s="12" t="s">
        <v>0</v>
      </c>
      <c r="B2709" s="13" t="s">
        <v>1</v>
      </c>
      <c r="C2709" s="13" t="s">
        <v>3068</v>
      </c>
      <c r="D2709" s="14">
        <v>44284</v>
      </c>
      <c r="E2709" s="14">
        <v>44284</v>
      </c>
      <c r="F2709" s="14">
        <v>44291</v>
      </c>
      <c r="G2709" s="13" t="s">
        <v>3</v>
      </c>
      <c r="H2709" s="13" t="s">
        <v>4</v>
      </c>
      <c r="I2709" s="15">
        <v>-1853.62</v>
      </c>
      <c r="J2709" s="13" t="s">
        <v>394</v>
      </c>
      <c r="K2709" s="13" t="s">
        <v>6</v>
      </c>
      <c r="L2709" s="15">
        <v>-155611.38</v>
      </c>
      <c r="M2709" s="15">
        <v>-1853.62</v>
      </c>
      <c r="N2709" s="16" t="str">
        <f>IF(M2709="","",IF(M2709&lt;0,-M2709&amp;"_"&amp;COUNTIF(M$2:M2709,M2709),M2709&amp;"_"&amp;COUNTIF(M$2:M2709,M2709)))</f>
        <v>1853.62_1</v>
      </c>
      <c r="O2709" s="17" t="str">
        <f t="shared" si="42"/>
        <v/>
      </c>
      <c r="P2709" s="13" t="s">
        <v>3069</v>
      </c>
      <c r="Q2709" s="13" t="s">
        <v>3061</v>
      </c>
      <c r="R2709" s="13" t="s">
        <v>0</v>
      </c>
      <c r="S2709" s="13" t="s">
        <v>0</v>
      </c>
      <c r="T2709" s="13" t="s">
        <v>9</v>
      </c>
      <c r="U2709" s="13" t="s">
        <v>0</v>
      </c>
      <c r="V2709" s="13" t="s">
        <v>0</v>
      </c>
      <c r="W2709" s="13" t="s">
        <v>0</v>
      </c>
      <c r="X2709" s="13" t="s">
        <v>0</v>
      </c>
      <c r="Y2709" s="13" t="s">
        <v>10</v>
      </c>
      <c r="Z2709" s="13" t="s">
        <v>0</v>
      </c>
      <c r="AA2709" s="14"/>
      <c r="AB2709" s="13" t="s">
        <v>0</v>
      </c>
      <c r="AC2709" s="13" t="s">
        <v>0</v>
      </c>
      <c r="AD2709" s="13" t="s">
        <v>0</v>
      </c>
      <c r="AE2709" s="15">
        <v>0</v>
      </c>
    </row>
    <row r="2710" spans="1:31" ht="14.15" customHeight="1" x14ac:dyDescent="0.25">
      <c r="A2710" s="12" t="s">
        <v>0</v>
      </c>
      <c r="B2710" s="13" t="s">
        <v>1</v>
      </c>
      <c r="C2710" s="13" t="s">
        <v>1447</v>
      </c>
      <c r="D2710" s="14">
        <v>44158</v>
      </c>
      <c r="E2710" s="14">
        <v>44158</v>
      </c>
      <c r="F2710" s="14">
        <v>44163</v>
      </c>
      <c r="G2710" s="13" t="s">
        <v>3</v>
      </c>
      <c r="H2710" s="13" t="s">
        <v>4</v>
      </c>
      <c r="I2710" s="15">
        <v>-1852.41</v>
      </c>
      <c r="J2710" s="13" t="s">
        <v>5</v>
      </c>
      <c r="K2710" s="13" t="s">
        <v>6</v>
      </c>
      <c r="L2710" s="15">
        <v>-155509.82</v>
      </c>
      <c r="M2710" s="15">
        <v>-1852.41</v>
      </c>
      <c r="N2710" s="16" t="str">
        <f>IF(M2710="","",IF(M2710&lt;0,-M2710&amp;"_"&amp;COUNTIF(M$2:M2710,M2710),M2710&amp;"_"&amp;COUNTIF(M$2:M2710,M2710)))</f>
        <v>1852.41_1</v>
      </c>
      <c r="O2710" s="17" t="str">
        <f t="shared" si="42"/>
        <v/>
      </c>
      <c r="P2710" s="13" t="s">
        <v>1448</v>
      </c>
      <c r="Q2710" s="13" t="s">
        <v>1444</v>
      </c>
      <c r="R2710" s="13" t="s">
        <v>0</v>
      </c>
      <c r="S2710" s="13" t="s">
        <v>0</v>
      </c>
      <c r="T2710" s="13" t="s">
        <v>9</v>
      </c>
      <c r="U2710" s="13" t="s">
        <v>0</v>
      </c>
      <c r="V2710" s="13" t="s">
        <v>0</v>
      </c>
      <c r="W2710" s="13" t="s">
        <v>0</v>
      </c>
      <c r="X2710" s="13" t="s">
        <v>0</v>
      </c>
      <c r="Y2710" s="13" t="s">
        <v>10</v>
      </c>
      <c r="Z2710" s="13" t="s">
        <v>0</v>
      </c>
      <c r="AA2710" s="14"/>
      <c r="AB2710" s="13" t="s">
        <v>0</v>
      </c>
      <c r="AC2710" s="13" t="s">
        <v>0</v>
      </c>
      <c r="AD2710" s="13" t="s">
        <v>0</v>
      </c>
      <c r="AE2710" s="15">
        <v>0</v>
      </c>
    </row>
    <row r="2711" spans="1:31" ht="14.15" customHeight="1" x14ac:dyDescent="0.25">
      <c r="A2711" s="12" t="s">
        <v>0</v>
      </c>
      <c r="B2711" s="13" t="s">
        <v>1</v>
      </c>
      <c r="C2711" s="13" t="s">
        <v>3395</v>
      </c>
      <c r="D2711" s="14">
        <v>44318</v>
      </c>
      <c r="E2711" s="14">
        <v>44318</v>
      </c>
      <c r="F2711" s="14">
        <v>44321</v>
      </c>
      <c r="G2711" s="13" t="s">
        <v>3</v>
      </c>
      <c r="H2711" s="13" t="s">
        <v>4</v>
      </c>
      <c r="I2711" s="15">
        <v>-1833.84</v>
      </c>
      <c r="J2711" s="13" t="s">
        <v>5</v>
      </c>
      <c r="K2711" s="13" t="s">
        <v>6</v>
      </c>
      <c r="L2711" s="15">
        <v>-153950.87</v>
      </c>
      <c r="M2711" s="15">
        <v>-1833.84</v>
      </c>
      <c r="N2711" s="16" t="str">
        <f>IF(M2711="","",IF(M2711&lt;0,-M2711&amp;"_"&amp;COUNTIF(M$2:M2711,M2711),M2711&amp;"_"&amp;COUNTIF(M$2:M2711,M2711)))</f>
        <v>1833.84_1</v>
      </c>
      <c r="O2711" s="17" t="str">
        <f t="shared" si="42"/>
        <v/>
      </c>
      <c r="P2711" s="13" t="s">
        <v>3396</v>
      </c>
      <c r="Q2711" s="13" t="s">
        <v>3397</v>
      </c>
      <c r="R2711" s="13" t="s">
        <v>0</v>
      </c>
      <c r="S2711" s="13" t="s">
        <v>0</v>
      </c>
      <c r="T2711" s="13" t="s">
        <v>9</v>
      </c>
      <c r="U2711" s="13" t="s">
        <v>0</v>
      </c>
      <c r="V2711" s="13" t="s">
        <v>0</v>
      </c>
      <c r="W2711" s="13" t="s">
        <v>0</v>
      </c>
      <c r="X2711" s="13" t="s">
        <v>0</v>
      </c>
      <c r="Y2711" s="13" t="s">
        <v>10</v>
      </c>
      <c r="Z2711" s="13" t="s">
        <v>0</v>
      </c>
      <c r="AA2711" s="14"/>
      <c r="AB2711" s="13" t="s">
        <v>0</v>
      </c>
      <c r="AC2711" s="13" t="s">
        <v>0</v>
      </c>
      <c r="AD2711" s="13" t="s">
        <v>0</v>
      </c>
      <c r="AE2711" s="15">
        <v>0</v>
      </c>
    </row>
    <row r="2712" spans="1:31" ht="14.15" customHeight="1" x14ac:dyDescent="0.25">
      <c r="A2712" s="12" t="s">
        <v>0</v>
      </c>
      <c r="B2712" s="13" t="s">
        <v>1</v>
      </c>
      <c r="C2712" s="13" t="s">
        <v>3580</v>
      </c>
      <c r="D2712" s="14">
        <v>44326</v>
      </c>
      <c r="E2712" s="14">
        <v>44326</v>
      </c>
      <c r="F2712" s="14">
        <v>44333</v>
      </c>
      <c r="G2712" s="13" t="s">
        <v>3</v>
      </c>
      <c r="H2712" s="13" t="s">
        <v>4</v>
      </c>
      <c r="I2712" s="15">
        <v>-1833.84</v>
      </c>
      <c r="J2712" s="13" t="s">
        <v>394</v>
      </c>
      <c r="K2712" s="13" t="s">
        <v>6</v>
      </c>
      <c r="L2712" s="15">
        <v>-153950.85</v>
      </c>
      <c r="M2712" s="15">
        <v>-1833.84</v>
      </c>
      <c r="N2712" s="16" t="str">
        <f>IF(M2712="","",IF(M2712&lt;0,-M2712&amp;"_"&amp;COUNTIF(M$2:M2712,M2712),M2712&amp;"_"&amp;COUNTIF(M$2:M2712,M2712)))</f>
        <v>1833.84_2</v>
      </c>
      <c r="O2712" s="17" t="str">
        <f t="shared" si="42"/>
        <v/>
      </c>
      <c r="P2712" s="13" t="s">
        <v>3581</v>
      </c>
      <c r="Q2712" s="13" t="s">
        <v>3582</v>
      </c>
      <c r="R2712" s="13" t="s">
        <v>0</v>
      </c>
      <c r="S2712" s="13" t="s">
        <v>0</v>
      </c>
      <c r="T2712" s="13" t="s">
        <v>9</v>
      </c>
      <c r="U2712" s="13" t="s">
        <v>0</v>
      </c>
      <c r="V2712" s="13" t="s">
        <v>0</v>
      </c>
      <c r="W2712" s="13" t="s">
        <v>0</v>
      </c>
      <c r="X2712" s="13" t="s">
        <v>0</v>
      </c>
      <c r="Y2712" s="13" t="s">
        <v>10</v>
      </c>
      <c r="Z2712" s="13" t="s">
        <v>0</v>
      </c>
      <c r="AA2712" s="14"/>
      <c r="AB2712" s="13" t="s">
        <v>0</v>
      </c>
      <c r="AC2712" s="13" t="s">
        <v>0</v>
      </c>
      <c r="AD2712" s="13" t="s">
        <v>0</v>
      </c>
      <c r="AE2712" s="15">
        <v>0</v>
      </c>
    </row>
    <row r="2713" spans="1:31" ht="14.15" customHeight="1" x14ac:dyDescent="0.25">
      <c r="A2713" s="12" t="s">
        <v>0</v>
      </c>
      <c r="B2713" s="13" t="s">
        <v>1</v>
      </c>
      <c r="C2713" s="13" t="s">
        <v>3580</v>
      </c>
      <c r="D2713" s="14">
        <v>44326</v>
      </c>
      <c r="E2713" s="14">
        <v>44326</v>
      </c>
      <c r="F2713" s="14">
        <v>44333</v>
      </c>
      <c r="G2713" s="13" t="s">
        <v>3</v>
      </c>
      <c r="H2713" s="13" t="s">
        <v>4</v>
      </c>
      <c r="I2713" s="15">
        <v>-1833.84</v>
      </c>
      <c r="J2713" s="13" t="s">
        <v>5</v>
      </c>
      <c r="K2713" s="13" t="s">
        <v>6</v>
      </c>
      <c r="L2713" s="15">
        <v>-153950.87</v>
      </c>
      <c r="M2713" s="15">
        <v>-1833.84</v>
      </c>
      <c r="N2713" s="16" t="str">
        <f>IF(M2713="","",IF(M2713&lt;0,-M2713&amp;"_"&amp;COUNTIF(M$2:M2713,M2713),M2713&amp;"_"&amp;COUNTIF(M$2:M2713,M2713)))</f>
        <v>1833.84_3</v>
      </c>
      <c r="O2713" s="17" t="str">
        <f t="shared" si="42"/>
        <v/>
      </c>
      <c r="P2713" s="13" t="s">
        <v>3581</v>
      </c>
      <c r="Q2713" s="13" t="s">
        <v>3582</v>
      </c>
      <c r="R2713" s="13" t="s">
        <v>0</v>
      </c>
      <c r="S2713" s="13" t="s">
        <v>0</v>
      </c>
      <c r="T2713" s="13" t="s">
        <v>9</v>
      </c>
      <c r="U2713" s="13" t="s">
        <v>0</v>
      </c>
      <c r="V2713" s="13" t="s">
        <v>0</v>
      </c>
      <c r="W2713" s="13" t="s">
        <v>0</v>
      </c>
      <c r="X2713" s="13" t="s">
        <v>0</v>
      </c>
      <c r="Y2713" s="13" t="s">
        <v>10</v>
      </c>
      <c r="Z2713" s="13" t="s">
        <v>0</v>
      </c>
      <c r="AA2713" s="14"/>
      <c r="AB2713" s="13" t="s">
        <v>0</v>
      </c>
      <c r="AC2713" s="13" t="s">
        <v>0</v>
      </c>
      <c r="AD2713" s="13" t="s">
        <v>0</v>
      </c>
      <c r="AE2713" s="15">
        <v>0</v>
      </c>
    </row>
    <row r="2714" spans="1:31" ht="14.15" customHeight="1" x14ac:dyDescent="0.25">
      <c r="A2714" s="12" t="s">
        <v>0</v>
      </c>
      <c r="B2714" s="13" t="s">
        <v>1</v>
      </c>
      <c r="C2714" s="13" t="s">
        <v>198</v>
      </c>
      <c r="D2714" s="14">
        <v>44034</v>
      </c>
      <c r="E2714" s="14">
        <v>44034</v>
      </c>
      <c r="F2714" s="14">
        <v>44049</v>
      </c>
      <c r="G2714" s="13" t="s">
        <v>3</v>
      </c>
      <c r="H2714" s="13" t="s">
        <v>4</v>
      </c>
      <c r="I2714" s="15">
        <v>-1833.2</v>
      </c>
      <c r="J2714" s="13" t="s">
        <v>5</v>
      </c>
      <c r="K2714" s="13" t="s">
        <v>6</v>
      </c>
      <c r="L2714" s="15">
        <v>-153897.14000000001</v>
      </c>
      <c r="M2714" s="15">
        <v>-1833.2</v>
      </c>
      <c r="N2714" s="16" t="str">
        <f>IF(M2714="","",IF(M2714&lt;0,-M2714&amp;"_"&amp;COUNTIF(M$2:M2714,M2714),M2714&amp;"_"&amp;COUNTIF(M$2:M2714,M2714)))</f>
        <v>1833.2_1</v>
      </c>
      <c r="O2714" s="17" t="str">
        <f t="shared" si="42"/>
        <v/>
      </c>
      <c r="P2714" s="13" t="s">
        <v>199</v>
      </c>
      <c r="Q2714" s="13" t="s">
        <v>175</v>
      </c>
      <c r="R2714" s="13" t="s">
        <v>0</v>
      </c>
      <c r="S2714" s="13" t="s">
        <v>0</v>
      </c>
      <c r="T2714" s="13" t="s">
        <v>9</v>
      </c>
      <c r="U2714" s="13" t="s">
        <v>0</v>
      </c>
      <c r="V2714" s="13" t="s">
        <v>0</v>
      </c>
      <c r="W2714" s="13" t="s">
        <v>0</v>
      </c>
      <c r="X2714" s="13" t="s">
        <v>0</v>
      </c>
      <c r="Y2714" s="13" t="s">
        <v>10</v>
      </c>
      <c r="Z2714" s="13" t="s">
        <v>0</v>
      </c>
      <c r="AA2714" s="14"/>
      <c r="AB2714" s="13" t="s">
        <v>0</v>
      </c>
      <c r="AC2714" s="13" t="s">
        <v>0</v>
      </c>
      <c r="AD2714" s="13" t="s">
        <v>0</v>
      </c>
      <c r="AE2714" s="15">
        <v>0</v>
      </c>
    </row>
    <row r="2715" spans="1:31" ht="14.15" customHeight="1" x14ac:dyDescent="0.25">
      <c r="A2715" s="12" t="s">
        <v>0</v>
      </c>
      <c r="B2715" s="13" t="s">
        <v>1</v>
      </c>
      <c r="C2715" s="13" t="s">
        <v>1280</v>
      </c>
      <c r="D2715" s="14">
        <v>44146</v>
      </c>
      <c r="E2715" s="14">
        <v>44146</v>
      </c>
      <c r="F2715" s="14">
        <v>44149</v>
      </c>
      <c r="G2715" s="13" t="s">
        <v>3</v>
      </c>
      <c r="H2715" s="13" t="s">
        <v>4</v>
      </c>
      <c r="I2715" s="15">
        <v>-1830.66</v>
      </c>
      <c r="J2715" s="13" t="s">
        <v>5</v>
      </c>
      <c r="K2715" s="13" t="s">
        <v>6</v>
      </c>
      <c r="L2715" s="15">
        <v>-153683.91</v>
      </c>
      <c r="M2715" s="15">
        <v>-1830.66</v>
      </c>
      <c r="N2715" s="16" t="str">
        <f>IF(M2715="","",IF(M2715&lt;0,-M2715&amp;"_"&amp;COUNTIF(M$2:M2715,M2715),M2715&amp;"_"&amp;COUNTIF(M$2:M2715,M2715)))</f>
        <v>1830.66_1</v>
      </c>
      <c r="O2715" s="17" t="str">
        <f t="shared" si="42"/>
        <v/>
      </c>
      <c r="P2715" s="13" t="s">
        <v>1281</v>
      </c>
      <c r="Q2715" s="13" t="s">
        <v>1282</v>
      </c>
      <c r="R2715" s="13" t="s">
        <v>0</v>
      </c>
      <c r="S2715" s="13" t="s">
        <v>0</v>
      </c>
      <c r="T2715" s="13" t="s">
        <v>9</v>
      </c>
      <c r="U2715" s="13" t="s">
        <v>0</v>
      </c>
      <c r="V2715" s="13" t="s">
        <v>0</v>
      </c>
      <c r="W2715" s="13" t="s">
        <v>0</v>
      </c>
      <c r="X2715" s="13" t="s">
        <v>0</v>
      </c>
      <c r="Y2715" s="13" t="s">
        <v>10</v>
      </c>
      <c r="Z2715" s="13" t="s">
        <v>0</v>
      </c>
      <c r="AA2715" s="14"/>
      <c r="AB2715" s="13" t="s">
        <v>0</v>
      </c>
      <c r="AC2715" s="13" t="s">
        <v>0</v>
      </c>
      <c r="AD2715" s="13" t="s">
        <v>0</v>
      </c>
      <c r="AE2715" s="15">
        <v>0</v>
      </c>
    </row>
    <row r="2716" spans="1:31" ht="14.15" customHeight="1" x14ac:dyDescent="0.25">
      <c r="A2716" s="12" t="s">
        <v>0</v>
      </c>
      <c r="B2716" s="13" t="s">
        <v>1</v>
      </c>
      <c r="C2716" s="13" t="s">
        <v>1666</v>
      </c>
      <c r="D2716" s="14">
        <v>44171</v>
      </c>
      <c r="E2716" s="14">
        <v>44171</v>
      </c>
      <c r="F2716" s="14">
        <v>44186</v>
      </c>
      <c r="G2716" s="13" t="s">
        <v>3</v>
      </c>
      <c r="H2716" s="13" t="s">
        <v>4</v>
      </c>
      <c r="I2716" s="15">
        <v>-1829.03</v>
      </c>
      <c r="J2716" s="13" t="s">
        <v>5</v>
      </c>
      <c r="K2716" s="13" t="s">
        <v>6</v>
      </c>
      <c r="L2716" s="15">
        <v>-153547.07</v>
      </c>
      <c r="M2716" s="15">
        <v>-1829.03</v>
      </c>
      <c r="N2716" s="16" t="str">
        <f>IF(M2716="","",IF(M2716&lt;0,-M2716&amp;"_"&amp;COUNTIF(M$2:M2716,M2716),M2716&amp;"_"&amp;COUNTIF(M$2:M2716,M2716)))</f>
        <v>1829.03_1</v>
      </c>
      <c r="O2716" s="17" t="str">
        <f t="shared" si="42"/>
        <v/>
      </c>
      <c r="P2716" s="13" t="s">
        <v>1667</v>
      </c>
      <c r="Q2716" s="13" t="s">
        <v>1659</v>
      </c>
      <c r="R2716" s="13" t="s">
        <v>0</v>
      </c>
      <c r="S2716" s="13" t="s">
        <v>0</v>
      </c>
      <c r="T2716" s="13" t="s">
        <v>9</v>
      </c>
      <c r="U2716" s="13" t="s">
        <v>0</v>
      </c>
      <c r="V2716" s="13" t="s">
        <v>0</v>
      </c>
      <c r="W2716" s="13" t="s">
        <v>0</v>
      </c>
      <c r="X2716" s="13" t="s">
        <v>0</v>
      </c>
      <c r="Y2716" s="13" t="s">
        <v>10</v>
      </c>
      <c r="Z2716" s="13" t="s">
        <v>0</v>
      </c>
      <c r="AA2716" s="14"/>
      <c r="AB2716" s="13" t="s">
        <v>0</v>
      </c>
      <c r="AC2716" s="13" t="s">
        <v>0</v>
      </c>
      <c r="AD2716" s="13" t="s">
        <v>0</v>
      </c>
      <c r="AE2716" s="15">
        <v>0</v>
      </c>
    </row>
    <row r="2717" spans="1:31" ht="14.15" customHeight="1" x14ac:dyDescent="0.25">
      <c r="A2717" s="12" t="s">
        <v>0</v>
      </c>
      <c r="B2717" s="13" t="s">
        <v>1</v>
      </c>
      <c r="C2717" s="13" t="s">
        <v>515</v>
      </c>
      <c r="D2717" s="14">
        <v>44069</v>
      </c>
      <c r="E2717" s="14">
        <v>44069</v>
      </c>
      <c r="F2717" s="14">
        <v>44079</v>
      </c>
      <c r="G2717" s="13" t="s">
        <v>3</v>
      </c>
      <c r="H2717" s="13" t="s">
        <v>4</v>
      </c>
      <c r="I2717" s="15">
        <v>-1823.93</v>
      </c>
      <c r="J2717" s="13" t="s">
        <v>5</v>
      </c>
      <c r="K2717" s="13" t="s">
        <v>6</v>
      </c>
      <c r="L2717" s="15">
        <v>-153118.92000000001</v>
      </c>
      <c r="M2717" s="15">
        <v>-1823.93</v>
      </c>
      <c r="N2717" s="16" t="str">
        <f>IF(M2717="","",IF(M2717&lt;0,-M2717&amp;"_"&amp;COUNTIF(M$2:M2717,M2717),M2717&amp;"_"&amp;COUNTIF(M$2:M2717,M2717)))</f>
        <v>1823.93_1</v>
      </c>
      <c r="O2717" s="17" t="str">
        <f t="shared" si="42"/>
        <v/>
      </c>
      <c r="P2717" s="13" t="s">
        <v>516</v>
      </c>
      <c r="Q2717" s="13" t="s">
        <v>510</v>
      </c>
      <c r="R2717" s="13" t="s">
        <v>0</v>
      </c>
      <c r="S2717" s="13" t="s">
        <v>0</v>
      </c>
      <c r="T2717" s="13" t="s">
        <v>9</v>
      </c>
      <c r="U2717" s="13" t="s">
        <v>0</v>
      </c>
      <c r="V2717" s="13" t="s">
        <v>0</v>
      </c>
      <c r="W2717" s="13" t="s">
        <v>0</v>
      </c>
      <c r="X2717" s="13" t="s">
        <v>0</v>
      </c>
      <c r="Y2717" s="13" t="s">
        <v>10</v>
      </c>
      <c r="Z2717" s="13" t="s">
        <v>0</v>
      </c>
      <c r="AA2717" s="14"/>
      <c r="AB2717" s="13" t="s">
        <v>0</v>
      </c>
      <c r="AC2717" s="13" t="s">
        <v>0</v>
      </c>
      <c r="AD2717" s="13" t="s">
        <v>0</v>
      </c>
      <c r="AE2717" s="15">
        <v>0</v>
      </c>
    </row>
    <row r="2718" spans="1:31" ht="14.15" customHeight="1" x14ac:dyDescent="0.25">
      <c r="A2718" s="12" t="s">
        <v>0</v>
      </c>
      <c r="B2718" s="13" t="s">
        <v>1</v>
      </c>
      <c r="C2718" s="13" t="s">
        <v>317</v>
      </c>
      <c r="D2718" s="14">
        <v>44043</v>
      </c>
      <c r="E2718" s="14">
        <v>44043</v>
      </c>
      <c r="F2718" s="14">
        <v>44057</v>
      </c>
      <c r="G2718" s="13" t="s">
        <v>3</v>
      </c>
      <c r="H2718" s="13" t="s">
        <v>4</v>
      </c>
      <c r="I2718" s="15">
        <v>-1822.95</v>
      </c>
      <c r="J2718" s="13" t="s">
        <v>5</v>
      </c>
      <c r="K2718" s="13" t="s">
        <v>6</v>
      </c>
      <c r="L2718" s="15">
        <v>-153036.65</v>
      </c>
      <c r="M2718" s="15">
        <v>-1822.95</v>
      </c>
      <c r="N2718" s="16" t="str">
        <f>IF(M2718="","",IF(M2718&lt;0,-M2718&amp;"_"&amp;COUNTIF(M$2:M2718,M2718),M2718&amp;"_"&amp;COUNTIF(M$2:M2718,M2718)))</f>
        <v>1822.95_1</v>
      </c>
      <c r="O2718" s="17" t="str">
        <f t="shared" si="42"/>
        <v/>
      </c>
      <c r="P2718" s="13" t="s">
        <v>318</v>
      </c>
      <c r="Q2718" s="13" t="s">
        <v>316</v>
      </c>
      <c r="R2718" s="13" t="s">
        <v>0</v>
      </c>
      <c r="S2718" s="13" t="s">
        <v>0</v>
      </c>
      <c r="T2718" s="13" t="s">
        <v>9</v>
      </c>
      <c r="U2718" s="13" t="s">
        <v>0</v>
      </c>
      <c r="V2718" s="13" t="s">
        <v>0</v>
      </c>
      <c r="W2718" s="13" t="s">
        <v>0</v>
      </c>
      <c r="X2718" s="13" t="s">
        <v>0</v>
      </c>
      <c r="Y2718" s="13" t="s">
        <v>10</v>
      </c>
      <c r="Z2718" s="13" t="s">
        <v>0</v>
      </c>
      <c r="AA2718" s="14"/>
      <c r="AB2718" s="13" t="s">
        <v>0</v>
      </c>
      <c r="AC2718" s="13" t="s">
        <v>0</v>
      </c>
      <c r="AD2718" s="13" t="s">
        <v>0</v>
      </c>
      <c r="AE2718" s="15">
        <v>0</v>
      </c>
    </row>
    <row r="2719" spans="1:31" ht="14.15" customHeight="1" x14ac:dyDescent="0.25">
      <c r="A2719" s="12" t="s">
        <v>0</v>
      </c>
      <c r="B2719" s="13" t="s">
        <v>454</v>
      </c>
      <c r="C2719" s="13" t="s">
        <v>2456</v>
      </c>
      <c r="D2719" s="14">
        <v>44231</v>
      </c>
      <c r="E2719" s="14">
        <v>44231</v>
      </c>
      <c r="F2719" s="14">
        <v>44236</v>
      </c>
      <c r="G2719" s="13" t="s">
        <v>3</v>
      </c>
      <c r="H2719" s="13" t="s">
        <v>4</v>
      </c>
      <c r="I2719" s="15">
        <v>-1822.68</v>
      </c>
      <c r="J2719" s="13" t="s">
        <v>5</v>
      </c>
      <c r="K2719" s="13" t="s">
        <v>6</v>
      </c>
      <c r="L2719" s="15">
        <v>-153013.99</v>
      </c>
      <c r="M2719" s="15">
        <v>-1822.68</v>
      </c>
      <c r="N2719" s="16" t="str">
        <f>IF(M2719="","",IF(M2719&lt;0,-M2719&amp;"_"&amp;COUNTIF(M$2:M2719,M2719),M2719&amp;"_"&amp;COUNTIF(M$2:M2719,M2719)))</f>
        <v>1822.68_1</v>
      </c>
      <c r="O2719" s="17" t="str">
        <f t="shared" si="42"/>
        <v/>
      </c>
      <c r="P2719" s="13" t="s">
        <v>2457</v>
      </c>
      <c r="Q2719" s="13" t="s">
        <v>2427</v>
      </c>
      <c r="R2719" s="13" t="s">
        <v>0</v>
      </c>
      <c r="S2719" s="13" t="s">
        <v>0</v>
      </c>
      <c r="T2719" s="13" t="s">
        <v>9</v>
      </c>
      <c r="U2719" s="13" t="s">
        <v>0</v>
      </c>
      <c r="V2719" s="13" t="s">
        <v>0</v>
      </c>
      <c r="W2719" s="13" t="s">
        <v>0</v>
      </c>
      <c r="X2719" s="13" t="s">
        <v>0</v>
      </c>
      <c r="Y2719" s="13" t="s">
        <v>10</v>
      </c>
      <c r="Z2719" s="13" t="s">
        <v>0</v>
      </c>
      <c r="AA2719" s="14"/>
      <c r="AB2719" s="13" t="s">
        <v>0</v>
      </c>
      <c r="AC2719" s="13" t="s">
        <v>0</v>
      </c>
      <c r="AD2719" s="13" t="s">
        <v>0</v>
      </c>
      <c r="AE2719" s="15">
        <v>0</v>
      </c>
    </row>
    <row r="2720" spans="1:31" ht="14.15" customHeight="1" x14ac:dyDescent="0.25">
      <c r="A2720" s="12" t="s">
        <v>0</v>
      </c>
      <c r="B2720" s="13" t="s">
        <v>1</v>
      </c>
      <c r="C2720" s="13" t="s">
        <v>2297</v>
      </c>
      <c r="D2720" s="14">
        <v>44219</v>
      </c>
      <c r="E2720" s="14">
        <v>44219</v>
      </c>
      <c r="F2720" s="14">
        <v>44226</v>
      </c>
      <c r="G2720" s="13" t="s">
        <v>3</v>
      </c>
      <c r="H2720" s="13" t="s">
        <v>4</v>
      </c>
      <c r="I2720" s="15">
        <v>-1820.48</v>
      </c>
      <c r="J2720" s="13" t="s">
        <v>5</v>
      </c>
      <c r="K2720" s="13" t="s">
        <v>6</v>
      </c>
      <c r="L2720" s="15">
        <v>-152829.29999999999</v>
      </c>
      <c r="M2720" s="15">
        <v>-1820.48</v>
      </c>
      <c r="N2720" s="16" t="str">
        <f>IF(M2720="","",IF(M2720&lt;0,-M2720&amp;"_"&amp;COUNTIF(M$2:M2720,M2720),M2720&amp;"_"&amp;COUNTIF(M$2:M2720,M2720)))</f>
        <v>1820.48_1</v>
      </c>
      <c r="O2720" s="17" t="str">
        <f t="shared" si="42"/>
        <v/>
      </c>
      <c r="P2720" s="13" t="s">
        <v>2298</v>
      </c>
      <c r="Q2720" s="13" t="s">
        <v>2282</v>
      </c>
      <c r="R2720" s="13" t="s">
        <v>0</v>
      </c>
      <c r="S2720" s="13" t="s">
        <v>0</v>
      </c>
      <c r="T2720" s="13" t="s">
        <v>9</v>
      </c>
      <c r="U2720" s="13" t="s">
        <v>0</v>
      </c>
      <c r="V2720" s="13" t="s">
        <v>0</v>
      </c>
      <c r="W2720" s="13" t="s">
        <v>0</v>
      </c>
      <c r="X2720" s="13" t="s">
        <v>0</v>
      </c>
      <c r="Y2720" s="13" t="s">
        <v>10</v>
      </c>
      <c r="Z2720" s="13" t="s">
        <v>0</v>
      </c>
      <c r="AA2720" s="14"/>
      <c r="AB2720" s="13" t="s">
        <v>0</v>
      </c>
      <c r="AC2720" s="13" t="s">
        <v>0</v>
      </c>
      <c r="AD2720" s="13" t="s">
        <v>0</v>
      </c>
      <c r="AE2720" s="15">
        <v>0</v>
      </c>
    </row>
    <row r="2721" spans="1:31" ht="14.15" customHeight="1" x14ac:dyDescent="0.25">
      <c r="A2721" s="12" t="s">
        <v>0</v>
      </c>
      <c r="B2721" s="13" t="s">
        <v>1</v>
      </c>
      <c r="C2721" s="13" t="s">
        <v>2299</v>
      </c>
      <c r="D2721" s="14">
        <v>44219</v>
      </c>
      <c r="E2721" s="14">
        <v>44219</v>
      </c>
      <c r="F2721" s="14">
        <v>44226</v>
      </c>
      <c r="G2721" s="13" t="s">
        <v>3</v>
      </c>
      <c r="H2721" s="13" t="s">
        <v>4</v>
      </c>
      <c r="I2721" s="15">
        <v>-1820.48</v>
      </c>
      <c r="J2721" s="13" t="s">
        <v>5</v>
      </c>
      <c r="K2721" s="13" t="s">
        <v>6</v>
      </c>
      <c r="L2721" s="15">
        <v>-152829.29999999999</v>
      </c>
      <c r="M2721" s="15">
        <v>-1820.48</v>
      </c>
      <c r="N2721" s="16" t="str">
        <f>IF(M2721="","",IF(M2721&lt;0,-M2721&amp;"_"&amp;COUNTIF(M$2:M2721,M2721),M2721&amp;"_"&amp;COUNTIF(M$2:M2721,M2721)))</f>
        <v>1820.48_2</v>
      </c>
      <c r="O2721" s="17" t="str">
        <f t="shared" si="42"/>
        <v/>
      </c>
      <c r="P2721" s="13" t="s">
        <v>2300</v>
      </c>
      <c r="Q2721" s="13" t="s">
        <v>2282</v>
      </c>
      <c r="R2721" s="13" t="s">
        <v>0</v>
      </c>
      <c r="S2721" s="13" t="s">
        <v>0</v>
      </c>
      <c r="T2721" s="13" t="s">
        <v>9</v>
      </c>
      <c r="U2721" s="13" t="s">
        <v>0</v>
      </c>
      <c r="V2721" s="13" t="s">
        <v>0</v>
      </c>
      <c r="W2721" s="13" t="s">
        <v>0</v>
      </c>
      <c r="X2721" s="13" t="s">
        <v>0</v>
      </c>
      <c r="Y2721" s="13" t="s">
        <v>10</v>
      </c>
      <c r="Z2721" s="13" t="s">
        <v>0</v>
      </c>
      <c r="AA2721" s="14"/>
      <c r="AB2721" s="13" t="s">
        <v>0</v>
      </c>
      <c r="AC2721" s="13" t="s">
        <v>0</v>
      </c>
      <c r="AD2721" s="13" t="s">
        <v>0</v>
      </c>
      <c r="AE2721" s="15">
        <v>0</v>
      </c>
    </row>
    <row r="2722" spans="1:31" ht="14.15" customHeight="1" x14ac:dyDescent="0.25">
      <c r="A2722" s="12" t="s">
        <v>0</v>
      </c>
      <c r="B2722" s="13" t="s">
        <v>1</v>
      </c>
      <c r="C2722" s="13" t="s">
        <v>2633</v>
      </c>
      <c r="D2722" s="14">
        <v>44247</v>
      </c>
      <c r="E2722" s="14">
        <v>44247</v>
      </c>
      <c r="F2722" s="14">
        <v>44262</v>
      </c>
      <c r="G2722" s="13" t="s">
        <v>3</v>
      </c>
      <c r="H2722" s="13" t="s">
        <v>4</v>
      </c>
      <c r="I2722" s="15">
        <v>-1820.48</v>
      </c>
      <c r="J2722" s="13" t="s">
        <v>5</v>
      </c>
      <c r="K2722" s="13" t="s">
        <v>6</v>
      </c>
      <c r="L2722" s="15">
        <v>-152829.29999999999</v>
      </c>
      <c r="M2722" s="15">
        <v>-1820.48</v>
      </c>
      <c r="N2722" s="16" t="str">
        <f>IF(M2722="","",IF(M2722&lt;0,-M2722&amp;"_"&amp;COUNTIF(M$2:M2722,M2722),M2722&amp;"_"&amp;COUNTIF(M$2:M2722,M2722)))</f>
        <v>1820.48_3</v>
      </c>
      <c r="O2722" s="17" t="str">
        <f t="shared" si="42"/>
        <v/>
      </c>
      <c r="P2722" s="13" t="s">
        <v>2634</v>
      </c>
      <c r="Q2722" s="13" t="s">
        <v>2626</v>
      </c>
      <c r="R2722" s="13" t="s">
        <v>0</v>
      </c>
      <c r="S2722" s="13" t="s">
        <v>0</v>
      </c>
      <c r="T2722" s="13" t="s">
        <v>9</v>
      </c>
      <c r="U2722" s="13" t="s">
        <v>0</v>
      </c>
      <c r="V2722" s="13" t="s">
        <v>0</v>
      </c>
      <c r="W2722" s="13" t="s">
        <v>0</v>
      </c>
      <c r="X2722" s="13" t="s">
        <v>0</v>
      </c>
      <c r="Y2722" s="13" t="s">
        <v>10</v>
      </c>
      <c r="Z2722" s="13" t="s">
        <v>0</v>
      </c>
      <c r="AA2722" s="14"/>
      <c r="AB2722" s="13" t="s">
        <v>0</v>
      </c>
      <c r="AC2722" s="13" t="s">
        <v>0</v>
      </c>
      <c r="AD2722" s="13" t="s">
        <v>0</v>
      </c>
      <c r="AE2722" s="15">
        <v>0</v>
      </c>
    </row>
    <row r="2723" spans="1:31" ht="14.15" customHeight="1" x14ac:dyDescent="0.25">
      <c r="A2723" s="12" t="s">
        <v>0</v>
      </c>
      <c r="B2723" s="13" t="s">
        <v>1</v>
      </c>
      <c r="C2723" s="13" t="s">
        <v>915</v>
      </c>
      <c r="D2723" s="14">
        <v>44117</v>
      </c>
      <c r="E2723" s="14">
        <v>44117</v>
      </c>
      <c r="F2723" s="14">
        <v>44119</v>
      </c>
      <c r="G2723" s="13" t="s">
        <v>3</v>
      </c>
      <c r="H2723" s="13" t="s">
        <v>4</v>
      </c>
      <c r="I2723" s="15">
        <v>-1819.31</v>
      </c>
      <c r="J2723" s="13" t="s">
        <v>5</v>
      </c>
      <c r="K2723" s="13" t="s">
        <v>6</v>
      </c>
      <c r="L2723" s="15">
        <v>-152731.07</v>
      </c>
      <c r="M2723" s="15">
        <v>-1819.31</v>
      </c>
      <c r="N2723" s="16" t="str">
        <f>IF(M2723="","",IF(M2723&lt;0,-M2723&amp;"_"&amp;COUNTIF(M$2:M2723,M2723),M2723&amp;"_"&amp;COUNTIF(M$2:M2723,M2723)))</f>
        <v>1819.31_1</v>
      </c>
      <c r="O2723" s="17" t="str">
        <f t="shared" si="42"/>
        <v/>
      </c>
      <c r="P2723" s="13" t="s">
        <v>916</v>
      </c>
      <c r="Q2723" s="13" t="s">
        <v>917</v>
      </c>
      <c r="R2723" s="13" t="s">
        <v>0</v>
      </c>
      <c r="S2723" s="13" t="s">
        <v>0</v>
      </c>
      <c r="T2723" s="13" t="s">
        <v>9</v>
      </c>
      <c r="U2723" s="13" t="s">
        <v>0</v>
      </c>
      <c r="V2723" s="13" t="s">
        <v>0</v>
      </c>
      <c r="W2723" s="13" t="s">
        <v>0</v>
      </c>
      <c r="X2723" s="13" t="s">
        <v>0</v>
      </c>
      <c r="Y2723" s="13" t="s">
        <v>10</v>
      </c>
      <c r="Z2723" s="13" t="s">
        <v>0</v>
      </c>
      <c r="AA2723" s="14"/>
      <c r="AB2723" s="13" t="s">
        <v>0</v>
      </c>
      <c r="AC2723" s="13" t="s">
        <v>0</v>
      </c>
      <c r="AD2723" s="13" t="s">
        <v>0</v>
      </c>
      <c r="AE2723" s="15">
        <v>0</v>
      </c>
    </row>
    <row r="2724" spans="1:31" ht="14.15" customHeight="1" x14ac:dyDescent="0.25">
      <c r="A2724" s="12" t="s">
        <v>0</v>
      </c>
      <c r="B2724" s="13" t="s">
        <v>1</v>
      </c>
      <c r="C2724" s="13" t="s">
        <v>319</v>
      </c>
      <c r="D2724" s="14">
        <v>44043</v>
      </c>
      <c r="E2724" s="14">
        <v>44043</v>
      </c>
      <c r="F2724" s="14">
        <v>44057</v>
      </c>
      <c r="G2724" s="13" t="s">
        <v>3</v>
      </c>
      <c r="H2724" s="13" t="s">
        <v>4</v>
      </c>
      <c r="I2724" s="15">
        <v>-1813.8</v>
      </c>
      <c r="J2724" s="13" t="s">
        <v>5</v>
      </c>
      <c r="K2724" s="13" t="s">
        <v>6</v>
      </c>
      <c r="L2724" s="15">
        <v>-152268.51</v>
      </c>
      <c r="M2724" s="15">
        <v>-1813.8</v>
      </c>
      <c r="N2724" s="16" t="str">
        <f>IF(M2724="","",IF(M2724&lt;0,-M2724&amp;"_"&amp;COUNTIF(M$2:M2724,M2724),M2724&amp;"_"&amp;COUNTIF(M$2:M2724,M2724)))</f>
        <v>1813.8_1</v>
      </c>
      <c r="O2724" s="17" t="str">
        <f t="shared" si="42"/>
        <v/>
      </c>
      <c r="P2724" s="13" t="s">
        <v>320</v>
      </c>
      <c r="Q2724" s="13" t="s">
        <v>316</v>
      </c>
      <c r="R2724" s="13" t="s">
        <v>0</v>
      </c>
      <c r="S2724" s="13" t="s">
        <v>0</v>
      </c>
      <c r="T2724" s="13" t="s">
        <v>9</v>
      </c>
      <c r="U2724" s="13" t="s">
        <v>0</v>
      </c>
      <c r="V2724" s="13" t="s">
        <v>0</v>
      </c>
      <c r="W2724" s="13" t="s">
        <v>0</v>
      </c>
      <c r="X2724" s="13" t="s">
        <v>0</v>
      </c>
      <c r="Y2724" s="13" t="s">
        <v>10</v>
      </c>
      <c r="Z2724" s="13" t="s">
        <v>0</v>
      </c>
      <c r="AA2724" s="14"/>
      <c r="AB2724" s="13" t="s">
        <v>0</v>
      </c>
      <c r="AC2724" s="13" t="s">
        <v>0</v>
      </c>
      <c r="AD2724" s="13" t="s">
        <v>0</v>
      </c>
      <c r="AE2724" s="15">
        <v>0</v>
      </c>
    </row>
    <row r="2725" spans="1:31" ht="14.15" customHeight="1" x14ac:dyDescent="0.25">
      <c r="A2725" s="12" t="s">
        <v>0</v>
      </c>
      <c r="B2725" s="13" t="s">
        <v>1</v>
      </c>
      <c r="C2725" s="13" t="s">
        <v>1595</v>
      </c>
      <c r="D2725" s="14">
        <v>44167</v>
      </c>
      <c r="E2725" s="14">
        <v>44167</v>
      </c>
      <c r="F2725" s="14">
        <v>44174</v>
      </c>
      <c r="G2725" s="13" t="s">
        <v>3</v>
      </c>
      <c r="H2725" s="13" t="s">
        <v>4</v>
      </c>
      <c r="I2725" s="15">
        <v>-1813.2</v>
      </c>
      <c r="J2725" s="13" t="s">
        <v>5</v>
      </c>
      <c r="K2725" s="13" t="s">
        <v>6</v>
      </c>
      <c r="L2725" s="15">
        <v>-152218.14000000001</v>
      </c>
      <c r="M2725" s="15">
        <v>-1813.2</v>
      </c>
      <c r="N2725" s="16" t="str">
        <f>IF(M2725="","",IF(M2725&lt;0,-M2725&amp;"_"&amp;COUNTIF(M$2:M2725,M2725),M2725&amp;"_"&amp;COUNTIF(M$2:M2725,M2725)))</f>
        <v>1813.2_1</v>
      </c>
      <c r="O2725" s="17" t="str">
        <f t="shared" si="42"/>
        <v/>
      </c>
      <c r="P2725" s="13" t="s">
        <v>1596</v>
      </c>
      <c r="Q2725" s="13" t="s">
        <v>1592</v>
      </c>
      <c r="R2725" s="13" t="s">
        <v>0</v>
      </c>
      <c r="S2725" s="13" t="s">
        <v>0</v>
      </c>
      <c r="T2725" s="13" t="s">
        <v>9</v>
      </c>
      <c r="U2725" s="13" t="s">
        <v>0</v>
      </c>
      <c r="V2725" s="13" t="s">
        <v>0</v>
      </c>
      <c r="W2725" s="13" t="s">
        <v>0</v>
      </c>
      <c r="X2725" s="13" t="s">
        <v>0</v>
      </c>
      <c r="Y2725" s="13" t="s">
        <v>10</v>
      </c>
      <c r="Z2725" s="13" t="s">
        <v>0</v>
      </c>
      <c r="AA2725" s="14"/>
      <c r="AB2725" s="13" t="s">
        <v>0</v>
      </c>
      <c r="AC2725" s="13" t="s">
        <v>0</v>
      </c>
      <c r="AD2725" s="13" t="s">
        <v>0</v>
      </c>
      <c r="AE2725" s="15">
        <v>0</v>
      </c>
    </row>
    <row r="2726" spans="1:31" ht="14.15" customHeight="1" x14ac:dyDescent="0.25">
      <c r="A2726" s="12" t="s">
        <v>0</v>
      </c>
      <c r="B2726" s="13" t="s">
        <v>1</v>
      </c>
      <c r="C2726" s="13" t="s">
        <v>4035</v>
      </c>
      <c r="D2726" s="14">
        <v>44358</v>
      </c>
      <c r="E2726" s="14">
        <v>44358</v>
      </c>
      <c r="F2726" s="14">
        <v>44364</v>
      </c>
      <c r="G2726" s="13" t="s">
        <v>3</v>
      </c>
      <c r="H2726" s="13" t="s">
        <v>4</v>
      </c>
      <c r="I2726" s="15">
        <v>-1812.27</v>
      </c>
      <c r="J2726" s="13" t="s">
        <v>5</v>
      </c>
      <c r="K2726" s="13" t="s">
        <v>6</v>
      </c>
      <c r="L2726" s="15">
        <v>-152140.07</v>
      </c>
      <c r="M2726" s="15">
        <v>-1812.27</v>
      </c>
      <c r="N2726" s="16" t="str">
        <f>IF(M2726="","",IF(M2726&lt;0,-M2726&amp;"_"&amp;COUNTIF(M$2:M2726,M2726),M2726&amp;"_"&amp;COUNTIF(M$2:M2726,M2726)))</f>
        <v>1812.27_1</v>
      </c>
      <c r="O2726" s="17" t="str">
        <f t="shared" si="42"/>
        <v/>
      </c>
      <c r="P2726" s="13" t="s">
        <v>4036</v>
      </c>
      <c r="Q2726" s="13" t="s">
        <v>4006</v>
      </c>
      <c r="R2726" s="13" t="s">
        <v>0</v>
      </c>
      <c r="S2726" s="13" t="s">
        <v>0</v>
      </c>
      <c r="T2726" s="13" t="s">
        <v>9</v>
      </c>
      <c r="U2726" s="13" t="s">
        <v>0</v>
      </c>
      <c r="V2726" s="13" t="s">
        <v>0</v>
      </c>
      <c r="W2726" s="13" t="s">
        <v>0</v>
      </c>
      <c r="X2726" s="13" t="s">
        <v>0</v>
      </c>
      <c r="Y2726" s="13" t="s">
        <v>10</v>
      </c>
      <c r="Z2726" s="13" t="s">
        <v>0</v>
      </c>
      <c r="AA2726" s="14"/>
      <c r="AB2726" s="13" t="s">
        <v>0</v>
      </c>
      <c r="AC2726" s="13" t="s">
        <v>0</v>
      </c>
      <c r="AD2726" s="13" t="s">
        <v>0</v>
      </c>
      <c r="AE2726" s="15">
        <v>0</v>
      </c>
    </row>
    <row r="2727" spans="1:31" ht="14.15" customHeight="1" x14ac:dyDescent="0.25">
      <c r="A2727" s="12" t="s">
        <v>0</v>
      </c>
      <c r="B2727" s="13" t="s">
        <v>1</v>
      </c>
      <c r="C2727" s="13" t="s">
        <v>2315</v>
      </c>
      <c r="D2727" s="14">
        <v>44220</v>
      </c>
      <c r="E2727" s="14">
        <v>44220</v>
      </c>
      <c r="F2727" s="14">
        <v>44224</v>
      </c>
      <c r="G2727" s="13" t="s">
        <v>3</v>
      </c>
      <c r="H2727" s="13" t="s">
        <v>4</v>
      </c>
      <c r="I2727" s="15">
        <v>-1809.46</v>
      </c>
      <c r="J2727" s="13" t="s">
        <v>5</v>
      </c>
      <c r="K2727" s="13" t="s">
        <v>6</v>
      </c>
      <c r="L2727" s="15">
        <v>-151904.17000000001</v>
      </c>
      <c r="M2727" s="15">
        <v>-1809.46</v>
      </c>
      <c r="N2727" s="16" t="str">
        <f>IF(M2727="","",IF(M2727&lt;0,-M2727&amp;"_"&amp;COUNTIF(M$2:M2727,M2727),M2727&amp;"_"&amp;COUNTIF(M$2:M2727,M2727)))</f>
        <v>1809.46_1</v>
      </c>
      <c r="O2727" s="17" t="str">
        <f t="shared" si="42"/>
        <v/>
      </c>
      <c r="P2727" s="13" t="s">
        <v>2316</v>
      </c>
      <c r="Q2727" s="13" t="s">
        <v>2317</v>
      </c>
      <c r="R2727" s="13" t="s">
        <v>0</v>
      </c>
      <c r="S2727" s="13" t="s">
        <v>0</v>
      </c>
      <c r="T2727" s="13" t="s">
        <v>9</v>
      </c>
      <c r="U2727" s="13" t="s">
        <v>0</v>
      </c>
      <c r="V2727" s="13" t="s">
        <v>0</v>
      </c>
      <c r="W2727" s="13" t="s">
        <v>0</v>
      </c>
      <c r="X2727" s="13" t="s">
        <v>0</v>
      </c>
      <c r="Y2727" s="13" t="s">
        <v>10</v>
      </c>
      <c r="Z2727" s="13" t="s">
        <v>0</v>
      </c>
      <c r="AA2727" s="14"/>
      <c r="AB2727" s="13" t="s">
        <v>0</v>
      </c>
      <c r="AC2727" s="13" t="s">
        <v>0</v>
      </c>
      <c r="AD2727" s="13" t="s">
        <v>0</v>
      </c>
      <c r="AE2727" s="15">
        <v>0</v>
      </c>
    </row>
    <row r="2728" spans="1:31" ht="14.15" customHeight="1" x14ac:dyDescent="0.25">
      <c r="A2728" s="12" t="s">
        <v>0</v>
      </c>
      <c r="B2728" s="13" t="s">
        <v>1</v>
      </c>
      <c r="C2728" s="13" t="s">
        <v>1943</v>
      </c>
      <c r="D2728" s="14">
        <v>44192</v>
      </c>
      <c r="E2728" s="14">
        <v>44192</v>
      </c>
      <c r="F2728" s="14">
        <v>44198</v>
      </c>
      <c r="G2728" s="13" t="s">
        <v>3</v>
      </c>
      <c r="H2728" s="13" t="s">
        <v>4</v>
      </c>
      <c r="I2728" s="15">
        <v>-1809.43</v>
      </c>
      <c r="J2728" s="13" t="s">
        <v>5</v>
      </c>
      <c r="K2728" s="13" t="s">
        <v>6</v>
      </c>
      <c r="L2728" s="15">
        <v>-151901.64000000001</v>
      </c>
      <c r="M2728" s="15">
        <v>-1809.43</v>
      </c>
      <c r="N2728" s="16" t="str">
        <f>IF(M2728="","",IF(M2728&lt;0,-M2728&amp;"_"&amp;COUNTIF(M$2:M2728,M2728),M2728&amp;"_"&amp;COUNTIF(M$2:M2728,M2728)))</f>
        <v>1809.43_1</v>
      </c>
      <c r="O2728" s="17" t="str">
        <f t="shared" si="42"/>
        <v/>
      </c>
      <c r="P2728" s="13" t="s">
        <v>1944</v>
      </c>
      <c r="Q2728" s="13" t="s">
        <v>1932</v>
      </c>
      <c r="R2728" s="13" t="s">
        <v>0</v>
      </c>
      <c r="S2728" s="13" t="s">
        <v>0</v>
      </c>
      <c r="T2728" s="13" t="s">
        <v>9</v>
      </c>
      <c r="U2728" s="13" t="s">
        <v>0</v>
      </c>
      <c r="V2728" s="13" t="s">
        <v>0</v>
      </c>
      <c r="W2728" s="13" t="s">
        <v>0</v>
      </c>
      <c r="X2728" s="13" t="s">
        <v>0</v>
      </c>
      <c r="Y2728" s="13" t="s">
        <v>10</v>
      </c>
      <c r="Z2728" s="13" t="s">
        <v>0</v>
      </c>
      <c r="AA2728" s="14"/>
      <c r="AB2728" s="13" t="s">
        <v>0</v>
      </c>
      <c r="AC2728" s="13" t="s">
        <v>0</v>
      </c>
      <c r="AD2728" s="13" t="s">
        <v>0</v>
      </c>
      <c r="AE2728" s="15">
        <v>0</v>
      </c>
    </row>
    <row r="2729" spans="1:31" ht="14.15" customHeight="1" x14ac:dyDescent="0.25">
      <c r="A2729" s="12" t="s">
        <v>0</v>
      </c>
      <c r="B2729" s="13" t="s">
        <v>1</v>
      </c>
      <c r="C2729" s="13" t="s">
        <v>4265</v>
      </c>
      <c r="D2729" s="14">
        <v>44369</v>
      </c>
      <c r="E2729" s="14">
        <v>44369</v>
      </c>
      <c r="F2729" s="14">
        <v>44375</v>
      </c>
      <c r="G2729" s="13" t="s">
        <v>3</v>
      </c>
      <c r="H2729" s="13" t="s">
        <v>4</v>
      </c>
      <c r="I2729" s="15">
        <v>-1806.04</v>
      </c>
      <c r="J2729" s="13" t="s">
        <v>5</v>
      </c>
      <c r="K2729" s="13" t="s">
        <v>6</v>
      </c>
      <c r="L2729" s="15">
        <v>-151617.06</v>
      </c>
      <c r="M2729" s="15">
        <v>-1806.04</v>
      </c>
      <c r="N2729" s="16" t="str">
        <f>IF(M2729="","",IF(M2729&lt;0,-M2729&amp;"_"&amp;COUNTIF(M$2:M2729,M2729),M2729&amp;"_"&amp;COUNTIF(M$2:M2729,M2729)))</f>
        <v>1806.04_1</v>
      </c>
      <c r="O2729" s="17" t="str">
        <f t="shared" si="42"/>
        <v/>
      </c>
      <c r="P2729" s="13" t="s">
        <v>4266</v>
      </c>
      <c r="Q2729" s="13" t="s">
        <v>4248</v>
      </c>
      <c r="R2729" s="13" t="s">
        <v>0</v>
      </c>
      <c r="S2729" s="13" t="s">
        <v>0</v>
      </c>
      <c r="T2729" s="13" t="s">
        <v>9</v>
      </c>
      <c r="U2729" s="13" t="s">
        <v>0</v>
      </c>
      <c r="V2729" s="13" t="s">
        <v>0</v>
      </c>
      <c r="W2729" s="13" t="s">
        <v>0</v>
      </c>
      <c r="X2729" s="13" t="s">
        <v>0</v>
      </c>
      <c r="Y2729" s="13" t="s">
        <v>10</v>
      </c>
      <c r="Z2729" s="13" t="s">
        <v>0</v>
      </c>
      <c r="AA2729" s="14"/>
      <c r="AB2729" s="13" t="s">
        <v>0</v>
      </c>
      <c r="AC2729" s="13" t="s">
        <v>0</v>
      </c>
      <c r="AD2729" s="13" t="s">
        <v>0</v>
      </c>
      <c r="AE2729" s="15">
        <v>0</v>
      </c>
    </row>
    <row r="2730" spans="1:31" ht="14.15" customHeight="1" x14ac:dyDescent="0.25">
      <c r="A2730" s="12" t="s">
        <v>0</v>
      </c>
      <c r="B2730" s="13" t="s">
        <v>1</v>
      </c>
      <c r="C2730" s="13" t="s">
        <v>1116</v>
      </c>
      <c r="D2730" s="14">
        <v>44136</v>
      </c>
      <c r="E2730" s="14">
        <v>44136</v>
      </c>
      <c r="F2730" s="14">
        <v>44146</v>
      </c>
      <c r="G2730" s="13" t="s">
        <v>3</v>
      </c>
      <c r="H2730" s="13" t="s">
        <v>4</v>
      </c>
      <c r="I2730" s="15">
        <v>-1792.84</v>
      </c>
      <c r="J2730" s="13" t="s">
        <v>5</v>
      </c>
      <c r="K2730" s="13" t="s">
        <v>6</v>
      </c>
      <c r="L2730" s="15">
        <v>-150508.92000000001</v>
      </c>
      <c r="M2730" s="15">
        <v>-1792.84</v>
      </c>
      <c r="N2730" s="16" t="str">
        <f>IF(M2730="","",IF(M2730&lt;0,-M2730&amp;"_"&amp;COUNTIF(M$2:M2730,M2730),M2730&amp;"_"&amp;COUNTIF(M$2:M2730,M2730)))</f>
        <v>1792.84_1</v>
      </c>
      <c r="O2730" s="17" t="str">
        <f t="shared" si="42"/>
        <v/>
      </c>
      <c r="P2730" s="13" t="s">
        <v>1117</v>
      </c>
      <c r="Q2730" s="13" t="s">
        <v>1111</v>
      </c>
      <c r="R2730" s="13" t="s">
        <v>0</v>
      </c>
      <c r="S2730" s="13" t="s">
        <v>0</v>
      </c>
      <c r="T2730" s="13" t="s">
        <v>9</v>
      </c>
      <c r="U2730" s="13" t="s">
        <v>0</v>
      </c>
      <c r="V2730" s="13" t="s">
        <v>0</v>
      </c>
      <c r="W2730" s="13" t="s">
        <v>0</v>
      </c>
      <c r="X2730" s="13" t="s">
        <v>0</v>
      </c>
      <c r="Y2730" s="13" t="s">
        <v>10</v>
      </c>
      <c r="Z2730" s="13" t="s">
        <v>0</v>
      </c>
      <c r="AA2730" s="14"/>
      <c r="AB2730" s="13" t="s">
        <v>0</v>
      </c>
      <c r="AC2730" s="13" t="s">
        <v>0</v>
      </c>
      <c r="AD2730" s="13" t="s">
        <v>0</v>
      </c>
      <c r="AE2730" s="15">
        <v>0</v>
      </c>
    </row>
    <row r="2731" spans="1:31" ht="14.15" customHeight="1" x14ac:dyDescent="0.25">
      <c r="A2731" s="12" t="s">
        <v>0</v>
      </c>
      <c r="B2731" s="13" t="s">
        <v>1</v>
      </c>
      <c r="C2731" s="13" t="s">
        <v>1116</v>
      </c>
      <c r="D2731" s="14">
        <v>44136</v>
      </c>
      <c r="E2731" s="14">
        <v>44136</v>
      </c>
      <c r="F2731" s="14">
        <v>44146</v>
      </c>
      <c r="G2731" s="13" t="s">
        <v>3</v>
      </c>
      <c r="H2731" s="13" t="s">
        <v>4</v>
      </c>
      <c r="I2731" s="15">
        <v>-1792.84</v>
      </c>
      <c r="J2731" s="13" t="s">
        <v>5</v>
      </c>
      <c r="K2731" s="13" t="s">
        <v>6</v>
      </c>
      <c r="L2731" s="15">
        <v>-150508.92000000001</v>
      </c>
      <c r="M2731" s="15">
        <v>-1792.84</v>
      </c>
      <c r="N2731" s="16" t="str">
        <f>IF(M2731="","",IF(M2731&lt;0,-M2731&amp;"_"&amp;COUNTIF(M$2:M2731,M2731),M2731&amp;"_"&amp;COUNTIF(M$2:M2731,M2731)))</f>
        <v>1792.84_2</v>
      </c>
      <c r="O2731" s="17" t="str">
        <f t="shared" si="42"/>
        <v/>
      </c>
      <c r="P2731" s="13" t="s">
        <v>1117</v>
      </c>
      <c r="Q2731" s="13" t="s">
        <v>1111</v>
      </c>
      <c r="R2731" s="13" t="s">
        <v>0</v>
      </c>
      <c r="S2731" s="13" t="s">
        <v>0</v>
      </c>
      <c r="T2731" s="13" t="s">
        <v>9</v>
      </c>
      <c r="U2731" s="13" t="s">
        <v>0</v>
      </c>
      <c r="V2731" s="13" t="s">
        <v>0</v>
      </c>
      <c r="W2731" s="13" t="s">
        <v>0</v>
      </c>
      <c r="X2731" s="13" t="s">
        <v>0</v>
      </c>
      <c r="Y2731" s="13" t="s">
        <v>10</v>
      </c>
      <c r="Z2731" s="13" t="s">
        <v>0</v>
      </c>
      <c r="AA2731" s="14"/>
      <c r="AB2731" s="13" t="s">
        <v>0</v>
      </c>
      <c r="AC2731" s="13" t="s">
        <v>0</v>
      </c>
      <c r="AD2731" s="13" t="s">
        <v>0</v>
      </c>
      <c r="AE2731" s="15">
        <v>0</v>
      </c>
    </row>
    <row r="2732" spans="1:31" ht="14.15" customHeight="1" x14ac:dyDescent="0.25">
      <c r="A2732" s="12" t="s">
        <v>0</v>
      </c>
      <c r="B2732" s="13" t="s">
        <v>1</v>
      </c>
      <c r="C2732" s="13" t="s">
        <v>168</v>
      </c>
      <c r="D2732" s="14">
        <v>44033</v>
      </c>
      <c r="E2732" s="14">
        <v>44033</v>
      </c>
      <c r="F2732" s="14">
        <v>44037</v>
      </c>
      <c r="G2732" s="13" t="s">
        <v>3</v>
      </c>
      <c r="H2732" s="13" t="s">
        <v>4</v>
      </c>
      <c r="I2732" s="15">
        <v>-1784.03</v>
      </c>
      <c r="J2732" s="13" t="s">
        <v>5</v>
      </c>
      <c r="K2732" s="13" t="s">
        <v>6</v>
      </c>
      <c r="L2732" s="15">
        <v>-149769.32</v>
      </c>
      <c r="M2732" s="15">
        <v>-1784.03</v>
      </c>
      <c r="N2732" s="16" t="str">
        <f>IF(M2732="","",IF(M2732&lt;0,-M2732&amp;"_"&amp;COUNTIF(M$2:M2732,M2732),M2732&amp;"_"&amp;COUNTIF(M$2:M2732,M2732)))</f>
        <v>1784.03_1</v>
      </c>
      <c r="O2732" s="17" t="str">
        <f t="shared" si="42"/>
        <v/>
      </c>
      <c r="P2732" s="13" t="s">
        <v>169</v>
      </c>
      <c r="Q2732" s="13" t="s">
        <v>170</v>
      </c>
      <c r="R2732" s="13" t="s">
        <v>0</v>
      </c>
      <c r="S2732" s="13" t="s">
        <v>0</v>
      </c>
      <c r="T2732" s="13" t="s">
        <v>9</v>
      </c>
      <c r="U2732" s="13" t="s">
        <v>0</v>
      </c>
      <c r="V2732" s="13" t="s">
        <v>0</v>
      </c>
      <c r="W2732" s="13" t="s">
        <v>0</v>
      </c>
      <c r="X2732" s="13" t="s">
        <v>0</v>
      </c>
      <c r="Y2732" s="13" t="s">
        <v>10</v>
      </c>
      <c r="Z2732" s="13" t="s">
        <v>0</v>
      </c>
      <c r="AA2732" s="14"/>
      <c r="AB2732" s="13" t="s">
        <v>0</v>
      </c>
      <c r="AC2732" s="13" t="s">
        <v>0</v>
      </c>
      <c r="AD2732" s="13" t="s">
        <v>0</v>
      </c>
      <c r="AE2732" s="15">
        <v>0</v>
      </c>
    </row>
    <row r="2733" spans="1:31" ht="14.15" customHeight="1" x14ac:dyDescent="0.25">
      <c r="A2733" s="12" t="s">
        <v>0</v>
      </c>
      <c r="B2733" s="13" t="s">
        <v>1</v>
      </c>
      <c r="C2733" s="13" t="s">
        <v>391</v>
      </c>
      <c r="D2733" s="14">
        <v>44060</v>
      </c>
      <c r="E2733" s="14">
        <v>44060</v>
      </c>
      <c r="F2733" s="14">
        <v>44068</v>
      </c>
      <c r="G2733" s="13" t="s">
        <v>3</v>
      </c>
      <c r="H2733" s="13" t="s">
        <v>4</v>
      </c>
      <c r="I2733" s="15">
        <v>-1784.03</v>
      </c>
      <c r="J2733" s="13" t="s">
        <v>5</v>
      </c>
      <c r="K2733" s="13" t="s">
        <v>6</v>
      </c>
      <c r="L2733" s="15">
        <v>-149769.32</v>
      </c>
      <c r="M2733" s="15">
        <v>-1784.03</v>
      </c>
      <c r="N2733" s="16" t="str">
        <f>IF(M2733="","",IF(M2733&lt;0,-M2733&amp;"_"&amp;COUNTIF(M$2:M2733,M2733),M2733&amp;"_"&amp;COUNTIF(M$2:M2733,M2733)))</f>
        <v>1784.03_2</v>
      </c>
      <c r="O2733" s="17" t="str">
        <f t="shared" si="42"/>
        <v/>
      </c>
      <c r="P2733" s="13" t="s">
        <v>392</v>
      </c>
      <c r="Q2733" s="13" t="s">
        <v>388</v>
      </c>
      <c r="R2733" s="13" t="s">
        <v>0</v>
      </c>
      <c r="S2733" s="13" t="s">
        <v>0</v>
      </c>
      <c r="T2733" s="13" t="s">
        <v>9</v>
      </c>
      <c r="U2733" s="13" t="s">
        <v>0</v>
      </c>
      <c r="V2733" s="13" t="s">
        <v>0</v>
      </c>
      <c r="W2733" s="13" t="s">
        <v>0</v>
      </c>
      <c r="X2733" s="13" t="s">
        <v>0</v>
      </c>
      <c r="Y2733" s="13" t="s">
        <v>10</v>
      </c>
      <c r="Z2733" s="13" t="s">
        <v>0</v>
      </c>
      <c r="AA2733" s="14"/>
      <c r="AB2733" s="13" t="s">
        <v>0</v>
      </c>
      <c r="AC2733" s="13" t="s">
        <v>0</v>
      </c>
      <c r="AD2733" s="13" t="s">
        <v>0</v>
      </c>
      <c r="AE2733" s="15">
        <v>0</v>
      </c>
    </row>
    <row r="2734" spans="1:31" ht="14.15" customHeight="1" x14ac:dyDescent="0.25">
      <c r="A2734" s="12" t="s">
        <v>0</v>
      </c>
      <c r="B2734" s="13" t="s">
        <v>1</v>
      </c>
      <c r="C2734" s="13" t="s">
        <v>3825</v>
      </c>
      <c r="D2734" s="14">
        <v>44347</v>
      </c>
      <c r="E2734" s="14">
        <v>44347</v>
      </c>
      <c r="F2734" s="14">
        <v>44350</v>
      </c>
      <c r="G2734" s="13" t="s">
        <v>3</v>
      </c>
      <c r="H2734" s="13" t="s">
        <v>4</v>
      </c>
      <c r="I2734" s="15">
        <v>-1777.88</v>
      </c>
      <c r="J2734" s="13" t="s">
        <v>5</v>
      </c>
      <c r="K2734" s="13" t="s">
        <v>6</v>
      </c>
      <c r="L2734" s="15">
        <v>-149253.01999999999</v>
      </c>
      <c r="M2734" s="15">
        <v>-1777.88</v>
      </c>
      <c r="N2734" s="16" t="str">
        <f>IF(M2734="","",IF(M2734&lt;0,-M2734&amp;"_"&amp;COUNTIF(M$2:M2734,M2734),M2734&amp;"_"&amp;COUNTIF(M$2:M2734,M2734)))</f>
        <v>1777.88_1</v>
      </c>
      <c r="O2734" s="17" t="str">
        <f t="shared" si="42"/>
        <v/>
      </c>
      <c r="P2734" s="13" t="s">
        <v>3826</v>
      </c>
      <c r="Q2734" s="13" t="s">
        <v>3824</v>
      </c>
      <c r="R2734" s="13" t="s">
        <v>0</v>
      </c>
      <c r="S2734" s="13" t="s">
        <v>0</v>
      </c>
      <c r="T2734" s="13" t="s">
        <v>9</v>
      </c>
      <c r="U2734" s="13" t="s">
        <v>0</v>
      </c>
      <c r="V2734" s="13" t="s">
        <v>0</v>
      </c>
      <c r="W2734" s="13" t="s">
        <v>0</v>
      </c>
      <c r="X2734" s="13" t="s">
        <v>0</v>
      </c>
      <c r="Y2734" s="13" t="s">
        <v>10</v>
      </c>
      <c r="Z2734" s="13" t="s">
        <v>0</v>
      </c>
      <c r="AA2734" s="14"/>
      <c r="AB2734" s="13" t="s">
        <v>0</v>
      </c>
      <c r="AC2734" s="13" t="s">
        <v>0</v>
      </c>
      <c r="AD2734" s="13" t="s">
        <v>0</v>
      </c>
      <c r="AE2734" s="15">
        <v>0</v>
      </c>
    </row>
    <row r="2735" spans="1:31" ht="14.15" customHeight="1" x14ac:dyDescent="0.25">
      <c r="A2735" s="12" t="s">
        <v>0</v>
      </c>
      <c r="B2735" s="13" t="s">
        <v>1</v>
      </c>
      <c r="C2735" s="13" t="s">
        <v>3747</v>
      </c>
      <c r="D2735" s="14">
        <v>44339</v>
      </c>
      <c r="E2735" s="14">
        <v>44339</v>
      </c>
      <c r="F2735" s="14">
        <v>44342</v>
      </c>
      <c r="G2735" s="13" t="s">
        <v>3</v>
      </c>
      <c r="H2735" s="13" t="s">
        <v>4</v>
      </c>
      <c r="I2735" s="15">
        <v>-1767.97</v>
      </c>
      <c r="J2735" s="13" t="s">
        <v>5</v>
      </c>
      <c r="K2735" s="13" t="s">
        <v>6</v>
      </c>
      <c r="L2735" s="15">
        <v>-148421.07999999999</v>
      </c>
      <c r="M2735" s="15">
        <v>-1767.97</v>
      </c>
      <c r="N2735" s="16" t="str">
        <f>IF(M2735="","",IF(M2735&lt;0,-M2735&amp;"_"&amp;COUNTIF(M$2:M2735,M2735),M2735&amp;"_"&amp;COUNTIF(M$2:M2735,M2735)))</f>
        <v>1767.97_1</v>
      </c>
      <c r="O2735" s="17" t="str">
        <f t="shared" si="42"/>
        <v/>
      </c>
      <c r="P2735" s="13" t="s">
        <v>3748</v>
      </c>
      <c r="Q2735" s="13" t="s">
        <v>3746</v>
      </c>
      <c r="R2735" s="13" t="s">
        <v>0</v>
      </c>
      <c r="S2735" s="13" t="s">
        <v>0</v>
      </c>
      <c r="T2735" s="13" t="s">
        <v>9</v>
      </c>
      <c r="U2735" s="13" t="s">
        <v>0</v>
      </c>
      <c r="V2735" s="13" t="s">
        <v>0</v>
      </c>
      <c r="W2735" s="13" t="s">
        <v>0</v>
      </c>
      <c r="X2735" s="13" t="s">
        <v>0</v>
      </c>
      <c r="Y2735" s="13" t="s">
        <v>10</v>
      </c>
      <c r="Z2735" s="13" t="s">
        <v>0</v>
      </c>
      <c r="AA2735" s="14"/>
      <c r="AB2735" s="13" t="s">
        <v>0</v>
      </c>
      <c r="AC2735" s="13" t="s">
        <v>0</v>
      </c>
      <c r="AD2735" s="13" t="s">
        <v>0</v>
      </c>
      <c r="AE2735" s="15">
        <v>0</v>
      </c>
    </row>
    <row r="2736" spans="1:31" ht="14.15" customHeight="1" x14ac:dyDescent="0.25">
      <c r="A2736" s="12" t="s">
        <v>0</v>
      </c>
      <c r="B2736" s="13" t="s">
        <v>1</v>
      </c>
      <c r="C2736" s="13" t="s">
        <v>3941</v>
      </c>
      <c r="D2736" s="14">
        <v>44354</v>
      </c>
      <c r="E2736" s="14">
        <v>44354</v>
      </c>
      <c r="F2736" s="14">
        <v>44359</v>
      </c>
      <c r="G2736" s="13" t="s">
        <v>3</v>
      </c>
      <c r="H2736" s="13" t="s">
        <v>4</v>
      </c>
      <c r="I2736" s="15">
        <v>-1753.38</v>
      </c>
      <c r="J2736" s="13" t="s">
        <v>5</v>
      </c>
      <c r="K2736" s="13" t="s">
        <v>6</v>
      </c>
      <c r="L2736" s="15">
        <v>-147196.25</v>
      </c>
      <c r="M2736" s="15">
        <v>-1753.38</v>
      </c>
      <c r="N2736" s="16" t="str">
        <f>IF(M2736="","",IF(M2736&lt;0,-M2736&amp;"_"&amp;COUNTIF(M$2:M2736,M2736),M2736&amp;"_"&amp;COUNTIF(M$2:M2736,M2736)))</f>
        <v>1753.38_1</v>
      </c>
      <c r="O2736" s="17" t="str">
        <f t="shared" si="42"/>
        <v/>
      </c>
      <c r="P2736" s="13" t="s">
        <v>3942</v>
      </c>
      <c r="Q2736" s="13" t="s">
        <v>3914</v>
      </c>
      <c r="R2736" s="13" t="s">
        <v>0</v>
      </c>
      <c r="S2736" s="13" t="s">
        <v>0</v>
      </c>
      <c r="T2736" s="13" t="s">
        <v>9</v>
      </c>
      <c r="U2736" s="13" t="s">
        <v>0</v>
      </c>
      <c r="V2736" s="13" t="s">
        <v>0</v>
      </c>
      <c r="W2736" s="13" t="s">
        <v>0</v>
      </c>
      <c r="X2736" s="13" t="s">
        <v>0</v>
      </c>
      <c r="Y2736" s="13" t="s">
        <v>10</v>
      </c>
      <c r="Z2736" s="13" t="s">
        <v>0</v>
      </c>
      <c r="AA2736" s="14"/>
      <c r="AB2736" s="13" t="s">
        <v>0</v>
      </c>
      <c r="AC2736" s="13" t="s">
        <v>0</v>
      </c>
      <c r="AD2736" s="13" t="s">
        <v>0</v>
      </c>
      <c r="AE2736" s="15">
        <v>0</v>
      </c>
    </row>
    <row r="2737" spans="1:31" ht="14.15" customHeight="1" x14ac:dyDescent="0.25">
      <c r="A2737" s="12" t="s">
        <v>0</v>
      </c>
      <c r="B2737" s="13" t="s">
        <v>1</v>
      </c>
      <c r="C2737" s="13" t="s">
        <v>4257</v>
      </c>
      <c r="D2737" s="14">
        <v>44369</v>
      </c>
      <c r="E2737" s="14">
        <v>44369</v>
      </c>
      <c r="F2737" s="14">
        <v>44371</v>
      </c>
      <c r="G2737" s="13" t="s">
        <v>3</v>
      </c>
      <c r="H2737" s="13" t="s">
        <v>4</v>
      </c>
      <c r="I2737" s="15">
        <v>-1751.79</v>
      </c>
      <c r="J2737" s="13" t="s">
        <v>5</v>
      </c>
      <c r="K2737" s="13" t="s">
        <v>6</v>
      </c>
      <c r="L2737" s="15">
        <v>-147062.76999999999</v>
      </c>
      <c r="M2737" s="15">
        <v>-1751.79</v>
      </c>
      <c r="N2737" s="16" t="str">
        <f>IF(M2737="","",IF(M2737&lt;0,-M2737&amp;"_"&amp;COUNTIF(M$2:M2737,M2737),M2737&amp;"_"&amp;COUNTIF(M$2:M2737,M2737)))</f>
        <v>1751.79_1</v>
      </c>
      <c r="O2737" s="17" t="str">
        <f t="shared" si="42"/>
        <v/>
      </c>
      <c r="P2737" s="13" t="s">
        <v>4258</v>
      </c>
      <c r="Q2737" s="13" t="s">
        <v>4248</v>
      </c>
      <c r="R2737" s="13" t="s">
        <v>0</v>
      </c>
      <c r="S2737" s="13" t="s">
        <v>0</v>
      </c>
      <c r="T2737" s="13" t="s">
        <v>9</v>
      </c>
      <c r="U2737" s="13" t="s">
        <v>0</v>
      </c>
      <c r="V2737" s="13" t="s">
        <v>0</v>
      </c>
      <c r="W2737" s="13" t="s">
        <v>0</v>
      </c>
      <c r="X2737" s="13" t="s">
        <v>0</v>
      </c>
      <c r="Y2737" s="13" t="s">
        <v>10</v>
      </c>
      <c r="Z2737" s="13" t="s">
        <v>0</v>
      </c>
      <c r="AA2737" s="14"/>
      <c r="AB2737" s="13" t="s">
        <v>0</v>
      </c>
      <c r="AC2737" s="13" t="s">
        <v>0</v>
      </c>
      <c r="AD2737" s="13" t="s">
        <v>0</v>
      </c>
      <c r="AE2737" s="15">
        <v>0</v>
      </c>
    </row>
    <row r="2738" spans="1:31" ht="14.15" customHeight="1" x14ac:dyDescent="0.25">
      <c r="A2738" s="12" t="s">
        <v>0</v>
      </c>
      <c r="B2738" s="13" t="s">
        <v>1</v>
      </c>
      <c r="C2738" s="13" t="s">
        <v>1404</v>
      </c>
      <c r="D2738" s="14">
        <v>44153</v>
      </c>
      <c r="E2738" s="14">
        <v>44153</v>
      </c>
      <c r="F2738" s="14">
        <v>44172</v>
      </c>
      <c r="G2738" s="13" t="s">
        <v>3</v>
      </c>
      <c r="H2738" s="13" t="s">
        <v>4</v>
      </c>
      <c r="I2738" s="15">
        <v>-1749.69</v>
      </c>
      <c r="J2738" s="13" t="s">
        <v>5</v>
      </c>
      <c r="K2738" s="13" t="s">
        <v>6</v>
      </c>
      <c r="L2738" s="15">
        <v>-146886.48000000001</v>
      </c>
      <c r="M2738" s="15">
        <v>-1749.69</v>
      </c>
      <c r="N2738" s="16" t="str">
        <f>IF(M2738="","",IF(M2738&lt;0,-M2738&amp;"_"&amp;COUNTIF(M$2:M2738,M2738),M2738&amp;"_"&amp;COUNTIF(M$2:M2738,M2738)))</f>
        <v>1749.69_1</v>
      </c>
      <c r="O2738" s="17" t="str">
        <f t="shared" si="42"/>
        <v/>
      </c>
      <c r="P2738" s="13" t="s">
        <v>1405</v>
      </c>
      <c r="Q2738" s="13" t="s">
        <v>1381</v>
      </c>
      <c r="R2738" s="13" t="s">
        <v>0</v>
      </c>
      <c r="S2738" s="13" t="s">
        <v>0</v>
      </c>
      <c r="T2738" s="13" t="s">
        <v>9</v>
      </c>
      <c r="U2738" s="13" t="s">
        <v>0</v>
      </c>
      <c r="V2738" s="13" t="s">
        <v>0</v>
      </c>
      <c r="W2738" s="13" t="s">
        <v>0</v>
      </c>
      <c r="X2738" s="13" t="s">
        <v>0</v>
      </c>
      <c r="Y2738" s="13" t="s">
        <v>10</v>
      </c>
      <c r="Z2738" s="13" t="s">
        <v>0</v>
      </c>
      <c r="AA2738" s="14"/>
      <c r="AB2738" s="13" t="s">
        <v>0</v>
      </c>
      <c r="AC2738" s="13" t="s">
        <v>0</v>
      </c>
      <c r="AD2738" s="13" t="s">
        <v>0</v>
      </c>
      <c r="AE2738" s="15">
        <v>0</v>
      </c>
    </row>
    <row r="2739" spans="1:31" ht="14.15" customHeight="1" x14ac:dyDescent="0.25">
      <c r="A2739" s="12" t="s">
        <v>0</v>
      </c>
      <c r="B2739" s="13" t="s">
        <v>303</v>
      </c>
      <c r="C2739" s="13" t="s">
        <v>1103</v>
      </c>
      <c r="D2739" s="14">
        <v>44135</v>
      </c>
      <c r="E2739" s="14">
        <v>44135</v>
      </c>
      <c r="F2739" s="14">
        <v>44143</v>
      </c>
      <c r="G2739" s="13" t="s">
        <v>48</v>
      </c>
      <c r="H2739" s="13" t="s">
        <v>4</v>
      </c>
      <c r="I2739" s="15">
        <v>-1744.6</v>
      </c>
      <c r="J2739" s="13" t="s">
        <v>5</v>
      </c>
      <c r="K2739" s="13" t="s">
        <v>6</v>
      </c>
      <c r="L2739" s="15">
        <v>-146459.17000000001</v>
      </c>
      <c r="M2739" s="15">
        <v>-1744.6</v>
      </c>
      <c r="N2739" s="16" t="str">
        <f>IF(M2739="","",IF(M2739&lt;0,-M2739&amp;"_"&amp;COUNTIF(M$2:M2739,M2739),M2739&amp;"_"&amp;COUNTIF(M$2:M2739,M2739)))</f>
        <v>1744.6_1</v>
      </c>
      <c r="O2739" s="17" t="str">
        <f t="shared" si="42"/>
        <v/>
      </c>
      <c r="P2739" s="13" t="s">
        <v>1104</v>
      </c>
      <c r="Q2739" s="13" t="s">
        <v>1104</v>
      </c>
      <c r="R2739" s="13" t="s">
        <v>306</v>
      </c>
      <c r="S2739" s="13" t="s">
        <v>0</v>
      </c>
      <c r="T2739" s="13" t="s">
        <v>9</v>
      </c>
      <c r="U2739" s="13" t="s">
        <v>307</v>
      </c>
      <c r="V2739" s="13" t="s">
        <v>0</v>
      </c>
      <c r="W2739" s="13" t="s">
        <v>0</v>
      </c>
      <c r="X2739" s="13" t="s">
        <v>0</v>
      </c>
      <c r="Y2739" s="13" t="s">
        <v>291</v>
      </c>
      <c r="Z2739" s="13" t="s">
        <v>0</v>
      </c>
      <c r="AA2739" s="14"/>
      <c r="AB2739" s="13" t="s">
        <v>0</v>
      </c>
      <c r="AC2739" s="13" t="s">
        <v>0</v>
      </c>
      <c r="AD2739" s="13" t="s">
        <v>0</v>
      </c>
      <c r="AE2739" s="15">
        <v>0</v>
      </c>
    </row>
    <row r="2740" spans="1:31" ht="14.15" customHeight="1" x14ac:dyDescent="0.25">
      <c r="A2740" s="12" t="s">
        <v>0</v>
      </c>
      <c r="B2740" s="13" t="s">
        <v>289</v>
      </c>
      <c r="C2740" s="13" t="s">
        <v>3091</v>
      </c>
      <c r="D2740" s="14">
        <v>44286</v>
      </c>
      <c r="E2740" s="14">
        <v>44286</v>
      </c>
      <c r="F2740" s="14">
        <v>44292</v>
      </c>
      <c r="G2740" s="13" t="s">
        <v>48</v>
      </c>
      <c r="H2740" s="13" t="s">
        <v>4</v>
      </c>
      <c r="I2740" s="15">
        <v>-1740.67</v>
      </c>
      <c r="J2740" s="13" t="s">
        <v>5</v>
      </c>
      <c r="K2740" s="13" t="s">
        <v>6</v>
      </c>
      <c r="L2740" s="15">
        <v>-146129.25</v>
      </c>
      <c r="M2740" s="15">
        <v>-1740.67</v>
      </c>
      <c r="N2740" s="16" t="str">
        <f>IF(M2740="","",IF(M2740&lt;0,-M2740&amp;"_"&amp;COUNTIF(M$2:M2740,M2740),M2740&amp;"_"&amp;COUNTIF(M$2:M2740,M2740)))</f>
        <v>1740.67_1</v>
      </c>
      <c r="O2740" s="17" t="str">
        <f t="shared" si="42"/>
        <v/>
      </c>
      <c r="P2740" s="13" t="s">
        <v>3092</v>
      </c>
      <c r="Q2740" s="13" t="s">
        <v>3092</v>
      </c>
      <c r="R2740" s="13" t="s">
        <v>1994</v>
      </c>
      <c r="S2740" s="13" t="s">
        <v>0</v>
      </c>
      <c r="T2740" s="13" t="s">
        <v>9</v>
      </c>
      <c r="U2740" s="13" t="s">
        <v>1995</v>
      </c>
      <c r="V2740" s="13" t="s">
        <v>0</v>
      </c>
      <c r="W2740" s="13" t="s">
        <v>0</v>
      </c>
      <c r="X2740" s="13" t="s">
        <v>0</v>
      </c>
      <c r="Y2740" s="13" t="s">
        <v>0</v>
      </c>
      <c r="Z2740" s="13" t="s">
        <v>0</v>
      </c>
      <c r="AA2740" s="14"/>
      <c r="AB2740" s="13" t="s">
        <v>0</v>
      </c>
      <c r="AC2740" s="13" t="s">
        <v>0</v>
      </c>
      <c r="AD2740" s="13" t="s">
        <v>0</v>
      </c>
      <c r="AE2740" s="15">
        <v>0</v>
      </c>
    </row>
    <row r="2741" spans="1:31" ht="14.15" customHeight="1" x14ac:dyDescent="0.25">
      <c r="A2741" s="12" t="s">
        <v>0</v>
      </c>
      <c r="B2741" s="13" t="s">
        <v>1</v>
      </c>
      <c r="C2741" s="13" t="s">
        <v>1702</v>
      </c>
      <c r="D2741" s="14">
        <v>44174</v>
      </c>
      <c r="E2741" s="14">
        <v>44174</v>
      </c>
      <c r="F2741" s="14">
        <v>44178</v>
      </c>
      <c r="G2741" s="13" t="s">
        <v>3</v>
      </c>
      <c r="H2741" s="13" t="s">
        <v>4</v>
      </c>
      <c r="I2741" s="15">
        <v>-1740.17</v>
      </c>
      <c r="J2741" s="13" t="s">
        <v>5</v>
      </c>
      <c r="K2741" s="13" t="s">
        <v>6</v>
      </c>
      <c r="L2741" s="15">
        <v>-146087.26999999999</v>
      </c>
      <c r="M2741" s="15">
        <v>-1740.17</v>
      </c>
      <c r="N2741" s="16" t="str">
        <f>IF(M2741="","",IF(M2741&lt;0,-M2741&amp;"_"&amp;COUNTIF(M$2:M2741,M2741),M2741&amp;"_"&amp;COUNTIF(M$2:M2741,M2741)))</f>
        <v>1740.17_1</v>
      </c>
      <c r="O2741" s="17" t="str">
        <f t="shared" si="42"/>
        <v/>
      </c>
      <c r="P2741" s="13" t="s">
        <v>1703</v>
      </c>
      <c r="Q2741" s="13" t="s">
        <v>1704</v>
      </c>
      <c r="R2741" s="13" t="s">
        <v>0</v>
      </c>
      <c r="S2741" s="13" t="s">
        <v>0</v>
      </c>
      <c r="T2741" s="13" t="s">
        <v>9</v>
      </c>
      <c r="U2741" s="13" t="s">
        <v>0</v>
      </c>
      <c r="V2741" s="13" t="s">
        <v>0</v>
      </c>
      <c r="W2741" s="13" t="s">
        <v>0</v>
      </c>
      <c r="X2741" s="13" t="s">
        <v>0</v>
      </c>
      <c r="Y2741" s="13" t="s">
        <v>10</v>
      </c>
      <c r="Z2741" s="13" t="s">
        <v>0</v>
      </c>
      <c r="AA2741" s="14"/>
      <c r="AB2741" s="13" t="s">
        <v>0</v>
      </c>
      <c r="AC2741" s="13" t="s">
        <v>0</v>
      </c>
      <c r="AD2741" s="13" t="s">
        <v>0</v>
      </c>
      <c r="AE2741" s="15">
        <v>0</v>
      </c>
    </row>
    <row r="2742" spans="1:31" ht="14.15" customHeight="1" x14ac:dyDescent="0.25">
      <c r="A2742" s="12" t="s">
        <v>0</v>
      </c>
      <c r="B2742" s="13" t="s">
        <v>1</v>
      </c>
      <c r="C2742" s="13" t="s">
        <v>4041</v>
      </c>
      <c r="D2742" s="14">
        <v>44358</v>
      </c>
      <c r="E2742" s="14">
        <v>44358</v>
      </c>
      <c r="F2742" s="14">
        <v>44364</v>
      </c>
      <c r="G2742" s="13" t="s">
        <v>3</v>
      </c>
      <c r="H2742" s="13" t="s">
        <v>4</v>
      </c>
      <c r="I2742" s="15">
        <v>-1733.47</v>
      </c>
      <c r="J2742" s="13" t="s">
        <v>5</v>
      </c>
      <c r="K2742" s="13" t="s">
        <v>6</v>
      </c>
      <c r="L2742" s="15">
        <v>-145524.81</v>
      </c>
      <c r="M2742" s="15">
        <v>-1733.47</v>
      </c>
      <c r="N2742" s="16" t="str">
        <f>IF(M2742="","",IF(M2742&lt;0,-M2742&amp;"_"&amp;COUNTIF(M$2:M2742,M2742),M2742&amp;"_"&amp;COUNTIF(M$2:M2742,M2742)))</f>
        <v>1733.47_1</v>
      </c>
      <c r="O2742" s="17" t="str">
        <f t="shared" si="42"/>
        <v/>
      </c>
      <c r="P2742" s="13" t="s">
        <v>4042</v>
      </c>
      <c r="Q2742" s="13" t="s">
        <v>4006</v>
      </c>
      <c r="R2742" s="13" t="s">
        <v>0</v>
      </c>
      <c r="S2742" s="13" t="s">
        <v>0</v>
      </c>
      <c r="T2742" s="13" t="s">
        <v>9</v>
      </c>
      <c r="U2742" s="13" t="s">
        <v>0</v>
      </c>
      <c r="V2742" s="13" t="s">
        <v>0</v>
      </c>
      <c r="W2742" s="13" t="s">
        <v>0</v>
      </c>
      <c r="X2742" s="13" t="s">
        <v>0</v>
      </c>
      <c r="Y2742" s="13" t="s">
        <v>10</v>
      </c>
      <c r="Z2742" s="13" t="s">
        <v>0</v>
      </c>
      <c r="AA2742" s="14"/>
      <c r="AB2742" s="13" t="s">
        <v>0</v>
      </c>
      <c r="AC2742" s="13" t="s">
        <v>0</v>
      </c>
      <c r="AD2742" s="13" t="s">
        <v>0</v>
      </c>
      <c r="AE2742" s="15">
        <v>0</v>
      </c>
    </row>
    <row r="2743" spans="1:31" ht="14.15" customHeight="1" x14ac:dyDescent="0.25">
      <c r="A2743" s="12" t="s">
        <v>0</v>
      </c>
      <c r="B2743" s="13" t="s">
        <v>1</v>
      </c>
      <c r="C2743" s="13" t="s">
        <v>963</v>
      </c>
      <c r="D2743" s="14">
        <v>44123</v>
      </c>
      <c r="E2743" s="14">
        <v>44123</v>
      </c>
      <c r="F2743" s="14">
        <v>44128</v>
      </c>
      <c r="G2743" s="13" t="s">
        <v>3</v>
      </c>
      <c r="H2743" s="13" t="s">
        <v>4</v>
      </c>
      <c r="I2743" s="15">
        <v>-1731.83</v>
      </c>
      <c r="J2743" s="13" t="s">
        <v>5</v>
      </c>
      <c r="K2743" s="13" t="s">
        <v>6</v>
      </c>
      <c r="L2743" s="15">
        <v>-145387.13</v>
      </c>
      <c r="M2743" s="15">
        <v>-1731.83</v>
      </c>
      <c r="N2743" s="16" t="str">
        <f>IF(M2743="","",IF(M2743&lt;0,-M2743&amp;"_"&amp;COUNTIF(M$2:M2743,M2743),M2743&amp;"_"&amp;COUNTIF(M$2:M2743,M2743)))</f>
        <v>1731.83_1</v>
      </c>
      <c r="O2743" s="17" t="str">
        <f t="shared" si="42"/>
        <v/>
      </c>
      <c r="P2743" s="13" t="s">
        <v>964</v>
      </c>
      <c r="Q2743" s="13" t="s">
        <v>958</v>
      </c>
      <c r="R2743" s="13" t="s">
        <v>0</v>
      </c>
      <c r="S2743" s="13" t="s">
        <v>0</v>
      </c>
      <c r="T2743" s="13" t="s">
        <v>9</v>
      </c>
      <c r="U2743" s="13" t="s">
        <v>0</v>
      </c>
      <c r="V2743" s="13" t="s">
        <v>0</v>
      </c>
      <c r="W2743" s="13" t="s">
        <v>0</v>
      </c>
      <c r="X2743" s="13" t="s">
        <v>0</v>
      </c>
      <c r="Y2743" s="13" t="s">
        <v>10</v>
      </c>
      <c r="Z2743" s="13" t="s">
        <v>0</v>
      </c>
      <c r="AA2743" s="14"/>
      <c r="AB2743" s="13" t="s">
        <v>0</v>
      </c>
      <c r="AC2743" s="13" t="s">
        <v>0</v>
      </c>
      <c r="AD2743" s="13" t="s">
        <v>0</v>
      </c>
      <c r="AE2743" s="15">
        <v>0</v>
      </c>
    </row>
    <row r="2744" spans="1:31" ht="14.15" customHeight="1" x14ac:dyDescent="0.25">
      <c r="A2744" s="12" t="s">
        <v>0</v>
      </c>
      <c r="B2744" s="13" t="s">
        <v>1</v>
      </c>
      <c r="C2744" s="13" t="s">
        <v>2813</v>
      </c>
      <c r="D2744" s="14">
        <v>44266</v>
      </c>
      <c r="E2744" s="14">
        <v>44266</v>
      </c>
      <c r="F2744" s="14">
        <v>44272</v>
      </c>
      <c r="G2744" s="13" t="s">
        <v>3</v>
      </c>
      <c r="H2744" s="13" t="s">
        <v>4</v>
      </c>
      <c r="I2744" s="15">
        <v>-1721.24</v>
      </c>
      <c r="J2744" s="13" t="s">
        <v>5</v>
      </c>
      <c r="K2744" s="13" t="s">
        <v>6</v>
      </c>
      <c r="L2744" s="15">
        <v>-144498.1</v>
      </c>
      <c r="M2744" s="15">
        <v>-1721.24</v>
      </c>
      <c r="N2744" s="16" t="str">
        <f>IF(M2744="","",IF(M2744&lt;0,-M2744&amp;"_"&amp;COUNTIF(M$2:M2744,M2744),M2744&amp;"_"&amp;COUNTIF(M$2:M2744,M2744)))</f>
        <v>1721.24_1</v>
      </c>
      <c r="O2744" s="17" t="str">
        <f t="shared" si="42"/>
        <v/>
      </c>
      <c r="P2744" s="13" t="s">
        <v>2814</v>
      </c>
      <c r="Q2744" s="13" t="s">
        <v>2810</v>
      </c>
      <c r="R2744" s="13" t="s">
        <v>0</v>
      </c>
      <c r="S2744" s="13" t="s">
        <v>0</v>
      </c>
      <c r="T2744" s="13" t="s">
        <v>9</v>
      </c>
      <c r="U2744" s="13" t="s">
        <v>0</v>
      </c>
      <c r="V2744" s="13" t="s">
        <v>0</v>
      </c>
      <c r="W2744" s="13" t="s">
        <v>0</v>
      </c>
      <c r="X2744" s="13" t="s">
        <v>0</v>
      </c>
      <c r="Y2744" s="13" t="s">
        <v>10</v>
      </c>
      <c r="Z2744" s="13" t="s">
        <v>0</v>
      </c>
      <c r="AA2744" s="14"/>
      <c r="AB2744" s="13" t="s">
        <v>0</v>
      </c>
      <c r="AC2744" s="13" t="s">
        <v>0</v>
      </c>
      <c r="AD2744" s="13" t="s">
        <v>0</v>
      </c>
      <c r="AE2744" s="15">
        <v>0</v>
      </c>
    </row>
    <row r="2745" spans="1:31" ht="14.15" customHeight="1" x14ac:dyDescent="0.25">
      <c r="A2745" s="12" t="s">
        <v>0</v>
      </c>
      <c r="B2745" s="13" t="s">
        <v>1</v>
      </c>
      <c r="C2745" s="13" t="s">
        <v>2381</v>
      </c>
      <c r="D2745" s="14">
        <v>44227</v>
      </c>
      <c r="E2745" s="14">
        <v>44227</v>
      </c>
      <c r="F2745" s="14">
        <v>44231</v>
      </c>
      <c r="G2745" s="13" t="s">
        <v>3</v>
      </c>
      <c r="H2745" s="13" t="s">
        <v>4</v>
      </c>
      <c r="I2745" s="15">
        <v>-1715.95</v>
      </c>
      <c r="J2745" s="13" t="s">
        <v>5</v>
      </c>
      <c r="K2745" s="13" t="s">
        <v>6</v>
      </c>
      <c r="L2745" s="15">
        <v>-144054</v>
      </c>
      <c r="M2745" s="15">
        <v>-1715.95</v>
      </c>
      <c r="N2745" s="16" t="str">
        <f>IF(M2745="","",IF(M2745&lt;0,-M2745&amp;"_"&amp;COUNTIF(M$2:M2745,M2745),M2745&amp;"_"&amp;COUNTIF(M$2:M2745,M2745)))</f>
        <v>1715.95_1</v>
      </c>
      <c r="O2745" s="17" t="str">
        <f t="shared" si="42"/>
        <v/>
      </c>
      <c r="P2745" s="13" t="s">
        <v>2382</v>
      </c>
      <c r="Q2745" s="13" t="s">
        <v>2378</v>
      </c>
      <c r="R2745" s="13" t="s">
        <v>0</v>
      </c>
      <c r="S2745" s="13" t="s">
        <v>0</v>
      </c>
      <c r="T2745" s="13" t="s">
        <v>9</v>
      </c>
      <c r="U2745" s="13" t="s">
        <v>0</v>
      </c>
      <c r="V2745" s="13" t="s">
        <v>0</v>
      </c>
      <c r="W2745" s="13" t="s">
        <v>0</v>
      </c>
      <c r="X2745" s="13" t="s">
        <v>0</v>
      </c>
      <c r="Y2745" s="13" t="s">
        <v>10</v>
      </c>
      <c r="Z2745" s="13" t="s">
        <v>0</v>
      </c>
      <c r="AA2745" s="14"/>
      <c r="AB2745" s="13" t="s">
        <v>0</v>
      </c>
      <c r="AC2745" s="13" t="s">
        <v>0</v>
      </c>
      <c r="AD2745" s="13" t="s">
        <v>0</v>
      </c>
      <c r="AE2745" s="15">
        <v>0</v>
      </c>
    </row>
    <row r="2746" spans="1:31" ht="14.15" customHeight="1" x14ac:dyDescent="0.25">
      <c r="A2746" s="12" t="s">
        <v>0</v>
      </c>
      <c r="B2746" s="13" t="s">
        <v>1</v>
      </c>
      <c r="C2746" s="13" t="s">
        <v>3075</v>
      </c>
      <c r="D2746" s="14">
        <v>44285</v>
      </c>
      <c r="E2746" s="14">
        <v>44285</v>
      </c>
      <c r="F2746" s="14">
        <v>44290</v>
      </c>
      <c r="G2746" s="13" t="s">
        <v>3</v>
      </c>
      <c r="H2746" s="13" t="s">
        <v>4</v>
      </c>
      <c r="I2746" s="15">
        <v>-1713.09</v>
      </c>
      <c r="J2746" s="13" t="s">
        <v>5</v>
      </c>
      <c r="K2746" s="13" t="s">
        <v>6</v>
      </c>
      <c r="L2746" s="15">
        <v>-143813.91</v>
      </c>
      <c r="M2746" s="15">
        <v>-1713.09</v>
      </c>
      <c r="N2746" s="16" t="str">
        <f>IF(M2746="","",IF(M2746&lt;0,-M2746&amp;"_"&amp;COUNTIF(M$2:M2746,M2746),M2746&amp;"_"&amp;COUNTIF(M$2:M2746,M2746)))</f>
        <v>1713.09_1</v>
      </c>
      <c r="O2746" s="17" t="str">
        <f t="shared" si="42"/>
        <v/>
      </c>
      <c r="P2746" s="13" t="s">
        <v>3076</v>
      </c>
      <c r="Q2746" s="13" t="s">
        <v>3074</v>
      </c>
      <c r="R2746" s="13" t="s">
        <v>0</v>
      </c>
      <c r="S2746" s="13" t="s">
        <v>0</v>
      </c>
      <c r="T2746" s="13" t="s">
        <v>9</v>
      </c>
      <c r="U2746" s="13" t="s">
        <v>0</v>
      </c>
      <c r="V2746" s="13" t="s">
        <v>0</v>
      </c>
      <c r="W2746" s="13" t="s">
        <v>0</v>
      </c>
      <c r="X2746" s="13" t="s">
        <v>0</v>
      </c>
      <c r="Y2746" s="13" t="s">
        <v>10</v>
      </c>
      <c r="Z2746" s="13" t="s">
        <v>0</v>
      </c>
      <c r="AA2746" s="14"/>
      <c r="AB2746" s="13" t="s">
        <v>0</v>
      </c>
      <c r="AC2746" s="13" t="s">
        <v>0</v>
      </c>
      <c r="AD2746" s="13" t="s">
        <v>0</v>
      </c>
      <c r="AE2746" s="15">
        <v>0</v>
      </c>
    </row>
    <row r="2747" spans="1:31" ht="14.15" customHeight="1" x14ac:dyDescent="0.25">
      <c r="A2747" s="12" t="s">
        <v>0</v>
      </c>
      <c r="B2747" s="13" t="s">
        <v>1</v>
      </c>
      <c r="C2747" s="13" t="s">
        <v>1874</v>
      </c>
      <c r="D2747" s="14">
        <v>44188</v>
      </c>
      <c r="E2747" s="14">
        <v>44188</v>
      </c>
      <c r="F2747" s="14">
        <v>44198</v>
      </c>
      <c r="G2747" s="13" t="s">
        <v>3</v>
      </c>
      <c r="H2747" s="13" t="s">
        <v>4</v>
      </c>
      <c r="I2747" s="15">
        <v>-1703.55</v>
      </c>
      <c r="J2747" s="13" t="s">
        <v>5</v>
      </c>
      <c r="K2747" s="13" t="s">
        <v>6</v>
      </c>
      <c r="L2747" s="15">
        <v>-143013.01999999999</v>
      </c>
      <c r="M2747" s="15">
        <v>-1703.55</v>
      </c>
      <c r="N2747" s="16" t="str">
        <f>IF(M2747="","",IF(M2747&lt;0,-M2747&amp;"_"&amp;COUNTIF(M$2:M2747,M2747),M2747&amp;"_"&amp;COUNTIF(M$2:M2747,M2747)))</f>
        <v>1703.55_1</v>
      </c>
      <c r="O2747" s="17" t="str">
        <f t="shared" si="42"/>
        <v/>
      </c>
      <c r="P2747" s="13" t="s">
        <v>1875</v>
      </c>
      <c r="Q2747" s="13" t="s">
        <v>1869</v>
      </c>
      <c r="R2747" s="13" t="s">
        <v>0</v>
      </c>
      <c r="S2747" s="13" t="s">
        <v>0</v>
      </c>
      <c r="T2747" s="13" t="s">
        <v>9</v>
      </c>
      <c r="U2747" s="13" t="s">
        <v>0</v>
      </c>
      <c r="V2747" s="13" t="s">
        <v>0</v>
      </c>
      <c r="W2747" s="13" t="s">
        <v>0</v>
      </c>
      <c r="X2747" s="13" t="s">
        <v>0</v>
      </c>
      <c r="Y2747" s="13" t="s">
        <v>10</v>
      </c>
      <c r="Z2747" s="13" t="s">
        <v>0</v>
      </c>
      <c r="AA2747" s="14"/>
      <c r="AB2747" s="13" t="s">
        <v>0</v>
      </c>
      <c r="AC2747" s="13" t="s">
        <v>0</v>
      </c>
      <c r="AD2747" s="13" t="s">
        <v>0</v>
      </c>
      <c r="AE2747" s="15">
        <v>0</v>
      </c>
    </row>
    <row r="2748" spans="1:31" ht="14.15" customHeight="1" x14ac:dyDescent="0.25">
      <c r="A2748" s="12" t="s">
        <v>0</v>
      </c>
      <c r="B2748" s="13" t="s">
        <v>1</v>
      </c>
      <c r="C2748" s="13" t="s">
        <v>1471</v>
      </c>
      <c r="D2748" s="14">
        <v>44160</v>
      </c>
      <c r="E2748" s="14">
        <v>44160</v>
      </c>
      <c r="F2748" s="14">
        <v>44163</v>
      </c>
      <c r="G2748" s="13" t="s">
        <v>3</v>
      </c>
      <c r="H2748" s="13" t="s">
        <v>4</v>
      </c>
      <c r="I2748" s="15">
        <v>-1703.34</v>
      </c>
      <c r="J2748" s="13" t="s">
        <v>5</v>
      </c>
      <c r="K2748" s="13" t="s">
        <v>6</v>
      </c>
      <c r="L2748" s="15">
        <v>-142995.39000000001</v>
      </c>
      <c r="M2748" s="15">
        <v>-1703.34</v>
      </c>
      <c r="N2748" s="16" t="str">
        <f>IF(M2748="","",IF(M2748&lt;0,-M2748&amp;"_"&amp;COUNTIF(M$2:M2748,M2748),M2748&amp;"_"&amp;COUNTIF(M$2:M2748,M2748)))</f>
        <v>1703.34_1</v>
      </c>
      <c r="O2748" s="17" t="str">
        <f t="shared" si="42"/>
        <v/>
      </c>
      <c r="P2748" s="13" t="s">
        <v>1472</v>
      </c>
      <c r="Q2748" s="13" t="s">
        <v>1470</v>
      </c>
      <c r="R2748" s="13" t="s">
        <v>0</v>
      </c>
      <c r="S2748" s="13" t="s">
        <v>0</v>
      </c>
      <c r="T2748" s="13" t="s">
        <v>9</v>
      </c>
      <c r="U2748" s="13" t="s">
        <v>0</v>
      </c>
      <c r="V2748" s="13" t="s">
        <v>0</v>
      </c>
      <c r="W2748" s="13" t="s">
        <v>0</v>
      </c>
      <c r="X2748" s="13" t="s">
        <v>0</v>
      </c>
      <c r="Y2748" s="13" t="s">
        <v>10</v>
      </c>
      <c r="Z2748" s="13" t="s">
        <v>0</v>
      </c>
      <c r="AA2748" s="14"/>
      <c r="AB2748" s="13" t="s">
        <v>0</v>
      </c>
      <c r="AC2748" s="13" t="s">
        <v>0</v>
      </c>
      <c r="AD2748" s="13" t="s">
        <v>0</v>
      </c>
      <c r="AE2748" s="15">
        <v>0</v>
      </c>
    </row>
    <row r="2749" spans="1:31" ht="14.15" customHeight="1" x14ac:dyDescent="0.25">
      <c r="A2749" s="12" t="s">
        <v>0</v>
      </c>
      <c r="B2749" s="13" t="s">
        <v>1</v>
      </c>
      <c r="C2749" s="13" t="s">
        <v>2479</v>
      </c>
      <c r="D2749" s="14">
        <v>44234</v>
      </c>
      <c r="E2749" s="14">
        <v>44234</v>
      </c>
      <c r="F2749" s="14">
        <v>44241</v>
      </c>
      <c r="G2749" s="13" t="s">
        <v>3</v>
      </c>
      <c r="H2749" s="13" t="s">
        <v>4</v>
      </c>
      <c r="I2749" s="15">
        <v>-1703.3</v>
      </c>
      <c r="J2749" s="13" t="s">
        <v>5</v>
      </c>
      <c r="K2749" s="13" t="s">
        <v>6</v>
      </c>
      <c r="L2749" s="15">
        <v>-142992.04</v>
      </c>
      <c r="M2749" s="15">
        <v>-1703.3</v>
      </c>
      <c r="N2749" s="16" t="str">
        <f>IF(M2749="","",IF(M2749&lt;0,-M2749&amp;"_"&amp;COUNTIF(M$2:M2749,M2749),M2749&amp;"_"&amp;COUNTIF(M$2:M2749,M2749)))</f>
        <v>1703.3_1</v>
      </c>
      <c r="O2749" s="17" t="str">
        <f t="shared" si="42"/>
        <v/>
      </c>
      <c r="P2749" s="13" t="s">
        <v>2480</v>
      </c>
      <c r="Q2749" s="13" t="s">
        <v>2462</v>
      </c>
      <c r="R2749" s="13" t="s">
        <v>0</v>
      </c>
      <c r="S2749" s="13" t="s">
        <v>0</v>
      </c>
      <c r="T2749" s="13" t="s">
        <v>9</v>
      </c>
      <c r="U2749" s="13" t="s">
        <v>0</v>
      </c>
      <c r="V2749" s="13" t="s">
        <v>0</v>
      </c>
      <c r="W2749" s="13" t="s">
        <v>0</v>
      </c>
      <c r="X2749" s="13" t="s">
        <v>0</v>
      </c>
      <c r="Y2749" s="13" t="s">
        <v>10</v>
      </c>
      <c r="Z2749" s="13" t="s">
        <v>0</v>
      </c>
      <c r="AA2749" s="14"/>
      <c r="AB2749" s="13" t="s">
        <v>0</v>
      </c>
      <c r="AC2749" s="13" t="s">
        <v>0</v>
      </c>
      <c r="AD2749" s="13" t="s">
        <v>0</v>
      </c>
      <c r="AE2749" s="15">
        <v>0</v>
      </c>
    </row>
    <row r="2750" spans="1:31" ht="14.15" customHeight="1" x14ac:dyDescent="0.25">
      <c r="A2750" s="12" t="s">
        <v>0</v>
      </c>
      <c r="B2750" s="13" t="s">
        <v>1</v>
      </c>
      <c r="C2750" s="13" t="s">
        <v>2638</v>
      </c>
      <c r="D2750" s="14">
        <v>44248</v>
      </c>
      <c r="E2750" s="14">
        <v>44248</v>
      </c>
      <c r="F2750" s="14">
        <v>44255</v>
      </c>
      <c r="G2750" s="13" t="s">
        <v>3</v>
      </c>
      <c r="H2750" s="13" t="s">
        <v>4</v>
      </c>
      <c r="I2750" s="15">
        <v>-1703.3</v>
      </c>
      <c r="J2750" s="13" t="s">
        <v>5</v>
      </c>
      <c r="K2750" s="13" t="s">
        <v>6</v>
      </c>
      <c r="L2750" s="15">
        <v>-142992.04</v>
      </c>
      <c r="M2750" s="15">
        <v>-1703.3</v>
      </c>
      <c r="N2750" s="16" t="str">
        <f>IF(M2750="","",IF(M2750&lt;0,-M2750&amp;"_"&amp;COUNTIF(M$2:M2750,M2750),M2750&amp;"_"&amp;COUNTIF(M$2:M2750,M2750)))</f>
        <v>1703.3_2</v>
      </c>
      <c r="O2750" s="17" t="str">
        <f t="shared" si="42"/>
        <v/>
      </c>
      <c r="P2750" s="13" t="s">
        <v>2639</v>
      </c>
      <c r="Q2750" s="13" t="s">
        <v>2637</v>
      </c>
      <c r="R2750" s="13" t="s">
        <v>0</v>
      </c>
      <c r="S2750" s="13" t="s">
        <v>0</v>
      </c>
      <c r="T2750" s="13" t="s">
        <v>9</v>
      </c>
      <c r="U2750" s="13" t="s">
        <v>0</v>
      </c>
      <c r="V2750" s="13" t="s">
        <v>0</v>
      </c>
      <c r="W2750" s="13" t="s">
        <v>0</v>
      </c>
      <c r="X2750" s="13" t="s">
        <v>0</v>
      </c>
      <c r="Y2750" s="13" t="s">
        <v>10</v>
      </c>
      <c r="Z2750" s="13" t="s">
        <v>0</v>
      </c>
      <c r="AA2750" s="14"/>
      <c r="AB2750" s="13" t="s">
        <v>0</v>
      </c>
      <c r="AC2750" s="13" t="s">
        <v>0</v>
      </c>
      <c r="AD2750" s="13" t="s">
        <v>0</v>
      </c>
      <c r="AE2750" s="15">
        <v>0</v>
      </c>
    </row>
    <row r="2751" spans="1:31" ht="14.15" customHeight="1" x14ac:dyDescent="0.25">
      <c r="A2751" s="12" t="s">
        <v>0</v>
      </c>
      <c r="B2751" s="13" t="s">
        <v>1</v>
      </c>
      <c r="C2751" s="13" t="s">
        <v>341</v>
      </c>
      <c r="D2751" s="14">
        <v>44046</v>
      </c>
      <c r="E2751" s="14">
        <v>44046</v>
      </c>
      <c r="F2751" s="14">
        <v>44053</v>
      </c>
      <c r="G2751" s="13" t="s">
        <v>3</v>
      </c>
      <c r="H2751" s="13" t="s">
        <v>4</v>
      </c>
      <c r="I2751" s="15">
        <v>-1692.14</v>
      </c>
      <c r="J2751" s="13" t="s">
        <v>5</v>
      </c>
      <c r="K2751" s="13" t="s">
        <v>6</v>
      </c>
      <c r="L2751" s="15">
        <v>-142055.15</v>
      </c>
      <c r="M2751" s="15">
        <v>-1692.14</v>
      </c>
      <c r="N2751" s="16" t="str">
        <f>IF(M2751="","",IF(M2751&lt;0,-M2751&amp;"_"&amp;COUNTIF(M$2:M2751,M2751),M2751&amp;"_"&amp;COUNTIF(M$2:M2751,M2751)))</f>
        <v>1692.14_1</v>
      </c>
      <c r="O2751" s="17" t="str">
        <f t="shared" si="42"/>
        <v/>
      </c>
      <c r="P2751" s="13" t="s">
        <v>342</v>
      </c>
      <c r="Q2751" s="13" t="s">
        <v>338</v>
      </c>
      <c r="R2751" s="13" t="s">
        <v>0</v>
      </c>
      <c r="S2751" s="13" t="s">
        <v>0</v>
      </c>
      <c r="T2751" s="13" t="s">
        <v>9</v>
      </c>
      <c r="U2751" s="13" t="s">
        <v>0</v>
      </c>
      <c r="V2751" s="13" t="s">
        <v>0</v>
      </c>
      <c r="W2751" s="13" t="s">
        <v>0</v>
      </c>
      <c r="X2751" s="13" t="s">
        <v>0</v>
      </c>
      <c r="Y2751" s="13" t="s">
        <v>10</v>
      </c>
      <c r="Z2751" s="13" t="s">
        <v>0</v>
      </c>
      <c r="AA2751" s="14"/>
      <c r="AB2751" s="13" t="s">
        <v>0</v>
      </c>
      <c r="AC2751" s="13" t="s">
        <v>0</v>
      </c>
      <c r="AD2751" s="13" t="s">
        <v>0</v>
      </c>
      <c r="AE2751" s="15">
        <v>0</v>
      </c>
    </row>
    <row r="2752" spans="1:31" ht="14.15" customHeight="1" x14ac:dyDescent="0.25">
      <c r="A2752" s="12" t="s">
        <v>0</v>
      </c>
      <c r="B2752" s="13" t="s">
        <v>1</v>
      </c>
      <c r="C2752" s="13" t="s">
        <v>3744</v>
      </c>
      <c r="D2752" s="14">
        <v>44339</v>
      </c>
      <c r="E2752" s="14">
        <v>44339</v>
      </c>
      <c r="F2752" s="14">
        <v>44342</v>
      </c>
      <c r="G2752" s="13" t="s">
        <v>3</v>
      </c>
      <c r="H2752" s="13" t="s">
        <v>4</v>
      </c>
      <c r="I2752" s="15">
        <v>-1691.1</v>
      </c>
      <c r="J2752" s="13" t="s">
        <v>5</v>
      </c>
      <c r="K2752" s="13" t="s">
        <v>6</v>
      </c>
      <c r="L2752" s="15">
        <v>-141967.85</v>
      </c>
      <c r="M2752" s="15">
        <v>-1691.1</v>
      </c>
      <c r="N2752" s="16" t="str">
        <f>IF(M2752="","",IF(M2752&lt;0,-M2752&amp;"_"&amp;COUNTIF(M$2:M2752,M2752),M2752&amp;"_"&amp;COUNTIF(M$2:M2752,M2752)))</f>
        <v>1691.1_1</v>
      </c>
      <c r="O2752" s="17" t="str">
        <f t="shared" si="42"/>
        <v/>
      </c>
      <c r="P2752" s="13" t="s">
        <v>3745</v>
      </c>
      <c r="Q2752" s="13" t="s">
        <v>3746</v>
      </c>
      <c r="R2752" s="13" t="s">
        <v>0</v>
      </c>
      <c r="S2752" s="13" t="s">
        <v>0</v>
      </c>
      <c r="T2752" s="13" t="s">
        <v>9</v>
      </c>
      <c r="U2752" s="13" t="s">
        <v>0</v>
      </c>
      <c r="V2752" s="13" t="s">
        <v>0</v>
      </c>
      <c r="W2752" s="13" t="s">
        <v>0</v>
      </c>
      <c r="X2752" s="13" t="s">
        <v>0</v>
      </c>
      <c r="Y2752" s="13" t="s">
        <v>10</v>
      </c>
      <c r="Z2752" s="13" t="s">
        <v>0</v>
      </c>
      <c r="AA2752" s="14"/>
      <c r="AB2752" s="13" t="s">
        <v>0</v>
      </c>
      <c r="AC2752" s="13" t="s">
        <v>0</v>
      </c>
      <c r="AD2752" s="13" t="s">
        <v>0</v>
      </c>
      <c r="AE2752" s="15">
        <v>0</v>
      </c>
    </row>
    <row r="2753" spans="1:31" ht="14.15" customHeight="1" x14ac:dyDescent="0.25">
      <c r="A2753" s="12" t="s">
        <v>0</v>
      </c>
      <c r="B2753" s="13" t="s">
        <v>1</v>
      </c>
      <c r="C2753" s="13" t="s">
        <v>2545</v>
      </c>
      <c r="D2753" s="14">
        <v>44238</v>
      </c>
      <c r="E2753" s="14">
        <v>44238</v>
      </c>
      <c r="F2753" s="14">
        <v>44243</v>
      </c>
      <c r="G2753" s="13" t="s">
        <v>3</v>
      </c>
      <c r="H2753" s="13" t="s">
        <v>4</v>
      </c>
      <c r="I2753" s="15">
        <v>-1686.32</v>
      </c>
      <c r="J2753" s="13" t="s">
        <v>5</v>
      </c>
      <c r="K2753" s="13" t="s">
        <v>6</v>
      </c>
      <c r="L2753" s="15">
        <v>-141566.56</v>
      </c>
      <c r="M2753" s="15">
        <v>-1686.32</v>
      </c>
      <c r="N2753" s="16" t="str">
        <f>IF(M2753="","",IF(M2753&lt;0,-M2753&amp;"_"&amp;COUNTIF(M$2:M2753,M2753),M2753&amp;"_"&amp;COUNTIF(M$2:M2753,M2753)))</f>
        <v>1686.32_1</v>
      </c>
      <c r="O2753" s="17" t="str">
        <f t="shared" si="42"/>
        <v/>
      </c>
      <c r="P2753" s="13" t="s">
        <v>2546</v>
      </c>
      <c r="Q2753" s="13" t="s">
        <v>2528</v>
      </c>
      <c r="R2753" s="13" t="s">
        <v>0</v>
      </c>
      <c r="S2753" s="13" t="s">
        <v>0</v>
      </c>
      <c r="T2753" s="13" t="s">
        <v>9</v>
      </c>
      <c r="U2753" s="13" t="s">
        <v>0</v>
      </c>
      <c r="V2753" s="13" t="s">
        <v>0</v>
      </c>
      <c r="W2753" s="13" t="s">
        <v>0</v>
      </c>
      <c r="X2753" s="13" t="s">
        <v>0</v>
      </c>
      <c r="Y2753" s="13" t="s">
        <v>10</v>
      </c>
      <c r="Z2753" s="13" t="s">
        <v>0</v>
      </c>
      <c r="AA2753" s="14"/>
      <c r="AB2753" s="13" t="s">
        <v>0</v>
      </c>
      <c r="AC2753" s="13" t="s">
        <v>0</v>
      </c>
      <c r="AD2753" s="13" t="s">
        <v>0</v>
      </c>
      <c r="AE2753" s="15">
        <v>0</v>
      </c>
    </row>
    <row r="2754" spans="1:31" ht="14.15" customHeight="1" x14ac:dyDescent="0.25">
      <c r="A2754" s="12" t="s">
        <v>0</v>
      </c>
      <c r="B2754" s="13" t="s">
        <v>1</v>
      </c>
      <c r="C2754" s="13" t="s">
        <v>228</v>
      </c>
      <c r="D2754" s="14">
        <v>44039</v>
      </c>
      <c r="E2754" s="14">
        <v>44039</v>
      </c>
      <c r="F2754" s="14">
        <v>44042</v>
      </c>
      <c r="G2754" s="13" t="s">
        <v>3</v>
      </c>
      <c r="H2754" s="13" t="s">
        <v>4</v>
      </c>
      <c r="I2754" s="15">
        <v>-1684.13</v>
      </c>
      <c r="J2754" s="13" t="s">
        <v>5</v>
      </c>
      <c r="K2754" s="13" t="s">
        <v>6</v>
      </c>
      <c r="L2754" s="15">
        <v>-141382.71</v>
      </c>
      <c r="M2754" s="15">
        <v>-1684.13</v>
      </c>
      <c r="N2754" s="16" t="str">
        <f>IF(M2754="","",IF(M2754&lt;0,-M2754&amp;"_"&amp;COUNTIF(M$2:M2754,M2754),M2754&amp;"_"&amp;COUNTIF(M$2:M2754,M2754)))</f>
        <v>1684.13_1</v>
      </c>
      <c r="O2754" s="17" t="str">
        <f t="shared" ref="O2754:O2817" si="43">IF(COUNTIF(N:N,N2754)=2,"x","")</f>
        <v/>
      </c>
      <c r="P2754" s="13" t="s">
        <v>229</v>
      </c>
      <c r="Q2754" s="13" t="s">
        <v>230</v>
      </c>
      <c r="R2754" s="13" t="s">
        <v>0</v>
      </c>
      <c r="S2754" s="13" t="s">
        <v>0</v>
      </c>
      <c r="T2754" s="13" t="s">
        <v>9</v>
      </c>
      <c r="U2754" s="13" t="s">
        <v>0</v>
      </c>
      <c r="V2754" s="13" t="s">
        <v>0</v>
      </c>
      <c r="W2754" s="13" t="s">
        <v>0</v>
      </c>
      <c r="X2754" s="13" t="s">
        <v>0</v>
      </c>
      <c r="Y2754" s="13" t="s">
        <v>10</v>
      </c>
      <c r="Z2754" s="13" t="s">
        <v>0</v>
      </c>
      <c r="AA2754" s="14"/>
      <c r="AB2754" s="13" t="s">
        <v>0</v>
      </c>
      <c r="AC2754" s="13" t="s">
        <v>0</v>
      </c>
      <c r="AD2754" s="13" t="s">
        <v>0</v>
      </c>
      <c r="AE2754" s="15">
        <v>0</v>
      </c>
    </row>
    <row r="2755" spans="1:31" ht="14.15" customHeight="1" x14ac:dyDescent="0.25">
      <c r="A2755" s="12" t="s">
        <v>0</v>
      </c>
      <c r="B2755" s="13" t="s">
        <v>1</v>
      </c>
      <c r="C2755" s="13" t="s">
        <v>2531</v>
      </c>
      <c r="D2755" s="14">
        <v>44238</v>
      </c>
      <c r="E2755" s="14">
        <v>44238</v>
      </c>
      <c r="F2755" s="14">
        <v>44243</v>
      </c>
      <c r="G2755" s="13" t="s">
        <v>3</v>
      </c>
      <c r="H2755" s="13" t="s">
        <v>4</v>
      </c>
      <c r="I2755" s="15">
        <v>-1682.53</v>
      </c>
      <c r="J2755" s="13" t="s">
        <v>5</v>
      </c>
      <c r="K2755" s="13" t="s">
        <v>6</v>
      </c>
      <c r="L2755" s="15">
        <v>-141248.39000000001</v>
      </c>
      <c r="M2755" s="15">
        <v>-1682.53</v>
      </c>
      <c r="N2755" s="16" t="str">
        <f>IF(M2755="","",IF(M2755&lt;0,-M2755&amp;"_"&amp;COUNTIF(M$2:M2755,M2755),M2755&amp;"_"&amp;COUNTIF(M$2:M2755,M2755)))</f>
        <v>1682.53_1</v>
      </c>
      <c r="O2755" s="17" t="str">
        <f t="shared" si="43"/>
        <v/>
      </c>
      <c r="P2755" s="13" t="s">
        <v>2532</v>
      </c>
      <c r="Q2755" s="13" t="s">
        <v>2528</v>
      </c>
      <c r="R2755" s="13" t="s">
        <v>0</v>
      </c>
      <c r="S2755" s="13" t="s">
        <v>0</v>
      </c>
      <c r="T2755" s="13" t="s">
        <v>9</v>
      </c>
      <c r="U2755" s="13" t="s">
        <v>0</v>
      </c>
      <c r="V2755" s="13" t="s">
        <v>0</v>
      </c>
      <c r="W2755" s="13" t="s">
        <v>0</v>
      </c>
      <c r="X2755" s="13" t="s">
        <v>0</v>
      </c>
      <c r="Y2755" s="13" t="s">
        <v>10</v>
      </c>
      <c r="Z2755" s="13" t="s">
        <v>0</v>
      </c>
      <c r="AA2755" s="14"/>
      <c r="AB2755" s="13" t="s">
        <v>0</v>
      </c>
      <c r="AC2755" s="13" t="s">
        <v>0</v>
      </c>
      <c r="AD2755" s="13" t="s">
        <v>0</v>
      </c>
      <c r="AE2755" s="15">
        <v>0</v>
      </c>
    </row>
    <row r="2756" spans="1:31" ht="14.15" customHeight="1" x14ac:dyDescent="0.25">
      <c r="A2756" s="12" t="s">
        <v>0</v>
      </c>
      <c r="B2756" s="13" t="s">
        <v>1</v>
      </c>
      <c r="C2756" s="13" t="s">
        <v>3849</v>
      </c>
      <c r="D2756" s="14">
        <v>44350</v>
      </c>
      <c r="E2756" s="14">
        <v>44350</v>
      </c>
      <c r="F2756" s="14">
        <v>44356</v>
      </c>
      <c r="G2756" s="13" t="s">
        <v>3</v>
      </c>
      <c r="H2756" s="13" t="s">
        <v>4</v>
      </c>
      <c r="I2756" s="15">
        <v>-1678.1</v>
      </c>
      <c r="J2756" s="13" t="s">
        <v>5</v>
      </c>
      <c r="K2756" s="13" t="s">
        <v>6</v>
      </c>
      <c r="L2756" s="15">
        <v>-140876.5</v>
      </c>
      <c r="M2756" s="15">
        <v>-1678.1</v>
      </c>
      <c r="N2756" s="16" t="str">
        <f>IF(M2756="","",IF(M2756&lt;0,-M2756&amp;"_"&amp;COUNTIF(M$2:M2756,M2756),M2756&amp;"_"&amp;COUNTIF(M$2:M2756,M2756)))</f>
        <v>1678.1_1</v>
      </c>
      <c r="O2756" s="17" t="str">
        <f t="shared" si="43"/>
        <v/>
      </c>
      <c r="P2756" s="13" t="s">
        <v>3850</v>
      </c>
      <c r="Q2756" s="13" t="s">
        <v>3844</v>
      </c>
      <c r="R2756" s="13" t="s">
        <v>0</v>
      </c>
      <c r="S2756" s="13" t="s">
        <v>0</v>
      </c>
      <c r="T2756" s="13" t="s">
        <v>9</v>
      </c>
      <c r="U2756" s="13" t="s">
        <v>0</v>
      </c>
      <c r="V2756" s="13" t="s">
        <v>0</v>
      </c>
      <c r="W2756" s="13" t="s">
        <v>0</v>
      </c>
      <c r="X2756" s="13" t="s">
        <v>0</v>
      </c>
      <c r="Y2756" s="13" t="s">
        <v>10</v>
      </c>
      <c r="Z2756" s="13" t="s">
        <v>0</v>
      </c>
      <c r="AA2756" s="14"/>
      <c r="AB2756" s="13" t="s">
        <v>0</v>
      </c>
      <c r="AC2756" s="13" t="s">
        <v>0</v>
      </c>
      <c r="AD2756" s="13" t="s">
        <v>0</v>
      </c>
      <c r="AE2756" s="15">
        <v>0</v>
      </c>
    </row>
    <row r="2757" spans="1:31" ht="14.15" customHeight="1" x14ac:dyDescent="0.25">
      <c r="A2757" s="12" t="s">
        <v>0</v>
      </c>
      <c r="B2757" s="13" t="s">
        <v>1</v>
      </c>
      <c r="C2757" s="13" t="s">
        <v>2609</v>
      </c>
      <c r="D2757" s="14">
        <v>44243</v>
      </c>
      <c r="E2757" s="14">
        <v>44243</v>
      </c>
      <c r="F2757" s="14">
        <v>44252</v>
      </c>
      <c r="G2757" s="13" t="s">
        <v>3</v>
      </c>
      <c r="H2757" s="13" t="s">
        <v>4</v>
      </c>
      <c r="I2757" s="15">
        <v>-1674.59</v>
      </c>
      <c r="J2757" s="13" t="s">
        <v>5</v>
      </c>
      <c r="K2757" s="13" t="s">
        <v>6</v>
      </c>
      <c r="L2757" s="15">
        <v>-140581.82999999999</v>
      </c>
      <c r="M2757" s="15">
        <v>-1674.59</v>
      </c>
      <c r="N2757" s="16" t="str">
        <f>IF(M2757="","",IF(M2757&lt;0,-M2757&amp;"_"&amp;COUNTIF(M$2:M2757,M2757),M2757&amp;"_"&amp;COUNTIF(M$2:M2757,M2757)))</f>
        <v>1674.59_1</v>
      </c>
      <c r="O2757" s="17" t="str">
        <f t="shared" si="43"/>
        <v/>
      </c>
      <c r="P2757" s="13" t="s">
        <v>2610</v>
      </c>
      <c r="Q2757" s="13" t="s">
        <v>2574</v>
      </c>
      <c r="R2757" s="13" t="s">
        <v>0</v>
      </c>
      <c r="S2757" s="13" t="s">
        <v>0</v>
      </c>
      <c r="T2757" s="13" t="s">
        <v>9</v>
      </c>
      <c r="U2757" s="13" t="s">
        <v>0</v>
      </c>
      <c r="V2757" s="13" t="s">
        <v>0</v>
      </c>
      <c r="W2757" s="13" t="s">
        <v>0</v>
      </c>
      <c r="X2757" s="13" t="s">
        <v>0</v>
      </c>
      <c r="Y2757" s="13" t="s">
        <v>10</v>
      </c>
      <c r="Z2757" s="13" t="s">
        <v>0</v>
      </c>
      <c r="AA2757" s="14"/>
      <c r="AB2757" s="13" t="s">
        <v>0</v>
      </c>
      <c r="AC2757" s="13" t="s">
        <v>0</v>
      </c>
      <c r="AD2757" s="13" t="s">
        <v>0</v>
      </c>
      <c r="AE2757" s="15">
        <v>0</v>
      </c>
    </row>
    <row r="2758" spans="1:31" ht="14.15" customHeight="1" x14ac:dyDescent="0.25">
      <c r="A2758" s="12" t="s">
        <v>0</v>
      </c>
      <c r="B2758" s="13" t="s">
        <v>1</v>
      </c>
      <c r="C2758" s="13" t="s">
        <v>1606</v>
      </c>
      <c r="D2758" s="14">
        <v>44168</v>
      </c>
      <c r="E2758" s="14">
        <v>44168</v>
      </c>
      <c r="F2758" s="14">
        <v>44174</v>
      </c>
      <c r="G2758" s="13" t="s">
        <v>3</v>
      </c>
      <c r="H2758" s="13" t="s">
        <v>4</v>
      </c>
      <c r="I2758" s="15">
        <v>-1674.49</v>
      </c>
      <c r="J2758" s="13" t="s">
        <v>5</v>
      </c>
      <c r="K2758" s="13" t="s">
        <v>6</v>
      </c>
      <c r="L2758" s="15">
        <v>-140573.44</v>
      </c>
      <c r="M2758" s="15">
        <v>-1674.49</v>
      </c>
      <c r="N2758" s="16" t="str">
        <f>IF(M2758="","",IF(M2758&lt;0,-M2758&amp;"_"&amp;COUNTIF(M$2:M2758,M2758),M2758&amp;"_"&amp;COUNTIF(M$2:M2758,M2758)))</f>
        <v>1674.49_1</v>
      </c>
      <c r="O2758" s="17" t="str">
        <f t="shared" si="43"/>
        <v/>
      </c>
      <c r="P2758" s="13" t="s">
        <v>1607</v>
      </c>
      <c r="Q2758" s="13" t="s">
        <v>1605</v>
      </c>
      <c r="R2758" s="13" t="s">
        <v>0</v>
      </c>
      <c r="S2758" s="13" t="s">
        <v>0</v>
      </c>
      <c r="T2758" s="13" t="s">
        <v>9</v>
      </c>
      <c r="U2758" s="13" t="s">
        <v>0</v>
      </c>
      <c r="V2758" s="13" t="s">
        <v>0</v>
      </c>
      <c r="W2758" s="13" t="s">
        <v>0</v>
      </c>
      <c r="X2758" s="13" t="s">
        <v>0</v>
      </c>
      <c r="Y2758" s="13" t="s">
        <v>10</v>
      </c>
      <c r="Z2758" s="13" t="s">
        <v>0</v>
      </c>
      <c r="AA2758" s="14"/>
      <c r="AB2758" s="13" t="s">
        <v>0</v>
      </c>
      <c r="AC2758" s="13" t="s">
        <v>0</v>
      </c>
      <c r="AD2758" s="13" t="s">
        <v>0</v>
      </c>
      <c r="AE2758" s="15">
        <v>0</v>
      </c>
    </row>
    <row r="2759" spans="1:31" ht="14.15" customHeight="1" x14ac:dyDescent="0.25">
      <c r="A2759" s="12" t="s">
        <v>0</v>
      </c>
      <c r="B2759" s="13" t="s">
        <v>1</v>
      </c>
      <c r="C2759" s="13" t="s">
        <v>3293</v>
      </c>
      <c r="D2759" s="14">
        <v>44314</v>
      </c>
      <c r="E2759" s="14">
        <v>44314</v>
      </c>
      <c r="F2759" s="14">
        <v>44319</v>
      </c>
      <c r="G2759" s="13" t="s">
        <v>3</v>
      </c>
      <c r="H2759" s="13" t="s">
        <v>4</v>
      </c>
      <c r="I2759" s="15">
        <v>-1667.5</v>
      </c>
      <c r="J2759" s="13" t="s">
        <v>5</v>
      </c>
      <c r="K2759" s="13" t="s">
        <v>6</v>
      </c>
      <c r="L2759" s="15">
        <v>-139986.63</v>
      </c>
      <c r="M2759" s="15">
        <v>-1667.5</v>
      </c>
      <c r="N2759" s="16" t="str">
        <f>IF(M2759="","",IF(M2759&lt;0,-M2759&amp;"_"&amp;COUNTIF(M$2:M2759,M2759),M2759&amp;"_"&amp;COUNTIF(M$2:M2759,M2759)))</f>
        <v>1667.5_1</v>
      </c>
      <c r="O2759" s="17" t="str">
        <f t="shared" si="43"/>
        <v/>
      </c>
      <c r="P2759" s="13" t="s">
        <v>3294</v>
      </c>
      <c r="Q2759" s="13" t="s">
        <v>3284</v>
      </c>
      <c r="R2759" s="13" t="s">
        <v>0</v>
      </c>
      <c r="S2759" s="13" t="s">
        <v>0</v>
      </c>
      <c r="T2759" s="13" t="s">
        <v>9</v>
      </c>
      <c r="U2759" s="13" t="s">
        <v>0</v>
      </c>
      <c r="V2759" s="13" t="s">
        <v>0</v>
      </c>
      <c r="W2759" s="13" t="s">
        <v>0</v>
      </c>
      <c r="X2759" s="13" t="s">
        <v>0</v>
      </c>
      <c r="Y2759" s="13" t="s">
        <v>10</v>
      </c>
      <c r="Z2759" s="13" t="s">
        <v>0</v>
      </c>
      <c r="AA2759" s="14"/>
      <c r="AB2759" s="13" t="s">
        <v>0</v>
      </c>
      <c r="AC2759" s="13" t="s">
        <v>0</v>
      </c>
      <c r="AD2759" s="13" t="s">
        <v>0</v>
      </c>
      <c r="AE2759" s="15">
        <v>0</v>
      </c>
    </row>
    <row r="2760" spans="1:31" ht="14.15" customHeight="1" x14ac:dyDescent="0.25">
      <c r="A2760" s="12" t="s">
        <v>0</v>
      </c>
      <c r="B2760" s="13" t="s">
        <v>454</v>
      </c>
      <c r="C2760" s="13" t="s">
        <v>3853</v>
      </c>
      <c r="D2760" s="14">
        <v>44350</v>
      </c>
      <c r="E2760" s="14">
        <v>44350</v>
      </c>
      <c r="F2760" s="14">
        <v>44366</v>
      </c>
      <c r="G2760" s="13" t="s">
        <v>3</v>
      </c>
      <c r="H2760" s="13" t="s">
        <v>4</v>
      </c>
      <c r="I2760" s="15">
        <v>-1665.81</v>
      </c>
      <c r="J2760" s="13" t="s">
        <v>5</v>
      </c>
      <c r="K2760" s="13" t="s">
        <v>6</v>
      </c>
      <c r="L2760" s="15">
        <v>-139844.75</v>
      </c>
      <c r="M2760" s="15">
        <v>-1665.81</v>
      </c>
      <c r="N2760" s="16" t="str">
        <f>IF(M2760="","",IF(M2760&lt;0,-M2760&amp;"_"&amp;COUNTIF(M$2:M2760,M2760),M2760&amp;"_"&amp;COUNTIF(M$2:M2760,M2760)))</f>
        <v>1665.81_1</v>
      </c>
      <c r="O2760" s="17" t="str">
        <f t="shared" si="43"/>
        <v/>
      </c>
      <c r="P2760" s="13" t="s">
        <v>3854</v>
      </c>
      <c r="Q2760" s="13" t="s">
        <v>3844</v>
      </c>
      <c r="R2760" s="13" t="s">
        <v>0</v>
      </c>
      <c r="S2760" s="13" t="s">
        <v>0</v>
      </c>
      <c r="T2760" s="13" t="s">
        <v>9</v>
      </c>
      <c r="U2760" s="13" t="s">
        <v>0</v>
      </c>
      <c r="V2760" s="13" t="s">
        <v>0</v>
      </c>
      <c r="W2760" s="13" t="s">
        <v>0</v>
      </c>
      <c r="X2760" s="13" t="s">
        <v>0</v>
      </c>
      <c r="Y2760" s="13" t="s">
        <v>10</v>
      </c>
      <c r="Z2760" s="13" t="s">
        <v>0</v>
      </c>
      <c r="AA2760" s="14"/>
      <c r="AB2760" s="13" t="s">
        <v>0</v>
      </c>
      <c r="AC2760" s="13" t="s">
        <v>0</v>
      </c>
      <c r="AD2760" s="13" t="s">
        <v>0</v>
      </c>
      <c r="AE2760" s="15">
        <v>0</v>
      </c>
    </row>
    <row r="2761" spans="1:31" ht="14.15" customHeight="1" x14ac:dyDescent="0.25">
      <c r="A2761" s="12" t="s">
        <v>0</v>
      </c>
      <c r="B2761" s="13" t="s">
        <v>1</v>
      </c>
      <c r="C2761" s="13" t="s">
        <v>1243</v>
      </c>
      <c r="D2761" s="14">
        <v>44143</v>
      </c>
      <c r="E2761" s="14">
        <v>44143</v>
      </c>
      <c r="F2761" s="14">
        <v>44146</v>
      </c>
      <c r="G2761" s="13" t="s">
        <v>3</v>
      </c>
      <c r="H2761" s="13" t="s">
        <v>4</v>
      </c>
      <c r="I2761" s="15">
        <v>-1664.19</v>
      </c>
      <c r="J2761" s="13" t="s">
        <v>5</v>
      </c>
      <c r="K2761" s="13" t="s">
        <v>6</v>
      </c>
      <c r="L2761" s="15">
        <v>-139708.75</v>
      </c>
      <c r="M2761" s="15">
        <v>-1664.19</v>
      </c>
      <c r="N2761" s="16" t="str">
        <f>IF(M2761="","",IF(M2761&lt;0,-M2761&amp;"_"&amp;COUNTIF(M$2:M2761,M2761),M2761&amp;"_"&amp;COUNTIF(M$2:M2761,M2761)))</f>
        <v>1664.19_1</v>
      </c>
      <c r="O2761" s="17" t="str">
        <f t="shared" si="43"/>
        <v/>
      </c>
      <c r="P2761" s="13" t="s">
        <v>1244</v>
      </c>
      <c r="Q2761" s="13" t="s">
        <v>1245</v>
      </c>
      <c r="R2761" s="13" t="s">
        <v>0</v>
      </c>
      <c r="S2761" s="13" t="s">
        <v>0</v>
      </c>
      <c r="T2761" s="13" t="s">
        <v>9</v>
      </c>
      <c r="U2761" s="13" t="s">
        <v>0</v>
      </c>
      <c r="V2761" s="13" t="s">
        <v>0</v>
      </c>
      <c r="W2761" s="13" t="s">
        <v>0</v>
      </c>
      <c r="X2761" s="13" t="s">
        <v>0</v>
      </c>
      <c r="Y2761" s="13" t="s">
        <v>10</v>
      </c>
      <c r="Z2761" s="13" t="s">
        <v>0</v>
      </c>
      <c r="AA2761" s="14"/>
      <c r="AB2761" s="13" t="s">
        <v>0</v>
      </c>
      <c r="AC2761" s="13" t="s">
        <v>0</v>
      </c>
      <c r="AD2761" s="13" t="s">
        <v>0</v>
      </c>
      <c r="AE2761" s="15">
        <v>0</v>
      </c>
    </row>
    <row r="2762" spans="1:31" ht="14.15" customHeight="1" x14ac:dyDescent="0.25">
      <c r="A2762" s="12" t="s">
        <v>0</v>
      </c>
      <c r="B2762" s="13" t="s">
        <v>1</v>
      </c>
      <c r="C2762" s="13" t="s">
        <v>1473</v>
      </c>
      <c r="D2762" s="14">
        <v>44160</v>
      </c>
      <c r="E2762" s="14">
        <v>44160</v>
      </c>
      <c r="F2762" s="14">
        <v>44163</v>
      </c>
      <c r="G2762" s="13" t="s">
        <v>3</v>
      </c>
      <c r="H2762" s="13" t="s">
        <v>4</v>
      </c>
      <c r="I2762" s="15">
        <v>-1660.76</v>
      </c>
      <c r="J2762" s="13" t="s">
        <v>5</v>
      </c>
      <c r="K2762" s="13" t="s">
        <v>6</v>
      </c>
      <c r="L2762" s="15">
        <v>-139420.79999999999</v>
      </c>
      <c r="M2762" s="15">
        <v>-1660.76</v>
      </c>
      <c r="N2762" s="16" t="str">
        <f>IF(M2762="","",IF(M2762&lt;0,-M2762&amp;"_"&amp;COUNTIF(M$2:M2762,M2762),M2762&amp;"_"&amp;COUNTIF(M$2:M2762,M2762)))</f>
        <v>1660.76_1</v>
      </c>
      <c r="O2762" s="17" t="str">
        <f t="shared" si="43"/>
        <v/>
      </c>
      <c r="P2762" s="13" t="s">
        <v>1474</v>
      </c>
      <c r="Q2762" s="13" t="s">
        <v>1470</v>
      </c>
      <c r="R2762" s="13" t="s">
        <v>0</v>
      </c>
      <c r="S2762" s="13" t="s">
        <v>0</v>
      </c>
      <c r="T2762" s="13" t="s">
        <v>9</v>
      </c>
      <c r="U2762" s="13" t="s">
        <v>0</v>
      </c>
      <c r="V2762" s="13" t="s">
        <v>0</v>
      </c>
      <c r="W2762" s="13" t="s">
        <v>0</v>
      </c>
      <c r="X2762" s="13" t="s">
        <v>0</v>
      </c>
      <c r="Y2762" s="13" t="s">
        <v>10</v>
      </c>
      <c r="Z2762" s="13" t="s">
        <v>0</v>
      </c>
      <c r="AA2762" s="14"/>
      <c r="AB2762" s="13" t="s">
        <v>0</v>
      </c>
      <c r="AC2762" s="13" t="s">
        <v>0</v>
      </c>
      <c r="AD2762" s="13" t="s">
        <v>0</v>
      </c>
      <c r="AE2762" s="15">
        <v>0</v>
      </c>
    </row>
    <row r="2763" spans="1:31" ht="14.15" customHeight="1" x14ac:dyDescent="0.25">
      <c r="A2763" s="12" t="s">
        <v>0</v>
      </c>
      <c r="B2763" s="13" t="s">
        <v>1</v>
      </c>
      <c r="C2763" s="13" t="s">
        <v>1746</v>
      </c>
      <c r="D2763" s="14">
        <v>44178</v>
      </c>
      <c r="E2763" s="14">
        <v>44178</v>
      </c>
      <c r="F2763" s="14">
        <v>44188</v>
      </c>
      <c r="G2763" s="13" t="s">
        <v>3</v>
      </c>
      <c r="H2763" s="13" t="s">
        <v>4</v>
      </c>
      <c r="I2763" s="15">
        <v>-1646.6</v>
      </c>
      <c r="J2763" s="13" t="s">
        <v>5</v>
      </c>
      <c r="K2763" s="13" t="s">
        <v>6</v>
      </c>
      <c r="L2763" s="15">
        <v>-138232.07</v>
      </c>
      <c r="M2763" s="15">
        <v>-1646.6</v>
      </c>
      <c r="N2763" s="16" t="str">
        <f>IF(M2763="","",IF(M2763&lt;0,-M2763&amp;"_"&amp;COUNTIF(M$2:M2763,M2763),M2763&amp;"_"&amp;COUNTIF(M$2:M2763,M2763)))</f>
        <v>1646.6_1</v>
      </c>
      <c r="O2763" s="17" t="str">
        <f t="shared" si="43"/>
        <v/>
      </c>
      <c r="P2763" s="13" t="s">
        <v>1747</v>
      </c>
      <c r="Q2763" s="13" t="s">
        <v>1739</v>
      </c>
      <c r="R2763" s="13" t="s">
        <v>0</v>
      </c>
      <c r="S2763" s="13" t="s">
        <v>0</v>
      </c>
      <c r="T2763" s="13" t="s">
        <v>9</v>
      </c>
      <c r="U2763" s="13" t="s">
        <v>0</v>
      </c>
      <c r="V2763" s="13" t="s">
        <v>0</v>
      </c>
      <c r="W2763" s="13" t="s">
        <v>0</v>
      </c>
      <c r="X2763" s="13" t="s">
        <v>0</v>
      </c>
      <c r="Y2763" s="13" t="s">
        <v>10</v>
      </c>
      <c r="Z2763" s="13" t="s">
        <v>0</v>
      </c>
      <c r="AA2763" s="14"/>
      <c r="AB2763" s="13" t="s">
        <v>0</v>
      </c>
      <c r="AC2763" s="13" t="s">
        <v>0</v>
      </c>
      <c r="AD2763" s="13" t="s">
        <v>0</v>
      </c>
      <c r="AE2763" s="15">
        <v>0</v>
      </c>
    </row>
    <row r="2764" spans="1:31" ht="14.15" customHeight="1" x14ac:dyDescent="0.25">
      <c r="A2764" s="12" t="s">
        <v>0</v>
      </c>
      <c r="B2764" s="13" t="s">
        <v>1</v>
      </c>
      <c r="C2764" s="13" t="s">
        <v>1748</v>
      </c>
      <c r="D2764" s="14">
        <v>44178</v>
      </c>
      <c r="E2764" s="14">
        <v>44178</v>
      </c>
      <c r="F2764" s="14">
        <v>44188</v>
      </c>
      <c r="G2764" s="13" t="s">
        <v>3</v>
      </c>
      <c r="H2764" s="13" t="s">
        <v>4</v>
      </c>
      <c r="I2764" s="15">
        <v>-1646.6</v>
      </c>
      <c r="J2764" s="13" t="s">
        <v>5</v>
      </c>
      <c r="K2764" s="13" t="s">
        <v>6</v>
      </c>
      <c r="L2764" s="15">
        <v>-138232.07</v>
      </c>
      <c r="M2764" s="15">
        <v>-1646.6</v>
      </c>
      <c r="N2764" s="16" t="str">
        <f>IF(M2764="","",IF(M2764&lt;0,-M2764&amp;"_"&amp;COUNTIF(M$2:M2764,M2764),M2764&amp;"_"&amp;COUNTIF(M$2:M2764,M2764)))</f>
        <v>1646.6_2</v>
      </c>
      <c r="O2764" s="17" t="str">
        <f t="shared" si="43"/>
        <v/>
      </c>
      <c r="P2764" s="13" t="s">
        <v>1749</v>
      </c>
      <c r="Q2764" s="13" t="s">
        <v>1739</v>
      </c>
      <c r="R2764" s="13" t="s">
        <v>0</v>
      </c>
      <c r="S2764" s="13" t="s">
        <v>0</v>
      </c>
      <c r="T2764" s="13" t="s">
        <v>9</v>
      </c>
      <c r="U2764" s="13" t="s">
        <v>0</v>
      </c>
      <c r="V2764" s="13" t="s">
        <v>0</v>
      </c>
      <c r="W2764" s="13" t="s">
        <v>0</v>
      </c>
      <c r="X2764" s="13" t="s">
        <v>0</v>
      </c>
      <c r="Y2764" s="13" t="s">
        <v>10</v>
      </c>
      <c r="Z2764" s="13" t="s">
        <v>0</v>
      </c>
      <c r="AA2764" s="14"/>
      <c r="AB2764" s="13" t="s">
        <v>0</v>
      </c>
      <c r="AC2764" s="13" t="s">
        <v>0</v>
      </c>
      <c r="AD2764" s="13" t="s">
        <v>0</v>
      </c>
      <c r="AE2764" s="15">
        <v>0</v>
      </c>
    </row>
    <row r="2765" spans="1:31" ht="14.15" customHeight="1" x14ac:dyDescent="0.25">
      <c r="A2765" s="12" t="s">
        <v>0</v>
      </c>
      <c r="B2765" s="13" t="s">
        <v>1</v>
      </c>
      <c r="C2765" s="13" t="s">
        <v>188</v>
      </c>
      <c r="D2765" s="14">
        <v>44034</v>
      </c>
      <c r="E2765" s="14">
        <v>44034</v>
      </c>
      <c r="F2765" s="14">
        <v>44040</v>
      </c>
      <c r="G2765" s="13" t="s">
        <v>3</v>
      </c>
      <c r="H2765" s="13" t="s">
        <v>4</v>
      </c>
      <c r="I2765" s="15">
        <v>-1639.95</v>
      </c>
      <c r="J2765" s="13" t="s">
        <v>5</v>
      </c>
      <c r="K2765" s="13" t="s">
        <v>6</v>
      </c>
      <c r="L2765" s="15">
        <v>-137673.79999999999</v>
      </c>
      <c r="M2765" s="15">
        <v>-1639.95</v>
      </c>
      <c r="N2765" s="16" t="str">
        <f>IF(M2765="","",IF(M2765&lt;0,-M2765&amp;"_"&amp;COUNTIF(M$2:M2765,M2765),M2765&amp;"_"&amp;COUNTIF(M$2:M2765,M2765)))</f>
        <v>1639.95_1</v>
      </c>
      <c r="O2765" s="17" t="str">
        <f t="shared" si="43"/>
        <v/>
      </c>
      <c r="P2765" s="13" t="s">
        <v>189</v>
      </c>
      <c r="Q2765" s="13" t="s">
        <v>175</v>
      </c>
      <c r="R2765" s="13" t="s">
        <v>0</v>
      </c>
      <c r="S2765" s="13" t="s">
        <v>0</v>
      </c>
      <c r="T2765" s="13" t="s">
        <v>9</v>
      </c>
      <c r="U2765" s="13" t="s">
        <v>0</v>
      </c>
      <c r="V2765" s="13" t="s">
        <v>0</v>
      </c>
      <c r="W2765" s="13" t="s">
        <v>0</v>
      </c>
      <c r="X2765" s="13" t="s">
        <v>0</v>
      </c>
      <c r="Y2765" s="13" t="s">
        <v>10</v>
      </c>
      <c r="Z2765" s="13" t="s">
        <v>0</v>
      </c>
      <c r="AA2765" s="14"/>
      <c r="AB2765" s="13" t="s">
        <v>0</v>
      </c>
      <c r="AC2765" s="13" t="s">
        <v>0</v>
      </c>
      <c r="AD2765" s="13" t="s">
        <v>0</v>
      </c>
      <c r="AE2765" s="15">
        <v>0</v>
      </c>
    </row>
    <row r="2766" spans="1:31" ht="14.15" customHeight="1" x14ac:dyDescent="0.25">
      <c r="A2766" s="12" t="s">
        <v>0</v>
      </c>
      <c r="B2766" s="13" t="s">
        <v>289</v>
      </c>
      <c r="C2766" s="13" t="s">
        <v>546</v>
      </c>
      <c r="D2766" s="14">
        <v>44074</v>
      </c>
      <c r="E2766" s="14">
        <v>44074</v>
      </c>
      <c r="F2766" s="14">
        <v>44082</v>
      </c>
      <c r="G2766" s="13" t="s">
        <v>48</v>
      </c>
      <c r="H2766" s="13" t="s">
        <v>4</v>
      </c>
      <c r="I2766" s="15">
        <v>-1639.31</v>
      </c>
      <c r="J2766" s="13" t="s">
        <v>5</v>
      </c>
      <c r="K2766" s="13" t="s">
        <v>6</v>
      </c>
      <c r="L2766" s="15">
        <v>-137620.07</v>
      </c>
      <c r="M2766" s="15">
        <v>-1639.31</v>
      </c>
      <c r="N2766" s="16" t="str">
        <f>IF(M2766="","",IF(M2766&lt;0,-M2766&amp;"_"&amp;COUNTIF(M$2:M2766,M2766),M2766&amp;"_"&amp;COUNTIF(M$2:M2766,M2766)))</f>
        <v>1639.31_1</v>
      </c>
      <c r="O2766" s="17" t="str">
        <f t="shared" si="43"/>
        <v/>
      </c>
      <c r="P2766" s="13" t="s">
        <v>547</v>
      </c>
      <c r="Q2766" s="13" t="s">
        <v>547</v>
      </c>
      <c r="R2766" s="13" t="s">
        <v>294</v>
      </c>
      <c r="S2766" s="13" t="s">
        <v>0</v>
      </c>
      <c r="T2766" s="13" t="s">
        <v>9</v>
      </c>
      <c r="U2766" s="13" t="s">
        <v>295</v>
      </c>
      <c r="V2766" s="13" t="s">
        <v>0</v>
      </c>
      <c r="W2766" s="13" t="s">
        <v>0</v>
      </c>
      <c r="X2766" s="13" t="s">
        <v>0</v>
      </c>
      <c r="Y2766" s="13" t="s">
        <v>291</v>
      </c>
      <c r="Z2766" s="13" t="s">
        <v>0</v>
      </c>
      <c r="AA2766" s="14"/>
      <c r="AB2766" s="13" t="s">
        <v>0</v>
      </c>
      <c r="AC2766" s="13" t="s">
        <v>0</v>
      </c>
      <c r="AD2766" s="13" t="s">
        <v>0</v>
      </c>
      <c r="AE2766" s="15">
        <v>0</v>
      </c>
    </row>
    <row r="2767" spans="1:31" ht="14.15" customHeight="1" x14ac:dyDescent="0.25">
      <c r="A2767" s="12" t="s">
        <v>0</v>
      </c>
      <c r="B2767" s="13" t="s">
        <v>1</v>
      </c>
      <c r="C2767" s="13" t="s">
        <v>3541</v>
      </c>
      <c r="D2767" s="14">
        <v>44324</v>
      </c>
      <c r="E2767" s="14">
        <v>44324</v>
      </c>
      <c r="F2767" s="14">
        <v>44340</v>
      </c>
      <c r="G2767" s="13" t="s">
        <v>3</v>
      </c>
      <c r="H2767" s="13" t="s">
        <v>4</v>
      </c>
      <c r="I2767" s="15">
        <v>-1636.49</v>
      </c>
      <c r="J2767" s="13" t="s">
        <v>5</v>
      </c>
      <c r="K2767" s="13" t="s">
        <v>6</v>
      </c>
      <c r="L2767" s="15">
        <v>-137383.32999999999</v>
      </c>
      <c r="M2767" s="15">
        <v>-1636.49</v>
      </c>
      <c r="N2767" s="16" t="str">
        <f>IF(M2767="","",IF(M2767&lt;0,-M2767&amp;"_"&amp;COUNTIF(M$2:M2767,M2767),M2767&amp;"_"&amp;COUNTIF(M$2:M2767,M2767)))</f>
        <v>1636.49_1</v>
      </c>
      <c r="O2767" s="17" t="str">
        <f t="shared" si="43"/>
        <v/>
      </c>
      <c r="P2767" s="13" t="s">
        <v>3542</v>
      </c>
      <c r="Q2767" s="13" t="s">
        <v>3512</v>
      </c>
      <c r="R2767" s="13" t="s">
        <v>0</v>
      </c>
      <c r="S2767" s="13" t="s">
        <v>0</v>
      </c>
      <c r="T2767" s="13" t="s">
        <v>9</v>
      </c>
      <c r="U2767" s="13" t="s">
        <v>0</v>
      </c>
      <c r="V2767" s="13" t="s">
        <v>0</v>
      </c>
      <c r="W2767" s="13" t="s">
        <v>0</v>
      </c>
      <c r="X2767" s="13" t="s">
        <v>0</v>
      </c>
      <c r="Y2767" s="13" t="s">
        <v>10</v>
      </c>
      <c r="Z2767" s="13" t="s">
        <v>0</v>
      </c>
      <c r="AA2767" s="14"/>
      <c r="AB2767" s="13" t="s">
        <v>0</v>
      </c>
      <c r="AC2767" s="13" t="s">
        <v>0</v>
      </c>
      <c r="AD2767" s="13" t="s">
        <v>0</v>
      </c>
      <c r="AE2767" s="15">
        <v>0</v>
      </c>
    </row>
    <row r="2768" spans="1:31" ht="14.15" customHeight="1" x14ac:dyDescent="0.25">
      <c r="A2768" s="12" t="s">
        <v>0</v>
      </c>
      <c r="B2768" s="13" t="s">
        <v>1</v>
      </c>
      <c r="C2768" s="13" t="s">
        <v>2172</v>
      </c>
      <c r="D2768" s="14">
        <v>44209</v>
      </c>
      <c r="E2768" s="14">
        <v>44209</v>
      </c>
      <c r="F2768" s="14">
        <v>44228</v>
      </c>
      <c r="G2768" s="13" t="s">
        <v>3</v>
      </c>
      <c r="H2768" s="13" t="s">
        <v>4</v>
      </c>
      <c r="I2768" s="15">
        <v>-1635.11</v>
      </c>
      <c r="J2768" s="13" t="s">
        <v>5</v>
      </c>
      <c r="K2768" s="13" t="s">
        <v>6</v>
      </c>
      <c r="L2768" s="15">
        <v>-137267.48000000001</v>
      </c>
      <c r="M2768" s="15">
        <v>-1635.11</v>
      </c>
      <c r="N2768" s="16" t="str">
        <f>IF(M2768="","",IF(M2768&lt;0,-M2768&amp;"_"&amp;COUNTIF(M$2:M2768,M2768),M2768&amp;"_"&amp;COUNTIF(M$2:M2768,M2768)))</f>
        <v>1635.11_1</v>
      </c>
      <c r="O2768" s="17" t="str">
        <f t="shared" si="43"/>
        <v/>
      </c>
      <c r="P2768" s="13" t="s">
        <v>2173</v>
      </c>
      <c r="Q2768" s="13" t="s">
        <v>2159</v>
      </c>
      <c r="R2768" s="13" t="s">
        <v>0</v>
      </c>
      <c r="S2768" s="13" t="s">
        <v>0</v>
      </c>
      <c r="T2768" s="13" t="s">
        <v>9</v>
      </c>
      <c r="U2768" s="13" t="s">
        <v>0</v>
      </c>
      <c r="V2768" s="13" t="s">
        <v>0</v>
      </c>
      <c r="W2768" s="13" t="s">
        <v>0</v>
      </c>
      <c r="X2768" s="13" t="s">
        <v>0</v>
      </c>
      <c r="Y2768" s="13" t="s">
        <v>10</v>
      </c>
      <c r="Z2768" s="13" t="s">
        <v>0</v>
      </c>
      <c r="AA2768" s="14"/>
      <c r="AB2768" s="13" t="s">
        <v>0</v>
      </c>
      <c r="AC2768" s="13" t="s">
        <v>0</v>
      </c>
      <c r="AD2768" s="13" t="s">
        <v>0</v>
      </c>
      <c r="AE2768" s="15">
        <v>0</v>
      </c>
    </row>
    <row r="2769" spans="1:31" ht="14.15" customHeight="1" x14ac:dyDescent="0.25">
      <c r="A2769" s="12" t="s">
        <v>0</v>
      </c>
      <c r="B2769" s="13" t="s">
        <v>1</v>
      </c>
      <c r="C2769" s="13" t="s">
        <v>2875</v>
      </c>
      <c r="D2769" s="14">
        <v>44274</v>
      </c>
      <c r="E2769" s="14">
        <v>44274</v>
      </c>
      <c r="F2769" s="14">
        <v>44279</v>
      </c>
      <c r="G2769" s="13" t="s">
        <v>3</v>
      </c>
      <c r="H2769" s="13" t="s">
        <v>4</v>
      </c>
      <c r="I2769" s="15">
        <v>-1634.4</v>
      </c>
      <c r="J2769" s="13" t="s">
        <v>5</v>
      </c>
      <c r="K2769" s="13" t="s">
        <v>6</v>
      </c>
      <c r="L2769" s="15">
        <v>-137207.88</v>
      </c>
      <c r="M2769" s="15">
        <v>-1634.4</v>
      </c>
      <c r="N2769" s="16" t="str">
        <f>IF(M2769="","",IF(M2769&lt;0,-M2769&amp;"_"&amp;COUNTIF(M$2:M2769,M2769),M2769&amp;"_"&amp;COUNTIF(M$2:M2769,M2769)))</f>
        <v>1634.4_1</v>
      </c>
      <c r="O2769" s="17" t="str">
        <f t="shared" si="43"/>
        <v/>
      </c>
      <c r="P2769" s="13" t="s">
        <v>2876</v>
      </c>
      <c r="Q2769" s="13" t="s">
        <v>2874</v>
      </c>
      <c r="R2769" s="13" t="s">
        <v>0</v>
      </c>
      <c r="S2769" s="13" t="s">
        <v>0</v>
      </c>
      <c r="T2769" s="13" t="s">
        <v>9</v>
      </c>
      <c r="U2769" s="13" t="s">
        <v>0</v>
      </c>
      <c r="V2769" s="13" t="s">
        <v>0</v>
      </c>
      <c r="W2769" s="13" t="s">
        <v>0</v>
      </c>
      <c r="X2769" s="13" t="s">
        <v>0</v>
      </c>
      <c r="Y2769" s="13" t="s">
        <v>10</v>
      </c>
      <c r="Z2769" s="13" t="s">
        <v>0</v>
      </c>
      <c r="AA2769" s="14"/>
      <c r="AB2769" s="13" t="s">
        <v>0</v>
      </c>
      <c r="AC2769" s="13" t="s">
        <v>0</v>
      </c>
      <c r="AD2769" s="13" t="s">
        <v>0</v>
      </c>
      <c r="AE2769" s="15">
        <v>0</v>
      </c>
    </row>
    <row r="2770" spans="1:31" ht="14.15" customHeight="1" x14ac:dyDescent="0.25">
      <c r="A2770" s="12" t="s">
        <v>0</v>
      </c>
      <c r="B2770" s="13" t="s">
        <v>1</v>
      </c>
      <c r="C2770" s="13" t="s">
        <v>2450</v>
      </c>
      <c r="D2770" s="14">
        <v>44231</v>
      </c>
      <c r="E2770" s="14">
        <v>44231</v>
      </c>
      <c r="F2770" s="14">
        <v>44237</v>
      </c>
      <c r="G2770" s="13" t="s">
        <v>3</v>
      </c>
      <c r="H2770" s="13" t="s">
        <v>4</v>
      </c>
      <c r="I2770" s="15">
        <v>-1629.85</v>
      </c>
      <c r="J2770" s="13" t="s">
        <v>5</v>
      </c>
      <c r="K2770" s="13" t="s">
        <v>6</v>
      </c>
      <c r="L2770" s="15">
        <v>-136825.91</v>
      </c>
      <c r="M2770" s="15">
        <v>-1629.85</v>
      </c>
      <c r="N2770" s="16" t="str">
        <f>IF(M2770="","",IF(M2770&lt;0,-M2770&amp;"_"&amp;COUNTIF(M$2:M2770,M2770),M2770&amp;"_"&amp;COUNTIF(M$2:M2770,M2770)))</f>
        <v>1629.85_1</v>
      </c>
      <c r="O2770" s="17" t="str">
        <f t="shared" si="43"/>
        <v/>
      </c>
      <c r="P2770" s="13" t="s">
        <v>2451</v>
      </c>
      <c r="Q2770" s="13" t="s">
        <v>2427</v>
      </c>
      <c r="R2770" s="13" t="s">
        <v>0</v>
      </c>
      <c r="S2770" s="13" t="s">
        <v>0</v>
      </c>
      <c r="T2770" s="13" t="s">
        <v>9</v>
      </c>
      <c r="U2770" s="13" t="s">
        <v>0</v>
      </c>
      <c r="V2770" s="13" t="s">
        <v>0</v>
      </c>
      <c r="W2770" s="13" t="s">
        <v>0</v>
      </c>
      <c r="X2770" s="13" t="s">
        <v>0</v>
      </c>
      <c r="Y2770" s="13" t="s">
        <v>10</v>
      </c>
      <c r="Z2770" s="13" t="s">
        <v>0</v>
      </c>
      <c r="AA2770" s="14"/>
      <c r="AB2770" s="13" t="s">
        <v>0</v>
      </c>
      <c r="AC2770" s="13" t="s">
        <v>0</v>
      </c>
      <c r="AD2770" s="13" t="s">
        <v>0</v>
      </c>
      <c r="AE2770" s="15">
        <v>0</v>
      </c>
    </row>
    <row r="2771" spans="1:31" ht="14.15" customHeight="1" x14ac:dyDescent="0.25">
      <c r="A2771" s="12" t="s">
        <v>0</v>
      </c>
      <c r="B2771" s="13" t="s">
        <v>1</v>
      </c>
      <c r="C2771" s="13" t="s">
        <v>2313</v>
      </c>
      <c r="D2771" s="14">
        <v>44219</v>
      </c>
      <c r="E2771" s="14">
        <v>44219</v>
      </c>
      <c r="F2771" s="14">
        <v>44228</v>
      </c>
      <c r="G2771" s="13" t="s">
        <v>3</v>
      </c>
      <c r="H2771" s="13" t="s">
        <v>4</v>
      </c>
      <c r="I2771" s="15">
        <v>-1628.81</v>
      </c>
      <c r="J2771" s="13" t="s">
        <v>5</v>
      </c>
      <c r="K2771" s="13" t="s">
        <v>6</v>
      </c>
      <c r="L2771" s="15">
        <v>-136738.6</v>
      </c>
      <c r="M2771" s="15">
        <v>-1628.81</v>
      </c>
      <c r="N2771" s="16" t="str">
        <f>IF(M2771="","",IF(M2771&lt;0,-M2771&amp;"_"&amp;COUNTIF(M$2:M2771,M2771),M2771&amp;"_"&amp;COUNTIF(M$2:M2771,M2771)))</f>
        <v>1628.81_1</v>
      </c>
      <c r="O2771" s="17" t="str">
        <f t="shared" si="43"/>
        <v/>
      </c>
      <c r="P2771" s="13" t="s">
        <v>2314</v>
      </c>
      <c r="Q2771" s="13" t="s">
        <v>2282</v>
      </c>
      <c r="R2771" s="13" t="s">
        <v>0</v>
      </c>
      <c r="S2771" s="13" t="s">
        <v>0</v>
      </c>
      <c r="T2771" s="13" t="s">
        <v>9</v>
      </c>
      <c r="U2771" s="13" t="s">
        <v>0</v>
      </c>
      <c r="V2771" s="13" t="s">
        <v>0</v>
      </c>
      <c r="W2771" s="13" t="s">
        <v>0</v>
      </c>
      <c r="X2771" s="13" t="s">
        <v>0</v>
      </c>
      <c r="Y2771" s="13" t="s">
        <v>10</v>
      </c>
      <c r="Z2771" s="13" t="s">
        <v>0</v>
      </c>
      <c r="AA2771" s="14"/>
      <c r="AB2771" s="13" t="s">
        <v>0</v>
      </c>
      <c r="AC2771" s="13" t="s">
        <v>0</v>
      </c>
      <c r="AD2771" s="13" t="s">
        <v>0</v>
      </c>
      <c r="AE2771" s="15">
        <v>0</v>
      </c>
    </row>
    <row r="2772" spans="1:31" ht="14.15" customHeight="1" x14ac:dyDescent="0.25">
      <c r="A2772" s="12" t="s">
        <v>0</v>
      </c>
      <c r="B2772" s="13" t="s">
        <v>1</v>
      </c>
      <c r="C2772" s="13" t="s">
        <v>2877</v>
      </c>
      <c r="D2772" s="14">
        <v>44274</v>
      </c>
      <c r="E2772" s="14">
        <v>44274</v>
      </c>
      <c r="F2772" s="14">
        <v>44287</v>
      </c>
      <c r="G2772" s="13" t="s">
        <v>3</v>
      </c>
      <c r="H2772" s="13" t="s">
        <v>4</v>
      </c>
      <c r="I2772" s="15">
        <v>-1617.16</v>
      </c>
      <c r="J2772" s="13" t="s">
        <v>5</v>
      </c>
      <c r="K2772" s="13" t="s">
        <v>6</v>
      </c>
      <c r="L2772" s="15">
        <v>-135760.57999999999</v>
      </c>
      <c r="M2772" s="15">
        <v>-1617.16</v>
      </c>
      <c r="N2772" s="16" t="str">
        <f>IF(M2772="","",IF(M2772&lt;0,-M2772&amp;"_"&amp;COUNTIF(M$2:M2772,M2772),M2772&amp;"_"&amp;COUNTIF(M$2:M2772,M2772)))</f>
        <v>1617.16_1</v>
      </c>
      <c r="O2772" s="17" t="str">
        <f t="shared" si="43"/>
        <v/>
      </c>
      <c r="P2772" s="13" t="s">
        <v>2878</v>
      </c>
      <c r="Q2772" s="13" t="s">
        <v>2874</v>
      </c>
      <c r="R2772" s="13" t="s">
        <v>0</v>
      </c>
      <c r="S2772" s="13" t="s">
        <v>0</v>
      </c>
      <c r="T2772" s="13" t="s">
        <v>9</v>
      </c>
      <c r="U2772" s="13" t="s">
        <v>0</v>
      </c>
      <c r="V2772" s="13" t="s">
        <v>0</v>
      </c>
      <c r="W2772" s="13" t="s">
        <v>0</v>
      </c>
      <c r="X2772" s="13" t="s">
        <v>0</v>
      </c>
      <c r="Y2772" s="13" t="s">
        <v>10</v>
      </c>
      <c r="Z2772" s="13" t="s">
        <v>0</v>
      </c>
      <c r="AA2772" s="14"/>
      <c r="AB2772" s="13" t="s">
        <v>0</v>
      </c>
      <c r="AC2772" s="13" t="s">
        <v>0</v>
      </c>
      <c r="AD2772" s="13" t="s">
        <v>0</v>
      </c>
      <c r="AE2772" s="15">
        <v>0</v>
      </c>
    </row>
    <row r="2773" spans="1:31" ht="14.15" customHeight="1" x14ac:dyDescent="0.25">
      <c r="A2773" s="12" t="s">
        <v>0</v>
      </c>
      <c r="B2773" s="13" t="s">
        <v>1</v>
      </c>
      <c r="C2773" s="13" t="s">
        <v>2340</v>
      </c>
      <c r="D2773" s="14">
        <v>44223</v>
      </c>
      <c r="E2773" s="14">
        <v>44223</v>
      </c>
      <c r="F2773" s="14">
        <v>44231</v>
      </c>
      <c r="G2773" s="13" t="s">
        <v>3</v>
      </c>
      <c r="H2773" s="13" t="s">
        <v>4</v>
      </c>
      <c r="I2773" s="15">
        <v>-1604.44</v>
      </c>
      <c r="J2773" s="13" t="s">
        <v>5</v>
      </c>
      <c r="K2773" s="13" t="s">
        <v>6</v>
      </c>
      <c r="L2773" s="15">
        <v>-134692.74</v>
      </c>
      <c r="M2773" s="15">
        <v>-1604.44</v>
      </c>
      <c r="N2773" s="16" t="str">
        <f>IF(M2773="","",IF(M2773&lt;0,-M2773&amp;"_"&amp;COUNTIF(M$2:M2773,M2773),M2773&amp;"_"&amp;COUNTIF(M$2:M2773,M2773)))</f>
        <v>1604.44_1</v>
      </c>
      <c r="O2773" s="17" t="str">
        <f t="shared" si="43"/>
        <v/>
      </c>
      <c r="P2773" s="13" t="s">
        <v>2341</v>
      </c>
      <c r="Q2773" s="13" t="s">
        <v>2342</v>
      </c>
      <c r="R2773" s="13" t="s">
        <v>0</v>
      </c>
      <c r="S2773" s="13" t="s">
        <v>0</v>
      </c>
      <c r="T2773" s="13" t="s">
        <v>9</v>
      </c>
      <c r="U2773" s="13" t="s">
        <v>0</v>
      </c>
      <c r="V2773" s="13" t="s">
        <v>0</v>
      </c>
      <c r="W2773" s="13" t="s">
        <v>0</v>
      </c>
      <c r="X2773" s="13" t="s">
        <v>0</v>
      </c>
      <c r="Y2773" s="13" t="s">
        <v>10</v>
      </c>
      <c r="Z2773" s="13" t="s">
        <v>0</v>
      </c>
      <c r="AA2773" s="14"/>
      <c r="AB2773" s="13" t="s">
        <v>0</v>
      </c>
      <c r="AC2773" s="13" t="s">
        <v>0</v>
      </c>
      <c r="AD2773" s="13" t="s">
        <v>0</v>
      </c>
      <c r="AE2773" s="15">
        <v>0</v>
      </c>
    </row>
    <row r="2774" spans="1:31" ht="14.15" customHeight="1" x14ac:dyDescent="0.25">
      <c r="A2774" s="12" t="s">
        <v>0</v>
      </c>
      <c r="B2774" s="13" t="s">
        <v>1</v>
      </c>
      <c r="C2774" s="13" t="s">
        <v>1058</v>
      </c>
      <c r="D2774" s="14">
        <v>44132</v>
      </c>
      <c r="E2774" s="14">
        <v>44132</v>
      </c>
      <c r="F2774" s="14">
        <v>44137</v>
      </c>
      <c r="G2774" s="13" t="s">
        <v>3</v>
      </c>
      <c r="H2774" s="13" t="s">
        <v>4</v>
      </c>
      <c r="I2774" s="15">
        <v>-1596.96</v>
      </c>
      <c r="J2774" s="13" t="s">
        <v>5</v>
      </c>
      <c r="K2774" s="13" t="s">
        <v>6</v>
      </c>
      <c r="L2774" s="15">
        <v>-134064.79</v>
      </c>
      <c r="M2774" s="15">
        <v>-1596.96</v>
      </c>
      <c r="N2774" s="16" t="str">
        <f>IF(M2774="","",IF(M2774&lt;0,-M2774&amp;"_"&amp;COUNTIF(M$2:M2774,M2774),M2774&amp;"_"&amp;COUNTIF(M$2:M2774,M2774)))</f>
        <v>1596.96_1</v>
      </c>
      <c r="O2774" s="17" t="str">
        <f t="shared" si="43"/>
        <v/>
      </c>
      <c r="P2774" s="13" t="s">
        <v>1059</v>
      </c>
      <c r="Q2774" s="13" t="s">
        <v>1060</v>
      </c>
      <c r="R2774" s="13" t="s">
        <v>0</v>
      </c>
      <c r="S2774" s="13" t="s">
        <v>0</v>
      </c>
      <c r="T2774" s="13" t="s">
        <v>9</v>
      </c>
      <c r="U2774" s="13" t="s">
        <v>0</v>
      </c>
      <c r="V2774" s="13" t="s">
        <v>0</v>
      </c>
      <c r="W2774" s="13" t="s">
        <v>0</v>
      </c>
      <c r="X2774" s="13" t="s">
        <v>0</v>
      </c>
      <c r="Y2774" s="13" t="s">
        <v>10</v>
      </c>
      <c r="Z2774" s="13" t="s">
        <v>0</v>
      </c>
      <c r="AA2774" s="14"/>
      <c r="AB2774" s="13" t="s">
        <v>0</v>
      </c>
      <c r="AC2774" s="13" t="s">
        <v>0</v>
      </c>
      <c r="AD2774" s="13" t="s">
        <v>0</v>
      </c>
      <c r="AE2774" s="15">
        <v>0</v>
      </c>
    </row>
    <row r="2775" spans="1:31" ht="14.15" customHeight="1" x14ac:dyDescent="0.25">
      <c r="A2775" s="12" t="s">
        <v>0</v>
      </c>
      <c r="B2775" s="13" t="s">
        <v>1</v>
      </c>
      <c r="C2775" s="13" t="s">
        <v>4027</v>
      </c>
      <c r="D2775" s="14">
        <v>44358</v>
      </c>
      <c r="E2775" s="14">
        <v>44358</v>
      </c>
      <c r="F2775" s="14">
        <v>44363</v>
      </c>
      <c r="G2775" s="13" t="s">
        <v>3</v>
      </c>
      <c r="H2775" s="13" t="s">
        <v>4</v>
      </c>
      <c r="I2775" s="15">
        <v>-1595.03</v>
      </c>
      <c r="J2775" s="13" t="s">
        <v>5</v>
      </c>
      <c r="K2775" s="13" t="s">
        <v>6</v>
      </c>
      <c r="L2775" s="15">
        <v>-133902.76999999999</v>
      </c>
      <c r="M2775" s="15">
        <v>-1595.03</v>
      </c>
      <c r="N2775" s="16" t="str">
        <f>IF(M2775="","",IF(M2775&lt;0,-M2775&amp;"_"&amp;COUNTIF(M$2:M2775,M2775),M2775&amp;"_"&amp;COUNTIF(M$2:M2775,M2775)))</f>
        <v>1595.03_1</v>
      </c>
      <c r="O2775" s="17" t="str">
        <f t="shared" si="43"/>
        <v/>
      </c>
      <c r="P2775" s="13" t="s">
        <v>4028</v>
      </c>
      <c r="Q2775" s="13" t="s">
        <v>4006</v>
      </c>
      <c r="R2775" s="13" t="s">
        <v>0</v>
      </c>
      <c r="S2775" s="13" t="s">
        <v>0</v>
      </c>
      <c r="T2775" s="13" t="s">
        <v>9</v>
      </c>
      <c r="U2775" s="13" t="s">
        <v>0</v>
      </c>
      <c r="V2775" s="13" t="s">
        <v>0</v>
      </c>
      <c r="W2775" s="13" t="s">
        <v>0</v>
      </c>
      <c r="X2775" s="13" t="s">
        <v>0</v>
      </c>
      <c r="Y2775" s="13" t="s">
        <v>10</v>
      </c>
      <c r="Z2775" s="13" t="s">
        <v>0</v>
      </c>
      <c r="AA2775" s="14"/>
      <c r="AB2775" s="13" t="s">
        <v>0</v>
      </c>
      <c r="AC2775" s="13" t="s">
        <v>0</v>
      </c>
      <c r="AD2775" s="13" t="s">
        <v>0</v>
      </c>
      <c r="AE2775" s="15">
        <v>0</v>
      </c>
    </row>
    <row r="2776" spans="1:31" ht="14.15" customHeight="1" x14ac:dyDescent="0.25">
      <c r="A2776" s="12" t="s">
        <v>0</v>
      </c>
      <c r="B2776" s="13" t="s">
        <v>1</v>
      </c>
      <c r="C2776" s="13" t="s">
        <v>2311</v>
      </c>
      <c r="D2776" s="14">
        <v>44219</v>
      </c>
      <c r="E2776" s="14">
        <v>44219</v>
      </c>
      <c r="F2776" s="14">
        <v>44227</v>
      </c>
      <c r="G2776" s="13" t="s">
        <v>3</v>
      </c>
      <c r="H2776" s="13" t="s">
        <v>4</v>
      </c>
      <c r="I2776" s="15">
        <v>-1592.92</v>
      </c>
      <c r="J2776" s="13" t="s">
        <v>5</v>
      </c>
      <c r="K2776" s="13" t="s">
        <v>6</v>
      </c>
      <c r="L2776" s="15">
        <v>-133725.63</v>
      </c>
      <c r="M2776" s="15">
        <v>-1592.92</v>
      </c>
      <c r="N2776" s="16" t="str">
        <f>IF(M2776="","",IF(M2776&lt;0,-M2776&amp;"_"&amp;COUNTIF(M$2:M2776,M2776),M2776&amp;"_"&amp;COUNTIF(M$2:M2776,M2776)))</f>
        <v>1592.92_1</v>
      </c>
      <c r="O2776" s="17" t="str">
        <f t="shared" si="43"/>
        <v/>
      </c>
      <c r="P2776" s="13" t="s">
        <v>2312</v>
      </c>
      <c r="Q2776" s="13" t="s">
        <v>2282</v>
      </c>
      <c r="R2776" s="13" t="s">
        <v>0</v>
      </c>
      <c r="S2776" s="13" t="s">
        <v>0</v>
      </c>
      <c r="T2776" s="13" t="s">
        <v>9</v>
      </c>
      <c r="U2776" s="13" t="s">
        <v>0</v>
      </c>
      <c r="V2776" s="13" t="s">
        <v>0</v>
      </c>
      <c r="W2776" s="13" t="s">
        <v>0</v>
      </c>
      <c r="X2776" s="13" t="s">
        <v>0</v>
      </c>
      <c r="Y2776" s="13" t="s">
        <v>10</v>
      </c>
      <c r="Z2776" s="13" t="s">
        <v>0</v>
      </c>
      <c r="AA2776" s="14"/>
      <c r="AB2776" s="13" t="s">
        <v>0</v>
      </c>
      <c r="AC2776" s="13" t="s">
        <v>0</v>
      </c>
      <c r="AD2776" s="13" t="s">
        <v>0</v>
      </c>
      <c r="AE2776" s="15">
        <v>0</v>
      </c>
    </row>
    <row r="2777" spans="1:31" ht="14.15" customHeight="1" x14ac:dyDescent="0.25">
      <c r="A2777" s="12" t="s">
        <v>0</v>
      </c>
      <c r="B2777" s="13" t="s">
        <v>289</v>
      </c>
      <c r="C2777" s="13" t="s">
        <v>825</v>
      </c>
      <c r="D2777" s="14">
        <v>44104</v>
      </c>
      <c r="E2777" s="14">
        <v>44104</v>
      </c>
      <c r="F2777" s="14">
        <v>44114</v>
      </c>
      <c r="G2777" s="13" t="s">
        <v>48</v>
      </c>
      <c r="H2777" s="13" t="s">
        <v>4</v>
      </c>
      <c r="I2777" s="15">
        <v>-1591.27</v>
      </c>
      <c r="J2777" s="13" t="s">
        <v>5</v>
      </c>
      <c r="K2777" s="13" t="s">
        <v>6</v>
      </c>
      <c r="L2777" s="15">
        <v>-133587.12</v>
      </c>
      <c r="M2777" s="15">
        <v>-1591.27</v>
      </c>
      <c r="N2777" s="16" t="str">
        <f>IF(M2777="","",IF(M2777&lt;0,-M2777&amp;"_"&amp;COUNTIF(M$2:M2777,M2777),M2777&amp;"_"&amp;COUNTIF(M$2:M2777,M2777)))</f>
        <v>1591.27_1</v>
      </c>
      <c r="O2777" s="17" t="str">
        <f t="shared" si="43"/>
        <v/>
      </c>
      <c r="P2777" s="13" t="s">
        <v>826</v>
      </c>
      <c r="Q2777" s="13" t="s">
        <v>826</v>
      </c>
      <c r="R2777" s="13" t="s">
        <v>294</v>
      </c>
      <c r="S2777" s="13" t="s">
        <v>0</v>
      </c>
      <c r="T2777" s="13" t="s">
        <v>9</v>
      </c>
      <c r="U2777" s="13" t="s">
        <v>295</v>
      </c>
      <c r="V2777" s="13" t="s">
        <v>0</v>
      </c>
      <c r="W2777" s="13" t="s">
        <v>0</v>
      </c>
      <c r="X2777" s="13" t="s">
        <v>0</v>
      </c>
      <c r="Y2777" s="13" t="s">
        <v>291</v>
      </c>
      <c r="Z2777" s="13" t="s">
        <v>0</v>
      </c>
      <c r="AA2777" s="14"/>
      <c r="AB2777" s="13" t="s">
        <v>0</v>
      </c>
      <c r="AC2777" s="13" t="s">
        <v>0</v>
      </c>
      <c r="AD2777" s="13" t="s">
        <v>0</v>
      </c>
      <c r="AE2777" s="15">
        <v>0</v>
      </c>
    </row>
    <row r="2778" spans="1:31" ht="14.15" customHeight="1" x14ac:dyDescent="0.25">
      <c r="A2778" s="12" t="s">
        <v>0</v>
      </c>
      <c r="B2778" s="13" t="s">
        <v>1</v>
      </c>
      <c r="C2778" s="13" t="s">
        <v>360</v>
      </c>
      <c r="D2778" s="14">
        <v>44050</v>
      </c>
      <c r="E2778" s="14">
        <v>44050</v>
      </c>
      <c r="F2778" s="14">
        <v>44053</v>
      </c>
      <c r="G2778" s="13" t="s">
        <v>3</v>
      </c>
      <c r="H2778" s="13" t="s">
        <v>4</v>
      </c>
      <c r="I2778" s="15">
        <v>-1579.62</v>
      </c>
      <c r="J2778" s="13" t="s">
        <v>5</v>
      </c>
      <c r="K2778" s="13" t="s">
        <v>6</v>
      </c>
      <c r="L2778" s="15">
        <v>-132609.1</v>
      </c>
      <c r="M2778" s="15">
        <v>-1579.62</v>
      </c>
      <c r="N2778" s="16" t="str">
        <f>IF(M2778="","",IF(M2778&lt;0,-M2778&amp;"_"&amp;COUNTIF(M$2:M2778,M2778),M2778&amp;"_"&amp;COUNTIF(M$2:M2778,M2778)))</f>
        <v>1579.62_1</v>
      </c>
      <c r="O2778" s="17" t="str">
        <f t="shared" si="43"/>
        <v/>
      </c>
      <c r="P2778" s="13" t="s">
        <v>361</v>
      </c>
      <c r="Q2778" s="13" t="s">
        <v>362</v>
      </c>
      <c r="R2778" s="13" t="s">
        <v>0</v>
      </c>
      <c r="S2778" s="13" t="s">
        <v>0</v>
      </c>
      <c r="T2778" s="13" t="s">
        <v>9</v>
      </c>
      <c r="U2778" s="13" t="s">
        <v>0</v>
      </c>
      <c r="V2778" s="13" t="s">
        <v>0</v>
      </c>
      <c r="W2778" s="13" t="s">
        <v>0</v>
      </c>
      <c r="X2778" s="13" t="s">
        <v>0</v>
      </c>
      <c r="Y2778" s="13" t="s">
        <v>10</v>
      </c>
      <c r="Z2778" s="13" t="s">
        <v>0</v>
      </c>
      <c r="AA2778" s="14"/>
      <c r="AB2778" s="13" t="s">
        <v>0</v>
      </c>
      <c r="AC2778" s="13" t="s">
        <v>0</v>
      </c>
      <c r="AD2778" s="13" t="s">
        <v>0</v>
      </c>
      <c r="AE2778" s="15">
        <v>0</v>
      </c>
    </row>
    <row r="2779" spans="1:31" ht="14.15" customHeight="1" x14ac:dyDescent="0.25">
      <c r="A2779" s="12" t="s">
        <v>0</v>
      </c>
      <c r="B2779" s="13" t="s">
        <v>1</v>
      </c>
      <c r="C2779" s="13" t="s">
        <v>3769</v>
      </c>
      <c r="D2779" s="14">
        <v>44343</v>
      </c>
      <c r="E2779" s="14">
        <v>44343</v>
      </c>
      <c r="F2779" s="14">
        <v>44349</v>
      </c>
      <c r="G2779" s="13" t="s">
        <v>48</v>
      </c>
      <c r="H2779" s="13" t="s">
        <v>4</v>
      </c>
      <c r="I2779" s="15">
        <v>-1575</v>
      </c>
      <c r="J2779" s="13" t="s">
        <v>5</v>
      </c>
      <c r="K2779" s="13" t="s">
        <v>6</v>
      </c>
      <c r="L2779" s="15">
        <v>-132221.25</v>
      </c>
      <c r="M2779" s="15">
        <v>-1575</v>
      </c>
      <c r="N2779" s="16" t="str">
        <f>IF(M2779="","",IF(M2779&lt;0,-M2779&amp;"_"&amp;COUNTIF(M$2:M2779,M2779),M2779&amp;"_"&amp;COUNTIF(M$2:M2779,M2779)))</f>
        <v>1575_1</v>
      </c>
      <c r="O2779" s="17" t="str">
        <f t="shared" si="43"/>
        <v/>
      </c>
      <c r="P2779" s="13" t="s">
        <v>3770</v>
      </c>
      <c r="Q2779" s="13" t="s">
        <v>3770</v>
      </c>
      <c r="R2779" s="13" t="s">
        <v>1656</v>
      </c>
      <c r="S2779" s="13" t="s">
        <v>0</v>
      </c>
      <c r="T2779" s="13" t="s">
        <v>9</v>
      </c>
      <c r="U2779" s="13" t="s">
        <v>1656</v>
      </c>
      <c r="V2779" s="13" t="s">
        <v>0</v>
      </c>
      <c r="W2779" s="13" t="s">
        <v>0</v>
      </c>
      <c r="X2779" s="13" t="s">
        <v>0</v>
      </c>
      <c r="Y2779" s="13" t="s">
        <v>10</v>
      </c>
      <c r="Z2779" s="13" t="s">
        <v>0</v>
      </c>
      <c r="AA2779" s="14"/>
      <c r="AB2779" s="13" t="s">
        <v>0</v>
      </c>
      <c r="AC2779" s="13" t="s">
        <v>0</v>
      </c>
      <c r="AD2779" s="13" t="s">
        <v>0</v>
      </c>
      <c r="AE2779" s="15">
        <v>0</v>
      </c>
    </row>
    <row r="2780" spans="1:31" ht="14.15" customHeight="1" x14ac:dyDescent="0.25">
      <c r="A2780" s="12" t="s">
        <v>0</v>
      </c>
      <c r="B2780" s="13" t="s">
        <v>1</v>
      </c>
      <c r="C2780" s="13" t="s">
        <v>1746</v>
      </c>
      <c r="D2780" s="14">
        <v>44178</v>
      </c>
      <c r="E2780" s="14">
        <v>44178</v>
      </c>
      <c r="F2780" s="14">
        <v>44188</v>
      </c>
      <c r="G2780" s="13" t="s">
        <v>3</v>
      </c>
      <c r="H2780" s="13" t="s">
        <v>4</v>
      </c>
      <c r="I2780" s="15">
        <v>-1572.5</v>
      </c>
      <c r="J2780" s="13" t="s">
        <v>5</v>
      </c>
      <c r="K2780" s="13" t="s">
        <v>6</v>
      </c>
      <c r="L2780" s="15">
        <v>-132011.38</v>
      </c>
      <c r="M2780" s="15">
        <v>-1572.5</v>
      </c>
      <c r="N2780" s="16" t="str">
        <f>IF(M2780="","",IF(M2780&lt;0,-M2780&amp;"_"&amp;COUNTIF(M$2:M2780,M2780),M2780&amp;"_"&amp;COUNTIF(M$2:M2780,M2780)))</f>
        <v>1572.5_1</v>
      </c>
      <c r="O2780" s="17" t="str">
        <f t="shared" si="43"/>
        <v/>
      </c>
      <c r="P2780" s="13" t="s">
        <v>1747</v>
      </c>
      <c r="Q2780" s="13" t="s">
        <v>1739</v>
      </c>
      <c r="R2780" s="13" t="s">
        <v>0</v>
      </c>
      <c r="S2780" s="13" t="s">
        <v>0</v>
      </c>
      <c r="T2780" s="13" t="s">
        <v>9</v>
      </c>
      <c r="U2780" s="13" t="s">
        <v>0</v>
      </c>
      <c r="V2780" s="13" t="s">
        <v>0</v>
      </c>
      <c r="W2780" s="13" t="s">
        <v>0</v>
      </c>
      <c r="X2780" s="13" t="s">
        <v>0</v>
      </c>
      <c r="Y2780" s="13" t="s">
        <v>10</v>
      </c>
      <c r="Z2780" s="13" t="s">
        <v>0</v>
      </c>
      <c r="AA2780" s="14"/>
      <c r="AB2780" s="13" t="s">
        <v>0</v>
      </c>
      <c r="AC2780" s="13" t="s">
        <v>0</v>
      </c>
      <c r="AD2780" s="13" t="s">
        <v>0</v>
      </c>
      <c r="AE2780" s="15">
        <v>0</v>
      </c>
    </row>
    <row r="2781" spans="1:31" ht="14.15" customHeight="1" x14ac:dyDescent="0.25">
      <c r="A2781" s="12" t="s">
        <v>0</v>
      </c>
      <c r="B2781" s="13" t="s">
        <v>1</v>
      </c>
      <c r="C2781" s="13" t="s">
        <v>1815</v>
      </c>
      <c r="D2781" s="14">
        <v>44183</v>
      </c>
      <c r="E2781" s="14">
        <v>44183</v>
      </c>
      <c r="F2781" s="14">
        <v>44187</v>
      </c>
      <c r="G2781" s="13" t="s">
        <v>3</v>
      </c>
      <c r="H2781" s="13" t="s">
        <v>4</v>
      </c>
      <c r="I2781" s="15">
        <v>-1571.18</v>
      </c>
      <c r="J2781" s="13" t="s">
        <v>5</v>
      </c>
      <c r="K2781" s="13" t="s">
        <v>6</v>
      </c>
      <c r="L2781" s="15">
        <v>-131900.56</v>
      </c>
      <c r="M2781" s="15">
        <v>-1571.18</v>
      </c>
      <c r="N2781" s="16" t="str">
        <f>IF(M2781="","",IF(M2781&lt;0,-M2781&amp;"_"&amp;COUNTIF(M$2:M2781,M2781),M2781&amp;"_"&amp;COUNTIF(M$2:M2781,M2781)))</f>
        <v>1571.18_1</v>
      </c>
      <c r="O2781" s="17" t="str">
        <f t="shared" si="43"/>
        <v/>
      </c>
      <c r="P2781" s="13" t="s">
        <v>1816</v>
      </c>
      <c r="Q2781" s="13" t="s">
        <v>1792</v>
      </c>
      <c r="R2781" s="13" t="s">
        <v>0</v>
      </c>
      <c r="S2781" s="13" t="s">
        <v>0</v>
      </c>
      <c r="T2781" s="13" t="s">
        <v>9</v>
      </c>
      <c r="U2781" s="13" t="s">
        <v>0</v>
      </c>
      <c r="V2781" s="13" t="s">
        <v>0</v>
      </c>
      <c r="W2781" s="13" t="s">
        <v>0</v>
      </c>
      <c r="X2781" s="13" t="s">
        <v>0</v>
      </c>
      <c r="Y2781" s="13" t="s">
        <v>10</v>
      </c>
      <c r="Z2781" s="13" t="s">
        <v>0</v>
      </c>
      <c r="AA2781" s="14"/>
      <c r="AB2781" s="13" t="s">
        <v>0</v>
      </c>
      <c r="AC2781" s="13" t="s">
        <v>0</v>
      </c>
      <c r="AD2781" s="13" t="s">
        <v>0</v>
      </c>
      <c r="AE2781" s="15">
        <v>0</v>
      </c>
    </row>
    <row r="2782" spans="1:31" ht="14.15" customHeight="1" x14ac:dyDescent="0.25">
      <c r="A2782" s="12" t="s">
        <v>0</v>
      </c>
      <c r="B2782" s="13" t="s">
        <v>1</v>
      </c>
      <c r="C2782" s="13" t="s">
        <v>1815</v>
      </c>
      <c r="D2782" s="14">
        <v>44183</v>
      </c>
      <c r="E2782" s="14">
        <v>44183</v>
      </c>
      <c r="F2782" s="14">
        <v>44187</v>
      </c>
      <c r="G2782" s="13" t="s">
        <v>3</v>
      </c>
      <c r="H2782" s="13" t="s">
        <v>4</v>
      </c>
      <c r="I2782" s="15">
        <v>-1571.18</v>
      </c>
      <c r="J2782" s="13" t="s">
        <v>5</v>
      </c>
      <c r="K2782" s="13" t="s">
        <v>6</v>
      </c>
      <c r="L2782" s="15">
        <v>-131900.56</v>
      </c>
      <c r="M2782" s="15">
        <v>-1571.18</v>
      </c>
      <c r="N2782" s="16" t="str">
        <f>IF(M2782="","",IF(M2782&lt;0,-M2782&amp;"_"&amp;COUNTIF(M$2:M2782,M2782),M2782&amp;"_"&amp;COUNTIF(M$2:M2782,M2782)))</f>
        <v>1571.18_2</v>
      </c>
      <c r="O2782" s="17" t="str">
        <f t="shared" si="43"/>
        <v/>
      </c>
      <c r="P2782" s="13" t="s">
        <v>1816</v>
      </c>
      <c r="Q2782" s="13" t="s">
        <v>1792</v>
      </c>
      <c r="R2782" s="13" t="s">
        <v>0</v>
      </c>
      <c r="S2782" s="13" t="s">
        <v>0</v>
      </c>
      <c r="T2782" s="13" t="s">
        <v>9</v>
      </c>
      <c r="U2782" s="13" t="s">
        <v>0</v>
      </c>
      <c r="V2782" s="13" t="s">
        <v>0</v>
      </c>
      <c r="W2782" s="13" t="s">
        <v>0</v>
      </c>
      <c r="X2782" s="13" t="s">
        <v>0</v>
      </c>
      <c r="Y2782" s="13" t="s">
        <v>10</v>
      </c>
      <c r="Z2782" s="13" t="s">
        <v>0</v>
      </c>
      <c r="AA2782" s="14"/>
      <c r="AB2782" s="13" t="s">
        <v>0</v>
      </c>
      <c r="AC2782" s="13" t="s">
        <v>0</v>
      </c>
      <c r="AD2782" s="13" t="s">
        <v>0</v>
      </c>
      <c r="AE2782" s="15">
        <v>0</v>
      </c>
    </row>
    <row r="2783" spans="1:31" ht="14.15" customHeight="1" x14ac:dyDescent="0.25">
      <c r="A2783" s="12" t="s">
        <v>0</v>
      </c>
      <c r="B2783" s="13" t="s">
        <v>1</v>
      </c>
      <c r="C2783" s="13" t="s">
        <v>1815</v>
      </c>
      <c r="D2783" s="14">
        <v>44183</v>
      </c>
      <c r="E2783" s="14">
        <v>44183</v>
      </c>
      <c r="F2783" s="14">
        <v>44187</v>
      </c>
      <c r="G2783" s="13" t="s">
        <v>3</v>
      </c>
      <c r="H2783" s="13" t="s">
        <v>4</v>
      </c>
      <c r="I2783" s="15">
        <v>-1571.18</v>
      </c>
      <c r="J2783" s="13" t="s">
        <v>5</v>
      </c>
      <c r="K2783" s="13" t="s">
        <v>6</v>
      </c>
      <c r="L2783" s="15">
        <v>-131900.56</v>
      </c>
      <c r="M2783" s="15">
        <v>-1571.18</v>
      </c>
      <c r="N2783" s="16" t="str">
        <f>IF(M2783="","",IF(M2783&lt;0,-M2783&amp;"_"&amp;COUNTIF(M$2:M2783,M2783),M2783&amp;"_"&amp;COUNTIF(M$2:M2783,M2783)))</f>
        <v>1571.18_3</v>
      </c>
      <c r="O2783" s="17" t="str">
        <f t="shared" si="43"/>
        <v/>
      </c>
      <c r="P2783" s="13" t="s">
        <v>1816</v>
      </c>
      <c r="Q2783" s="13" t="s">
        <v>1792</v>
      </c>
      <c r="R2783" s="13" t="s">
        <v>0</v>
      </c>
      <c r="S2783" s="13" t="s">
        <v>0</v>
      </c>
      <c r="T2783" s="13" t="s">
        <v>9</v>
      </c>
      <c r="U2783" s="13" t="s">
        <v>0</v>
      </c>
      <c r="V2783" s="13" t="s">
        <v>0</v>
      </c>
      <c r="W2783" s="13" t="s">
        <v>0</v>
      </c>
      <c r="X2783" s="13" t="s">
        <v>0</v>
      </c>
      <c r="Y2783" s="13" t="s">
        <v>10</v>
      </c>
      <c r="Z2783" s="13" t="s">
        <v>0</v>
      </c>
      <c r="AA2783" s="14"/>
      <c r="AB2783" s="13" t="s">
        <v>0</v>
      </c>
      <c r="AC2783" s="13" t="s">
        <v>0</v>
      </c>
      <c r="AD2783" s="13" t="s">
        <v>0</v>
      </c>
      <c r="AE2783" s="15">
        <v>0</v>
      </c>
    </row>
    <row r="2784" spans="1:31" ht="14.15" customHeight="1" x14ac:dyDescent="0.25">
      <c r="A2784" s="12" t="s">
        <v>0</v>
      </c>
      <c r="B2784" s="13" t="s">
        <v>1</v>
      </c>
      <c r="C2784" s="13" t="s">
        <v>1815</v>
      </c>
      <c r="D2784" s="14">
        <v>44183</v>
      </c>
      <c r="E2784" s="14">
        <v>44183</v>
      </c>
      <c r="F2784" s="14">
        <v>44187</v>
      </c>
      <c r="G2784" s="13" t="s">
        <v>3</v>
      </c>
      <c r="H2784" s="13" t="s">
        <v>4</v>
      </c>
      <c r="I2784" s="15">
        <v>-1571.18</v>
      </c>
      <c r="J2784" s="13" t="s">
        <v>5</v>
      </c>
      <c r="K2784" s="13" t="s">
        <v>6</v>
      </c>
      <c r="L2784" s="15">
        <v>-131900.56</v>
      </c>
      <c r="M2784" s="15">
        <v>-1571.18</v>
      </c>
      <c r="N2784" s="16" t="str">
        <f>IF(M2784="","",IF(M2784&lt;0,-M2784&amp;"_"&amp;COUNTIF(M$2:M2784,M2784),M2784&amp;"_"&amp;COUNTIF(M$2:M2784,M2784)))</f>
        <v>1571.18_4</v>
      </c>
      <c r="O2784" s="17" t="str">
        <f t="shared" si="43"/>
        <v/>
      </c>
      <c r="P2784" s="13" t="s">
        <v>1816</v>
      </c>
      <c r="Q2784" s="13" t="s">
        <v>1792</v>
      </c>
      <c r="R2784" s="13" t="s">
        <v>0</v>
      </c>
      <c r="S2784" s="13" t="s">
        <v>0</v>
      </c>
      <c r="T2784" s="13" t="s">
        <v>9</v>
      </c>
      <c r="U2784" s="13" t="s">
        <v>0</v>
      </c>
      <c r="V2784" s="13" t="s">
        <v>0</v>
      </c>
      <c r="W2784" s="13" t="s">
        <v>0</v>
      </c>
      <c r="X2784" s="13" t="s">
        <v>0</v>
      </c>
      <c r="Y2784" s="13" t="s">
        <v>10</v>
      </c>
      <c r="Z2784" s="13" t="s">
        <v>0</v>
      </c>
      <c r="AA2784" s="14"/>
      <c r="AB2784" s="13" t="s">
        <v>0</v>
      </c>
      <c r="AC2784" s="13" t="s">
        <v>0</v>
      </c>
      <c r="AD2784" s="13" t="s">
        <v>0</v>
      </c>
      <c r="AE2784" s="15">
        <v>0</v>
      </c>
    </row>
    <row r="2785" spans="1:31" ht="14.15" customHeight="1" x14ac:dyDescent="0.25">
      <c r="A2785" s="12" t="s">
        <v>0</v>
      </c>
      <c r="B2785" s="13" t="s">
        <v>1</v>
      </c>
      <c r="C2785" s="13" t="s">
        <v>3822</v>
      </c>
      <c r="D2785" s="14">
        <v>44347</v>
      </c>
      <c r="E2785" s="14">
        <v>44347</v>
      </c>
      <c r="F2785" s="14">
        <v>44350</v>
      </c>
      <c r="G2785" s="13" t="s">
        <v>3</v>
      </c>
      <c r="H2785" s="13" t="s">
        <v>4</v>
      </c>
      <c r="I2785" s="15">
        <v>-1570.25</v>
      </c>
      <c r="J2785" s="13" t="s">
        <v>5</v>
      </c>
      <c r="K2785" s="13" t="s">
        <v>6</v>
      </c>
      <c r="L2785" s="15">
        <v>-131822.48000000001</v>
      </c>
      <c r="M2785" s="15">
        <v>-1570.25</v>
      </c>
      <c r="N2785" s="16" t="str">
        <f>IF(M2785="","",IF(M2785&lt;0,-M2785&amp;"_"&amp;COUNTIF(M$2:M2785,M2785),M2785&amp;"_"&amp;COUNTIF(M$2:M2785,M2785)))</f>
        <v>1570.25_1</v>
      </c>
      <c r="O2785" s="17" t="str">
        <f t="shared" si="43"/>
        <v/>
      </c>
      <c r="P2785" s="13" t="s">
        <v>3823</v>
      </c>
      <c r="Q2785" s="13" t="s">
        <v>3824</v>
      </c>
      <c r="R2785" s="13" t="s">
        <v>0</v>
      </c>
      <c r="S2785" s="13" t="s">
        <v>0</v>
      </c>
      <c r="T2785" s="13" t="s">
        <v>9</v>
      </c>
      <c r="U2785" s="13" t="s">
        <v>0</v>
      </c>
      <c r="V2785" s="13" t="s">
        <v>0</v>
      </c>
      <c r="W2785" s="13" t="s">
        <v>0</v>
      </c>
      <c r="X2785" s="13" t="s">
        <v>0</v>
      </c>
      <c r="Y2785" s="13" t="s">
        <v>10</v>
      </c>
      <c r="Z2785" s="13" t="s">
        <v>0</v>
      </c>
      <c r="AA2785" s="14"/>
      <c r="AB2785" s="13" t="s">
        <v>0</v>
      </c>
      <c r="AC2785" s="13" t="s">
        <v>0</v>
      </c>
      <c r="AD2785" s="13" t="s">
        <v>0</v>
      </c>
      <c r="AE2785" s="15">
        <v>0</v>
      </c>
    </row>
    <row r="2786" spans="1:31" ht="14.15" customHeight="1" x14ac:dyDescent="0.25">
      <c r="A2786" s="12" t="s">
        <v>0</v>
      </c>
      <c r="B2786" s="13" t="s">
        <v>1</v>
      </c>
      <c r="C2786" s="13" t="s">
        <v>1293</v>
      </c>
      <c r="D2786" s="14">
        <v>44146</v>
      </c>
      <c r="E2786" s="14">
        <v>44146</v>
      </c>
      <c r="F2786" s="14">
        <v>44152</v>
      </c>
      <c r="G2786" s="13" t="s">
        <v>3</v>
      </c>
      <c r="H2786" s="13" t="s">
        <v>4</v>
      </c>
      <c r="I2786" s="15">
        <v>-1565.2</v>
      </c>
      <c r="J2786" s="13" t="s">
        <v>5</v>
      </c>
      <c r="K2786" s="13" t="s">
        <v>6</v>
      </c>
      <c r="L2786" s="15">
        <v>-131398.54</v>
      </c>
      <c r="M2786" s="15">
        <v>-1565.2</v>
      </c>
      <c r="N2786" s="16" t="str">
        <f>IF(M2786="","",IF(M2786&lt;0,-M2786&amp;"_"&amp;COUNTIF(M$2:M2786,M2786),M2786&amp;"_"&amp;COUNTIF(M$2:M2786,M2786)))</f>
        <v>1565.2_1</v>
      </c>
      <c r="O2786" s="17" t="str">
        <f t="shared" si="43"/>
        <v/>
      </c>
      <c r="P2786" s="13" t="s">
        <v>1294</v>
      </c>
      <c r="Q2786" s="13" t="s">
        <v>1282</v>
      </c>
      <c r="R2786" s="13" t="s">
        <v>0</v>
      </c>
      <c r="S2786" s="13" t="s">
        <v>0</v>
      </c>
      <c r="T2786" s="13" t="s">
        <v>9</v>
      </c>
      <c r="U2786" s="13" t="s">
        <v>0</v>
      </c>
      <c r="V2786" s="13" t="s">
        <v>0</v>
      </c>
      <c r="W2786" s="13" t="s">
        <v>0</v>
      </c>
      <c r="X2786" s="13" t="s">
        <v>0</v>
      </c>
      <c r="Y2786" s="13" t="s">
        <v>10</v>
      </c>
      <c r="Z2786" s="13" t="s">
        <v>0</v>
      </c>
      <c r="AA2786" s="14"/>
      <c r="AB2786" s="13" t="s">
        <v>0</v>
      </c>
      <c r="AC2786" s="13" t="s">
        <v>0</v>
      </c>
      <c r="AD2786" s="13" t="s">
        <v>0</v>
      </c>
      <c r="AE2786" s="15">
        <v>0</v>
      </c>
    </row>
    <row r="2787" spans="1:31" ht="14.15" customHeight="1" x14ac:dyDescent="0.25">
      <c r="A2787" s="12" t="s">
        <v>0</v>
      </c>
      <c r="B2787" s="13" t="s">
        <v>1</v>
      </c>
      <c r="C2787" s="13" t="s">
        <v>1746</v>
      </c>
      <c r="D2787" s="14">
        <v>44178</v>
      </c>
      <c r="E2787" s="14">
        <v>44178</v>
      </c>
      <c r="F2787" s="14">
        <v>44188</v>
      </c>
      <c r="G2787" s="13" t="s">
        <v>3</v>
      </c>
      <c r="H2787" s="13" t="s">
        <v>4</v>
      </c>
      <c r="I2787" s="15">
        <v>-1564.27</v>
      </c>
      <c r="J2787" s="13" t="s">
        <v>5</v>
      </c>
      <c r="K2787" s="13" t="s">
        <v>6</v>
      </c>
      <c r="L2787" s="15">
        <v>-131320.47</v>
      </c>
      <c r="M2787" s="15">
        <v>-1564.27</v>
      </c>
      <c r="N2787" s="16" t="str">
        <f>IF(M2787="","",IF(M2787&lt;0,-M2787&amp;"_"&amp;COUNTIF(M$2:M2787,M2787),M2787&amp;"_"&amp;COUNTIF(M$2:M2787,M2787)))</f>
        <v>1564.27_1</v>
      </c>
      <c r="O2787" s="17" t="str">
        <f t="shared" si="43"/>
        <v/>
      </c>
      <c r="P2787" s="13" t="s">
        <v>1747</v>
      </c>
      <c r="Q2787" s="13" t="s">
        <v>1739</v>
      </c>
      <c r="R2787" s="13" t="s">
        <v>0</v>
      </c>
      <c r="S2787" s="13" t="s">
        <v>0</v>
      </c>
      <c r="T2787" s="13" t="s">
        <v>9</v>
      </c>
      <c r="U2787" s="13" t="s">
        <v>0</v>
      </c>
      <c r="V2787" s="13" t="s">
        <v>0</v>
      </c>
      <c r="W2787" s="13" t="s">
        <v>0</v>
      </c>
      <c r="X2787" s="13" t="s">
        <v>0</v>
      </c>
      <c r="Y2787" s="13" t="s">
        <v>10</v>
      </c>
      <c r="Z2787" s="13" t="s">
        <v>0</v>
      </c>
      <c r="AA2787" s="14"/>
      <c r="AB2787" s="13" t="s">
        <v>0</v>
      </c>
      <c r="AC2787" s="13" t="s">
        <v>0</v>
      </c>
      <c r="AD2787" s="13" t="s">
        <v>0</v>
      </c>
      <c r="AE2787" s="15">
        <v>0</v>
      </c>
    </row>
    <row r="2788" spans="1:31" ht="14.15" customHeight="1" x14ac:dyDescent="0.25">
      <c r="A2788" s="12" t="s">
        <v>0</v>
      </c>
      <c r="B2788" s="13" t="s">
        <v>1</v>
      </c>
      <c r="C2788" s="13" t="s">
        <v>4191</v>
      </c>
      <c r="D2788" s="14">
        <v>44364</v>
      </c>
      <c r="E2788" s="14">
        <v>44364</v>
      </c>
      <c r="F2788" s="14">
        <v>44370</v>
      </c>
      <c r="G2788" s="13" t="s">
        <v>3</v>
      </c>
      <c r="H2788" s="13" t="s">
        <v>4</v>
      </c>
      <c r="I2788" s="15">
        <v>-1564.05</v>
      </c>
      <c r="J2788" s="13" t="s">
        <v>5</v>
      </c>
      <c r="K2788" s="13" t="s">
        <v>6</v>
      </c>
      <c r="L2788" s="15">
        <v>-131302</v>
      </c>
      <c r="M2788" s="15">
        <v>-1564.05</v>
      </c>
      <c r="N2788" s="16" t="str">
        <f>IF(M2788="","",IF(M2788&lt;0,-M2788&amp;"_"&amp;COUNTIF(M$2:M2788,M2788),M2788&amp;"_"&amp;COUNTIF(M$2:M2788,M2788)))</f>
        <v>1564.05_1</v>
      </c>
      <c r="O2788" s="17" t="str">
        <f t="shared" si="43"/>
        <v/>
      </c>
      <c r="P2788" s="13" t="s">
        <v>4192</v>
      </c>
      <c r="Q2788" s="13" t="s">
        <v>4180</v>
      </c>
      <c r="R2788" s="13" t="s">
        <v>0</v>
      </c>
      <c r="S2788" s="13" t="s">
        <v>0</v>
      </c>
      <c r="T2788" s="13" t="s">
        <v>9</v>
      </c>
      <c r="U2788" s="13" t="s">
        <v>0</v>
      </c>
      <c r="V2788" s="13" t="s">
        <v>0</v>
      </c>
      <c r="W2788" s="13" t="s">
        <v>0</v>
      </c>
      <c r="X2788" s="13" t="s">
        <v>0</v>
      </c>
      <c r="Y2788" s="13" t="s">
        <v>10</v>
      </c>
      <c r="Z2788" s="13" t="s">
        <v>0</v>
      </c>
      <c r="AA2788" s="14"/>
      <c r="AB2788" s="13" t="s">
        <v>0</v>
      </c>
      <c r="AC2788" s="13" t="s">
        <v>0</v>
      </c>
      <c r="AD2788" s="13" t="s">
        <v>0</v>
      </c>
      <c r="AE2788" s="15">
        <v>0</v>
      </c>
    </row>
    <row r="2789" spans="1:31" ht="14.15" customHeight="1" x14ac:dyDescent="0.25">
      <c r="A2789" s="12" t="s">
        <v>0</v>
      </c>
      <c r="B2789" s="13" t="s">
        <v>1</v>
      </c>
      <c r="C2789" s="13" t="s">
        <v>1366</v>
      </c>
      <c r="D2789" s="14">
        <v>44151</v>
      </c>
      <c r="E2789" s="14">
        <v>44151</v>
      </c>
      <c r="F2789" s="14">
        <v>44154</v>
      </c>
      <c r="G2789" s="13" t="s">
        <v>3</v>
      </c>
      <c r="H2789" s="13" t="s">
        <v>4</v>
      </c>
      <c r="I2789" s="15">
        <v>-1563.59</v>
      </c>
      <c r="J2789" s="13" t="s">
        <v>5</v>
      </c>
      <c r="K2789" s="13" t="s">
        <v>6</v>
      </c>
      <c r="L2789" s="15">
        <v>-131263.38</v>
      </c>
      <c r="M2789" s="15">
        <v>-1563.59</v>
      </c>
      <c r="N2789" s="16" t="str">
        <f>IF(M2789="","",IF(M2789&lt;0,-M2789&amp;"_"&amp;COUNTIF(M$2:M2789,M2789),M2789&amp;"_"&amp;COUNTIF(M$2:M2789,M2789)))</f>
        <v>1563.59_1</v>
      </c>
      <c r="O2789" s="17" t="str">
        <f t="shared" si="43"/>
        <v/>
      </c>
      <c r="P2789" s="13" t="s">
        <v>1367</v>
      </c>
      <c r="Q2789" s="13" t="s">
        <v>1363</v>
      </c>
      <c r="R2789" s="13" t="s">
        <v>0</v>
      </c>
      <c r="S2789" s="13" t="s">
        <v>0</v>
      </c>
      <c r="T2789" s="13" t="s">
        <v>9</v>
      </c>
      <c r="U2789" s="13" t="s">
        <v>0</v>
      </c>
      <c r="V2789" s="13" t="s">
        <v>0</v>
      </c>
      <c r="W2789" s="13" t="s">
        <v>0</v>
      </c>
      <c r="X2789" s="13" t="s">
        <v>0</v>
      </c>
      <c r="Y2789" s="13" t="s">
        <v>10</v>
      </c>
      <c r="Z2789" s="13" t="s">
        <v>0</v>
      </c>
      <c r="AA2789" s="14"/>
      <c r="AB2789" s="13" t="s">
        <v>0</v>
      </c>
      <c r="AC2789" s="13" t="s">
        <v>0</v>
      </c>
      <c r="AD2789" s="13" t="s">
        <v>0</v>
      </c>
      <c r="AE2789" s="15">
        <v>0</v>
      </c>
    </row>
    <row r="2790" spans="1:31" ht="14.15" customHeight="1" x14ac:dyDescent="0.25">
      <c r="A2790" s="12" t="s">
        <v>0</v>
      </c>
      <c r="B2790" s="13" t="s">
        <v>1</v>
      </c>
      <c r="C2790" s="13" t="s">
        <v>3240</v>
      </c>
      <c r="D2790" s="14">
        <v>44306</v>
      </c>
      <c r="E2790" s="14">
        <v>44306</v>
      </c>
      <c r="F2790" s="14">
        <v>44323</v>
      </c>
      <c r="G2790" s="13" t="s">
        <v>3</v>
      </c>
      <c r="H2790" s="13" t="s">
        <v>4</v>
      </c>
      <c r="I2790" s="15">
        <v>-1558.56</v>
      </c>
      <c r="J2790" s="13" t="s">
        <v>5</v>
      </c>
      <c r="K2790" s="13" t="s">
        <v>6</v>
      </c>
      <c r="L2790" s="15">
        <v>-130841.11</v>
      </c>
      <c r="M2790" s="15">
        <v>-1558.56</v>
      </c>
      <c r="N2790" s="16" t="str">
        <f>IF(M2790="","",IF(M2790&lt;0,-M2790&amp;"_"&amp;COUNTIF(M$2:M2790,M2790),M2790&amp;"_"&amp;COUNTIF(M$2:M2790,M2790)))</f>
        <v>1558.56_1</v>
      </c>
      <c r="O2790" s="17" t="str">
        <f t="shared" si="43"/>
        <v/>
      </c>
      <c r="P2790" s="13" t="s">
        <v>3241</v>
      </c>
      <c r="Q2790" s="13" t="s">
        <v>3229</v>
      </c>
      <c r="R2790" s="13" t="s">
        <v>0</v>
      </c>
      <c r="S2790" s="13" t="s">
        <v>0</v>
      </c>
      <c r="T2790" s="13" t="s">
        <v>9</v>
      </c>
      <c r="U2790" s="13" t="s">
        <v>0</v>
      </c>
      <c r="V2790" s="13" t="s">
        <v>0</v>
      </c>
      <c r="W2790" s="13" t="s">
        <v>0</v>
      </c>
      <c r="X2790" s="13" t="s">
        <v>0</v>
      </c>
      <c r="Y2790" s="13" t="s">
        <v>10</v>
      </c>
      <c r="Z2790" s="13" t="s">
        <v>0</v>
      </c>
      <c r="AA2790" s="14"/>
      <c r="AB2790" s="13" t="s">
        <v>0</v>
      </c>
      <c r="AC2790" s="13" t="s">
        <v>0</v>
      </c>
      <c r="AD2790" s="13" t="s">
        <v>0</v>
      </c>
      <c r="AE2790" s="15">
        <v>0</v>
      </c>
    </row>
    <row r="2791" spans="1:31" ht="14.15" customHeight="1" x14ac:dyDescent="0.25">
      <c r="A2791" s="12" t="s">
        <v>0</v>
      </c>
      <c r="B2791" s="13" t="s">
        <v>1</v>
      </c>
      <c r="C2791" s="13" t="s">
        <v>3249</v>
      </c>
      <c r="D2791" s="14">
        <v>44308</v>
      </c>
      <c r="E2791" s="14">
        <v>44308</v>
      </c>
      <c r="F2791" s="14">
        <v>44312</v>
      </c>
      <c r="G2791" s="13" t="s">
        <v>3</v>
      </c>
      <c r="H2791" s="13" t="s">
        <v>4</v>
      </c>
      <c r="I2791" s="15">
        <v>-1550.82</v>
      </c>
      <c r="J2791" s="13" t="s">
        <v>5</v>
      </c>
      <c r="K2791" s="13" t="s">
        <v>6</v>
      </c>
      <c r="L2791" s="15">
        <v>-130191.34</v>
      </c>
      <c r="M2791" s="15">
        <v>-1550.82</v>
      </c>
      <c r="N2791" s="16" t="str">
        <f>IF(M2791="","",IF(M2791&lt;0,-M2791&amp;"_"&amp;COUNTIF(M$2:M2791,M2791),M2791&amp;"_"&amp;COUNTIF(M$2:M2791,M2791)))</f>
        <v>1550.82_1</v>
      </c>
      <c r="O2791" s="17" t="str">
        <f t="shared" si="43"/>
        <v/>
      </c>
      <c r="P2791" s="13" t="s">
        <v>3250</v>
      </c>
      <c r="Q2791" s="13" t="s">
        <v>3251</v>
      </c>
      <c r="R2791" s="13" t="s">
        <v>0</v>
      </c>
      <c r="S2791" s="13" t="s">
        <v>0</v>
      </c>
      <c r="T2791" s="13" t="s">
        <v>9</v>
      </c>
      <c r="U2791" s="13" t="s">
        <v>0</v>
      </c>
      <c r="V2791" s="13" t="s">
        <v>0</v>
      </c>
      <c r="W2791" s="13" t="s">
        <v>0</v>
      </c>
      <c r="X2791" s="13" t="s">
        <v>0</v>
      </c>
      <c r="Y2791" s="13" t="s">
        <v>10</v>
      </c>
      <c r="Z2791" s="13" t="s">
        <v>0</v>
      </c>
      <c r="AA2791" s="14"/>
      <c r="AB2791" s="13" t="s">
        <v>0</v>
      </c>
      <c r="AC2791" s="13" t="s">
        <v>0</v>
      </c>
      <c r="AD2791" s="13" t="s">
        <v>0</v>
      </c>
      <c r="AE2791" s="15">
        <v>0</v>
      </c>
    </row>
    <row r="2792" spans="1:31" ht="14.15" customHeight="1" x14ac:dyDescent="0.25">
      <c r="A2792" s="12" t="s">
        <v>0</v>
      </c>
      <c r="B2792" s="13" t="s">
        <v>289</v>
      </c>
      <c r="C2792" s="13" t="s">
        <v>2714</v>
      </c>
      <c r="D2792" s="14">
        <v>44255</v>
      </c>
      <c r="E2792" s="14">
        <v>44255</v>
      </c>
      <c r="F2792" s="14">
        <v>44262</v>
      </c>
      <c r="G2792" s="13" t="s">
        <v>48</v>
      </c>
      <c r="H2792" s="13" t="s">
        <v>4</v>
      </c>
      <c r="I2792" s="15">
        <v>-1541.63</v>
      </c>
      <c r="J2792" s="13" t="s">
        <v>5</v>
      </c>
      <c r="K2792" s="13" t="s">
        <v>6</v>
      </c>
      <c r="L2792" s="15">
        <v>-129419.84</v>
      </c>
      <c r="M2792" s="15">
        <v>-1541.63</v>
      </c>
      <c r="N2792" s="16" t="str">
        <f>IF(M2792="","",IF(M2792&lt;0,-M2792&amp;"_"&amp;COUNTIF(M$2:M2792,M2792),M2792&amp;"_"&amp;COUNTIF(M$2:M2792,M2792)))</f>
        <v>1541.63_1</v>
      </c>
      <c r="O2792" s="17" t="str">
        <f t="shared" si="43"/>
        <v/>
      </c>
      <c r="P2792" s="13" t="s">
        <v>2715</v>
      </c>
      <c r="Q2792" s="13" t="s">
        <v>2716</v>
      </c>
      <c r="R2792" s="13" t="s">
        <v>1994</v>
      </c>
      <c r="S2792" s="13" t="s">
        <v>0</v>
      </c>
      <c r="T2792" s="13" t="s">
        <v>9</v>
      </c>
      <c r="U2792" s="13" t="s">
        <v>1995</v>
      </c>
      <c r="V2792" s="13" t="s">
        <v>0</v>
      </c>
      <c r="W2792" s="13" t="s">
        <v>0</v>
      </c>
      <c r="X2792" s="13" t="s">
        <v>0</v>
      </c>
      <c r="Y2792" s="13" t="s">
        <v>0</v>
      </c>
      <c r="Z2792" s="13" t="s">
        <v>0</v>
      </c>
      <c r="AA2792" s="14"/>
      <c r="AB2792" s="13" t="s">
        <v>0</v>
      </c>
      <c r="AC2792" s="13" t="s">
        <v>0</v>
      </c>
      <c r="AD2792" s="13" t="s">
        <v>0</v>
      </c>
      <c r="AE2792" s="15">
        <v>0</v>
      </c>
    </row>
    <row r="2793" spans="1:31" ht="14.15" customHeight="1" x14ac:dyDescent="0.25">
      <c r="A2793" s="12" t="s">
        <v>0</v>
      </c>
      <c r="B2793" s="13" t="s">
        <v>1</v>
      </c>
      <c r="C2793" s="13" t="s">
        <v>2104</v>
      </c>
      <c r="D2793" s="14">
        <v>44199</v>
      </c>
      <c r="E2793" s="14">
        <v>44199</v>
      </c>
      <c r="F2793" s="14">
        <v>44203</v>
      </c>
      <c r="G2793" s="13" t="s">
        <v>3</v>
      </c>
      <c r="H2793" s="13" t="s">
        <v>4</v>
      </c>
      <c r="I2793" s="15">
        <v>-1525.55</v>
      </c>
      <c r="J2793" s="13" t="s">
        <v>5</v>
      </c>
      <c r="K2793" s="13" t="s">
        <v>6</v>
      </c>
      <c r="L2793" s="15">
        <v>-128069.92</v>
      </c>
      <c r="M2793" s="15">
        <v>-1525.55</v>
      </c>
      <c r="N2793" s="16" t="str">
        <f>IF(M2793="","",IF(M2793&lt;0,-M2793&amp;"_"&amp;COUNTIF(M$2:M2793,M2793),M2793&amp;"_"&amp;COUNTIF(M$2:M2793,M2793)))</f>
        <v>1525.55_1</v>
      </c>
      <c r="O2793" s="17" t="str">
        <f t="shared" si="43"/>
        <v/>
      </c>
      <c r="P2793" s="13" t="s">
        <v>2105</v>
      </c>
      <c r="Q2793" s="13" t="s">
        <v>2093</v>
      </c>
      <c r="R2793" s="13" t="s">
        <v>0</v>
      </c>
      <c r="S2793" s="13" t="s">
        <v>0</v>
      </c>
      <c r="T2793" s="13" t="s">
        <v>9</v>
      </c>
      <c r="U2793" s="13" t="s">
        <v>0</v>
      </c>
      <c r="V2793" s="13" t="s">
        <v>0</v>
      </c>
      <c r="W2793" s="13" t="s">
        <v>0</v>
      </c>
      <c r="X2793" s="13" t="s">
        <v>0</v>
      </c>
      <c r="Y2793" s="13" t="s">
        <v>10</v>
      </c>
      <c r="Z2793" s="13" t="s">
        <v>0</v>
      </c>
      <c r="AA2793" s="14"/>
      <c r="AB2793" s="13" t="s">
        <v>0</v>
      </c>
      <c r="AC2793" s="13" t="s">
        <v>0</v>
      </c>
      <c r="AD2793" s="13" t="s">
        <v>0</v>
      </c>
      <c r="AE2793" s="15">
        <v>0</v>
      </c>
    </row>
    <row r="2794" spans="1:31" ht="14.15" customHeight="1" x14ac:dyDescent="0.25">
      <c r="A2794" s="12" t="s">
        <v>0</v>
      </c>
      <c r="B2794" s="13" t="s">
        <v>1</v>
      </c>
      <c r="C2794" s="13" t="s">
        <v>2104</v>
      </c>
      <c r="D2794" s="14">
        <v>44199</v>
      </c>
      <c r="E2794" s="14">
        <v>44199</v>
      </c>
      <c r="F2794" s="14">
        <v>44203</v>
      </c>
      <c r="G2794" s="13" t="s">
        <v>3</v>
      </c>
      <c r="H2794" s="13" t="s">
        <v>4</v>
      </c>
      <c r="I2794" s="15">
        <v>-1522.32</v>
      </c>
      <c r="J2794" s="13" t="s">
        <v>5</v>
      </c>
      <c r="K2794" s="13" t="s">
        <v>6</v>
      </c>
      <c r="L2794" s="15">
        <v>-127798.76</v>
      </c>
      <c r="M2794" s="15">
        <v>-1522.32</v>
      </c>
      <c r="N2794" s="16" t="str">
        <f>IF(M2794="","",IF(M2794&lt;0,-M2794&amp;"_"&amp;COUNTIF(M$2:M2794,M2794),M2794&amp;"_"&amp;COUNTIF(M$2:M2794,M2794)))</f>
        <v>1522.32_1</v>
      </c>
      <c r="O2794" s="17" t="str">
        <f t="shared" si="43"/>
        <v/>
      </c>
      <c r="P2794" s="13" t="s">
        <v>2105</v>
      </c>
      <c r="Q2794" s="13" t="s">
        <v>2093</v>
      </c>
      <c r="R2794" s="13" t="s">
        <v>0</v>
      </c>
      <c r="S2794" s="13" t="s">
        <v>0</v>
      </c>
      <c r="T2794" s="13" t="s">
        <v>9</v>
      </c>
      <c r="U2794" s="13" t="s">
        <v>0</v>
      </c>
      <c r="V2794" s="13" t="s">
        <v>0</v>
      </c>
      <c r="W2794" s="13" t="s">
        <v>0</v>
      </c>
      <c r="X2794" s="13" t="s">
        <v>0</v>
      </c>
      <c r="Y2794" s="13" t="s">
        <v>10</v>
      </c>
      <c r="Z2794" s="13" t="s">
        <v>0</v>
      </c>
      <c r="AA2794" s="14"/>
      <c r="AB2794" s="13" t="s">
        <v>0</v>
      </c>
      <c r="AC2794" s="13" t="s">
        <v>0</v>
      </c>
      <c r="AD2794" s="13" t="s">
        <v>0</v>
      </c>
      <c r="AE2794" s="15">
        <v>0</v>
      </c>
    </row>
    <row r="2795" spans="1:31" ht="14.15" customHeight="1" x14ac:dyDescent="0.25">
      <c r="A2795" s="12" t="s">
        <v>0</v>
      </c>
      <c r="B2795" s="13" t="s">
        <v>1</v>
      </c>
      <c r="C2795" s="13" t="s">
        <v>2343</v>
      </c>
      <c r="D2795" s="14">
        <v>44224</v>
      </c>
      <c r="E2795" s="14">
        <v>44224</v>
      </c>
      <c r="F2795" s="14">
        <v>44228</v>
      </c>
      <c r="G2795" s="13" t="s">
        <v>3</v>
      </c>
      <c r="H2795" s="13" t="s">
        <v>4</v>
      </c>
      <c r="I2795" s="15">
        <v>-1522.32</v>
      </c>
      <c r="J2795" s="13" t="s">
        <v>5</v>
      </c>
      <c r="K2795" s="13" t="s">
        <v>6</v>
      </c>
      <c r="L2795" s="15">
        <v>-127798.76</v>
      </c>
      <c r="M2795" s="15">
        <v>-1522.32</v>
      </c>
      <c r="N2795" s="16" t="str">
        <f>IF(M2795="","",IF(M2795&lt;0,-M2795&amp;"_"&amp;COUNTIF(M$2:M2795,M2795),M2795&amp;"_"&amp;COUNTIF(M$2:M2795,M2795)))</f>
        <v>1522.32_2</v>
      </c>
      <c r="O2795" s="17" t="str">
        <f t="shared" si="43"/>
        <v/>
      </c>
      <c r="P2795" s="13" t="s">
        <v>2344</v>
      </c>
      <c r="Q2795" s="13" t="s">
        <v>2345</v>
      </c>
      <c r="R2795" s="13" t="s">
        <v>0</v>
      </c>
      <c r="S2795" s="13" t="s">
        <v>0</v>
      </c>
      <c r="T2795" s="13" t="s">
        <v>9</v>
      </c>
      <c r="U2795" s="13" t="s">
        <v>0</v>
      </c>
      <c r="V2795" s="13" t="s">
        <v>0</v>
      </c>
      <c r="W2795" s="13" t="s">
        <v>0</v>
      </c>
      <c r="X2795" s="13" t="s">
        <v>0</v>
      </c>
      <c r="Y2795" s="13" t="s">
        <v>10</v>
      </c>
      <c r="Z2795" s="13" t="s">
        <v>0</v>
      </c>
      <c r="AA2795" s="14"/>
      <c r="AB2795" s="13" t="s">
        <v>0</v>
      </c>
      <c r="AC2795" s="13" t="s">
        <v>0</v>
      </c>
      <c r="AD2795" s="13" t="s">
        <v>0</v>
      </c>
      <c r="AE2795" s="15">
        <v>0</v>
      </c>
    </row>
    <row r="2796" spans="1:31" ht="14.15" customHeight="1" x14ac:dyDescent="0.25">
      <c r="A2796" s="12" t="s">
        <v>0</v>
      </c>
      <c r="B2796" s="13" t="s">
        <v>454</v>
      </c>
      <c r="C2796" s="13" t="s">
        <v>2622</v>
      </c>
      <c r="D2796" s="14">
        <v>44245</v>
      </c>
      <c r="E2796" s="14">
        <v>44245</v>
      </c>
      <c r="F2796" s="14">
        <v>44251</v>
      </c>
      <c r="G2796" s="13" t="s">
        <v>3</v>
      </c>
      <c r="H2796" s="13" t="s">
        <v>4</v>
      </c>
      <c r="I2796" s="15">
        <v>-1512</v>
      </c>
      <c r="J2796" s="13" t="s">
        <v>5</v>
      </c>
      <c r="K2796" s="13" t="s">
        <v>6</v>
      </c>
      <c r="L2796" s="15">
        <v>-126932.4</v>
      </c>
      <c r="M2796" s="15">
        <v>-1512</v>
      </c>
      <c r="N2796" s="16" t="str">
        <f>IF(M2796="","",IF(M2796&lt;0,-M2796&amp;"_"&amp;COUNTIF(M$2:M2796,M2796),M2796&amp;"_"&amp;COUNTIF(M$2:M2796,M2796)))</f>
        <v>1512_1</v>
      </c>
      <c r="O2796" s="17" t="str">
        <f t="shared" si="43"/>
        <v/>
      </c>
      <c r="P2796" s="13" t="s">
        <v>2623</v>
      </c>
      <c r="Q2796" s="13" t="s">
        <v>2613</v>
      </c>
      <c r="R2796" s="13" t="s">
        <v>0</v>
      </c>
      <c r="S2796" s="13" t="s">
        <v>0</v>
      </c>
      <c r="T2796" s="13" t="s">
        <v>9</v>
      </c>
      <c r="U2796" s="13" t="s">
        <v>0</v>
      </c>
      <c r="V2796" s="13" t="s">
        <v>0</v>
      </c>
      <c r="W2796" s="13" t="s">
        <v>0</v>
      </c>
      <c r="X2796" s="13" t="s">
        <v>0</v>
      </c>
      <c r="Y2796" s="13" t="s">
        <v>10</v>
      </c>
      <c r="Z2796" s="13" t="s">
        <v>0</v>
      </c>
      <c r="AA2796" s="14"/>
      <c r="AB2796" s="13" t="s">
        <v>0</v>
      </c>
      <c r="AC2796" s="13" t="s">
        <v>0</v>
      </c>
      <c r="AD2796" s="13" t="s">
        <v>0</v>
      </c>
      <c r="AE2796" s="15">
        <v>0</v>
      </c>
    </row>
    <row r="2797" spans="1:31" ht="14.15" customHeight="1" x14ac:dyDescent="0.25">
      <c r="A2797" s="12" t="s">
        <v>0</v>
      </c>
      <c r="B2797" s="13" t="s">
        <v>1</v>
      </c>
      <c r="C2797" s="13" t="s">
        <v>2104</v>
      </c>
      <c r="D2797" s="14">
        <v>44199</v>
      </c>
      <c r="E2797" s="14">
        <v>44199</v>
      </c>
      <c r="F2797" s="14">
        <v>44203</v>
      </c>
      <c r="G2797" s="13" t="s">
        <v>3</v>
      </c>
      <c r="H2797" s="13" t="s">
        <v>4</v>
      </c>
      <c r="I2797" s="15">
        <v>-1510.5</v>
      </c>
      <c r="J2797" s="13" t="s">
        <v>5</v>
      </c>
      <c r="K2797" s="13" t="s">
        <v>6</v>
      </c>
      <c r="L2797" s="15">
        <v>-126806.48</v>
      </c>
      <c r="M2797" s="15">
        <v>-1510.5</v>
      </c>
      <c r="N2797" s="16" t="str">
        <f>IF(M2797="","",IF(M2797&lt;0,-M2797&amp;"_"&amp;COUNTIF(M$2:M2797,M2797),M2797&amp;"_"&amp;COUNTIF(M$2:M2797,M2797)))</f>
        <v>1510.5_1</v>
      </c>
      <c r="O2797" s="17" t="str">
        <f t="shared" si="43"/>
        <v/>
      </c>
      <c r="P2797" s="13" t="s">
        <v>2105</v>
      </c>
      <c r="Q2797" s="13" t="s">
        <v>2093</v>
      </c>
      <c r="R2797" s="13" t="s">
        <v>0</v>
      </c>
      <c r="S2797" s="13" t="s">
        <v>0</v>
      </c>
      <c r="T2797" s="13" t="s">
        <v>9</v>
      </c>
      <c r="U2797" s="13" t="s">
        <v>0</v>
      </c>
      <c r="V2797" s="13" t="s">
        <v>0</v>
      </c>
      <c r="W2797" s="13" t="s">
        <v>0</v>
      </c>
      <c r="X2797" s="13" t="s">
        <v>0</v>
      </c>
      <c r="Y2797" s="13" t="s">
        <v>10</v>
      </c>
      <c r="Z2797" s="13" t="s">
        <v>0</v>
      </c>
      <c r="AA2797" s="14"/>
      <c r="AB2797" s="13" t="s">
        <v>0</v>
      </c>
      <c r="AC2797" s="13" t="s">
        <v>0</v>
      </c>
      <c r="AD2797" s="13" t="s">
        <v>0</v>
      </c>
      <c r="AE2797" s="15">
        <v>0</v>
      </c>
    </row>
    <row r="2798" spans="1:31" ht="14.15" customHeight="1" x14ac:dyDescent="0.25">
      <c r="A2798" s="12" t="s">
        <v>0</v>
      </c>
      <c r="B2798" s="13" t="s">
        <v>1</v>
      </c>
      <c r="C2798" s="13" t="s">
        <v>3183</v>
      </c>
      <c r="D2798" s="14">
        <v>44299</v>
      </c>
      <c r="E2798" s="14">
        <v>44299</v>
      </c>
      <c r="F2798" s="14">
        <v>44308</v>
      </c>
      <c r="G2798" s="13" t="s">
        <v>3</v>
      </c>
      <c r="H2798" s="13" t="s">
        <v>4</v>
      </c>
      <c r="I2798" s="15">
        <v>-1509.84</v>
      </c>
      <c r="J2798" s="13" t="s">
        <v>5</v>
      </c>
      <c r="K2798" s="13" t="s">
        <v>6</v>
      </c>
      <c r="L2798" s="15">
        <v>-126751.07</v>
      </c>
      <c r="M2798" s="15">
        <v>-1509.84</v>
      </c>
      <c r="N2798" s="16" t="str">
        <f>IF(M2798="","",IF(M2798&lt;0,-M2798&amp;"_"&amp;COUNTIF(M$2:M2798,M2798),M2798&amp;"_"&amp;COUNTIF(M$2:M2798,M2798)))</f>
        <v>1509.84_1</v>
      </c>
      <c r="O2798" s="17" t="str">
        <f t="shared" si="43"/>
        <v/>
      </c>
      <c r="P2798" s="13" t="s">
        <v>3184</v>
      </c>
      <c r="Q2798" s="13" t="s">
        <v>3170</v>
      </c>
      <c r="R2798" s="13" t="s">
        <v>0</v>
      </c>
      <c r="S2798" s="13" t="s">
        <v>0</v>
      </c>
      <c r="T2798" s="13" t="s">
        <v>9</v>
      </c>
      <c r="U2798" s="13" t="s">
        <v>0</v>
      </c>
      <c r="V2798" s="13" t="s">
        <v>0</v>
      </c>
      <c r="W2798" s="13" t="s">
        <v>0</v>
      </c>
      <c r="X2798" s="13" t="s">
        <v>0</v>
      </c>
      <c r="Y2798" s="13" t="s">
        <v>10</v>
      </c>
      <c r="Z2798" s="13" t="s">
        <v>0</v>
      </c>
      <c r="AA2798" s="14"/>
      <c r="AB2798" s="13" t="s">
        <v>0</v>
      </c>
      <c r="AC2798" s="13" t="s">
        <v>0</v>
      </c>
      <c r="AD2798" s="13" t="s">
        <v>0</v>
      </c>
      <c r="AE2798" s="15">
        <v>0</v>
      </c>
    </row>
    <row r="2799" spans="1:31" ht="14.15" customHeight="1" x14ac:dyDescent="0.25">
      <c r="A2799" s="12" t="s">
        <v>0</v>
      </c>
      <c r="B2799" s="13" t="s">
        <v>1</v>
      </c>
      <c r="C2799" s="13" t="s">
        <v>1580</v>
      </c>
      <c r="D2799" s="14">
        <v>44166</v>
      </c>
      <c r="E2799" s="14">
        <v>44166</v>
      </c>
      <c r="F2799" s="14">
        <v>44174</v>
      </c>
      <c r="G2799" s="13" t="s">
        <v>3</v>
      </c>
      <c r="H2799" s="13" t="s">
        <v>4</v>
      </c>
      <c r="I2799" s="15">
        <v>-1508.32</v>
      </c>
      <c r="J2799" s="13" t="s">
        <v>5</v>
      </c>
      <c r="K2799" s="13" t="s">
        <v>6</v>
      </c>
      <c r="L2799" s="15">
        <v>-126623.46</v>
      </c>
      <c r="M2799" s="15">
        <v>-1508.32</v>
      </c>
      <c r="N2799" s="16" t="str">
        <f>IF(M2799="","",IF(M2799&lt;0,-M2799&amp;"_"&amp;COUNTIF(M$2:M2799,M2799),M2799&amp;"_"&amp;COUNTIF(M$2:M2799,M2799)))</f>
        <v>1508.32_1</v>
      </c>
      <c r="O2799" s="17" t="str">
        <f t="shared" si="43"/>
        <v/>
      </c>
      <c r="P2799" s="13" t="s">
        <v>1581</v>
      </c>
      <c r="Q2799" s="13" t="s">
        <v>1579</v>
      </c>
      <c r="R2799" s="13" t="s">
        <v>0</v>
      </c>
      <c r="S2799" s="13" t="s">
        <v>0</v>
      </c>
      <c r="T2799" s="13" t="s">
        <v>9</v>
      </c>
      <c r="U2799" s="13" t="s">
        <v>0</v>
      </c>
      <c r="V2799" s="13" t="s">
        <v>0</v>
      </c>
      <c r="W2799" s="13" t="s">
        <v>0</v>
      </c>
      <c r="X2799" s="13" t="s">
        <v>0</v>
      </c>
      <c r="Y2799" s="13" t="s">
        <v>10</v>
      </c>
      <c r="Z2799" s="13" t="s">
        <v>0</v>
      </c>
      <c r="AA2799" s="14"/>
      <c r="AB2799" s="13" t="s">
        <v>0</v>
      </c>
      <c r="AC2799" s="13" t="s">
        <v>0</v>
      </c>
      <c r="AD2799" s="13" t="s">
        <v>0</v>
      </c>
      <c r="AE2799" s="15">
        <v>0</v>
      </c>
    </row>
    <row r="2800" spans="1:31" ht="14.15" customHeight="1" x14ac:dyDescent="0.25">
      <c r="A2800" s="12" t="s">
        <v>0</v>
      </c>
      <c r="B2800" s="13" t="s">
        <v>1</v>
      </c>
      <c r="C2800" s="13" t="s">
        <v>1606</v>
      </c>
      <c r="D2800" s="14">
        <v>44168</v>
      </c>
      <c r="E2800" s="14">
        <v>44168</v>
      </c>
      <c r="F2800" s="14">
        <v>44174</v>
      </c>
      <c r="G2800" s="13" t="s">
        <v>3</v>
      </c>
      <c r="H2800" s="13" t="s">
        <v>4</v>
      </c>
      <c r="I2800" s="15">
        <v>-1500.82</v>
      </c>
      <c r="J2800" s="13" t="s">
        <v>5</v>
      </c>
      <c r="K2800" s="13" t="s">
        <v>6</v>
      </c>
      <c r="L2800" s="15">
        <v>-125993.84</v>
      </c>
      <c r="M2800" s="15">
        <v>-1500.82</v>
      </c>
      <c r="N2800" s="16" t="str">
        <f>IF(M2800="","",IF(M2800&lt;0,-M2800&amp;"_"&amp;COUNTIF(M$2:M2800,M2800),M2800&amp;"_"&amp;COUNTIF(M$2:M2800,M2800)))</f>
        <v>1500.82_1</v>
      </c>
      <c r="O2800" s="17" t="str">
        <f t="shared" si="43"/>
        <v/>
      </c>
      <c r="P2800" s="13" t="s">
        <v>1607</v>
      </c>
      <c r="Q2800" s="13" t="s">
        <v>1605</v>
      </c>
      <c r="R2800" s="13" t="s">
        <v>0</v>
      </c>
      <c r="S2800" s="13" t="s">
        <v>0</v>
      </c>
      <c r="T2800" s="13" t="s">
        <v>9</v>
      </c>
      <c r="U2800" s="13" t="s">
        <v>0</v>
      </c>
      <c r="V2800" s="13" t="s">
        <v>0</v>
      </c>
      <c r="W2800" s="13" t="s">
        <v>0</v>
      </c>
      <c r="X2800" s="13" t="s">
        <v>0</v>
      </c>
      <c r="Y2800" s="13" t="s">
        <v>10</v>
      </c>
      <c r="Z2800" s="13" t="s">
        <v>0</v>
      </c>
      <c r="AA2800" s="14"/>
      <c r="AB2800" s="13" t="s">
        <v>0</v>
      </c>
      <c r="AC2800" s="13" t="s">
        <v>0</v>
      </c>
      <c r="AD2800" s="13" t="s">
        <v>0</v>
      </c>
      <c r="AE2800" s="15">
        <v>0</v>
      </c>
    </row>
    <row r="2801" spans="1:31" ht="14.15" customHeight="1" x14ac:dyDescent="0.25">
      <c r="A2801" s="12" t="s">
        <v>0</v>
      </c>
      <c r="B2801" s="13" t="s">
        <v>1</v>
      </c>
      <c r="C2801" s="13" t="s">
        <v>2172</v>
      </c>
      <c r="D2801" s="14">
        <v>44209</v>
      </c>
      <c r="E2801" s="14">
        <v>44209</v>
      </c>
      <c r="F2801" s="14">
        <v>44228</v>
      </c>
      <c r="G2801" s="13" t="s">
        <v>3</v>
      </c>
      <c r="H2801" s="13" t="s">
        <v>4</v>
      </c>
      <c r="I2801" s="15">
        <v>-1499.14</v>
      </c>
      <c r="J2801" s="13" t="s">
        <v>5</v>
      </c>
      <c r="K2801" s="13" t="s">
        <v>6</v>
      </c>
      <c r="L2801" s="15">
        <v>-125852.8</v>
      </c>
      <c r="M2801" s="15">
        <v>-1499.14</v>
      </c>
      <c r="N2801" s="16" t="str">
        <f>IF(M2801="","",IF(M2801&lt;0,-M2801&amp;"_"&amp;COUNTIF(M$2:M2801,M2801),M2801&amp;"_"&amp;COUNTIF(M$2:M2801,M2801)))</f>
        <v>1499.14_1</v>
      </c>
      <c r="O2801" s="17" t="str">
        <f t="shared" si="43"/>
        <v/>
      </c>
      <c r="P2801" s="13" t="s">
        <v>2173</v>
      </c>
      <c r="Q2801" s="13" t="s">
        <v>2159</v>
      </c>
      <c r="R2801" s="13" t="s">
        <v>0</v>
      </c>
      <c r="S2801" s="13" t="s">
        <v>0</v>
      </c>
      <c r="T2801" s="13" t="s">
        <v>9</v>
      </c>
      <c r="U2801" s="13" t="s">
        <v>0</v>
      </c>
      <c r="V2801" s="13" t="s">
        <v>0</v>
      </c>
      <c r="W2801" s="13" t="s">
        <v>0</v>
      </c>
      <c r="X2801" s="13" t="s">
        <v>0</v>
      </c>
      <c r="Y2801" s="13" t="s">
        <v>10</v>
      </c>
      <c r="Z2801" s="13" t="s">
        <v>0</v>
      </c>
      <c r="AA2801" s="14"/>
      <c r="AB2801" s="13" t="s">
        <v>0</v>
      </c>
      <c r="AC2801" s="13" t="s">
        <v>0</v>
      </c>
      <c r="AD2801" s="13" t="s">
        <v>0</v>
      </c>
      <c r="AE2801" s="15">
        <v>0</v>
      </c>
    </row>
    <row r="2802" spans="1:31" ht="14.15" customHeight="1" x14ac:dyDescent="0.25">
      <c r="A2802" s="12" t="s">
        <v>0</v>
      </c>
      <c r="B2802" s="13" t="s">
        <v>1</v>
      </c>
      <c r="C2802" s="13" t="s">
        <v>1773</v>
      </c>
      <c r="D2802" s="14">
        <v>44181</v>
      </c>
      <c r="E2802" s="14">
        <v>44181</v>
      </c>
      <c r="F2802" s="14">
        <v>44187</v>
      </c>
      <c r="G2802" s="13" t="s">
        <v>3</v>
      </c>
      <c r="H2802" s="13" t="s">
        <v>4</v>
      </c>
      <c r="I2802" s="15">
        <v>-1496.79</v>
      </c>
      <c r="J2802" s="13" t="s">
        <v>5</v>
      </c>
      <c r="K2802" s="13" t="s">
        <v>6</v>
      </c>
      <c r="L2802" s="15">
        <v>-125655.52</v>
      </c>
      <c r="M2802" s="15">
        <v>-1496.79</v>
      </c>
      <c r="N2802" s="16" t="str">
        <f>IF(M2802="","",IF(M2802&lt;0,-M2802&amp;"_"&amp;COUNTIF(M$2:M2802,M2802),M2802&amp;"_"&amp;COUNTIF(M$2:M2802,M2802)))</f>
        <v>1496.79_1</v>
      </c>
      <c r="O2802" s="17" t="str">
        <f t="shared" si="43"/>
        <v/>
      </c>
      <c r="P2802" s="13" t="s">
        <v>1774</v>
      </c>
      <c r="Q2802" s="13" t="s">
        <v>1766</v>
      </c>
      <c r="R2802" s="13" t="s">
        <v>0</v>
      </c>
      <c r="S2802" s="13" t="s">
        <v>0</v>
      </c>
      <c r="T2802" s="13" t="s">
        <v>9</v>
      </c>
      <c r="U2802" s="13" t="s">
        <v>0</v>
      </c>
      <c r="V2802" s="13" t="s">
        <v>0</v>
      </c>
      <c r="W2802" s="13" t="s">
        <v>0</v>
      </c>
      <c r="X2802" s="13" t="s">
        <v>0</v>
      </c>
      <c r="Y2802" s="13" t="s">
        <v>10</v>
      </c>
      <c r="Z2802" s="13" t="s">
        <v>0</v>
      </c>
      <c r="AA2802" s="14"/>
      <c r="AB2802" s="13" t="s">
        <v>0</v>
      </c>
      <c r="AC2802" s="13" t="s">
        <v>0</v>
      </c>
      <c r="AD2802" s="13" t="s">
        <v>0</v>
      </c>
      <c r="AE2802" s="15">
        <v>0</v>
      </c>
    </row>
    <row r="2803" spans="1:31" ht="14.15" customHeight="1" x14ac:dyDescent="0.25">
      <c r="A2803" s="12" t="s">
        <v>0</v>
      </c>
      <c r="B2803" s="13" t="s">
        <v>1</v>
      </c>
      <c r="C2803" s="13" t="s">
        <v>3580</v>
      </c>
      <c r="D2803" s="14">
        <v>44326</v>
      </c>
      <c r="E2803" s="14">
        <v>44326</v>
      </c>
      <c r="F2803" s="14">
        <v>44333</v>
      </c>
      <c r="G2803" s="13" t="s">
        <v>3</v>
      </c>
      <c r="H2803" s="13" t="s">
        <v>4</v>
      </c>
      <c r="I2803" s="15">
        <v>-1495.48</v>
      </c>
      <c r="J2803" s="13" t="s">
        <v>5</v>
      </c>
      <c r="K2803" s="13" t="s">
        <v>6</v>
      </c>
      <c r="L2803" s="15">
        <v>-125545.55</v>
      </c>
      <c r="M2803" s="15">
        <v>-1495.48</v>
      </c>
      <c r="N2803" s="16" t="str">
        <f>IF(M2803="","",IF(M2803&lt;0,-M2803&amp;"_"&amp;COUNTIF(M$2:M2803,M2803),M2803&amp;"_"&amp;COUNTIF(M$2:M2803,M2803)))</f>
        <v>1495.48_1</v>
      </c>
      <c r="O2803" s="17" t="str">
        <f t="shared" si="43"/>
        <v/>
      </c>
      <c r="P2803" s="13" t="s">
        <v>3581</v>
      </c>
      <c r="Q2803" s="13" t="s">
        <v>3582</v>
      </c>
      <c r="R2803" s="13" t="s">
        <v>0</v>
      </c>
      <c r="S2803" s="13" t="s">
        <v>0</v>
      </c>
      <c r="T2803" s="13" t="s">
        <v>9</v>
      </c>
      <c r="U2803" s="13" t="s">
        <v>0</v>
      </c>
      <c r="V2803" s="13" t="s">
        <v>0</v>
      </c>
      <c r="W2803" s="13" t="s">
        <v>0</v>
      </c>
      <c r="X2803" s="13" t="s">
        <v>0</v>
      </c>
      <c r="Y2803" s="13" t="s">
        <v>10</v>
      </c>
      <c r="Z2803" s="13" t="s">
        <v>0</v>
      </c>
      <c r="AA2803" s="14"/>
      <c r="AB2803" s="13" t="s">
        <v>0</v>
      </c>
      <c r="AC2803" s="13" t="s">
        <v>0</v>
      </c>
      <c r="AD2803" s="13" t="s">
        <v>0</v>
      </c>
      <c r="AE2803" s="15">
        <v>0</v>
      </c>
    </row>
    <row r="2804" spans="1:31" ht="14.15" customHeight="1" x14ac:dyDescent="0.25">
      <c r="A2804" s="12" t="s">
        <v>0</v>
      </c>
      <c r="B2804" s="13" t="s">
        <v>1</v>
      </c>
      <c r="C2804" s="13" t="s">
        <v>4039</v>
      </c>
      <c r="D2804" s="14">
        <v>44358</v>
      </c>
      <c r="E2804" s="14">
        <v>44358</v>
      </c>
      <c r="F2804" s="14">
        <v>44364</v>
      </c>
      <c r="G2804" s="13" t="s">
        <v>3</v>
      </c>
      <c r="H2804" s="13" t="s">
        <v>4</v>
      </c>
      <c r="I2804" s="15">
        <v>-1495.48</v>
      </c>
      <c r="J2804" s="13" t="s">
        <v>5</v>
      </c>
      <c r="K2804" s="13" t="s">
        <v>6</v>
      </c>
      <c r="L2804" s="15">
        <v>-125545.55</v>
      </c>
      <c r="M2804" s="15">
        <v>-1495.48</v>
      </c>
      <c r="N2804" s="16" t="str">
        <f>IF(M2804="","",IF(M2804&lt;0,-M2804&amp;"_"&amp;COUNTIF(M$2:M2804,M2804),M2804&amp;"_"&amp;COUNTIF(M$2:M2804,M2804)))</f>
        <v>1495.48_2</v>
      </c>
      <c r="O2804" s="17" t="str">
        <f t="shared" si="43"/>
        <v/>
      </c>
      <c r="P2804" s="13" t="s">
        <v>4040</v>
      </c>
      <c r="Q2804" s="13" t="s">
        <v>4006</v>
      </c>
      <c r="R2804" s="13" t="s">
        <v>0</v>
      </c>
      <c r="S2804" s="13" t="s">
        <v>0</v>
      </c>
      <c r="T2804" s="13" t="s">
        <v>9</v>
      </c>
      <c r="U2804" s="13" t="s">
        <v>0</v>
      </c>
      <c r="V2804" s="13" t="s">
        <v>0</v>
      </c>
      <c r="W2804" s="13" t="s">
        <v>0</v>
      </c>
      <c r="X2804" s="13" t="s">
        <v>0</v>
      </c>
      <c r="Y2804" s="13" t="s">
        <v>10</v>
      </c>
      <c r="Z2804" s="13" t="s">
        <v>0</v>
      </c>
      <c r="AA2804" s="14"/>
      <c r="AB2804" s="13" t="s">
        <v>0</v>
      </c>
      <c r="AC2804" s="13" t="s">
        <v>0</v>
      </c>
      <c r="AD2804" s="13" t="s">
        <v>0</v>
      </c>
      <c r="AE2804" s="15">
        <v>0</v>
      </c>
    </row>
    <row r="2805" spans="1:31" ht="14.15" customHeight="1" x14ac:dyDescent="0.25">
      <c r="A2805" s="12" t="s">
        <v>0</v>
      </c>
      <c r="B2805" s="13" t="s">
        <v>1</v>
      </c>
      <c r="C2805" s="13" t="s">
        <v>1819</v>
      </c>
      <c r="D2805" s="14">
        <v>44183</v>
      </c>
      <c r="E2805" s="14">
        <v>44183</v>
      </c>
      <c r="F2805" s="14">
        <v>44188</v>
      </c>
      <c r="G2805" s="13" t="s">
        <v>3</v>
      </c>
      <c r="H2805" s="13" t="s">
        <v>4</v>
      </c>
      <c r="I2805" s="15">
        <v>-1495.21</v>
      </c>
      <c r="J2805" s="13" t="s">
        <v>5</v>
      </c>
      <c r="K2805" s="13" t="s">
        <v>6</v>
      </c>
      <c r="L2805" s="15">
        <v>-125522.88</v>
      </c>
      <c r="M2805" s="15">
        <v>-1495.21</v>
      </c>
      <c r="N2805" s="16" t="str">
        <f>IF(M2805="","",IF(M2805&lt;0,-M2805&amp;"_"&amp;COUNTIF(M$2:M2805,M2805),M2805&amp;"_"&amp;COUNTIF(M$2:M2805,M2805)))</f>
        <v>1495.21_1</v>
      </c>
      <c r="O2805" s="17" t="str">
        <f t="shared" si="43"/>
        <v/>
      </c>
      <c r="P2805" s="13" t="s">
        <v>1820</v>
      </c>
      <c r="Q2805" s="13" t="s">
        <v>1792</v>
      </c>
      <c r="R2805" s="13" t="s">
        <v>0</v>
      </c>
      <c r="S2805" s="13" t="s">
        <v>0</v>
      </c>
      <c r="T2805" s="13" t="s">
        <v>9</v>
      </c>
      <c r="U2805" s="13" t="s">
        <v>0</v>
      </c>
      <c r="V2805" s="13" t="s">
        <v>0</v>
      </c>
      <c r="W2805" s="13" t="s">
        <v>0</v>
      </c>
      <c r="X2805" s="13" t="s">
        <v>0</v>
      </c>
      <c r="Y2805" s="13" t="s">
        <v>10</v>
      </c>
      <c r="Z2805" s="13" t="s">
        <v>0</v>
      </c>
      <c r="AA2805" s="14"/>
      <c r="AB2805" s="13" t="s">
        <v>0</v>
      </c>
      <c r="AC2805" s="13" t="s">
        <v>0</v>
      </c>
      <c r="AD2805" s="13" t="s">
        <v>0</v>
      </c>
      <c r="AE2805" s="15">
        <v>0</v>
      </c>
    </row>
    <row r="2806" spans="1:31" ht="14.15" customHeight="1" x14ac:dyDescent="0.25">
      <c r="A2806" s="12" t="s">
        <v>0</v>
      </c>
      <c r="B2806" s="13" t="s">
        <v>1</v>
      </c>
      <c r="C2806" s="13" t="s">
        <v>1606</v>
      </c>
      <c r="D2806" s="14">
        <v>44168</v>
      </c>
      <c r="E2806" s="14">
        <v>44168</v>
      </c>
      <c r="F2806" s="14">
        <v>44174</v>
      </c>
      <c r="G2806" s="13" t="s">
        <v>3</v>
      </c>
      <c r="H2806" s="13" t="s">
        <v>4</v>
      </c>
      <c r="I2806" s="15">
        <v>-1493.32</v>
      </c>
      <c r="J2806" s="13" t="s">
        <v>5</v>
      </c>
      <c r="K2806" s="13" t="s">
        <v>6</v>
      </c>
      <c r="L2806" s="15">
        <v>-125364.22</v>
      </c>
      <c r="M2806" s="15">
        <v>-1493.32</v>
      </c>
      <c r="N2806" s="16" t="str">
        <f>IF(M2806="","",IF(M2806&lt;0,-M2806&amp;"_"&amp;COUNTIF(M$2:M2806,M2806),M2806&amp;"_"&amp;COUNTIF(M$2:M2806,M2806)))</f>
        <v>1493.32_1</v>
      </c>
      <c r="O2806" s="17" t="str">
        <f t="shared" si="43"/>
        <v/>
      </c>
      <c r="P2806" s="13" t="s">
        <v>1607</v>
      </c>
      <c r="Q2806" s="13" t="s">
        <v>1605</v>
      </c>
      <c r="R2806" s="13" t="s">
        <v>0</v>
      </c>
      <c r="S2806" s="13" t="s">
        <v>0</v>
      </c>
      <c r="T2806" s="13" t="s">
        <v>9</v>
      </c>
      <c r="U2806" s="13" t="s">
        <v>0</v>
      </c>
      <c r="V2806" s="13" t="s">
        <v>0</v>
      </c>
      <c r="W2806" s="13" t="s">
        <v>0</v>
      </c>
      <c r="X2806" s="13" t="s">
        <v>0</v>
      </c>
      <c r="Y2806" s="13" t="s">
        <v>10</v>
      </c>
      <c r="Z2806" s="13" t="s">
        <v>0</v>
      </c>
      <c r="AA2806" s="14"/>
      <c r="AB2806" s="13" t="s">
        <v>0</v>
      </c>
      <c r="AC2806" s="13" t="s">
        <v>0</v>
      </c>
      <c r="AD2806" s="13" t="s">
        <v>0</v>
      </c>
      <c r="AE2806" s="15">
        <v>0</v>
      </c>
    </row>
    <row r="2807" spans="1:31" ht="14.15" customHeight="1" x14ac:dyDescent="0.25">
      <c r="A2807" s="12" t="s">
        <v>0</v>
      </c>
      <c r="B2807" s="13" t="s">
        <v>1</v>
      </c>
      <c r="C2807" s="13" t="s">
        <v>1773</v>
      </c>
      <c r="D2807" s="14">
        <v>44181</v>
      </c>
      <c r="E2807" s="14">
        <v>44181</v>
      </c>
      <c r="F2807" s="14">
        <v>44187</v>
      </c>
      <c r="G2807" s="13" t="s">
        <v>3</v>
      </c>
      <c r="H2807" s="13" t="s">
        <v>4</v>
      </c>
      <c r="I2807" s="15">
        <v>-1487.38</v>
      </c>
      <c r="J2807" s="13" t="s">
        <v>5</v>
      </c>
      <c r="K2807" s="13" t="s">
        <v>6</v>
      </c>
      <c r="L2807" s="15">
        <v>-124865.55</v>
      </c>
      <c r="M2807" s="15">
        <v>-1487.38</v>
      </c>
      <c r="N2807" s="16" t="str">
        <f>IF(M2807="","",IF(M2807&lt;0,-M2807&amp;"_"&amp;COUNTIF(M$2:M2807,M2807),M2807&amp;"_"&amp;COUNTIF(M$2:M2807,M2807)))</f>
        <v>1487.38_1</v>
      </c>
      <c r="O2807" s="17" t="str">
        <f t="shared" si="43"/>
        <v/>
      </c>
      <c r="P2807" s="13" t="s">
        <v>1774</v>
      </c>
      <c r="Q2807" s="13" t="s">
        <v>1766</v>
      </c>
      <c r="R2807" s="13" t="s">
        <v>0</v>
      </c>
      <c r="S2807" s="13" t="s">
        <v>0</v>
      </c>
      <c r="T2807" s="13" t="s">
        <v>9</v>
      </c>
      <c r="U2807" s="13" t="s">
        <v>0</v>
      </c>
      <c r="V2807" s="13" t="s">
        <v>0</v>
      </c>
      <c r="W2807" s="13" t="s">
        <v>0</v>
      </c>
      <c r="X2807" s="13" t="s">
        <v>0</v>
      </c>
      <c r="Y2807" s="13" t="s">
        <v>10</v>
      </c>
      <c r="Z2807" s="13" t="s">
        <v>0</v>
      </c>
      <c r="AA2807" s="14"/>
      <c r="AB2807" s="13" t="s">
        <v>0</v>
      </c>
      <c r="AC2807" s="13" t="s">
        <v>0</v>
      </c>
      <c r="AD2807" s="13" t="s">
        <v>0</v>
      </c>
      <c r="AE2807" s="15">
        <v>0</v>
      </c>
    </row>
    <row r="2808" spans="1:31" ht="14.15" customHeight="1" x14ac:dyDescent="0.25">
      <c r="A2808" s="12" t="s">
        <v>0</v>
      </c>
      <c r="B2808" s="13" t="s">
        <v>1</v>
      </c>
      <c r="C2808" s="13" t="s">
        <v>396</v>
      </c>
      <c r="D2808" s="14">
        <v>44061</v>
      </c>
      <c r="E2808" s="14">
        <v>44061</v>
      </c>
      <c r="F2808" s="14">
        <v>44068</v>
      </c>
      <c r="G2808" s="13" t="s">
        <v>3</v>
      </c>
      <c r="H2808" s="13" t="s">
        <v>4</v>
      </c>
      <c r="I2808" s="15">
        <v>-1486.69</v>
      </c>
      <c r="J2808" s="13" t="s">
        <v>5</v>
      </c>
      <c r="K2808" s="13" t="s">
        <v>6</v>
      </c>
      <c r="L2808" s="15">
        <v>-124807.63</v>
      </c>
      <c r="M2808" s="15">
        <v>-1486.69</v>
      </c>
      <c r="N2808" s="16" t="str">
        <f>IF(M2808="","",IF(M2808&lt;0,-M2808&amp;"_"&amp;COUNTIF(M$2:M2808,M2808),M2808&amp;"_"&amp;COUNTIF(M$2:M2808,M2808)))</f>
        <v>1486.69_1</v>
      </c>
      <c r="O2808" s="17" t="str">
        <f t="shared" si="43"/>
        <v/>
      </c>
      <c r="P2808" s="13" t="s">
        <v>397</v>
      </c>
      <c r="Q2808" s="13" t="s">
        <v>398</v>
      </c>
      <c r="R2808" s="13" t="s">
        <v>0</v>
      </c>
      <c r="S2808" s="13" t="s">
        <v>0</v>
      </c>
      <c r="T2808" s="13" t="s">
        <v>9</v>
      </c>
      <c r="U2808" s="13" t="s">
        <v>0</v>
      </c>
      <c r="V2808" s="13" t="s">
        <v>0</v>
      </c>
      <c r="W2808" s="13" t="s">
        <v>0</v>
      </c>
      <c r="X2808" s="13" t="s">
        <v>0</v>
      </c>
      <c r="Y2808" s="13" t="s">
        <v>10</v>
      </c>
      <c r="Z2808" s="13" t="s">
        <v>0</v>
      </c>
      <c r="AA2808" s="14"/>
      <c r="AB2808" s="13" t="s">
        <v>0</v>
      </c>
      <c r="AC2808" s="13" t="s">
        <v>0</v>
      </c>
      <c r="AD2808" s="13" t="s">
        <v>0</v>
      </c>
      <c r="AE2808" s="15">
        <v>0</v>
      </c>
    </row>
    <row r="2809" spans="1:31" ht="14.15" customHeight="1" x14ac:dyDescent="0.25">
      <c r="A2809" s="12" t="s">
        <v>0</v>
      </c>
      <c r="B2809" s="13" t="s">
        <v>1</v>
      </c>
      <c r="C2809" s="13" t="s">
        <v>1374</v>
      </c>
      <c r="D2809" s="14">
        <v>44152</v>
      </c>
      <c r="E2809" s="14">
        <v>44152</v>
      </c>
      <c r="F2809" s="14">
        <v>44156</v>
      </c>
      <c r="G2809" s="13" t="s">
        <v>3</v>
      </c>
      <c r="H2809" s="13" t="s">
        <v>4</v>
      </c>
      <c r="I2809" s="15">
        <v>-1483.62</v>
      </c>
      <c r="J2809" s="13" t="s">
        <v>394</v>
      </c>
      <c r="K2809" s="13" t="s">
        <v>6</v>
      </c>
      <c r="L2809" s="15">
        <v>-124549.89</v>
      </c>
      <c r="M2809" s="15">
        <v>-1483.62</v>
      </c>
      <c r="N2809" s="16" t="str">
        <f>IF(M2809="","",IF(M2809&lt;0,-M2809&amp;"_"&amp;COUNTIF(M$2:M2809,M2809),M2809&amp;"_"&amp;COUNTIF(M$2:M2809,M2809)))</f>
        <v>1483.62_1</v>
      </c>
      <c r="O2809" s="17" t="str">
        <f t="shared" si="43"/>
        <v/>
      </c>
      <c r="P2809" s="13" t="s">
        <v>1375</v>
      </c>
      <c r="Q2809" s="13" t="s">
        <v>1376</v>
      </c>
      <c r="R2809" s="13" t="s">
        <v>0</v>
      </c>
      <c r="S2809" s="13" t="s">
        <v>0</v>
      </c>
      <c r="T2809" s="13" t="s">
        <v>9</v>
      </c>
      <c r="U2809" s="13" t="s">
        <v>0</v>
      </c>
      <c r="V2809" s="13" t="s">
        <v>0</v>
      </c>
      <c r="W2809" s="13" t="s">
        <v>0</v>
      </c>
      <c r="X2809" s="13" t="s">
        <v>0</v>
      </c>
      <c r="Y2809" s="13" t="s">
        <v>10</v>
      </c>
      <c r="Z2809" s="13" t="s">
        <v>0</v>
      </c>
      <c r="AA2809" s="14"/>
      <c r="AB2809" s="13" t="s">
        <v>0</v>
      </c>
      <c r="AC2809" s="13" t="s">
        <v>0</v>
      </c>
      <c r="AD2809" s="13" t="s">
        <v>0</v>
      </c>
      <c r="AE2809" s="15">
        <v>0</v>
      </c>
    </row>
    <row r="2810" spans="1:31" ht="14.15" customHeight="1" x14ac:dyDescent="0.25">
      <c r="A2810" s="12" t="s">
        <v>0</v>
      </c>
      <c r="B2810" s="13" t="s">
        <v>1</v>
      </c>
      <c r="C2810" s="13" t="s">
        <v>2688</v>
      </c>
      <c r="D2810" s="14">
        <v>44254</v>
      </c>
      <c r="E2810" s="14">
        <v>44254</v>
      </c>
      <c r="F2810" s="14">
        <v>44258</v>
      </c>
      <c r="G2810" s="13" t="s">
        <v>3</v>
      </c>
      <c r="H2810" s="13" t="s">
        <v>4</v>
      </c>
      <c r="I2810" s="15">
        <v>-1476.65</v>
      </c>
      <c r="J2810" s="13" t="s">
        <v>5</v>
      </c>
      <c r="K2810" s="13" t="s">
        <v>6</v>
      </c>
      <c r="L2810" s="15">
        <v>-123964.77</v>
      </c>
      <c r="M2810" s="15">
        <v>-1476.65</v>
      </c>
      <c r="N2810" s="16" t="str">
        <f>IF(M2810="","",IF(M2810&lt;0,-M2810&amp;"_"&amp;COUNTIF(M$2:M2810,M2810),M2810&amp;"_"&amp;COUNTIF(M$2:M2810,M2810)))</f>
        <v>1476.65_1</v>
      </c>
      <c r="O2810" s="17" t="str">
        <f t="shared" si="43"/>
        <v/>
      </c>
      <c r="P2810" s="13" t="s">
        <v>2689</v>
      </c>
      <c r="Q2810" s="13" t="s">
        <v>2685</v>
      </c>
      <c r="R2810" s="13" t="s">
        <v>0</v>
      </c>
      <c r="S2810" s="13" t="s">
        <v>0</v>
      </c>
      <c r="T2810" s="13" t="s">
        <v>9</v>
      </c>
      <c r="U2810" s="13" t="s">
        <v>0</v>
      </c>
      <c r="V2810" s="13" t="s">
        <v>0</v>
      </c>
      <c r="W2810" s="13" t="s">
        <v>0</v>
      </c>
      <c r="X2810" s="13" t="s">
        <v>0</v>
      </c>
      <c r="Y2810" s="13" t="s">
        <v>10</v>
      </c>
      <c r="Z2810" s="13" t="s">
        <v>0</v>
      </c>
      <c r="AA2810" s="14"/>
      <c r="AB2810" s="13" t="s">
        <v>0</v>
      </c>
      <c r="AC2810" s="13" t="s">
        <v>0</v>
      </c>
      <c r="AD2810" s="13" t="s">
        <v>0</v>
      </c>
      <c r="AE2810" s="15">
        <v>0</v>
      </c>
    </row>
    <row r="2811" spans="1:31" ht="14.15" customHeight="1" x14ac:dyDescent="0.25">
      <c r="A2811" s="12" t="s">
        <v>0</v>
      </c>
      <c r="B2811" s="13" t="s">
        <v>454</v>
      </c>
      <c r="C2811" s="13" t="s">
        <v>1077</v>
      </c>
      <c r="D2811" s="14">
        <v>44134</v>
      </c>
      <c r="E2811" s="14">
        <v>44134</v>
      </c>
      <c r="F2811" s="14">
        <v>44137</v>
      </c>
      <c r="G2811" s="13" t="s">
        <v>3</v>
      </c>
      <c r="H2811" s="13" t="s">
        <v>4</v>
      </c>
      <c r="I2811" s="15">
        <v>-1476</v>
      </c>
      <c r="J2811" s="13" t="s">
        <v>5</v>
      </c>
      <c r="K2811" s="13" t="s">
        <v>6</v>
      </c>
      <c r="L2811" s="15">
        <v>-123910.2</v>
      </c>
      <c r="M2811" s="15">
        <v>-1476</v>
      </c>
      <c r="N2811" s="16" t="str">
        <f>IF(M2811="","",IF(M2811&lt;0,-M2811&amp;"_"&amp;COUNTIF(M$2:M2811,M2811),M2811&amp;"_"&amp;COUNTIF(M$2:M2811,M2811)))</f>
        <v>1476_1</v>
      </c>
      <c r="O2811" s="17" t="str">
        <f t="shared" si="43"/>
        <v/>
      </c>
      <c r="P2811" s="13" t="s">
        <v>1078</v>
      </c>
      <c r="Q2811" s="13" t="s">
        <v>1076</v>
      </c>
      <c r="R2811" s="13" t="s">
        <v>0</v>
      </c>
      <c r="S2811" s="13" t="s">
        <v>0</v>
      </c>
      <c r="T2811" s="13" t="s">
        <v>9</v>
      </c>
      <c r="U2811" s="13" t="s">
        <v>0</v>
      </c>
      <c r="V2811" s="13" t="s">
        <v>0</v>
      </c>
      <c r="W2811" s="13" t="s">
        <v>0</v>
      </c>
      <c r="X2811" s="13" t="s">
        <v>0</v>
      </c>
      <c r="Y2811" s="13" t="s">
        <v>10</v>
      </c>
      <c r="Z2811" s="13" t="s">
        <v>0</v>
      </c>
      <c r="AA2811" s="14"/>
      <c r="AB2811" s="13" t="s">
        <v>0</v>
      </c>
      <c r="AC2811" s="13" t="s">
        <v>0</v>
      </c>
      <c r="AD2811" s="13" t="s">
        <v>0</v>
      </c>
      <c r="AE2811" s="15">
        <v>0</v>
      </c>
    </row>
    <row r="2812" spans="1:31" ht="14.15" customHeight="1" x14ac:dyDescent="0.25">
      <c r="A2812" s="12" t="s">
        <v>0</v>
      </c>
      <c r="B2812" s="13" t="s">
        <v>1</v>
      </c>
      <c r="C2812" s="13" t="s">
        <v>2280</v>
      </c>
      <c r="D2812" s="14">
        <v>44219</v>
      </c>
      <c r="E2812" s="14">
        <v>44219</v>
      </c>
      <c r="F2812" s="14">
        <v>44222</v>
      </c>
      <c r="G2812" s="13" t="s">
        <v>3</v>
      </c>
      <c r="H2812" s="13" t="s">
        <v>4</v>
      </c>
      <c r="I2812" s="15">
        <v>-1474.5</v>
      </c>
      <c r="J2812" s="13" t="s">
        <v>5</v>
      </c>
      <c r="K2812" s="13" t="s">
        <v>6</v>
      </c>
      <c r="L2812" s="15">
        <v>-123784.28</v>
      </c>
      <c r="M2812" s="15">
        <v>-1474.5</v>
      </c>
      <c r="N2812" s="16" t="str">
        <f>IF(M2812="","",IF(M2812&lt;0,-M2812&amp;"_"&amp;COUNTIF(M$2:M2812,M2812),M2812&amp;"_"&amp;COUNTIF(M$2:M2812,M2812)))</f>
        <v>1474.5_1</v>
      </c>
      <c r="O2812" s="17" t="str">
        <f t="shared" si="43"/>
        <v/>
      </c>
      <c r="P2812" s="13" t="s">
        <v>2281</v>
      </c>
      <c r="Q2812" s="13" t="s">
        <v>2282</v>
      </c>
      <c r="R2812" s="13" t="s">
        <v>0</v>
      </c>
      <c r="S2812" s="13" t="s">
        <v>0</v>
      </c>
      <c r="T2812" s="13" t="s">
        <v>9</v>
      </c>
      <c r="U2812" s="13" t="s">
        <v>0</v>
      </c>
      <c r="V2812" s="13" t="s">
        <v>0</v>
      </c>
      <c r="W2812" s="13" t="s">
        <v>0</v>
      </c>
      <c r="X2812" s="13" t="s">
        <v>0</v>
      </c>
      <c r="Y2812" s="13" t="s">
        <v>10</v>
      </c>
      <c r="Z2812" s="13" t="s">
        <v>0</v>
      </c>
      <c r="AA2812" s="14"/>
      <c r="AB2812" s="13" t="s">
        <v>0</v>
      </c>
      <c r="AC2812" s="13" t="s">
        <v>0</v>
      </c>
      <c r="AD2812" s="13" t="s">
        <v>0</v>
      </c>
      <c r="AE2812" s="15">
        <v>0</v>
      </c>
    </row>
    <row r="2813" spans="1:31" ht="14.15" customHeight="1" x14ac:dyDescent="0.25">
      <c r="A2813" s="12" t="s">
        <v>0</v>
      </c>
      <c r="B2813" s="13" t="s">
        <v>1</v>
      </c>
      <c r="C2813" s="13" t="s">
        <v>2923</v>
      </c>
      <c r="D2813" s="14">
        <v>44276</v>
      </c>
      <c r="E2813" s="14">
        <v>44276</v>
      </c>
      <c r="F2813" s="14">
        <v>44280</v>
      </c>
      <c r="G2813" s="13" t="s">
        <v>3</v>
      </c>
      <c r="H2813" s="13" t="s">
        <v>4</v>
      </c>
      <c r="I2813" s="15">
        <v>-1474.28</v>
      </c>
      <c r="J2813" s="13" t="s">
        <v>394</v>
      </c>
      <c r="K2813" s="13" t="s">
        <v>6</v>
      </c>
      <c r="L2813" s="15">
        <v>-123765.79</v>
      </c>
      <c r="M2813" s="15">
        <v>-1474.28</v>
      </c>
      <c r="N2813" s="16" t="str">
        <f>IF(M2813="","",IF(M2813&lt;0,-M2813&amp;"_"&amp;COUNTIF(M$2:M2813,M2813),M2813&amp;"_"&amp;COUNTIF(M$2:M2813,M2813)))</f>
        <v>1474.28_1</v>
      </c>
      <c r="O2813" s="17" t="str">
        <f t="shared" si="43"/>
        <v/>
      </c>
      <c r="P2813" s="13" t="s">
        <v>2924</v>
      </c>
      <c r="Q2813" s="13" t="s">
        <v>2922</v>
      </c>
      <c r="R2813" s="13" t="s">
        <v>0</v>
      </c>
      <c r="S2813" s="13" t="s">
        <v>0</v>
      </c>
      <c r="T2813" s="13" t="s">
        <v>9</v>
      </c>
      <c r="U2813" s="13" t="s">
        <v>0</v>
      </c>
      <c r="V2813" s="13" t="s">
        <v>0</v>
      </c>
      <c r="W2813" s="13" t="s">
        <v>0</v>
      </c>
      <c r="X2813" s="13" t="s">
        <v>0</v>
      </c>
      <c r="Y2813" s="13" t="s">
        <v>10</v>
      </c>
      <c r="Z2813" s="13" t="s">
        <v>0</v>
      </c>
      <c r="AA2813" s="14"/>
      <c r="AB2813" s="13" t="s">
        <v>0</v>
      </c>
      <c r="AC2813" s="13" t="s">
        <v>0</v>
      </c>
      <c r="AD2813" s="13" t="s">
        <v>0</v>
      </c>
      <c r="AE2813" s="15">
        <v>0</v>
      </c>
    </row>
    <row r="2814" spans="1:31" ht="14.15" customHeight="1" x14ac:dyDescent="0.25">
      <c r="A2814" s="12" t="s">
        <v>0</v>
      </c>
      <c r="B2814" s="13" t="s">
        <v>1</v>
      </c>
      <c r="C2814" s="13" t="s">
        <v>2923</v>
      </c>
      <c r="D2814" s="14">
        <v>44276</v>
      </c>
      <c r="E2814" s="14">
        <v>44276</v>
      </c>
      <c r="F2814" s="14">
        <v>44280</v>
      </c>
      <c r="G2814" s="13" t="s">
        <v>3</v>
      </c>
      <c r="H2814" s="13" t="s">
        <v>4</v>
      </c>
      <c r="I2814" s="15">
        <v>-1474.28</v>
      </c>
      <c r="J2814" s="13" t="s">
        <v>5</v>
      </c>
      <c r="K2814" s="13" t="s">
        <v>6</v>
      </c>
      <c r="L2814" s="15">
        <v>-123765.81</v>
      </c>
      <c r="M2814" s="15">
        <v>-1474.28</v>
      </c>
      <c r="N2814" s="16" t="str">
        <f>IF(M2814="","",IF(M2814&lt;0,-M2814&amp;"_"&amp;COUNTIF(M$2:M2814,M2814),M2814&amp;"_"&amp;COUNTIF(M$2:M2814,M2814)))</f>
        <v>1474.28_2</v>
      </c>
      <c r="O2814" s="17" t="str">
        <f t="shared" si="43"/>
        <v/>
      </c>
      <c r="P2814" s="13" t="s">
        <v>2924</v>
      </c>
      <c r="Q2814" s="13" t="s">
        <v>2922</v>
      </c>
      <c r="R2814" s="13" t="s">
        <v>0</v>
      </c>
      <c r="S2814" s="13" t="s">
        <v>0</v>
      </c>
      <c r="T2814" s="13" t="s">
        <v>9</v>
      </c>
      <c r="U2814" s="13" t="s">
        <v>0</v>
      </c>
      <c r="V2814" s="13" t="s">
        <v>0</v>
      </c>
      <c r="W2814" s="13" t="s">
        <v>0</v>
      </c>
      <c r="X2814" s="13" t="s">
        <v>0</v>
      </c>
      <c r="Y2814" s="13" t="s">
        <v>10</v>
      </c>
      <c r="Z2814" s="13" t="s">
        <v>0</v>
      </c>
      <c r="AA2814" s="14"/>
      <c r="AB2814" s="13" t="s">
        <v>0</v>
      </c>
      <c r="AC2814" s="13" t="s">
        <v>0</v>
      </c>
      <c r="AD2814" s="13" t="s">
        <v>0</v>
      </c>
      <c r="AE2814" s="15">
        <v>0</v>
      </c>
    </row>
    <row r="2815" spans="1:31" ht="14.15" customHeight="1" x14ac:dyDescent="0.25">
      <c r="A2815" s="12" t="s">
        <v>0</v>
      </c>
      <c r="B2815" s="13" t="s">
        <v>1</v>
      </c>
      <c r="C2815" s="13" t="s">
        <v>2923</v>
      </c>
      <c r="D2815" s="14">
        <v>44276</v>
      </c>
      <c r="E2815" s="14">
        <v>44276</v>
      </c>
      <c r="F2815" s="14">
        <v>44280</v>
      </c>
      <c r="G2815" s="13" t="s">
        <v>3</v>
      </c>
      <c r="H2815" s="13" t="s">
        <v>4</v>
      </c>
      <c r="I2815" s="15">
        <v>-1474.28</v>
      </c>
      <c r="J2815" s="13" t="s">
        <v>5</v>
      </c>
      <c r="K2815" s="13" t="s">
        <v>6</v>
      </c>
      <c r="L2815" s="15">
        <v>-123765.81</v>
      </c>
      <c r="M2815" s="15">
        <v>-1474.28</v>
      </c>
      <c r="N2815" s="16" t="str">
        <f>IF(M2815="","",IF(M2815&lt;0,-M2815&amp;"_"&amp;COUNTIF(M$2:M2815,M2815),M2815&amp;"_"&amp;COUNTIF(M$2:M2815,M2815)))</f>
        <v>1474.28_3</v>
      </c>
      <c r="O2815" s="17" t="str">
        <f t="shared" si="43"/>
        <v/>
      </c>
      <c r="P2815" s="13" t="s">
        <v>2924</v>
      </c>
      <c r="Q2815" s="13" t="s">
        <v>2922</v>
      </c>
      <c r="R2815" s="13" t="s">
        <v>0</v>
      </c>
      <c r="S2815" s="13" t="s">
        <v>0</v>
      </c>
      <c r="T2815" s="13" t="s">
        <v>9</v>
      </c>
      <c r="U2815" s="13" t="s">
        <v>0</v>
      </c>
      <c r="V2815" s="13" t="s">
        <v>0</v>
      </c>
      <c r="W2815" s="13" t="s">
        <v>0</v>
      </c>
      <c r="X2815" s="13" t="s">
        <v>0</v>
      </c>
      <c r="Y2815" s="13" t="s">
        <v>10</v>
      </c>
      <c r="Z2815" s="13" t="s">
        <v>0</v>
      </c>
      <c r="AA2815" s="14"/>
      <c r="AB2815" s="13" t="s">
        <v>0</v>
      </c>
      <c r="AC2815" s="13" t="s">
        <v>0</v>
      </c>
      <c r="AD2815" s="13" t="s">
        <v>0</v>
      </c>
      <c r="AE2815" s="15">
        <v>0</v>
      </c>
    </row>
    <row r="2816" spans="1:31" ht="14.15" customHeight="1" x14ac:dyDescent="0.25">
      <c r="A2816" s="12" t="s">
        <v>0</v>
      </c>
      <c r="B2816" s="13" t="s">
        <v>1</v>
      </c>
      <c r="C2816" s="13" t="s">
        <v>2923</v>
      </c>
      <c r="D2816" s="14">
        <v>44276</v>
      </c>
      <c r="E2816" s="14">
        <v>44276</v>
      </c>
      <c r="F2816" s="14">
        <v>44280</v>
      </c>
      <c r="G2816" s="13" t="s">
        <v>3</v>
      </c>
      <c r="H2816" s="13" t="s">
        <v>4</v>
      </c>
      <c r="I2816" s="15">
        <v>-1474.28</v>
      </c>
      <c r="J2816" s="13" t="s">
        <v>5</v>
      </c>
      <c r="K2816" s="13" t="s">
        <v>6</v>
      </c>
      <c r="L2816" s="15">
        <v>-123765.81</v>
      </c>
      <c r="M2816" s="15">
        <v>-1474.28</v>
      </c>
      <c r="N2816" s="16" t="str">
        <f>IF(M2816="","",IF(M2816&lt;0,-M2816&amp;"_"&amp;COUNTIF(M$2:M2816,M2816),M2816&amp;"_"&amp;COUNTIF(M$2:M2816,M2816)))</f>
        <v>1474.28_4</v>
      </c>
      <c r="O2816" s="17" t="str">
        <f t="shared" si="43"/>
        <v/>
      </c>
      <c r="P2816" s="13" t="s">
        <v>2924</v>
      </c>
      <c r="Q2816" s="13" t="s">
        <v>2922</v>
      </c>
      <c r="R2816" s="13" t="s">
        <v>0</v>
      </c>
      <c r="S2816" s="13" t="s">
        <v>0</v>
      </c>
      <c r="T2816" s="13" t="s">
        <v>9</v>
      </c>
      <c r="U2816" s="13" t="s">
        <v>0</v>
      </c>
      <c r="V2816" s="13" t="s">
        <v>0</v>
      </c>
      <c r="W2816" s="13" t="s">
        <v>0</v>
      </c>
      <c r="X2816" s="13" t="s">
        <v>0</v>
      </c>
      <c r="Y2816" s="13" t="s">
        <v>10</v>
      </c>
      <c r="Z2816" s="13" t="s">
        <v>0</v>
      </c>
      <c r="AA2816" s="14"/>
      <c r="AB2816" s="13" t="s">
        <v>0</v>
      </c>
      <c r="AC2816" s="13" t="s">
        <v>0</v>
      </c>
      <c r="AD2816" s="13" t="s">
        <v>0</v>
      </c>
      <c r="AE2816" s="15">
        <v>0</v>
      </c>
    </row>
    <row r="2817" spans="1:31" ht="14.15" customHeight="1" x14ac:dyDescent="0.25">
      <c r="A2817" s="12" t="s">
        <v>0</v>
      </c>
      <c r="B2817" s="13" t="s">
        <v>1</v>
      </c>
      <c r="C2817" s="13" t="s">
        <v>1865</v>
      </c>
      <c r="D2817" s="14">
        <v>44187</v>
      </c>
      <c r="E2817" s="14">
        <v>44187</v>
      </c>
      <c r="F2817" s="14">
        <v>44198</v>
      </c>
      <c r="G2817" s="13" t="s">
        <v>3</v>
      </c>
      <c r="H2817" s="13" t="s">
        <v>4</v>
      </c>
      <c r="I2817" s="15">
        <v>-1473.57</v>
      </c>
      <c r="J2817" s="13" t="s">
        <v>5</v>
      </c>
      <c r="K2817" s="13" t="s">
        <v>6</v>
      </c>
      <c r="L2817" s="15">
        <v>-123706.2</v>
      </c>
      <c r="M2817" s="15">
        <v>-1473.57</v>
      </c>
      <c r="N2817" s="16" t="str">
        <f>IF(M2817="","",IF(M2817&lt;0,-M2817&amp;"_"&amp;COUNTIF(M$2:M2817,M2817),M2817&amp;"_"&amp;COUNTIF(M$2:M2817,M2817)))</f>
        <v>1473.57_1</v>
      </c>
      <c r="O2817" s="17" t="str">
        <f t="shared" si="43"/>
        <v/>
      </c>
      <c r="P2817" s="13" t="s">
        <v>1866</v>
      </c>
      <c r="Q2817" s="13" t="s">
        <v>1862</v>
      </c>
      <c r="R2817" s="13" t="s">
        <v>0</v>
      </c>
      <c r="S2817" s="13" t="s">
        <v>0</v>
      </c>
      <c r="T2817" s="13" t="s">
        <v>9</v>
      </c>
      <c r="U2817" s="13" t="s">
        <v>0</v>
      </c>
      <c r="V2817" s="13" t="s">
        <v>0</v>
      </c>
      <c r="W2817" s="13" t="s">
        <v>0</v>
      </c>
      <c r="X2817" s="13" t="s">
        <v>0</v>
      </c>
      <c r="Y2817" s="13" t="s">
        <v>10</v>
      </c>
      <c r="Z2817" s="13" t="s">
        <v>0</v>
      </c>
      <c r="AA2817" s="14"/>
      <c r="AB2817" s="13" t="s">
        <v>0</v>
      </c>
      <c r="AC2817" s="13" t="s">
        <v>0</v>
      </c>
      <c r="AD2817" s="13" t="s">
        <v>0</v>
      </c>
      <c r="AE2817" s="15">
        <v>0</v>
      </c>
    </row>
    <row r="2818" spans="1:31" ht="14.15" customHeight="1" x14ac:dyDescent="0.25">
      <c r="A2818" s="12" t="s">
        <v>0</v>
      </c>
      <c r="B2818" s="13" t="s">
        <v>1</v>
      </c>
      <c r="C2818" s="13" t="s">
        <v>948</v>
      </c>
      <c r="D2818" s="14">
        <v>44122</v>
      </c>
      <c r="E2818" s="14">
        <v>44122</v>
      </c>
      <c r="F2818" s="14">
        <v>44126</v>
      </c>
      <c r="G2818" s="13" t="s">
        <v>3</v>
      </c>
      <c r="H2818" s="13" t="s">
        <v>4</v>
      </c>
      <c r="I2818" s="15">
        <v>-1472.51</v>
      </c>
      <c r="J2818" s="13" t="s">
        <v>5</v>
      </c>
      <c r="K2818" s="13" t="s">
        <v>6</v>
      </c>
      <c r="L2818" s="15">
        <v>-123617.21</v>
      </c>
      <c r="M2818" s="15">
        <v>-1472.51</v>
      </c>
      <c r="N2818" s="16" t="str">
        <f>IF(M2818="","",IF(M2818&lt;0,-M2818&amp;"_"&amp;COUNTIF(M$2:M2818,M2818),M2818&amp;"_"&amp;COUNTIF(M$2:M2818,M2818)))</f>
        <v>1472.51_1</v>
      </c>
      <c r="O2818" s="17" t="str">
        <f t="shared" ref="O2818:O2881" si="44">IF(COUNTIF(N:N,N2818)=2,"x","")</f>
        <v/>
      </c>
      <c r="P2818" s="13" t="s">
        <v>949</v>
      </c>
      <c r="Q2818" s="13" t="s">
        <v>947</v>
      </c>
      <c r="R2818" s="13" t="s">
        <v>0</v>
      </c>
      <c r="S2818" s="13" t="s">
        <v>0</v>
      </c>
      <c r="T2818" s="13" t="s">
        <v>9</v>
      </c>
      <c r="U2818" s="13" t="s">
        <v>0</v>
      </c>
      <c r="V2818" s="13" t="s">
        <v>0</v>
      </c>
      <c r="W2818" s="13" t="s">
        <v>0</v>
      </c>
      <c r="X2818" s="13" t="s">
        <v>0</v>
      </c>
      <c r="Y2818" s="13" t="s">
        <v>10</v>
      </c>
      <c r="Z2818" s="13" t="s">
        <v>0</v>
      </c>
      <c r="AA2818" s="14"/>
      <c r="AB2818" s="13" t="s">
        <v>0</v>
      </c>
      <c r="AC2818" s="13" t="s">
        <v>0</v>
      </c>
      <c r="AD2818" s="13" t="s">
        <v>0</v>
      </c>
      <c r="AE2818" s="15">
        <v>0</v>
      </c>
    </row>
    <row r="2819" spans="1:31" ht="14.15" customHeight="1" x14ac:dyDescent="0.25">
      <c r="A2819" s="12" t="s">
        <v>0</v>
      </c>
      <c r="B2819" s="13" t="s">
        <v>1</v>
      </c>
      <c r="C2819" s="13" t="s">
        <v>948</v>
      </c>
      <c r="D2819" s="14">
        <v>44122</v>
      </c>
      <c r="E2819" s="14">
        <v>44122</v>
      </c>
      <c r="F2819" s="14">
        <v>44126</v>
      </c>
      <c r="G2819" s="13" t="s">
        <v>3</v>
      </c>
      <c r="H2819" s="13" t="s">
        <v>4</v>
      </c>
      <c r="I2819" s="15">
        <v>-1472.51</v>
      </c>
      <c r="J2819" s="13" t="s">
        <v>5</v>
      </c>
      <c r="K2819" s="13" t="s">
        <v>6</v>
      </c>
      <c r="L2819" s="15">
        <v>-123617.21</v>
      </c>
      <c r="M2819" s="15">
        <v>-1472.51</v>
      </c>
      <c r="N2819" s="16" t="str">
        <f>IF(M2819="","",IF(M2819&lt;0,-M2819&amp;"_"&amp;COUNTIF(M$2:M2819,M2819),M2819&amp;"_"&amp;COUNTIF(M$2:M2819,M2819)))</f>
        <v>1472.51_2</v>
      </c>
      <c r="O2819" s="17" t="str">
        <f t="shared" si="44"/>
        <v/>
      </c>
      <c r="P2819" s="13" t="s">
        <v>949</v>
      </c>
      <c r="Q2819" s="13" t="s">
        <v>947</v>
      </c>
      <c r="R2819" s="13" t="s">
        <v>0</v>
      </c>
      <c r="S2819" s="13" t="s">
        <v>0</v>
      </c>
      <c r="T2819" s="13" t="s">
        <v>9</v>
      </c>
      <c r="U2819" s="13" t="s">
        <v>0</v>
      </c>
      <c r="V2819" s="13" t="s">
        <v>0</v>
      </c>
      <c r="W2819" s="13" t="s">
        <v>0</v>
      </c>
      <c r="X2819" s="13" t="s">
        <v>0</v>
      </c>
      <c r="Y2819" s="13" t="s">
        <v>10</v>
      </c>
      <c r="Z2819" s="13" t="s">
        <v>0</v>
      </c>
      <c r="AA2819" s="14"/>
      <c r="AB2819" s="13" t="s">
        <v>0</v>
      </c>
      <c r="AC2819" s="13" t="s">
        <v>0</v>
      </c>
      <c r="AD2819" s="13" t="s">
        <v>0</v>
      </c>
      <c r="AE2819" s="15">
        <v>0</v>
      </c>
    </row>
    <row r="2820" spans="1:31" ht="14.15" customHeight="1" x14ac:dyDescent="0.25">
      <c r="A2820" s="12" t="s">
        <v>0</v>
      </c>
      <c r="B2820" s="13" t="s">
        <v>1</v>
      </c>
      <c r="C2820" s="13" t="s">
        <v>3123</v>
      </c>
      <c r="D2820" s="14">
        <v>44291</v>
      </c>
      <c r="E2820" s="14">
        <v>44291</v>
      </c>
      <c r="F2820" s="14">
        <v>44294</v>
      </c>
      <c r="G2820" s="13" t="s">
        <v>3</v>
      </c>
      <c r="H2820" s="13" t="s">
        <v>4</v>
      </c>
      <c r="I2820" s="15">
        <v>-1471.86</v>
      </c>
      <c r="J2820" s="13" t="s">
        <v>5</v>
      </c>
      <c r="K2820" s="13" t="s">
        <v>6</v>
      </c>
      <c r="L2820" s="15">
        <v>-123562.65</v>
      </c>
      <c r="M2820" s="15">
        <v>-1471.86</v>
      </c>
      <c r="N2820" s="16" t="str">
        <f>IF(M2820="","",IF(M2820&lt;0,-M2820&amp;"_"&amp;COUNTIF(M$2:M2820,M2820),M2820&amp;"_"&amp;COUNTIF(M$2:M2820,M2820)))</f>
        <v>1471.86_1</v>
      </c>
      <c r="O2820" s="17" t="str">
        <f t="shared" si="44"/>
        <v/>
      </c>
      <c r="P2820" s="13" t="s">
        <v>3124</v>
      </c>
      <c r="Q2820" s="13" t="s">
        <v>3125</v>
      </c>
      <c r="R2820" s="13" t="s">
        <v>0</v>
      </c>
      <c r="S2820" s="13" t="s">
        <v>0</v>
      </c>
      <c r="T2820" s="13" t="s">
        <v>9</v>
      </c>
      <c r="U2820" s="13" t="s">
        <v>0</v>
      </c>
      <c r="V2820" s="13" t="s">
        <v>0</v>
      </c>
      <c r="W2820" s="13" t="s">
        <v>0</v>
      </c>
      <c r="X2820" s="13" t="s">
        <v>0</v>
      </c>
      <c r="Y2820" s="13" t="s">
        <v>10</v>
      </c>
      <c r="Z2820" s="13" t="s">
        <v>0</v>
      </c>
      <c r="AA2820" s="14"/>
      <c r="AB2820" s="13" t="s">
        <v>0</v>
      </c>
      <c r="AC2820" s="13" t="s">
        <v>0</v>
      </c>
      <c r="AD2820" s="13" t="s">
        <v>0</v>
      </c>
      <c r="AE2820" s="15">
        <v>0</v>
      </c>
    </row>
    <row r="2821" spans="1:31" ht="14.15" customHeight="1" x14ac:dyDescent="0.25">
      <c r="A2821" s="12" t="s">
        <v>0</v>
      </c>
      <c r="B2821" s="13" t="s">
        <v>1</v>
      </c>
      <c r="C2821" s="13" t="s">
        <v>537</v>
      </c>
      <c r="D2821" s="14">
        <v>44074</v>
      </c>
      <c r="E2821" s="14">
        <v>44074</v>
      </c>
      <c r="F2821" s="14">
        <v>44077</v>
      </c>
      <c r="G2821" s="13" t="s">
        <v>3</v>
      </c>
      <c r="H2821" s="13" t="s">
        <v>4</v>
      </c>
      <c r="I2821" s="15">
        <v>-1466.52</v>
      </c>
      <c r="J2821" s="13" t="s">
        <v>5</v>
      </c>
      <c r="K2821" s="13" t="s">
        <v>6</v>
      </c>
      <c r="L2821" s="15">
        <v>-123114.35</v>
      </c>
      <c r="M2821" s="15">
        <v>-1466.52</v>
      </c>
      <c r="N2821" s="16" t="str">
        <f>IF(M2821="","",IF(M2821&lt;0,-M2821&amp;"_"&amp;COUNTIF(M$2:M2821,M2821),M2821&amp;"_"&amp;COUNTIF(M$2:M2821,M2821)))</f>
        <v>1466.52_1</v>
      </c>
      <c r="O2821" s="17" t="str">
        <f t="shared" si="44"/>
        <v/>
      </c>
      <c r="P2821" s="13" t="s">
        <v>538</v>
      </c>
      <c r="Q2821" s="13" t="s">
        <v>539</v>
      </c>
      <c r="R2821" s="13" t="s">
        <v>0</v>
      </c>
      <c r="S2821" s="13" t="s">
        <v>0</v>
      </c>
      <c r="T2821" s="13" t="s">
        <v>9</v>
      </c>
      <c r="U2821" s="13" t="s">
        <v>0</v>
      </c>
      <c r="V2821" s="13" t="s">
        <v>0</v>
      </c>
      <c r="W2821" s="13" t="s">
        <v>0</v>
      </c>
      <c r="X2821" s="13" t="s">
        <v>0</v>
      </c>
      <c r="Y2821" s="13" t="s">
        <v>10</v>
      </c>
      <c r="Z2821" s="13" t="s">
        <v>0</v>
      </c>
      <c r="AA2821" s="14"/>
      <c r="AB2821" s="13" t="s">
        <v>0</v>
      </c>
      <c r="AC2821" s="13" t="s">
        <v>0</v>
      </c>
      <c r="AD2821" s="13" t="s">
        <v>0</v>
      </c>
      <c r="AE2821" s="15">
        <v>0</v>
      </c>
    </row>
    <row r="2822" spans="1:31" ht="14.15" customHeight="1" x14ac:dyDescent="0.25">
      <c r="A2822" s="12" t="s">
        <v>0</v>
      </c>
      <c r="B2822" s="13" t="s">
        <v>1</v>
      </c>
      <c r="C2822" s="13" t="s">
        <v>2589</v>
      </c>
      <c r="D2822" s="14">
        <v>44243</v>
      </c>
      <c r="E2822" s="14">
        <v>44243</v>
      </c>
      <c r="F2822" s="14">
        <v>44251</v>
      </c>
      <c r="G2822" s="13" t="s">
        <v>3</v>
      </c>
      <c r="H2822" s="13" t="s">
        <v>4</v>
      </c>
      <c r="I2822" s="15">
        <v>-1466.2</v>
      </c>
      <c r="J2822" s="13" t="s">
        <v>5</v>
      </c>
      <c r="K2822" s="13" t="s">
        <v>6</v>
      </c>
      <c r="L2822" s="15">
        <v>-123087.49</v>
      </c>
      <c r="M2822" s="15">
        <v>-1466.2</v>
      </c>
      <c r="N2822" s="16" t="str">
        <f>IF(M2822="","",IF(M2822&lt;0,-M2822&amp;"_"&amp;COUNTIF(M$2:M2822,M2822),M2822&amp;"_"&amp;COUNTIF(M$2:M2822,M2822)))</f>
        <v>1466.2_1</v>
      </c>
      <c r="O2822" s="17" t="str">
        <f t="shared" si="44"/>
        <v/>
      </c>
      <c r="P2822" s="13" t="s">
        <v>2590</v>
      </c>
      <c r="Q2822" s="13" t="s">
        <v>2574</v>
      </c>
      <c r="R2822" s="13" t="s">
        <v>0</v>
      </c>
      <c r="S2822" s="13" t="s">
        <v>0</v>
      </c>
      <c r="T2822" s="13" t="s">
        <v>9</v>
      </c>
      <c r="U2822" s="13" t="s">
        <v>0</v>
      </c>
      <c r="V2822" s="13" t="s">
        <v>0</v>
      </c>
      <c r="W2822" s="13" t="s">
        <v>0</v>
      </c>
      <c r="X2822" s="13" t="s">
        <v>0</v>
      </c>
      <c r="Y2822" s="13" t="s">
        <v>10</v>
      </c>
      <c r="Z2822" s="13" t="s">
        <v>0</v>
      </c>
      <c r="AA2822" s="14"/>
      <c r="AB2822" s="13" t="s">
        <v>0</v>
      </c>
      <c r="AC2822" s="13" t="s">
        <v>0</v>
      </c>
      <c r="AD2822" s="13" t="s">
        <v>0</v>
      </c>
      <c r="AE2822" s="15">
        <v>0</v>
      </c>
    </row>
    <row r="2823" spans="1:31" ht="14.15" customHeight="1" x14ac:dyDescent="0.25">
      <c r="A2823" s="12" t="s">
        <v>0</v>
      </c>
      <c r="B2823" s="13" t="s">
        <v>1</v>
      </c>
      <c r="C2823" s="13" t="s">
        <v>2589</v>
      </c>
      <c r="D2823" s="14">
        <v>44243</v>
      </c>
      <c r="E2823" s="14">
        <v>44243</v>
      </c>
      <c r="F2823" s="14">
        <v>44251</v>
      </c>
      <c r="G2823" s="13" t="s">
        <v>3</v>
      </c>
      <c r="H2823" s="13" t="s">
        <v>4</v>
      </c>
      <c r="I2823" s="15">
        <v>-1466.2</v>
      </c>
      <c r="J2823" s="13" t="s">
        <v>5</v>
      </c>
      <c r="K2823" s="13" t="s">
        <v>6</v>
      </c>
      <c r="L2823" s="15">
        <v>-123087.49</v>
      </c>
      <c r="M2823" s="15">
        <v>-1466.2</v>
      </c>
      <c r="N2823" s="16" t="str">
        <f>IF(M2823="","",IF(M2823&lt;0,-M2823&amp;"_"&amp;COUNTIF(M$2:M2823,M2823),M2823&amp;"_"&amp;COUNTIF(M$2:M2823,M2823)))</f>
        <v>1466.2_2</v>
      </c>
      <c r="O2823" s="17" t="str">
        <f t="shared" si="44"/>
        <v/>
      </c>
      <c r="P2823" s="13" t="s">
        <v>2590</v>
      </c>
      <c r="Q2823" s="13" t="s">
        <v>2574</v>
      </c>
      <c r="R2823" s="13" t="s">
        <v>0</v>
      </c>
      <c r="S2823" s="13" t="s">
        <v>0</v>
      </c>
      <c r="T2823" s="13" t="s">
        <v>9</v>
      </c>
      <c r="U2823" s="13" t="s">
        <v>0</v>
      </c>
      <c r="V2823" s="13" t="s">
        <v>0</v>
      </c>
      <c r="W2823" s="13" t="s">
        <v>0</v>
      </c>
      <c r="X2823" s="13" t="s">
        <v>0</v>
      </c>
      <c r="Y2823" s="13" t="s">
        <v>10</v>
      </c>
      <c r="Z2823" s="13" t="s">
        <v>0</v>
      </c>
      <c r="AA2823" s="14"/>
      <c r="AB2823" s="13" t="s">
        <v>0</v>
      </c>
      <c r="AC2823" s="13" t="s">
        <v>0</v>
      </c>
      <c r="AD2823" s="13" t="s">
        <v>0</v>
      </c>
      <c r="AE2823" s="15">
        <v>0</v>
      </c>
    </row>
    <row r="2824" spans="1:31" ht="14.15" customHeight="1" x14ac:dyDescent="0.25">
      <c r="A2824" s="12" t="s">
        <v>0</v>
      </c>
      <c r="B2824" s="13" t="s">
        <v>1</v>
      </c>
      <c r="C2824" s="13" t="s">
        <v>2589</v>
      </c>
      <c r="D2824" s="14">
        <v>44243</v>
      </c>
      <c r="E2824" s="14">
        <v>44243</v>
      </c>
      <c r="F2824" s="14">
        <v>44251</v>
      </c>
      <c r="G2824" s="13" t="s">
        <v>3</v>
      </c>
      <c r="H2824" s="13" t="s">
        <v>4</v>
      </c>
      <c r="I2824" s="15">
        <v>-1466.2</v>
      </c>
      <c r="J2824" s="13" t="s">
        <v>5</v>
      </c>
      <c r="K2824" s="13" t="s">
        <v>6</v>
      </c>
      <c r="L2824" s="15">
        <v>-123087.49</v>
      </c>
      <c r="M2824" s="15">
        <v>-1466.2</v>
      </c>
      <c r="N2824" s="16" t="str">
        <f>IF(M2824="","",IF(M2824&lt;0,-M2824&amp;"_"&amp;COUNTIF(M$2:M2824,M2824),M2824&amp;"_"&amp;COUNTIF(M$2:M2824,M2824)))</f>
        <v>1466.2_3</v>
      </c>
      <c r="O2824" s="17" t="str">
        <f t="shared" si="44"/>
        <v/>
      </c>
      <c r="P2824" s="13" t="s">
        <v>2590</v>
      </c>
      <c r="Q2824" s="13" t="s">
        <v>2574</v>
      </c>
      <c r="R2824" s="13" t="s">
        <v>0</v>
      </c>
      <c r="S2824" s="13" t="s">
        <v>0</v>
      </c>
      <c r="T2824" s="13" t="s">
        <v>9</v>
      </c>
      <c r="U2824" s="13" t="s">
        <v>0</v>
      </c>
      <c r="V2824" s="13" t="s">
        <v>0</v>
      </c>
      <c r="W2824" s="13" t="s">
        <v>0</v>
      </c>
      <c r="X2824" s="13" t="s">
        <v>0</v>
      </c>
      <c r="Y2824" s="13" t="s">
        <v>10</v>
      </c>
      <c r="Z2824" s="13" t="s">
        <v>0</v>
      </c>
      <c r="AA2824" s="14"/>
      <c r="AB2824" s="13" t="s">
        <v>0</v>
      </c>
      <c r="AC2824" s="13" t="s">
        <v>0</v>
      </c>
      <c r="AD2824" s="13" t="s">
        <v>0</v>
      </c>
      <c r="AE2824" s="15">
        <v>0</v>
      </c>
    </row>
    <row r="2825" spans="1:31" ht="14.15" customHeight="1" x14ac:dyDescent="0.25">
      <c r="A2825" s="12" t="s">
        <v>0</v>
      </c>
      <c r="B2825" s="13" t="s">
        <v>1</v>
      </c>
      <c r="C2825" s="13" t="s">
        <v>1863</v>
      </c>
      <c r="D2825" s="14">
        <v>44187</v>
      </c>
      <c r="E2825" s="14">
        <v>44187</v>
      </c>
      <c r="F2825" s="14">
        <v>44195</v>
      </c>
      <c r="G2825" s="13" t="s">
        <v>3</v>
      </c>
      <c r="H2825" s="13" t="s">
        <v>4</v>
      </c>
      <c r="I2825" s="15">
        <v>-1465.34</v>
      </c>
      <c r="J2825" s="13" t="s">
        <v>5</v>
      </c>
      <c r="K2825" s="13" t="s">
        <v>6</v>
      </c>
      <c r="L2825" s="15">
        <v>-123015.29</v>
      </c>
      <c r="M2825" s="15">
        <v>-1465.34</v>
      </c>
      <c r="N2825" s="16" t="str">
        <f>IF(M2825="","",IF(M2825&lt;0,-M2825&amp;"_"&amp;COUNTIF(M$2:M2825,M2825),M2825&amp;"_"&amp;COUNTIF(M$2:M2825,M2825)))</f>
        <v>1465.34_1</v>
      </c>
      <c r="O2825" s="17" t="str">
        <f t="shared" si="44"/>
        <v/>
      </c>
      <c r="P2825" s="13" t="s">
        <v>1864</v>
      </c>
      <c r="Q2825" s="13" t="s">
        <v>1862</v>
      </c>
      <c r="R2825" s="13" t="s">
        <v>0</v>
      </c>
      <c r="S2825" s="13" t="s">
        <v>0</v>
      </c>
      <c r="T2825" s="13" t="s">
        <v>9</v>
      </c>
      <c r="U2825" s="13" t="s">
        <v>0</v>
      </c>
      <c r="V2825" s="13" t="s">
        <v>0</v>
      </c>
      <c r="W2825" s="13" t="s">
        <v>0</v>
      </c>
      <c r="X2825" s="13" t="s">
        <v>0</v>
      </c>
      <c r="Y2825" s="13" t="s">
        <v>10</v>
      </c>
      <c r="Z2825" s="13" t="s">
        <v>0</v>
      </c>
      <c r="AA2825" s="14"/>
      <c r="AB2825" s="13" t="s">
        <v>0</v>
      </c>
      <c r="AC2825" s="13" t="s">
        <v>0</v>
      </c>
      <c r="AD2825" s="13" t="s">
        <v>0</v>
      </c>
      <c r="AE2825" s="15">
        <v>0</v>
      </c>
    </row>
    <row r="2826" spans="1:31" ht="14.15" customHeight="1" x14ac:dyDescent="0.25">
      <c r="A2826" s="12" t="s">
        <v>0</v>
      </c>
      <c r="B2826" s="13" t="s">
        <v>1</v>
      </c>
      <c r="C2826" s="13" t="s">
        <v>3068</v>
      </c>
      <c r="D2826" s="14">
        <v>44284</v>
      </c>
      <c r="E2826" s="14">
        <v>44284</v>
      </c>
      <c r="F2826" s="14">
        <v>44291</v>
      </c>
      <c r="G2826" s="13" t="s">
        <v>3</v>
      </c>
      <c r="H2826" s="13" t="s">
        <v>4</v>
      </c>
      <c r="I2826" s="15">
        <v>-1465.34</v>
      </c>
      <c r="J2826" s="13" t="s">
        <v>5</v>
      </c>
      <c r="K2826" s="13" t="s">
        <v>6</v>
      </c>
      <c r="L2826" s="15">
        <v>-123015.29</v>
      </c>
      <c r="M2826" s="15">
        <v>-1465.34</v>
      </c>
      <c r="N2826" s="16" t="str">
        <f>IF(M2826="","",IF(M2826&lt;0,-M2826&amp;"_"&amp;COUNTIF(M$2:M2826,M2826),M2826&amp;"_"&amp;COUNTIF(M$2:M2826,M2826)))</f>
        <v>1465.34_2</v>
      </c>
      <c r="O2826" s="17" t="str">
        <f t="shared" si="44"/>
        <v/>
      </c>
      <c r="P2826" s="13" t="s">
        <v>3069</v>
      </c>
      <c r="Q2826" s="13" t="s">
        <v>3061</v>
      </c>
      <c r="R2826" s="13" t="s">
        <v>0</v>
      </c>
      <c r="S2826" s="13" t="s">
        <v>0</v>
      </c>
      <c r="T2826" s="13" t="s">
        <v>9</v>
      </c>
      <c r="U2826" s="13" t="s">
        <v>0</v>
      </c>
      <c r="V2826" s="13" t="s">
        <v>0</v>
      </c>
      <c r="W2826" s="13" t="s">
        <v>0</v>
      </c>
      <c r="X2826" s="13" t="s">
        <v>0</v>
      </c>
      <c r="Y2826" s="13" t="s">
        <v>10</v>
      </c>
      <c r="Z2826" s="13" t="s">
        <v>0</v>
      </c>
      <c r="AA2826" s="14"/>
      <c r="AB2826" s="13" t="s">
        <v>0</v>
      </c>
      <c r="AC2826" s="13" t="s">
        <v>0</v>
      </c>
      <c r="AD2826" s="13" t="s">
        <v>0</v>
      </c>
      <c r="AE2826" s="15">
        <v>0</v>
      </c>
    </row>
    <row r="2827" spans="1:31" ht="14.15" customHeight="1" x14ac:dyDescent="0.25">
      <c r="A2827" s="12" t="s">
        <v>0</v>
      </c>
      <c r="B2827" s="13" t="s">
        <v>1</v>
      </c>
      <c r="C2827" s="13" t="s">
        <v>3585</v>
      </c>
      <c r="D2827" s="14">
        <v>44327</v>
      </c>
      <c r="E2827" s="14">
        <v>44327</v>
      </c>
      <c r="F2827" s="14">
        <v>44336</v>
      </c>
      <c r="G2827" s="13" t="s">
        <v>3</v>
      </c>
      <c r="H2827" s="13" t="s">
        <v>4</v>
      </c>
      <c r="I2827" s="15">
        <v>-1459.82</v>
      </c>
      <c r="J2827" s="13" t="s">
        <v>5</v>
      </c>
      <c r="K2827" s="13" t="s">
        <v>6</v>
      </c>
      <c r="L2827" s="15">
        <v>-122551.89</v>
      </c>
      <c r="M2827" s="15">
        <v>-1459.82</v>
      </c>
      <c r="N2827" s="16" t="str">
        <f>IF(M2827="","",IF(M2827&lt;0,-M2827&amp;"_"&amp;COUNTIF(M$2:M2827,M2827),M2827&amp;"_"&amp;COUNTIF(M$2:M2827,M2827)))</f>
        <v>1459.82_1</v>
      </c>
      <c r="O2827" s="17" t="str">
        <f t="shared" si="44"/>
        <v/>
      </c>
      <c r="P2827" s="13" t="s">
        <v>3586</v>
      </c>
      <c r="Q2827" s="13" t="s">
        <v>3587</v>
      </c>
      <c r="R2827" s="13" t="s">
        <v>0</v>
      </c>
      <c r="S2827" s="13" t="s">
        <v>0</v>
      </c>
      <c r="T2827" s="13" t="s">
        <v>9</v>
      </c>
      <c r="U2827" s="13" t="s">
        <v>0</v>
      </c>
      <c r="V2827" s="13" t="s">
        <v>0</v>
      </c>
      <c r="W2827" s="13" t="s">
        <v>0</v>
      </c>
      <c r="X2827" s="13" t="s">
        <v>0</v>
      </c>
      <c r="Y2827" s="13" t="s">
        <v>10</v>
      </c>
      <c r="Z2827" s="13" t="s">
        <v>0</v>
      </c>
      <c r="AA2827" s="14"/>
      <c r="AB2827" s="13" t="s">
        <v>0</v>
      </c>
      <c r="AC2827" s="13" t="s">
        <v>0</v>
      </c>
      <c r="AD2827" s="13" t="s">
        <v>0</v>
      </c>
      <c r="AE2827" s="15">
        <v>0</v>
      </c>
    </row>
    <row r="2828" spans="1:31" ht="14.15" customHeight="1" x14ac:dyDescent="0.25">
      <c r="A2828" s="12" t="s">
        <v>0</v>
      </c>
      <c r="B2828" s="13" t="s">
        <v>1</v>
      </c>
      <c r="C2828" s="13" t="s">
        <v>1823</v>
      </c>
      <c r="D2828" s="14">
        <v>44183</v>
      </c>
      <c r="E2828" s="14">
        <v>44183</v>
      </c>
      <c r="F2828" s="14">
        <v>44189</v>
      </c>
      <c r="G2828" s="13" t="s">
        <v>3</v>
      </c>
      <c r="H2828" s="13" t="s">
        <v>4</v>
      </c>
      <c r="I2828" s="15">
        <v>-1458.43</v>
      </c>
      <c r="J2828" s="13" t="s">
        <v>5</v>
      </c>
      <c r="K2828" s="13" t="s">
        <v>6</v>
      </c>
      <c r="L2828" s="15">
        <v>-122435.2</v>
      </c>
      <c r="M2828" s="15">
        <v>-1458.43</v>
      </c>
      <c r="N2828" s="16" t="str">
        <f>IF(M2828="","",IF(M2828&lt;0,-M2828&amp;"_"&amp;COUNTIF(M$2:M2828,M2828),M2828&amp;"_"&amp;COUNTIF(M$2:M2828,M2828)))</f>
        <v>1458.43_1</v>
      </c>
      <c r="O2828" s="17" t="str">
        <f t="shared" si="44"/>
        <v/>
      </c>
      <c r="P2828" s="13" t="s">
        <v>1824</v>
      </c>
      <c r="Q2828" s="13" t="s">
        <v>1792</v>
      </c>
      <c r="R2828" s="13" t="s">
        <v>0</v>
      </c>
      <c r="S2828" s="13" t="s">
        <v>0</v>
      </c>
      <c r="T2828" s="13" t="s">
        <v>9</v>
      </c>
      <c r="U2828" s="13" t="s">
        <v>0</v>
      </c>
      <c r="V2828" s="13" t="s">
        <v>0</v>
      </c>
      <c r="W2828" s="13" t="s">
        <v>0</v>
      </c>
      <c r="X2828" s="13" t="s">
        <v>0</v>
      </c>
      <c r="Y2828" s="13" t="s">
        <v>10</v>
      </c>
      <c r="Z2828" s="13" t="s">
        <v>0</v>
      </c>
      <c r="AA2828" s="14"/>
      <c r="AB2828" s="13" t="s">
        <v>0</v>
      </c>
      <c r="AC2828" s="13" t="s">
        <v>0</v>
      </c>
      <c r="AD2828" s="13" t="s">
        <v>0</v>
      </c>
      <c r="AE2828" s="15">
        <v>0</v>
      </c>
    </row>
    <row r="2829" spans="1:31" ht="14.15" customHeight="1" x14ac:dyDescent="0.25">
      <c r="A2829" s="12" t="s">
        <v>0</v>
      </c>
      <c r="B2829" s="13" t="s">
        <v>1</v>
      </c>
      <c r="C2829" s="13" t="s">
        <v>2877</v>
      </c>
      <c r="D2829" s="14">
        <v>44274</v>
      </c>
      <c r="E2829" s="14">
        <v>44274</v>
      </c>
      <c r="F2829" s="14">
        <v>44287</v>
      </c>
      <c r="G2829" s="13" t="s">
        <v>3</v>
      </c>
      <c r="H2829" s="13" t="s">
        <v>4</v>
      </c>
      <c r="I2829" s="15">
        <v>-1455.44</v>
      </c>
      <c r="J2829" s="13" t="s">
        <v>5</v>
      </c>
      <c r="K2829" s="13" t="s">
        <v>6</v>
      </c>
      <c r="L2829" s="15">
        <v>-122184.19</v>
      </c>
      <c r="M2829" s="15">
        <v>-1455.44</v>
      </c>
      <c r="N2829" s="16" t="str">
        <f>IF(M2829="","",IF(M2829&lt;0,-M2829&amp;"_"&amp;COUNTIF(M$2:M2829,M2829),M2829&amp;"_"&amp;COUNTIF(M$2:M2829,M2829)))</f>
        <v>1455.44_1</v>
      </c>
      <c r="O2829" s="17" t="str">
        <f t="shared" si="44"/>
        <v/>
      </c>
      <c r="P2829" s="13" t="s">
        <v>2878</v>
      </c>
      <c r="Q2829" s="13" t="s">
        <v>2874</v>
      </c>
      <c r="R2829" s="13" t="s">
        <v>0</v>
      </c>
      <c r="S2829" s="13" t="s">
        <v>0</v>
      </c>
      <c r="T2829" s="13" t="s">
        <v>9</v>
      </c>
      <c r="U2829" s="13" t="s">
        <v>0</v>
      </c>
      <c r="V2829" s="13" t="s">
        <v>0</v>
      </c>
      <c r="W2829" s="13" t="s">
        <v>0</v>
      </c>
      <c r="X2829" s="13" t="s">
        <v>0</v>
      </c>
      <c r="Y2829" s="13" t="s">
        <v>10</v>
      </c>
      <c r="Z2829" s="13" t="s">
        <v>0</v>
      </c>
      <c r="AA2829" s="14"/>
      <c r="AB2829" s="13" t="s">
        <v>0</v>
      </c>
      <c r="AC2829" s="13" t="s">
        <v>0</v>
      </c>
      <c r="AD2829" s="13" t="s">
        <v>0</v>
      </c>
      <c r="AE2829" s="15">
        <v>0</v>
      </c>
    </row>
    <row r="2830" spans="1:31" ht="14.15" customHeight="1" x14ac:dyDescent="0.25">
      <c r="A2830" s="12" t="s">
        <v>0</v>
      </c>
      <c r="B2830" s="13" t="s">
        <v>1</v>
      </c>
      <c r="C2830" s="13" t="s">
        <v>3120</v>
      </c>
      <c r="D2830" s="14">
        <v>44290</v>
      </c>
      <c r="E2830" s="14">
        <v>44290</v>
      </c>
      <c r="F2830" s="14">
        <v>44298</v>
      </c>
      <c r="G2830" s="13" t="s">
        <v>3</v>
      </c>
      <c r="H2830" s="13" t="s">
        <v>4</v>
      </c>
      <c r="I2830" s="15">
        <v>-1450.95</v>
      </c>
      <c r="J2830" s="13" t="s">
        <v>5</v>
      </c>
      <c r="K2830" s="13" t="s">
        <v>6</v>
      </c>
      <c r="L2830" s="15">
        <v>-121807.25</v>
      </c>
      <c r="M2830" s="15">
        <v>-1450.95</v>
      </c>
      <c r="N2830" s="16" t="str">
        <f>IF(M2830="","",IF(M2830&lt;0,-M2830&amp;"_"&amp;COUNTIF(M$2:M2830,M2830),M2830&amp;"_"&amp;COUNTIF(M$2:M2830,M2830)))</f>
        <v>1450.95_1</v>
      </c>
      <c r="O2830" s="17" t="str">
        <f t="shared" si="44"/>
        <v/>
      </c>
      <c r="P2830" s="13" t="s">
        <v>3121</v>
      </c>
      <c r="Q2830" s="13" t="s">
        <v>3122</v>
      </c>
      <c r="R2830" s="13" t="s">
        <v>0</v>
      </c>
      <c r="S2830" s="13" t="s">
        <v>0</v>
      </c>
      <c r="T2830" s="13" t="s">
        <v>9</v>
      </c>
      <c r="U2830" s="13" t="s">
        <v>0</v>
      </c>
      <c r="V2830" s="13" t="s">
        <v>0</v>
      </c>
      <c r="W2830" s="13" t="s">
        <v>0</v>
      </c>
      <c r="X2830" s="13" t="s">
        <v>0</v>
      </c>
      <c r="Y2830" s="13" t="s">
        <v>10</v>
      </c>
      <c r="Z2830" s="13" t="s">
        <v>0</v>
      </c>
      <c r="AA2830" s="14"/>
      <c r="AB2830" s="13" t="s">
        <v>0</v>
      </c>
      <c r="AC2830" s="13" t="s">
        <v>0</v>
      </c>
      <c r="AD2830" s="13" t="s">
        <v>0</v>
      </c>
      <c r="AE2830" s="15">
        <v>0</v>
      </c>
    </row>
    <row r="2831" spans="1:31" ht="14.15" customHeight="1" x14ac:dyDescent="0.25">
      <c r="A2831" s="12" t="s">
        <v>0</v>
      </c>
      <c r="B2831" s="13" t="s">
        <v>1</v>
      </c>
      <c r="C2831" s="13" t="s">
        <v>4223</v>
      </c>
      <c r="D2831" s="14">
        <v>44366</v>
      </c>
      <c r="E2831" s="14">
        <v>44366</v>
      </c>
      <c r="F2831" s="14">
        <v>44384</v>
      </c>
      <c r="G2831" s="13" t="s">
        <v>3</v>
      </c>
      <c r="H2831" s="13" t="s">
        <v>4</v>
      </c>
      <c r="I2831" s="15">
        <v>-1447.34</v>
      </c>
      <c r="J2831" s="13" t="s">
        <v>5</v>
      </c>
      <c r="K2831" s="13" t="s">
        <v>6</v>
      </c>
      <c r="L2831" s="15">
        <v>-121504.19</v>
      </c>
      <c r="M2831" s="15">
        <v>-1447.34</v>
      </c>
      <c r="N2831" s="16" t="str">
        <f>IF(M2831="","",IF(M2831&lt;0,-M2831&amp;"_"&amp;COUNTIF(M$2:M2831,M2831),M2831&amp;"_"&amp;COUNTIF(M$2:M2831,M2831)))</f>
        <v>1447.34_1</v>
      </c>
      <c r="O2831" s="17" t="str">
        <f t="shared" si="44"/>
        <v/>
      </c>
      <c r="P2831" s="13" t="s">
        <v>4224</v>
      </c>
      <c r="Q2831" s="13" t="s">
        <v>4216</v>
      </c>
      <c r="R2831" s="13" t="s">
        <v>0</v>
      </c>
      <c r="S2831" s="13" t="s">
        <v>0</v>
      </c>
      <c r="T2831" s="13" t="s">
        <v>9</v>
      </c>
      <c r="U2831" s="13" t="s">
        <v>0</v>
      </c>
      <c r="V2831" s="13" t="s">
        <v>0</v>
      </c>
      <c r="W2831" s="13" t="s">
        <v>0</v>
      </c>
      <c r="X2831" s="13" t="s">
        <v>0</v>
      </c>
      <c r="Y2831" s="13" t="s">
        <v>10</v>
      </c>
      <c r="Z2831" s="13" t="s">
        <v>0</v>
      </c>
      <c r="AA2831" s="14"/>
      <c r="AB2831" s="13" t="s">
        <v>0</v>
      </c>
      <c r="AC2831" s="13" t="s">
        <v>0</v>
      </c>
      <c r="AD2831" s="13" t="s">
        <v>0</v>
      </c>
      <c r="AE2831" s="15">
        <v>0</v>
      </c>
    </row>
    <row r="2832" spans="1:31" ht="14.15" customHeight="1" x14ac:dyDescent="0.25">
      <c r="A2832" s="12" t="s">
        <v>0</v>
      </c>
      <c r="B2832" s="13" t="s">
        <v>1</v>
      </c>
      <c r="C2832" s="13" t="s">
        <v>2104</v>
      </c>
      <c r="D2832" s="14">
        <v>44199</v>
      </c>
      <c r="E2832" s="14">
        <v>44199</v>
      </c>
      <c r="F2832" s="14">
        <v>44203</v>
      </c>
      <c r="G2832" s="13" t="s">
        <v>3</v>
      </c>
      <c r="H2832" s="13" t="s">
        <v>4</v>
      </c>
      <c r="I2832" s="15">
        <v>-1446.2</v>
      </c>
      <c r="J2832" s="13" t="s">
        <v>5</v>
      </c>
      <c r="K2832" s="13" t="s">
        <v>6</v>
      </c>
      <c r="L2832" s="15">
        <v>-121408.49</v>
      </c>
      <c r="M2832" s="15">
        <v>-1446.2</v>
      </c>
      <c r="N2832" s="16" t="str">
        <f>IF(M2832="","",IF(M2832&lt;0,-M2832&amp;"_"&amp;COUNTIF(M$2:M2832,M2832),M2832&amp;"_"&amp;COUNTIF(M$2:M2832,M2832)))</f>
        <v>1446.2_1</v>
      </c>
      <c r="O2832" s="17" t="str">
        <f t="shared" si="44"/>
        <v/>
      </c>
      <c r="P2832" s="13" t="s">
        <v>2105</v>
      </c>
      <c r="Q2832" s="13" t="s">
        <v>2093</v>
      </c>
      <c r="R2832" s="13" t="s">
        <v>0</v>
      </c>
      <c r="S2832" s="13" t="s">
        <v>0</v>
      </c>
      <c r="T2832" s="13" t="s">
        <v>9</v>
      </c>
      <c r="U2832" s="13" t="s">
        <v>0</v>
      </c>
      <c r="V2832" s="13" t="s">
        <v>0</v>
      </c>
      <c r="W2832" s="13" t="s">
        <v>0</v>
      </c>
      <c r="X2832" s="13" t="s">
        <v>0</v>
      </c>
      <c r="Y2832" s="13" t="s">
        <v>10</v>
      </c>
      <c r="Z2832" s="13" t="s">
        <v>0</v>
      </c>
      <c r="AA2832" s="14"/>
      <c r="AB2832" s="13" t="s">
        <v>0</v>
      </c>
      <c r="AC2832" s="13" t="s">
        <v>0</v>
      </c>
      <c r="AD2832" s="13" t="s">
        <v>0</v>
      </c>
      <c r="AE2832" s="15">
        <v>0</v>
      </c>
    </row>
    <row r="2833" spans="1:31" ht="14.15" customHeight="1" x14ac:dyDescent="0.25">
      <c r="A2833" s="12" t="s">
        <v>0</v>
      </c>
      <c r="B2833" s="13" t="s">
        <v>1</v>
      </c>
      <c r="C2833" s="13" t="s">
        <v>3075</v>
      </c>
      <c r="D2833" s="14">
        <v>44285</v>
      </c>
      <c r="E2833" s="14">
        <v>44285</v>
      </c>
      <c r="F2833" s="14">
        <v>44290</v>
      </c>
      <c r="G2833" s="13" t="s">
        <v>3</v>
      </c>
      <c r="H2833" s="13" t="s">
        <v>4</v>
      </c>
      <c r="I2833" s="15">
        <v>-1445.54</v>
      </c>
      <c r="J2833" s="13" t="s">
        <v>5</v>
      </c>
      <c r="K2833" s="13" t="s">
        <v>6</v>
      </c>
      <c r="L2833" s="15">
        <v>-121353.08</v>
      </c>
      <c r="M2833" s="15">
        <v>-1445.54</v>
      </c>
      <c r="N2833" s="16" t="str">
        <f>IF(M2833="","",IF(M2833&lt;0,-M2833&amp;"_"&amp;COUNTIF(M$2:M2833,M2833),M2833&amp;"_"&amp;COUNTIF(M$2:M2833,M2833)))</f>
        <v>1445.54_1</v>
      </c>
      <c r="O2833" s="17" t="str">
        <f t="shared" si="44"/>
        <v/>
      </c>
      <c r="P2833" s="13" t="s">
        <v>3076</v>
      </c>
      <c r="Q2833" s="13" t="s">
        <v>3074</v>
      </c>
      <c r="R2833" s="13" t="s">
        <v>0</v>
      </c>
      <c r="S2833" s="13" t="s">
        <v>0</v>
      </c>
      <c r="T2833" s="13" t="s">
        <v>9</v>
      </c>
      <c r="U2833" s="13" t="s">
        <v>0</v>
      </c>
      <c r="V2833" s="13" t="s">
        <v>0</v>
      </c>
      <c r="W2833" s="13" t="s">
        <v>0</v>
      </c>
      <c r="X2833" s="13" t="s">
        <v>0</v>
      </c>
      <c r="Y2833" s="13" t="s">
        <v>10</v>
      </c>
      <c r="Z2833" s="13" t="s">
        <v>0</v>
      </c>
      <c r="AA2833" s="14"/>
      <c r="AB2833" s="13" t="s">
        <v>0</v>
      </c>
      <c r="AC2833" s="13" t="s">
        <v>0</v>
      </c>
      <c r="AD2833" s="13" t="s">
        <v>0</v>
      </c>
      <c r="AE2833" s="15">
        <v>0</v>
      </c>
    </row>
    <row r="2834" spans="1:31" ht="14.15" customHeight="1" x14ac:dyDescent="0.25">
      <c r="A2834" s="12" t="s">
        <v>0</v>
      </c>
      <c r="B2834" s="13" t="s">
        <v>1</v>
      </c>
      <c r="C2834" s="13" t="s">
        <v>275</v>
      </c>
      <c r="D2834" s="14">
        <v>44042</v>
      </c>
      <c r="E2834" s="14">
        <v>44042</v>
      </c>
      <c r="F2834" s="14">
        <v>44053</v>
      </c>
      <c r="G2834" s="13" t="s">
        <v>3</v>
      </c>
      <c r="H2834" s="13" t="s">
        <v>4</v>
      </c>
      <c r="I2834" s="15">
        <v>-1444.72</v>
      </c>
      <c r="J2834" s="13" t="s">
        <v>5</v>
      </c>
      <c r="K2834" s="13" t="s">
        <v>6</v>
      </c>
      <c r="L2834" s="15">
        <v>-121284.24</v>
      </c>
      <c r="M2834" s="15">
        <v>-1444.72</v>
      </c>
      <c r="N2834" s="16" t="str">
        <f>IF(M2834="","",IF(M2834&lt;0,-M2834&amp;"_"&amp;COUNTIF(M$2:M2834,M2834),M2834&amp;"_"&amp;COUNTIF(M$2:M2834,M2834)))</f>
        <v>1444.72_1</v>
      </c>
      <c r="O2834" s="17" t="str">
        <f t="shared" si="44"/>
        <v/>
      </c>
      <c r="P2834" s="13" t="s">
        <v>276</v>
      </c>
      <c r="Q2834" s="13" t="s">
        <v>268</v>
      </c>
      <c r="R2834" s="13" t="s">
        <v>0</v>
      </c>
      <c r="S2834" s="13" t="s">
        <v>0</v>
      </c>
      <c r="T2834" s="13" t="s">
        <v>9</v>
      </c>
      <c r="U2834" s="13" t="s">
        <v>0</v>
      </c>
      <c r="V2834" s="13" t="s">
        <v>0</v>
      </c>
      <c r="W2834" s="13" t="s">
        <v>0</v>
      </c>
      <c r="X2834" s="13" t="s">
        <v>0</v>
      </c>
      <c r="Y2834" s="13" t="s">
        <v>10</v>
      </c>
      <c r="Z2834" s="13" t="s">
        <v>0</v>
      </c>
      <c r="AA2834" s="14"/>
      <c r="AB2834" s="13" t="s">
        <v>0</v>
      </c>
      <c r="AC2834" s="13" t="s">
        <v>0</v>
      </c>
      <c r="AD2834" s="13" t="s">
        <v>0</v>
      </c>
      <c r="AE2834" s="15">
        <v>0</v>
      </c>
    </row>
    <row r="2835" spans="1:31" ht="14.15" customHeight="1" x14ac:dyDescent="0.25">
      <c r="A2835" s="12" t="s">
        <v>0</v>
      </c>
      <c r="B2835" s="13" t="s">
        <v>1</v>
      </c>
      <c r="C2835" s="13" t="s">
        <v>644</v>
      </c>
      <c r="D2835" s="14">
        <v>44084</v>
      </c>
      <c r="E2835" s="14">
        <v>44084</v>
      </c>
      <c r="F2835" s="14">
        <v>44110</v>
      </c>
      <c r="G2835" s="13" t="s">
        <v>3</v>
      </c>
      <c r="H2835" s="13" t="s">
        <v>4</v>
      </c>
      <c r="I2835" s="15">
        <v>-1443.17</v>
      </c>
      <c r="J2835" s="13" t="s">
        <v>5</v>
      </c>
      <c r="K2835" s="13" t="s">
        <v>6</v>
      </c>
      <c r="L2835" s="15">
        <v>-121154.12</v>
      </c>
      <c r="M2835" s="15">
        <v>-1443.17</v>
      </c>
      <c r="N2835" s="16" t="str">
        <f>IF(M2835="","",IF(M2835&lt;0,-M2835&amp;"_"&amp;COUNTIF(M$2:M2835,M2835),M2835&amp;"_"&amp;COUNTIF(M$2:M2835,M2835)))</f>
        <v>1443.17_1</v>
      </c>
      <c r="O2835" s="17" t="str">
        <f t="shared" si="44"/>
        <v/>
      </c>
      <c r="P2835" s="13" t="s">
        <v>645</v>
      </c>
      <c r="Q2835" s="13" t="s">
        <v>641</v>
      </c>
      <c r="R2835" s="13" t="s">
        <v>0</v>
      </c>
      <c r="S2835" s="13" t="s">
        <v>0</v>
      </c>
      <c r="T2835" s="13" t="s">
        <v>9</v>
      </c>
      <c r="U2835" s="13" t="s">
        <v>0</v>
      </c>
      <c r="V2835" s="13" t="s">
        <v>0</v>
      </c>
      <c r="W2835" s="13" t="s">
        <v>0</v>
      </c>
      <c r="X2835" s="13" t="s">
        <v>0</v>
      </c>
      <c r="Y2835" s="13" t="s">
        <v>10</v>
      </c>
      <c r="Z2835" s="13" t="s">
        <v>0</v>
      </c>
      <c r="AA2835" s="14"/>
      <c r="AB2835" s="13" t="s">
        <v>0</v>
      </c>
      <c r="AC2835" s="13" t="s">
        <v>0</v>
      </c>
      <c r="AD2835" s="13" t="s">
        <v>0</v>
      </c>
      <c r="AE2835" s="15">
        <v>0</v>
      </c>
    </row>
    <row r="2836" spans="1:31" ht="14.15" customHeight="1" x14ac:dyDescent="0.25">
      <c r="A2836" s="12" t="s">
        <v>0</v>
      </c>
      <c r="B2836" s="13" t="s">
        <v>1</v>
      </c>
      <c r="C2836" s="13" t="s">
        <v>4223</v>
      </c>
      <c r="D2836" s="14">
        <v>44366</v>
      </c>
      <c r="E2836" s="14">
        <v>44366</v>
      </c>
      <c r="F2836" s="14">
        <v>44384</v>
      </c>
      <c r="G2836" s="13" t="s">
        <v>3</v>
      </c>
      <c r="H2836" s="13" t="s">
        <v>4</v>
      </c>
      <c r="I2836" s="15">
        <v>-1437.94</v>
      </c>
      <c r="J2836" s="13" t="s">
        <v>5</v>
      </c>
      <c r="K2836" s="13" t="s">
        <v>6</v>
      </c>
      <c r="L2836" s="15">
        <v>-120715.06</v>
      </c>
      <c r="M2836" s="15">
        <v>-1437.94</v>
      </c>
      <c r="N2836" s="16" t="str">
        <f>IF(M2836="","",IF(M2836&lt;0,-M2836&amp;"_"&amp;COUNTIF(M$2:M2836,M2836),M2836&amp;"_"&amp;COUNTIF(M$2:M2836,M2836)))</f>
        <v>1437.94_1</v>
      </c>
      <c r="O2836" s="17" t="str">
        <f t="shared" si="44"/>
        <v/>
      </c>
      <c r="P2836" s="13" t="s">
        <v>4224</v>
      </c>
      <c r="Q2836" s="13" t="s">
        <v>4216</v>
      </c>
      <c r="R2836" s="13" t="s">
        <v>0</v>
      </c>
      <c r="S2836" s="13" t="s">
        <v>0</v>
      </c>
      <c r="T2836" s="13" t="s">
        <v>9</v>
      </c>
      <c r="U2836" s="13" t="s">
        <v>0</v>
      </c>
      <c r="V2836" s="13" t="s">
        <v>0</v>
      </c>
      <c r="W2836" s="13" t="s">
        <v>0</v>
      </c>
      <c r="X2836" s="13" t="s">
        <v>0</v>
      </c>
      <c r="Y2836" s="13" t="s">
        <v>10</v>
      </c>
      <c r="Z2836" s="13" t="s">
        <v>0</v>
      </c>
      <c r="AA2836" s="14"/>
      <c r="AB2836" s="13" t="s">
        <v>0</v>
      </c>
      <c r="AC2836" s="13" t="s">
        <v>0</v>
      </c>
      <c r="AD2836" s="13" t="s">
        <v>0</v>
      </c>
      <c r="AE2836" s="15">
        <v>0</v>
      </c>
    </row>
    <row r="2837" spans="1:31" ht="14.15" customHeight="1" x14ac:dyDescent="0.25">
      <c r="A2837" s="12" t="s">
        <v>0</v>
      </c>
      <c r="B2837" s="13" t="s">
        <v>1</v>
      </c>
      <c r="C2837" s="13" t="s">
        <v>1218</v>
      </c>
      <c r="D2837" s="14">
        <v>44141</v>
      </c>
      <c r="E2837" s="14">
        <v>44141</v>
      </c>
      <c r="F2837" s="14">
        <v>44146</v>
      </c>
      <c r="G2837" s="13" t="s">
        <v>3</v>
      </c>
      <c r="H2837" s="13" t="s">
        <v>4</v>
      </c>
      <c r="I2837" s="15">
        <v>-1437.23</v>
      </c>
      <c r="J2837" s="13" t="s">
        <v>5</v>
      </c>
      <c r="K2837" s="13" t="s">
        <v>6</v>
      </c>
      <c r="L2837" s="15">
        <v>-120655.46</v>
      </c>
      <c r="M2837" s="15">
        <v>-1437.23</v>
      </c>
      <c r="N2837" s="16" t="str">
        <f>IF(M2837="","",IF(M2837&lt;0,-M2837&amp;"_"&amp;COUNTIF(M$2:M2837,M2837),M2837&amp;"_"&amp;COUNTIF(M$2:M2837,M2837)))</f>
        <v>1437.23_1</v>
      </c>
      <c r="O2837" s="17" t="str">
        <f t="shared" si="44"/>
        <v/>
      </c>
      <c r="P2837" s="13" t="s">
        <v>1219</v>
      </c>
      <c r="Q2837" s="13" t="s">
        <v>1220</v>
      </c>
      <c r="R2837" s="13" t="s">
        <v>0</v>
      </c>
      <c r="S2837" s="13" t="s">
        <v>0</v>
      </c>
      <c r="T2837" s="13" t="s">
        <v>9</v>
      </c>
      <c r="U2837" s="13" t="s">
        <v>0</v>
      </c>
      <c r="V2837" s="13" t="s">
        <v>0</v>
      </c>
      <c r="W2837" s="13" t="s">
        <v>0</v>
      </c>
      <c r="X2837" s="13" t="s">
        <v>0</v>
      </c>
      <c r="Y2837" s="13" t="s">
        <v>10</v>
      </c>
      <c r="Z2837" s="13" t="s">
        <v>0</v>
      </c>
      <c r="AA2837" s="14"/>
      <c r="AB2837" s="13" t="s">
        <v>0</v>
      </c>
      <c r="AC2837" s="13" t="s">
        <v>0</v>
      </c>
      <c r="AD2837" s="13" t="s">
        <v>0</v>
      </c>
      <c r="AE2837" s="15">
        <v>0</v>
      </c>
    </row>
    <row r="2838" spans="1:31" ht="14.15" customHeight="1" x14ac:dyDescent="0.25">
      <c r="A2838" s="12" t="s">
        <v>0</v>
      </c>
      <c r="B2838" s="13" t="s">
        <v>1</v>
      </c>
      <c r="C2838" s="13" t="s">
        <v>1473</v>
      </c>
      <c r="D2838" s="14">
        <v>44160</v>
      </c>
      <c r="E2838" s="14">
        <v>44160</v>
      </c>
      <c r="F2838" s="14">
        <v>44163</v>
      </c>
      <c r="G2838" s="13" t="s">
        <v>3</v>
      </c>
      <c r="H2838" s="13" t="s">
        <v>4</v>
      </c>
      <c r="I2838" s="15">
        <v>-1432.73</v>
      </c>
      <c r="J2838" s="13" t="s">
        <v>5</v>
      </c>
      <c r="K2838" s="13" t="s">
        <v>6</v>
      </c>
      <c r="L2838" s="15">
        <v>-120277.69</v>
      </c>
      <c r="M2838" s="15">
        <v>-1432.73</v>
      </c>
      <c r="N2838" s="16" t="str">
        <f>IF(M2838="","",IF(M2838&lt;0,-M2838&amp;"_"&amp;COUNTIF(M$2:M2838,M2838),M2838&amp;"_"&amp;COUNTIF(M$2:M2838,M2838)))</f>
        <v>1432.73_1</v>
      </c>
      <c r="O2838" s="17" t="str">
        <f t="shared" si="44"/>
        <v/>
      </c>
      <c r="P2838" s="13" t="s">
        <v>1474</v>
      </c>
      <c r="Q2838" s="13" t="s">
        <v>1470</v>
      </c>
      <c r="R2838" s="13" t="s">
        <v>0</v>
      </c>
      <c r="S2838" s="13" t="s">
        <v>0</v>
      </c>
      <c r="T2838" s="13" t="s">
        <v>9</v>
      </c>
      <c r="U2838" s="13" t="s">
        <v>0</v>
      </c>
      <c r="V2838" s="13" t="s">
        <v>0</v>
      </c>
      <c r="W2838" s="13" t="s">
        <v>0</v>
      </c>
      <c r="X2838" s="13" t="s">
        <v>0</v>
      </c>
      <c r="Y2838" s="13" t="s">
        <v>10</v>
      </c>
      <c r="Z2838" s="13" t="s">
        <v>0</v>
      </c>
      <c r="AA2838" s="14"/>
      <c r="AB2838" s="13" t="s">
        <v>0</v>
      </c>
      <c r="AC2838" s="13" t="s">
        <v>0</v>
      </c>
      <c r="AD2838" s="13" t="s">
        <v>0</v>
      </c>
      <c r="AE2838" s="15">
        <v>0</v>
      </c>
    </row>
    <row r="2839" spans="1:31" ht="14.15" customHeight="1" x14ac:dyDescent="0.25">
      <c r="A2839" s="12" t="s">
        <v>0</v>
      </c>
      <c r="B2839" s="13" t="s">
        <v>454</v>
      </c>
      <c r="C2839" s="13" t="s">
        <v>4051</v>
      </c>
      <c r="D2839" s="14">
        <v>44358</v>
      </c>
      <c r="E2839" s="14">
        <v>44358</v>
      </c>
      <c r="F2839" s="14">
        <v>44366</v>
      </c>
      <c r="G2839" s="13" t="s">
        <v>3</v>
      </c>
      <c r="H2839" s="13" t="s">
        <v>4</v>
      </c>
      <c r="I2839" s="15">
        <v>-1432</v>
      </c>
      <c r="J2839" s="13" t="s">
        <v>5</v>
      </c>
      <c r="K2839" s="13" t="s">
        <v>6</v>
      </c>
      <c r="L2839" s="15">
        <v>-120216.4</v>
      </c>
      <c r="M2839" s="15">
        <v>-1432</v>
      </c>
      <c r="N2839" s="16" t="str">
        <f>IF(M2839="","",IF(M2839&lt;0,-M2839&amp;"_"&amp;COUNTIF(M$2:M2839,M2839),M2839&amp;"_"&amp;COUNTIF(M$2:M2839,M2839)))</f>
        <v>1432_1</v>
      </c>
      <c r="O2839" s="17" t="str">
        <f t="shared" si="44"/>
        <v/>
      </c>
      <c r="P2839" s="13" t="s">
        <v>4052</v>
      </c>
      <c r="Q2839" s="13" t="s">
        <v>4006</v>
      </c>
      <c r="R2839" s="13" t="s">
        <v>0</v>
      </c>
      <c r="S2839" s="13" t="s">
        <v>0</v>
      </c>
      <c r="T2839" s="13" t="s">
        <v>9</v>
      </c>
      <c r="U2839" s="13" t="s">
        <v>0</v>
      </c>
      <c r="V2839" s="13" t="s">
        <v>0</v>
      </c>
      <c r="W2839" s="13" t="s">
        <v>0</v>
      </c>
      <c r="X2839" s="13" t="s">
        <v>0</v>
      </c>
      <c r="Y2839" s="13" t="s">
        <v>10</v>
      </c>
      <c r="Z2839" s="13" t="s">
        <v>0</v>
      </c>
      <c r="AA2839" s="14"/>
      <c r="AB2839" s="13" t="s">
        <v>0</v>
      </c>
      <c r="AC2839" s="13" t="s">
        <v>0</v>
      </c>
      <c r="AD2839" s="13" t="s">
        <v>0</v>
      </c>
      <c r="AE2839" s="15">
        <v>0</v>
      </c>
    </row>
    <row r="2840" spans="1:31" ht="14.15" customHeight="1" x14ac:dyDescent="0.25">
      <c r="A2840" s="12" t="s">
        <v>0</v>
      </c>
      <c r="B2840" s="13" t="s">
        <v>454</v>
      </c>
      <c r="C2840" s="13" t="s">
        <v>3256</v>
      </c>
      <c r="D2840" s="14">
        <v>44308</v>
      </c>
      <c r="E2840" s="14">
        <v>44308</v>
      </c>
      <c r="F2840" s="14">
        <v>44312</v>
      </c>
      <c r="G2840" s="13" t="s">
        <v>3</v>
      </c>
      <c r="H2840" s="13" t="s">
        <v>4</v>
      </c>
      <c r="I2840" s="15">
        <v>-1430.42</v>
      </c>
      <c r="J2840" s="13" t="s">
        <v>5</v>
      </c>
      <c r="K2840" s="13" t="s">
        <v>6</v>
      </c>
      <c r="L2840" s="15">
        <v>-120083.76</v>
      </c>
      <c r="M2840" s="15">
        <v>-1430.42</v>
      </c>
      <c r="N2840" s="16" t="str">
        <f>IF(M2840="","",IF(M2840&lt;0,-M2840&amp;"_"&amp;COUNTIF(M$2:M2840,M2840),M2840&amp;"_"&amp;COUNTIF(M$2:M2840,M2840)))</f>
        <v>1430.42_1</v>
      </c>
      <c r="O2840" s="17" t="str">
        <f t="shared" si="44"/>
        <v/>
      </c>
      <c r="P2840" s="13" t="s">
        <v>3257</v>
      </c>
      <c r="Q2840" s="13" t="s">
        <v>3251</v>
      </c>
      <c r="R2840" s="13" t="s">
        <v>0</v>
      </c>
      <c r="S2840" s="13" t="s">
        <v>0</v>
      </c>
      <c r="T2840" s="13" t="s">
        <v>9</v>
      </c>
      <c r="U2840" s="13" t="s">
        <v>0</v>
      </c>
      <c r="V2840" s="13" t="s">
        <v>0</v>
      </c>
      <c r="W2840" s="13" t="s">
        <v>0</v>
      </c>
      <c r="X2840" s="13" t="s">
        <v>0</v>
      </c>
      <c r="Y2840" s="13" t="s">
        <v>10</v>
      </c>
      <c r="Z2840" s="13" t="s">
        <v>0</v>
      </c>
      <c r="AA2840" s="14"/>
      <c r="AB2840" s="13" t="s">
        <v>0</v>
      </c>
      <c r="AC2840" s="13" t="s">
        <v>0</v>
      </c>
      <c r="AD2840" s="13" t="s">
        <v>0</v>
      </c>
      <c r="AE2840" s="15">
        <v>0</v>
      </c>
    </row>
    <row r="2841" spans="1:31" ht="14.15" customHeight="1" x14ac:dyDescent="0.25">
      <c r="A2841" s="12" t="s">
        <v>0</v>
      </c>
      <c r="B2841" s="13" t="s">
        <v>1</v>
      </c>
      <c r="C2841" s="13" t="s">
        <v>2104</v>
      </c>
      <c r="D2841" s="14">
        <v>44199</v>
      </c>
      <c r="E2841" s="14">
        <v>44199</v>
      </c>
      <c r="F2841" s="14">
        <v>44203</v>
      </c>
      <c r="G2841" s="13" t="s">
        <v>3</v>
      </c>
      <c r="H2841" s="13" t="s">
        <v>4</v>
      </c>
      <c r="I2841" s="15">
        <v>-1418.54</v>
      </c>
      <c r="J2841" s="13" t="s">
        <v>5</v>
      </c>
      <c r="K2841" s="13" t="s">
        <v>6</v>
      </c>
      <c r="L2841" s="15">
        <v>-119086.43</v>
      </c>
      <c r="M2841" s="15">
        <v>-1418.54</v>
      </c>
      <c r="N2841" s="16" t="str">
        <f>IF(M2841="","",IF(M2841&lt;0,-M2841&amp;"_"&amp;COUNTIF(M$2:M2841,M2841),M2841&amp;"_"&amp;COUNTIF(M$2:M2841,M2841)))</f>
        <v>1418.54_1</v>
      </c>
      <c r="O2841" s="17" t="str">
        <f t="shared" si="44"/>
        <v/>
      </c>
      <c r="P2841" s="13" t="s">
        <v>2105</v>
      </c>
      <c r="Q2841" s="13" t="s">
        <v>2093</v>
      </c>
      <c r="R2841" s="13" t="s">
        <v>0</v>
      </c>
      <c r="S2841" s="13" t="s">
        <v>0</v>
      </c>
      <c r="T2841" s="13" t="s">
        <v>9</v>
      </c>
      <c r="U2841" s="13" t="s">
        <v>0</v>
      </c>
      <c r="V2841" s="13" t="s">
        <v>0</v>
      </c>
      <c r="W2841" s="13" t="s">
        <v>0</v>
      </c>
      <c r="X2841" s="13" t="s">
        <v>0</v>
      </c>
      <c r="Y2841" s="13" t="s">
        <v>10</v>
      </c>
      <c r="Z2841" s="13" t="s">
        <v>0</v>
      </c>
      <c r="AA2841" s="14"/>
      <c r="AB2841" s="13" t="s">
        <v>0</v>
      </c>
      <c r="AC2841" s="13" t="s">
        <v>0</v>
      </c>
      <c r="AD2841" s="13" t="s">
        <v>0</v>
      </c>
      <c r="AE2841" s="15">
        <v>0</v>
      </c>
    </row>
    <row r="2842" spans="1:31" ht="14.15" customHeight="1" x14ac:dyDescent="0.25">
      <c r="A2842" s="12" t="s">
        <v>0</v>
      </c>
      <c r="B2842" s="13" t="s">
        <v>1</v>
      </c>
      <c r="C2842" s="13" t="s">
        <v>1031</v>
      </c>
      <c r="D2842" s="14">
        <v>44130</v>
      </c>
      <c r="E2842" s="14">
        <v>44130</v>
      </c>
      <c r="F2842" s="14">
        <v>44136</v>
      </c>
      <c r="G2842" s="13" t="s">
        <v>3</v>
      </c>
      <c r="H2842" s="13" t="s">
        <v>4</v>
      </c>
      <c r="I2842" s="15">
        <v>-1403.51</v>
      </c>
      <c r="J2842" s="13" t="s">
        <v>5</v>
      </c>
      <c r="K2842" s="13" t="s">
        <v>6</v>
      </c>
      <c r="L2842" s="15">
        <v>-117824.66</v>
      </c>
      <c r="M2842" s="15">
        <v>-1403.51</v>
      </c>
      <c r="N2842" s="16" t="str">
        <f>IF(M2842="","",IF(M2842&lt;0,-M2842&amp;"_"&amp;COUNTIF(M$2:M2842,M2842),M2842&amp;"_"&amp;COUNTIF(M$2:M2842,M2842)))</f>
        <v>1403.51_1</v>
      </c>
      <c r="O2842" s="17" t="str">
        <f t="shared" si="44"/>
        <v/>
      </c>
      <c r="P2842" s="13" t="s">
        <v>1032</v>
      </c>
      <c r="Q2842" s="13" t="s">
        <v>1024</v>
      </c>
      <c r="R2842" s="13" t="s">
        <v>0</v>
      </c>
      <c r="S2842" s="13" t="s">
        <v>0</v>
      </c>
      <c r="T2842" s="13" t="s">
        <v>9</v>
      </c>
      <c r="U2842" s="13" t="s">
        <v>0</v>
      </c>
      <c r="V2842" s="13" t="s">
        <v>0</v>
      </c>
      <c r="W2842" s="13" t="s">
        <v>0</v>
      </c>
      <c r="X2842" s="13" t="s">
        <v>0</v>
      </c>
      <c r="Y2842" s="13" t="s">
        <v>10</v>
      </c>
      <c r="Z2842" s="13" t="s">
        <v>0</v>
      </c>
      <c r="AA2842" s="14"/>
      <c r="AB2842" s="13" t="s">
        <v>0</v>
      </c>
      <c r="AC2842" s="13" t="s">
        <v>0</v>
      </c>
      <c r="AD2842" s="13" t="s">
        <v>0</v>
      </c>
      <c r="AE2842" s="15">
        <v>0</v>
      </c>
    </row>
    <row r="2843" spans="1:31" ht="14.15" customHeight="1" x14ac:dyDescent="0.25">
      <c r="A2843" s="12" t="s">
        <v>0</v>
      </c>
      <c r="B2843" s="13" t="s">
        <v>1</v>
      </c>
      <c r="C2843" s="13" t="s">
        <v>4056</v>
      </c>
      <c r="D2843" s="14">
        <v>44359</v>
      </c>
      <c r="E2843" s="14">
        <v>44359</v>
      </c>
      <c r="F2843" s="14">
        <v>44366</v>
      </c>
      <c r="G2843" s="13" t="s">
        <v>3</v>
      </c>
      <c r="H2843" s="13" t="s">
        <v>4</v>
      </c>
      <c r="I2843" s="15">
        <v>-1389.15</v>
      </c>
      <c r="J2843" s="13" t="s">
        <v>5</v>
      </c>
      <c r="K2843" s="13" t="s">
        <v>6</v>
      </c>
      <c r="L2843" s="15">
        <v>-116619.14</v>
      </c>
      <c r="M2843" s="15">
        <v>-1389.15</v>
      </c>
      <c r="N2843" s="16" t="str">
        <f>IF(M2843="","",IF(M2843&lt;0,-M2843&amp;"_"&amp;COUNTIF(M$2:M2843,M2843),M2843&amp;"_"&amp;COUNTIF(M$2:M2843,M2843)))</f>
        <v>1389.15_1</v>
      </c>
      <c r="O2843" s="17" t="str">
        <f t="shared" si="44"/>
        <v/>
      </c>
      <c r="P2843" s="13" t="s">
        <v>4057</v>
      </c>
      <c r="Q2843" s="13" t="s">
        <v>4055</v>
      </c>
      <c r="R2843" s="13" t="s">
        <v>0</v>
      </c>
      <c r="S2843" s="13" t="s">
        <v>0</v>
      </c>
      <c r="T2843" s="13" t="s">
        <v>9</v>
      </c>
      <c r="U2843" s="13" t="s">
        <v>0</v>
      </c>
      <c r="V2843" s="13" t="s">
        <v>0</v>
      </c>
      <c r="W2843" s="13" t="s">
        <v>0</v>
      </c>
      <c r="X2843" s="13" t="s">
        <v>0</v>
      </c>
      <c r="Y2843" s="13" t="s">
        <v>10</v>
      </c>
      <c r="Z2843" s="13" t="s">
        <v>0</v>
      </c>
      <c r="AA2843" s="14"/>
      <c r="AB2843" s="13" t="s">
        <v>0</v>
      </c>
      <c r="AC2843" s="13" t="s">
        <v>0</v>
      </c>
      <c r="AD2843" s="13" t="s">
        <v>0</v>
      </c>
      <c r="AE2843" s="15">
        <v>0</v>
      </c>
    </row>
    <row r="2844" spans="1:31" ht="14.15" customHeight="1" x14ac:dyDescent="0.25">
      <c r="A2844" s="12" t="s">
        <v>0</v>
      </c>
      <c r="B2844" s="13" t="s">
        <v>1</v>
      </c>
      <c r="C2844" s="13" t="s">
        <v>3141</v>
      </c>
      <c r="D2844" s="14">
        <v>44294</v>
      </c>
      <c r="E2844" s="14">
        <v>44294</v>
      </c>
      <c r="F2844" s="14">
        <v>44298</v>
      </c>
      <c r="G2844" s="13" t="s">
        <v>3</v>
      </c>
      <c r="H2844" s="13" t="s">
        <v>4</v>
      </c>
      <c r="I2844" s="15">
        <v>-1380.62</v>
      </c>
      <c r="J2844" s="13" t="s">
        <v>5</v>
      </c>
      <c r="K2844" s="13" t="s">
        <v>6</v>
      </c>
      <c r="L2844" s="15">
        <v>-115903.05</v>
      </c>
      <c r="M2844" s="15">
        <v>-1380.62</v>
      </c>
      <c r="N2844" s="16" t="str">
        <f>IF(M2844="","",IF(M2844&lt;0,-M2844&amp;"_"&amp;COUNTIF(M$2:M2844,M2844),M2844&amp;"_"&amp;COUNTIF(M$2:M2844,M2844)))</f>
        <v>1380.62_1</v>
      </c>
      <c r="O2844" s="17" t="str">
        <f t="shared" si="44"/>
        <v/>
      </c>
      <c r="P2844" s="13" t="s">
        <v>3142</v>
      </c>
      <c r="Q2844" s="13" t="s">
        <v>3138</v>
      </c>
      <c r="R2844" s="13" t="s">
        <v>0</v>
      </c>
      <c r="S2844" s="13" t="s">
        <v>0</v>
      </c>
      <c r="T2844" s="13" t="s">
        <v>9</v>
      </c>
      <c r="U2844" s="13" t="s">
        <v>0</v>
      </c>
      <c r="V2844" s="13" t="s">
        <v>0</v>
      </c>
      <c r="W2844" s="13" t="s">
        <v>0</v>
      </c>
      <c r="X2844" s="13" t="s">
        <v>0</v>
      </c>
      <c r="Y2844" s="13" t="s">
        <v>10</v>
      </c>
      <c r="Z2844" s="13" t="s">
        <v>0</v>
      </c>
      <c r="AA2844" s="14"/>
      <c r="AB2844" s="13" t="s">
        <v>0</v>
      </c>
      <c r="AC2844" s="13" t="s">
        <v>0</v>
      </c>
      <c r="AD2844" s="13" t="s">
        <v>0</v>
      </c>
      <c r="AE2844" s="15">
        <v>0</v>
      </c>
    </row>
    <row r="2845" spans="1:31" ht="14.15" customHeight="1" x14ac:dyDescent="0.25">
      <c r="A2845" s="12" t="s">
        <v>0</v>
      </c>
      <c r="B2845" s="13" t="s">
        <v>1</v>
      </c>
      <c r="C2845" s="13" t="s">
        <v>2181</v>
      </c>
      <c r="D2845" s="14">
        <v>44210</v>
      </c>
      <c r="E2845" s="14">
        <v>44210</v>
      </c>
      <c r="F2845" s="14">
        <v>44216</v>
      </c>
      <c r="G2845" s="13" t="s">
        <v>3</v>
      </c>
      <c r="H2845" s="13" t="s">
        <v>4</v>
      </c>
      <c r="I2845" s="15">
        <v>-1377.98</v>
      </c>
      <c r="J2845" s="13" t="s">
        <v>68</v>
      </c>
      <c r="K2845" s="13" t="s">
        <v>6</v>
      </c>
      <c r="L2845" s="15">
        <v>-115681.43</v>
      </c>
      <c r="M2845" s="15">
        <v>-1377.98</v>
      </c>
      <c r="N2845" s="16" t="str">
        <f>IF(M2845="","",IF(M2845&lt;0,-M2845&amp;"_"&amp;COUNTIF(M$2:M2845,M2845),M2845&amp;"_"&amp;COUNTIF(M$2:M2845,M2845)))</f>
        <v>1377.98_1</v>
      </c>
      <c r="O2845" s="17" t="str">
        <f t="shared" si="44"/>
        <v/>
      </c>
      <c r="P2845" s="13" t="s">
        <v>2182</v>
      </c>
      <c r="Q2845" s="13" t="s">
        <v>2176</v>
      </c>
      <c r="R2845" s="13" t="s">
        <v>0</v>
      </c>
      <c r="S2845" s="13" t="s">
        <v>0</v>
      </c>
      <c r="T2845" s="13" t="s">
        <v>9</v>
      </c>
      <c r="U2845" s="13" t="s">
        <v>0</v>
      </c>
      <c r="V2845" s="13" t="s">
        <v>0</v>
      </c>
      <c r="W2845" s="13" t="s">
        <v>0</v>
      </c>
      <c r="X2845" s="13" t="s">
        <v>0</v>
      </c>
      <c r="Y2845" s="13" t="s">
        <v>10</v>
      </c>
      <c r="Z2845" s="13" t="s">
        <v>0</v>
      </c>
      <c r="AA2845" s="14"/>
      <c r="AB2845" s="13" t="s">
        <v>0</v>
      </c>
      <c r="AC2845" s="13" t="s">
        <v>0</v>
      </c>
      <c r="AD2845" s="13" t="s">
        <v>0</v>
      </c>
      <c r="AE2845" s="15">
        <v>0</v>
      </c>
    </row>
    <row r="2846" spans="1:31" ht="14.15" customHeight="1" x14ac:dyDescent="0.25">
      <c r="A2846" s="12" t="s">
        <v>0</v>
      </c>
      <c r="B2846" s="13" t="s">
        <v>1</v>
      </c>
      <c r="C2846" s="13" t="s">
        <v>3456</v>
      </c>
      <c r="D2846" s="14">
        <v>44320</v>
      </c>
      <c r="E2846" s="14">
        <v>44320</v>
      </c>
      <c r="F2846" s="14">
        <v>44326</v>
      </c>
      <c r="G2846" s="13" t="s">
        <v>3</v>
      </c>
      <c r="H2846" s="13" t="s">
        <v>4</v>
      </c>
      <c r="I2846" s="15">
        <v>-1368.82</v>
      </c>
      <c r="J2846" s="13" t="s">
        <v>5</v>
      </c>
      <c r="K2846" s="13" t="s">
        <v>6</v>
      </c>
      <c r="L2846" s="15">
        <v>-114912.44</v>
      </c>
      <c r="M2846" s="15">
        <v>-1368.82</v>
      </c>
      <c r="N2846" s="16" t="str">
        <f>IF(M2846="","",IF(M2846&lt;0,-M2846&amp;"_"&amp;COUNTIF(M$2:M2846,M2846),M2846&amp;"_"&amp;COUNTIF(M$2:M2846,M2846)))</f>
        <v>1368.82_1</v>
      </c>
      <c r="O2846" s="17" t="str">
        <f t="shared" si="44"/>
        <v/>
      </c>
      <c r="P2846" s="13" t="s">
        <v>3457</v>
      </c>
      <c r="Q2846" s="13" t="s">
        <v>3453</v>
      </c>
      <c r="R2846" s="13" t="s">
        <v>0</v>
      </c>
      <c r="S2846" s="13" t="s">
        <v>0</v>
      </c>
      <c r="T2846" s="13" t="s">
        <v>9</v>
      </c>
      <c r="U2846" s="13" t="s">
        <v>0</v>
      </c>
      <c r="V2846" s="13" t="s">
        <v>0</v>
      </c>
      <c r="W2846" s="13" t="s">
        <v>0</v>
      </c>
      <c r="X2846" s="13" t="s">
        <v>0</v>
      </c>
      <c r="Y2846" s="13" t="s">
        <v>10</v>
      </c>
      <c r="Z2846" s="13" t="s">
        <v>0</v>
      </c>
      <c r="AA2846" s="14"/>
      <c r="AB2846" s="13" t="s">
        <v>0</v>
      </c>
      <c r="AC2846" s="13" t="s">
        <v>0</v>
      </c>
      <c r="AD2846" s="13" t="s">
        <v>0</v>
      </c>
      <c r="AE2846" s="15">
        <v>0</v>
      </c>
    </row>
    <row r="2847" spans="1:31" ht="14.15" customHeight="1" x14ac:dyDescent="0.25">
      <c r="A2847" s="12" t="s">
        <v>0</v>
      </c>
      <c r="B2847" s="13" t="s">
        <v>1</v>
      </c>
      <c r="C2847" s="13" t="s">
        <v>3616</v>
      </c>
      <c r="D2847" s="14">
        <v>44329</v>
      </c>
      <c r="E2847" s="14">
        <v>44329</v>
      </c>
      <c r="F2847" s="14">
        <v>44336</v>
      </c>
      <c r="G2847" s="13" t="s">
        <v>3</v>
      </c>
      <c r="H2847" s="13" t="s">
        <v>4</v>
      </c>
      <c r="I2847" s="15">
        <v>-1357.04</v>
      </c>
      <c r="J2847" s="13" t="s">
        <v>5</v>
      </c>
      <c r="K2847" s="13" t="s">
        <v>6</v>
      </c>
      <c r="L2847" s="15">
        <v>-113923.51</v>
      </c>
      <c r="M2847" s="15">
        <v>-1357.04</v>
      </c>
      <c r="N2847" s="16" t="str">
        <f>IF(M2847="","",IF(M2847&lt;0,-M2847&amp;"_"&amp;COUNTIF(M$2:M2847,M2847),M2847&amp;"_"&amp;COUNTIF(M$2:M2847,M2847)))</f>
        <v>1357.04_1</v>
      </c>
      <c r="O2847" s="17" t="str">
        <f t="shared" si="44"/>
        <v/>
      </c>
      <c r="P2847" s="13" t="s">
        <v>3617</v>
      </c>
      <c r="Q2847" s="13" t="s">
        <v>3603</v>
      </c>
      <c r="R2847" s="13" t="s">
        <v>0</v>
      </c>
      <c r="S2847" s="13" t="s">
        <v>0</v>
      </c>
      <c r="T2847" s="13" t="s">
        <v>9</v>
      </c>
      <c r="U2847" s="13" t="s">
        <v>0</v>
      </c>
      <c r="V2847" s="13" t="s">
        <v>0</v>
      </c>
      <c r="W2847" s="13" t="s">
        <v>0</v>
      </c>
      <c r="X2847" s="13" t="s">
        <v>0</v>
      </c>
      <c r="Y2847" s="13" t="s">
        <v>10</v>
      </c>
      <c r="Z2847" s="13" t="s">
        <v>0</v>
      </c>
      <c r="AA2847" s="14"/>
      <c r="AB2847" s="13" t="s">
        <v>0</v>
      </c>
      <c r="AC2847" s="13" t="s">
        <v>0</v>
      </c>
      <c r="AD2847" s="13" t="s">
        <v>0</v>
      </c>
      <c r="AE2847" s="15">
        <v>0</v>
      </c>
    </row>
    <row r="2848" spans="1:31" ht="14.15" customHeight="1" x14ac:dyDescent="0.25">
      <c r="A2848" s="12" t="s">
        <v>0</v>
      </c>
      <c r="B2848" s="13" t="s">
        <v>1</v>
      </c>
      <c r="C2848" s="13" t="s">
        <v>3252</v>
      </c>
      <c r="D2848" s="14">
        <v>44308</v>
      </c>
      <c r="E2848" s="14">
        <v>44308</v>
      </c>
      <c r="F2848" s="14">
        <v>44312</v>
      </c>
      <c r="G2848" s="13" t="s">
        <v>3</v>
      </c>
      <c r="H2848" s="13" t="s">
        <v>4</v>
      </c>
      <c r="I2848" s="15">
        <v>-1355.13</v>
      </c>
      <c r="J2848" s="13" t="s">
        <v>5</v>
      </c>
      <c r="K2848" s="13" t="s">
        <v>6</v>
      </c>
      <c r="L2848" s="15">
        <v>-113763.16</v>
      </c>
      <c r="M2848" s="15">
        <v>-1355.13</v>
      </c>
      <c r="N2848" s="16" t="str">
        <f>IF(M2848="","",IF(M2848&lt;0,-M2848&amp;"_"&amp;COUNTIF(M$2:M2848,M2848),M2848&amp;"_"&amp;COUNTIF(M$2:M2848,M2848)))</f>
        <v>1355.13_1</v>
      </c>
      <c r="O2848" s="17" t="str">
        <f t="shared" si="44"/>
        <v/>
      </c>
      <c r="P2848" s="13" t="s">
        <v>3253</v>
      </c>
      <c r="Q2848" s="13" t="s">
        <v>3251</v>
      </c>
      <c r="R2848" s="13" t="s">
        <v>0</v>
      </c>
      <c r="S2848" s="13" t="s">
        <v>0</v>
      </c>
      <c r="T2848" s="13" t="s">
        <v>9</v>
      </c>
      <c r="U2848" s="13" t="s">
        <v>0</v>
      </c>
      <c r="V2848" s="13" t="s">
        <v>0</v>
      </c>
      <c r="W2848" s="13" t="s">
        <v>0</v>
      </c>
      <c r="X2848" s="13" t="s">
        <v>0</v>
      </c>
      <c r="Y2848" s="13" t="s">
        <v>10</v>
      </c>
      <c r="Z2848" s="13" t="s">
        <v>0</v>
      </c>
      <c r="AA2848" s="14"/>
      <c r="AB2848" s="13" t="s">
        <v>0</v>
      </c>
      <c r="AC2848" s="13" t="s">
        <v>0</v>
      </c>
      <c r="AD2848" s="13" t="s">
        <v>0</v>
      </c>
      <c r="AE2848" s="15">
        <v>0</v>
      </c>
    </row>
    <row r="2849" spans="1:31" ht="14.15" customHeight="1" x14ac:dyDescent="0.25">
      <c r="A2849" s="12" t="s">
        <v>0</v>
      </c>
      <c r="B2849" s="13" t="s">
        <v>1</v>
      </c>
      <c r="C2849" s="13" t="s">
        <v>2283</v>
      </c>
      <c r="D2849" s="14">
        <v>44219</v>
      </c>
      <c r="E2849" s="14">
        <v>44219</v>
      </c>
      <c r="F2849" s="14">
        <v>44222</v>
      </c>
      <c r="G2849" s="13" t="s">
        <v>3</v>
      </c>
      <c r="H2849" s="13" t="s">
        <v>4</v>
      </c>
      <c r="I2849" s="15">
        <v>-1354.52</v>
      </c>
      <c r="J2849" s="13" t="s">
        <v>5</v>
      </c>
      <c r="K2849" s="13" t="s">
        <v>6</v>
      </c>
      <c r="L2849" s="15">
        <v>-113711.95</v>
      </c>
      <c r="M2849" s="15">
        <v>-1354.52</v>
      </c>
      <c r="N2849" s="16" t="str">
        <f>IF(M2849="","",IF(M2849&lt;0,-M2849&amp;"_"&amp;COUNTIF(M$2:M2849,M2849),M2849&amp;"_"&amp;COUNTIF(M$2:M2849,M2849)))</f>
        <v>1354.52_1</v>
      </c>
      <c r="O2849" s="17" t="str">
        <f t="shared" si="44"/>
        <v/>
      </c>
      <c r="P2849" s="13" t="s">
        <v>2284</v>
      </c>
      <c r="Q2849" s="13" t="s">
        <v>2282</v>
      </c>
      <c r="R2849" s="13" t="s">
        <v>0</v>
      </c>
      <c r="S2849" s="13" t="s">
        <v>0</v>
      </c>
      <c r="T2849" s="13" t="s">
        <v>9</v>
      </c>
      <c r="U2849" s="13" t="s">
        <v>0</v>
      </c>
      <c r="V2849" s="13" t="s">
        <v>0</v>
      </c>
      <c r="W2849" s="13" t="s">
        <v>0</v>
      </c>
      <c r="X2849" s="13" t="s">
        <v>0</v>
      </c>
      <c r="Y2849" s="13" t="s">
        <v>10</v>
      </c>
      <c r="Z2849" s="13" t="s">
        <v>0</v>
      </c>
      <c r="AA2849" s="14"/>
      <c r="AB2849" s="13" t="s">
        <v>0</v>
      </c>
      <c r="AC2849" s="13" t="s">
        <v>0</v>
      </c>
      <c r="AD2849" s="13" t="s">
        <v>0</v>
      </c>
      <c r="AE2849" s="15">
        <v>0</v>
      </c>
    </row>
    <row r="2850" spans="1:31" ht="14.15" customHeight="1" x14ac:dyDescent="0.25">
      <c r="A2850" s="12" t="s">
        <v>0</v>
      </c>
      <c r="B2850" s="13" t="s">
        <v>1</v>
      </c>
      <c r="C2850" s="13" t="s">
        <v>3661</v>
      </c>
      <c r="D2850" s="14">
        <v>44334</v>
      </c>
      <c r="E2850" s="14">
        <v>44334</v>
      </c>
      <c r="F2850" s="14">
        <v>44340</v>
      </c>
      <c r="G2850" s="13" t="s">
        <v>3</v>
      </c>
      <c r="H2850" s="13" t="s">
        <v>4</v>
      </c>
      <c r="I2850" s="15">
        <v>-1350.44</v>
      </c>
      <c r="J2850" s="13" t="s">
        <v>5</v>
      </c>
      <c r="K2850" s="13" t="s">
        <v>6</v>
      </c>
      <c r="L2850" s="15">
        <v>-113369.44</v>
      </c>
      <c r="M2850" s="15">
        <v>-1350.44</v>
      </c>
      <c r="N2850" s="16" t="str">
        <f>IF(M2850="","",IF(M2850&lt;0,-M2850&amp;"_"&amp;COUNTIF(M$2:M2850,M2850),M2850&amp;"_"&amp;COUNTIF(M$2:M2850,M2850)))</f>
        <v>1350.44_1</v>
      </c>
      <c r="O2850" s="17" t="str">
        <f t="shared" si="44"/>
        <v/>
      </c>
      <c r="P2850" s="13" t="s">
        <v>3662</v>
      </c>
      <c r="Q2850" s="13" t="s">
        <v>3660</v>
      </c>
      <c r="R2850" s="13" t="s">
        <v>0</v>
      </c>
      <c r="S2850" s="13" t="s">
        <v>0</v>
      </c>
      <c r="T2850" s="13" t="s">
        <v>9</v>
      </c>
      <c r="U2850" s="13" t="s">
        <v>0</v>
      </c>
      <c r="V2850" s="13" t="s">
        <v>0</v>
      </c>
      <c r="W2850" s="13" t="s">
        <v>0</v>
      </c>
      <c r="X2850" s="13" t="s">
        <v>0</v>
      </c>
      <c r="Y2850" s="13" t="s">
        <v>10</v>
      </c>
      <c r="Z2850" s="13" t="s">
        <v>0</v>
      </c>
      <c r="AA2850" s="14"/>
      <c r="AB2850" s="13" t="s">
        <v>0</v>
      </c>
      <c r="AC2850" s="13" t="s">
        <v>0</v>
      </c>
      <c r="AD2850" s="13" t="s">
        <v>0</v>
      </c>
      <c r="AE2850" s="15">
        <v>0</v>
      </c>
    </row>
    <row r="2851" spans="1:31" ht="14.15" customHeight="1" x14ac:dyDescent="0.25">
      <c r="A2851" s="12" t="s">
        <v>0</v>
      </c>
      <c r="B2851" s="13" t="s">
        <v>1</v>
      </c>
      <c r="C2851" s="13" t="s">
        <v>86</v>
      </c>
      <c r="D2851" s="14">
        <v>44021</v>
      </c>
      <c r="E2851" s="14">
        <v>44021</v>
      </c>
      <c r="F2851" s="14">
        <v>44032</v>
      </c>
      <c r="G2851" s="13" t="s">
        <v>3</v>
      </c>
      <c r="H2851" s="13" t="s">
        <v>4</v>
      </c>
      <c r="I2851" s="15">
        <v>-1350.18</v>
      </c>
      <c r="J2851" s="13" t="s">
        <v>5</v>
      </c>
      <c r="K2851" s="13" t="s">
        <v>6</v>
      </c>
      <c r="L2851" s="15">
        <v>-113347.61</v>
      </c>
      <c r="M2851" s="15">
        <v>-1350.18</v>
      </c>
      <c r="N2851" s="16" t="str">
        <f>IF(M2851="","",IF(M2851&lt;0,-M2851&amp;"_"&amp;COUNTIF(M$2:M2851,M2851),M2851&amp;"_"&amp;COUNTIF(M$2:M2851,M2851)))</f>
        <v>1350.18_1</v>
      </c>
      <c r="O2851" s="17" t="str">
        <f t="shared" si="44"/>
        <v/>
      </c>
      <c r="P2851" s="13" t="s">
        <v>87</v>
      </c>
      <c r="Q2851" s="13" t="s">
        <v>85</v>
      </c>
      <c r="R2851" s="13" t="s">
        <v>0</v>
      </c>
      <c r="S2851" s="13" t="s">
        <v>0</v>
      </c>
      <c r="T2851" s="13" t="s">
        <v>9</v>
      </c>
      <c r="U2851" s="13" t="s">
        <v>0</v>
      </c>
      <c r="V2851" s="13" t="s">
        <v>0</v>
      </c>
      <c r="W2851" s="13" t="s">
        <v>0</v>
      </c>
      <c r="X2851" s="13" t="s">
        <v>0</v>
      </c>
      <c r="Y2851" s="13" t="s">
        <v>10</v>
      </c>
      <c r="Z2851" s="13" t="s">
        <v>0</v>
      </c>
      <c r="AA2851" s="14"/>
      <c r="AB2851" s="13" t="s">
        <v>0</v>
      </c>
      <c r="AC2851" s="13" t="s">
        <v>0</v>
      </c>
      <c r="AD2851" s="13" t="s">
        <v>0</v>
      </c>
      <c r="AE2851" s="15">
        <v>0</v>
      </c>
    </row>
    <row r="2852" spans="1:31" ht="14.15" customHeight="1" x14ac:dyDescent="0.25">
      <c r="A2852" s="12" t="s">
        <v>0</v>
      </c>
      <c r="B2852" s="13" t="s">
        <v>1</v>
      </c>
      <c r="C2852" s="13" t="s">
        <v>4223</v>
      </c>
      <c r="D2852" s="14">
        <v>44366</v>
      </c>
      <c r="E2852" s="14">
        <v>44366</v>
      </c>
      <c r="F2852" s="14">
        <v>44384</v>
      </c>
      <c r="G2852" s="13" t="s">
        <v>3</v>
      </c>
      <c r="H2852" s="13" t="s">
        <v>4</v>
      </c>
      <c r="I2852" s="15">
        <v>-1343.95</v>
      </c>
      <c r="J2852" s="13" t="s">
        <v>5</v>
      </c>
      <c r="K2852" s="13" t="s">
        <v>6</v>
      </c>
      <c r="L2852" s="15">
        <v>-112824.6</v>
      </c>
      <c r="M2852" s="15">
        <v>-1343.95</v>
      </c>
      <c r="N2852" s="16" t="str">
        <f>IF(M2852="","",IF(M2852&lt;0,-M2852&amp;"_"&amp;COUNTIF(M$2:M2852,M2852),M2852&amp;"_"&amp;COUNTIF(M$2:M2852,M2852)))</f>
        <v>1343.95_1</v>
      </c>
      <c r="O2852" s="17" t="str">
        <f t="shared" si="44"/>
        <v/>
      </c>
      <c r="P2852" s="13" t="s">
        <v>4224</v>
      </c>
      <c r="Q2852" s="13" t="s">
        <v>4216</v>
      </c>
      <c r="R2852" s="13" t="s">
        <v>0</v>
      </c>
      <c r="S2852" s="13" t="s">
        <v>0</v>
      </c>
      <c r="T2852" s="13" t="s">
        <v>9</v>
      </c>
      <c r="U2852" s="13" t="s">
        <v>0</v>
      </c>
      <c r="V2852" s="13" t="s">
        <v>0</v>
      </c>
      <c r="W2852" s="13" t="s">
        <v>0</v>
      </c>
      <c r="X2852" s="13" t="s">
        <v>0</v>
      </c>
      <c r="Y2852" s="13" t="s">
        <v>10</v>
      </c>
      <c r="Z2852" s="13" t="s">
        <v>0</v>
      </c>
      <c r="AA2852" s="14"/>
      <c r="AB2852" s="13" t="s">
        <v>0</v>
      </c>
      <c r="AC2852" s="13" t="s">
        <v>0</v>
      </c>
      <c r="AD2852" s="13" t="s">
        <v>0</v>
      </c>
      <c r="AE2852" s="15">
        <v>0</v>
      </c>
    </row>
    <row r="2853" spans="1:31" ht="14.15" customHeight="1" x14ac:dyDescent="0.25">
      <c r="A2853" s="12" t="s">
        <v>0</v>
      </c>
      <c r="B2853" s="13" t="s">
        <v>1</v>
      </c>
      <c r="C2853" s="13" t="s">
        <v>3583</v>
      </c>
      <c r="D2853" s="14">
        <v>44326</v>
      </c>
      <c r="E2853" s="14">
        <v>44326</v>
      </c>
      <c r="F2853" s="14">
        <v>44333</v>
      </c>
      <c r="G2853" s="13" t="s">
        <v>3</v>
      </c>
      <c r="H2853" s="13" t="s">
        <v>4</v>
      </c>
      <c r="I2853" s="15">
        <v>-1343.72</v>
      </c>
      <c r="J2853" s="13" t="s">
        <v>5</v>
      </c>
      <c r="K2853" s="13" t="s">
        <v>6</v>
      </c>
      <c r="L2853" s="15">
        <v>-112805.29</v>
      </c>
      <c r="M2853" s="15">
        <v>-1343.72</v>
      </c>
      <c r="N2853" s="16" t="str">
        <f>IF(M2853="","",IF(M2853&lt;0,-M2853&amp;"_"&amp;COUNTIF(M$2:M2853,M2853),M2853&amp;"_"&amp;COUNTIF(M$2:M2853,M2853)))</f>
        <v>1343.72_1</v>
      </c>
      <c r="O2853" s="17" t="str">
        <f t="shared" si="44"/>
        <v/>
      </c>
      <c r="P2853" s="13" t="s">
        <v>3584</v>
      </c>
      <c r="Q2853" s="13" t="s">
        <v>3582</v>
      </c>
      <c r="R2853" s="13" t="s">
        <v>0</v>
      </c>
      <c r="S2853" s="13" t="s">
        <v>0</v>
      </c>
      <c r="T2853" s="13" t="s">
        <v>9</v>
      </c>
      <c r="U2853" s="13" t="s">
        <v>0</v>
      </c>
      <c r="V2853" s="13" t="s">
        <v>0</v>
      </c>
      <c r="W2853" s="13" t="s">
        <v>0</v>
      </c>
      <c r="X2853" s="13" t="s">
        <v>0</v>
      </c>
      <c r="Y2853" s="13" t="s">
        <v>10</v>
      </c>
      <c r="Z2853" s="13" t="s">
        <v>0</v>
      </c>
      <c r="AA2853" s="14"/>
      <c r="AB2853" s="13" t="s">
        <v>0</v>
      </c>
      <c r="AC2853" s="13" t="s">
        <v>0</v>
      </c>
      <c r="AD2853" s="13" t="s">
        <v>0</v>
      </c>
      <c r="AE2853" s="15">
        <v>0</v>
      </c>
    </row>
    <row r="2854" spans="1:31" ht="14.15" customHeight="1" x14ac:dyDescent="0.25">
      <c r="A2854" s="12" t="s">
        <v>0</v>
      </c>
      <c r="B2854" s="13" t="s">
        <v>1</v>
      </c>
      <c r="C2854" s="13" t="s">
        <v>3400</v>
      </c>
      <c r="D2854" s="14">
        <v>44319</v>
      </c>
      <c r="E2854" s="14">
        <v>44319</v>
      </c>
      <c r="F2854" s="14">
        <v>44329</v>
      </c>
      <c r="G2854" s="13" t="s">
        <v>3</v>
      </c>
      <c r="H2854" s="13" t="s">
        <v>4</v>
      </c>
      <c r="I2854" s="15">
        <v>-1342.17</v>
      </c>
      <c r="J2854" s="13" t="s">
        <v>5</v>
      </c>
      <c r="K2854" s="13" t="s">
        <v>6</v>
      </c>
      <c r="L2854" s="15">
        <v>-112675.17</v>
      </c>
      <c r="M2854" s="15">
        <v>-1342.17</v>
      </c>
      <c r="N2854" s="16" t="str">
        <f>IF(M2854="","",IF(M2854&lt;0,-M2854&amp;"_"&amp;COUNTIF(M$2:M2854,M2854),M2854&amp;"_"&amp;COUNTIF(M$2:M2854,M2854)))</f>
        <v>1342.17_1</v>
      </c>
      <c r="O2854" s="17" t="str">
        <f t="shared" si="44"/>
        <v/>
      </c>
      <c r="P2854" s="13" t="s">
        <v>3401</v>
      </c>
      <c r="Q2854" s="13" t="s">
        <v>3402</v>
      </c>
      <c r="R2854" s="13" t="s">
        <v>0</v>
      </c>
      <c r="S2854" s="13" t="s">
        <v>0</v>
      </c>
      <c r="T2854" s="13" t="s">
        <v>9</v>
      </c>
      <c r="U2854" s="13" t="s">
        <v>0</v>
      </c>
      <c r="V2854" s="13" t="s">
        <v>0</v>
      </c>
      <c r="W2854" s="13" t="s">
        <v>0</v>
      </c>
      <c r="X2854" s="13" t="s">
        <v>0</v>
      </c>
      <c r="Y2854" s="13" t="s">
        <v>10</v>
      </c>
      <c r="Z2854" s="13" t="s">
        <v>0</v>
      </c>
      <c r="AA2854" s="14"/>
      <c r="AB2854" s="13" t="s">
        <v>0</v>
      </c>
      <c r="AC2854" s="13" t="s">
        <v>0</v>
      </c>
      <c r="AD2854" s="13" t="s">
        <v>0</v>
      </c>
      <c r="AE2854" s="15">
        <v>0</v>
      </c>
    </row>
    <row r="2855" spans="1:31" ht="14.15" customHeight="1" x14ac:dyDescent="0.25">
      <c r="A2855" s="12" t="s">
        <v>0</v>
      </c>
      <c r="B2855" s="13" t="s">
        <v>1</v>
      </c>
      <c r="C2855" s="13" t="s">
        <v>441</v>
      </c>
      <c r="D2855" s="14">
        <v>44065</v>
      </c>
      <c r="E2855" s="14">
        <v>44065</v>
      </c>
      <c r="F2855" s="14">
        <v>44070</v>
      </c>
      <c r="G2855" s="13" t="s">
        <v>3</v>
      </c>
      <c r="H2855" s="13" t="s">
        <v>4</v>
      </c>
      <c r="I2855" s="15">
        <v>-1339.65</v>
      </c>
      <c r="J2855" s="13" t="s">
        <v>394</v>
      </c>
      <c r="K2855" s="13" t="s">
        <v>6</v>
      </c>
      <c r="L2855" s="15">
        <v>-112463.61</v>
      </c>
      <c r="M2855" s="15">
        <v>-1339.65</v>
      </c>
      <c r="N2855" s="16" t="str">
        <f>IF(M2855="","",IF(M2855&lt;0,-M2855&amp;"_"&amp;COUNTIF(M$2:M2855,M2855),M2855&amp;"_"&amp;COUNTIF(M$2:M2855,M2855)))</f>
        <v>1339.65_1</v>
      </c>
      <c r="O2855" s="17" t="str">
        <f t="shared" si="44"/>
        <v/>
      </c>
      <c r="P2855" s="13" t="s">
        <v>442</v>
      </c>
      <c r="Q2855" s="13" t="s">
        <v>440</v>
      </c>
      <c r="R2855" s="13" t="s">
        <v>0</v>
      </c>
      <c r="S2855" s="13" t="s">
        <v>0</v>
      </c>
      <c r="T2855" s="13" t="s">
        <v>9</v>
      </c>
      <c r="U2855" s="13" t="s">
        <v>0</v>
      </c>
      <c r="V2855" s="13" t="s">
        <v>0</v>
      </c>
      <c r="W2855" s="13" t="s">
        <v>0</v>
      </c>
      <c r="X2855" s="13" t="s">
        <v>0</v>
      </c>
      <c r="Y2855" s="13" t="s">
        <v>10</v>
      </c>
      <c r="Z2855" s="13" t="s">
        <v>0</v>
      </c>
      <c r="AA2855" s="14"/>
      <c r="AB2855" s="13" t="s">
        <v>0</v>
      </c>
      <c r="AC2855" s="13" t="s">
        <v>0</v>
      </c>
      <c r="AD2855" s="13" t="s">
        <v>0</v>
      </c>
      <c r="AE2855" s="15">
        <v>0</v>
      </c>
    </row>
    <row r="2856" spans="1:31" ht="14.15" customHeight="1" x14ac:dyDescent="0.25">
      <c r="A2856" s="12" t="s">
        <v>0</v>
      </c>
      <c r="B2856" s="13" t="s">
        <v>1</v>
      </c>
      <c r="C2856" s="13" t="s">
        <v>393</v>
      </c>
      <c r="D2856" s="14">
        <v>44060</v>
      </c>
      <c r="E2856" s="14">
        <v>44060</v>
      </c>
      <c r="F2856" s="14">
        <v>44068</v>
      </c>
      <c r="G2856" s="13" t="s">
        <v>3</v>
      </c>
      <c r="H2856" s="13" t="s">
        <v>4</v>
      </c>
      <c r="I2856" s="15">
        <v>-1338.02</v>
      </c>
      <c r="J2856" s="13" t="s">
        <v>5</v>
      </c>
      <c r="K2856" s="13" t="s">
        <v>6</v>
      </c>
      <c r="L2856" s="15">
        <v>-112326.78</v>
      </c>
      <c r="M2856" s="15">
        <v>-1338.02</v>
      </c>
      <c r="N2856" s="16" t="str">
        <f>IF(M2856="","",IF(M2856&lt;0,-M2856&amp;"_"&amp;COUNTIF(M$2:M2856,M2856),M2856&amp;"_"&amp;COUNTIF(M$2:M2856,M2856)))</f>
        <v>1338.02_1</v>
      </c>
      <c r="O2856" s="17" t="str">
        <f t="shared" si="44"/>
        <v/>
      </c>
      <c r="P2856" s="13" t="s">
        <v>395</v>
      </c>
      <c r="Q2856" s="13" t="s">
        <v>388</v>
      </c>
      <c r="R2856" s="13" t="s">
        <v>0</v>
      </c>
      <c r="S2856" s="13" t="s">
        <v>0</v>
      </c>
      <c r="T2856" s="13" t="s">
        <v>9</v>
      </c>
      <c r="U2856" s="13" t="s">
        <v>0</v>
      </c>
      <c r="V2856" s="13" t="s">
        <v>0</v>
      </c>
      <c r="W2856" s="13" t="s">
        <v>0</v>
      </c>
      <c r="X2856" s="13" t="s">
        <v>0</v>
      </c>
      <c r="Y2856" s="13" t="s">
        <v>10</v>
      </c>
      <c r="Z2856" s="13" t="s">
        <v>0</v>
      </c>
      <c r="AA2856" s="14"/>
      <c r="AB2856" s="13" t="s">
        <v>0</v>
      </c>
      <c r="AC2856" s="13" t="s">
        <v>0</v>
      </c>
      <c r="AD2856" s="13" t="s">
        <v>0</v>
      </c>
      <c r="AE2856" s="15">
        <v>0</v>
      </c>
    </row>
    <row r="2857" spans="1:31" ht="14.15" customHeight="1" x14ac:dyDescent="0.25">
      <c r="A2857" s="12" t="s">
        <v>0</v>
      </c>
      <c r="B2857" s="13" t="s">
        <v>1</v>
      </c>
      <c r="C2857" s="13" t="s">
        <v>353</v>
      </c>
      <c r="D2857" s="14">
        <v>44046</v>
      </c>
      <c r="E2857" s="14">
        <v>44046</v>
      </c>
      <c r="F2857" s="14">
        <v>44053</v>
      </c>
      <c r="G2857" s="13" t="s">
        <v>3</v>
      </c>
      <c r="H2857" s="13" t="s">
        <v>4</v>
      </c>
      <c r="I2857" s="15">
        <v>-1333.58</v>
      </c>
      <c r="J2857" s="13" t="s">
        <v>5</v>
      </c>
      <c r="K2857" s="13" t="s">
        <v>6</v>
      </c>
      <c r="L2857" s="15">
        <v>-111954.04</v>
      </c>
      <c r="M2857" s="15">
        <v>-1333.58</v>
      </c>
      <c r="N2857" s="16" t="str">
        <f>IF(M2857="","",IF(M2857&lt;0,-M2857&amp;"_"&amp;COUNTIF(M$2:M2857,M2857),M2857&amp;"_"&amp;COUNTIF(M$2:M2857,M2857)))</f>
        <v>1333.58_1</v>
      </c>
      <c r="O2857" s="17" t="str">
        <f t="shared" si="44"/>
        <v/>
      </c>
      <c r="P2857" s="13" t="s">
        <v>354</v>
      </c>
      <c r="Q2857" s="13" t="s">
        <v>338</v>
      </c>
      <c r="R2857" s="13" t="s">
        <v>0</v>
      </c>
      <c r="S2857" s="13" t="s">
        <v>0</v>
      </c>
      <c r="T2857" s="13" t="s">
        <v>9</v>
      </c>
      <c r="U2857" s="13" t="s">
        <v>0</v>
      </c>
      <c r="V2857" s="13" t="s">
        <v>0</v>
      </c>
      <c r="W2857" s="13" t="s">
        <v>0</v>
      </c>
      <c r="X2857" s="13" t="s">
        <v>0</v>
      </c>
      <c r="Y2857" s="13" t="s">
        <v>10</v>
      </c>
      <c r="Z2857" s="13" t="s">
        <v>0</v>
      </c>
      <c r="AA2857" s="14"/>
      <c r="AB2857" s="13" t="s">
        <v>0</v>
      </c>
      <c r="AC2857" s="13" t="s">
        <v>0</v>
      </c>
      <c r="AD2857" s="13" t="s">
        <v>0</v>
      </c>
      <c r="AE2857" s="15">
        <v>0</v>
      </c>
    </row>
    <row r="2858" spans="1:31" ht="14.15" customHeight="1" x14ac:dyDescent="0.25">
      <c r="A2858" s="12" t="s">
        <v>0</v>
      </c>
      <c r="B2858" s="13" t="s">
        <v>1</v>
      </c>
      <c r="C2858" s="13" t="s">
        <v>3864</v>
      </c>
      <c r="D2858" s="14">
        <v>44351</v>
      </c>
      <c r="E2858" s="14">
        <v>44351</v>
      </c>
      <c r="F2858" s="14">
        <v>44363</v>
      </c>
      <c r="G2858" s="13" t="s">
        <v>3</v>
      </c>
      <c r="H2858" s="13" t="s">
        <v>4</v>
      </c>
      <c r="I2858" s="15">
        <v>-1323.56</v>
      </c>
      <c r="J2858" s="13" t="s">
        <v>5</v>
      </c>
      <c r="K2858" s="13" t="s">
        <v>6</v>
      </c>
      <c r="L2858" s="15">
        <v>-111112.86</v>
      </c>
      <c r="M2858" s="15">
        <v>-1323.56</v>
      </c>
      <c r="N2858" s="16" t="str">
        <f>IF(M2858="","",IF(M2858&lt;0,-M2858&amp;"_"&amp;COUNTIF(M$2:M2858,M2858),M2858&amp;"_"&amp;COUNTIF(M$2:M2858,M2858)))</f>
        <v>1323.56_1</v>
      </c>
      <c r="O2858" s="17" t="str">
        <f t="shared" si="44"/>
        <v/>
      </c>
      <c r="P2858" s="13" t="s">
        <v>3777</v>
      </c>
      <c r="Q2858" s="13" t="s">
        <v>3857</v>
      </c>
      <c r="R2858" s="13" t="s">
        <v>0</v>
      </c>
      <c r="S2858" s="13" t="s">
        <v>0</v>
      </c>
      <c r="T2858" s="13" t="s">
        <v>9</v>
      </c>
      <c r="U2858" s="13" t="s">
        <v>0</v>
      </c>
      <c r="V2858" s="13" t="s">
        <v>0</v>
      </c>
      <c r="W2858" s="13" t="s">
        <v>0</v>
      </c>
      <c r="X2858" s="13" t="s">
        <v>0</v>
      </c>
      <c r="Y2858" s="13" t="s">
        <v>10</v>
      </c>
      <c r="Z2858" s="13" t="s">
        <v>0</v>
      </c>
      <c r="AA2858" s="14"/>
      <c r="AB2858" s="13" t="s">
        <v>0</v>
      </c>
      <c r="AC2858" s="13" t="s">
        <v>0</v>
      </c>
      <c r="AD2858" s="13" t="s">
        <v>0</v>
      </c>
      <c r="AE2858" s="15">
        <v>0</v>
      </c>
    </row>
    <row r="2859" spans="1:31" ht="14.15" customHeight="1" x14ac:dyDescent="0.25">
      <c r="A2859" s="12" t="s">
        <v>0</v>
      </c>
      <c r="B2859" s="13" t="s">
        <v>1</v>
      </c>
      <c r="C2859" s="13" t="s">
        <v>355</v>
      </c>
      <c r="D2859" s="14">
        <v>44048</v>
      </c>
      <c r="E2859" s="14">
        <v>44048</v>
      </c>
      <c r="F2859" s="14">
        <v>44072</v>
      </c>
      <c r="G2859" s="13" t="s">
        <v>3</v>
      </c>
      <c r="H2859" s="13" t="s">
        <v>4</v>
      </c>
      <c r="I2859" s="15">
        <v>-1322.48</v>
      </c>
      <c r="J2859" s="13" t="s">
        <v>5</v>
      </c>
      <c r="K2859" s="13" t="s">
        <v>6</v>
      </c>
      <c r="L2859" s="15">
        <v>-111022.19</v>
      </c>
      <c r="M2859" s="15">
        <v>-1322.48</v>
      </c>
      <c r="N2859" s="16" t="str">
        <f>IF(M2859="","",IF(M2859&lt;0,-M2859&amp;"_"&amp;COUNTIF(M$2:M2859,M2859),M2859&amp;"_"&amp;COUNTIF(M$2:M2859,M2859)))</f>
        <v>1322.48_1</v>
      </c>
      <c r="O2859" s="17" t="str">
        <f t="shared" si="44"/>
        <v/>
      </c>
      <c r="P2859" s="13" t="s">
        <v>356</v>
      </c>
      <c r="Q2859" s="13" t="s">
        <v>357</v>
      </c>
      <c r="R2859" s="13" t="s">
        <v>0</v>
      </c>
      <c r="S2859" s="13" t="s">
        <v>0</v>
      </c>
      <c r="T2859" s="13" t="s">
        <v>9</v>
      </c>
      <c r="U2859" s="13" t="s">
        <v>0</v>
      </c>
      <c r="V2859" s="13" t="s">
        <v>0</v>
      </c>
      <c r="W2859" s="13" t="s">
        <v>0</v>
      </c>
      <c r="X2859" s="13" t="s">
        <v>0</v>
      </c>
      <c r="Y2859" s="13" t="s">
        <v>10</v>
      </c>
      <c r="Z2859" s="13" t="s">
        <v>0</v>
      </c>
      <c r="AA2859" s="14"/>
      <c r="AB2859" s="13" t="s">
        <v>0</v>
      </c>
      <c r="AC2859" s="13" t="s">
        <v>0</v>
      </c>
      <c r="AD2859" s="13" t="s">
        <v>0</v>
      </c>
      <c r="AE2859" s="15">
        <v>0</v>
      </c>
    </row>
    <row r="2860" spans="1:31" ht="14.15" customHeight="1" x14ac:dyDescent="0.25">
      <c r="A2860" s="12" t="s">
        <v>0</v>
      </c>
      <c r="B2860" s="13" t="s">
        <v>1</v>
      </c>
      <c r="C2860" s="13" t="s">
        <v>73</v>
      </c>
      <c r="D2860" s="14">
        <v>44020</v>
      </c>
      <c r="E2860" s="14">
        <v>44020</v>
      </c>
      <c r="F2860" s="14">
        <v>44027</v>
      </c>
      <c r="G2860" s="13" t="s">
        <v>3</v>
      </c>
      <c r="H2860" s="13" t="s">
        <v>4</v>
      </c>
      <c r="I2860" s="15">
        <v>-1316.28</v>
      </c>
      <c r="J2860" s="13" t="s">
        <v>5</v>
      </c>
      <c r="K2860" s="13" t="s">
        <v>6</v>
      </c>
      <c r="L2860" s="15">
        <v>-110501.71</v>
      </c>
      <c r="M2860" s="15">
        <v>-1316.28</v>
      </c>
      <c r="N2860" s="16" t="str">
        <f>IF(M2860="","",IF(M2860&lt;0,-M2860&amp;"_"&amp;COUNTIF(M$2:M2860,M2860),M2860&amp;"_"&amp;COUNTIF(M$2:M2860,M2860)))</f>
        <v>1316.28_1</v>
      </c>
      <c r="O2860" s="17" t="str">
        <f t="shared" si="44"/>
        <v/>
      </c>
      <c r="P2860" s="13" t="s">
        <v>74</v>
      </c>
      <c r="Q2860" s="13" t="s">
        <v>70</v>
      </c>
      <c r="R2860" s="13" t="s">
        <v>0</v>
      </c>
      <c r="S2860" s="13" t="s">
        <v>0</v>
      </c>
      <c r="T2860" s="13" t="s">
        <v>9</v>
      </c>
      <c r="U2860" s="13" t="s">
        <v>0</v>
      </c>
      <c r="V2860" s="13" t="s">
        <v>0</v>
      </c>
      <c r="W2860" s="13" t="s">
        <v>0</v>
      </c>
      <c r="X2860" s="13" t="s">
        <v>0</v>
      </c>
      <c r="Y2860" s="13" t="s">
        <v>10</v>
      </c>
      <c r="Z2860" s="13" t="s">
        <v>0</v>
      </c>
      <c r="AA2860" s="14"/>
      <c r="AB2860" s="13" t="s">
        <v>0</v>
      </c>
      <c r="AC2860" s="13" t="s">
        <v>0</v>
      </c>
      <c r="AD2860" s="13" t="s">
        <v>0</v>
      </c>
      <c r="AE2860" s="15">
        <v>0</v>
      </c>
    </row>
    <row r="2861" spans="1:31" ht="14.15" customHeight="1" x14ac:dyDescent="0.25">
      <c r="A2861" s="12" t="s">
        <v>0</v>
      </c>
      <c r="B2861" s="13" t="s">
        <v>1</v>
      </c>
      <c r="C2861" s="13" t="s">
        <v>86</v>
      </c>
      <c r="D2861" s="14">
        <v>44021</v>
      </c>
      <c r="E2861" s="14">
        <v>44021</v>
      </c>
      <c r="F2861" s="14">
        <v>44032</v>
      </c>
      <c r="G2861" s="13" t="s">
        <v>3</v>
      </c>
      <c r="H2861" s="13" t="s">
        <v>4</v>
      </c>
      <c r="I2861" s="15">
        <v>-1314.75</v>
      </c>
      <c r="J2861" s="13" t="s">
        <v>5</v>
      </c>
      <c r="K2861" s="13" t="s">
        <v>6</v>
      </c>
      <c r="L2861" s="15">
        <v>-110373.26</v>
      </c>
      <c r="M2861" s="15">
        <v>-1314.75</v>
      </c>
      <c r="N2861" s="16" t="str">
        <f>IF(M2861="","",IF(M2861&lt;0,-M2861&amp;"_"&amp;COUNTIF(M$2:M2861,M2861),M2861&amp;"_"&amp;COUNTIF(M$2:M2861,M2861)))</f>
        <v>1314.75_1</v>
      </c>
      <c r="O2861" s="17" t="str">
        <f t="shared" si="44"/>
        <v/>
      </c>
      <c r="P2861" s="13" t="s">
        <v>87</v>
      </c>
      <c r="Q2861" s="13" t="s">
        <v>85</v>
      </c>
      <c r="R2861" s="13" t="s">
        <v>0</v>
      </c>
      <c r="S2861" s="13" t="s">
        <v>0</v>
      </c>
      <c r="T2861" s="13" t="s">
        <v>9</v>
      </c>
      <c r="U2861" s="13" t="s">
        <v>0</v>
      </c>
      <c r="V2861" s="13" t="s">
        <v>0</v>
      </c>
      <c r="W2861" s="13" t="s">
        <v>0</v>
      </c>
      <c r="X2861" s="13" t="s">
        <v>0</v>
      </c>
      <c r="Y2861" s="13" t="s">
        <v>10</v>
      </c>
      <c r="Z2861" s="13" t="s">
        <v>0</v>
      </c>
      <c r="AA2861" s="14"/>
      <c r="AB2861" s="13" t="s">
        <v>0</v>
      </c>
      <c r="AC2861" s="13" t="s">
        <v>0</v>
      </c>
      <c r="AD2861" s="13" t="s">
        <v>0</v>
      </c>
      <c r="AE2861" s="15">
        <v>0</v>
      </c>
    </row>
    <row r="2862" spans="1:31" ht="14.15" customHeight="1" x14ac:dyDescent="0.25">
      <c r="A2862" s="12" t="s">
        <v>0</v>
      </c>
      <c r="B2862" s="13" t="s">
        <v>1</v>
      </c>
      <c r="C2862" s="13" t="s">
        <v>211</v>
      </c>
      <c r="D2862" s="14">
        <v>44036</v>
      </c>
      <c r="E2862" s="14">
        <v>44036</v>
      </c>
      <c r="F2862" s="14">
        <v>44041</v>
      </c>
      <c r="G2862" s="13" t="s">
        <v>3</v>
      </c>
      <c r="H2862" s="13" t="s">
        <v>4</v>
      </c>
      <c r="I2862" s="15">
        <v>-1313.18</v>
      </c>
      <c r="J2862" s="13" t="s">
        <v>5</v>
      </c>
      <c r="K2862" s="13" t="s">
        <v>6</v>
      </c>
      <c r="L2862" s="15">
        <v>-110241.46</v>
      </c>
      <c r="M2862" s="15">
        <v>-1313.18</v>
      </c>
      <c r="N2862" s="16" t="str">
        <f>IF(M2862="","",IF(M2862&lt;0,-M2862&amp;"_"&amp;COUNTIF(M$2:M2862,M2862),M2862&amp;"_"&amp;COUNTIF(M$2:M2862,M2862)))</f>
        <v>1313.18_1</v>
      </c>
      <c r="O2862" s="17" t="str">
        <f t="shared" si="44"/>
        <v/>
      </c>
      <c r="P2862" s="13" t="s">
        <v>212</v>
      </c>
      <c r="Q2862" s="13" t="s">
        <v>206</v>
      </c>
      <c r="R2862" s="13" t="s">
        <v>0</v>
      </c>
      <c r="S2862" s="13" t="s">
        <v>0</v>
      </c>
      <c r="T2862" s="13" t="s">
        <v>9</v>
      </c>
      <c r="U2862" s="13" t="s">
        <v>0</v>
      </c>
      <c r="V2862" s="13" t="s">
        <v>0</v>
      </c>
      <c r="W2862" s="13" t="s">
        <v>0</v>
      </c>
      <c r="X2862" s="13" t="s">
        <v>0</v>
      </c>
      <c r="Y2862" s="13" t="s">
        <v>10</v>
      </c>
      <c r="Z2862" s="13" t="s">
        <v>0</v>
      </c>
      <c r="AA2862" s="14"/>
      <c r="AB2862" s="13" t="s">
        <v>0</v>
      </c>
      <c r="AC2862" s="13" t="s">
        <v>0</v>
      </c>
      <c r="AD2862" s="13" t="s">
        <v>0</v>
      </c>
      <c r="AE2862" s="15">
        <v>0</v>
      </c>
    </row>
    <row r="2863" spans="1:31" ht="14.15" customHeight="1" x14ac:dyDescent="0.25">
      <c r="A2863" s="12" t="s">
        <v>0</v>
      </c>
      <c r="B2863" s="13" t="s">
        <v>1</v>
      </c>
      <c r="C2863" s="13" t="s">
        <v>1297</v>
      </c>
      <c r="D2863" s="14">
        <v>44146</v>
      </c>
      <c r="E2863" s="14">
        <v>44146</v>
      </c>
      <c r="F2863" s="14">
        <v>44152</v>
      </c>
      <c r="G2863" s="13" t="s">
        <v>3</v>
      </c>
      <c r="H2863" s="13" t="s">
        <v>4</v>
      </c>
      <c r="I2863" s="15">
        <v>-1310.6400000000001</v>
      </c>
      <c r="J2863" s="13" t="s">
        <v>5</v>
      </c>
      <c r="K2863" s="13" t="s">
        <v>6</v>
      </c>
      <c r="L2863" s="15">
        <v>-110028.23</v>
      </c>
      <c r="M2863" s="15">
        <v>-1310.6400000000001</v>
      </c>
      <c r="N2863" s="16" t="str">
        <f>IF(M2863="","",IF(M2863&lt;0,-M2863&amp;"_"&amp;COUNTIF(M$2:M2863,M2863),M2863&amp;"_"&amp;COUNTIF(M$2:M2863,M2863)))</f>
        <v>1310.64_1</v>
      </c>
      <c r="O2863" s="17" t="str">
        <f t="shared" si="44"/>
        <v/>
      </c>
      <c r="P2863" s="13" t="s">
        <v>1298</v>
      </c>
      <c r="Q2863" s="13" t="s">
        <v>1282</v>
      </c>
      <c r="R2863" s="13" t="s">
        <v>0</v>
      </c>
      <c r="S2863" s="13" t="s">
        <v>0</v>
      </c>
      <c r="T2863" s="13" t="s">
        <v>9</v>
      </c>
      <c r="U2863" s="13" t="s">
        <v>0</v>
      </c>
      <c r="V2863" s="13" t="s">
        <v>0</v>
      </c>
      <c r="W2863" s="13" t="s">
        <v>0</v>
      </c>
      <c r="X2863" s="13" t="s">
        <v>0</v>
      </c>
      <c r="Y2863" s="13" t="s">
        <v>10</v>
      </c>
      <c r="Z2863" s="13" t="s">
        <v>0</v>
      </c>
      <c r="AA2863" s="14"/>
      <c r="AB2863" s="13" t="s">
        <v>0</v>
      </c>
      <c r="AC2863" s="13" t="s">
        <v>0</v>
      </c>
      <c r="AD2863" s="13" t="s">
        <v>0</v>
      </c>
      <c r="AE2863" s="15">
        <v>0</v>
      </c>
    </row>
    <row r="2864" spans="1:31" ht="14.15" customHeight="1" x14ac:dyDescent="0.25">
      <c r="A2864" s="12" t="s">
        <v>0</v>
      </c>
      <c r="B2864" s="13" t="s">
        <v>1</v>
      </c>
      <c r="C2864" s="13" t="s">
        <v>1029</v>
      </c>
      <c r="D2864" s="14">
        <v>44130</v>
      </c>
      <c r="E2864" s="14">
        <v>44130</v>
      </c>
      <c r="F2864" s="14">
        <v>44136</v>
      </c>
      <c r="G2864" s="13" t="s">
        <v>3</v>
      </c>
      <c r="H2864" s="13" t="s">
        <v>4</v>
      </c>
      <c r="I2864" s="15">
        <v>-1309.9000000000001</v>
      </c>
      <c r="J2864" s="13" t="s">
        <v>5</v>
      </c>
      <c r="K2864" s="13" t="s">
        <v>6</v>
      </c>
      <c r="L2864" s="15">
        <v>-109966.11</v>
      </c>
      <c r="M2864" s="15">
        <v>-1309.9000000000001</v>
      </c>
      <c r="N2864" s="16" t="str">
        <f>IF(M2864="","",IF(M2864&lt;0,-M2864&amp;"_"&amp;COUNTIF(M$2:M2864,M2864),M2864&amp;"_"&amp;COUNTIF(M$2:M2864,M2864)))</f>
        <v>1309.9_1</v>
      </c>
      <c r="O2864" s="17" t="str">
        <f t="shared" si="44"/>
        <v/>
      </c>
      <c r="P2864" s="13" t="s">
        <v>1030</v>
      </c>
      <c r="Q2864" s="13" t="s">
        <v>1024</v>
      </c>
      <c r="R2864" s="13" t="s">
        <v>0</v>
      </c>
      <c r="S2864" s="13" t="s">
        <v>0</v>
      </c>
      <c r="T2864" s="13" t="s">
        <v>9</v>
      </c>
      <c r="U2864" s="13" t="s">
        <v>0</v>
      </c>
      <c r="V2864" s="13" t="s">
        <v>0</v>
      </c>
      <c r="W2864" s="13" t="s">
        <v>0</v>
      </c>
      <c r="X2864" s="13" t="s">
        <v>0</v>
      </c>
      <c r="Y2864" s="13" t="s">
        <v>10</v>
      </c>
      <c r="Z2864" s="13" t="s">
        <v>0</v>
      </c>
      <c r="AA2864" s="14"/>
      <c r="AB2864" s="13" t="s">
        <v>0</v>
      </c>
      <c r="AC2864" s="13" t="s">
        <v>0</v>
      </c>
      <c r="AD2864" s="13" t="s">
        <v>0</v>
      </c>
      <c r="AE2864" s="15">
        <v>0</v>
      </c>
    </row>
    <row r="2865" spans="1:31" ht="14.15" customHeight="1" x14ac:dyDescent="0.25">
      <c r="A2865" s="12" t="s">
        <v>0</v>
      </c>
      <c r="B2865" s="13" t="s">
        <v>1</v>
      </c>
      <c r="C2865" s="13" t="s">
        <v>3075</v>
      </c>
      <c r="D2865" s="14">
        <v>44285</v>
      </c>
      <c r="E2865" s="14">
        <v>44285</v>
      </c>
      <c r="F2865" s="14">
        <v>44290</v>
      </c>
      <c r="G2865" s="13" t="s">
        <v>3</v>
      </c>
      <c r="H2865" s="13" t="s">
        <v>4</v>
      </c>
      <c r="I2865" s="15">
        <v>-1302.31</v>
      </c>
      <c r="J2865" s="13" t="s">
        <v>5</v>
      </c>
      <c r="K2865" s="13" t="s">
        <v>6</v>
      </c>
      <c r="L2865" s="15">
        <v>-109328.92</v>
      </c>
      <c r="M2865" s="15">
        <v>-1302.31</v>
      </c>
      <c r="N2865" s="16" t="str">
        <f>IF(M2865="","",IF(M2865&lt;0,-M2865&amp;"_"&amp;COUNTIF(M$2:M2865,M2865),M2865&amp;"_"&amp;COUNTIF(M$2:M2865,M2865)))</f>
        <v>1302.31_1</v>
      </c>
      <c r="O2865" s="17" t="str">
        <f t="shared" si="44"/>
        <v/>
      </c>
      <c r="P2865" s="13" t="s">
        <v>3076</v>
      </c>
      <c r="Q2865" s="13" t="s">
        <v>3074</v>
      </c>
      <c r="R2865" s="13" t="s">
        <v>0</v>
      </c>
      <c r="S2865" s="13" t="s">
        <v>0</v>
      </c>
      <c r="T2865" s="13" t="s">
        <v>9</v>
      </c>
      <c r="U2865" s="13" t="s">
        <v>0</v>
      </c>
      <c r="V2865" s="13" t="s">
        <v>0</v>
      </c>
      <c r="W2865" s="13" t="s">
        <v>0</v>
      </c>
      <c r="X2865" s="13" t="s">
        <v>0</v>
      </c>
      <c r="Y2865" s="13" t="s">
        <v>10</v>
      </c>
      <c r="Z2865" s="13" t="s">
        <v>0</v>
      </c>
      <c r="AA2865" s="14"/>
      <c r="AB2865" s="13" t="s">
        <v>0</v>
      </c>
      <c r="AC2865" s="13" t="s">
        <v>0</v>
      </c>
      <c r="AD2865" s="13" t="s">
        <v>0</v>
      </c>
      <c r="AE2865" s="15">
        <v>0</v>
      </c>
    </row>
    <row r="2866" spans="1:31" ht="14.15" customHeight="1" x14ac:dyDescent="0.25">
      <c r="A2866" s="12" t="s">
        <v>0</v>
      </c>
      <c r="B2866" s="13" t="s">
        <v>1</v>
      </c>
      <c r="C2866" s="13" t="s">
        <v>1163</v>
      </c>
      <c r="D2866" s="14">
        <v>44140</v>
      </c>
      <c r="E2866" s="14">
        <v>44140</v>
      </c>
      <c r="F2866" s="14">
        <v>44145</v>
      </c>
      <c r="G2866" s="13" t="s">
        <v>3</v>
      </c>
      <c r="H2866" s="13" t="s">
        <v>4</v>
      </c>
      <c r="I2866" s="15">
        <v>-1299.98</v>
      </c>
      <c r="J2866" s="13" t="s">
        <v>5</v>
      </c>
      <c r="K2866" s="13" t="s">
        <v>6</v>
      </c>
      <c r="L2866" s="15">
        <v>-109133.32</v>
      </c>
      <c r="M2866" s="15">
        <v>-1299.98</v>
      </c>
      <c r="N2866" s="16" t="str">
        <f>IF(M2866="","",IF(M2866&lt;0,-M2866&amp;"_"&amp;COUNTIF(M$2:M2866,M2866),M2866&amp;"_"&amp;COUNTIF(M$2:M2866,M2866)))</f>
        <v>1299.98_1</v>
      </c>
      <c r="O2866" s="17" t="str">
        <f t="shared" si="44"/>
        <v/>
      </c>
      <c r="P2866" s="13" t="s">
        <v>1164</v>
      </c>
      <c r="Q2866" s="13" t="s">
        <v>1165</v>
      </c>
      <c r="R2866" s="13" t="s">
        <v>0</v>
      </c>
      <c r="S2866" s="13" t="s">
        <v>0</v>
      </c>
      <c r="T2866" s="13" t="s">
        <v>9</v>
      </c>
      <c r="U2866" s="13" t="s">
        <v>0</v>
      </c>
      <c r="V2866" s="13" t="s">
        <v>0</v>
      </c>
      <c r="W2866" s="13" t="s">
        <v>0</v>
      </c>
      <c r="X2866" s="13" t="s">
        <v>0</v>
      </c>
      <c r="Y2866" s="13" t="s">
        <v>10</v>
      </c>
      <c r="Z2866" s="13" t="s">
        <v>0</v>
      </c>
      <c r="AA2866" s="14"/>
      <c r="AB2866" s="13" t="s">
        <v>0</v>
      </c>
      <c r="AC2866" s="13" t="s">
        <v>0</v>
      </c>
      <c r="AD2866" s="13" t="s">
        <v>0</v>
      </c>
      <c r="AE2866" s="15">
        <v>0</v>
      </c>
    </row>
    <row r="2867" spans="1:31" ht="14.15" customHeight="1" x14ac:dyDescent="0.25">
      <c r="A2867" s="12" t="s">
        <v>0</v>
      </c>
      <c r="B2867" s="13" t="s">
        <v>1</v>
      </c>
      <c r="C2867" s="13" t="s">
        <v>3958</v>
      </c>
      <c r="D2867" s="14">
        <v>44358</v>
      </c>
      <c r="E2867" s="14">
        <v>44358</v>
      </c>
      <c r="F2867" s="14">
        <v>44370</v>
      </c>
      <c r="G2867" s="13" t="s">
        <v>48</v>
      </c>
      <c r="H2867" s="13" t="s">
        <v>4</v>
      </c>
      <c r="I2867" s="15">
        <v>-1299</v>
      </c>
      <c r="J2867" s="13" t="s">
        <v>5</v>
      </c>
      <c r="K2867" s="13" t="s">
        <v>6</v>
      </c>
      <c r="L2867" s="15">
        <v>-109051.05</v>
      </c>
      <c r="M2867" s="15">
        <v>-1299</v>
      </c>
      <c r="N2867" s="16" t="str">
        <f>IF(M2867="","",IF(M2867&lt;0,-M2867&amp;"_"&amp;COUNTIF(M$2:M2867,M2867),M2867&amp;"_"&amp;COUNTIF(M$2:M2867,M2867)))</f>
        <v>1299_1</v>
      </c>
      <c r="O2867" s="17" t="str">
        <f t="shared" si="44"/>
        <v/>
      </c>
      <c r="P2867" s="13" t="s">
        <v>3959</v>
      </c>
      <c r="Q2867" s="13" t="s">
        <v>3959</v>
      </c>
      <c r="R2867" s="13" t="s">
        <v>50</v>
      </c>
      <c r="S2867" s="13" t="s">
        <v>0</v>
      </c>
      <c r="T2867" s="13" t="s">
        <v>9</v>
      </c>
      <c r="U2867" s="13" t="s">
        <v>50</v>
      </c>
      <c r="V2867" s="13" t="s">
        <v>0</v>
      </c>
      <c r="W2867" s="13" t="s">
        <v>0</v>
      </c>
      <c r="X2867" s="13" t="s">
        <v>0</v>
      </c>
      <c r="Y2867" s="13" t="s">
        <v>10</v>
      </c>
      <c r="Z2867" s="13" t="s">
        <v>0</v>
      </c>
      <c r="AA2867" s="14"/>
      <c r="AB2867" s="13" t="s">
        <v>0</v>
      </c>
      <c r="AC2867" s="13" t="s">
        <v>0</v>
      </c>
      <c r="AD2867" s="13" t="s">
        <v>0</v>
      </c>
      <c r="AE2867" s="15">
        <v>0</v>
      </c>
    </row>
    <row r="2868" spans="1:31" ht="14.15" customHeight="1" x14ac:dyDescent="0.25">
      <c r="A2868" s="12" t="s">
        <v>0</v>
      </c>
      <c r="B2868" s="13" t="s">
        <v>1</v>
      </c>
      <c r="C2868" s="13" t="s">
        <v>448</v>
      </c>
      <c r="D2868" s="14">
        <v>44066</v>
      </c>
      <c r="E2868" s="14">
        <v>44066</v>
      </c>
      <c r="F2868" s="14">
        <v>44069</v>
      </c>
      <c r="G2868" s="13" t="s">
        <v>3</v>
      </c>
      <c r="H2868" s="13" t="s">
        <v>4</v>
      </c>
      <c r="I2868" s="15">
        <v>-1297.08</v>
      </c>
      <c r="J2868" s="13" t="s">
        <v>5</v>
      </c>
      <c r="K2868" s="13" t="s">
        <v>6</v>
      </c>
      <c r="L2868" s="15">
        <v>-108889.87</v>
      </c>
      <c r="M2868" s="15">
        <v>-1297.08</v>
      </c>
      <c r="N2868" s="16" t="str">
        <f>IF(M2868="","",IF(M2868&lt;0,-M2868&amp;"_"&amp;COUNTIF(M$2:M2868,M2868),M2868&amp;"_"&amp;COUNTIF(M$2:M2868,M2868)))</f>
        <v>1297.08_1</v>
      </c>
      <c r="O2868" s="17" t="str">
        <f t="shared" si="44"/>
        <v/>
      </c>
      <c r="P2868" s="13" t="s">
        <v>449</v>
      </c>
      <c r="Q2868" s="13" t="s">
        <v>445</v>
      </c>
      <c r="R2868" s="13" t="s">
        <v>0</v>
      </c>
      <c r="S2868" s="13" t="s">
        <v>0</v>
      </c>
      <c r="T2868" s="13" t="s">
        <v>9</v>
      </c>
      <c r="U2868" s="13" t="s">
        <v>0</v>
      </c>
      <c r="V2868" s="13" t="s">
        <v>0</v>
      </c>
      <c r="W2868" s="13" t="s">
        <v>0</v>
      </c>
      <c r="X2868" s="13" t="s">
        <v>0</v>
      </c>
      <c r="Y2868" s="13" t="s">
        <v>10</v>
      </c>
      <c r="Z2868" s="13" t="s">
        <v>0</v>
      </c>
      <c r="AA2868" s="14"/>
      <c r="AB2868" s="13" t="s">
        <v>0</v>
      </c>
      <c r="AC2868" s="13" t="s">
        <v>0</v>
      </c>
      <c r="AD2868" s="13" t="s">
        <v>0</v>
      </c>
      <c r="AE2868" s="15">
        <v>0</v>
      </c>
    </row>
    <row r="2869" spans="1:31" ht="14.15" customHeight="1" x14ac:dyDescent="0.25">
      <c r="A2869" s="12" t="s">
        <v>0</v>
      </c>
      <c r="B2869" s="13" t="s">
        <v>1</v>
      </c>
      <c r="C2869" s="13" t="s">
        <v>1327</v>
      </c>
      <c r="D2869" s="14">
        <v>44148</v>
      </c>
      <c r="E2869" s="14">
        <v>44148</v>
      </c>
      <c r="F2869" s="14">
        <v>44154</v>
      </c>
      <c r="G2869" s="13" t="s">
        <v>3</v>
      </c>
      <c r="H2869" s="13" t="s">
        <v>4</v>
      </c>
      <c r="I2869" s="15">
        <v>-1296.1300000000001</v>
      </c>
      <c r="J2869" s="13" t="s">
        <v>5</v>
      </c>
      <c r="K2869" s="13" t="s">
        <v>6</v>
      </c>
      <c r="L2869" s="15">
        <v>-108810.11</v>
      </c>
      <c r="M2869" s="15">
        <v>-1296.1300000000001</v>
      </c>
      <c r="N2869" s="16" t="str">
        <f>IF(M2869="","",IF(M2869&lt;0,-M2869&amp;"_"&amp;COUNTIF(M$2:M2869,M2869),M2869&amp;"_"&amp;COUNTIF(M$2:M2869,M2869)))</f>
        <v>1296.13_1</v>
      </c>
      <c r="O2869" s="17" t="str">
        <f t="shared" si="44"/>
        <v/>
      </c>
      <c r="P2869" s="13" t="s">
        <v>1328</v>
      </c>
      <c r="Q2869" s="13" t="s">
        <v>1324</v>
      </c>
      <c r="R2869" s="13" t="s">
        <v>0</v>
      </c>
      <c r="S2869" s="13" t="s">
        <v>0</v>
      </c>
      <c r="T2869" s="13" t="s">
        <v>9</v>
      </c>
      <c r="U2869" s="13" t="s">
        <v>0</v>
      </c>
      <c r="V2869" s="13" t="s">
        <v>0</v>
      </c>
      <c r="W2869" s="13" t="s">
        <v>0</v>
      </c>
      <c r="X2869" s="13" t="s">
        <v>0</v>
      </c>
      <c r="Y2869" s="13" t="s">
        <v>10</v>
      </c>
      <c r="Z2869" s="13" t="s">
        <v>0</v>
      </c>
      <c r="AA2869" s="14"/>
      <c r="AB2869" s="13" t="s">
        <v>0</v>
      </c>
      <c r="AC2869" s="13" t="s">
        <v>0</v>
      </c>
      <c r="AD2869" s="13" t="s">
        <v>0</v>
      </c>
      <c r="AE2869" s="15">
        <v>0</v>
      </c>
    </row>
    <row r="2870" spans="1:31" ht="14.15" customHeight="1" x14ac:dyDescent="0.25">
      <c r="A2870" s="12" t="s">
        <v>0</v>
      </c>
      <c r="B2870" s="13" t="s">
        <v>289</v>
      </c>
      <c r="C2870" s="13" t="s">
        <v>1554</v>
      </c>
      <c r="D2870" s="14">
        <v>44165</v>
      </c>
      <c r="E2870" s="14">
        <v>44165</v>
      </c>
      <c r="F2870" s="14">
        <v>44171</v>
      </c>
      <c r="G2870" s="13" t="s">
        <v>48</v>
      </c>
      <c r="H2870" s="13" t="s">
        <v>4</v>
      </c>
      <c r="I2870" s="15">
        <v>-1291.28</v>
      </c>
      <c r="J2870" s="13" t="s">
        <v>5</v>
      </c>
      <c r="K2870" s="13" t="s">
        <v>6</v>
      </c>
      <c r="L2870" s="15">
        <v>-108402.96</v>
      </c>
      <c r="M2870" s="15">
        <v>-1291.28</v>
      </c>
      <c r="N2870" s="16" t="str">
        <f>IF(M2870="","",IF(M2870&lt;0,-M2870&amp;"_"&amp;COUNTIF(M$2:M2870,M2870),M2870&amp;"_"&amp;COUNTIF(M$2:M2870,M2870)))</f>
        <v>1291.28_1</v>
      </c>
      <c r="O2870" s="17" t="str">
        <f t="shared" si="44"/>
        <v/>
      </c>
      <c r="P2870" s="13" t="s">
        <v>1555</v>
      </c>
      <c r="Q2870" s="13" t="s">
        <v>1555</v>
      </c>
      <c r="R2870" s="13" t="s">
        <v>294</v>
      </c>
      <c r="S2870" s="13" t="s">
        <v>0</v>
      </c>
      <c r="T2870" s="13" t="s">
        <v>9</v>
      </c>
      <c r="U2870" s="13" t="s">
        <v>295</v>
      </c>
      <c r="V2870" s="13" t="s">
        <v>0</v>
      </c>
      <c r="W2870" s="13" t="s">
        <v>0</v>
      </c>
      <c r="X2870" s="13" t="s">
        <v>0</v>
      </c>
      <c r="Y2870" s="13" t="s">
        <v>291</v>
      </c>
      <c r="Z2870" s="13" t="s">
        <v>0</v>
      </c>
      <c r="AA2870" s="14"/>
      <c r="AB2870" s="13" t="s">
        <v>0</v>
      </c>
      <c r="AC2870" s="13" t="s">
        <v>0</v>
      </c>
      <c r="AD2870" s="13" t="s">
        <v>0</v>
      </c>
      <c r="AE2870" s="15">
        <v>0</v>
      </c>
    </row>
    <row r="2871" spans="1:31" ht="14.15" customHeight="1" x14ac:dyDescent="0.25">
      <c r="A2871" s="12" t="s">
        <v>0</v>
      </c>
      <c r="B2871" s="13" t="s">
        <v>1</v>
      </c>
      <c r="C2871" s="13" t="s">
        <v>1025</v>
      </c>
      <c r="D2871" s="14">
        <v>44130</v>
      </c>
      <c r="E2871" s="14">
        <v>44130</v>
      </c>
      <c r="F2871" s="14">
        <v>44132</v>
      </c>
      <c r="G2871" s="13" t="s">
        <v>3</v>
      </c>
      <c r="H2871" s="13" t="s">
        <v>4</v>
      </c>
      <c r="I2871" s="15">
        <v>-1285.76</v>
      </c>
      <c r="J2871" s="13" t="s">
        <v>5</v>
      </c>
      <c r="K2871" s="13" t="s">
        <v>6</v>
      </c>
      <c r="L2871" s="15">
        <v>-107939.55</v>
      </c>
      <c r="M2871" s="15">
        <v>-1285.76</v>
      </c>
      <c r="N2871" s="16" t="str">
        <f>IF(M2871="","",IF(M2871&lt;0,-M2871&amp;"_"&amp;COUNTIF(M$2:M2871,M2871),M2871&amp;"_"&amp;COUNTIF(M$2:M2871,M2871)))</f>
        <v>1285.76_1</v>
      </c>
      <c r="O2871" s="17" t="str">
        <f t="shared" si="44"/>
        <v/>
      </c>
      <c r="P2871" s="13" t="s">
        <v>1026</v>
      </c>
      <c r="Q2871" s="13" t="s">
        <v>1024</v>
      </c>
      <c r="R2871" s="13" t="s">
        <v>0</v>
      </c>
      <c r="S2871" s="13" t="s">
        <v>0</v>
      </c>
      <c r="T2871" s="13" t="s">
        <v>9</v>
      </c>
      <c r="U2871" s="13" t="s">
        <v>0</v>
      </c>
      <c r="V2871" s="13" t="s">
        <v>0</v>
      </c>
      <c r="W2871" s="13" t="s">
        <v>0</v>
      </c>
      <c r="X2871" s="13" t="s">
        <v>0</v>
      </c>
      <c r="Y2871" s="13" t="s">
        <v>10</v>
      </c>
      <c r="Z2871" s="13" t="s">
        <v>0</v>
      </c>
      <c r="AA2871" s="14"/>
      <c r="AB2871" s="13" t="s">
        <v>0</v>
      </c>
      <c r="AC2871" s="13" t="s">
        <v>0</v>
      </c>
      <c r="AD2871" s="13" t="s">
        <v>0</v>
      </c>
      <c r="AE2871" s="15">
        <v>0</v>
      </c>
    </row>
    <row r="2872" spans="1:31" ht="14.15" customHeight="1" x14ac:dyDescent="0.25">
      <c r="A2872" s="12" t="s">
        <v>0</v>
      </c>
      <c r="B2872" s="13" t="s">
        <v>1</v>
      </c>
      <c r="C2872" s="13" t="s">
        <v>2410</v>
      </c>
      <c r="D2872" s="14">
        <v>44228</v>
      </c>
      <c r="E2872" s="14">
        <v>44228</v>
      </c>
      <c r="F2872" s="14">
        <v>44238</v>
      </c>
      <c r="G2872" s="13" t="s">
        <v>3</v>
      </c>
      <c r="H2872" s="13" t="s">
        <v>4</v>
      </c>
      <c r="I2872" s="15">
        <v>-1284.3499999999999</v>
      </c>
      <c r="J2872" s="13" t="s">
        <v>5</v>
      </c>
      <c r="K2872" s="13" t="s">
        <v>6</v>
      </c>
      <c r="L2872" s="15">
        <v>-107821.18</v>
      </c>
      <c r="M2872" s="15">
        <v>-1284.3499999999999</v>
      </c>
      <c r="N2872" s="16" t="str">
        <f>IF(M2872="","",IF(M2872&lt;0,-M2872&amp;"_"&amp;COUNTIF(M$2:M2872,M2872),M2872&amp;"_"&amp;COUNTIF(M$2:M2872,M2872)))</f>
        <v>1284.35_1</v>
      </c>
      <c r="O2872" s="17" t="str">
        <f t="shared" si="44"/>
        <v/>
      </c>
      <c r="P2872" s="13" t="s">
        <v>2411</v>
      </c>
      <c r="Q2872" s="13" t="s">
        <v>2412</v>
      </c>
      <c r="R2872" s="13" t="s">
        <v>0</v>
      </c>
      <c r="S2872" s="13" t="s">
        <v>0</v>
      </c>
      <c r="T2872" s="13" t="s">
        <v>9</v>
      </c>
      <c r="U2872" s="13" t="s">
        <v>0</v>
      </c>
      <c r="V2872" s="13" t="s">
        <v>0</v>
      </c>
      <c r="W2872" s="13" t="s">
        <v>0</v>
      </c>
      <c r="X2872" s="13" t="s">
        <v>0</v>
      </c>
      <c r="Y2872" s="13" t="s">
        <v>10</v>
      </c>
      <c r="Z2872" s="13" t="s">
        <v>0</v>
      </c>
      <c r="AA2872" s="14"/>
      <c r="AB2872" s="13" t="s">
        <v>0</v>
      </c>
      <c r="AC2872" s="13" t="s">
        <v>0</v>
      </c>
      <c r="AD2872" s="13" t="s">
        <v>0</v>
      </c>
      <c r="AE2872" s="15">
        <v>0</v>
      </c>
    </row>
    <row r="2873" spans="1:31" ht="14.15" customHeight="1" x14ac:dyDescent="0.25">
      <c r="A2873" s="12" t="s">
        <v>0</v>
      </c>
      <c r="B2873" s="13" t="s">
        <v>1</v>
      </c>
      <c r="C2873" s="13" t="s">
        <v>3513</v>
      </c>
      <c r="D2873" s="14">
        <v>44324</v>
      </c>
      <c r="E2873" s="14">
        <v>44324</v>
      </c>
      <c r="F2873" s="14">
        <v>44329</v>
      </c>
      <c r="G2873" s="13" t="s">
        <v>3</v>
      </c>
      <c r="H2873" s="13" t="s">
        <v>4</v>
      </c>
      <c r="I2873" s="15">
        <v>-1277.3499999999999</v>
      </c>
      <c r="J2873" s="13" t="s">
        <v>5</v>
      </c>
      <c r="K2873" s="13" t="s">
        <v>6</v>
      </c>
      <c r="L2873" s="15">
        <v>-107233.53</v>
      </c>
      <c r="M2873" s="15">
        <v>-1277.3499999999999</v>
      </c>
      <c r="N2873" s="16" t="str">
        <f>IF(M2873="","",IF(M2873&lt;0,-M2873&amp;"_"&amp;COUNTIF(M$2:M2873,M2873),M2873&amp;"_"&amp;COUNTIF(M$2:M2873,M2873)))</f>
        <v>1277.35_1</v>
      </c>
      <c r="O2873" s="17" t="str">
        <f t="shared" si="44"/>
        <v/>
      </c>
      <c r="P2873" s="13" t="s">
        <v>3514</v>
      </c>
      <c r="Q2873" s="13" t="s">
        <v>3512</v>
      </c>
      <c r="R2873" s="13" t="s">
        <v>0</v>
      </c>
      <c r="S2873" s="13" t="s">
        <v>0</v>
      </c>
      <c r="T2873" s="13" t="s">
        <v>9</v>
      </c>
      <c r="U2873" s="13" t="s">
        <v>0</v>
      </c>
      <c r="V2873" s="13" t="s">
        <v>0</v>
      </c>
      <c r="W2873" s="13" t="s">
        <v>0</v>
      </c>
      <c r="X2873" s="13" t="s">
        <v>0</v>
      </c>
      <c r="Y2873" s="13" t="s">
        <v>10</v>
      </c>
      <c r="Z2873" s="13" t="s">
        <v>0</v>
      </c>
      <c r="AA2873" s="14"/>
      <c r="AB2873" s="13" t="s">
        <v>0</v>
      </c>
      <c r="AC2873" s="13" t="s">
        <v>0</v>
      </c>
      <c r="AD2873" s="13" t="s">
        <v>0</v>
      </c>
      <c r="AE2873" s="15">
        <v>0</v>
      </c>
    </row>
    <row r="2874" spans="1:31" ht="14.15" customHeight="1" x14ac:dyDescent="0.25">
      <c r="A2874" s="12" t="s">
        <v>0</v>
      </c>
      <c r="B2874" s="13" t="s">
        <v>1</v>
      </c>
      <c r="C2874" s="13" t="s">
        <v>1295</v>
      </c>
      <c r="D2874" s="14">
        <v>44146</v>
      </c>
      <c r="E2874" s="14">
        <v>44146</v>
      </c>
      <c r="F2874" s="14">
        <v>44152</v>
      </c>
      <c r="G2874" s="13" t="s">
        <v>3</v>
      </c>
      <c r="H2874" s="13" t="s">
        <v>4</v>
      </c>
      <c r="I2874" s="15">
        <v>-1276.79</v>
      </c>
      <c r="J2874" s="13" t="s">
        <v>5</v>
      </c>
      <c r="K2874" s="13" t="s">
        <v>6</v>
      </c>
      <c r="L2874" s="15">
        <v>-107186.52</v>
      </c>
      <c r="M2874" s="15">
        <v>-1276.79</v>
      </c>
      <c r="N2874" s="16" t="str">
        <f>IF(M2874="","",IF(M2874&lt;0,-M2874&amp;"_"&amp;COUNTIF(M$2:M2874,M2874),M2874&amp;"_"&amp;COUNTIF(M$2:M2874,M2874)))</f>
        <v>1276.79_1</v>
      </c>
      <c r="O2874" s="17" t="str">
        <f t="shared" si="44"/>
        <v/>
      </c>
      <c r="P2874" s="13" t="s">
        <v>1296</v>
      </c>
      <c r="Q2874" s="13" t="s">
        <v>1282</v>
      </c>
      <c r="R2874" s="13" t="s">
        <v>0</v>
      </c>
      <c r="S2874" s="13" t="s">
        <v>0</v>
      </c>
      <c r="T2874" s="13" t="s">
        <v>9</v>
      </c>
      <c r="U2874" s="13" t="s">
        <v>0</v>
      </c>
      <c r="V2874" s="13" t="s">
        <v>0</v>
      </c>
      <c r="W2874" s="13" t="s">
        <v>0</v>
      </c>
      <c r="X2874" s="13" t="s">
        <v>0</v>
      </c>
      <c r="Y2874" s="13" t="s">
        <v>10</v>
      </c>
      <c r="Z2874" s="13" t="s">
        <v>0</v>
      </c>
      <c r="AA2874" s="14"/>
      <c r="AB2874" s="13" t="s">
        <v>0</v>
      </c>
      <c r="AC2874" s="13" t="s">
        <v>0</v>
      </c>
      <c r="AD2874" s="13" t="s">
        <v>0</v>
      </c>
      <c r="AE2874" s="15">
        <v>0</v>
      </c>
    </row>
    <row r="2875" spans="1:31" ht="14.15" customHeight="1" x14ac:dyDescent="0.25">
      <c r="A2875" s="12" t="s">
        <v>0</v>
      </c>
      <c r="B2875" s="13" t="s">
        <v>1</v>
      </c>
      <c r="C2875" s="13" t="s">
        <v>86</v>
      </c>
      <c r="D2875" s="14">
        <v>44021</v>
      </c>
      <c r="E2875" s="14">
        <v>44021</v>
      </c>
      <c r="F2875" s="14">
        <v>44032</v>
      </c>
      <c r="G2875" s="13" t="s">
        <v>3</v>
      </c>
      <c r="H2875" s="13" t="s">
        <v>4</v>
      </c>
      <c r="I2875" s="15">
        <v>-1270.92</v>
      </c>
      <c r="J2875" s="13" t="s">
        <v>5</v>
      </c>
      <c r="K2875" s="13" t="s">
        <v>6</v>
      </c>
      <c r="L2875" s="15">
        <v>-106693.73</v>
      </c>
      <c r="M2875" s="15">
        <v>-1270.92</v>
      </c>
      <c r="N2875" s="16" t="str">
        <f>IF(M2875="","",IF(M2875&lt;0,-M2875&amp;"_"&amp;COUNTIF(M$2:M2875,M2875),M2875&amp;"_"&amp;COUNTIF(M$2:M2875,M2875)))</f>
        <v>1270.92_1</v>
      </c>
      <c r="O2875" s="17" t="str">
        <f t="shared" si="44"/>
        <v/>
      </c>
      <c r="P2875" s="13" t="s">
        <v>87</v>
      </c>
      <c r="Q2875" s="13" t="s">
        <v>85</v>
      </c>
      <c r="R2875" s="13" t="s">
        <v>0</v>
      </c>
      <c r="S2875" s="13" t="s">
        <v>0</v>
      </c>
      <c r="T2875" s="13" t="s">
        <v>9</v>
      </c>
      <c r="U2875" s="13" t="s">
        <v>0</v>
      </c>
      <c r="V2875" s="13" t="s">
        <v>0</v>
      </c>
      <c r="W2875" s="13" t="s">
        <v>0</v>
      </c>
      <c r="X2875" s="13" t="s">
        <v>0</v>
      </c>
      <c r="Y2875" s="13" t="s">
        <v>10</v>
      </c>
      <c r="Z2875" s="13" t="s">
        <v>0</v>
      </c>
      <c r="AA2875" s="14"/>
      <c r="AB2875" s="13" t="s">
        <v>0</v>
      </c>
      <c r="AC2875" s="13" t="s">
        <v>0</v>
      </c>
      <c r="AD2875" s="13" t="s">
        <v>0</v>
      </c>
      <c r="AE2875" s="15">
        <v>0</v>
      </c>
    </row>
    <row r="2876" spans="1:31" ht="14.15" customHeight="1" x14ac:dyDescent="0.25">
      <c r="A2876" s="12" t="s">
        <v>0</v>
      </c>
      <c r="B2876" s="13" t="s">
        <v>1</v>
      </c>
      <c r="C2876" s="13" t="s">
        <v>4217</v>
      </c>
      <c r="D2876" s="14">
        <v>44366</v>
      </c>
      <c r="E2876" s="14">
        <v>44366</v>
      </c>
      <c r="F2876" s="14">
        <v>44371</v>
      </c>
      <c r="G2876" s="13" t="s">
        <v>3</v>
      </c>
      <c r="H2876" s="13" t="s">
        <v>4</v>
      </c>
      <c r="I2876" s="15">
        <v>-1262.73</v>
      </c>
      <c r="J2876" s="13" t="s">
        <v>5</v>
      </c>
      <c r="K2876" s="13" t="s">
        <v>6</v>
      </c>
      <c r="L2876" s="15">
        <v>-106006.18</v>
      </c>
      <c r="M2876" s="15">
        <v>-1262.73</v>
      </c>
      <c r="N2876" s="16" t="str">
        <f>IF(M2876="","",IF(M2876&lt;0,-M2876&amp;"_"&amp;COUNTIF(M$2:M2876,M2876),M2876&amp;"_"&amp;COUNTIF(M$2:M2876,M2876)))</f>
        <v>1262.73_1</v>
      </c>
      <c r="O2876" s="17" t="str">
        <f t="shared" si="44"/>
        <v/>
      </c>
      <c r="P2876" s="13" t="s">
        <v>4218</v>
      </c>
      <c r="Q2876" s="13" t="s">
        <v>4216</v>
      </c>
      <c r="R2876" s="13" t="s">
        <v>0</v>
      </c>
      <c r="S2876" s="13" t="s">
        <v>0</v>
      </c>
      <c r="T2876" s="13" t="s">
        <v>9</v>
      </c>
      <c r="U2876" s="13" t="s">
        <v>0</v>
      </c>
      <c r="V2876" s="13" t="s">
        <v>0</v>
      </c>
      <c r="W2876" s="13" t="s">
        <v>0</v>
      </c>
      <c r="X2876" s="13" t="s">
        <v>0</v>
      </c>
      <c r="Y2876" s="13" t="s">
        <v>10</v>
      </c>
      <c r="Z2876" s="13" t="s">
        <v>0</v>
      </c>
      <c r="AA2876" s="14"/>
      <c r="AB2876" s="13" t="s">
        <v>0</v>
      </c>
      <c r="AC2876" s="13" t="s">
        <v>0</v>
      </c>
      <c r="AD2876" s="13" t="s">
        <v>0</v>
      </c>
      <c r="AE2876" s="15">
        <v>0</v>
      </c>
    </row>
    <row r="2877" spans="1:31" ht="14.15" customHeight="1" x14ac:dyDescent="0.25">
      <c r="A2877" s="12" t="s">
        <v>0</v>
      </c>
      <c r="B2877" s="13" t="s">
        <v>1</v>
      </c>
      <c r="C2877" s="13" t="s">
        <v>2052</v>
      </c>
      <c r="D2877" s="14">
        <v>44198</v>
      </c>
      <c r="E2877" s="14">
        <v>44198</v>
      </c>
      <c r="F2877" s="14">
        <v>44212</v>
      </c>
      <c r="G2877" s="13" t="s">
        <v>3</v>
      </c>
      <c r="H2877" s="13" t="s">
        <v>4</v>
      </c>
      <c r="I2877" s="15">
        <v>-1253.1300000000001</v>
      </c>
      <c r="J2877" s="13" t="s">
        <v>5</v>
      </c>
      <c r="K2877" s="13" t="s">
        <v>6</v>
      </c>
      <c r="L2877" s="15">
        <v>-105200.26</v>
      </c>
      <c r="M2877" s="15">
        <v>-1253.1300000000001</v>
      </c>
      <c r="N2877" s="16" t="str">
        <f>IF(M2877="","",IF(M2877&lt;0,-M2877&amp;"_"&amp;COUNTIF(M$2:M2877,M2877),M2877&amp;"_"&amp;COUNTIF(M$2:M2877,M2877)))</f>
        <v>1253.13_1</v>
      </c>
      <c r="O2877" s="17" t="str">
        <f t="shared" si="44"/>
        <v/>
      </c>
      <c r="P2877" s="13" t="s">
        <v>2053</v>
      </c>
      <c r="Q2877" s="13" t="s">
        <v>2051</v>
      </c>
      <c r="R2877" s="13" t="s">
        <v>0</v>
      </c>
      <c r="S2877" s="13" t="s">
        <v>0</v>
      </c>
      <c r="T2877" s="13" t="s">
        <v>9</v>
      </c>
      <c r="U2877" s="13" t="s">
        <v>0</v>
      </c>
      <c r="V2877" s="13" t="s">
        <v>0</v>
      </c>
      <c r="W2877" s="13" t="s">
        <v>0</v>
      </c>
      <c r="X2877" s="13" t="s">
        <v>0</v>
      </c>
      <c r="Y2877" s="13" t="s">
        <v>10</v>
      </c>
      <c r="Z2877" s="13" t="s">
        <v>0</v>
      </c>
      <c r="AA2877" s="14"/>
      <c r="AB2877" s="13" t="s">
        <v>0</v>
      </c>
      <c r="AC2877" s="13" t="s">
        <v>0</v>
      </c>
      <c r="AD2877" s="13" t="s">
        <v>0</v>
      </c>
      <c r="AE2877" s="15">
        <v>0</v>
      </c>
    </row>
    <row r="2878" spans="1:31" ht="14.15" customHeight="1" x14ac:dyDescent="0.25">
      <c r="A2878" s="12" t="s">
        <v>0</v>
      </c>
      <c r="B2878" s="13" t="s">
        <v>1</v>
      </c>
      <c r="C2878" s="13" t="s">
        <v>401</v>
      </c>
      <c r="D2878" s="14">
        <v>44062</v>
      </c>
      <c r="E2878" s="14">
        <v>44062</v>
      </c>
      <c r="F2878" s="14">
        <v>44065</v>
      </c>
      <c r="G2878" s="13" t="s">
        <v>3</v>
      </c>
      <c r="H2878" s="13" t="s">
        <v>4</v>
      </c>
      <c r="I2878" s="15">
        <v>-1252.1400000000001</v>
      </c>
      <c r="J2878" s="13" t="s">
        <v>5</v>
      </c>
      <c r="K2878" s="13" t="s">
        <v>6</v>
      </c>
      <c r="L2878" s="15">
        <v>-105117.15</v>
      </c>
      <c r="M2878" s="15">
        <v>-1252.1400000000001</v>
      </c>
      <c r="N2878" s="16" t="str">
        <f>IF(M2878="","",IF(M2878&lt;0,-M2878&amp;"_"&amp;COUNTIF(M$2:M2878,M2878),M2878&amp;"_"&amp;COUNTIF(M$2:M2878,M2878)))</f>
        <v>1252.14_1</v>
      </c>
      <c r="O2878" s="17" t="str">
        <f t="shared" si="44"/>
        <v/>
      </c>
      <c r="P2878" s="13" t="s">
        <v>402</v>
      </c>
      <c r="Q2878" s="13" t="s">
        <v>403</v>
      </c>
      <c r="R2878" s="13" t="s">
        <v>0</v>
      </c>
      <c r="S2878" s="13" t="s">
        <v>0</v>
      </c>
      <c r="T2878" s="13" t="s">
        <v>9</v>
      </c>
      <c r="U2878" s="13" t="s">
        <v>0</v>
      </c>
      <c r="V2878" s="13" t="s">
        <v>0</v>
      </c>
      <c r="W2878" s="13" t="s">
        <v>0</v>
      </c>
      <c r="X2878" s="13" t="s">
        <v>0</v>
      </c>
      <c r="Y2878" s="13" t="s">
        <v>10</v>
      </c>
      <c r="Z2878" s="13" t="s">
        <v>0</v>
      </c>
      <c r="AA2878" s="14"/>
      <c r="AB2878" s="13" t="s">
        <v>0</v>
      </c>
      <c r="AC2878" s="13" t="s">
        <v>0</v>
      </c>
      <c r="AD2878" s="13" t="s">
        <v>0</v>
      </c>
      <c r="AE2878" s="15">
        <v>0</v>
      </c>
    </row>
    <row r="2879" spans="1:31" ht="14.15" customHeight="1" x14ac:dyDescent="0.25">
      <c r="A2879" s="12" t="s">
        <v>0</v>
      </c>
      <c r="B2879" s="13" t="s">
        <v>1</v>
      </c>
      <c r="C2879" s="13" t="s">
        <v>1280</v>
      </c>
      <c r="D2879" s="14">
        <v>44146</v>
      </c>
      <c r="E2879" s="14">
        <v>44146</v>
      </c>
      <c r="F2879" s="14">
        <v>44149</v>
      </c>
      <c r="G2879" s="13" t="s">
        <v>3</v>
      </c>
      <c r="H2879" s="13" t="s">
        <v>4</v>
      </c>
      <c r="I2879" s="15">
        <v>-1248.8399999999999</v>
      </c>
      <c r="J2879" s="13" t="s">
        <v>5</v>
      </c>
      <c r="K2879" s="13" t="s">
        <v>6</v>
      </c>
      <c r="L2879" s="15">
        <v>-104840.12</v>
      </c>
      <c r="M2879" s="15">
        <v>-1248.8399999999999</v>
      </c>
      <c r="N2879" s="16" t="str">
        <f>IF(M2879="","",IF(M2879&lt;0,-M2879&amp;"_"&amp;COUNTIF(M$2:M2879,M2879),M2879&amp;"_"&amp;COUNTIF(M$2:M2879,M2879)))</f>
        <v>1248.84_1</v>
      </c>
      <c r="O2879" s="17" t="str">
        <f t="shared" si="44"/>
        <v/>
      </c>
      <c r="P2879" s="13" t="s">
        <v>1281</v>
      </c>
      <c r="Q2879" s="13" t="s">
        <v>1282</v>
      </c>
      <c r="R2879" s="13" t="s">
        <v>0</v>
      </c>
      <c r="S2879" s="13" t="s">
        <v>0</v>
      </c>
      <c r="T2879" s="13" t="s">
        <v>9</v>
      </c>
      <c r="U2879" s="13" t="s">
        <v>0</v>
      </c>
      <c r="V2879" s="13" t="s">
        <v>0</v>
      </c>
      <c r="W2879" s="13" t="s">
        <v>0</v>
      </c>
      <c r="X2879" s="13" t="s">
        <v>0</v>
      </c>
      <c r="Y2879" s="13" t="s">
        <v>10</v>
      </c>
      <c r="Z2879" s="13" t="s">
        <v>0</v>
      </c>
      <c r="AA2879" s="14"/>
      <c r="AB2879" s="13" t="s">
        <v>0</v>
      </c>
      <c r="AC2879" s="13" t="s">
        <v>0</v>
      </c>
      <c r="AD2879" s="13" t="s">
        <v>0</v>
      </c>
      <c r="AE2879" s="15">
        <v>0</v>
      </c>
    </row>
    <row r="2880" spans="1:31" ht="14.15" customHeight="1" x14ac:dyDescent="0.25">
      <c r="A2880" s="12" t="s">
        <v>0</v>
      </c>
      <c r="B2880" s="13" t="s">
        <v>1</v>
      </c>
      <c r="C2880" s="13" t="s">
        <v>1025</v>
      </c>
      <c r="D2880" s="14">
        <v>44130</v>
      </c>
      <c r="E2880" s="14">
        <v>44130</v>
      </c>
      <c r="F2880" s="14">
        <v>44132</v>
      </c>
      <c r="G2880" s="13" t="s">
        <v>3</v>
      </c>
      <c r="H2880" s="13" t="s">
        <v>4</v>
      </c>
      <c r="I2880" s="15">
        <v>-1248.4100000000001</v>
      </c>
      <c r="J2880" s="13" t="s">
        <v>5</v>
      </c>
      <c r="K2880" s="13" t="s">
        <v>6</v>
      </c>
      <c r="L2880" s="15">
        <v>-104804.02</v>
      </c>
      <c r="M2880" s="15">
        <v>-1248.4100000000001</v>
      </c>
      <c r="N2880" s="16" t="str">
        <f>IF(M2880="","",IF(M2880&lt;0,-M2880&amp;"_"&amp;COUNTIF(M$2:M2880,M2880),M2880&amp;"_"&amp;COUNTIF(M$2:M2880,M2880)))</f>
        <v>1248.41_1</v>
      </c>
      <c r="O2880" s="17" t="str">
        <f t="shared" si="44"/>
        <v/>
      </c>
      <c r="P2880" s="13" t="s">
        <v>1026</v>
      </c>
      <c r="Q2880" s="13" t="s">
        <v>1024</v>
      </c>
      <c r="R2880" s="13" t="s">
        <v>0</v>
      </c>
      <c r="S2880" s="13" t="s">
        <v>0</v>
      </c>
      <c r="T2880" s="13" t="s">
        <v>9</v>
      </c>
      <c r="U2880" s="13" t="s">
        <v>0</v>
      </c>
      <c r="V2880" s="13" t="s">
        <v>0</v>
      </c>
      <c r="W2880" s="13" t="s">
        <v>0</v>
      </c>
      <c r="X2880" s="13" t="s">
        <v>0</v>
      </c>
      <c r="Y2880" s="13" t="s">
        <v>10</v>
      </c>
      <c r="Z2880" s="13" t="s">
        <v>0</v>
      </c>
      <c r="AA2880" s="14"/>
      <c r="AB2880" s="13" t="s">
        <v>0</v>
      </c>
      <c r="AC2880" s="13" t="s">
        <v>0</v>
      </c>
      <c r="AD2880" s="13" t="s">
        <v>0</v>
      </c>
      <c r="AE2880" s="15">
        <v>0</v>
      </c>
    </row>
    <row r="2881" spans="1:31" ht="14.15" customHeight="1" x14ac:dyDescent="0.25">
      <c r="A2881" s="12" t="s">
        <v>0</v>
      </c>
      <c r="B2881" s="13" t="s">
        <v>1</v>
      </c>
      <c r="C2881" s="13" t="s">
        <v>3270</v>
      </c>
      <c r="D2881" s="14">
        <v>44311</v>
      </c>
      <c r="E2881" s="14">
        <v>44311</v>
      </c>
      <c r="F2881" s="14">
        <v>44315</v>
      </c>
      <c r="G2881" s="13" t="s">
        <v>3</v>
      </c>
      <c r="H2881" s="13" t="s">
        <v>4</v>
      </c>
      <c r="I2881" s="15">
        <v>-1245.6199999999999</v>
      </c>
      <c r="J2881" s="13" t="s">
        <v>5</v>
      </c>
      <c r="K2881" s="13" t="s">
        <v>6</v>
      </c>
      <c r="L2881" s="15">
        <v>-104569.8</v>
      </c>
      <c r="M2881" s="15">
        <v>-1245.6199999999999</v>
      </c>
      <c r="N2881" s="16" t="str">
        <f>IF(M2881="","",IF(M2881&lt;0,-M2881&amp;"_"&amp;COUNTIF(M$2:M2881,M2881),M2881&amp;"_"&amp;COUNTIF(M$2:M2881,M2881)))</f>
        <v>1245.62_1</v>
      </c>
      <c r="O2881" s="17" t="str">
        <f t="shared" si="44"/>
        <v/>
      </c>
      <c r="P2881" s="13" t="s">
        <v>3271</v>
      </c>
      <c r="Q2881" s="13" t="s">
        <v>3269</v>
      </c>
      <c r="R2881" s="13" t="s">
        <v>0</v>
      </c>
      <c r="S2881" s="13" t="s">
        <v>0</v>
      </c>
      <c r="T2881" s="13" t="s">
        <v>9</v>
      </c>
      <c r="U2881" s="13" t="s">
        <v>0</v>
      </c>
      <c r="V2881" s="13" t="s">
        <v>0</v>
      </c>
      <c r="W2881" s="13" t="s">
        <v>0</v>
      </c>
      <c r="X2881" s="13" t="s">
        <v>0</v>
      </c>
      <c r="Y2881" s="13" t="s">
        <v>10</v>
      </c>
      <c r="Z2881" s="13" t="s">
        <v>0</v>
      </c>
      <c r="AA2881" s="14"/>
      <c r="AB2881" s="13" t="s">
        <v>0</v>
      </c>
      <c r="AC2881" s="13" t="s">
        <v>0</v>
      </c>
      <c r="AD2881" s="13" t="s">
        <v>0</v>
      </c>
      <c r="AE2881" s="15">
        <v>0</v>
      </c>
    </row>
    <row r="2882" spans="1:31" ht="14.15" customHeight="1" x14ac:dyDescent="0.25">
      <c r="A2882" s="12" t="s">
        <v>0</v>
      </c>
      <c r="B2882" s="13" t="s">
        <v>303</v>
      </c>
      <c r="C2882" s="13" t="s">
        <v>2723</v>
      </c>
      <c r="D2882" s="14">
        <v>44255</v>
      </c>
      <c r="E2882" s="14">
        <v>44255</v>
      </c>
      <c r="F2882" s="14">
        <v>44264</v>
      </c>
      <c r="G2882" s="13" t="s">
        <v>48</v>
      </c>
      <c r="H2882" s="13" t="s">
        <v>4</v>
      </c>
      <c r="I2882" s="15">
        <v>-1244.9000000000001</v>
      </c>
      <c r="J2882" s="13" t="s">
        <v>5</v>
      </c>
      <c r="K2882" s="13" t="s">
        <v>6</v>
      </c>
      <c r="L2882" s="15">
        <v>-104509.36</v>
      </c>
      <c r="M2882" s="15">
        <v>-1244.9000000000001</v>
      </c>
      <c r="N2882" s="16" t="str">
        <f>IF(M2882="","",IF(M2882&lt;0,-M2882&amp;"_"&amp;COUNTIF(M$2:M2882,M2882),M2882&amp;"_"&amp;COUNTIF(M$2:M2882,M2882)))</f>
        <v>1244.9_1</v>
      </c>
      <c r="O2882" s="17" t="str">
        <f t="shared" ref="O2882:O2945" si="45">IF(COUNTIF(N:N,N2882)=2,"x","")</f>
        <v/>
      </c>
      <c r="P2882" s="13" t="s">
        <v>2724</v>
      </c>
      <c r="Q2882" s="13" t="s">
        <v>2725</v>
      </c>
      <c r="R2882" s="13" t="s">
        <v>2002</v>
      </c>
      <c r="S2882" s="13" t="s">
        <v>0</v>
      </c>
      <c r="T2882" s="13" t="s">
        <v>9</v>
      </c>
      <c r="U2882" s="13" t="s">
        <v>1999</v>
      </c>
      <c r="V2882" s="13" t="s">
        <v>0</v>
      </c>
      <c r="W2882" s="13" t="s">
        <v>0</v>
      </c>
      <c r="X2882" s="13" t="s">
        <v>0</v>
      </c>
      <c r="Y2882" s="13" t="s">
        <v>0</v>
      </c>
      <c r="Z2882" s="13" t="s">
        <v>0</v>
      </c>
      <c r="AA2882" s="14"/>
      <c r="AB2882" s="13" t="s">
        <v>0</v>
      </c>
      <c r="AC2882" s="13" t="s">
        <v>0</v>
      </c>
      <c r="AD2882" s="13" t="s">
        <v>0</v>
      </c>
      <c r="AE2882" s="15">
        <v>0</v>
      </c>
    </row>
    <row r="2883" spans="1:31" ht="14.15" customHeight="1" x14ac:dyDescent="0.25">
      <c r="A2883" s="12" t="s">
        <v>0</v>
      </c>
      <c r="B2883" s="13" t="s">
        <v>1</v>
      </c>
      <c r="C2883" s="13" t="s">
        <v>2688</v>
      </c>
      <c r="D2883" s="14">
        <v>44254</v>
      </c>
      <c r="E2883" s="14">
        <v>44254</v>
      </c>
      <c r="F2883" s="14">
        <v>44258</v>
      </c>
      <c r="G2883" s="13" t="s">
        <v>3</v>
      </c>
      <c r="H2883" s="13" t="s">
        <v>4</v>
      </c>
      <c r="I2883" s="15">
        <v>-1244.8499999999999</v>
      </c>
      <c r="J2883" s="13" t="s">
        <v>5</v>
      </c>
      <c r="K2883" s="13" t="s">
        <v>6</v>
      </c>
      <c r="L2883" s="15">
        <v>-104505.16</v>
      </c>
      <c r="M2883" s="15">
        <v>-1244.8499999999999</v>
      </c>
      <c r="N2883" s="16" t="str">
        <f>IF(M2883="","",IF(M2883&lt;0,-M2883&amp;"_"&amp;COUNTIF(M$2:M2883,M2883),M2883&amp;"_"&amp;COUNTIF(M$2:M2883,M2883)))</f>
        <v>1244.85_1</v>
      </c>
      <c r="O2883" s="17" t="str">
        <f t="shared" si="45"/>
        <v/>
      </c>
      <c r="P2883" s="13" t="s">
        <v>2689</v>
      </c>
      <c r="Q2883" s="13" t="s">
        <v>2685</v>
      </c>
      <c r="R2883" s="13" t="s">
        <v>0</v>
      </c>
      <c r="S2883" s="13" t="s">
        <v>0</v>
      </c>
      <c r="T2883" s="13" t="s">
        <v>9</v>
      </c>
      <c r="U2883" s="13" t="s">
        <v>0</v>
      </c>
      <c r="V2883" s="13" t="s">
        <v>0</v>
      </c>
      <c r="W2883" s="13" t="s">
        <v>0</v>
      </c>
      <c r="X2883" s="13" t="s">
        <v>0</v>
      </c>
      <c r="Y2883" s="13" t="s">
        <v>10</v>
      </c>
      <c r="Z2883" s="13" t="s">
        <v>0</v>
      </c>
      <c r="AA2883" s="14"/>
      <c r="AB2883" s="13" t="s">
        <v>0</v>
      </c>
      <c r="AC2883" s="13" t="s">
        <v>0</v>
      </c>
      <c r="AD2883" s="13" t="s">
        <v>0</v>
      </c>
      <c r="AE2883" s="15">
        <v>0</v>
      </c>
    </row>
    <row r="2884" spans="1:31" ht="14.15" customHeight="1" x14ac:dyDescent="0.25">
      <c r="A2884" s="12" t="s">
        <v>0</v>
      </c>
      <c r="B2884" s="13" t="s">
        <v>1</v>
      </c>
      <c r="C2884" s="13" t="s">
        <v>1025</v>
      </c>
      <c r="D2884" s="14">
        <v>44130</v>
      </c>
      <c r="E2884" s="14">
        <v>44130</v>
      </c>
      <c r="F2884" s="14">
        <v>44132</v>
      </c>
      <c r="G2884" s="13" t="s">
        <v>3</v>
      </c>
      <c r="H2884" s="13" t="s">
        <v>4</v>
      </c>
      <c r="I2884" s="15">
        <v>-1242.2</v>
      </c>
      <c r="J2884" s="13" t="s">
        <v>5</v>
      </c>
      <c r="K2884" s="13" t="s">
        <v>6</v>
      </c>
      <c r="L2884" s="15">
        <v>-104282.69</v>
      </c>
      <c r="M2884" s="15">
        <v>-1242.2</v>
      </c>
      <c r="N2884" s="16" t="str">
        <f>IF(M2884="","",IF(M2884&lt;0,-M2884&amp;"_"&amp;COUNTIF(M$2:M2884,M2884),M2884&amp;"_"&amp;COUNTIF(M$2:M2884,M2884)))</f>
        <v>1242.2_1</v>
      </c>
      <c r="O2884" s="17" t="str">
        <f t="shared" si="45"/>
        <v/>
      </c>
      <c r="P2884" s="13" t="s">
        <v>1026</v>
      </c>
      <c r="Q2884" s="13" t="s">
        <v>1024</v>
      </c>
      <c r="R2884" s="13" t="s">
        <v>0</v>
      </c>
      <c r="S2884" s="13" t="s">
        <v>0</v>
      </c>
      <c r="T2884" s="13" t="s">
        <v>9</v>
      </c>
      <c r="U2884" s="13" t="s">
        <v>0</v>
      </c>
      <c r="V2884" s="13" t="s">
        <v>0</v>
      </c>
      <c r="W2884" s="13" t="s">
        <v>0</v>
      </c>
      <c r="X2884" s="13" t="s">
        <v>0</v>
      </c>
      <c r="Y2884" s="13" t="s">
        <v>10</v>
      </c>
      <c r="Z2884" s="13" t="s">
        <v>0</v>
      </c>
      <c r="AA2884" s="14"/>
      <c r="AB2884" s="13" t="s">
        <v>0</v>
      </c>
      <c r="AC2884" s="13" t="s">
        <v>0</v>
      </c>
      <c r="AD2884" s="13" t="s">
        <v>0</v>
      </c>
      <c r="AE2884" s="15">
        <v>0</v>
      </c>
    </row>
    <row r="2885" spans="1:31" ht="14.15" customHeight="1" x14ac:dyDescent="0.25">
      <c r="A2885" s="12" t="s">
        <v>0</v>
      </c>
      <c r="B2885" s="13" t="s">
        <v>1</v>
      </c>
      <c r="C2885" s="13" t="s">
        <v>1058</v>
      </c>
      <c r="D2885" s="14">
        <v>44132</v>
      </c>
      <c r="E2885" s="14">
        <v>44132</v>
      </c>
      <c r="F2885" s="14">
        <v>44137</v>
      </c>
      <c r="G2885" s="13" t="s">
        <v>3</v>
      </c>
      <c r="H2885" s="13" t="s">
        <v>4</v>
      </c>
      <c r="I2885" s="15">
        <v>-1241.1099999999999</v>
      </c>
      <c r="J2885" s="13" t="s">
        <v>5</v>
      </c>
      <c r="K2885" s="13" t="s">
        <v>6</v>
      </c>
      <c r="L2885" s="15">
        <v>-104191.18</v>
      </c>
      <c r="M2885" s="15">
        <v>-1241.1099999999999</v>
      </c>
      <c r="N2885" s="16" t="str">
        <f>IF(M2885="","",IF(M2885&lt;0,-M2885&amp;"_"&amp;COUNTIF(M$2:M2885,M2885),M2885&amp;"_"&amp;COUNTIF(M$2:M2885,M2885)))</f>
        <v>1241.11_1</v>
      </c>
      <c r="O2885" s="17" t="str">
        <f t="shared" si="45"/>
        <v/>
      </c>
      <c r="P2885" s="13" t="s">
        <v>1059</v>
      </c>
      <c r="Q2885" s="13" t="s">
        <v>1060</v>
      </c>
      <c r="R2885" s="13" t="s">
        <v>0</v>
      </c>
      <c r="S2885" s="13" t="s">
        <v>0</v>
      </c>
      <c r="T2885" s="13" t="s">
        <v>9</v>
      </c>
      <c r="U2885" s="13" t="s">
        <v>0</v>
      </c>
      <c r="V2885" s="13" t="s">
        <v>0</v>
      </c>
      <c r="W2885" s="13" t="s">
        <v>0</v>
      </c>
      <c r="X2885" s="13" t="s">
        <v>0</v>
      </c>
      <c r="Y2885" s="13" t="s">
        <v>10</v>
      </c>
      <c r="Z2885" s="13" t="s">
        <v>0</v>
      </c>
      <c r="AA2885" s="14"/>
      <c r="AB2885" s="13" t="s">
        <v>0</v>
      </c>
      <c r="AC2885" s="13" t="s">
        <v>0</v>
      </c>
      <c r="AD2885" s="13" t="s">
        <v>0</v>
      </c>
      <c r="AE2885" s="15">
        <v>0</v>
      </c>
    </row>
    <row r="2886" spans="1:31" ht="14.15" customHeight="1" x14ac:dyDescent="0.25">
      <c r="A2886" s="12" t="s">
        <v>0</v>
      </c>
      <c r="B2886" s="13" t="s">
        <v>1</v>
      </c>
      <c r="C2886" s="13" t="s">
        <v>75</v>
      </c>
      <c r="D2886" s="14">
        <v>44020</v>
      </c>
      <c r="E2886" s="14">
        <v>44020</v>
      </c>
      <c r="F2886" s="14">
        <v>44027</v>
      </c>
      <c r="G2886" s="13" t="s">
        <v>3</v>
      </c>
      <c r="H2886" s="13" t="s">
        <v>4</v>
      </c>
      <c r="I2886" s="15">
        <v>-1239.6199999999999</v>
      </c>
      <c r="J2886" s="13" t="s">
        <v>5</v>
      </c>
      <c r="K2886" s="13" t="s">
        <v>6</v>
      </c>
      <c r="L2886" s="15">
        <v>-104066.1</v>
      </c>
      <c r="M2886" s="15">
        <v>-1239.6199999999999</v>
      </c>
      <c r="N2886" s="16" t="str">
        <f>IF(M2886="","",IF(M2886&lt;0,-M2886&amp;"_"&amp;COUNTIF(M$2:M2886,M2886),M2886&amp;"_"&amp;COUNTIF(M$2:M2886,M2886)))</f>
        <v>1239.62_1</v>
      </c>
      <c r="O2886" s="17" t="str">
        <f t="shared" si="45"/>
        <v/>
      </c>
      <c r="P2886" s="13" t="s">
        <v>76</v>
      </c>
      <c r="Q2886" s="13" t="s">
        <v>70</v>
      </c>
      <c r="R2886" s="13" t="s">
        <v>0</v>
      </c>
      <c r="S2886" s="13" t="s">
        <v>0</v>
      </c>
      <c r="T2886" s="13" t="s">
        <v>9</v>
      </c>
      <c r="U2886" s="13" t="s">
        <v>0</v>
      </c>
      <c r="V2886" s="13" t="s">
        <v>0</v>
      </c>
      <c r="W2886" s="13" t="s">
        <v>0</v>
      </c>
      <c r="X2886" s="13" t="s">
        <v>0</v>
      </c>
      <c r="Y2886" s="13" t="s">
        <v>10</v>
      </c>
      <c r="Z2886" s="13" t="s">
        <v>0</v>
      </c>
      <c r="AA2886" s="14"/>
      <c r="AB2886" s="13" t="s">
        <v>0</v>
      </c>
      <c r="AC2886" s="13" t="s">
        <v>0</v>
      </c>
      <c r="AD2886" s="13" t="s">
        <v>0</v>
      </c>
      <c r="AE2886" s="15">
        <v>0</v>
      </c>
    </row>
    <row r="2887" spans="1:31" ht="14.15" customHeight="1" x14ac:dyDescent="0.25">
      <c r="A2887" s="12" t="s">
        <v>0</v>
      </c>
      <c r="B2887" s="13" t="s">
        <v>1</v>
      </c>
      <c r="C2887" s="13" t="s">
        <v>1027</v>
      </c>
      <c r="D2887" s="14">
        <v>44130</v>
      </c>
      <c r="E2887" s="14">
        <v>44130</v>
      </c>
      <c r="F2887" s="14">
        <v>44132</v>
      </c>
      <c r="G2887" s="13" t="s">
        <v>3</v>
      </c>
      <c r="H2887" s="13" t="s">
        <v>4</v>
      </c>
      <c r="I2887" s="15">
        <v>-1238.75</v>
      </c>
      <c r="J2887" s="13" t="s">
        <v>5</v>
      </c>
      <c r="K2887" s="13" t="s">
        <v>6</v>
      </c>
      <c r="L2887" s="15">
        <v>-103993.06</v>
      </c>
      <c r="M2887" s="15">
        <v>-1238.75</v>
      </c>
      <c r="N2887" s="16" t="str">
        <f>IF(M2887="","",IF(M2887&lt;0,-M2887&amp;"_"&amp;COUNTIF(M$2:M2887,M2887),M2887&amp;"_"&amp;COUNTIF(M$2:M2887,M2887)))</f>
        <v>1238.75_1</v>
      </c>
      <c r="O2887" s="17" t="str">
        <f t="shared" si="45"/>
        <v/>
      </c>
      <c r="P2887" s="13" t="s">
        <v>1028</v>
      </c>
      <c r="Q2887" s="13" t="s">
        <v>1024</v>
      </c>
      <c r="R2887" s="13" t="s">
        <v>0</v>
      </c>
      <c r="S2887" s="13" t="s">
        <v>0</v>
      </c>
      <c r="T2887" s="13" t="s">
        <v>9</v>
      </c>
      <c r="U2887" s="13" t="s">
        <v>0</v>
      </c>
      <c r="V2887" s="13" t="s">
        <v>0</v>
      </c>
      <c r="W2887" s="13" t="s">
        <v>0</v>
      </c>
      <c r="X2887" s="13" t="s">
        <v>0</v>
      </c>
      <c r="Y2887" s="13" t="s">
        <v>10</v>
      </c>
      <c r="Z2887" s="13" t="s">
        <v>0</v>
      </c>
      <c r="AA2887" s="14"/>
      <c r="AB2887" s="13" t="s">
        <v>0</v>
      </c>
      <c r="AC2887" s="13" t="s">
        <v>0</v>
      </c>
      <c r="AD2887" s="13" t="s">
        <v>0</v>
      </c>
      <c r="AE2887" s="15">
        <v>0</v>
      </c>
    </row>
    <row r="2888" spans="1:31" ht="14.15" customHeight="1" x14ac:dyDescent="0.25">
      <c r="A2888" s="12" t="s">
        <v>0</v>
      </c>
      <c r="B2888" s="13" t="s">
        <v>1</v>
      </c>
      <c r="C2888" s="13" t="s">
        <v>2965</v>
      </c>
      <c r="D2888" s="14">
        <v>44278</v>
      </c>
      <c r="E2888" s="14">
        <v>44278</v>
      </c>
      <c r="F2888" s="14">
        <v>44283</v>
      </c>
      <c r="G2888" s="13" t="s">
        <v>3</v>
      </c>
      <c r="H2888" s="13" t="s">
        <v>4</v>
      </c>
      <c r="I2888" s="15">
        <v>-1234.94</v>
      </c>
      <c r="J2888" s="13" t="s">
        <v>5</v>
      </c>
      <c r="K2888" s="13" t="s">
        <v>6</v>
      </c>
      <c r="L2888" s="15">
        <v>-103673.21</v>
      </c>
      <c r="M2888" s="15">
        <v>-1234.94</v>
      </c>
      <c r="N2888" s="16" t="str">
        <f>IF(M2888="","",IF(M2888&lt;0,-M2888&amp;"_"&amp;COUNTIF(M$2:M2888,M2888),M2888&amp;"_"&amp;COUNTIF(M$2:M2888,M2888)))</f>
        <v>1234.94_1</v>
      </c>
      <c r="O2888" s="17" t="str">
        <f t="shared" si="45"/>
        <v/>
      </c>
      <c r="P2888" s="13" t="s">
        <v>2966</v>
      </c>
      <c r="Q2888" s="13" t="s">
        <v>2964</v>
      </c>
      <c r="R2888" s="13" t="s">
        <v>0</v>
      </c>
      <c r="S2888" s="13" t="s">
        <v>0</v>
      </c>
      <c r="T2888" s="13" t="s">
        <v>9</v>
      </c>
      <c r="U2888" s="13" t="s">
        <v>0</v>
      </c>
      <c r="V2888" s="13" t="s">
        <v>0</v>
      </c>
      <c r="W2888" s="13" t="s">
        <v>0</v>
      </c>
      <c r="X2888" s="13" t="s">
        <v>0</v>
      </c>
      <c r="Y2888" s="13" t="s">
        <v>10</v>
      </c>
      <c r="Z2888" s="13" t="s">
        <v>0</v>
      </c>
      <c r="AA2888" s="14"/>
      <c r="AB2888" s="13" t="s">
        <v>0</v>
      </c>
      <c r="AC2888" s="13" t="s">
        <v>0</v>
      </c>
      <c r="AD2888" s="13" t="s">
        <v>0</v>
      </c>
      <c r="AE2888" s="15">
        <v>0</v>
      </c>
    </row>
    <row r="2889" spans="1:31" ht="14.15" customHeight="1" x14ac:dyDescent="0.25">
      <c r="A2889" s="12" t="s">
        <v>0</v>
      </c>
      <c r="B2889" s="13" t="s">
        <v>1</v>
      </c>
      <c r="C2889" s="13" t="s">
        <v>1904</v>
      </c>
      <c r="D2889" s="14">
        <v>44190</v>
      </c>
      <c r="E2889" s="14">
        <v>44190</v>
      </c>
      <c r="F2889" s="14">
        <v>44196</v>
      </c>
      <c r="G2889" s="13" t="s">
        <v>3</v>
      </c>
      <c r="H2889" s="13" t="s">
        <v>4</v>
      </c>
      <c r="I2889" s="15">
        <v>-1228.56</v>
      </c>
      <c r="J2889" s="13" t="s">
        <v>5</v>
      </c>
      <c r="K2889" s="13" t="s">
        <v>6</v>
      </c>
      <c r="L2889" s="15">
        <v>-103137.61</v>
      </c>
      <c r="M2889" s="15">
        <v>-1228.56</v>
      </c>
      <c r="N2889" s="16" t="str">
        <f>IF(M2889="","",IF(M2889&lt;0,-M2889&amp;"_"&amp;COUNTIF(M$2:M2889,M2889),M2889&amp;"_"&amp;COUNTIF(M$2:M2889,M2889)))</f>
        <v>1228.56_1</v>
      </c>
      <c r="O2889" s="17" t="str">
        <f t="shared" si="45"/>
        <v/>
      </c>
      <c r="P2889" s="13" t="s">
        <v>1905</v>
      </c>
      <c r="Q2889" s="13" t="s">
        <v>1903</v>
      </c>
      <c r="R2889" s="13" t="s">
        <v>0</v>
      </c>
      <c r="S2889" s="13" t="s">
        <v>0</v>
      </c>
      <c r="T2889" s="13" t="s">
        <v>9</v>
      </c>
      <c r="U2889" s="13" t="s">
        <v>0</v>
      </c>
      <c r="V2889" s="13" t="s">
        <v>0</v>
      </c>
      <c r="W2889" s="13" t="s">
        <v>0</v>
      </c>
      <c r="X2889" s="13" t="s">
        <v>0</v>
      </c>
      <c r="Y2889" s="13" t="s">
        <v>10</v>
      </c>
      <c r="Z2889" s="13" t="s">
        <v>0</v>
      </c>
      <c r="AA2889" s="14"/>
      <c r="AB2889" s="13" t="s">
        <v>0</v>
      </c>
      <c r="AC2889" s="13" t="s">
        <v>0</v>
      </c>
      <c r="AD2889" s="13" t="s">
        <v>0</v>
      </c>
      <c r="AE2889" s="15">
        <v>0</v>
      </c>
    </row>
    <row r="2890" spans="1:31" ht="14.15" customHeight="1" x14ac:dyDescent="0.25">
      <c r="A2890" s="12" t="s">
        <v>0</v>
      </c>
      <c r="B2890" s="13" t="s">
        <v>1</v>
      </c>
      <c r="C2890" s="13" t="s">
        <v>3068</v>
      </c>
      <c r="D2890" s="14">
        <v>44284</v>
      </c>
      <c r="E2890" s="14">
        <v>44284</v>
      </c>
      <c r="F2890" s="14">
        <v>44291</v>
      </c>
      <c r="G2890" s="13" t="s">
        <v>3</v>
      </c>
      <c r="H2890" s="13" t="s">
        <v>4</v>
      </c>
      <c r="I2890" s="15">
        <v>-1228.56</v>
      </c>
      <c r="J2890" s="13" t="s">
        <v>5</v>
      </c>
      <c r="K2890" s="13" t="s">
        <v>6</v>
      </c>
      <c r="L2890" s="15">
        <v>-103137.61</v>
      </c>
      <c r="M2890" s="15">
        <v>-1228.56</v>
      </c>
      <c r="N2890" s="16" t="str">
        <f>IF(M2890="","",IF(M2890&lt;0,-M2890&amp;"_"&amp;COUNTIF(M$2:M2890,M2890),M2890&amp;"_"&amp;COUNTIF(M$2:M2890,M2890)))</f>
        <v>1228.56_2</v>
      </c>
      <c r="O2890" s="17" t="str">
        <f t="shared" si="45"/>
        <v/>
      </c>
      <c r="P2890" s="13" t="s">
        <v>3069</v>
      </c>
      <c r="Q2890" s="13" t="s">
        <v>3061</v>
      </c>
      <c r="R2890" s="13" t="s">
        <v>0</v>
      </c>
      <c r="S2890" s="13" t="s">
        <v>0</v>
      </c>
      <c r="T2890" s="13" t="s">
        <v>9</v>
      </c>
      <c r="U2890" s="13" t="s">
        <v>0</v>
      </c>
      <c r="V2890" s="13" t="s">
        <v>0</v>
      </c>
      <c r="W2890" s="13" t="s">
        <v>0</v>
      </c>
      <c r="X2890" s="13" t="s">
        <v>0</v>
      </c>
      <c r="Y2890" s="13" t="s">
        <v>10</v>
      </c>
      <c r="Z2890" s="13" t="s">
        <v>0</v>
      </c>
      <c r="AA2890" s="14"/>
      <c r="AB2890" s="13" t="s">
        <v>0</v>
      </c>
      <c r="AC2890" s="13" t="s">
        <v>0</v>
      </c>
      <c r="AD2890" s="13" t="s">
        <v>0</v>
      </c>
      <c r="AE2890" s="15">
        <v>0</v>
      </c>
    </row>
    <row r="2891" spans="1:31" ht="14.15" customHeight="1" x14ac:dyDescent="0.25">
      <c r="A2891" s="12" t="s">
        <v>0</v>
      </c>
      <c r="B2891" s="13" t="s">
        <v>1</v>
      </c>
      <c r="C2891" s="13" t="s">
        <v>1214</v>
      </c>
      <c r="D2891" s="14">
        <v>44140</v>
      </c>
      <c r="E2891" s="14">
        <v>44140</v>
      </c>
      <c r="F2891" s="14">
        <v>44151</v>
      </c>
      <c r="G2891" s="13" t="s">
        <v>3</v>
      </c>
      <c r="H2891" s="13" t="s">
        <v>4</v>
      </c>
      <c r="I2891" s="15">
        <v>-1227.58</v>
      </c>
      <c r="J2891" s="13" t="s">
        <v>5</v>
      </c>
      <c r="K2891" s="13" t="s">
        <v>6</v>
      </c>
      <c r="L2891" s="15">
        <v>-103055.34</v>
      </c>
      <c r="M2891" s="15">
        <v>-1227.58</v>
      </c>
      <c r="N2891" s="16" t="str">
        <f>IF(M2891="","",IF(M2891&lt;0,-M2891&amp;"_"&amp;COUNTIF(M$2:M2891,M2891),M2891&amp;"_"&amp;COUNTIF(M$2:M2891,M2891)))</f>
        <v>1227.58_1</v>
      </c>
      <c r="O2891" s="17" t="str">
        <f t="shared" si="45"/>
        <v/>
      </c>
      <c r="P2891" s="13" t="s">
        <v>1215</v>
      </c>
      <c r="Q2891" s="13" t="s">
        <v>1165</v>
      </c>
      <c r="R2891" s="13" t="s">
        <v>0</v>
      </c>
      <c r="S2891" s="13" t="s">
        <v>0</v>
      </c>
      <c r="T2891" s="13" t="s">
        <v>9</v>
      </c>
      <c r="U2891" s="13" t="s">
        <v>0</v>
      </c>
      <c r="V2891" s="13" t="s">
        <v>0</v>
      </c>
      <c r="W2891" s="13" t="s">
        <v>0</v>
      </c>
      <c r="X2891" s="13" t="s">
        <v>0</v>
      </c>
      <c r="Y2891" s="13" t="s">
        <v>10</v>
      </c>
      <c r="Z2891" s="13" t="s">
        <v>0</v>
      </c>
      <c r="AA2891" s="14"/>
      <c r="AB2891" s="13" t="s">
        <v>0</v>
      </c>
      <c r="AC2891" s="13" t="s">
        <v>0</v>
      </c>
      <c r="AD2891" s="13" t="s">
        <v>0</v>
      </c>
      <c r="AE2891" s="15">
        <v>0</v>
      </c>
    </row>
    <row r="2892" spans="1:31" ht="14.15" customHeight="1" x14ac:dyDescent="0.25">
      <c r="A2892" s="12" t="s">
        <v>0</v>
      </c>
      <c r="B2892" s="13" t="s">
        <v>1</v>
      </c>
      <c r="C2892" s="13" t="s">
        <v>1025</v>
      </c>
      <c r="D2892" s="14">
        <v>44130</v>
      </c>
      <c r="E2892" s="14">
        <v>44130</v>
      </c>
      <c r="F2892" s="14">
        <v>44132</v>
      </c>
      <c r="G2892" s="13" t="s">
        <v>3</v>
      </c>
      <c r="H2892" s="13" t="s">
        <v>4</v>
      </c>
      <c r="I2892" s="15">
        <v>-1226.54</v>
      </c>
      <c r="J2892" s="13" t="s">
        <v>5</v>
      </c>
      <c r="K2892" s="13" t="s">
        <v>6</v>
      </c>
      <c r="L2892" s="15">
        <v>-102968.03</v>
      </c>
      <c r="M2892" s="15">
        <v>-1226.54</v>
      </c>
      <c r="N2892" s="16" t="str">
        <f>IF(M2892="","",IF(M2892&lt;0,-M2892&amp;"_"&amp;COUNTIF(M$2:M2892,M2892),M2892&amp;"_"&amp;COUNTIF(M$2:M2892,M2892)))</f>
        <v>1226.54_1</v>
      </c>
      <c r="O2892" s="17" t="str">
        <f t="shared" si="45"/>
        <v/>
      </c>
      <c r="P2892" s="13" t="s">
        <v>1026</v>
      </c>
      <c r="Q2892" s="13" t="s">
        <v>1024</v>
      </c>
      <c r="R2892" s="13" t="s">
        <v>0</v>
      </c>
      <c r="S2892" s="13" t="s">
        <v>0</v>
      </c>
      <c r="T2892" s="13" t="s">
        <v>9</v>
      </c>
      <c r="U2892" s="13" t="s">
        <v>0</v>
      </c>
      <c r="V2892" s="13" t="s">
        <v>0</v>
      </c>
      <c r="W2892" s="13" t="s">
        <v>0</v>
      </c>
      <c r="X2892" s="13" t="s">
        <v>0</v>
      </c>
      <c r="Y2892" s="13" t="s">
        <v>10</v>
      </c>
      <c r="Z2892" s="13" t="s">
        <v>0</v>
      </c>
      <c r="AA2892" s="14"/>
      <c r="AB2892" s="13" t="s">
        <v>0</v>
      </c>
      <c r="AC2892" s="13" t="s">
        <v>0</v>
      </c>
      <c r="AD2892" s="13" t="s">
        <v>0</v>
      </c>
      <c r="AE2892" s="15">
        <v>0</v>
      </c>
    </row>
    <row r="2893" spans="1:31" ht="14.15" customHeight="1" x14ac:dyDescent="0.25">
      <c r="A2893" s="12" t="s">
        <v>0</v>
      </c>
      <c r="B2893" s="13" t="s">
        <v>1</v>
      </c>
      <c r="C2893" s="13" t="s">
        <v>2477</v>
      </c>
      <c r="D2893" s="14">
        <v>44234</v>
      </c>
      <c r="E2893" s="14">
        <v>44234</v>
      </c>
      <c r="F2893" s="14">
        <v>44241</v>
      </c>
      <c r="G2893" s="13" t="s">
        <v>3</v>
      </c>
      <c r="H2893" s="13" t="s">
        <v>4</v>
      </c>
      <c r="I2893" s="15">
        <v>-1225.55</v>
      </c>
      <c r="J2893" s="13" t="s">
        <v>5</v>
      </c>
      <c r="K2893" s="13" t="s">
        <v>6</v>
      </c>
      <c r="L2893" s="15">
        <v>-102884.92</v>
      </c>
      <c r="M2893" s="15">
        <v>-1225.55</v>
      </c>
      <c r="N2893" s="16" t="str">
        <f>IF(M2893="","",IF(M2893&lt;0,-M2893&amp;"_"&amp;COUNTIF(M$2:M2893,M2893),M2893&amp;"_"&amp;COUNTIF(M$2:M2893,M2893)))</f>
        <v>1225.55_1</v>
      </c>
      <c r="O2893" s="17" t="str">
        <f t="shared" si="45"/>
        <v/>
      </c>
      <c r="P2893" s="13" t="s">
        <v>2478</v>
      </c>
      <c r="Q2893" s="13" t="s">
        <v>2462</v>
      </c>
      <c r="R2893" s="13" t="s">
        <v>0</v>
      </c>
      <c r="S2893" s="13" t="s">
        <v>0</v>
      </c>
      <c r="T2893" s="13" t="s">
        <v>9</v>
      </c>
      <c r="U2893" s="13" t="s">
        <v>0</v>
      </c>
      <c r="V2893" s="13" t="s">
        <v>0</v>
      </c>
      <c r="W2893" s="13" t="s">
        <v>0</v>
      </c>
      <c r="X2893" s="13" t="s">
        <v>0</v>
      </c>
      <c r="Y2893" s="13" t="s">
        <v>10</v>
      </c>
      <c r="Z2893" s="13" t="s">
        <v>0</v>
      </c>
      <c r="AA2893" s="14"/>
      <c r="AB2893" s="13" t="s">
        <v>0</v>
      </c>
      <c r="AC2893" s="13" t="s">
        <v>0</v>
      </c>
      <c r="AD2893" s="13" t="s">
        <v>0</v>
      </c>
      <c r="AE2893" s="15">
        <v>0</v>
      </c>
    </row>
    <row r="2894" spans="1:31" ht="14.15" customHeight="1" x14ac:dyDescent="0.25">
      <c r="A2894" s="12" t="s">
        <v>0</v>
      </c>
      <c r="B2894" s="13" t="s">
        <v>1</v>
      </c>
      <c r="C2894" s="13" t="s">
        <v>1941</v>
      </c>
      <c r="D2894" s="14">
        <v>44192</v>
      </c>
      <c r="E2894" s="14">
        <v>44192</v>
      </c>
      <c r="F2894" s="14">
        <v>44198</v>
      </c>
      <c r="G2894" s="13" t="s">
        <v>3</v>
      </c>
      <c r="H2894" s="13" t="s">
        <v>4</v>
      </c>
      <c r="I2894" s="15">
        <v>-1219.82</v>
      </c>
      <c r="J2894" s="13" t="s">
        <v>5</v>
      </c>
      <c r="K2894" s="13" t="s">
        <v>6</v>
      </c>
      <c r="L2894" s="15">
        <v>-102403.89</v>
      </c>
      <c r="M2894" s="15">
        <v>-1219.82</v>
      </c>
      <c r="N2894" s="16" t="str">
        <f>IF(M2894="","",IF(M2894&lt;0,-M2894&amp;"_"&amp;COUNTIF(M$2:M2894,M2894),M2894&amp;"_"&amp;COUNTIF(M$2:M2894,M2894)))</f>
        <v>1219.82_1</v>
      </c>
      <c r="O2894" s="17" t="str">
        <f t="shared" si="45"/>
        <v/>
      </c>
      <c r="P2894" s="13" t="s">
        <v>1942</v>
      </c>
      <c r="Q2894" s="13" t="s">
        <v>1932</v>
      </c>
      <c r="R2894" s="13" t="s">
        <v>0</v>
      </c>
      <c r="S2894" s="13" t="s">
        <v>0</v>
      </c>
      <c r="T2894" s="13" t="s">
        <v>9</v>
      </c>
      <c r="U2894" s="13" t="s">
        <v>0</v>
      </c>
      <c r="V2894" s="13" t="s">
        <v>0</v>
      </c>
      <c r="W2894" s="13" t="s">
        <v>0</v>
      </c>
      <c r="X2894" s="13" t="s">
        <v>0</v>
      </c>
      <c r="Y2894" s="13" t="s">
        <v>10</v>
      </c>
      <c r="Z2894" s="13" t="s">
        <v>0</v>
      </c>
      <c r="AA2894" s="14"/>
      <c r="AB2894" s="13" t="s">
        <v>0</v>
      </c>
      <c r="AC2894" s="13" t="s">
        <v>0</v>
      </c>
      <c r="AD2894" s="13" t="s">
        <v>0</v>
      </c>
      <c r="AE2894" s="15">
        <v>0</v>
      </c>
    </row>
    <row r="2895" spans="1:31" ht="14.15" customHeight="1" x14ac:dyDescent="0.25">
      <c r="A2895" s="12" t="s">
        <v>0</v>
      </c>
      <c r="B2895" s="13" t="s">
        <v>1</v>
      </c>
      <c r="C2895" s="13" t="s">
        <v>2368</v>
      </c>
      <c r="D2895" s="14">
        <v>44225</v>
      </c>
      <c r="E2895" s="14">
        <v>44225</v>
      </c>
      <c r="F2895" s="14">
        <v>44229</v>
      </c>
      <c r="G2895" s="13" t="s">
        <v>3</v>
      </c>
      <c r="H2895" s="13" t="s">
        <v>4</v>
      </c>
      <c r="I2895" s="15">
        <v>-1216.9000000000001</v>
      </c>
      <c r="J2895" s="13" t="s">
        <v>5</v>
      </c>
      <c r="K2895" s="13" t="s">
        <v>6</v>
      </c>
      <c r="L2895" s="15">
        <v>-102158.76</v>
      </c>
      <c r="M2895" s="15">
        <v>-1216.9000000000001</v>
      </c>
      <c r="N2895" s="16" t="str">
        <f>IF(M2895="","",IF(M2895&lt;0,-M2895&amp;"_"&amp;COUNTIF(M$2:M2895,M2895),M2895&amp;"_"&amp;COUNTIF(M$2:M2895,M2895)))</f>
        <v>1216.9_1</v>
      </c>
      <c r="O2895" s="17" t="str">
        <f t="shared" si="45"/>
        <v/>
      </c>
      <c r="P2895" s="13" t="s">
        <v>2369</v>
      </c>
      <c r="Q2895" s="13" t="s">
        <v>2370</v>
      </c>
      <c r="R2895" s="13" t="s">
        <v>0</v>
      </c>
      <c r="S2895" s="13" t="s">
        <v>0</v>
      </c>
      <c r="T2895" s="13" t="s">
        <v>9</v>
      </c>
      <c r="U2895" s="13" t="s">
        <v>0</v>
      </c>
      <c r="V2895" s="13" t="s">
        <v>0</v>
      </c>
      <c r="W2895" s="13" t="s">
        <v>0</v>
      </c>
      <c r="X2895" s="13" t="s">
        <v>0</v>
      </c>
      <c r="Y2895" s="13" t="s">
        <v>10</v>
      </c>
      <c r="Z2895" s="13" t="s">
        <v>0</v>
      </c>
      <c r="AA2895" s="14"/>
      <c r="AB2895" s="13" t="s">
        <v>0</v>
      </c>
      <c r="AC2895" s="13" t="s">
        <v>0</v>
      </c>
      <c r="AD2895" s="13" t="s">
        <v>0</v>
      </c>
      <c r="AE2895" s="15">
        <v>0</v>
      </c>
    </row>
    <row r="2896" spans="1:31" ht="14.15" customHeight="1" x14ac:dyDescent="0.25">
      <c r="A2896" s="12" t="s">
        <v>0</v>
      </c>
      <c r="B2896" s="13" t="s">
        <v>1</v>
      </c>
      <c r="C2896" s="13" t="s">
        <v>3068</v>
      </c>
      <c r="D2896" s="14">
        <v>44284</v>
      </c>
      <c r="E2896" s="14">
        <v>44284</v>
      </c>
      <c r="F2896" s="14">
        <v>44291</v>
      </c>
      <c r="G2896" s="13" t="s">
        <v>3</v>
      </c>
      <c r="H2896" s="13" t="s">
        <v>4</v>
      </c>
      <c r="I2896" s="15">
        <v>-1215.3</v>
      </c>
      <c r="J2896" s="13" t="s">
        <v>5</v>
      </c>
      <c r="K2896" s="13" t="s">
        <v>6</v>
      </c>
      <c r="L2896" s="15">
        <v>-102024.44</v>
      </c>
      <c r="M2896" s="15">
        <v>-1215.3</v>
      </c>
      <c r="N2896" s="16" t="str">
        <f>IF(M2896="","",IF(M2896&lt;0,-M2896&amp;"_"&amp;COUNTIF(M$2:M2896,M2896),M2896&amp;"_"&amp;COUNTIF(M$2:M2896,M2896)))</f>
        <v>1215.3_1</v>
      </c>
      <c r="O2896" s="17" t="str">
        <f t="shared" si="45"/>
        <v/>
      </c>
      <c r="P2896" s="13" t="s">
        <v>3069</v>
      </c>
      <c r="Q2896" s="13" t="s">
        <v>3061</v>
      </c>
      <c r="R2896" s="13" t="s">
        <v>0</v>
      </c>
      <c r="S2896" s="13" t="s">
        <v>0</v>
      </c>
      <c r="T2896" s="13" t="s">
        <v>9</v>
      </c>
      <c r="U2896" s="13" t="s">
        <v>0</v>
      </c>
      <c r="V2896" s="13" t="s">
        <v>0</v>
      </c>
      <c r="W2896" s="13" t="s">
        <v>0</v>
      </c>
      <c r="X2896" s="13" t="s">
        <v>0</v>
      </c>
      <c r="Y2896" s="13" t="s">
        <v>10</v>
      </c>
      <c r="Z2896" s="13" t="s">
        <v>0</v>
      </c>
      <c r="AA2896" s="14"/>
      <c r="AB2896" s="13" t="s">
        <v>0</v>
      </c>
      <c r="AC2896" s="13" t="s">
        <v>0</v>
      </c>
      <c r="AD2896" s="13" t="s">
        <v>0</v>
      </c>
      <c r="AE2896" s="15">
        <v>0</v>
      </c>
    </row>
    <row r="2897" spans="1:31" ht="14.15" customHeight="1" x14ac:dyDescent="0.25">
      <c r="A2897" s="12" t="s">
        <v>0</v>
      </c>
      <c r="B2897" s="13" t="s">
        <v>1</v>
      </c>
      <c r="C2897" s="13" t="s">
        <v>3068</v>
      </c>
      <c r="D2897" s="14">
        <v>44284</v>
      </c>
      <c r="E2897" s="14">
        <v>44284</v>
      </c>
      <c r="F2897" s="14">
        <v>44291</v>
      </c>
      <c r="G2897" s="13" t="s">
        <v>3</v>
      </c>
      <c r="H2897" s="13" t="s">
        <v>4</v>
      </c>
      <c r="I2897" s="15">
        <v>-1215.3</v>
      </c>
      <c r="J2897" s="13" t="s">
        <v>5</v>
      </c>
      <c r="K2897" s="13" t="s">
        <v>6</v>
      </c>
      <c r="L2897" s="15">
        <v>-102024.44</v>
      </c>
      <c r="M2897" s="15">
        <v>-1215.3</v>
      </c>
      <c r="N2897" s="16" t="str">
        <f>IF(M2897="","",IF(M2897&lt;0,-M2897&amp;"_"&amp;COUNTIF(M$2:M2897,M2897),M2897&amp;"_"&amp;COUNTIF(M$2:M2897,M2897)))</f>
        <v>1215.3_2</v>
      </c>
      <c r="O2897" s="17" t="str">
        <f t="shared" si="45"/>
        <v/>
      </c>
      <c r="P2897" s="13" t="s">
        <v>3069</v>
      </c>
      <c r="Q2897" s="13" t="s">
        <v>3061</v>
      </c>
      <c r="R2897" s="13" t="s">
        <v>0</v>
      </c>
      <c r="S2897" s="13" t="s">
        <v>0</v>
      </c>
      <c r="T2897" s="13" t="s">
        <v>9</v>
      </c>
      <c r="U2897" s="13" t="s">
        <v>0</v>
      </c>
      <c r="V2897" s="13" t="s">
        <v>0</v>
      </c>
      <c r="W2897" s="13" t="s">
        <v>0</v>
      </c>
      <c r="X2897" s="13" t="s">
        <v>0</v>
      </c>
      <c r="Y2897" s="13" t="s">
        <v>10</v>
      </c>
      <c r="Z2897" s="13" t="s">
        <v>0</v>
      </c>
      <c r="AA2897" s="14"/>
      <c r="AB2897" s="13" t="s">
        <v>0</v>
      </c>
      <c r="AC2897" s="13" t="s">
        <v>0</v>
      </c>
      <c r="AD2897" s="13" t="s">
        <v>0</v>
      </c>
      <c r="AE2897" s="15">
        <v>0</v>
      </c>
    </row>
    <row r="2898" spans="1:31" ht="14.15" customHeight="1" x14ac:dyDescent="0.25">
      <c r="A2898" s="12" t="s">
        <v>0</v>
      </c>
      <c r="B2898" s="13" t="s">
        <v>1</v>
      </c>
      <c r="C2898" s="13" t="s">
        <v>3068</v>
      </c>
      <c r="D2898" s="14">
        <v>44284</v>
      </c>
      <c r="E2898" s="14">
        <v>44284</v>
      </c>
      <c r="F2898" s="14">
        <v>44291</v>
      </c>
      <c r="G2898" s="13" t="s">
        <v>3</v>
      </c>
      <c r="H2898" s="13" t="s">
        <v>4</v>
      </c>
      <c r="I2898" s="15">
        <v>-1215.3</v>
      </c>
      <c r="J2898" s="13" t="s">
        <v>5</v>
      </c>
      <c r="K2898" s="13" t="s">
        <v>6</v>
      </c>
      <c r="L2898" s="15">
        <v>-102024.44</v>
      </c>
      <c r="M2898" s="15">
        <v>-1215.3</v>
      </c>
      <c r="N2898" s="16" t="str">
        <f>IF(M2898="","",IF(M2898&lt;0,-M2898&amp;"_"&amp;COUNTIF(M$2:M2898,M2898),M2898&amp;"_"&amp;COUNTIF(M$2:M2898,M2898)))</f>
        <v>1215.3_3</v>
      </c>
      <c r="O2898" s="17" t="str">
        <f t="shared" si="45"/>
        <v/>
      </c>
      <c r="P2898" s="13" t="s">
        <v>3069</v>
      </c>
      <c r="Q2898" s="13" t="s">
        <v>3061</v>
      </c>
      <c r="R2898" s="13" t="s">
        <v>0</v>
      </c>
      <c r="S2898" s="13" t="s">
        <v>0</v>
      </c>
      <c r="T2898" s="13" t="s">
        <v>9</v>
      </c>
      <c r="U2898" s="13" t="s">
        <v>0</v>
      </c>
      <c r="V2898" s="13" t="s">
        <v>0</v>
      </c>
      <c r="W2898" s="13" t="s">
        <v>0</v>
      </c>
      <c r="X2898" s="13" t="s">
        <v>0</v>
      </c>
      <c r="Y2898" s="13" t="s">
        <v>10</v>
      </c>
      <c r="Z2898" s="13" t="s">
        <v>0</v>
      </c>
      <c r="AA2898" s="14"/>
      <c r="AB2898" s="13" t="s">
        <v>0</v>
      </c>
      <c r="AC2898" s="13" t="s">
        <v>0</v>
      </c>
      <c r="AD2898" s="13" t="s">
        <v>0</v>
      </c>
      <c r="AE2898" s="15">
        <v>0</v>
      </c>
    </row>
    <row r="2899" spans="1:31" ht="14.15" customHeight="1" x14ac:dyDescent="0.25">
      <c r="A2899" s="12" t="s">
        <v>0</v>
      </c>
      <c r="B2899" s="13" t="s">
        <v>1</v>
      </c>
      <c r="C2899" s="13" t="s">
        <v>186</v>
      </c>
      <c r="D2899" s="14">
        <v>44034</v>
      </c>
      <c r="E2899" s="14">
        <v>44034</v>
      </c>
      <c r="F2899" s="14">
        <v>44040</v>
      </c>
      <c r="G2899" s="13" t="s">
        <v>3</v>
      </c>
      <c r="H2899" s="13" t="s">
        <v>4</v>
      </c>
      <c r="I2899" s="15">
        <v>-1192.69</v>
      </c>
      <c r="J2899" s="13" t="s">
        <v>5</v>
      </c>
      <c r="K2899" s="13" t="s">
        <v>6</v>
      </c>
      <c r="L2899" s="15">
        <v>-100126.33</v>
      </c>
      <c r="M2899" s="15">
        <v>-1192.69</v>
      </c>
      <c r="N2899" s="16" t="str">
        <f>IF(M2899="","",IF(M2899&lt;0,-M2899&amp;"_"&amp;COUNTIF(M$2:M2899,M2899),M2899&amp;"_"&amp;COUNTIF(M$2:M2899,M2899)))</f>
        <v>1192.69_1</v>
      </c>
      <c r="O2899" s="17" t="str">
        <f t="shared" si="45"/>
        <v/>
      </c>
      <c r="P2899" s="13" t="s">
        <v>187</v>
      </c>
      <c r="Q2899" s="13" t="s">
        <v>175</v>
      </c>
      <c r="R2899" s="13" t="s">
        <v>0</v>
      </c>
      <c r="S2899" s="13" t="s">
        <v>0</v>
      </c>
      <c r="T2899" s="13" t="s">
        <v>9</v>
      </c>
      <c r="U2899" s="13" t="s">
        <v>0</v>
      </c>
      <c r="V2899" s="13" t="s">
        <v>0</v>
      </c>
      <c r="W2899" s="13" t="s">
        <v>0</v>
      </c>
      <c r="X2899" s="13" t="s">
        <v>0</v>
      </c>
      <c r="Y2899" s="13" t="s">
        <v>10</v>
      </c>
      <c r="Z2899" s="13" t="s">
        <v>0</v>
      </c>
      <c r="AA2899" s="14"/>
      <c r="AB2899" s="13" t="s">
        <v>0</v>
      </c>
      <c r="AC2899" s="13" t="s">
        <v>0</v>
      </c>
      <c r="AD2899" s="13" t="s">
        <v>0</v>
      </c>
      <c r="AE2899" s="15">
        <v>0</v>
      </c>
    </row>
    <row r="2900" spans="1:31" ht="14.15" customHeight="1" x14ac:dyDescent="0.25">
      <c r="A2900" s="12" t="s">
        <v>0</v>
      </c>
      <c r="B2900" s="13" t="s">
        <v>1</v>
      </c>
      <c r="C2900" s="13" t="s">
        <v>196</v>
      </c>
      <c r="D2900" s="14">
        <v>44034</v>
      </c>
      <c r="E2900" s="14">
        <v>44034</v>
      </c>
      <c r="F2900" s="14">
        <v>44049</v>
      </c>
      <c r="G2900" s="13" t="s">
        <v>3</v>
      </c>
      <c r="H2900" s="13" t="s">
        <v>4</v>
      </c>
      <c r="I2900" s="15">
        <v>-1192.69</v>
      </c>
      <c r="J2900" s="13" t="s">
        <v>5</v>
      </c>
      <c r="K2900" s="13" t="s">
        <v>6</v>
      </c>
      <c r="L2900" s="15">
        <v>-100126.33</v>
      </c>
      <c r="M2900" s="15">
        <v>-1192.69</v>
      </c>
      <c r="N2900" s="16" t="str">
        <f>IF(M2900="","",IF(M2900&lt;0,-M2900&amp;"_"&amp;COUNTIF(M$2:M2900,M2900),M2900&amp;"_"&amp;COUNTIF(M$2:M2900,M2900)))</f>
        <v>1192.69_2</v>
      </c>
      <c r="O2900" s="17" t="str">
        <f t="shared" si="45"/>
        <v/>
      </c>
      <c r="P2900" s="13" t="s">
        <v>197</v>
      </c>
      <c r="Q2900" s="13" t="s">
        <v>175</v>
      </c>
      <c r="R2900" s="13" t="s">
        <v>0</v>
      </c>
      <c r="S2900" s="13" t="s">
        <v>0</v>
      </c>
      <c r="T2900" s="13" t="s">
        <v>9</v>
      </c>
      <c r="U2900" s="13" t="s">
        <v>0</v>
      </c>
      <c r="V2900" s="13" t="s">
        <v>0</v>
      </c>
      <c r="W2900" s="13" t="s">
        <v>0</v>
      </c>
      <c r="X2900" s="13" t="s">
        <v>0</v>
      </c>
      <c r="Y2900" s="13" t="s">
        <v>10</v>
      </c>
      <c r="Z2900" s="13" t="s">
        <v>0</v>
      </c>
      <c r="AA2900" s="14"/>
      <c r="AB2900" s="13" t="s">
        <v>0</v>
      </c>
      <c r="AC2900" s="13" t="s">
        <v>0</v>
      </c>
      <c r="AD2900" s="13" t="s">
        <v>0</v>
      </c>
      <c r="AE2900" s="15">
        <v>0</v>
      </c>
    </row>
    <row r="2901" spans="1:31" ht="14.15" customHeight="1" x14ac:dyDescent="0.25">
      <c r="A2901" s="12" t="s">
        <v>0</v>
      </c>
      <c r="B2901" s="13" t="s">
        <v>1</v>
      </c>
      <c r="C2901" s="13" t="s">
        <v>391</v>
      </c>
      <c r="D2901" s="14">
        <v>44060</v>
      </c>
      <c r="E2901" s="14">
        <v>44060</v>
      </c>
      <c r="F2901" s="14">
        <v>44068</v>
      </c>
      <c r="G2901" s="13" t="s">
        <v>3</v>
      </c>
      <c r="H2901" s="13" t="s">
        <v>4</v>
      </c>
      <c r="I2901" s="15">
        <v>-1189.3499999999999</v>
      </c>
      <c r="J2901" s="13" t="s">
        <v>5</v>
      </c>
      <c r="K2901" s="13" t="s">
        <v>6</v>
      </c>
      <c r="L2901" s="15">
        <v>-99845.93</v>
      </c>
      <c r="M2901" s="15">
        <v>-1189.3499999999999</v>
      </c>
      <c r="N2901" s="16" t="str">
        <f>IF(M2901="","",IF(M2901&lt;0,-M2901&amp;"_"&amp;COUNTIF(M$2:M2901,M2901),M2901&amp;"_"&amp;COUNTIF(M$2:M2901,M2901)))</f>
        <v>1189.35_1</v>
      </c>
      <c r="O2901" s="17" t="str">
        <f t="shared" si="45"/>
        <v/>
      </c>
      <c r="P2901" s="13" t="s">
        <v>392</v>
      </c>
      <c r="Q2901" s="13" t="s">
        <v>388</v>
      </c>
      <c r="R2901" s="13" t="s">
        <v>0</v>
      </c>
      <c r="S2901" s="13" t="s">
        <v>0</v>
      </c>
      <c r="T2901" s="13" t="s">
        <v>9</v>
      </c>
      <c r="U2901" s="13" t="s">
        <v>0</v>
      </c>
      <c r="V2901" s="13" t="s">
        <v>0</v>
      </c>
      <c r="W2901" s="13" t="s">
        <v>0</v>
      </c>
      <c r="X2901" s="13" t="s">
        <v>0</v>
      </c>
      <c r="Y2901" s="13" t="s">
        <v>10</v>
      </c>
      <c r="Z2901" s="13" t="s">
        <v>0</v>
      </c>
      <c r="AA2901" s="14"/>
      <c r="AB2901" s="13" t="s">
        <v>0</v>
      </c>
      <c r="AC2901" s="13" t="s">
        <v>0</v>
      </c>
      <c r="AD2901" s="13" t="s">
        <v>0</v>
      </c>
      <c r="AE2901" s="15">
        <v>0</v>
      </c>
    </row>
    <row r="2902" spans="1:31" ht="14.15" customHeight="1" x14ac:dyDescent="0.25">
      <c r="A2902" s="12" t="s">
        <v>0</v>
      </c>
      <c r="B2902" s="13" t="s">
        <v>1</v>
      </c>
      <c r="C2902" s="13" t="s">
        <v>1025</v>
      </c>
      <c r="D2902" s="14">
        <v>44130</v>
      </c>
      <c r="E2902" s="14">
        <v>44130</v>
      </c>
      <c r="F2902" s="14">
        <v>44132</v>
      </c>
      <c r="G2902" s="13" t="s">
        <v>3</v>
      </c>
      <c r="H2902" s="13" t="s">
        <v>4</v>
      </c>
      <c r="I2902" s="15">
        <v>-1186.18</v>
      </c>
      <c r="J2902" s="13" t="s">
        <v>5</v>
      </c>
      <c r="K2902" s="13" t="s">
        <v>6</v>
      </c>
      <c r="L2902" s="15">
        <v>-99579.81</v>
      </c>
      <c r="M2902" s="15">
        <v>-1186.18</v>
      </c>
      <c r="N2902" s="16" t="str">
        <f>IF(M2902="","",IF(M2902&lt;0,-M2902&amp;"_"&amp;COUNTIF(M$2:M2902,M2902),M2902&amp;"_"&amp;COUNTIF(M$2:M2902,M2902)))</f>
        <v>1186.18_1</v>
      </c>
      <c r="O2902" s="17" t="str">
        <f t="shared" si="45"/>
        <v/>
      </c>
      <c r="P2902" s="13" t="s">
        <v>1026</v>
      </c>
      <c r="Q2902" s="13" t="s">
        <v>1024</v>
      </c>
      <c r="R2902" s="13" t="s">
        <v>0</v>
      </c>
      <c r="S2902" s="13" t="s">
        <v>0</v>
      </c>
      <c r="T2902" s="13" t="s">
        <v>9</v>
      </c>
      <c r="U2902" s="13" t="s">
        <v>0</v>
      </c>
      <c r="V2902" s="13" t="s">
        <v>0</v>
      </c>
      <c r="W2902" s="13" t="s">
        <v>0</v>
      </c>
      <c r="X2902" s="13" t="s">
        <v>0</v>
      </c>
      <c r="Y2902" s="13" t="s">
        <v>10</v>
      </c>
      <c r="Z2902" s="13" t="s">
        <v>0</v>
      </c>
      <c r="AA2902" s="14"/>
      <c r="AB2902" s="13" t="s">
        <v>0</v>
      </c>
      <c r="AC2902" s="13" t="s">
        <v>0</v>
      </c>
      <c r="AD2902" s="13" t="s">
        <v>0</v>
      </c>
      <c r="AE2902" s="15">
        <v>0</v>
      </c>
    </row>
    <row r="2903" spans="1:31" ht="14.15" customHeight="1" x14ac:dyDescent="0.25">
      <c r="A2903" s="12" t="s">
        <v>0</v>
      </c>
      <c r="B2903" s="13" t="s">
        <v>1</v>
      </c>
      <c r="C2903" s="13" t="s">
        <v>1025</v>
      </c>
      <c r="D2903" s="14">
        <v>44130</v>
      </c>
      <c r="E2903" s="14">
        <v>44130</v>
      </c>
      <c r="F2903" s="14">
        <v>44132</v>
      </c>
      <c r="G2903" s="13" t="s">
        <v>3</v>
      </c>
      <c r="H2903" s="13" t="s">
        <v>4</v>
      </c>
      <c r="I2903" s="15">
        <v>-1180.28</v>
      </c>
      <c r="J2903" s="13" t="s">
        <v>5</v>
      </c>
      <c r="K2903" s="13" t="s">
        <v>6</v>
      </c>
      <c r="L2903" s="15">
        <v>-99084.51</v>
      </c>
      <c r="M2903" s="15">
        <v>-1180.28</v>
      </c>
      <c r="N2903" s="16" t="str">
        <f>IF(M2903="","",IF(M2903&lt;0,-M2903&amp;"_"&amp;COUNTIF(M$2:M2903,M2903),M2903&amp;"_"&amp;COUNTIF(M$2:M2903,M2903)))</f>
        <v>1180.28_1</v>
      </c>
      <c r="O2903" s="17" t="str">
        <f t="shared" si="45"/>
        <v/>
      </c>
      <c r="P2903" s="13" t="s">
        <v>1026</v>
      </c>
      <c r="Q2903" s="13" t="s">
        <v>1024</v>
      </c>
      <c r="R2903" s="13" t="s">
        <v>0</v>
      </c>
      <c r="S2903" s="13" t="s">
        <v>0</v>
      </c>
      <c r="T2903" s="13" t="s">
        <v>9</v>
      </c>
      <c r="U2903" s="13" t="s">
        <v>0</v>
      </c>
      <c r="V2903" s="13" t="s">
        <v>0</v>
      </c>
      <c r="W2903" s="13" t="s">
        <v>0</v>
      </c>
      <c r="X2903" s="13" t="s">
        <v>0</v>
      </c>
      <c r="Y2903" s="13" t="s">
        <v>10</v>
      </c>
      <c r="Z2903" s="13" t="s">
        <v>0</v>
      </c>
      <c r="AA2903" s="14"/>
      <c r="AB2903" s="13" t="s">
        <v>0</v>
      </c>
      <c r="AC2903" s="13" t="s">
        <v>0</v>
      </c>
      <c r="AD2903" s="13" t="s">
        <v>0</v>
      </c>
      <c r="AE2903" s="15">
        <v>0</v>
      </c>
    </row>
    <row r="2904" spans="1:31" ht="14.15" customHeight="1" x14ac:dyDescent="0.25">
      <c r="A2904" s="12" t="s">
        <v>0</v>
      </c>
      <c r="B2904" s="13" t="s">
        <v>1</v>
      </c>
      <c r="C2904" s="13" t="s">
        <v>1025</v>
      </c>
      <c r="D2904" s="14">
        <v>44130</v>
      </c>
      <c r="E2904" s="14">
        <v>44130</v>
      </c>
      <c r="F2904" s="14">
        <v>44132</v>
      </c>
      <c r="G2904" s="13" t="s">
        <v>3</v>
      </c>
      <c r="H2904" s="13" t="s">
        <v>4</v>
      </c>
      <c r="I2904" s="15">
        <v>-1180.28</v>
      </c>
      <c r="J2904" s="13" t="s">
        <v>5</v>
      </c>
      <c r="K2904" s="13" t="s">
        <v>6</v>
      </c>
      <c r="L2904" s="15">
        <v>-99084.51</v>
      </c>
      <c r="M2904" s="15">
        <v>-1180.28</v>
      </c>
      <c r="N2904" s="16" t="str">
        <f>IF(M2904="","",IF(M2904&lt;0,-M2904&amp;"_"&amp;COUNTIF(M$2:M2904,M2904),M2904&amp;"_"&amp;COUNTIF(M$2:M2904,M2904)))</f>
        <v>1180.28_2</v>
      </c>
      <c r="O2904" s="17" t="str">
        <f t="shared" si="45"/>
        <v/>
      </c>
      <c r="P2904" s="13" t="s">
        <v>1026</v>
      </c>
      <c r="Q2904" s="13" t="s">
        <v>1024</v>
      </c>
      <c r="R2904" s="13" t="s">
        <v>0</v>
      </c>
      <c r="S2904" s="13" t="s">
        <v>0</v>
      </c>
      <c r="T2904" s="13" t="s">
        <v>9</v>
      </c>
      <c r="U2904" s="13" t="s">
        <v>0</v>
      </c>
      <c r="V2904" s="13" t="s">
        <v>0</v>
      </c>
      <c r="W2904" s="13" t="s">
        <v>0</v>
      </c>
      <c r="X2904" s="13" t="s">
        <v>0</v>
      </c>
      <c r="Y2904" s="13" t="s">
        <v>10</v>
      </c>
      <c r="Z2904" s="13" t="s">
        <v>0</v>
      </c>
      <c r="AA2904" s="14"/>
      <c r="AB2904" s="13" t="s">
        <v>0</v>
      </c>
      <c r="AC2904" s="13" t="s">
        <v>0</v>
      </c>
      <c r="AD2904" s="13" t="s">
        <v>0</v>
      </c>
      <c r="AE2904" s="15">
        <v>0</v>
      </c>
    </row>
    <row r="2905" spans="1:31" ht="14.15" customHeight="1" x14ac:dyDescent="0.25">
      <c r="A2905" s="12" t="s">
        <v>0</v>
      </c>
      <c r="B2905" s="13" t="s">
        <v>1</v>
      </c>
      <c r="C2905" s="13" t="s">
        <v>3213</v>
      </c>
      <c r="D2905" s="14">
        <v>44303</v>
      </c>
      <c r="E2905" s="14">
        <v>44303</v>
      </c>
      <c r="F2905" s="14">
        <v>44308</v>
      </c>
      <c r="G2905" s="13" t="s">
        <v>3</v>
      </c>
      <c r="H2905" s="13" t="s">
        <v>4</v>
      </c>
      <c r="I2905" s="15">
        <v>-1179.53</v>
      </c>
      <c r="J2905" s="13" t="s">
        <v>68</v>
      </c>
      <c r="K2905" s="13" t="s">
        <v>6</v>
      </c>
      <c r="L2905" s="15">
        <v>-99021.55</v>
      </c>
      <c r="M2905" s="15">
        <v>-1179.53</v>
      </c>
      <c r="N2905" s="16" t="str">
        <f>IF(M2905="","",IF(M2905&lt;0,-M2905&amp;"_"&amp;COUNTIF(M$2:M2905,M2905),M2905&amp;"_"&amp;COUNTIF(M$2:M2905,M2905)))</f>
        <v>1179.53_1</v>
      </c>
      <c r="O2905" s="17" t="str">
        <f t="shared" si="45"/>
        <v/>
      </c>
      <c r="P2905" s="13" t="s">
        <v>3214</v>
      </c>
      <c r="Q2905" s="13" t="s">
        <v>3215</v>
      </c>
      <c r="R2905" s="13" t="s">
        <v>0</v>
      </c>
      <c r="S2905" s="13" t="s">
        <v>0</v>
      </c>
      <c r="T2905" s="13" t="s">
        <v>9</v>
      </c>
      <c r="U2905" s="13" t="s">
        <v>0</v>
      </c>
      <c r="V2905" s="13" t="s">
        <v>0</v>
      </c>
      <c r="W2905" s="13" t="s">
        <v>0</v>
      </c>
      <c r="X2905" s="13" t="s">
        <v>0</v>
      </c>
      <c r="Y2905" s="13" t="s">
        <v>10</v>
      </c>
      <c r="Z2905" s="13" t="s">
        <v>0</v>
      </c>
      <c r="AA2905" s="14"/>
      <c r="AB2905" s="13" t="s">
        <v>0</v>
      </c>
      <c r="AC2905" s="13" t="s">
        <v>0</v>
      </c>
      <c r="AD2905" s="13" t="s">
        <v>0</v>
      </c>
      <c r="AE2905" s="15">
        <v>0</v>
      </c>
    </row>
    <row r="2906" spans="1:31" ht="14.15" customHeight="1" x14ac:dyDescent="0.25">
      <c r="A2906" s="12" t="s">
        <v>0</v>
      </c>
      <c r="B2906" s="13" t="s">
        <v>1</v>
      </c>
      <c r="C2906" s="13" t="s">
        <v>729</v>
      </c>
      <c r="D2906" s="14">
        <v>44095</v>
      </c>
      <c r="E2906" s="14">
        <v>44095</v>
      </c>
      <c r="F2906" s="14">
        <v>44098</v>
      </c>
      <c r="G2906" s="13" t="s">
        <v>3</v>
      </c>
      <c r="H2906" s="13" t="s">
        <v>4</v>
      </c>
      <c r="I2906" s="15">
        <v>-1175.3599999999999</v>
      </c>
      <c r="J2906" s="13" t="s">
        <v>5</v>
      </c>
      <c r="K2906" s="13" t="s">
        <v>6</v>
      </c>
      <c r="L2906" s="15">
        <v>-98671.47</v>
      </c>
      <c r="M2906" s="15">
        <v>-1175.3599999999999</v>
      </c>
      <c r="N2906" s="16" t="str">
        <f>IF(M2906="","",IF(M2906&lt;0,-M2906&amp;"_"&amp;COUNTIF(M$2:M2906,M2906),M2906&amp;"_"&amp;COUNTIF(M$2:M2906,M2906)))</f>
        <v>1175.36_1</v>
      </c>
      <c r="O2906" s="17" t="str">
        <f t="shared" si="45"/>
        <v/>
      </c>
      <c r="P2906" s="13" t="s">
        <v>730</v>
      </c>
      <c r="Q2906" s="13" t="s">
        <v>726</v>
      </c>
      <c r="R2906" s="13" t="s">
        <v>0</v>
      </c>
      <c r="S2906" s="13" t="s">
        <v>0</v>
      </c>
      <c r="T2906" s="13" t="s">
        <v>9</v>
      </c>
      <c r="U2906" s="13" t="s">
        <v>0</v>
      </c>
      <c r="V2906" s="13" t="s">
        <v>0</v>
      </c>
      <c r="W2906" s="13" t="s">
        <v>0</v>
      </c>
      <c r="X2906" s="13" t="s">
        <v>0</v>
      </c>
      <c r="Y2906" s="13" t="s">
        <v>10</v>
      </c>
      <c r="Z2906" s="13" t="s">
        <v>0</v>
      </c>
      <c r="AA2906" s="14"/>
      <c r="AB2906" s="13" t="s">
        <v>0</v>
      </c>
      <c r="AC2906" s="13" t="s">
        <v>0</v>
      </c>
      <c r="AD2906" s="13" t="s">
        <v>0</v>
      </c>
      <c r="AE2906" s="15">
        <v>0</v>
      </c>
    </row>
    <row r="2907" spans="1:31" ht="14.15" customHeight="1" x14ac:dyDescent="0.25">
      <c r="A2907" s="12" t="s">
        <v>0</v>
      </c>
      <c r="B2907" s="13" t="s">
        <v>1</v>
      </c>
      <c r="C2907" s="13" t="s">
        <v>785</v>
      </c>
      <c r="D2907" s="14">
        <v>44101</v>
      </c>
      <c r="E2907" s="14">
        <v>44101</v>
      </c>
      <c r="F2907" s="14">
        <v>44105</v>
      </c>
      <c r="G2907" s="13" t="s">
        <v>3</v>
      </c>
      <c r="H2907" s="13" t="s">
        <v>4</v>
      </c>
      <c r="I2907" s="15">
        <v>-1173.6600000000001</v>
      </c>
      <c r="J2907" s="13" t="s">
        <v>5</v>
      </c>
      <c r="K2907" s="13" t="s">
        <v>6</v>
      </c>
      <c r="L2907" s="15">
        <v>-98528.76</v>
      </c>
      <c r="M2907" s="15">
        <v>-1173.6600000000001</v>
      </c>
      <c r="N2907" s="16" t="str">
        <f>IF(M2907="","",IF(M2907&lt;0,-M2907&amp;"_"&amp;COUNTIF(M$2:M2907,M2907),M2907&amp;"_"&amp;COUNTIF(M$2:M2907,M2907)))</f>
        <v>1173.66_1</v>
      </c>
      <c r="O2907" s="17" t="str">
        <f t="shared" si="45"/>
        <v/>
      </c>
      <c r="P2907" s="13" t="s">
        <v>786</v>
      </c>
      <c r="Q2907" s="13" t="s">
        <v>784</v>
      </c>
      <c r="R2907" s="13" t="s">
        <v>0</v>
      </c>
      <c r="S2907" s="13" t="s">
        <v>0</v>
      </c>
      <c r="T2907" s="13" t="s">
        <v>9</v>
      </c>
      <c r="U2907" s="13" t="s">
        <v>0</v>
      </c>
      <c r="V2907" s="13" t="s">
        <v>0</v>
      </c>
      <c r="W2907" s="13" t="s">
        <v>0</v>
      </c>
      <c r="X2907" s="13" t="s">
        <v>0</v>
      </c>
      <c r="Y2907" s="13" t="s">
        <v>10</v>
      </c>
      <c r="Z2907" s="13" t="s">
        <v>0</v>
      </c>
      <c r="AA2907" s="14"/>
      <c r="AB2907" s="13" t="s">
        <v>0</v>
      </c>
      <c r="AC2907" s="13" t="s">
        <v>0</v>
      </c>
      <c r="AD2907" s="13" t="s">
        <v>0</v>
      </c>
      <c r="AE2907" s="15">
        <v>0</v>
      </c>
    </row>
    <row r="2908" spans="1:31" ht="14.15" customHeight="1" x14ac:dyDescent="0.25">
      <c r="A2908" s="12" t="s">
        <v>0</v>
      </c>
      <c r="B2908" s="13" t="s">
        <v>1</v>
      </c>
      <c r="C2908" s="13" t="s">
        <v>752</v>
      </c>
      <c r="D2908" s="14">
        <v>44097</v>
      </c>
      <c r="E2908" s="14">
        <v>44097</v>
      </c>
      <c r="F2908" s="14">
        <v>44100</v>
      </c>
      <c r="G2908" s="13" t="s">
        <v>3</v>
      </c>
      <c r="H2908" s="13" t="s">
        <v>4</v>
      </c>
      <c r="I2908" s="15">
        <v>-1171.8699999999999</v>
      </c>
      <c r="J2908" s="13" t="s">
        <v>5</v>
      </c>
      <c r="K2908" s="13" t="s">
        <v>6</v>
      </c>
      <c r="L2908" s="15">
        <v>-98378.49</v>
      </c>
      <c r="M2908" s="15">
        <v>-1171.8699999999999</v>
      </c>
      <c r="N2908" s="16" t="str">
        <f>IF(M2908="","",IF(M2908&lt;0,-M2908&amp;"_"&amp;COUNTIF(M$2:M2908,M2908),M2908&amp;"_"&amp;COUNTIF(M$2:M2908,M2908)))</f>
        <v>1171.87_1</v>
      </c>
      <c r="O2908" s="17" t="str">
        <f t="shared" si="45"/>
        <v/>
      </c>
      <c r="P2908" s="13" t="s">
        <v>753</v>
      </c>
      <c r="Q2908" s="13" t="s">
        <v>754</v>
      </c>
      <c r="R2908" s="13" t="s">
        <v>0</v>
      </c>
      <c r="S2908" s="13" t="s">
        <v>0</v>
      </c>
      <c r="T2908" s="13" t="s">
        <v>9</v>
      </c>
      <c r="U2908" s="13" t="s">
        <v>0</v>
      </c>
      <c r="V2908" s="13" t="s">
        <v>0</v>
      </c>
      <c r="W2908" s="13" t="s">
        <v>0</v>
      </c>
      <c r="X2908" s="13" t="s">
        <v>0</v>
      </c>
      <c r="Y2908" s="13" t="s">
        <v>10</v>
      </c>
      <c r="Z2908" s="13" t="s">
        <v>0</v>
      </c>
      <c r="AA2908" s="14"/>
      <c r="AB2908" s="13" t="s">
        <v>0</v>
      </c>
      <c r="AC2908" s="13" t="s">
        <v>0</v>
      </c>
      <c r="AD2908" s="13" t="s">
        <v>0</v>
      </c>
      <c r="AE2908" s="15">
        <v>0</v>
      </c>
    </row>
    <row r="2909" spans="1:31" ht="14.15" customHeight="1" x14ac:dyDescent="0.25">
      <c r="A2909" s="12" t="s">
        <v>0</v>
      </c>
      <c r="B2909" s="13" t="s">
        <v>1</v>
      </c>
      <c r="C2909" s="13" t="s">
        <v>3075</v>
      </c>
      <c r="D2909" s="14">
        <v>44285</v>
      </c>
      <c r="E2909" s="14">
        <v>44285</v>
      </c>
      <c r="F2909" s="14">
        <v>44290</v>
      </c>
      <c r="G2909" s="13" t="s">
        <v>3</v>
      </c>
      <c r="H2909" s="13" t="s">
        <v>4</v>
      </c>
      <c r="I2909" s="15">
        <v>-1167.28</v>
      </c>
      <c r="J2909" s="13" t="s">
        <v>5</v>
      </c>
      <c r="K2909" s="13" t="s">
        <v>6</v>
      </c>
      <c r="L2909" s="15">
        <v>-97993.16</v>
      </c>
      <c r="M2909" s="15">
        <v>-1167.28</v>
      </c>
      <c r="N2909" s="16" t="str">
        <f>IF(M2909="","",IF(M2909&lt;0,-M2909&amp;"_"&amp;COUNTIF(M$2:M2909,M2909),M2909&amp;"_"&amp;COUNTIF(M$2:M2909,M2909)))</f>
        <v>1167.28_1</v>
      </c>
      <c r="O2909" s="17" t="str">
        <f t="shared" si="45"/>
        <v/>
      </c>
      <c r="P2909" s="13" t="s">
        <v>3076</v>
      </c>
      <c r="Q2909" s="13" t="s">
        <v>3074</v>
      </c>
      <c r="R2909" s="13" t="s">
        <v>0</v>
      </c>
      <c r="S2909" s="13" t="s">
        <v>0</v>
      </c>
      <c r="T2909" s="13" t="s">
        <v>9</v>
      </c>
      <c r="U2909" s="13" t="s">
        <v>0</v>
      </c>
      <c r="V2909" s="13" t="s">
        <v>0</v>
      </c>
      <c r="W2909" s="13" t="s">
        <v>0</v>
      </c>
      <c r="X2909" s="13" t="s">
        <v>0</v>
      </c>
      <c r="Y2909" s="13" t="s">
        <v>10</v>
      </c>
      <c r="Z2909" s="13" t="s">
        <v>0</v>
      </c>
      <c r="AA2909" s="14"/>
      <c r="AB2909" s="13" t="s">
        <v>0</v>
      </c>
      <c r="AC2909" s="13" t="s">
        <v>0</v>
      </c>
      <c r="AD2909" s="13" t="s">
        <v>0</v>
      </c>
      <c r="AE2909" s="15">
        <v>0</v>
      </c>
    </row>
    <row r="2910" spans="1:31" ht="14.15" customHeight="1" x14ac:dyDescent="0.25">
      <c r="A2910" s="12" t="s">
        <v>0</v>
      </c>
      <c r="B2910" s="13" t="s">
        <v>1</v>
      </c>
      <c r="C2910" s="13" t="s">
        <v>3029</v>
      </c>
      <c r="D2910" s="14">
        <v>44281</v>
      </c>
      <c r="E2910" s="14">
        <v>44281</v>
      </c>
      <c r="F2910" s="14">
        <v>44290</v>
      </c>
      <c r="G2910" s="13" t="s">
        <v>3</v>
      </c>
      <c r="H2910" s="13" t="s">
        <v>4</v>
      </c>
      <c r="I2910" s="15">
        <v>-1138.3699999999999</v>
      </c>
      <c r="J2910" s="13" t="s">
        <v>68</v>
      </c>
      <c r="K2910" s="13" t="s">
        <v>6</v>
      </c>
      <c r="L2910" s="15">
        <v>-95566.17</v>
      </c>
      <c r="M2910" s="15">
        <v>-1138.3699999999999</v>
      </c>
      <c r="N2910" s="16" t="str">
        <f>IF(M2910="","",IF(M2910&lt;0,-M2910&amp;"_"&amp;COUNTIF(M$2:M2910,M2910),M2910&amp;"_"&amp;COUNTIF(M$2:M2910,M2910)))</f>
        <v>1138.37_1</v>
      </c>
      <c r="O2910" s="17" t="str">
        <f t="shared" si="45"/>
        <v/>
      </c>
      <c r="P2910" s="13" t="s">
        <v>3030</v>
      </c>
      <c r="Q2910" s="13" t="s">
        <v>3014</v>
      </c>
      <c r="R2910" s="13" t="s">
        <v>0</v>
      </c>
      <c r="S2910" s="13" t="s">
        <v>0</v>
      </c>
      <c r="T2910" s="13" t="s">
        <v>9</v>
      </c>
      <c r="U2910" s="13" t="s">
        <v>0</v>
      </c>
      <c r="V2910" s="13" t="s">
        <v>0</v>
      </c>
      <c r="W2910" s="13" t="s">
        <v>0</v>
      </c>
      <c r="X2910" s="13" t="s">
        <v>0</v>
      </c>
      <c r="Y2910" s="13" t="s">
        <v>10</v>
      </c>
      <c r="Z2910" s="13" t="s">
        <v>0</v>
      </c>
      <c r="AA2910" s="14"/>
      <c r="AB2910" s="13" t="s">
        <v>0</v>
      </c>
      <c r="AC2910" s="13" t="s">
        <v>0</v>
      </c>
      <c r="AD2910" s="13" t="s">
        <v>0</v>
      </c>
      <c r="AE2910" s="15">
        <v>0</v>
      </c>
    </row>
    <row r="2911" spans="1:31" ht="14.15" customHeight="1" x14ac:dyDescent="0.25">
      <c r="A2911" s="12" t="s">
        <v>0</v>
      </c>
      <c r="B2911" s="13" t="s">
        <v>1</v>
      </c>
      <c r="C2911" s="13" t="s">
        <v>2295</v>
      </c>
      <c r="D2911" s="14">
        <v>44219</v>
      </c>
      <c r="E2911" s="14">
        <v>44219</v>
      </c>
      <c r="F2911" s="14">
        <v>44226</v>
      </c>
      <c r="G2911" s="13" t="s">
        <v>3</v>
      </c>
      <c r="H2911" s="13" t="s">
        <v>4</v>
      </c>
      <c r="I2911" s="15">
        <v>-1137.8</v>
      </c>
      <c r="J2911" s="13" t="s">
        <v>5</v>
      </c>
      <c r="K2911" s="13" t="s">
        <v>6</v>
      </c>
      <c r="L2911" s="15">
        <v>-95518.31</v>
      </c>
      <c r="M2911" s="15">
        <v>-1137.8</v>
      </c>
      <c r="N2911" s="16" t="str">
        <f>IF(M2911="","",IF(M2911&lt;0,-M2911&amp;"_"&amp;COUNTIF(M$2:M2911,M2911),M2911&amp;"_"&amp;COUNTIF(M$2:M2911,M2911)))</f>
        <v>1137.8_1</v>
      </c>
      <c r="O2911" s="17" t="str">
        <f t="shared" si="45"/>
        <v/>
      </c>
      <c r="P2911" s="13" t="s">
        <v>2296</v>
      </c>
      <c r="Q2911" s="13" t="s">
        <v>2282</v>
      </c>
      <c r="R2911" s="13" t="s">
        <v>0</v>
      </c>
      <c r="S2911" s="13" t="s">
        <v>0</v>
      </c>
      <c r="T2911" s="13" t="s">
        <v>9</v>
      </c>
      <c r="U2911" s="13" t="s">
        <v>0</v>
      </c>
      <c r="V2911" s="13" t="s">
        <v>0</v>
      </c>
      <c r="W2911" s="13" t="s">
        <v>0</v>
      </c>
      <c r="X2911" s="13" t="s">
        <v>0</v>
      </c>
      <c r="Y2911" s="13" t="s">
        <v>10</v>
      </c>
      <c r="Z2911" s="13" t="s">
        <v>0</v>
      </c>
      <c r="AA2911" s="14"/>
      <c r="AB2911" s="13" t="s">
        <v>0</v>
      </c>
      <c r="AC2911" s="13" t="s">
        <v>0</v>
      </c>
      <c r="AD2911" s="13" t="s">
        <v>0</v>
      </c>
      <c r="AE2911" s="15">
        <v>0</v>
      </c>
    </row>
    <row r="2912" spans="1:31" ht="14.15" customHeight="1" x14ac:dyDescent="0.25">
      <c r="A2912" s="12" t="s">
        <v>0</v>
      </c>
      <c r="B2912" s="13" t="s">
        <v>1</v>
      </c>
      <c r="C2912" s="13" t="s">
        <v>3027</v>
      </c>
      <c r="D2912" s="14">
        <v>44281</v>
      </c>
      <c r="E2912" s="14">
        <v>44281</v>
      </c>
      <c r="F2912" s="14">
        <v>44290</v>
      </c>
      <c r="G2912" s="13" t="s">
        <v>3</v>
      </c>
      <c r="H2912" s="13" t="s">
        <v>4</v>
      </c>
      <c r="I2912" s="15">
        <v>-1134.1300000000001</v>
      </c>
      <c r="J2912" s="13" t="s">
        <v>5</v>
      </c>
      <c r="K2912" s="13" t="s">
        <v>6</v>
      </c>
      <c r="L2912" s="15">
        <v>-95210.21</v>
      </c>
      <c r="M2912" s="15">
        <v>-1134.1300000000001</v>
      </c>
      <c r="N2912" s="16" t="str">
        <f>IF(M2912="","",IF(M2912&lt;0,-M2912&amp;"_"&amp;COUNTIF(M$2:M2912,M2912),M2912&amp;"_"&amp;COUNTIF(M$2:M2912,M2912)))</f>
        <v>1134.13_1</v>
      </c>
      <c r="O2912" s="17" t="str">
        <f t="shared" si="45"/>
        <v/>
      </c>
      <c r="P2912" s="13" t="s">
        <v>3028</v>
      </c>
      <c r="Q2912" s="13" t="s">
        <v>3014</v>
      </c>
      <c r="R2912" s="13" t="s">
        <v>0</v>
      </c>
      <c r="S2912" s="13" t="s">
        <v>0</v>
      </c>
      <c r="T2912" s="13" t="s">
        <v>9</v>
      </c>
      <c r="U2912" s="13" t="s">
        <v>0</v>
      </c>
      <c r="V2912" s="13" t="s">
        <v>0</v>
      </c>
      <c r="W2912" s="13" t="s">
        <v>0</v>
      </c>
      <c r="X2912" s="13" t="s">
        <v>0</v>
      </c>
      <c r="Y2912" s="13" t="s">
        <v>10</v>
      </c>
      <c r="Z2912" s="13" t="s">
        <v>0</v>
      </c>
      <c r="AA2912" s="14"/>
      <c r="AB2912" s="13" t="s">
        <v>0</v>
      </c>
      <c r="AC2912" s="13" t="s">
        <v>0</v>
      </c>
      <c r="AD2912" s="13" t="s">
        <v>0</v>
      </c>
      <c r="AE2912" s="15">
        <v>0</v>
      </c>
    </row>
    <row r="2913" spans="1:31" ht="14.15" customHeight="1" x14ac:dyDescent="0.25">
      <c r="A2913" s="12" t="s">
        <v>0</v>
      </c>
      <c r="B2913" s="13" t="s">
        <v>1</v>
      </c>
      <c r="C2913" s="13" t="s">
        <v>3194</v>
      </c>
      <c r="D2913" s="14">
        <v>44302</v>
      </c>
      <c r="E2913" s="14">
        <v>44302</v>
      </c>
      <c r="F2913" s="14">
        <v>44308</v>
      </c>
      <c r="G2913" s="13" t="s">
        <v>3</v>
      </c>
      <c r="H2913" s="13" t="s">
        <v>4</v>
      </c>
      <c r="I2913" s="15">
        <v>-1132.3800000000001</v>
      </c>
      <c r="J2913" s="13" t="s">
        <v>5</v>
      </c>
      <c r="K2913" s="13" t="s">
        <v>6</v>
      </c>
      <c r="L2913" s="15">
        <v>-95063.3</v>
      </c>
      <c r="M2913" s="15">
        <v>-1132.3800000000001</v>
      </c>
      <c r="N2913" s="16" t="str">
        <f>IF(M2913="","",IF(M2913&lt;0,-M2913&amp;"_"&amp;COUNTIF(M$2:M2913,M2913),M2913&amp;"_"&amp;COUNTIF(M$2:M2913,M2913)))</f>
        <v>1132.38_1</v>
      </c>
      <c r="O2913" s="17" t="str">
        <f t="shared" si="45"/>
        <v/>
      </c>
      <c r="P2913" s="13" t="s">
        <v>3195</v>
      </c>
      <c r="Q2913" s="13" t="s">
        <v>3196</v>
      </c>
      <c r="R2913" s="13" t="s">
        <v>0</v>
      </c>
      <c r="S2913" s="13" t="s">
        <v>0</v>
      </c>
      <c r="T2913" s="13" t="s">
        <v>9</v>
      </c>
      <c r="U2913" s="13" t="s">
        <v>0</v>
      </c>
      <c r="V2913" s="13" t="s">
        <v>0</v>
      </c>
      <c r="W2913" s="13" t="s">
        <v>0</v>
      </c>
      <c r="X2913" s="13" t="s">
        <v>0</v>
      </c>
      <c r="Y2913" s="13" t="s">
        <v>10</v>
      </c>
      <c r="Z2913" s="13" t="s">
        <v>0</v>
      </c>
      <c r="AA2913" s="14"/>
      <c r="AB2913" s="13" t="s">
        <v>0</v>
      </c>
      <c r="AC2913" s="13" t="s">
        <v>0</v>
      </c>
      <c r="AD2913" s="13" t="s">
        <v>0</v>
      </c>
      <c r="AE2913" s="15">
        <v>0</v>
      </c>
    </row>
    <row r="2914" spans="1:31" ht="14.15" customHeight="1" x14ac:dyDescent="0.25">
      <c r="A2914" s="12" t="s">
        <v>0</v>
      </c>
      <c r="B2914" s="13" t="s">
        <v>1</v>
      </c>
      <c r="C2914" s="13" t="s">
        <v>3199</v>
      </c>
      <c r="D2914" s="14">
        <v>44302</v>
      </c>
      <c r="E2914" s="14">
        <v>44302</v>
      </c>
      <c r="F2914" s="14">
        <v>44308</v>
      </c>
      <c r="G2914" s="13" t="s">
        <v>3</v>
      </c>
      <c r="H2914" s="13" t="s">
        <v>4</v>
      </c>
      <c r="I2914" s="15">
        <v>-1132.3800000000001</v>
      </c>
      <c r="J2914" s="13" t="s">
        <v>5</v>
      </c>
      <c r="K2914" s="13" t="s">
        <v>6</v>
      </c>
      <c r="L2914" s="15">
        <v>-95063.3</v>
      </c>
      <c r="M2914" s="15">
        <v>-1132.3800000000001</v>
      </c>
      <c r="N2914" s="16" t="str">
        <f>IF(M2914="","",IF(M2914&lt;0,-M2914&amp;"_"&amp;COUNTIF(M$2:M2914,M2914),M2914&amp;"_"&amp;COUNTIF(M$2:M2914,M2914)))</f>
        <v>1132.38_2</v>
      </c>
      <c r="O2914" s="17" t="str">
        <f t="shared" si="45"/>
        <v/>
      </c>
      <c r="P2914" s="13" t="s">
        <v>3200</v>
      </c>
      <c r="Q2914" s="13" t="s">
        <v>3196</v>
      </c>
      <c r="R2914" s="13" t="s">
        <v>0</v>
      </c>
      <c r="S2914" s="13" t="s">
        <v>0</v>
      </c>
      <c r="T2914" s="13" t="s">
        <v>9</v>
      </c>
      <c r="U2914" s="13" t="s">
        <v>0</v>
      </c>
      <c r="V2914" s="13" t="s">
        <v>0</v>
      </c>
      <c r="W2914" s="13" t="s">
        <v>0</v>
      </c>
      <c r="X2914" s="13" t="s">
        <v>0</v>
      </c>
      <c r="Y2914" s="13" t="s">
        <v>10</v>
      </c>
      <c r="Z2914" s="13" t="s">
        <v>0</v>
      </c>
      <c r="AA2914" s="14"/>
      <c r="AB2914" s="13" t="s">
        <v>0</v>
      </c>
      <c r="AC2914" s="13" t="s">
        <v>0</v>
      </c>
      <c r="AD2914" s="13" t="s">
        <v>0</v>
      </c>
      <c r="AE2914" s="15">
        <v>0</v>
      </c>
    </row>
    <row r="2915" spans="1:31" ht="14.15" customHeight="1" x14ac:dyDescent="0.25">
      <c r="A2915" s="12" t="s">
        <v>0</v>
      </c>
      <c r="B2915" s="13" t="s">
        <v>303</v>
      </c>
      <c r="C2915" s="13" t="s">
        <v>1105</v>
      </c>
      <c r="D2915" s="14">
        <v>44135</v>
      </c>
      <c r="E2915" s="14">
        <v>44135</v>
      </c>
      <c r="F2915" s="14">
        <v>44143</v>
      </c>
      <c r="G2915" s="13" t="s">
        <v>48</v>
      </c>
      <c r="H2915" s="13" t="s">
        <v>4</v>
      </c>
      <c r="I2915" s="15">
        <v>-1122</v>
      </c>
      <c r="J2915" s="13" t="s">
        <v>5</v>
      </c>
      <c r="K2915" s="13" t="s">
        <v>6</v>
      </c>
      <c r="L2915" s="15">
        <v>-94191.9</v>
      </c>
      <c r="M2915" s="15">
        <v>-1122</v>
      </c>
      <c r="N2915" s="16" t="str">
        <f>IF(M2915="","",IF(M2915&lt;0,-M2915&amp;"_"&amp;COUNTIF(M$2:M2915,M2915),M2915&amp;"_"&amp;COUNTIF(M$2:M2915,M2915)))</f>
        <v>1122_1</v>
      </c>
      <c r="O2915" s="17" t="str">
        <f t="shared" si="45"/>
        <v/>
      </c>
      <c r="P2915" s="13" t="s">
        <v>1106</v>
      </c>
      <c r="Q2915" s="13" t="s">
        <v>1106</v>
      </c>
      <c r="R2915" s="13" t="s">
        <v>306</v>
      </c>
      <c r="S2915" s="13" t="s">
        <v>0</v>
      </c>
      <c r="T2915" s="13" t="s">
        <v>9</v>
      </c>
      <c r="U2915" s="13" t="s">
        <v>307</v>
      </c>
      <c r="V2915" s="13" t="s">
        <v>0</v>
      </c>
      <c r="W2915" s="13" t="s">
        <v>0</v>
      </c>
      <c r="X2915" s="13" t="s">
        <v>0</v>
      </c>
      <c r="Y2915" s="13" t="s">
        <v>291</v>
      </c>
      <c r="Z2915" s="13" t="s">
        <v>0</v>
      </c>
      <c r="AA2915" s="14"/>
      <c r="AB2915" s="13" t="s">
        <v>0</v>
      </c>
      <c r="AC2915" s="13" t="s">
        <v>0</v>
      </c>
      <c r="AD2915" s="13" t="s">
        <v>0</v>
      </c>
      <c r="AE2915" s="15">
        <v>0</v>
      </c>
    </row>
    <row r="2916" spans="1:31" ht="14.15" customHeight="1" x14ac:dyDescent="0.25">
      <c r="A2916" s="12" t="s">
        <v>0</v>
      </c>
      <c r="B2916" s="13" t="s">
        <v>1</v>
      </c>
      <c r="C2916" s="13" t="s">
        <v>1668</v>
      </c>
      <c r="D2916" s="14">
        <v>44171</v>
      </c>
      <c r="E2916" s="14">
        <v>44171</v>
      </c>
      <c r="F2916" s="14">
        <v>44189</v>
      </c>
      <c r="G2916" s="13" t="s">
        <v>3</v>
      </c>
      <c r="H2916" s="13" t="s">
        <v>4</v>
      </c>
      <c r="I2916" s="15">
        <v>-1109.97</v>
      </c>
      <c r="J2916" s="13" t="s">
        <v>5</v>
      </c>
      <c r="K2916" s="13" t="s">
        <v>6</v>
      </c>
      <c r="L2916" s="15">
        <v>-93181.98</v>
      </c>
      <c r="M2916" s="15">
        <v>-1109.97</v>
      </c>
      <c r="N2916" s="16" t="str">
        <f>IF(M2916="","",IF(M2916&lt;0,-M2916&amp;"_"&amp;COUNTIF(M$2:M2916,M2916),M2916&amp;"_"&amp;COUNTIF(M$2:M2916,M2916)))</f>
        <v>1109.97_1</v>
      </c>
      <c r="O2916" s="17" t="str">
        <f t="shared" si="45"/>
        <v/>
      </c>
      <c r="P2916" s="13" t="s">
        <v>1669</v>
      </c>
      <c r="Q2916" s="13" t="s">
        <v>1659</v>
      </c>
      <c r="R2916" s="13" t="s">
        <v>0</v>
      </c>
      <c r="S2916" s="13" t="s">
        <v>0</v>
      </c>
      <c r="T2916" s="13" t="s">
        <v>9</v>
      </c>
      <c r="U2916" s="13" t="s">
        <v>0</v>
      </c>
      <c r="V2916" s="13" t="s">
        <v>0</v>
      </c>
      <c r="W2916" s="13" t="s">
        <v>0</v>
      </c>
      <c r="X2916" s="13" t="s">
        <v>0</v>
      </c>
      <c r="Y2916" s="13" t="s">
        <v>10</v>
      </c>
      <c r="Z2916" s="13" t="s">
        <v>0</v>
      </c>
      <c r="AA2916" s="14"/>
      <c r="AB2916" s="13" t="s">
        <v>0</v>
      </c>
      <c r="AC2916" s="13" t="s">
        <v>0</v>
      </c>
      <c r="AD2916" s="13" t="s">
        <v>0</v>
      </c>
      <c r="AE2916" s="15">
        <v>0</v>
      </c>
    </row>
    <row r="2917" spans="1:31" ht="14.15" customHeight="1" x14ac:dyDescent="0.25">
      <c r="A2917" s="12" t="s">
        <v>0</v>
      </c>
      <c r="B2917" s="13" t="s">
        <v>1</v>
      </c>
      <c r="C2917" s="13" t="s">
        <v>3025</v>
      </c>
      <c r="D2917" s="14">
        <v>44281</v>
      </c>
      <c r="E2917" s="14">
        <v>44281</v>
      </c>
      <c r="F2917" s="14">
        <v>44290</v>
      </c>
      <c r="G2917" s="13" t="s">
        <v>3</v>
      </c>
      <c r="H2917" s="13" t="s">
        <v>4</v>
      </c>
      <c r="I2917" s="15">
        <v>-1096.32</v>
      </c>
      <c r="J2917" s="13" t="s">
        <v>5</v>
      </c>
      <c r="K2917" s="13" t="s">
        <v>6</v>
      </c>
      <c r="L2917" s="15">
        <v>-92036.06</v>
      </c>
      <c r="M2917" s="15">
        <v>-1096.32</v>
      </c>
      <c r="N2917" s="16" t="str">
        <f>IF(M2917="","",IF(M2917&lt;0,-M2917&amp;"_"&amp;COUNTIF(M$2:M2917,M2917),M2917&amp;"_"&amp;COUNTIF(M$2:M2917,M2917)))</f>
        <v>1096.32_1</v>
      </c>
      <c r="O2917" s="17" t="str">
        <f t="shared" si="45"/>
        <v/>
      </c>
      <c r="P2917" s="13" t="s">
        <v>3026</v>
      </c>
      <c r="Q2917" s="13" t="s">
        <v>3014</v>
      </c>
      <c r="R2917" s="13" t="s">
        <v>0</v>
      </c>
      <c r="S2917" s="13" t="s">
        <v>0</v>
      </c>
      <c r="T2917" s="13" t="s">
        <v>9</v>
      </c>
      <c r="U2917" s="13" t="s">
        <v>0</v>
      </c>
      <c r="V2917" s="13" t="s">
        <v>0</v>
      </c>
      <c r="W2917" s="13" t="s">
        <v>0</v>
      </c>
      <c r="X2917" s="13" t="s">
        <v>0</v>
      </c>
      <c r="Y2917" s="13" t="s">
        <v>10</v>
      </c>
      <c r="Z2917" s="13" t="s">
        <v>0</v>
      </c>
      <c r="AA2917" s="14"/>
      <c r="AB2917" s="13" t="s">
        <v>0</v>
      </c>
      <c r="AC2917" s="13" t="s">
        <v>0</v>
      </c>
      <c r="AD2917" s="13" t="s">
        <v>0</v>
      </c>
      <c r="AE2917" s="15">
        <v>0</v>
      </c>
    </row>
    <row r="2918" spans="1:31" ht="14.15" customHeight="1" x14ac:dyDescent="0.25">
      <c r="A2918" s="12" t="s">
        <v>0</v>
      </c>
      <c r="B2918" s="13" t="s">
        <v>1</v>
      </c>
      <c r="C2918" s="13" t="s">
        <v>4219</v>
      </c>
      <c r="D2918" s="14">
        <v>44366</v>
      </c>
      <c r="E2918" s="14">
        <v>44366</v>
      </c>
      <c r="F2918" s="14">
        <v>44371</v>
      </c>
      <c r="G2918" s="13" t="s">
        <v>3</v>
      </c>
      <c r="H2918" s="13" t="s">
        <v>4</v>
      </c>
      <c r="I2918" s="15">
        <v>-1094.8699999999999</v>
      </c>
      <c r="J2918" s="13" t="s">
        <v>5</v>
      </c>
      <c r="K2918" s="13" t="s">
        <v>6</v>
      </c>
      <c r="L2918" s="15">
        <v>-91914.34</v>
      </c>
      <c r="M2918" s="15">
        <v>-1094.8699999999999</v>
      </c>
      <c r="N2918" s="16" t="str">
        <f>IF(M2918="","",IF(M2918&lt;0,-M2918&amp;"_"&amp;COUNTIF(M$2:M2918,M2918),M2918&amp;"_"&amp;COUNTIF(M$2:M2918,M2918)))</f>
        <v>1094.87_1</v>
      </c>
      <c r="O2918" s="17" t="str">
        <f t="shared" si="45"/>
        <v/>
      </c>
      <c r="P2918" s="13" t="s">
        <v>4220</v>
      </c>
      <c r="Q2918" s="13" t="s">
        <v>4216</v>
      </c>
      <c r="R2918" s="13" t="s">
        <v>0</v>
      </c>
      <c r="S2918" s="13" t="s">
        <v>0</v>
      </c>
      <c r="T2918" s="13" t="s">
        <v>9</v>
      </c>
      <c r="U2918" s="13" t="s">
        <v>0</v>
      </c>
      <c r="V2918" s="13" t="s">
        <v>0</v>
      </c>
      <c r="W2918" s="13" t="s">
        <v>0</v>
      </c>
      <c r="X2918" s="13" t="s">
        <v>0</v>
      </c>
      <c r="Y2918" s="13" t="s">
        <v>10</v>
      </c>
      <c r="Z2918" s="13" t="s">
        <v>0</v>
      </c>
      <c r="AA2918" s="14"/>
      <c r="AB2918" s="13" t="s">
        <v>0</v>
      </c>
      <c r="AC2918" s="13" t="s">
        <v>0</v>
      </c>
      <c r="AD2918" s="13" t="s">
        <v>0</v>
      </c>
      <c r="AE2918" s="15">
        <v>0</v>
      </c>
    </row>
    <row r="2919" spans="1:31" ht="14.15" customHeight="1" x14ac:dyDescent="0.25">
      <c r="A2919" s="12" t="s">
        <v>0</v>
      </c>
      <c r="B2919" s="13" t="s">
        <v>1</v>
      </c>
      <c r="C2919" s="13" t="s">
        <v>4249</v>
      </c>
      <c r="D2919" s="14">
        <v>44369</v>
      </c>
      <c r="E2919" s="14">
        <v>44369</v>
      </c>
      <c r="F2919" s="14">
        <v>44371</v>
      </c>
      <c r="G2919" s="13" t="s">
        <v>3</v>
      </c>
      <c r="H2919" s="13" t="s">
        <v>4</v>
      </c>
      <c r="I2919" s="15">
        <v>-1094.8699999999999</v>
      </c>
      <c r="J2919" s="13" t="s">
        <v>5</v>
      </c>
      <c r="K2919" s="13" t="s">
        <v>6</v>
      </c>
      <c r="L2919" s="15">
        <v>-91914.34</v>
      </c>
      <c r="M2919" s="15">
        <v>-1094.8699999999999</v>
      </c>
      <c r="N2919" s="16" t="str">
        <f>IF(M2919="","",IF(M2919&lt;0,-M2919&amp;"_"&amp;COUNTIF(M$2:M2919,M2919),M2919&amp;"_"&amp;COUNTIF(M$2:M2919,M2919)))</f>
        <v>1094.87_2</v>
      </c>
      <c r="O2919" s="17" t="str">
        <f t="shared" si="45"/>
        <v/>
      </c>
      <c r="P2919" s="13" t="s">
        <v>4250</v>
      </c>
      <c r="Q2919" s="13" t="s">
        <v>4248</v>
      </c>
      <c r="R2919" s="13" t="s">
        <v>0</v>
      </c>
      <c r="S2919" s="13" t="s">
        <v>0</v>
      </c>
      <c r="T2919" s="13" t="s">
        <v>9</v>
      </c>
      <c r="U2919" s="13" t="s">
        <v>0</v>
      </c>
      <c r="V2919" s="13" t="s">
        <v>0</v>
      </c>
      <c r="W2919" s="13" t="s">
        <v>0</v>
      </c>
      <c r="X2919" s="13" t="s">
        <v>0</v>
      </c>
      <c r="Y2919" s="13" t="s">
        <v>10</v>
      </c>
      <c r="Z2919" s="13" t="s">
        <v>0</v>
      </c>
      <c r="AA2919" s="14"/>
      <c r="AB2919" s="13" t="s">
        <v>0</v>
      </c>
      <c r="AC2919" s="13" t="s">
        <v>0</v>
      </c>
      <c r="AD2919" s="13" t="s">
        <v>0</v>
      </c>
      <c r="AE2919" s="15">
        <v>0</v>
      </c>
    </row>
    <row r="2920" spans="1:31" ht="14.15" customHeight="1" x14ac:dyDescent="0.25">
      <c r="A2920" s="12" t="s">
        <v>0</v>
      </c>
      <c r="B2920" s="13" t="s">
        <v>1</v>
      </c>
      <c r="C2920" s="13" t="s">
        <v>2438</v>
      </c>
      <c r="D2920" s="14">
        <v>44231</v>
      </c>
      <c r="E2920" s="14">
        <v>44231</v>
      </c>
      <c r="F2920" s="14">
        <v>44237</v>
      </c>
      <c r="G2920" s="13" t="s">
        <v>3</v>
      </c>
      <c r="H2920" s="13" t="s">
        <v>4</v>
      </c>
      <c r="I2920" s="15">
        <v>-1083.76</v>
      </c>
      <c r="J2920" s="13" t="s">
        <v>5</v>
      </c>
      <c r="K2920" s="13" t="s">
        <v>6</v>
      </c>
      <c r="L2920" s="15">
        <v>-90981.65</v>
      </c>
      <c r="M2920" s="15">
        <v>-1083.76</v>
      </c>
      <c r="N2920" s="16" t="str">
        <f>IF(M2920="","",IF(M2920&lt;0,-M2920&amp;"_"&amp;COUNTIF(M$2:M2920,M2920),M2920&amp;"_"&amp;COUNTIF(M$2:M2920,M2920)))</f>
        <v>1083.76_1</v>
      </c>
      <c r="O2920" s="17" t="str">
        <f t="shared" si="45"/>
        <v/>
      </c>
      <c r="P2920" s="13" t="s">
        <v>2439</v>
      </c>
      <c r="Q2920" s="13" t="s">
        <v>2427</v>
      </c>
      <c r="R2920" s="13" t="s">
        <v>0</v>
      </c>
      <c r="S2920" s="13" t="s">
        <v>0</v>
      </c>
      <c r="T2920" s="13" t="s">
        <v>9</v>
      </c>
      <c r="U2920" s="13" t="s">
        <v>0</v>
      </c>
      <c r="V2920" s="13" t="s">
        <v>0</v>
      </c>
      <c r="W2920" s="13" t="s">
        <v>0</v>
      </c>
      <c r="X2920" s="13" t="s">
        <v>0</v>
      </c>
      <c r="Y2920" s="13" t="s">
        <v>10</v>
      </c>
      <c r="Z2920" s="13" t="s">
        <v>0</v>
      </c>
      <c r="AA2920" s="14"/>
      <c r="AB2920" s="13" t="s">
        <v>0</v>
      </c>
      <c r="AC2920" s="13" t="s">
        <v>0</v>
      </c>
      <c r="AD2920" s="13" t="s">
        <v>0</v>
      </c>
      <c r="AE2920" s="15">
        <v>0</v>
      </c>
    </row>
    <row r="2921" spans="1:31" ht="14.15" customHeight="1" x14ac:dyDescent="0.25">
      <c r="A2921" s="12" t="s">
        <v>0</v>
      </c>
      <c r="B2921" s="13" t="s">
        <v>1</v>
      </c>
      <c r="C2921" s="13" t="s">
        <v>1066</v>
      </c>
      <c r="D2921" s="14">
        <v>44133</v>
      </c>
      <c r="E2921" s="14">
        <v>44133</v>
      </c>
      <c r="F2921" s="14">
        <v>44137</v>
      </c>
      <c r="G2921" s="13" t="s">
        <v>3</v>
      </c>
      <c r="H2921" s="13" t="s">
        <v>4</v>
      </c>
      <c r="I2921" s="15">
        <v>-1079.8399999999999</v>
      </c>
      <c r="J2921" s="13" t="s">
        <v>5</v>
      </c>
      <c r="K2921" s="13" t="s">
        <v>6</v>
      </c>
      <c r="L2921" s="15">
        <v>-90652.57</v>
      </c>
      <c r="M2921" s="15">
        <v>-1079.8399999999999</v>
      </c>
      <c r="N2921" s="16" t="str">
        <f>IF(M2921="","",IF(M2921&lt;0,-M2921&amp;"_"&amp;COUNTIF(M$2:M2921,M2921),M2921&amp;"_"&amp;COUNTIF(M$2:M2921,M2921)))</f>
        <v>1079.84_1</v>
      </c>
      <c r="O2921" s="17" t="str">
        <f t="shared" si="45"/>
        <v/>
      </c>
      <c r="P2921" s="13" t="s">
        <v>1067</v>
      </c>
      <c r="Q2921" s="13" t="s">
        <v>1065</v>
      </c>
      <c r="R2921" s="13" t="s">
        <v>0</v>
      </c>
      <c r="S2921" s="13" t="s">
        <v>0</v>
      </c>
      <c r="T2921" s="13" t="s">
        <v>9</v>
      </c>
      <c r="U2921" s="13" t="s">
        <v>0</v>
      </c>
      <c r="V2921" s="13" t="s">
        <v>0</v>
      </c>
      <c r="W2921" s="13" t="s">
        <v>0</v>
      </c>
      <c r="X2921" s="13" t="s">
        <v>0</v>
      </c>
      <c r="Y2921" s="13" t="s">
        <v>10</v>
      </c>
      <c r="Z2921" s="13" t="s">
        <v>0</v>
      </c>
      <c r="AA2921" s="14"/>
      <c r="AB2921" s="13" t="s">
        <v>0</v>
      </c>
      <c r="AC2921" s="13" t="s">
        <v>0</v>
      </c>
      <c r="AD2921" s="13" t="s">
        <v>0</v>
      </c>
      <c r="AE2921" s="15">
        <v>0</v>
      </c>
    </row>
    <row r="2922" spans="1:31" ht="14.15" customHeight="1" x14ac:dyDescent="0.25">
      <c r="A2922" s="12" t="s">
        <v>0</v>
      </c>
      <c r="B2922" s="13" t="s">
        <v>1</v>
      </c>
      <c r="C2922" s="13" t="s">
        <v>1066</v>
      </c>
      <c r="D2922" s="14">
        <v>44133</v>
      </c>
      <c r="E2922" s="14">
        <v>44133</v>
      </c>
      <c r="F2922" s="14">
        <v>44137</v>
      </c>
      <c r="G2922" s="13" t="s">
        <v>3</v>
      </c>
      <c r="H2922" s="13" t="s">
        <v>4</v>
      </c>
      <c r="I2922" s="15">
        <v>-1079.8399999999999</v>
      </c>
      <c r="J2922" s="13" t="s">
        <v>5</v>
      </c>
      <c r="K2922" s="13" t="s">
        <v>6</v>
      </c>
      <c r="L2922" s="15">
        <v>-90652.57</v>
      </c>
      <c r="M2922" s="15">
        <v>-1079.8399999999999</v>
      </c>
      <c r="N2922" s="16" t="str">
        <f>IF(M2922="","",IF(M2922&lt;0,-M2922&amp;"_"&amp;COUNTIF(M$2:M2922,M2922),M2922&amp;"_"&amp;COUNTIF(M$2:M2922,M2922)))</f>
        <v>1079.84_2</v>
      </c>
      <c r="O2922" s="17" t="str">
        <f t="shared" si="45"/>
        <v/>
      </c>
      <c r="P2922" s="13" t="s">
        <v>1067</v>
      </c>
      <c r="Q2922" s="13" t="s">
        <v>1065</v>
      </c>
      <c r="R2922" s="13" t="s">
        <v>0</v>
      </c>
      <c r="S2922" s="13" t="s">
        <v>0</v>
      </c>
      <c r="T2922" s="13" t="s">
        <v>9</v>
      </c>
      <c r="U2922" s="13" t="s">
        <v>0</v>
      </c>
      <c r="V2922" s="13" t="s">
        <v>0</v>
      </c>
      <c r="W2922" s="13" t="s">
        <v>0</v>
      </c>
      <c r="X2922" s="13" t="s">
        <v>0</v>
      </c>
      <c r="Y2922" s="13" t="s">
        <v>10</v>
      </c>
      <c r="Z2922" s="13" t="s">
        <v>0</v>
      </c>
      <c r="AA2922" s="14"/>
      <c r="AB2922" s="13" t="s">
        <v>0</v>
      </c>
      <c r="AC2922" s="13" t="s">
        <v>0</v>
      </c>
      <c r="AD2922" s="13" t="s">
        <v>0</v>
      </c>
      <c r="AE2922" s="15">
        <v>0</v>
      </c>
    </row>
    <row r="2923" spans="1:31" ht="14.15" customHeight="1" x14ac:dyDescent="0.25">
      <c r="A2923" s="12" t="s">
        <v>0</v>
      </c>
      <c r="B2923" s="13" t="s">
        <v>1</v>
      </c>
      <c r="C2923" s="13" t="s">
        <v>321</v>
      </c>
      <c r="D2923" s="14">
        <v>44043</v>
      </c>
      <c r="E2923" s="14">
        <v>44043</v>
      </c>
      <c r="F2923" s="14">
        <v>44057</v>
      </c>
      <c r="G2923" s="13" t="s">
        <v>3</v>
      </c>
      <c r="H2923" s="13" t="s">
        <v>4</v>
      </c>
      <c r="I2923" s="15">
        <v>-1058.05</v>
      </c>
      <c r="J2923" s="13" t="s">
        <v>5</v>
      </c>
      <c r="K2923" s="13" t="s">
        <v>6</v>
      </c>
      <c r="L2923" s="15">
        <v>-88823.3</v>
      </c>
      <c r="M2923" s="15">
        <v>-1058.05</v>
      </c>
      <c r="N2923" s="16" t="str">
        <f>IF(M2923="","",IF(M2923&lt;0,-M2923&amp;"_"&amp;COUNTIF(M$2:M2923,M2923),M2923&amp;"_"&amp;COUNTIF(M$2:M2923,M2923)))</f>
        <v>1058.05_1</v>
      </c>
      <c r="O2923" s="17" t="str">
        <f t="shared" si="45"/>
        <v/>
      </c>
      <c r="P2923" s="13" t="s">
        <v>322</v>
      </c>
      <c r="Q2923" s="13" t="s">
        <v>316</v>
      </c>
      <c r="R2923" s="13" t="s">
        <v>0</v>
      </c>
      <c r="S2923" s="13" t="s">
        <v>0</v>
      </c>
      <c r="T2923" s="13" t="s">
        <v>9</v>
      </c>
      <c r="U2923" s="13" t="s">
        <v>0</v>
      </c>
      <c r="V2923" s="13" t="s">
        <v>0</v>
      </c>
      <c r="W2923" s="13" t="s">
        <v>0</v>
      </c>
      <c r="X2923" s="13" t="s">
        <v>0</v>
      </c>
      <c r="Y2923" s="13" t="s">
        <v>10</v>
      </c>
      <c r="Z2923" s="13" t="s">
        <v>0</v>
      </c>
      <c r="AA2923" s="14"/>
      <c r="AB2923" s="13" t="s">
        <v>0</v>
      </c>
      <c r="AC2923" s="13" t="s">
        <v>0</v>
      </c>
      <c r="AD2923" s="13" t="s">
        <v>0</v>
      </c>
      <c r="AE2923" s="15">
        <v>0</v>
      </c>
    </row>
    <row r="2924" spans="1:31" ht="14.15" customHeight="1" x14ac:dyDescent="0.25">
      <c r="A2924" s="12" t="s">
        <v>0</v>
      </c>
      <c r="B2924" s="13" t="s">
        <v>289</v>
      </c>
      <c r="C2924" s="13" t="s">
        <v>2717</v>
      </c>
      <c r="D2924" s="14">
        <v>44255</v>
      </c>
      <c r="E2924" s="14">
        <v>44255</v>
      </c>
      <c r="F2924" s="14">
        <v>44262</v>
      </c>
      <c r="G2924" s="13" t="s">
        <v>48</v>
      </c>
      <c r="H2924" s="13" t="s">
        <v>4</v>
      </c>
      <c r="I2924" s="15">
        <v>-1042.82</v>
      </c>
      <c r="J2924" s="13" t="s">
        <v>5</v>
      </c>
      <c r="K2924" s="13" t="s">
        <v>6</v>
      </c>
      <c r="L2924" s="15">
        <v>-87544.74</v>
      </c>
      <c r="M2924" s="15">
        <v>-1042.82</v>
      </c>
      <c r="N2924" s="16" t="str">
        <f>IF(M2924="","",IF(M2924&lt;0,-M2924&amp;"_"&amp;COUNTIF(M$2:M2924,M2924),M2924&amp;"_"&amp;COUNTIF(M$2:M2924,M2924)))</f>
        <v>1042.82_1</v>
      </c>
      <c r="O2924" s="17" t="str">
        <f t="shared" si="45"/>
        <v/>
      </c>
      <c r="P2924" s="13" t="s">
        <v>2718</v>
      </c>
      <c r="Q2924" s="13" t="s">
        <v>2719</v>
      </c>
      <c r="R2924" s="13" t="s">
        <v>1994</v>
      </c>
      <c r="S2924" s="13" t="s">
        <v>0</v>
      </c>
      <c r="T2924" s="13" t="s">
        <v>9</v>
      </c>
      <c r="U2924" s="13" t="s">
        <v>1995</v>
      </c>
      <c r="V2924" s="13" t="s">
        <v>0</v>
      </c>
      <c r="W2924" s="13" t="s">
        <v>0</v>
      </c>
      <c r="X2924" s="13" t="s">
        <v>0</v>
      </c>
      <c r="Y2924" s="13" t="s">
        <v>0</v>
      </c>
      <c r="Z2924" s="13" t="s">
        <v>0</v>
      </c>
      <c r="AA2924" s="14"/>
      <c r="AB2924" s="13" t="s">
        <v>0</v>
      </c>
      <c r="AC2924" s="13" t="s">
        <v>0</v>
      </c>
      <c r="AD2924" s="13" t="s">
        <v>0</v>
      </c>
      <c r="AE2924" s="15">
        <v>0</v>
      </c>
    </row>
    <row r="2925" spans="1:31" ht="14.15" customHeight="1" x14ac:dyDescent="0.25">
      <c r="A2925" s="12" t="s">
        <v>0</v>
      </c>
      <c r="B2925" s="13" t="s">
        <v>1</v>
      </c>
      <c r="C2925" s="13" t="s">
        <v>393</v>
      </c>
      <c r="D2925" s="14">
        <v>44060</v>
      </c>
      <c r="E2925" s="14">
        <v>44060</v>
      </c>
      <c r="F2925" s="14">
        <v>44068</v>
      </c>
      <c r="G2925" s="13" t="s">
        <v>3</v>
      </c>
      <c r="H2925" s="13" t="s">
        <v>4</v>
      </c>
      <c r="I2925" s="15">
        <v>-1040.68</v>
      </c>
      <c r="J2925" s="13" t="s">
        <v>394</v>
      </c>
      <c r="K2925" s="13" t="s">
        <v>6</v>
      </c>
      <c r="L2925" s="15">
        <v>-87365.08</v>
      </c>
      <c r="M2925" s="15">
        <v>-1040.68</v>
      </c>
      <c r="N2925" s="16" t="str">
        <f>IF(M2925="","",IF(M2925&lt;0,-M2925&amp;"_"&amp;COUNTIF(M$2:M2925,M2925),M2925&amp;"_"&amp;COUNTIF(M$2:M2925,M2925)))</f>
        <v>1040.68_1</v>
      </c>
      <c r="O2925" s="17" t="str">
        <f t="shared" si="45"/>
        <v/>
      </c>
      <c r="P2925" s="13" t="s">
        <v>395</v>
      </c>
      <c r="Q2925" s="13" t="s">
        <v>388</v>
      </c>
      <c r="R2925" s="13" t="s">
        <v>0</v>
      </c>
      <c r="S2925" s="13" t="s">
        <v>0</v>
      </c>
      <c r="T2925" s="13" t="s">
        <v>9</v>
      </c>
      <c r="U2925" s="13" t="s">
        <v>0</v>
      </c>
      <c r="V2925" s="13" t="s">
        <v>0</v>
      </c>
      <c r="W2925" s="13" t="s">
        <v>0</v>
      </c>
      <c r="X2925" s="13" t="s">
        <v>0</v>
      </c>
      <c r="Y2925" s="13" t="s">
        <v>10</v>
      </c>
      <c r="Z2925" s="13" t="s">
        <v>0</v>
      </c>
      <c r="AA2925" s="14"/>
      <c r="AB2925" s="13" t="s">
        <v>0</v>
      </c>
      <c r="AC2925" s="13" t="s">
        <v>0</v>
      </c>
      <c r="AD2925" s="13" t="s">
        <v>0</v>
      </c>
      <c r="AE2925" s="15">
        <v>0</v>
      </c>
    </row>
    <row r="2926" spans="1:31" ht="14.15" customHeight="1" x14ac:dyDescent="0.25">
      <c r="A2926" s="12" t="s">
        <v>0</v>
      </c>
      <c r="B2926" s="13" t="s">
        <v>289</v>
      </c>
      <c r="C2926" s="13" t="s">
        <v>292</v>
      </c>
      <c r="D2926" s="14">
        <v>44042</v>
      </c>
      <c r="E2926" s="14">
        <v>44042</v>
      </c>
      <c r="F2926" s="14">
        <v>44054</v>
      </c>
      <c r="G2926" s="13" t="s">
        <v>48</v>
      </c>
      <c r="H2926" s="13" t="s">
        <v>4</v>
      </c>
      <c r="I2926" s="15">
        <v>-1036.05</v>
      </c>
      <c r="J2926" s="13" t="s">
        <v>5</v>
      </c>
      <c r="K2926" s="13" t="s">
        <v>6</v>
      </c>
      <c r="L2926" s="15">
        <v>-86976.4</v>
      </c>
      <c r="M2926" s="15">
        <v>-1036.05</v>
      </c>
      <c r="N2926" s="16" t="str">
        <f>IF(M2926="","",IF(M2926&lt;0,-M2926&amp;"_"&amp;COUNTIF(M$2:M2926,M2926),M2926&amp;"_"&amp;COUNTIF(M$2:M2926,M2926)))</f>
        <v>1036.05_1</v>
      </c>
      <c r="O2926" s="17" t="str">
        <f t="shared" si="45"/>
        <v/>
      </c>
      <c r="P2926" s="13" t="s">
        <v>293</v>
      </c>
      <c r="Q2926" s="13" t="s">
        <v>293</v>
      </c>
      <c r="R2926" s="13" t="s">
        <v>294</v>
      </c>
      <c r="S2926" s="13" t="s">
        <v>0</v>
      </c>
      <c r="T2926" s="13" t="s">
        <v>9</v>
      </c>
      <c r="U2926" s="13" t="s">
        <v>295</v>
      </c>
      <c r="V2926" s="13" t="s">
        <v>0</v>
      </c>
      <c r="W2926" s="13" t="s">
        <v>0</v>
      </c>
      <c r="X2926" s="13" t="s">
        <v>0</v>
      </c>
      <c r="Y2926" s="13" t="s">
        <v>291</v>
      </c>
      <c r="Z2926" s="13" t="s">
        <v>0</v>
      </c>
      <c r="AA2926" s="14"/>
      <c r="AB2926" s="13" t="s">
        <v>0</v>
      </c>
      <c r="AC2926" s="13" t="s">
        <v>0</v>
      </c>
      <c r="AD2926" s="13" t="s">
        <v>0</v>
      </c>
      <c r="AE2926" s="15">
        <v>0</v>
      </c>
    </row>
    <row r="2927" spans="1:31" ht="14.15" customHeight="1" x14ac:dyDescent="0.25">
      <c r="A2927" s="12" t="s">
        <v>0</v>
      </c>
      <c r="B2927" s="13" t="s">
        <v>1</v>
      </c>
      <c r="C2927" s="13" t="s">
        <v>3051</v>
      </c>
      <c r="D2927" s="14">
        <v>44283</v>
      </c>
      <c r="E2927" s="14">
        <v>44283</v>
      </c>
      <c r="F2927" s="14">
        <v>44290</v>
      </c>
      <c r="G2927" s="13" t="s">
        <v>3</v>
      </c>
      <c r="H2927" s="13" t="s">
        <v>4</v>
      </c>
      <c r="I2927" s="15">
        <v>-1033.68</v>
      </c>
      <c r="J2927" s="13" t="s">
        <v>5</v>
      </c>
      <c r="K2927" s="13" t="s">
        <v>6</v>
      </c>
      <c r="L2927" s="15">
        <v>-86777.44</v>
      </c>
      <c r="M2927" s="15">
        <v>-1033.68</v>
      </c>
      <c r="N2927" s="16" t="str">
        <f>IF(M2927="","",IF(M2927&lt;0,-M2927&amp;"_"&amp;COUNTIF(M$2:M2927,M2927),M2927&amp;"_"&amp;COUNTIF(M$2:M2927,M2927)))</f>
        <v>1033.68_1</v>
      </c>
      <c r="O2927" s="17" t="str">
        <f t="shared" si="45"/>
        <v/>
      </c>
      <c r="P2927" s="13" t="s">
        <v>3052</v>
      </c>
      <c r="Q2927" s="13" t="s">
        <v>3048</v>
      </c>
      <c r="R2927" s="13" t="s">
        <v>0</v>
      </c>
      <c r="S2927" s="13" t="s">
        <v>0</v>
      </c>
      <c r="T2927" s="13" t="s">
        <v>9</v>
      </c>
      <c r="U2927" s="13" t="s">
        <v>0</v>
      </c>
      <c r="V2927" s="13" t="s">
        <v>0</v>
      </c>
      <c r="W2927" s="13" t="s">
        <v>0</v>
      </c>
      <c r="X2927" s="13" t="s">
        <v>0</v>
      </c>
      <c r="Y2927" s="13" t="s">
        <v>10</v>
      </c>
      <c r="Z2927" s="13" t="s">
        <v>0</v>
      </c>
      <c r="AA2927" s="14"/>
      <c r="AB2927" s="13" t="s">
        <v>0</v>
      </c>
      <c r="AC2927" s="13" t="s">
        <v>0</v>
      </c>
      <c r="AD2927" s="13" t="s">
        <v>0</v>
      </c>
      <c r="AE2927" s="15">
        <v>0</v>
      </c>
    </row>
    <row r="2928" spans="1:31" ht="14.15" customHeight="1" x14ac:dyDescent="0.25">
      <c r="A2928" s="12" t="s">
        <v>0</v>
      </c>
      <c r="B2928" s="13" t="s">
        <v>1</v>
      </c>
      <c r="C2928" s="13" t="s">
        <v>1651</v>
      </c>
      <c r="D2928" s="14">
        <v>44171</v>
      </c>
      <c r="E2928" s="14">
        <v>44171</v>
      </c>
      <c r="F2928" s="14">
        <v>44189</v>
      </c>
      <c r="G2928" s="13" t="s">
        <v>48</v>
      </c>
      <c r="H2928" s="13" t="s">
        <v>4</v>
      </c>
      <c r="I2928" s="15">
        <v>-1020.74</v>
      </c>
      <c r="J2928" s="13" t="s">
        <v>5</v>
      </c>
      <c r="K2928" s="13" t="s">
        <v>6</v>
      </c>
      <c r="L2928" s="15">
        <v>-85691.12</v>
      </c>
      <c r="M2928" s="15">
        <v>-1020.74</v>
      </c>
      <c r="N2928" s="16" t="str">
        <f>IF(M2928="","",IF(M2928&lt;0,-M2928&amp;"_"&amp;COUNTIF(M$2:M2928,M2928),M2928&amp;"_"&amp;COUNTIF(M$2:M2928,M2928)))</f>
        <v>1020.74_1</v>
      </c>
      <c r="O2928" s="17" t="str">
        <f t="shared" si="45"/>
        <v/>
      </c>
      <c r="P2928" s="13" t="s">
        <v>1652</v>
      </c>
      <c r="Q2928" s="13" t="s">
        <v>1652</v>
      </c>
      <c r="R2928" s="13" t="s">
        <v>50</v>
      </c>
      <c r="S2928" s="13" t="s">
        <v>0</v>
      </c>
      <c r="T2928" s="13" t="s">
        <v>9</v>
      </c>
      <c r="U2928" s="13" t="s">
        <v>50</v>
      </c>
      <c r="V2928" s="13" t="s">
        <v>0</v>
      </c>
      <c r="W2928" s="13" t="s">
        <v>0</v>
      </c>
      <c r="X2928" s="13" t="s">
        <v>0</v>
      </c>
      <c r="Y2928" s="13" t="s">
        <v>10</v>
      </c>
      <c r="Z2928" s="13" t="s">
        <v>0</v>
      </c>
      <c r="AA2928" s="14"/>
      <c r="AB2928" s="13" t="s">
        <v>0</v>
      </c>
      <c r="AC2928" s="13" t="s">
        <v>0</v>
      </c>
      <c r="AD2928" s="13" t="s">
        <v>0</v>
      </c>
      <c r="AE2928" s="15">
        <v>0</v>
      </c>
    </row>
    <row r="2929" spans="1:31" ht="14.15" customHeight="1" x14ac:dyDescent="0.25">
      <c r="A2929" s="12" t="s">
        <v>0</v>
      </c>
      <c r="B2929" s="13" t="s">
        <v>1</v>
      </c>
      <c r="C2929" s="13" t="s">
        <v>3066</v>
      </c>
      <c r="D2929" s="14">
        <v>44284</v>
      </c>
      <c r="E2929" s="14">
        <v>44284</v>
      </c>
      <c r="F2929" s="14">
        <v>44290</v>
      </c>
      <c r="G2929" s="13" t="s">
        <v>3</v>
      </c>
      <c r="H2929" s="13" t="s">
        <v>4</v>
      </c>
      <c r="I2929" s="15">
        <v>-1013.35</v>
      </c>
      <c r="J2929" s="13" t="s">
        <v>5</v>
      </c>
      <c r="K2929" s="13" t="s">
        <v>6</v>
      </c>
      <c r="L2929" s="15">
        <v>-85070.73</v>
      </c>
      <c r="M2929" s="15">
        <v>-1013.35</v>
      </c>
      <c r="N2929" s="16" t="str">
        <f>IF(M2929="","",IF(M2929&lt;0,-M2929&amp;"_"&amp;COUNTIF(M$2:M2929,M2929),M2929&amp;"_"&amp;COUNTIF(M$2:M2929,M2929)))</f>
        <v>1013.35_1</v>
      </c>
      <c r="O2929" s="17" t="str">
        <f t="shared" si="45"/>
        <v/>
      </c>
      <c r="P2929" s="13" t="s">
        <v>3067</v>
      </c>
      <c r="Q2929" s="13" t="s">
        <v>3061</v>
      </c>
      <c r="R2929" s="13" t="s">
        <v>0</v>
      </c>
      <c r="S2929" s="13" t="s">
        <v>0</v>
      </c>
      <c r="T2929" s="13" t="s">
        <v>9</v>
      </c>
      <c r="U2929" s="13" t="s">
        <v>0</v>
      </c>
      <c r="V2929" s="13" t="s">
        <v>0</v>
      </c>
      <c r="W2929" s="13" t="s">
        <v>0</v>
      </c>
      <c r="X2929" s="13" t="s">
        <v>0</v>
      </c>
      <c r="Y2929" s="13" t="s">
        <v>10</v>
      </c>
      <c r="Z2929" s="13" t="s">
        <v>0</v>
      </c>
      <c r="AA2929" s="14"/>
      <c r="AB2929" s="13" t="s">
        <v>0</v>
      </c>
      <c r="AC2929" s="13" t="s">
        <v>0</v>
      </c>
      <c r="AD2929" s="13" t="s">
        <v>0</v>
      </c>
      <c r="AE2929" s="15">
        <v>0</v>
      </c>
    </row>
    <row r="2930" spans="1:31" ht="14.15" customHeight="1" x14ac:dyDescent="0.25">
      <c r="A2930" s="12" t="s">
        <v>0</v>
      </c>
      <c r="B2930" s="13" t="s">
        <v>1</v>
      </c>
      <c r="C2930" s="13" t="s">
        <v>3150</v>
      </c>
      <c r="D2930" s="14">
        <v>44297</v>
      </c>
      <c r="E2930" s="14">
        <v>44297</v>
      </c>
      <c r="F2930" s="14">
        <v>44306</v>
      </c>
      <c r="G2930" s="13" t="s">
        <v>3</v>
      </c>
      <c r="H2930" s="13" t="s">
        <v>4</v>
      </c>
      <c r="I2930" s="15">
        <v>-1000.98</v>
      </c>
      <c r="J2930" s="13" t="s">
        <v>5</v>
      </c>
      <c r="K2930" s="13" t="s">
        <v>6</v>
      </c>
      <c r="L2930" s="15">
        <v>-84032.27</v>
      </c>
      <c r="M2930" s="15">
        <v>-1000.98</v>
      </c>
      <c r="N2930" s="16" t="str">
        <f>IF(M2930="","",IF(M2930&lt;0,-M2930&amp;"_"&amp;COUNTIF(M$2:M2930,M2930),M2930&amp;"_"&amp;COUNTIF(M$2:M2930,M2930)))</f>
        <v>1000.98_1</v>
      </c>
      <c r="O2930" s="17" t="str">
        <f t="shared" si="45"/>
        <v/>
      </c>
      <c r="P2930" s="13" t="s">
        <v>3151</v>
      </c>
      <c r="Q2930" s="13" t="s">
        <v>3152</v>
      </c>
      <c r="R2930" s="13" t="s">
        <v>0</v>
      </c>
      <c r="S2930" s="13" t="s">
        <v>0</v>
      </c>
      <c r="T2930" s="13" t="s">
        <v>9</v>
      </c>
      <c r="U2930" s="13" t="s">
        <v>0</v>
      </c>
      <c r="V2930" s="13" t="s">
        <v>0</v>
      </c>
      <c r="W2930" s="13" t="s">
        <v>0</v>
      </c>
      <c r="X2930" s="13" t="s">
        <v>0</v>
      </c>
      <c r="Y2930" s="13" t="s">
        <v>10</v>
      </c>
      <c r="Z2930" s="13" t="s">
        <v>0</v>
      </c>
      <c r="AA2930" s="14"/>
      <c r="AB2930" s="13" t="s">
        <v>0</v>
      </c>
      <c r="AC2930" s="13" t="s">
        <v>0</v>
      </c>
      <c r="AD2930" s="13" t="s">
        <v>0</v>
      </c>
      <c r="AE2930" s="15">
        <v>0</v>
      </c>
    </row>
    <row r="2931" spans="1:31" ht="14.15" customHeight="1" x14ac:dyDescent="0.25">
      <c r="A2931" s="12" t="s">
        <v>0</v>
      </c>
      <c r="B2931" s="13" t="s">
        <v>303</v>
      </c>
      <c r="C2931" s="13" t="s">
        <v>312</v>
      </c>
      <c r="D2931" s="14">
        <v>44042</v>
      </c>
      <c r="E2931" s="14">
        <v>44042</v>
      </c>
      <c r="F2931" s="14">
        <v>44056</v>
      </c>
      <c r="G2931" s="13" t="s">
        <v>48</v>
      </c>
      <c r="H2931" s="13" t="s">
        <v>4</v>
      </c>
      <c r="I2931" s="15">
        <v>-999.97</v>
      </c>
      <c r="J2931" s="13" t="s">
        <v>5</v>
      </c>
      <c r="K2931" s="13" t="s">
        <v>6</v>
      </c>
      <c r="L2931" s="15">
        <v>-83947.48</v>
      </c>
      <c r="M2931" s="15">
        <v>-999.97</v>
      </c>
      <c r="N2931" s="16" t="str">
        <f>IF(M2931="","",IF(M2931&lt;0,-M2931&amp;"_"&amp;COUNTIF(M$2:M2931,M2931),M2931&amp;"_"&amp;COUNTIF(M$2:M2931,M2931)))</f>
        <v>999.97_1</v>
      </c>
      <c r="O2931" s="17" t="str">
        <f t="shared" si="45"/>
        <v/>
      </c>
      <c r="P2931" s="13" t="s">
        <v>313</v>
      </c>
      <c r="Q2931" s="13" t="s">
        <v>313</v>
      </c>
      <c r="R2931" s="13" t="s">
        <v>306</v>
      </c>
      <c r="S2931" s="13" t="s">
        <v>0</v>
      </c>
      <c r="T2931" s="13" t="s">
        <v>9</v>
      </c>
      <c r="U2931" s="13" t="s">
        <v>307</v>
      </c>
      <c r="V2931" s="13" t="s">
        <v>0</v>
      </c>
      <c r="W2931" s="13" t="s">
        <v>0</v>
      </c>
      <c r="X2931" s="13" t="s">
        <v>0</v>
      </c>
      <c r="Y2931" s="13" t="s">
        <v>291</v>
      </c>
      <c r="Z2931" s="13" t="s">
        <v>0</v>
      </c>
      <c r="AA2931" s="14"/>
      <c r="AB2931" s="13" t="s">
        <v>0</v>
      </c>
      <c r="AC2931" s="13" t="s">
        <v>0</v>
      </c>
      <c r="AD2931" s="13" t="s">
        <v>0</v>
      </c>
      <c r="AE2931" s="15">
        <v>0</v>
      </c>
    </row>
    <row r="2932" spans="1:31" ht="14.15" customHeight="1" x14ac:dyDescent="0.25">
      <c r="A2932" s="12" t="s">
        <v>0</v>
      </c>
      <c r="B2932" s="13" t="s">
        <v>1</v>
      </c>
      <c r="C2932" s="13" t="s">
        <v>1858</v>
      </c>
      <c r="D2932" s="14">
        <v>44186</v>
      </c>
      <c r="E2932" s="14">
        <v>44186</v>
      </c>
      <c r="F2932" s="14">
        <v>44192</v>
      </c>
      <c r="G2932" s="13" t="s">
        <v>3</v>
      </c>
      <c r="H2932" s="13" t="s">
        <v>4</v>
      </c>
      <c r="I2932" s="15">
        <v>-999.76</v>
      </c>
      <c r="J2932" s="13" t="s">
        <v>5</v>
      </c>
      <c r="K2932" s="13" t="s">
        <v>6</v>
      </c>
      <c r="L2932" s="15">
        <v>-83929.85</v>
      </c>
      <c r="M2932" s="15">
        <v>-999.76</v>
      </c>
      <c r="N2932" s="16" t="str">
        <f>IF(M2932="","",IF(M2932&lt;0,-M2932&amp;"_"&amp;COUNTIF(M$2:M2932,M2932),M2932&amp;"_"&amp;COUNTIF(M$2:M2932,M2932)))</f>
        <v>999.76_1</v>
      </c>
      <c r="O2932" s="17" t="str">
        <f t="shared" si="45"/>
        <v/>
      </c>
      <c r="P2932" s="13" t="s">
        <v>1859</v>
      </c>
      <c r="Q2932" s="13" t="s">
        <v>1855</v>
      </c>
      <c r="R2932" s="13" t="s">
        <v>0</v>
      </c>
      <c r="S2932" s="13" t="s">
        <v>0</v>
      </c>
      <c r="T2932" s="13" t="s">
        <v>9</v>
      </c>
      <c r="U2932" s="13" t="s">
        <v>0</v>
      </c>
      <c r="V2932" s="13" t="s">
        <v>0</v>
      </c>
      <c r="W2932" s="13" t="s">
        <v>0</v>
      </c>
      <c r="X2932" s="13" t="s">
        <v>0</v>
      </c>
      <c r="Y2932" s="13" t="s">
        <v>10</v>
      </c>
      <c r="Z2932" s="13" t="s">
        <v>0</v>
      </c>
      <c r="AA2932" s="14"/>
      <c r="AB2932" s="13" t="s">
        <v>0</v>
      </c>
      <c r="AC2932" s="13" t="s">
        <v>0</v>
      </c>
      <c r="AD2932" s="13" t="s">
        <v>0</v>
      </c>
      <c r="AE2932" s="15">
        <v>0</v>
      </c>
    </row>
    <row r="2933" spans="1:31" ht="14.15" customHeight="1" x14ac:dyDescent="0.25">
      <c r="A2933" s="12" t="s">
        <v>0</v>
      </c>
      <c r="B2933" s="13" t="s">
        <v>303</v>
      </c>
      <c r="C2933" s="13" t="s">
        <v>304</v>
      </c>
      <c r="D2933" s="14">
        <v>44042</v>
      </c>
      <c r="E2933" s="14">
        <v>44042</v>
      </c>
      <c r="F2933" s="14">
        <v>44056</v>
      </c>
      <c r="G2933" s="13" t="s">
        <v>48</v>
      </c>
      <c r="H2933" s="13" t="s">
        <v>4</v>
      </c>
      <c r="I2933" s="15">
        <v>-998.8</v>
      </c>
      <c r="J2933" s="13" t="s">
        <v>5</v>
      </c>
      <c r="K2933" s="13" t="s">
        <v>6</v>
      </c>
      <c r="L2933" s="15">
        <v>-83849.259999999995</v>
      </c>
      <c r="M2933" s="15">
        <v>-998.8</v>
      </c>
      <c r="N2933" s="16" t="str">
        <f>IF(M2933="","",IF(M2933&lt;0,-M2933&amp;"_"&amp;COUNTIF(M$2:M2933,M2933),M2933&amp;"_"&amp;COUNTIF(M$2:M2933,M2933)))</f>
        <v>998.8_1</v>
      </c>
      <c r="O2933" s="17" t="str">
        <f t="shared" si="45"/>
        <v/>
      </c>
      <c r="P2933" s="13" t="s">
        <v>305</v>
      </c>
      <c r="Q2933" s="13" t="s">
        <v>305</v>
      </c>
      <c r="R2933" s="13" t="s">
        <v>306</v>
      </c>
      <c r="S2933" s="13" t="s">
        <v>0</v>
      </c>
      <c r="T2933" s="13" t="s">
        <v>9</v>
      </c>
      <c r="U2933" s="13" t="s">
        <v>307</v>
      </c>
      <c r="V2933" s="13" t="s">
        <v>0</v>
      </c>
      <c r="W2933" s="13" t="s">
        <v>0</v>
      </c>
      <c r="X2933" s="13" t="s">
        <v>0</v>
      </c>
      <c r="Y2933" s="13" t="s">
        <v>291</v>
      </c>
      <c r="Z2933" s="13" t="s">
        <v>0</v>
      </c>
      <c r="AA2933" s="14"/>
      <c r="AB2933" s="13" t="s">
        <v>0</v>
      </c>
      <c r="AC2933" s="13" t="s">
        <v>0</v>
      </c>
      <c r="AD2933" s="13" t="s">
        <v>0</v>
      </c>
      <c r="AE2933" s="15">
        <v>0</v>
      </c>
    </row>
    <row r="2934" spans="1:31" ht="14.15" customHeight="1" x14ac:dyDescent="0.25">
      <c r="A2934" s="12" t="s">
        <v>0</v>
      </c>
      <c r="B2934" s="13" t="s">
        <v>1</v>
      </c>
      <c r="C2934" s="13" t="s">
        <v>3792</v>
      </c>
      <c r="D2934" s="14">
        <v>44344</v>
      </c>
      <c r="E2934" s="14">
        <v>44344</v>
      </c>
      <c r="F2934" s="14">
        <v>44348</v>
      </c>
      <c r="G2934" s="13" t="s">
        <v>3</v>
      </c>
      <c r="H2934" s="13" t="s">
        <v>4</v>
      </c>
      <c r="I2934" s="15">
        <v>-997.32</v>
      </c>
      <c r="J2934" s="13" t="s">
        <v>5</v>
      </c>
      <c r="K2934" s="13" t="s">
        <v>6</v>
      </c>
      <c r="L2934" s="15">
        <v>-83725.009999999995</v>
      </c>
      <c r="M2934" s="15">
        <v>-997.32</v>
      </c>
      <c r="N2934" s="16" t="str">
        <f>IF(M2934="","",IF(M2934&lt;0,-M2934&amp;"_"&amp;COUNTIF(M$2:M2934,M2934),M2934&amp;"_"&amp;COUNTIF(M$2:M2934,M2934)))</f>
        <v>997.32_1</v>
      </c>
      <c r="O2934" s="17" t="str">
        <f t="shared" si="45"/>
        <v/>
      </c>
      <c r="P2934" s="13" t="s">
        <v>3793</v>
      </c>
      <c r="Q2934" s="13" t="s">
        <v>3778</v>
      </c>
      <c r="R2934" s="13" t="s">
        <v>0</v>
      </c>
      <c r="S2934" s="13" t="s">
        <v>0</v>
      </c>
      <c r="T2934" s="13" t="s">
        <v>9</v>
      </c>
      <c r="U2934" s="13" t="s">
        <v>0</v>
      </c>
      <c r="V2934" s="13" t="s">
        <v>0</v>
      </c>
      <c r="W2934" s="13" t="s">
        <v>0</v>
      </c>
      <c r="X2934" s="13" t="s">
        <v>0</v>
      </c>
      <c r="Y2934" s="13" t="s">
        <v>10</v>
      </c>
      <c r="Z2934" s="13" t="s">
        <v>0</v>
      </c>
      <c r="AA2934" s="14"/>
      <c r="AB2934" s="13" t="s">
        <v>0</v>
      </c>
      <c r="AC2934" s="13" t="s">
        <v>0</v>
      </c>
      <c r="AD2934" s="13" t="s">
        <v>0</v>
      </c>
      <c r="AE2934" s="15">
        <v>0</v>
      </c>
    </row>
    <row r="2935" spans="1:31" ht="14.15" customHeight="1" x14ac:dyDescent="0.25">
      <c r="A2935" s="12" t="s">
        <v>0</v>
      </c>
      <c r="B2935" s="13" t="s">
        <v>1</v>
      </c>
      <c r="C2935" s="13" t="s">
        <v>3884</v>
      </c>
      <c r="D2935" s="14">
        <v>44353</v>
      </c>
      <c r="E2935" s="14">
        <v>44353</v>
      </c>
      <c r="F2935" s="14">
        <v>44356</v>
      </c>
      <c r="G2935" s="13" t="s">
        <v>3</v>
      </c>
      <c r="H2935" s="13" t="s">
        <v>4</v>
      </c>
      <c r="I2935" s="15">
        <v>-975.46</v>
      </c>
      <c r="J2935" s="13" t="s">
        <v>394</v>
      </c>
      <c r="K2935" s="13" t="s">
        <v>6</v>
      </c>
      <c r="L2935" s="15">
        <v>-81889.86</v>
      </c>
      <c r="M2935" s="15">
        <v>-975.46</v>
      </c>
      <c r="N2935" s="16" t="str">
        <f>IF(M2935="","",IF(M2935&lt;0,-M2935&amp;"_"&amp;COUNTIF(M$2:M2935,M2935),M2935&amp;"_"&amp;COUNTIF(M$2:M2935,M2935)))</f>
        <v>975.46_1</v>
      </c>
      <c r="O2935" s="17" t="str">
        <f t="shared" si="45"/>
        <v/>
      </c>
      <c r="P2935" s="13" t="s">
        <v>3885</v>
      </c>
      <c r="Q2935" s="13" t="s">
        <v>3886</v>
      </c>
      <c r="R2935" s="13" t="s">
        <v>0</v>
      </c>
      <c r="S2935" s="13" t="s">
        <v>0</v>
      </c>
      <c r="T2935" s="13" t="s">
        <v>9</v>
      </c>
      <c r="U2935" s="13" t="s">
        <v>0</v>
      </c>
      <c r="V2935" s="13" t="s">
        <v>0</v>
      </c>
      <c r="W2935" s="13" t="s">
        <v>0</v>
      </c>
      <c r="X2935" s="13" t="s">
        <v>0</v>
      </c>
      <c r="Y2935" s="13" t="s">
        <v>10</v>
      </c>
      <c r="Z2935" s="13" t="s">
        <v>0</v>
      </c>
      <c r="AA2935" s="14"/>
      <c r="AB2935" s="13" t="s">
        <v>0</v>
      </c>
      <c r="AC2935" s="13" t="s">
        <v>0</v>
      </c>
      <c r="AD2935" s="13" t="s">
        <v>0</v>
      </c>
      <c r="AE2935" s="15">
        <v>0</v>
      </c>
    </row>
    <row r="2936" spans="1:31" ht="14.15" customHeight="1" x14ac:dyDescent="0.25">
      <c r="A2936" s="12" t="s">
        <v>0</v>
      </c>
      <c r="B2936" s="13" t="s">
        <v>1</v>
      </c>
      <c r="C2936" s="13" t="s">
        <v>3884</v>
      </c>
      <c r="D2936" s="14">
        <v>44353</v>
      </c>
      <c r="E2936" s="14">
        <v>44353</v>
      </c>
      <c r="F2936" s="14">
        <v>44356</v>
      </c>
      <c r="G2936" s="13" t="s">
        <v>3</v>
      </c>
      <c r="H2936" s="13" t="s">
        <v>4</v>
      </c>
      <c r="I2936" s="15">
        <v>-975.46</v>
      </c>
      <c r="J2936" s="13" t="s">
        <v>5</v>
      </c>
      <c r="K2936" s="13" t="s">
        <v>6</v>
      </c>
      <c r="L2936" s="15">
        <v>-81889.87</v>
      </c>
      <c r="M2936" s="15">
        <v>-975.46</v>
      </c>
      <c r="N2936" s="16" t="str">
        <f>IF(M2936="","",IF(M2936&lt;0,-M2936&amp;"_"&amp;COUNTIF(M$2:M2936,M2936),M2936&amp;"_"&amp;COUNTIF(M$2:M2936,M2936)))</f>
        <v>975.46_2</v>
      </c>
      <c r="O2936" s="17" t="str">
        <f t="shared" si="45"/>
        <v/>
      </c>
      <c r="P2936" s="13" t="s">
        <v>3885</v>
      </c>
      <c r="Q2936" s="13" t="s">
        <v>3886</v>
      </c>
      <c r="R2936" s="13" t="s">
        <v>0</v>
      </c>
      <c r="S2936" s="13" t="s">
        <v>0</v>
      </c>
      <c r="T2936" s="13" t="s">
        <v>9</v>
      </c>
      <c r="U2936" s="13" t="s">
        <v>0</v>
      </c>
      <c r="V2936" s="13" t="s">
        <v>0</v>
      </c>
      <c r="W2936" s="13" t="s">
        <v>0</v>
      </c>
      <c r="X2936" s="13" t="s">
        <v>0</v>
      </c>
      <c r="Y2936" s="13" t="s">
        <v>10</v>
      </c>
      <c r="Z2936" s="13" t="s">
        <v>0</v>
      </c>
      <c r="AA2936" s="14"/>
      <c r="AB2936" s="13" t="s">
        <v>0</v>
      </c>
      <c r="AC2936" s="13" t="s">
        <v>0</v>
      </c>
      <c r="AD2936" s="13" t="s">
        <v>0</v>
      </c>
      <c r="AE2936" s="15">
        <v>0</v>
      </c>
    </row>
    <row r="2937" spans="1:31" ht="14.15" customHeight="1" x14ac:dyDescent="0.25">
      <c r="A2937" s="12" t="s">
        <v>0</v>
      </c>
      <c r="B2937" s="13" t="s">
        <v>1</v>
      </c>
      <c r="C2937" s="13" t="s">
        <v>3884</v>
      </c>
      <c r="D2937" s="14">
        <v>44353</v>
      </c>
      <c r="E2937" s="14">
        <v>44353</v>
      </c>
      <c r="F2937" s="14">
        <v>44356</v>
      </c>
      <c r="G2937" s="13" t="s">
        <v>3</v>
      </c>
      <c r="H2937" s="13" t="s">
        <v>4</v>
      </c>
      <c r="I2937" s="15">
        <v>-975.46</v>
      </c>
      <c r="J2937" s="13" t="s">
        <v>5</v>
      </c>
      <c r="K2937" s="13" t="s">
        <v>6</v>
      </c>
      <c r="L2937" s="15">
        <v>-81889.87</v>
      </c>
      <c r="M2937" s="15">
        <v>-975.46</v>
      </c>
      <c r="N2937" s="16" t="str">
        <f>IF(M2937="","",IF(M2937&lt;0,-M2937&amp;"_"&amp;COUNTIF(M$2:M2937,M2937),M2937&amp;"_"&amp;COUNTIF(M$2:M2937,M2937)))</f>
        <v>975.46_3</v>
      </c>
      <c r="O2937" s="17" t="str">
        <f t="shared" si="45"/>
        <v/>
      </c>
      <c r="P2937" s="13" t="s">
        <v>3885</v>
      </c>
      <c r="Q2937" s="13" t="s">
        <v>3886</v>
      </c>
      <c r="R2937" s="13" t="s">
        <v>0</v>
      </c>
      <c r="S2937" s="13" t="s">
        <v>0</v>
      </c>
      <c r="T2937" s="13" t="s">
        <v>9</v>
      </c>
      <c r="U2937" s="13" t="s">
        <v>0</v>
      </c>
      <c r="V2937" s="13" t="s">
        <v>0</v>
      </c>
      <c r="W2937" s="13" t="s">
        <v>0</v>
      </c>
      <c r="X2937" s="13" t="s">
        <v>0</v>
      </c>
      <c r="Y2937" s="13" t="s">
        <v>10</v>
      </c>
      <c r="Z2937" s="13" t="s">
        <v>0</v>
      </c>
      <c r="AA2937" s="14"/>
      <c r="AB2937" s="13" t="s">
        <v>0</v>
      </c>
      <c r="AC2937" s="13" t="s">
        <v>0</v>
      </c>
      <c r="AD2937" s="13" t="s">
        <v>0</v>
      </c>
      <c r="AE2937" s="15">
        <v>0</v>
      </c>
    </row>
    <row r="2938" spans="1:31" ht="14.15" customHeight="1" x14ac:dyDescent="0.25">
      <c r="A2938" s="12" t="s">
        <v>0</v>
      </c>
      <c r="B2938" s="13" t="s">
        <v>1</v>
      </c>
      <c r="C2938" s="13" t="s">
        <v>1429</v>
      </c>
      <c r="D2938" s="14">
        <v>44156</v>
      </c>
      <c r="E2938" s="14">
        <v>44156</v>
      </c>
      <c r="F2938" s="14">
        <v>44163</v>
      </c>
      <c r="G2938" s="13" t="s">
        <v>3</v>
      </c>
      <c r="H2938" s="13" t="s">
        <v>4</v>
      </c>
      <c r="I2938" s="15">
        <v>-947.43</v>
      </c>
      <c r="J2938" s="13" t="s">
        <v>5</v>
      </c>
      <c r="K2938" s="13" t="s">
        <v>6</v>
      </c>
      <c r="L2938" s="15">
        <v>-79536.75</v>
      </c>
      <c r="M2938" s="15">
        <v>-947.43</v>
      </c>
      <c r="N2938" s="16" t="str">
        <f>IF(M2938="","",IF(M2938&lt;0,-M2938&amp;"_"&amp;COUNTIF(M$2:M2938,M2938),M2938&amp;"_"&amp;COUNTIF(M$2:M2938,M2938)))</f>
        <v>947.43_1</v>
      </c>
      <c r="O2938" s="17" t="str">
        <f t="shared" si="45"/>
        <v/>
      </c>
      <c r="P2938" s="13" t="s">
        <v>1430</v>
      </c>
      <c r="Q2938" s="13" t="s">
        <v>1426</v>
      </c>
      <c r="R2938" s="13" t="s">
        <v>0</v>
      </c>
      <c r="S2938" s="13" t="s">
        <v>0</v>
      </c>
      <c r="T2938" s="13" t="s">
        <v>9</v>
      </c>
      <c r="U2938" s="13" t="s">
        <v>0</v>
      </c>
      <c r="V2938" s="13" t="s">
        <v>0</v>
      </c>
      <c r="W2938" s="13" t="s">
        <v>0</v>
      </c>
      <c r="X2938" s="13" t="s">
        <v>0</v>
      </c>
      <c r="Y2938" s="13" t="s">
        <v>10</v>
      </c>
      <c r="Z2938" s="13" t="s">
        <v>0</v>
      </c>
      <c r="AA2938" s="14"/>
      <c r="AB2938" s="13" t="s">
        <v>0</v>
      </c>
      <c r="AC2938" s="13" t="s">
        <v>0</v>
      </c>
      <c r="AD2938" s="13" t="s">
        <v>0</v>
      </c>
      <c r="AE2938" s="15">
        <v>0</v>
      </c>
    </row>
    <row r="2939" spans="1:31" ht="14.15" customHeight="1" x14ac:dyDescent="0.25">
      <c r="A2939" s="12" t="s">
        <v>0</v>
      </c>
      <c r="B2939" s="13" t="s">
        <v>1</v>
      </c>
      <c r="C2939" s="13" t="s">
        <v>3027</v>
      </c>
      <c r="D2939" s="14">
        <v>44281</v>
      </c>
      <c r="E2939" s="14">
        <v>44281</v>
      </c>
      <c r="F2939" s="14">
        <v>44290</v>
      </c>
      <c r="G2939" s="13" t="s">
        <v>3</v>
      </c>
      <c r="H2939" s="13" t="s">
        <v>4</v>
      </c>
      <c r="I2939" s="15">
        <v>-936.65</v>
      </c>
      <c r="J2939" s="13" t="s">
        <v>5</v>
      </c>
      <c r="K2939" s="13" t="s">
        <v>6</v>
      </c>
      <c r="L2939" s="15">
        <v>-78631.77</v>
      </c>
      <c r="M2939" s="15">
        <v>-936.65</v>
      </c>
      <c r="N2939" s="16" t="str">
        <f>IF(M2939="","",IF(M2939&lt;0,-M2939&amp;"_"&amp;COUNTIF(M$2:M2939,M2939),M2939&amp;"_"&amp;COUNTIF(M$2:M2939,M2939)))</f>
        <v>936.65_1</v>
      </c>
      <c r="O2939" s="17" t="str">
        <f t="shared" si="45"/>
        <v/>
      </c>
      <c r="P2939" s="13" t="s">
        <v>3028</v>
      </c>
      <c r="Q2939" s="13" t="s">
        <v>3014</v>
      </c>
      <c r="R2939" s="13" t="s">
        <v>0</v>
      </c>
      <c r="S2939" s="13" t="s">
        <v>0</v>
      </c>
      <c r="T2939" s="13" t="s">
        <v>9</v>
      </c>
      <c r="U2939" s="13" t="s">
        <v>0</v>
      </c>
      <c r="V2939" s="13" t="s">
        <v>0</v>
      </c>
      <c r="W2939" s="13" t="s">
        <v>0</v>
      </c>
      <c r="X2939" s="13" t="s">
        <v>0</v>
      </c>
      <c r="Y2939" s="13" t="s">
        <v>10</v>
      </c>
      <c r="Z2939" s="13" t="s">
        <v>0</v>
      </c>
      <c r="AA2939" s="14"/>
      <c r="AB2939" s="13" t="s">
        <v>0</v>
      </c>
      <c r="AC2939" s="13" t="s">
        <v>0</v>
      </c>
      <c r="AD2939" s="13" t="s">
        <v>0</v>
      </c>
      <c r="AE2939" s="15">
        <v>0</v>
      </c>
    </row>
    <row r="2940" spans="1:31" ht="14.15" customHeight="1" x14ac:dyDescent="0.25">
      <c r="A2940" s="12" t="s">
        <v>0</v>
      </c>
      <c r="B2940" s="13" t="s">
        <v>1</v>
      </c>
      <c r="C2940" s="13" t="s">
        <v>1860</v>
      </c>
      <c r="D2940" s="14">
        <v>44187</v>
      </c>
      <c r="E2940" s="14">
        <v>44187</v>
      </c>
      <c r="F2940" s="14">
        <v>44192</v>
      </c>
      <c r="G2940" s="13" t="s">
        <v>3</v>
      </c>
      <c r="H2940" s="13" t="s">
        <v>4</v>
      </c>
      <c r="I2940" s="15">
        <v>-929.98</v>
      </c>
      <c r="J2940" s="13" t="s">
        <v>5</v>
      </c>
      <c r="K2940" s="13" t="s">
        <v>6</v>
      </c>
      <c r="L2940" s="15">
        <v>-78071.820000000007</v>
      </c>
      <c r="M2940" s="15">
        <v>-929.98</v>
      </c>
      <c r="N2940" s="16" t="str">
        <f>IF(M2940="","",IF(M2940&lt;0,-M2940&amp;"_"&amp;COUNTIF(M$2:M2940,M2940),M2940&amp;"_"&amp;COUNTIF(M$2:M2940,M2940)))</f>
        <v>929.98_1</v>
      </c>
      <c r="O2940" s="17" t="str">
        <f t="shared" si="45"/>
        <v/>
      </c>
      <c r="P2940" s="13" t="s">
        <v>1861</v>
      </c>
      <c r="Q2940" s="13" t="s">
        <v>1862</v>
      </c>
      <c r="R2940" s="13" t="s">
        <v>0</v>
      </c>
      <c r="S2940" s="13" t="s">
        <v>0</v>
      </c>
      <c r="T2940" s="13" t="s">
        <v>9</v>
      </c>
      <c r="U2940" s="13" t="s">
        <v>0</v>
      </c>
      <c r="V2940" s="13" t="s">
        <v>0</v>
      </c>
      <c r="W2940" s="13" t="s">
        <v>0</v>
      </c>
      <c r="X2940" s="13" t="s">
        <v>0</v>
      </c>
      <c r="Y2940" s="13" t="s">
        <v>10</v>
      </c>
      <c r="Z2940" s="13" t="s">
        <v>0</v>
      </c>
      <c r="AA2940" s="14"/>
      <c r="AB2940" s="13" t="s">
        <v>0</v>
      </c>
      <c r="AC2940" s="13" t="s">
        <v>0</v>
      </c>
      <c r="AD2940" s="13" t="s">
        <v>0</v>
      </c>
      <c r="AE2940" s="15">
        <v>0</v>
      </c>
    </row>
    <row r="2941" spans="1:31" ht="14.15" customHeight="1" x14ac:dyDescent="0.25">
      <c r="A2941" s="12" t="s">
        <v>0</v>
      </c>
      <c r="B2941" s="13" t="s">
        <v>1</v>
      </c>
      <c r="C2941" s="13" t="s">
        <v>1858</v>
      </c>
      <c r="D2941" s="14">
        <v>44186</v>
      </c>
      <c r="E2941" s="14">
        <v>44186</v>
      </c>
      <c r="F2941" s="14">
        <v>44192</v>
      </c>
      <c r="G2941" s="13" t="s">
        <v>3</v>
      </c>
      <c r="H2941" s="13" t="s">
        <v>4</v>
      </c>
      <c r="I2941" s="15">
        <v>-927.78</v>
      </c>
      <c r="J2941" s="13" t="s">
        <v>5</v>
      </c>
      <c r="K2941" s="13" t="s">
        <v>6</v>
      </c>
      <c r="L2941" s="15">
        <v>-77887.13</v>
      </c>
      <c r="M2941" s="15">
        <v>-927.78</v>
      </c>
      <c r="N2941" s="16" t="str">
        <f>IF(M2941="","",IF(M2941&lt;0,-M2941&amp;"_"&amp;COUNTIF(M$2:M2941,M2941),M2941&amp;"_"&amp;COUNTIF(M$2:M2941,M2941)))</f>
        <v>927.78_1</v>
      </c>
      <c r="O2941" s="17" t="str">
        <f t="shared" si="45"/>
        <v/>
      </c>
      <c r="P2941" s="13" t="s">
        <v>1859</v>
      </c>
      <c r="Q2941" s="13" t="s">
        <v>1855</v>
      </c>
      <c r="R2941" s="13" t="s">
        <v>0</v>
      </c>
      <c r="S2941" s="13" t="s">
        <v>0</v>
      </c>
      <c r="T2941" s="13" t="s">
        <v>9</v>
      </c>
      <c r="U2941" s="13" t="s">
        <v>0</v>
      </c>
      <c r="V2941" s="13" t="s">
        <v>0</v>
      </c>
      <c r="W2941" s="13" t="s">
        <v>0</v>
      </c>
      <c r="X2941" s="13" t="s">
        <v>0</v>
      </c>
      <c r="Y2941" s="13" t="s">
        <v>10</v>
      </c>
      <c r="Z2941" s="13" t="s">
        <v>0</v>
      </c>
      <c r="AA2941" s="14"/>
      <c r="AB2941" s="13" t="s">
        <v>0</v>
      </c>
      <c r="AC2941" s="13" t="s">
        <v>0</v>
      </c>
      <c r="AD2941" s="13" t="s">
        <v>0</v>
      </c>
      <c r="AE2941" s="15">
        <v>0</v>
      </c>
    </row>
    <row r="2942" spans="1:31" ht="14.15" customHeight="1" x14ac:dyDescent="0.25">
      <c r="A2942" s="12" t="s">
        <v>0</v>
      </c>
      <c r="B2942" s="13" t="s">
        <v>1</v>
      </c>
      <c r="C2942" s="13" t="s">
        <v>1374</v>
      </c>
      <c r="D2942" s="14">
        <v>44152</v>
      </c>
      <c r="E2942" s="14">
        <v>44152</v>
      </c>
      <c r="F2942" s="14">
        <v>44156</v>
      </c>
      <c r="G2942" s="13" t="s">
        <v>3</v>
      </c>
      <c r="H2942" s="13" t="s">
        <v>4</v>
      </c>
      <c r="I2942" s="15">
        <v>-927.26</v>
      </c>
      <c r="J2942" s="13" t="s">
        <v>5</v>
      </c>
      <c r="K2942" s="13" t="s">
        <v>6</v>
      </c>
      <c r="L2942" s="15">
        <v>-77843.48</v>
      </c>
      <c r="M2942" s="15">
        <v>-927.26</v>
      </c>
      <c r="N2942" s="16" t="str">
        <f>IF(M2942="","",IF(M2942&lt;0,-M2942&amp;"_"&amp;COUNTIF(M$2:M2942,M2942),M2942&amp;"_"&amp;COUNTIF(M$2:M2942,M2942)))</f>
        <v>927.26_1</v>
      </c>
      <c r="O2942" s="17" t="str">
        <f t="shared" si="45"/>
        <v/>
      </c>
      <c r="P2942" s="13" t="s">
        <v>1375</v>
      </c>
      <c r="Q2942" s="13" t="s">
        <v>1376</v>
      </c>
      <c r="R2942" s="13" t="s">
        <v>0</v>
      </c>
      <c r="S2942" s="13" t="s">
        <v>0</v>
      </c>
      <c r="T2942" s="13" t="s">
        <v>9</v>
      </c>
      <c r="U2942" s="13" t="s">
        <v>0</v>
      </c>
      <c r="V2942" s="13" t="s">
        <v>0</v>
      </c>
      <c r="W2942" s="13" t="s">
        <v>0</v>
      </c>
      <c r="X2942" s="13" t="s">
        <v>0</v>
      </c>
      <c r="Y2942" s="13" t="s">
        <v>10</v>
      </c>
      <c r="Z2942" s="13" t="s">
        <v>0</v>
      </c>
      <c r="AA2942" s="14"/>
      <c r="AB2942" s="13" t="s">
        <v>0</v>
      </c>
      <c r="AC2942" s="13" t="s">
        <v>0</v>
      </c>
      <c r="AD2942" s="13" t="s">
        <v>0</v>
      </c>
      <c r="AE2942" s="15">
        <v>0</v>
      </c>
    </row>
    <row r="2943" spans="1:31" ht="14.15" customHeight="1" x14ac:dyDescent="0.25">
      <c r="A2943" s="12" t="s">
        <v>0</v>
      </c>
      <c r="B2943" s="13" t="s">
        <v>1</v>
      </c>
      <c r="C2943" s="13" t="s">
        <v>3049</v>
      </c>
      <c r="D2943" s="14">
        <v>44283</v>
      </c>
      <c r="E2943" s="14">
        <v>44283</v>
      </c>
      <c r="F2943" s="14">
        <v>44290</v>
      </c>
      <c r="G2943" s="13" t="s">
        <v>3</v>
      </c>
      <c r="H2943" s="13" t="s">
        <v>4</v>
      </c>
      <c r="I2943" s="15">
        <v>-918.83</v>
      </c>
      <c r="J2943" s="13" t="s">
        <v>5</v>
      </c>
      <c r="K2943" s="13" t="s">
        <v>6</v>
      </c>
      <c r="L2943" s="15">
        <v>-77135.78</v>
      </c>
      <c r="M2943" s="15">
        <v>-918.83</v>
      </c>
      <c r="N2943" s="16" t="str">
        <f>IF(M2943="","",IF(M2943&lt;0,-M2943&amp;"_"&amp;COUNTIF(M$2:M2943,M2943),M2943&amp;"_"&amp;COUNTIF(M$2:M2943,M2943)))</f>
        <v>918.83_1</v>
      </c>
      <c r="O2943" s="17" t="str">
        <f t="shared" si="45"/>
        <v/>
      </c>
      <c r="P2943" s="13" t="s">
        <v>3050</v>
      </c>
      <c r="Q2943" s="13" t="s">
        <v>3048</v>
      </c>
      <c r="R2943" s="13" t="s">
        <v>0</v>
      </c>
      <c r="S2943" s="13" t="s">
        <v>0</v>
      </c>
      <c r="T2943" s="13" t="s">
        <v>9</v>
      </c>
      <c r="U2943" s="13" t="s">
        <v>0</v>
      </c>
      <c r="V2943" s="13" t="s">
        <v>0</v>
      </c>
      <c r="W2943" s="13" t="s">
        <v>0</v>
      </c>
      <c r="X2943" s="13" t="s">
        <v>0</v>
      </c>
      <c r="Y2943" s="13" t="s">
        <v>10</v>
      </c>
      <c r="Z2943" s="13" t="s">
        <v>0</v>
      </c>
      <c r="AA2943" s="14"/>
      <c r="AB2943" s="13" t="s">
        <v>0</v>
      </c>
      <c r="AC2943" s="13" t="s">
        <v>0</v>
      </c>
      <c r="AD2943" s="13" t="s">
        <v>0</v>
      </c>
      <c r="AE2943" s="15">
        <v>0</v>
      </c>
    </row>
    <row r="2944" spans="1:31" ht="14.15" customHeight="1" x14ac:dyDescent="0.25">
      <c r="A2944" s="12" t="s">
        <v>0</v>
      </c>
      <c r="B2944" s="13" t="s">
        <v>1</v>
      </c>
      <c r="C2944" s="13" t="s">
        <v>3029</v>
      </c>
      <c r="D2944" s="14">
        <v>44281</v>
      </c>
      <c r="E2944" s="14">
        <v>44281</v>
      </c>
      <c r="F2944" s="14">
        <v>44290</v>
      </c>
      <c r="G2944" s="13" t="s">
        <v>3</v>
      </c>
      <c r="H2944" s="13" t="s">
        <v>4</v>
      </c>
      <c r="I2944" s="15">
        <v>-914.89</v>
      </c>
      <c r="J2944" s="13" t="s">
        <v>5</v>
      </c>
      <c r="K2944" s="13" t="s">
        <v>6</v>
      </c>
      <c r="L2944" s="15">
        <v>-76805.02</v>
      </c>
      <c r="M2944" s="15">
        <v>-914.89</v>
      </c>
      <c r="N2944" s="16" t="str">
        <f>IF(M2944="","",IF(M2944&lt;0,-M2944&amp;"_"&amp;COUNTIF(M$2:M2944,M2944),M2944&amp;"_"&amp;COUNTIF(M$2:M2944,M2944)))</f>
        <v>914.89_1</v>
      </c>
      <c r="O2944" s="17" t="str">
        <f t="shared" si="45"/>
        <v/>
      </c>
      <c r="P2944" s="13" t="s">
        <v>3030</v>
      </c>
      <c r="Q2944" s="13" t="s">
        <v>3014</v>
      </c>
      <c r="R2944" s="13" t="s">
        <v>0</v>
      </c>
      <c r="S2944" s="13" t="s">
        <v>0</v>
      </c>
      <c r="T2944" s="13" t="s">
        <v>9</v>
      </c>
      <c r="U2944" s="13" t="s">
        <v>0</v>
      </c>
      <c r="V2944" s="13" t="s">
        <v>0</v>
      </c>
      <c r="W2944" s="13" t="s">
        <v>0</v>
      </c>
      <c r="X2944" s="13" t="s">
        <v>0</v>
      </c>
      <c r="Y2944" s="13" t="s">
        <v>10</v>
      </c>
      <c r="Z2944" s="13" t="s">
        <v>0</v>
      </c>
      <c r="AA2944" s="14"/>
      <c r="AB2944" s="13" t="s">
        <v>0</v>
      </c>
      <c r="AC2944" s="13" t="s">
        <v>0</v>
      </c>
      <c r="AD2944" s="13" t="s">
        <v>0</v>
      </c>
      <c r="AE2944" s="15">
        <v>0</v>
      </c>
    </row>
    <row r="2945" spans="1:31" ht="14.15" customHeight="1" x14ac:dyDescent="0.25">
      <c r="A2945" s="12" t="s">
        <v>0</v>
      </c>
      <c r="B2945" s="13" t="s">
        <v>1</v>
      </c>
      <c r="C2945" s="13" t="s">
        <v>2301</v>
      </c>
      <c r="D2945" s="14">
        <v>44219</v>
      </c>
      <c r="E2945" s="14">
        <v>44219</v>
      </c>
      <c r="F2945" s="14">
        <v>44226</v>
      </c>
      <c r="G2945" s="13" t="s">
        <v>3</v>
      </c>
      <c r="H2945" s="13" t="s">
        <v>4</v>
      </c>
      <c r="I2945" s="15">
        <v>-910.24</v>
      </c>
      <c r="J2945" s="13" t="s">
        <v>5</v>
      </c>
      <c r="K2945" s="13" t="s">
        <v>6</v>
      </c>
      <c r="L2945" s="15">
        <v>-76414.649999999994</v>
      </c>
      <c r="M2945" s="15">
        <v>-910.24</v>
      </c>
      <c r="N2945" s="16" t="str">
        <f>IF(M2945="","",IF(M2945&lt;0,-M2945&amp;"_"&amp;COUNTIF(M$2:M2945,M2945),M2945&amp;"_"&amp;COUNTIF(M$2:M2945,M2945)))</f>
        <v>910.24_1</v>
      </c>
      <c r="O2945" s="17" t="str">
        <f t="shared" si="45"/>
        <v/>
      </c>
      <c r="P2945" s="13" t="s">
        <v>2302</v>
      </c>
      <c r="Q2945" s="13" t="s">
        <v>2282</v>
      </c>
      <c r="R2945" s="13" t="s">
        <v>0</v>
      </c>
      <c r="S2945" s="13" t="s">
        <v>0</v>
      </c>
      <c r="T2945" s="13" t="s">
        <v>9</v>
      </c>
      <c r="U2945" s="13" t="s">
        <v>0</v>
      </c>
      <c r="V2945" s="13" t="s">
        <v>0</v>
      </c>
      <c r="W2945" s="13" t="s">
        <v>0</v>
      </c>
      <c r="X2945" s="13" t="s">
        <v>0</v>
      </c>
      <c r="Y2945" s="13" t="s">
        <v>10</v>
      </c>
      <c r="Z2945" s="13" t="s">
        <v>0</v>
      </c>
      <c r="AA2945" s="14"/>
      <c r="AB2945" s="13" t="s">
        <v>0</v>
      </c>
      <c r="AC2945" s="13" t="s">
        <v>0</v>
      </c>
      <c r="AD2945" s="13" t="s">
        <v>0</v>
      </c>
      <c r="AE2945" s="15">
        <v>0</v>
      </c>
    </row>
    <row r="2946" spans="1:31" ht="14.15" customHeight="1" x14ac:dyDescent="0.25">
      <c r="A2946" s="12" t="s">
        <v>0</v>
      </c>
      <c r="B2946" s="13" t="s">
        <v>1</v>
      </c>
      <c r="C2946" s="13" t="s">
        <v>2391</v>
      </c>
      <c r="D2946" s="14">
        <v>44227</v>
      </c>
      <c r="E2946" s="14">
        <v>44227</v>
      </c>
      <c r="F2946" s="14">
        <v>44231</v>
      </c>
      <c r="G2946" s="13" t="s">
        <v>3</v>
      </c>
      <c r="H2946" s="13" t="s">
        <v>4</v>
      </c>
      <c r="I2946" s="15">
        <v>-903.13</v>
      </c>
      <c r="J2946" s="13" t="s">
        <v>5</v>
      </c>
      <c r="K2946" s="13" t="s">
        <v>6</v>
      </c>
      <c r="L2946" s="15">
        <v>-75817.759999999995</v>
      </c>
      <c r="M2946" s="15">
        <v>-903.13</v>
      </c>
      <c r="N2946" s="16" t="str">
        <f>IF(M2946="","",IF(M2946&lt;0,-M2946&amp;"_"&amp;COUNTIF(M$2:M2946,M2946),M2946&amp;"_"&amp;COUNTIF(M$2:M2946,M2946)))</f>
        <v>903.13_1</v>
      </c>
      <c r="O2946" s="17" t="str">
        <f t="shared" ref="O2946:O3009" si="46">IF(COUNTIF(N:N,N2946)=2,"x","")</f>
        <v/>
      </c>
      <c r="P2946" s="13" t="s">
        <v>2392</v>
      </c>
      <c r="Q2946" s="13" t="s">
        <v>2378</v>
      </c>
      <c r="R2946" s="13" t="s">
        <v>0</v>
      </c>
      <c r="S2946" s="13" t="s">
        <v>0</v>
      </c>
      <c r="T2946" s="13" t="s">
        <v>9</v>
      </c>
      <c r="U2946" s="13" t="s">
        <v>0</v>
      </c>
      <c r="V2946" s="13" t="s">
        <v>0</v>
      </c>
      <c r="W2946" s="13" t="s">
        <v>0</v>
      </c>
      <c r="X2946" s="13" t="s">
        <v>0</v>
      </c>
      <c r="Y2946" s="13" t="s">
        <v>10</v>
      </c>
      <c r="Z2946" s="13" t="s">
        <v>0</v>
      </c>
      <c r="AA2946" s="14"/>
      <c r="AB2946" s="13" t="s">
        <v>0</v>
      </c>
      <c r="AC2946" s="13" t="s">
        <v>0</v>
      </c>
      <c r="AD2946" s="13" t="s">
        <v>0</v>
      </c>
      <c r="AE2946" s="15">
        <v>0</v>
      </c>
    </row>
    <row r="2947" spans="1:31" ht="14.15" customHeight="1" x14ac:dyDescent="0.25">
      <c r="A2947" s="12" t="s">
        <v>0</v>
      </c>
      <c r="B2947" s="13" t="s">
        <v>1</v>
      </c>
      <c r="C2947" s="13" t="s">
        <v>1662</v>
      </c>
      <c r="D2947" s="14">
        <v>44171</v>
      </c>
      <c r="E2947" s="14">
        <v>44171</v>
      </c>
      <c r="F2947" s="14">
        <v>44175</v>
      </c>
      <c r="G2947" s="13" t="s">
        <v>3</v>
      </c>
      <c r="H2947" s="13" t="s">
        <v>4</v>
      </c>
      <c r="I2947" s="15">
        <v>-899.14</v>
      </c>
      <c r="J2947" s="13" t="s">
        <v>5</v>
      </c>
      <c r="K2947" s="13" t="s">
        <v>6</v>
      </c>
      <c r="L2947" s="15">
        <v>-75482.8</v>
      </c>
      <c r="M2947" s="15">
        <v>-899.14</v>
      </c>
      <c r="N2947" s="16" t="str">
        <f>IF(M2947="","",IF(M2947&lt;0,-M2947&amp;"_"&amp;COUNTIF(M$2:M2947,M2947),M2947&amp;"_"&amp;COUNTIF(M$2:M2947,M2947)))</f>
        <v>899.14_1</v>
      </c>
      <c r="O2947" s="17" t="str">
        <f t="shared" si="46"/>
        <v/>
      </c>
      <c r="P2947" s="13" t="s">
        <v>1663</v>
      </c>
      <c r="Q2947" s="13" t="s">
        <v>1659</v>
      </c>
      <c r="R2947" s="13" t="s">
        <v>0</v>
      </c>
      <c r="S2947" s="13" t="s">
        <v>0</v>
      </c>
      <c r="T2947" s="13" t="s">
        <v>9</v>
      </c>
      <c r="U2947" s="13" t="s">
        <v>0</v>
      </c>
      <c r="V2947" s="13" t="s">
        <v>0</v>
      </c>
      <c r="W2947" s="13" t="s">
        <v>0</v>
      </c>
      <c r="X2947" s="13" t="s">
        <v>0</v>
      </c>
      <c r="Y2947" s="13" t="s">
        <v>10</v>
      </c>
      <c r="Z2947" s="13" t="s">
        <v>0</v>
      </c>
      <c r="AA2947" s="14"/>
      <c r="AB2947" s="13" t="s">
        <v>0</v>
      </c>
      <c r="AC2947" s="13" t="s">
        <v>0</v>
      </c>
      <c r="AD2947" s="13" t="s">
        <v>0</v>
      </c>
      <c r="AE2947" s="15">
        <v>0</v>
      </c>
    </row>
    <row r="2948" spans="1:31" ht="14.15" customHeight="1" x14ac:dyDescent="0.25">
      <c r="A2948" s="12" t="s">
        <v>0</v>
      </c>
      <c r="B2948" s="13" t="s">
        <v>1</v>
      </c>
      <c r="C2948" s="13" t="s">
        <v>393</v>
      </c>
      <c r="D2948" s="14">
        <v>44060</v>
      </c>
      <c r="E2948" s="14">
        <v>44060</v>
      </c>
      <c r="F2948" s="14">
        <v>44068</v>
      </c>
      <c r="G2948" s="13" t="s">
        <v>3</v>
      </c>
      <c r="H2948" s="13" t="s">
        <v>4</v>
      </c>
      <c r="I2948" s="15">
        <v>-892.02</v>
      </c>
      <c r="J2948" s="13" t="s">
        <v>5</v>
      </c>
      <c r="K2948" s="13" t="s">
        <v>6</v>
      </c>
      <c r="L2948" s="15">
        <v>-74885.08</v>
      </c>
      <c r="M2948" s="15">
        <v>-892.02</v>
      </c>
      <c r="N2948" s="16" t="str">
        <f>IF(M2948="","",IF(M2948&lt;0,-M2948&amp;"_"&amp;COUNTIF(M$2:M2948,M2948),M2948&amp;"_"&amp;COUNTIF(M$2:M2948,M2948)))</f>
        <v>892.02_1</v>
      </c>
      <c r="O2948" s="17" t="str">
        <f t="shared" si="46"/>
        <v/>
      </c>
      <c r="P2948" s="13" t="s">
        <v>395</v>
      </c>
      <c r="Q2948" s="13" t="s">
        <v>388</v>
      </c>
      <c r="R2948" s="13" t="s">
        <v>0</v>
      </c>
      <c r="S2948" s="13" t="s">
        <v>0</v>
      </c>
      <c r="T2948" s="13" t="s">
        <v>9</v>
      </c>
      <c r="U2948" s="13" t="s">
        <v>0</v>
      </c>
      <c r="V2948" s="13" t="s">
        <v>0</v>
      </c>
      <c r="W2948" s="13" t="s">
        <v>0</v>
      </c>
      <c r="X2948" s="13" t="s">
        <v>0</v>
      </c>
      <c r="Y2948" s="13" t="s">
        <v>10</v>
      </c>
      <c r="Z2948" s="13" t="s">
        <v>0</v>
      </c>
      <c r="AA2948" s="14"/>
      <c r="AB2948" s="13" t="s">
        <v>0</v>
      </c>
      <c r="AC2948" s="13" t="s">
        <v>0</v>
      </c>
      <c r="AD2948" s="13" t="s">
        <v>0</v>
      </c>
      <c r="AE2948" s="15">
        <v>0</v>
      </c>
    </row>
    <row r="2949" spans="1:31" ht="14.15" customHeight="1" x14ac:dyDescent="0.25">
      <c r="A2949" s="12" t="s">
        <v>0</v>
      </c>
      <c r="B2949" s="13" t="s">
        <v>1</v>
      </c>
      <c r="C2949" s="13" t="s">
        <v>399</v>
      </c>
      <c r="D2949" s="14">
        <v>44061</v>
      </c>
      <c r="E2949" s="14">
        <v>44061</v>
      </c>
      <c r="F2949" s="14">
        <v>44068</v>
      </c>
      <c r="G2949" s="13" t="s">
        <v>3</v>
      </c>
      <c r="H2949" s="13" t="s">
        <v>4</v>
      </c>
      <c r="I2949" s="15">
        <v>-892.02</v>
      </c>
      <c r="J2949" s="13" t="s">
        <v>5</v>
      </c>
      <c r="K2949" s="13" t="s">
        <v>6</v>
      </c>
      <c r="L2949" s="15">
        <v>-74885.08</v>
      </c>
      <c r="M2949" s="15">
        <v>-892.02</v>
      </c>
      <c r="N2949" s="16" t="str">
        <f>IF(M2949="","",IF(M2949&lt;0,-M2949&amp;"_"&amp;COUNTIF(M$2:M2949,M2949),M2949&amp;"_"&amp;COUNTIF(M$2:M2949,M2949)))</f>
        <v>892.02_2</v>
      </c>
      <c r="O2949" s="17" t="str">
        <f t="shared" si="46"/>
        <v/>
      </c>
      <c r="P2949" s="13" t="s">
        <v>400</v>
      </c>
      <c r="Q2949" s="13" t="s">
        <v>398</v>
      </c>
      <c r="R2949" s="13" t="s">
        <v>0</v>
      </c>
      <c r="S2949" s="13" t="s">
        <v>0</v>
      </c>
      <c r="T2949" s="13" t="s">
        <v>9</v>
      </c>
      <c r="U2949" s="13" t="s">
        <v>0</v>
      </c>
      <c r="V2949" s="13" t="s">
        <v>0</v>
      </c>
      <c r="W2949" s="13" t="s">
        <v>0</v>
      </c>
      <c r="X2949" s="13" t="s">
        <v>0</v>
      </c>
      <c r="Y2949" s="13" t="s">
        <v>10</v>
      </c>
      <c r="Z2949" s="13" t="s">
        <v>0</v>
      </c>
      <c r="AA2949" s="14"/>
      <c r="AB2949" s="13" t="s">
        <v>0</v>
      </c>
      <c r="AC2949" s="13" t="s">
        <v>0</v>
      </c>
      <c r="AD2949" s="13" t="s">
        <v>0</v>
      </c>
      <c r="AE2949" s="15">
        <v>0</v>
      </c>
    </row>
    <row r="2950" spans="1:31" ht="14.15" customHeight="1" x14ac:dyDescent="0.25">
      <c r="A2950" s="12" t="s">
        <v>0</v>
      </c>
      <c r="B2950" s="13" t="s">
        <v>1</v>
      </c>
      <c r="C2950" s="13" t="s">
        <v>2742</v>
      </c>
      <c r="D2950" s="14">
        <v>44259</v>
      </c>
      <c r="E2950" s="14">
        <v>44259</v>
      </c>
      <c r="F2950" s="14">
        <v>44268</v>
      </c>
      <c r="G2950" s="13" t="s">
        <v>3</v>
      </c>
      <c r="H2950" s="13" t="s">
        <v>4</v>
      </c>
      <c r="I2950" s="15">
        <v>-883.86</v>
      </c>
      <c r="J2950" s="13" t="s">
        <v>394</v>
      </c>
      <c r="K2950" s="13" t="s">
        <v>6</v>
      </c>
      <c r="L2950" s="15">
        <v>-74200.039999999994</v>
      </c>
      <c r="M2950" s="15">
        <v>-883.86</v>
      </c>
      <c r="N2950" s="16" t="str">
        <f>IF(M2950="","",IF(M2950&lt;0,-M2950&amp;"_"&amp;COUNTIF(M$2:M2950,M2950),M2950&amp;"_"&amp;COUNTIF(M$2:M2950,M2950)))</f>
        <v>883.86_1</v>
      </c>
      <c r="O2950" s="17" t="str">
        <f t="shared" si="46"/>
        <v/>
      </c>
      <c r="P2950" s="13" t="s">
        <v>2743</v>
      </c>
      <c r="Q2950" s="13" t="s">
        <v>2741</v>
      </c>
      <c r="R2950" s="13" t="s">
        <v>0</v>
      </c>
      <c r="S2950" s="13" t="s">
        <v>0</v>
      </c>
      <c r="T2950" s="13" t="s">
        <v>9</v>
      </c>
      <c r="U2950" s="13" t="s">
        <v>0</v>
      </c>
      <c r="V2950" s="13" t="s">
        <v>0</v>
      </c>
      <c r="W2950" s="13" t="s">
        <v>0</v>
      </c>
      <c r="X2950" s="13" t="s">
        <v>0</v>
      </c>
      <c r="Y2950" s="13" t="s">
        <v>10</v>
      </c>
      <c r="Z2950" s="13" t="s">
        <v>0</v>
      </c>
      <c r="AA2950" s="14"/>
      <c r="AB2950" s="13" t="s">
        <v>0</v>
      </c>
      <c r="AC2950" s="13" t="s">
        <v>0</v>
      </c>
      <c r="AD2950" s="13" t="s">
        <v>0</v>
      </c>
      <c r="AE2950" s="15">
        <v>0</v>
      </c>
    </row>
    <row r="2951" spans="1:31" ht="14.15" customHeight="1" x14ac:dyDescent="0.25">
      <c r="A2951" s="12" t="s">
        <v>0</v>
      </c>
      <c r="B2951" s="13" t="s">
        <v>1</v>
      </c>
      <c r="C2951" s="13" t="s">
        <v>1149</v>
      </c>
      <c r="D2951" s="14">
        <v>44140</v>
      </c>
      <c r="E2951" s="14">
        <v>44140</v>
      </c>
      <c r="F2951" s="14">
        <v>44163</v>
      </c>
      <c r="G2951" s="13" t="s">
        <v>48</v>
      </c>
      <c r="H2951" s="13" t="s">
        <v>4</v>
      </c>
      <c r="I2951" s="15">
        <v>-870</v>
      </c>
      <c r="J2951" s="13" t="s">
        <v>5</v>
      </c>
      <c r="K2951" s="13" t="s">
        <v>6</v>
      </c>
      <c r="L2951" s="15">
        <v>-73036.5</v>
      </c>
      <c r="M2951" s="15">
        <v>-870</v>
      </c>
      <c r="N2951" s="16" t="str">
        <f>IF(M2951="","",IF(M2951&lt;0,-M2951&amp;"_"&amp;COUNTIF(M$2:M2951,M2951),M2951&amp;"_"&amp;COUNTIF(M$2:M2951,M2951)))</f>
        <v>870_1</v>
      </c>
      <c r="O2951" s="17" t="str">
        <f t="shared" si="46"/>
        <v/>
      </c>
      <c r="P2951" s="13" t="s">
        <v>1150</v>
      </c>
      <c r="Q2951" s="13" t="s">
        <v>1150</v>
      </c>
      <c r="R2951" s="13" t="s">
        <v>50</v>
      </c>
      <c r="S2951" s="13" t="s">
        <v>0</v>
      </c>
      <c r="T2951" s="13" t="s">
        <v>9</v>
      </c>
      <c r="U2951" s="13" t="s">
        <v>50</v>
      </c>
      <c r="V2951" s="13" t="s">
        <v>0</v>
      </c>
      <c r="W2951" s="13" t="s">
        <v>0</v>
      </c>
      <c r="X2951" s="13" t="s">
        <v>0</v>
      </c>
      <c r="Y2951" s="13" t="s">
        <v>10</v>
      </c>
      <c r="Z2951" s="13" t="s">
        <v>0</v>
      </c>
      <c r="AA2951" s="14"/>
      <c r="AB2951" s="13" t="s">
        <v>0</v>
      </c>
      <c r="AC2951" s="13" t="s">
        <v>0</v>
      </c>
      <c r="AD2951" s="13" t="s">
        <v>0</v>
      </c>
      <c r="AE2951" s="15">
        <v>0</v>
      </c>
    </row>
    <row r="2952" spans="1:31" ht="14.15" customHeight="1" x14ac:dyDescent="0.25">
      <c r="A2952" s="12" t="s">
        <v>0</v>
      </c>
      <c r="B2952" s="13" t="s">
        <v>1</v>
      </c>
      <c r="C2952" s="13" t="s">
        <v>1780</v>
      </c>
      <c r="D2952" s="14">
        <v>44182</v>
      </c>
      <c r="E2952" s="14">
        <v>44182</v>
      </c>
      <c r="F2952" s="14">
        <v>44196</v>
      </c>
      <c r="G2952" s="13" t="s">
        <v>3</v>
      </c>
      <c r="H2952" s="13" t="s">
        <v>4</v>
      </c>
      <c r="I2952" s="15">
        <v>-865.47</v>
      </c>
      <c r="J2952" s="13" t="s">
        <v>5</v>
      </c>
      <c r="K2952" s="13" t="s">
        <v>6</v>
      </c>
      <c r="L2952" s="15">
        <v>-72656.210000000006</v>
      </c>
      <c r="M2952" s="15">
        <v>-865.47</v>
      </c>
      <c r="N2952" s="16" t="str">
        <f>IF(M2952="","",IF(M2952&lt;0,-M2952&amp;"_"&amp;COUNTIF(M$2:M2952,M2952),M2952&amp;"_"&amp;COUNTIF(M$2:M2952,M2952)))</f>
        <v>865.47_1</v>
      </c>
      <c r="O2952" s="17" t="str">
        <f t="shared" si="46"/>
        <v/>
      </c>
      <c r="P2952" s="13" t="s">
        <v>1781</v>
      </c>
      <c r="Q2952" s="13" t="s">
        <v>1777</v>
      </c>
      <c r="R2952" s="13" t="s">
        <v>0</v>
      </c>
      <c r="S2952" s="13" t="s">
        <v>0</v>
      </c>
      <c r="T2952" s="13" t="s">
        <v>9</v>
      </c>
      <c r="U2952" s="13" t="s">
        <v>0</v>
      </c>
      <c r="V2952" s="13" t="s">
        <v>0</v>
      </c>
      <c r="W2952" s="13" t="s">
        <v>0</v>
      </c>
      <c r="X2952" s="13" t="s">
        <v>0</v>
      </c>
      <c r="Y2952" s="13" t="s">
        <v>10</v>
      </c>
      <c r="Z2952" s="13" t="s">
        <v>0</v>
      </c>
      <c r="AA2952" s="14"/>
      <c r="AB2952" s="13" t="s">
        <v>0</v>
      </c>
      <c r="AC2952" s="13" t="s">
        <v>0</v>
      </c>
      <c r="AD2952" s="13" t="s">
        <v>0</v>
      </c>
      <c r="AE2952" s="15">
        <v>0</v>
      </c>
    </row>
    <row r="2953" spans="1:31" ht="14.15" customHeight="1" x14ac:dyDescent="0.25">
      <c r="A2953" s="12" t="s">
        <v>0</v>
      </c>
      <c r="B2953" s="13" t="s">
        <v>289</v>
      </c>
      <c r="C2953" s="13" t="s">
        <v>3356</v>
      </c>
      <c r="D2953" s="14">
        <v>44316</v>
      </c>
      <c r="E2953" s="14">
        <v>44316</v>
      </c>
      <c r="F2953" s="14">
        <v>44322</v>
      </c>
      <c r="G2953" s="13" t="s">
        <v>48</v>
      </c>
      <c r="H2953" s="13" t="s">
        <v>4</v>
      </c>
      <c r="I2953" s="15">
        <v>-853.82</v>
      </c>
      <c r="J2953" s="13" t="s">
        <v>5</v>
      </c>
      <c r="K2953" s="13" t="s">
        <v>6</v>
      </c>
      <c r="L2953" s="15">
        <v>-71678.19</v>
      </c>
      <c r="M2953" s="15">
        <v>-853.82</v>
      </c>
      <c r="N2953" s="16" t="str">
        <f>IF(M2953="","",IF(M2953&lt;0,-M2953&amp;"_"&amp;COUNTIF(M$2:M2953,M2953),M2953&amp;"_"&amp;COUNTIF(M$2:M2953,M2953)))</f>
        <v>853.82_1</v>
      </c>
      <c r="O2953" s="17" t="str">
        <f t="shared" si="46"/>
        <v/>
      </c>
      <c r="P2953" s="13" t="s">
        <v>3357</v>
      </c>
      <c r="Q2953" s="13" t="s">
        <v>3358</v>
      </c>
      <c r="R2953" s="13" t="s">
        <v>1994</v>
      </c>
      <c r="S2953" s="13" t="s">
        <v>0</v>
      </c>
      <c r="T2953" s="13" t="s">
        <v>9</v>
      </c>
      <c r="U2953" s="13" t="s">
        <v>1995</v>
      </c>
      <c r="V2953" s="13" t="s">
        <v>0</v>
      </c>
      <c r="W2953" s="13" t="s">
        <v>0</v>
      </c>
      <c r="X2953" s="13" t="s">
        <v>0</v>
      </c>
      <c r="Y2953" s="13" t="s">
        <v>0</v>
      </c>
      <c r="Z2953" s="13" t="s">
        <v>0</v>
      </c>
      <c r="AA2953" s="14"/>
      <c r="AB2953" s="13" t="s">
        <v>0</v>
      </c>
      <c r="AC2953" s="13" t="s">
        <v>0</v>
      </c>
      <c r="AD2953" s="13" t="s">
        <v>0</v>
      </c>
      <c r="AE2953" s="15">
        <v>0</v>
      </c>
    </row>
    <row r="2954" spans="1:31" ht="14.15" customHeight="1" x14ac:dyDescent="0.25">
      <c r="A2954" s="12" t="s">
        <v>0</v>
      </c>
      <c r="B2954" s="13" t="s">
        <v>1</v>
      </c>
      <c r="C2954" s="13" t="s">
        <v>2465</v>
      </c>
      <c r="D2954" s="14">
        <v>44234</v>
      </c>
      <c r="E2954" s="14">
        <v>44234</v>
      </c>
      <c r="F2954" s="14">
        <v>44241</v>
      </c>
      <c r="G2954" s="13" t="s">
        <v>3</v>
      </c>
      <c r="H2954" s="13" t="s">
        <v>4</v>
      </c>
      <c r="I2954" s="15">
        <v>-851.65</v>
      </c>
      <c r="J2954" s="13" t="s">
        <v>394</v>
      </c>
      <c r="K2954" s="13" t="s">
        <v>6</v>
      </c>
      <c r="L2954" s="15">
        <v>-71496.009999999995</v>
      </c>
      <c r="M2954" s="15">
        <v>-851.65</v>
      </c>
      <c r="N2954" s="16" t="str">
        <f>IF(M2954="","",IF(M2954&lt;0,-M2954&amp;"_"&amp;COUNTIF(M$2:M2954,M2954),M2954&amp;"_"&amp;COUNTIF(M$2:M2954,M2954)))</f>
        <v>851.65_1</v>
      </c>
      <c r="O2954" s="17" t="str">
        <f t="shared" si="46"/>
        <v/>
      </c>
      <c r="P2954" s="13" t="s">
        <v>2466</v>
      </c>
      <c r="Q2954" s="13" t="s">
        <v>2462</v>
      </c>
      <c r="R2954" s="13" t="s">
        <v>0</v>
      </c>
      <c r="S2954" s="13" t="s">
        <v>0</v>
      </c>
      <c r="T2954" s="13" t="s">
        <v>9</v>
      </c>
      <c r="U2954" s="13" t="s">
        <v>0</v>
      </c>
      <c r="V2954" s="13" t="s">
        <v>0</v>
      </c>
      <c r="W2954" s="13" t="s">
        <v>0</v>
      </c>
      <c r="X2954" s="13" t="s">
        <v>0</v>
      </c>
      <c r="Y2954" s="13" t="s">
        <v>10</v>
      </c>
      <c r="Z2954" s="13" t="s">
        <v>0</v>
      </c>
      <c r="AA2954" s="14"/>
      <c r="AB2954" s="13" t="s">
        <v>0</v>
      </c>
      <c r="AC2954" s="13" t="s">
        <v>0</v>
      </c>
      <c r="AD2954" s="13" t="s">
        <v>0</v>
      </c>
      <c r="AE2954" s="15">
        <v>0</v>
      </c>
    </row>
    <row r="2955" spans="1:31" ht="14.15" customHeight="1" x14ac:dyDescent="0.25">
      <c r="A2955" s="12" t="s">
        <v>0</v>
      </c>
      <c r="B2955" s="13" t="s">
        <v>1</v>
      </c>
      <c r="C2955" s="13" t="s">
        <v>3579</v>
      </c>
      <c r="D2955" s="14">
        <v>44325</v>
      </c>
      <c r="E2955" s="14">
        <v>44325</v>
      </c>
      <c r="F2955" s="14">
        <v>44340</v>
      </c>
      <c r="G2955" s="13" t="s">
        <v>3</v>
      </c>
      <c r="H2955" s="13" t="s">
        <v>4</v>
      </c>
      <c r="I2955" s="15">
        <v>-844.71</v>
      </c>
      <c r="J2955" s="13" t="s">
        <v>394</v>
      </c>
      <c r="K2955" s="13" t="s">
        <v>6</v>
      </c>
      <c r="L2955" s="15">
        <v>-70913.399999999994</v>
      </c>
      <c r="M2955" s="15">
        <v>-844.71</v>
      </c>
      <c r="N2955" s="16" t="str">
        <f>IF(M2955="","",IF(M2955&lt;0,-M2955&amp;"_"&amp;COUNTIF(M$2:M2955,M2955),M2955&amp;"_"&amp;COUNTIF(M$2:M2955,M2955)))</f>
        <v>844.71_1</v>
      </c>
      <c r="O2955" s="17" t="str">
        <f t="shared" si="46"/>
        <v/>
      </c>
      <c r="P2955" s="13" t="s">
        <v>3556</v>
      </c>
      <c r="Q2955" s="13" t="s">
        <v>3557</v>
      </c>
      <c r="R2955" s="13" t="s">
        <v>0</v>
      </c>
      <c r="S2955" s="13" t="s">
        <v>0</v>
      </c>
      <c r="T2955" s="13" t="s">
        <v>9</v>
      </c>
      <c r="U2955" s="13" t="s">
        <v>0</v>
      </c>
      <c r="V2955" s="13" t="s">
        <v>0</v>
      </c>
      <c r="W2955" s="13" t="s">
        <v>0</v>
      </c>
      <c r="X2955" s="13" t="s">
        <v>0</v>
      </c>
      <c r="Y2955" s="13" t="s">
        <v>10</v>
      </c>
      <c r="Z2955" s="13" t="s">
        <v>0</v>
      </c>
      <c r="AA2955" s="14"/>
      <c r="AB2955" s="13" t="s">
        <v>0</v>
      </c>
      <c r="AC2955" s="13" t="s">
        <v>0</v>
      </c>
      <c r="AD2955" s="13" t="s">
        <v>0</v>
      </c>
      <c r="AE2955" s="15">
        <v>0</v>
      </c>
    </row>
    <row r="2956" spans="1:31" ht="14.15" customHeight="1" x14ac:dyDescent="0.25">
      <c r="A2956" s="12" t="s">
        <v>0</v>
      </c>
      <c r="B2956" s="13" t="s">
        <v>1</v>
      </c>
      <c r="C2956" s="13" t="s">
        <v>2264</v>
      </c>
      <c r="D2956" s="14">
        <v>44216</v>
      </c>
      <c r="E2956" s="14">
        <v>44216</v>
      </c>
      <c r="F2956" s="14">
        <v>44223</v>
      </c>
      <c r="G2956" s="13" t="s">
        <v>3</v>
      </c>
      <c r="H2956" s="13" t="s">
        <v>4</v>
      </c>
      <c r="I2956" s="15">
        <v>-842.21</v>
      </c>
      <c r="J2956" s="13" t="s">
        <v>5</v>
      </c>
      <c r="K2956" s="13" t="s">
        <v>6</v>
      </c>
      <c r="L2956" s="15">
        <v>-70703.53</v>
      </c>
      <c r="M2956" s="15">
        <v>-842.21</v>
      </c>
      <c r="N2956" s="16" t="str">
        <f>IF(M2956="","",IF(M2956&lt;0,-M2956&amp;"_"&amp;COUNTIF(M$2:M2956,M2956),M2956&amp;"_"&amp;COUNTIF(M$2:M2956,M2956)))</f>
        <v>842.21_1</v>
      </c>
      <c r="O2956" s="17" t="str">
        <f t="shared" si="46"/>
        <v/>
      </c>
      <c r="P2956" s="13" t="s">
        <v>2265</v>
      </c>
      <c r="Q2956" s="13" t="s">
        <v>2255</v>
      </c>
      <c r="R2956" s="13" t="s">
        <v>0</v>
      </c>
      <c r="S2956" s="13" t="s">
        <v>0</v>
      </c>
      <c r="T2956" s="13" t="s">
        <v>9</v>
      </c>
      <c r="U2956" s="13" t="s">
        <v>0</v>
      </c>
      <c r="V2956" s="13" t="s">
        <v>0</v>
      </c>
      <c r="W2956" s="13" t="s">
        <v>0</v>
      </c>
      <c r="X2956" s="13" t="s">
        <v>0</v>
      </c>
      <c r="Y2956" s="13" t="s">
        <v>10</v>
      </c>
      <c r="Z2956" s="13" t="s">
        <v>0</v>
      </c>
      <c r="AA2956" s="14"/>
      <c r="AB2956" s="13" t="s">
        <v>0</v>
      </c>
      <c r="AC2956" s="13" t="s">
        <v>0</v>
      </c>
      <c r="AD2956" s="13" t="s">
        <v>0</v>
      </c>
      <c r="AE2956" s="15">
        <v>0</v>
      </c>
    </row>
    <row r="2957" spans="1:31" ht="14.15" customHeight="1" x14ac:dyDescent="0.25">
      <c r="A2957" s="12" t="s">
        <v>0</v>
      </c>
      <c r="B2957" s="13" t="s">
        <v>303</v>
      </c>
      <c r="C2957" s="13" t="s">
        <v>1996</v>
      </c>
      <c r="D2957" s="14">
        <v>44196</v>
      </c>
      <c r="E2957" s="14">
        <v>44196</v>
      </c>
      <c r="F2957" s="14">
        <v>44203</v>
      </c>
      <c r="G2957" s="13" t="s">
        <v>48</v>
      </c>
      <c r="H2957" s="13" t="s">
        <v>4</v>
      </c>
      <c r="I2957" s="15">
        <v>-822.83</v>
      </c>
      <c r="J2957" s="13" t="s">
        <v>5</v>
      </c>
      <c r="K2957" s="13" t="s">
        <v>6</v>
      </c>
      <c r="L2957" s="15">
        <v>-69076.58</v>
      </c>
      <c r="M2957" s="15">
        <v>-822.83</v>
      </c>
      <c r="N2957" s="16" t="str">
        <f>IF(M2957="","",IF(M2957&lt;0,-M2957&amp;"_"&amp;COUNTIF(M$2:M2957,M2957),M2957&amp;"_"&amp;COUNTIF(M$2:M2957,M2957)))</f>
        <v>822.83_1</v>
      </c>
      <c r="O2957" s="17" t="str">
        <f t="shared" si="46"/>
        <v/>
      </c>
      <c r="P2957" s="13" t="s">
        <v>1997</v>
      </c>
      <c r="Q2957" s="13" t="s">
        <v>1997</v>
      </c>
      <c r="R2957" s="13" t="s">
        <v>1998</v>
      </c>
      <c r="S2957" s="13" t="s">
        <v>0</v>
      </c>
      <c r="T2957" s="13" t="s">
        <v>9</v>
      </c>
      <c r="U2957" s="13" t="s">
        <v>1999</v>
      </c>
      <c r="V2957" s="13" t="s">
        <v>0</v>
      </c>
      <c r="W2957" s="13" t="s">
        <v>0</v>
      </c>
      <c r="X2957" s="13" t="s">
        <v>0</v>
      </c>
      <c r="Y2957" s="13" t="s">
        <v>0</v>
      </c>
      <c r="Z2957" s="13" t="s">
        <v>0</v>
      </c>
      <c r="AA2957" s="14"/>
      <c r="AB2957" s="13" t="s">
        <v>0</v>
      </c>
      <c r="AC2957" s="13" t="s">
        <v>0</v>
      </c>
      <c r="AD2957" s="13" t="s">
        <v>0</v>
      </c>
      <c r="AE2957" s="15">
        <v>0</v>
      </c>
    </row>
    <row r="2958" spans="1:31" ht="14.15" customHeight="1" x14ac:dyDescent="0.25">
      <c r="A2958" s="12" t="s">
        <v>0</v>
      </c>
      <c r="B2958" s="13" t="s">
        <v>1</v>
      </c>
      <c r="C2958" s="13" t="s">
        <v>2535</v>
      </c>
      <c r="D2958" s="14">
        <v>44238</v>
      </c>
      <c r="E2958" s="14">
        <v>44238</v>
      </c>
      <c r="F2958" s="14">
        <v>44243</v>
      </c>
      <c r="G2958" s="13" t="s">
        <v>3</v>
      </c>
      <c r="H2958" s="13" t="s">
        <v>4</v>
      </c>
      <c r="I2958" s="15">
        <v>-818.51</v>
      </c>
      <c r="J2958" s="13" t="s">
        <v>394</v>
      </c>
      <c r="K2958" s="13" t="s">
        <v>6</v>
      </c>
      <c r="L2958" s="15">
        <v>-68713.91</v>
      </c>
      <c r="M2958" s="15">
        <v>-818.51</v>
      </c>
      <c r="N2958" s="16" t="str">
        <f>IF(M2958="","",IF(M2958&lt;0,-M2958&amp;"_"&amp;COUNTIF(M$2:M2958,M2958),M2958&amp;"_"&amp;COUNTIF(M$2:M2958,M2958)))</f>
        <v>818.51_1</v>
      </c>
      <c r="O2958" s="17" t="str">
        <f t="shared" si="46"/>
        <v/>
      </c>
      <c r="P2958" s="13" t="s">
        <v>2536</v>
      </c>
      <c r="Q2958" s="13" t="s">
        <v>2528</v>
      </c>
      <c r="R2958" s="13" t="s">
        <v>0</v>
      </c>
      <c r="S2958" s="13" t="s">
        <v>0</v>
      </c>
      <c r="T2958" s="13" t="s">
        <v>9</v>
      </c>
      <c r="U2958" s="13" t="s">
        <v>0</v>
      </c>
      <c r="V2958" s="13" t="s">
        <v>0</v>
      </c>
      <c r="W2958" s="13" t="s">
        <v>0</v>
      </c>
      <c r="X2958" s="13" t="s">
        <v>0</v>
      </c>
      <c r="Y2958" s="13" t="s">
        <v>10</v>
      </c>
      <c r="Z2958" s="13" t="s">
        <v>0</v>
      </c>
      <c r="AA2958" s="14"/>
      <c r="AB2958" s="13" t="s">
        <v>0</v>
      </c>
      <c r="AC2958" s="13" t="s">
        <v>0</v>
      </c>
      <c r="AD2958" s="13" t="s">
        <v>0</v>
      </c>
      <c r="AE2958" s="15">
        <v>0</v>
      </c>
    </row>
    <row r="2959" spans="1:31" ht="14.15" customHeight="1" x14ac:dyDescent="0.25">
      <c r="A2959" s="12" t="s">
        <v>0</v>
      </c>
      <c r="B2959" s="13" t="s">
        <v>1</v>
      </c>
      <c r="C2959" s="13" t="s">
        <v>2295</v>
      </c>
      <c r="D2959" s="14">
        <v>44219</v>
      </c>
      <c r="E2959" s="14">
        <v>44219</v>
      </c>
      <c r="F2959" s="14">
        <v>44226</v>
      </c>
      <c r="G2959" s="13" t="s">
        <v>3</v>
      </c>
      <c r="H2959" s="13" t="s">
        <v>4</v>
      </c>
      <c r="I2959" s="15">
        <v>-814.41</v>
      </c>
      <c r="J2959" s="13" t="s">
        <v>5</v>
      </c>
      <c r="K2959" s="13" t="s">
        <v>6</v>
      </c>
      <c r="L2959" s="15">
        <v>-68369.72</v>
      </c>
      <c r="M2959" s="15">
        <v>-814.41</v>
      </c>
      <c r="N2959" s="16" t="str">
        <f>IF(M2959="","",IF(M2959&lt;0,-M2959&amp;"_"&amp;COUNTIF(M$2:M2959,M2959),M2959&amp;"_"&amp;COUNTIF(M$2:M2959,M2959)))</f>
        <v>814.41_1</v>
      </c>
      <c r="O2959" s="17" t="str">
        <f t="shared" si="46"/>
        <v/>
      </c>
      <c r="P2959" s="13" t="s">
        <v>2296</v>
      </c>
      <c r="Q2959" s="13" t="s">
        <v>2282</v>
      </c>
      <c r="R2959" s="13" t="s">
        <v>0</v>
      </c>
      <c r="S2959" s="13" t="s">
        <v>0</v>
      </c>
      <c r="T2959" s="13" t="s">
        <v>9</v>
      </c>
      <c r="U2959" s="13" t="s">
        <v>0</v>
      </c>
      <c r="V2959" s="13" t="s">
        <v>0</v>
      </c>
      <c r="W2959" s="13" t="s">
        <v>0</v>
      </c>
      <c r="X2959" s="13" t="s">
        <v>0</v>
      </c>
      <c r="Y2959" s="13" t="s">
        <v>10</v>
      </c>
      <c r="Z2959" s="13" t="s">
        <v>0</v>
      </c>
      <c r="AA2959" s="14"/>
      <c r="AB2959" s="13" t="s">
        <v>0</v>
      </c>
      <c r="AC2959" s="13" t="s">
        <v>0</v>
      </c>
      <c r="AD2959" s="13" t="s">
        <v>0</v>
      </c>
      <c r="AE2959" s="15">
        <v>0</v>
      </c>
    </row>
    <row r="2960" spans="1:31" ht="14.15" customHeight="1" x14ac:dyDescent="0.25">
      <c r="A2960" s="12" t="s">
        <v>0</v>
      </c>
      <c r="B2960" s="13" t="s">
        <v>1</v>
      </c>
      <c r="C2960" s="13" t="s">
        <v>1372</v>
      </c>
      <c r="D2960" s="14">
        <v>44151</v>
      </c>
      <c r="E2960" s="14">
        <v>44151</v>
      </c>
      <c r="F2960" s="14">
        <v>44161</v>
      </c>
      <c r="G2960" s="13" t="s">
        <v>3</v>
      </c>
      <c r="H2960" s="13" t="s">
        <v>4</v>
      </c>
      <c r="I2960" s="15">
        <v>-800.5</v>
      </c>
      <c r="J2960" s="13" t="s">
        <v>394</v>
      </c>
      <c r="K2960" s="13" t="s">
        <v>6</v>
      </c>
      <c r="L2960" s="15">
        <v>-67201.97</v>
      </c>
      <c r="M2960" s="15">
        <v>-800.5</v>
      </c>
      <c r="N2960" s="16" t="str">
        <f>IF(M2960="","",IF(M2960&lt;0,-M2960&amp;"_"&amp;COUNTIF(M$2:M2960,M2960),M2960&amp;"_"&amp;COUNTIF(M$2:M2960,M2960)))</f>
        <v>800.5_1</v>
      </c>
      <c r="O2960" s="17" t="str">
        <f t="shared" si="46"/>
        <v/>
      </c>
      <c r="P2960" s="13" t="s">
        <v>1373</v>
      </c>
      <c r="Q2960" s="13" t="s">
        <v>1363</v>
      </c>
      <c r="R2960" s="13" t="s">
        <v>0</v>
      </c>
      <c r="S2960" s="13" t="s">
        <v>0</v>
      </c>
      <c r="T2960" s="13" t="s">
        <v>9</v>
      </c>
      <c r="U2960" s="13" t="s">
        <v>0</v>
      </c>
      <c r="V2960" s="13" t="s">
        <v>0</v>
      </c>
      <c r="W2960" s="13" t="s">
        <v>0</v>
      </c>
      <c r="X2960" s="13" t="s">
        <v>0</v>
      </c>
      <c r="Y2960" s="13" t="s">
        <v>10</v>
      </c>
      <c r="Z2960" s="13" t="s">
        <v>0</v>
      </c>
      <c r="AA2960" s="14"/>
      <c r="AB2960" s="13" t="s">
        <v>0</v>
      </c>
      <c r="AC2960" s="13" t="s">
        <v>0</v>
      </c>
      <c r="AD2960" s="13" t="s">
        <v>0</v>
      </c>
      <c r="AE2960" s="15">
        <v>0</v>
      </c>
    </row>
    <row r="2961" spans="1:31" ht="14.15" customHeight="1" x14ac:dyDescent="0.25">
      <c r="A2961" s="12" t="s">
        <v>0</v>
      </c>
      <c r="B2961" s="13" t="s">
        <v>1</v>
      </c>
      <c r="C2961" s="13" t="s">
        <v>3342</v>
      </c>
      <c r="D2961" s="14">
        <v>44316</v>
      </c>
      <c r="E2961" s="14">
        <v>44316</v>
      </c>
      <c r="F2961" s="14">
        <v>44323</v>
      </c>
      <c r="G2961" s="13" t="s">
        <v>3</v>
      </c>
      <c r="H2961" s="13" t="s">
        <v>4</v>
      </c>
      <c r="I2961" s="15">
        <v>-798.9</v>
      </c>
      <c r="J2961" s="13" t="s">
        <v>68</v>
      </c>
      <c r="K2961" s="13" t="s">
        <v>6</v>
      </c>
      <c r="L2961" s="15">
        <v>-67067.66</v>
      </c>
      <c r="M2961" s="15">
        <v>-798.9</v>
      </c>
      <c r="N2961" s="16" t="str">
        <f>IF(M2961="","",IF(M2961&lt;0,-M2961&amp;"_"&amp;COUNTIF(M$2:M2961,M2961),M2961&amp;"_"&amp;COUNTIF(M$2:M2961,M2961)))</f>
        <v>798.9_1</v>
      </c>
      <c r="O2961" s="17" t="str">
        <f t="shared" si="46"/>
        <v/>
      </c>
      <c r="P2961" s="13" t="s">
        <v>3343</v>
      </c>
      <c r="Q2961" s="13" t="s">
        <v>3339</v>
      </c>
      <c r="R2961" s="13" t="s">
        <v>0</v>
      </c>
      <c r="S2961" s="13" t="s">
        <v>0</v>
      </c>
      <c r="T2961" s="13" t="s">
        <v>9</v>
      </c>
      <c r="U2961" s="13" t="s">
        <v>0</v>
      </c>
      <c r="V2961" s="13" t="s">
        <v>0</v>
      </c>
      <c r="W2961" s="13" t="s">
        <v>0</v>
      </c>
      <c r="X2961" s="13" t="s">
        <v>0</v>
      </c>
      <c r="Y2961" s="13" t="s">
        <v>10</v>
      </c>
      <c r="Z2961" s="13" t="s">
        <v>0</v>
      </c>
      <c r="AA2961" s="14"/>
      <c r="AB2961" s="13" t="s">
        <v>0</v>
      </c>
      <c r="AC2961" s="13" t="s">
        <v>0</v>
      </c>
      <c r="AD2961" s="13" t="s">
        <v>0</v>
      </c>
      <c r="AE2961" s="15">
        <v>0</v>
      </c>
    </row>
    <row r="2962" spans="1:31" ht="14.15" customHeight="1" x14ac:dyDescent="0.25">
      <c r="A2962" s="12" t="s">
        <v>0</v>
      </c>
      <c r="B2962" s="13" t="s">
        <v>1</v>
      </c>
      <c r="C2962" s="13" t="s">
        <v>345</v>
      </c>
      <c r="D2962" s="14">
        <v>44046</v>
      </c>
      <c r="E2962" s="14">
        <v>44046</v>
      </c>
      <c r="F2962" s="14">
        <v>44053</v>
      </c>
      <c r="G2962" s="13" t="s">
        <v>3</v>
      </c>
      <c r="H2962" s="13" t="s">
        <v>4</v>
      </c>
      <c r="I2962" s="15">
        <v>-789.67</v>
      </c>
      <c r="J2962" s="13" t="s">
        <v>5</v>
      </c>
      <c r="K2962" s="13" t="s">
        <v>6</v>
      </c>
      <c r="L2962" s="15">
        <v>-66292.800000000003</v>
      </c>
      <c r="M2962" s="15">
        <v>-789.67</v>
      </c>
      <c r="N2962" s="16" t="str">
        <f>IF(M2962="","",IF(M2962&lt;0,-M2962&amp;"_"&amp;COUNTIF(M$2:M2962,M2962),M2962&amp;"_"&amp;COUNTIF(M$2:M2962,M2962)))</f>
        <v>789.67_1</v>
      </c>
      <c r="O2962" s="17" t="str">
        <f t="shared" si="46"/>
        <v/>
      </c>
      <c r="P2962" s="13" t="s">
        <v>346</v>
      </c>
      <c r="Q2962" s="13" t="s">
        <v>338</v>
      </c>
      <c r="R2962" s="13" t="s">
        <v>0</v>
      </c>
      <c r="S2962" s="13" t="s">
        <v>0</v>
      </c>
      <c r="T2962" s="13" t="s">
        <v>9</v>
      </c>
      <c r="U2962" s="13" t="s">
        <v>0</v>
      </c>
      <c r="V2962" s="13" t="s">
        <v>0</v>
      </c>
      <c r="W2962" s="13" t="s">
        <v>0</v>
      </c>
      <c r="X2962" s="13" t="s">
        <v>0</v>
      </c>
      <c r="Y2962" s="13" t="s">
        <v>10</v>
      </c>
      <c r="Z2962" s="13" t="s">
        <v>0</v>
      </c>
      <c r="AA2962" s="14"/>
      <c r="AB2962" s="13" t="s">
        <v>0</v>
      </c>
      <c r="AC2962" s="13" t="s">
        <v>0</v>
      </c>
      <c r="AD2962" s="13" t="s">
        <v>0</v>
      </c>
      <c r="AE2962" s="15">
        <v>0</v>
      </c>
    </row>
    <row r="2963" spans="1:31" ht="14.15" customHeight="1" x14ac:dyDescent="0.25">
      <c r="A2963" s="12" t="s">
        <v>0</v>
      </c>
      <c r="B2963" s="13" t="s">
        <v>1</v>
      </c>
      <c r="C2963" s="13" t="s">
        <v>948</v>
      </c>
      <c r="D2963" s="14">
        <v>44122</v>
      </c>
      <c r="E2963" s="14">
        <v>44122</v>
      </c>
      <c r="F2963" s="14">
        <v>44126</v>
      </c>
      <c r="G2963" s="13" t="s">
        <v>3</v>
      </c>
      <c r="H2963" s="13" t="s">
        <v>4</v>
      </c>
      <c r="I2963" s="15">
        <v>-785.34</v>
      </c>
      <c r="J2963" s="13" t="s">
        <v>5</v>
      </c>
      <c r="K2963" s="13" t="s">
        <v>6</v>
      </c>
      <c r="L2963" s="15">
        <v>-65929.289999999994</v>
      </c>
      <c r="M2963" s="15">
        <v>-785.34</v>
      </c>
      <c r="N2963" s="16" t="str">
        <f>IF(M2963="","",IF(M2963&lt;0,-M2963&amp;"_"&amp;COUNTIF(M$2:M2963,M2963),M2963&amp;"_"&amp;COUNTIF(M$2:M2963,M2963)))</f>
        <v>785.34_1</v>
      </c>
      <c r="O2963" s="17" t="str">
        <f t="shared" si="46"/>
        <v/>
      </c>
      <c r="P2963" s="13" t="s">
        <v>949</v>
      </c>
      <c r="Q2963" s="13" t="s">
        <v>947</v>
      </c>
      <c r="R2963" s="13" t="s">
        <v>0</v>
      </c>
      <c r="S2963" s="13" t="s">
        <v>0</v>
      </c>
      <c r="T2963" s="13" t="s">
        <v>9</v>
      </c>
      <c r="U2963" s="13" t="s">
        <v>0</v>
      </c>
      <c r="V2963" s="13" t="s">
        <v>0</v>
      </c>
      <c r="W2963" s="13" t="s">
        <v>0</v>
      </c>
      <c r="X2963" s="13" t="s">
        <v>0</v>
      </c>
      <c r="Y2963" s="13" t="s">
        <v>10</v>
      </c>
      <c r="Z2963" s="13" t="s">
        <v>0</v>
      </c>
      <c r="AA2963" s="14"/>
      <c r="AB2963" s="13" t="s">
        <v>0</v>
      </c>
      <c r="AC2963" s="13" t="s">
        <v>0</v>
      </c>
      <c r="AD2963" s="13" t="s">
        <v>0</v>
      </c>
      <c r="AE2963" s="15">
        <v>0</v>
      </c>
    </row>
    <row r="2964" spans="1:31" ht="14.15" customHeight="1" x14ac:dyDescent="0.25">
      <c r="A2964" s="12" t="s">
        <v>0</v>
      </c>
      <c r="B2964" s="13" t="s">
        <v>1</v>
      </c>
      <c r="C2964" s="13" t="s">
        <v>3939</v>
      </c>
      <c r="D2964" s="14">
        <v>44354</v>
      </c>
      <c r="E2964" s="14">
        <v>44354</v>
      </c>
      <c r="F2964" s="14">
        <v>44359</v>
      </c>
      <c r="G2964" s="13" t="s">
        <v>3</v>
      </c>
      <c r="H2964" s="13" t="s">
        <v>4</v>
      </c>
      <c r="I2964" s="15">
        <v>-782.94</v>
      </c>
      <c r="J2964" s="13" t="s">
        <v>68</v>
      </c>
      <c r="K2964" s="13" t="s">
        <v>6</v>
      </c>
      <c r="L2964" s="15">
        <v>-65727.820000000007</v>
      </c>
      <c r="M2964" s="15">
        <v>-782.94</v>
      </c>
      <c r="N2964" s="16" t="str">
        <f>IF(M2964="","",IF(M2964&lt;0,-M2964&amp;"_"&amp;COUNTIF(M$2:M2964,M2964),M2964&amp;"_"&amp;COUNTIF(M$2:M2964,M2964)))</f>
        <v>782.94_1</v>
      </c>
      <c r="O2964" s="17" t="str">
        <f t="shared" si="46"/>
        <v/>
      </c>
      <c r="P2964" s="13" t="s">
        <v>3940</v>
      </c>
      <c r="Q2964" s="13" t="s">
        <v>3914</v>
      </c>
      <c r="R2964" s="13" t="s">
        <v>0</v>
      </c>
      <c r="S2964" s="13" t="s">
        <v>0</v>
      </c>
      <c r="T2964" s="13" t="s">
        <v>9</v>
      </c>
      <c r="U2964" s="13" t="s">
        <v>0</v>
      </c>
      <c r="V2964" s="13" t="s">
        <v>0</v>
      </c>
      <c r="W2964" s="13" t="s">
        <v>0</v>
      </c>
      <c r="X2964" s="13" t="s">
        <v>0</v>
      </c>
      <c r="Y2964" s="13" t="s">
        <v>10</v>
      </c>
      <c r="Z2964" s="13" t="s">
        <v>0</v>
      </c>
      <c r="AA2964" s="14"/>
      <c r="AB2964" s="13" t="s">
        <v>0</v>
      </c>
      <c r="AC2964" s="13" t="s">
        <v>0</v>
      </c>
      <c r="AD2964" s="13" t="s">
        <v>0</v>
      </c>
      <c r="AE2964" s="15">
        <v>0</v>
      </c>
    </row>
    <row r="2965" spans="1:31" ht="14.15" customHeight="1" x14ac:dyDescent="0.25">
      <c r="A2965" s="12" t="s">
        <v>0</v>
      </c>
      <c r="B2965" s="13" t="s">
        <v>1</v>
      </c>
      <c r="C2965" s="13" t="s">
        <v>4255</v>
      </c>
      <c r="D2965" s="14">
        <v>44369</v>
      </c>
      <c r="E2965" s="14">
        <v>44369</v>
      </c>
      <c r="F2965" s="14">
        <v>44371</v>
      </c>
      <c r="G2965" s="13" t="s">
        <v>3</v>
      </c>
      <c r="H2965" s="13" t="s">
        <v>4</v>
      </c>
      <c r="I2965" s="15">
        <v>-775.53</v>
      </c>
      <c r="J2965" s="13" t="s">
        <v>5</v>
      </c>
      <c r="K2965" s="13" t="s">
        <v>6</v>
      </c>
      <c r="L2965" s="15">
        <v>-65105.74</v>
      </c>
      <c r="M2965" s="15">
        <v>-775.53</v>
      </c>
      <c r="N2965" s="16" t="str">
        <f>IF(M2965="","",IF(M2965&lt;0,-M2965&amp;"_"&amp;COUNTIF(M$2:M2965,M2965),M2965&amp;"_"&amp;COUNTIF(M$2:M2965,M2965)))</f>
        <v>775.53_1</v>
      </c>
      <c r="O2965" s="17" t="str">
        <f t="shared" si="46"/>
        <v/>
      </c>
      <c r="P2965" s="13" t="s">
        <v>4256</v>
      </c>
      <c r="Q2965" s="13" t="s">
        <v>4248</v>
      </c>
      <c r="R2965" s="13" t="s">
        <v>0</v>
      </c>
      <c r="S2965" s="13" t="s">
        <v>0</v>
      </c>
      <c r="T2965" s="13" t="s">
        <v>9</v>
      </c>
      <c r="U2965" s="13" t="s">
        <v>0</v>
      </c>
      <c r="V2965" s="13" t="s">
        <v>0</v>
      </c>
      <c r="W2965" s="13" t="s">
        <v>0</v>
      </c>
      <c r="X2965" s="13" t="s">
        <v>0</v>
      </c>
      <c r="Y2965" s="13" t="s">
        <v>10</v>
      </c>
      <c r="Z2965" s="13" t="s">
        <v>0</v>
      </c>
      <c r="AA2965" s="14"/>
      <c r="AB2965" s="13" t="s">
        <v>0</v>
      </c>
      <c r="AC2965" s="13" t="s">
        <v>0</v>
      </c>
      <c r="AD2965" s="13" t="s">
        <v>0</v>
      </c>
      <c r="AE2965" s="15">
        <v>0</v>
      </c>
    </row>
    <row r="2966" spans="1:31" ht="14.15" customHeight="1" x14ac:dyDescent="0.25">
      <c r="A2966" s="12" t="s">
        <v>0</v>
      </c>
      <c r="B2966" s="13" t="s">
        <v>303</v>
      </c>
      <c r="C2966" s="13" t="s">
        <v>554</v>
      </c>
      <c r="D2966" s="14">
        <v>44074</v>
      </c>
      <c r="E2966" s="14">
        <v>44074</v>
      </c>
      <c r="F2966" s="14">
        <v>44082</v>
      </c>
      <c r="G2966" s="13" t="s">
        <v>48</v>
      </c>
      <c r="H2966" s="13" t="s">
        <v>4</v>
      </c>
      <c r="I2966" s="15">
        <v>-770</v>
      </c>
      <c r="J2966" s="13" t="s">
        <v>5</v>
      </c>
      <c r="K2966" s="13" t="s">
        <v>6</v>
      </c>
      <c r="L2966" s="15">
        <v>-64641.5</v>
      </c>
      <c r="M2966" s="15">
        <v>-770</v>
      </c>
      <c r="N2966" s="16" t="str">
        <f>IF(M2966="","",IF(M2966&lt;0,-M2966&amp;"_"&amp;COUNTIF(M$2:M2966,M2966),M2966&amp;"_"&amp;COUNTIF(M$2:M2966,M2966)))</f>
        <v>770_1</v>
      </c>
      <c r="O2966" s="17" t="str">
        <f t="shared" si="46"/>
        <v/>
      </c>
      <c r="P2966" s="13" t="s">
        <v>555</v>
      </c>
      <c r="Q2966" s="13" t="s">
        <v>555</v>
      </c>
      <c r="R2966" s="13" t="s">
        <v>306</v>
      </c>
      <c r="S2966" s="13" t="s">
        <v>0</v>
      </c>
      <c r="T2966" s="13" t="s">
        <v>9</v>
      </c>
      <c r="U2966" s="13" t="s">
        <v>307</v>
      </c>
      <c r="V2966" s="13" t="s">
        <v>0</v>
      </c>
      <c r="W2966" s="13" t="s">
        <v>0</v>
      </c>
      <c r="X2966" s="13" t="s">
        <v>0</v>
      </c>
      <c r="Y2966" s="13" t="s">
        <v>291</v>
      </c>
      <c r="Z2966" s="13" t="s">
        <v>0</v>
      </c>
      <c r="AA2966" s="14"/>
      <c r="AB2966" s="13" t="s">
        <v>0</v>
      </c>
      <c r="AC2966" s="13" t="s">
        <v>0</v>
      </c>
      <c r="AD2966" s="13" t="s">
        <v>0</v>
      </c>
      <c r="AE2966" s="15">
        <v>0</v>
      </c>
    </row>
    <row r="2967" spans="1:31" ht="14.15" customHeight="1" x14ac:dyDescent="0.25">
      <c r="A2967" s="12" t="s">
        <v>0</v>
      </c>
      <c r="B2967" s="13" t="s">
        <v>1</v>
      </c>
      <c r="C2967" s="13" t="s">
        <v>3690</v>
      </c>
      <c r="D2967" s="14">
        <v>44337</v>
      </c>
      <c r="E2967" s="14">
        <v>44337</v>
      </c>
      <c r="F2967" s="14">
        <v>44346</v>
      </c>
      <c r="G2967" s="13" t="s">
        <v>48</v>
      </c>
      <c r="H2967" s="13" t="s">
        <v>4</v>
      </c>
      <c r="I2967" s="15">
        <v>-766.92</v>
      </c>
      <c r="J2967" s="13" t="s">
        <v>394</v>
      </c>
      <c r="K2967" s="13" t="s">
        <v>6</v>
      </c>
      <c r="L2967" s="15">
        <v>-64382.93</v>
      </c>
      <c r="M2967" s="15">
        <v>-766.92</v>
      </c>
      <c r="N2967" s="16" t="str">
        <f>IF(M2967="","",IF(M2967&lt;0,-M2967&amp;"_"&amp;COUNTIF(M$2:M2967,M2967),M2967&amp;"_"&amp;COUNTIF(M$2:M2967,M2967)))</f>
        <v>766.92_1</v>
      </c>
      <c r="O2967" s="17" t="str">
        <f t="shared" si="46"/>
        <v/>
      </c>
      <c r="P2967" s="13" t="s">
        <v>3691</v>
      </c>
      <c r="Q2967" s="13" t="s">
        <v>3691</v>
      </c>
      <c r="R2967" s="13" t="s">
        <v>1656</v>
      </c>
      <c r="S2967" s="13" t="s">
        <v>0</v>
      </c>
      <c r="T2967" s="13" t="s">
        <v>9</v>
      </c>
      <c r="U2967" s="13" t="s">
        <v>1656</v>
      </c>
      <c r="V2967" s="13" t="s">
        <v>0</v>
      </c>
      <c r="W2967" s="13" t="s">
        <v>0</v>
      </c>
      <c r="X2967" s="13" t="s">
        <v>0</v>
      </c>
      <c r="Y2967" s="13" t="s">
        <v>10</v>
      </c>
      <c r="Z2967" s="13" t="s">
        <v>0</v>
      </c>
      <c r="AA2967" s="14"/>
      <c r="AB2967" s="13" t="s">
        <v>0</v>
      </c>
      <c r="AC2967" s="13" t="s">
        <v>0</v>
      </c>
      <c r="AD2967" s="13" t="s">
        <v>0</v>
      </c>
      <c r="AE2967" s="15">
        <v>0</v>
      </c>
    </row>
    <row r="2968" spans="1:31" ht="14.15" customHeight="1" x14ac:dyDescent="0.25">
      <c r="A2968" s="12" t="s">
        <v>0</v>
      </c>
      <c r="B2968" s="13" t="s">
        <v>1</v>
      </c>
      <c r="C2968" s="13" t="s">
        <v>3168</v>
      </c>
      <c r="D2968" s="14">
        <v>44299</v>
      </c>
      <c r="E2968" s="14">
        <v>44299</v>
      </c>
      <c r="F2968" s="14">
        <v>44306</v>
      </c>
      <c r="G2968" s="13" t="s">
        <v>3</v>
      </c>
      <c r="H2968" s="13" t="s">
        <v>4</v>
      </c>
      <c r="I2968" s="15">
        <v>-766.25</v>
      </c>
      <c r="J2968" s="13" t="s">
        <v>5</v>
      </c>
      <c r="K2968" s="13" t="s">
        <v>6</v>
      </c>
      <c r="L2968" s="15">
        <v>-64326.69</v>
      </c>
      <c r="M2968" s="15">
        <v>-766.25</v>
      </c>
      <c r="N2968" s="16" t="str">
        <f>IF(M2968="","",IF(M2968&lt;0,-M2968&amp;"_"&amp;COUNTIF(M$2:M2968,M2968),M2968&amp;"_"&amp;COUNTIF(M$2:M2968,M2968)))</f>
        <v>766.25_1</v>
      </c>
      <c r="O2968" s="17" t="str">
        <f t="shared" si="46"/>
        <v/>
      </c>
      <c r="P2968" s="13" t="s">
        <v>3169</v>
      </c>
      <c r="Q2968" s="13" t="s">
        <v>3170</v>
      </c>
      <c r="R2968" s="13" t="s">
        <v>0</v>
      </c>
      <c r="S2968" s="13" t="s">
        <v>0</v>
      </c>
      <c r="T2968" s="13" t="s">
        <v>9</v>
      </c>
      <c r="U2968" s="13" t="s">
        <v>0</v>
      </c>
      <c r="V2968" s="13" t="s">
        <v>0</v>
      </c>
      <c r="W2968" s="13" t="s">
        <v>0</v>
      </c>
      <c r="X2968" s="13" t="s">
        <v>0</v>
      </c>
      <c r="Y2968" s="13" t="s">
        <v>10</v>
      </c>
      <c r="Z2968" s="13" t="s">
        <v>0</v>
      </c>
      <c r="AA2968" s="14"/>
      <c r="AB2968" s="13" t="s">
        <v>0</v>
      </c>
      <c r="AC2968" s="13" t="s">
        <v>0</v>
      </c>
      <c r="AD2968" s="13" t="s">
        <v>0</v>
      </c>
      <c r="AE2968" s="15">
        <v>0</v>
      </c>
    </row>
    <row r="2969" spans="1:31" ht="14.15" customHeight="1" x14ac:dyDescent="0.25">
      <c r="A2969" s="12" t="s">
        <v>0</v>
      </c>
      <c r="B2969" s="13" t="s">
        <v>1</v>
      </c>
      <c r="C2969" s="13" t="s">
        <v>2653</v>
      </c>
      <c r="D2969" s="14">
        <v>44249</v>
      </c>
      <c r="E2969" s="14">
        <v>44249</v>
      </c>
      <c r="F2969" s="14">
        <v>44257</v>
      </c>
      <c r="G2969" s="13" t="s">
        <v>3</v>
      </c>
      <c r="H2969" s="13" t="s">
        <v>4</v>
      </c>
      <c r="I2969" s="15">
        <v>-765.88</v>
      </c>
      <c r="J2969" s="13" t="s">
        <v>68</v>
      </c>
      <c r="K2969" s="13" t="s">
        <v>6</v>
      </c>
      <c r="L2969" s="15">
        <v>-64295.63</v>
      </c>
      <c r="M2969" s="15">
        <v>-765.88</v>
      </c>
      <c r="N2969" s="16" t="str">
        <f>IF(M2969="","",IF(M2969&lt;0,-M2969&amp;"_"&amp;COUNTIF(M$2:M2969,M2969),M2969&amp;"_"&amp;COUNTIF(M$2:M2969,M2969)))</f>
        <v>765.88_1</v>
      </c>
      <c r="O2969" s="17" t="str">
        <f t="shared" si="46"/>
        <v/>
      </c>
      <c r="P2969" s="13" t="s">
        <v>2654</v>
      </c>
      <c r="Q2969" s="13" t="s">
        <v>2646</v>
      </c>
      <c r="R2969" s="13" t="s">
        <v>0</v>
      </c>
      <c r="S2969" s="13" t="s">
        <v>0</v>
      </c>
      <c r="T2969" s="13" t="s">
        <v>9</v>
      </c>
      <c r="U2969" s="13" t="s">
        <v>0</v>
      </c>
      <c r="V2969" s="13" t="s">
        <v>0</v>
      </c>
      <c r="W2969" s="13" t="s">
        <v>0</v>
      </c>
      <c r="X2969" s="13" t="s">
        <v>0</v>
      </c>
      <c r="Y2969" s="13" t="s">
        <v>10</v>
      </c>
      <c r="Z2969" s="13" t="s">
        <v>0</v>
      </c>
      <c r="AA2969" s="14"/>
      <c r="AB2969" s="13" t="s">
        <v>0</v>
      </c>
      <c r="AC2969" s="13" t="s">
        <v>0</v>
      </c>
      <c r="AD2969" s="13" t="s">
        <v>0</v>
      </c>
      <c r="AE2969" s="15">
        <v>0</v>
      </c>
    </row>
    <row r="2970" spans="1:31" ht="14.15" customHeight="1" x14ac:dyDescent="0.25">
      <c r="A2970" s="12" t="s">
        <v>0</v>
      </c>
      <c r="B2970" s="13" t="s">
        <v>1</v>
      </c>
      <c r="C2970" s="13" t="s">
        <v>3181</v>
      </c>
      <c r="D2970" s="14">
        <v>44299</v>
      </c>
      <c r="E2970" s="14">
        <v>44299</v>
      </c>
      <c r="F2970" s="14">
        <v>44308</v>
      </c>
      <c r="G2970" s="13" t="s">
        <v>3</v>
      </c>
      <c r="H2970" s="13" t="s">
        <v>4</v>
      </c>
      <c r="I2970" s="15">
        <v>-754.92</v>
      </c>
      <c r="J2970" s="13" t="s">
        <v>394</v>
      </c>
      <c r="K2970" s="13" t="s">
        <v>6</v>
      </c>
      <c r="L2970" s="15">
        <v>-63375.53</v>
      </c>
      <c r="M2970" s="15">
        <v>-754.92</v>
      </c>
      <c r="N2970" s="16" t="str">
        <f>IF(M2970="","",IF(M2970&lt;0,-M2970&amp;"_"&amp;COUNTIF(M$2:M2970,M2970),M2970&amp;"_"&amp;COUNTIF(M$2:M2970,M2970)))</f>
        <v>754.92_1</v>
      </c>
      <c r="O2970" s="17" t="str">
        <f t="shared" si="46"/>
        <v/>
      </c>
      <c r="P2970" s="13" t="s">
        <v>3182</v>
      </c>
      <c r="Q2970" s="13" t="s">
        <v>3170</v>
      </c>
      <c r="R2970" s="13" t="s">
        <v>0</v>
      </c>
      <c r="S2970" s="13" t="s">
        <v>0</v>
      </c>
      <c r="T2970" s="13" t="s">
        <v>9</v>
      </c>
      <c r="U2970" s="13" t="s">
        <v>0</v>
      </c>
      <c r="V2970" s="13" t="s">
        <v>0</v>
      </c>
      <c r="W2970" s="13" t="s">
        <v>0</v>
      </c>
      <c r="X2970" s="13" t="s">
        <v>0</v>
      </c>
      <c r="Y2970" s="13" t="s">
        <v>10</v>
      </c>
      <c r="Z2970" s="13" t="s">
        <v>0</v>
      </c>
      <c r="AA2970" s="14"/>
      <c r="AB2970" s="13" t="s">
        <v>0</v>
      </c>
      <c r="AC2970" s="13" t="s">
        <v>0</v>
      </c>
      <c r="AD2970" s="13" t="s">
        <v>0</v>
      </c>
      <c r="AE2970" s="15">
        <v>0</v>
      </c>
    </row>
    <row r="2971" spans="1:31" ht="14.15" customHeight="1" x14ac:dyDescent="0.25">
      <c r="A2971" s="12" t="s">
        <v>0</v>
      </c>
      <c r="B2971" s="13" t="s">
        <v>1</v>
      </c>
      <c r="C2971" s="13" t="s">
        <v>67</v>
      </c>
      <c r="D2971" s="14">
        <v>44020</v>
      </c>
      <c r="E2971" s="14">
        <v>44020</v>
      </c>
      <c r="F2971" s="14">
        <v>44025</v>
      </c>
      <c r="G2971" s="13" t="s">
        <v>3</v>
      </c>
      <c r="H2971" s="13" t="s">
        <v>4</v>
      </c>
      <c r="I2971" s="15">
        <v>-752.78</v>
      </c>
      <c r="J2971" s="13" t="s">
        <v>68</v>
      </c>
      <c r="K2971" s="13" t="s">
        <v>6</v>
      </c>
      <c r="L2971" s="15">
        <v>-63195.89</v>
      </c>
      <c r="M2971" s="15">
        <v>-752.78</v>
      </c>
      <c r="N2971" s="16" t="str">
        <f>IF(M2971="","",IF(M2971&lt;0,-M2971&amp;"_"&amp;COUNTIF(M$2:M2971,M2971),M2971&amp;"_"&amp;COUNTIF(M$2:M2971,M2971)))</f>
        <v>752.78_1</v>
      </c>
      <c r="O2971" s="17" t="str">
        <f t="shared" si="46"/>
        <v/>
      </c>
      <c r="P2971" s="13" t="s">
        <v>69</v>
      </c>
      <c r="Q2971" s="13" t="s">
        <v>70</v>
      </c>
      <c r="R2971" s="13" t="s">
        <v>0</v>
      </c>
      <c r="S2971" s="13" t="s">
        <v>0</v>
      </c>
      <c r="T2971" s="13" t="s">
        <v>9</v>
      </c>
      <c r="U2971" s="13" t="s">
        <v>0</v>
      </c>
      <c r="V2971" s="13" t="s">
        <v>0</v>
      </c>
      <c r="W2971" s="13" t="s">
        <v>0</v>
      </c>
      <c r="X2971" s="13" t="s">
        <v>0</v>
      </c>
      <c r="Y2971" s="13" t="s">
        <v>10</v>
      </c>
      <c r="Z2971" s="13" t="s">
        <v>0</v>
      </c>
      <c r="AA2971" s="14"/>
      <c r="AB2971" s="13" t="s">
        <v>0</v>
      </c>
      <c r="AC2971" s="13" t="s">
        <v>0</v>
      </c>
      <c r="AD2971" s="13" t="s">
        <v>0</v>
      </c>
      <c r="AE2971" s="15">
        <v>0</v>
      </c>
    </row>
    <row r="2972" spans="1:31" ht="14.15" customHeight="1" x14ac:dyDescent="0.25">
      <c r="A2972" s="12" t="s">
        <v>0</v>
      </c>
      <c r="B2972" s="13" t="s">
        <v>1</v>
      </c>
      <c r="C2972" s="13" t="s">
        <v>3787</v>
      </c>
      <c r="D2972" s="14">
        <v>44344</v>
      </c>
      <c r="E2972" s="14">
        <v>44344</v>
      </c>
      <c r="F2972" s="14">
        <v>44349</v>
      </c>
      <c r="G2972" s="13" t="s">
        <v>48</v>
      </c>
      <c r="H2972" s="13" t="s">
        <v>4</v>
      </c>
      <c r="I2972" s="15">
        <v>-746</v>
      </c>
      <c r="J2972" s="13" t="s">
        <v>5</v>
      </c>
      <c r="K2972" s="13" t="s">
        <v>6</v>
      </c>
      <c r="L2972" s="15">
        <v>-62626.7</v>
      </c>
      <c r="M2972" s="15">
        <v>-746</v>
      </c>
      <c r="N2972" s="16" t="str">
        <f>IF(M2972="","",IF(M2972&lt;0,-M2972&amp;"_"&amp;COUNTIF(M$2:M2972,M2972),M2972&amp;"_"&amp;COUNTIF(M$2:M2972,M2972)))</f>
        <v>746_1</v>
      </c>
      <c r="O2972" s="17" t="str">
        <f t="shared" si="46"/>
        <v/>
      </c>
      <c r="P2972" s="13" t="s">
        <v>3788</v>
      </c>
      <c r="Q2972" s="13" t="s">
        <v>3788</v>
      </c>
      <c r="R2972" s="13" t="s">
        <v>1656</v>
      </c>
      <c r="S2972" s="13" t="s">
        <v>0</v>
      </c>
      <c r="T2972" s="13" t="s">
        <v>9</v>
      </c>
      <c r="U2972" s="13" t="s">
        <v>1656</v>
      </c>
      <c r="V2972" s="13" t="s">
        <v>0</v>
      </c>
      <c r="W2972" s="13" t="s">
        <v>0</v>
      </c>
      <c r="X2972" s="13" t="s">
        <v>0</v>
      </c>
      <c r="Y2972" s="13" t="s">
        <v>10</v>
      </c>
      <c r="Z2972" s="13" t="s">
        <v>0</v>
      </c>
      <c r="AA2972" s="14"/>
      <c r="AB2972" s="13" t="s">
        <v>0</v>
      </c>
      <c r="AC2972" s="13" t="s">
        <v>0</v>
      </c>
      <c r="AD2972" s="13" t="s">
        <v>0</v>
      </c>
      <c r="AE2972" s="15">
        <v>0</v>
      </c>
    </row>
    <row r="2973" spans="1:31" ht="14.15" customHeight="1" x14ac:dyDescent="0.25">
      <c r="A2973" s="12" t="s">
        <v>0</v>
      </c>
      <c r="B2973" s="13" t="s">
        <v>1</v>
      </c>
      <c r="C2973" s="13" t="s">
        <v>196</v>
      </c>
      <c r="D2973" s="14">
        <v>44034</v>
      </c>
      <c r="E2973" s="14">
        <v>44034</v>
      </c>
      <c r="F2973" s="14">
        <v>44049</v>
      </c>
      <c r="G2973" s="13" t="s">
        <v>3</v>
      </c>
      <c r="H2973" s="13" t="s">
        <v>4</v>
      </c>
      <c r="I2973" s="15">
        <v>-745.43</v>
      </c>
      <c r="J2973" s="13" t="s">
        <v>5</v>
      </c>
      <c r="K2973" s="13" t="s">
        <v>6</v>
      </c>
      <c r="L2973" s="15">
        <v>-62578.85</v>
      </c>
      <c r="M2973" s="15">
        <v>-745.43</v>
      </c>
      <c r="N2973" s="16" t="str">
        <f>IF(M2973="","",IF(M2973&lt;0,-M2973&amp;"_"&amp;COUNTIF(M$2:M2973,M2973),M2973&amp;"_"&amp;COUNTIF(M$2:M2973,M2973)))</f>
        <v>745.43_1</v>
      </c>
      <c r="O2973" s="17" t="str">
        <f t="shared" si="46"/>
        <v/>
      </c>
      <c r="P2973" s="13" t="s">
        <v>197</v>
      </c>
      <c r="Q2973" s="13" t="s">
        <v>175</v>
      </c>
      <c r="R2973" s="13" t="s">
        <v>0</v>
      </c>
      <c r="S2973" s="13" t="s">
        <v>0</v>
      </c>
      <c r="T2973" s="13" t="s">
        <v>9</v>
      </c>
      <c r="U2973" s="13" t="s">
        <v>0</v>
      </c>
      <c r="V2973" s="13" t="s">
        <v>0</v>
      </c>
      <c r="W2973" s="13" t="s">
        <v>0</v>
      </c>
      <c r="X2973" s="13" t="s">
        <v>0</v>
      </c>
      <c r="Y2973" s="13" t="s">
        <v>10</v>
      </c>
      <c r="Z2973" s="13" t="s">
        <v>0</v>
      </c>
      <c r="AA2973" s="14"/>
      <c r="AB2973" s="13" t="s">
        <v>0</v>
      </c>
      <c r="AC2973" s="13" t="s">
        <v>0</v>
      </c>
      <c r="AD2973" s="13" t="s">
        <v>0</v>
      </c>
      <c r="AE2973" s="15">
        <v>0</v>
      </c>
    </row>
    <row r="2974" spans="1:31" ht="14.15" customHeight="1" x14ac:dyDescent="0.25">
      <c r="A2974" s="12" t="s">
        <v>0</v>
      </c>
      <c r="B2974" s="13" t="s">
        <v>1</v>
      </c>
      <c r="C2974" s="13" t="s">
        <v>3029</v>
      </c>
      <c r="D2974" s="14">
        <v>44281</v>
      </c>
      <c r="E2974" s="14">
        <v>44281</v>
      </c>
      <c r="F2974" s="14">
        <v>44290</v>
      </c>
      <c r="G2974" s="13" t="s">
        <v>3</v>
      </c>
      <c r="H2974" s="13" t="s">
        <v>4</v>
      </c>
      <c r="I2974" s="15">
        <v>-738.67</v>
      </c>
      <c r="J2974" s="13" t="s">
        <v>5</v>
      </c>
      <c r="K2974" s="13" t="s">
        <v>6</v>
      </c>
      <c r="L2974" s="15">
        <v>-62011.35</v>
      </c>
      <c r="M2974" s="15">
        <v>-738.67</v>
      </c>
      <c r="N2974" s="16" t="str">
        <f>IF(M2974="","",IF(M2974&lt;0,-M2974&amp;"_"&amp;COUNTIF(M$2:M2974,M2974),M2974&amp;"_"&amp;COUNTIF(M$2:M2974,M2974)))</f>
        <v>738.67_1</v>
      </c>
      <c r="O2974" s="17" t="str">
        <f t="shared" si="46"/>
        <v/>
      </c>
      <c r="P2974" s="13" t="s">
        <v>3030</v>
      </c>
      <c r="Q2974" s="13" t="s">
        <v>3014</v>
      </c>
      <c r="R2974" s="13" t="s">
        <v>0</v>
      </c>
      <c r="S2974" s="13" t="s">
        <v>0</v>
      </c>
      <c r="T2974" s="13" t="s">
        <v>9</v>
      </c>
      <c r="U2974" s="13" t="s">
        <v>0</v>
      </c>
      <c r="V2974" s="13" t="s">
        <v>0</v>
      </c>
      <c r="W2974" s="13" t="s">
        <v>0</v>
      </c>
      <c r="X2974" s="13" t="s">
        <v>0</v>
      </c>
      <c r="Y2974" s="13" t="s">
        <v>10</v>
      </c>
      <c r="Z2974" s="13" t="s">
        <v>0</v>
      </c>
      <c r="AA2974" s="14"/>
      <c r="AB2974" s="13" t="s">
        <v>0</v>
      </c>
      <c r="AC2974" s="13" t="s">
        <v>0</v>
      </c>
      <c r="AD2974" s="13" t="s">
        <v>0</v>
      </c>
      <c r="AE2974" s="15">
        <v>0</v>
      </c>
    </row>
    <row r="2975" spans="1:31" ht="14.15" customHeight="1" x14ac:dyDescent="0.25">
      <c r="A2975" s="12" t="s">
        <v>0</v>
      </c>
      <c r="B2975" s="13" t="s">
        <v>1</v>
      </c>
      <c r="C2975" s="13" t="s">
        <v>3280</v>
      </c>
      <c r="D2975" s="14">
        <v>44311</v>
      </c>
      <c r="E2975" s="14">
        <v>44311</v>
      </c>
      <c r="F2975" s="14">
        <v>44315</v>
      </c>
      <c r="G2975" s="13" t="s">
        <v>3</v>
      </c>
      <c r="H2975" s="13" t="s">
        <v>4</v>
      </c>
      <c r="I2975" s="15">
        <v>-731.59</v>
      </c>
      <c r="J2975" s="13" t="s">
        <v>5</v>
      </c>
      <c r="K2975" s="13" t="s">
        <v>6</v>
      </c>
      <c r="L2975" s="15">
        <v>-61416.98</v>
      </c>
      <c r="M2975" s="15">
        <v>-731.59</v>
      </c>
      <c r="N2975" s="16" t="str">
        <f>IF(M2975="","",IF(M2975&lt;0,-M2975&amp;"_"&amp;COUNTIF(M$2:M2975,M2975),M2975&amp;"_"&amp;COUNTIF(M$2:M2975,M2975)))</f>
        <v>731.59_1</v>
      </c>
      <c r="O2975" s="17" t="str">
        <f t="shared" si="46"/>
        <v/>
      </c>
      <c r="P2975" s="13" t="s">
        <v>3281</v>
      </c>
      <c r="Q2975" s="13" t="s">
        <v>3269</v>
      </c>
      <c r="R2975" s="13" t="s">
        <v>0</v>
      </c>
      <c r="S2975" s="13" t="s">
        <v>0</v>
      </c>
      <c r="T2975" s="13" t="s">
        <v>9</v>
      </c>
      <c r="U2975" s="13" t="s">
        <v>0</v>
      </c>
      <c r="V2975" s="13" t="s">
        <v>0</v>
      </c>
      <c r="W2975" s="13" t="s">
        <v>0</v>
      </c>
      <c r="X2975" s="13" t="s">
        <v>0</v>
      </c>
      <c r="Y2975" s="13" t="s">
        <v>10</v>
      </c>
      <c r="Z2975" s="13" t="s">
        <v>0</v>
      </c>
      <c r="AA2975" s="14"/>
      <c r="AB2975" s="13" t="s">
        <v>0</v>
      </c>
      <c r="AC2975" s="13" t="s">
        <v>0</v>
      </c>
      <c r="AD2975" s="13" t="s">
        <v>0</v>
      </c>
      <c r="AE2975" s="15">
        <v>0</v>
      </c>
    </row>
    <row r="2976" spans="1:31" ht="14.15" customHeight="1" x14ac:dyDescent="0.25">
      <c r="A2976" s="12" t="s">
        <v>0</v>
      </c>
      <c r="B2976" s="13" t="s">
        <v>1</v>
      </c>
      <c r="C2976" s="13" t="s">
        <v>3280</v>
      </c>
      <c r="D2976" s="14">
        <v>44311</v>
      </c>
      <c r="E2976" s="14">
        <v>44311</v>
      </c>
      <c r="F2976" s="14">
        <v>44315</v>
      </c>
      <c r="G2976" s="13" t="s">
        <v>3</v>
      </c>
      <c r="H2976" s="13" t="s">
        <v>4</v>
      </c>
      <c r="I2976" s="15">
        <v>-731.59</v>
      </c>
      <c r="J2976" s="13" t="s">
        <v>5</v>
      </c>
      <c r="K2976" s="13" t="s">
        <v>6</v>
      </c>
      <c r="L2976" s="15">
        <v>-61416.98</v>
      </c>
      <c r="M2976" s="15">
        <v>-731.59</v>
      </c>
      <c r="N2976" s="16" t="str">
        <f>IF(M2976="","",IF(M2976&lt;0,-M2976&amp;"_"&amp;COUNTIF(M$2:M2976,M2976),M2976&amp;"_"&amp;COUNTIF(M$2:M2976,M2976)))</f>
        <v>731.59_2</v>
      </c>
      <c r="O2976" s="17" t="str">
        <f t="shared" si="46"/>
        <v/>
      </c>
      <c r="P2976" s="13" t="s">
        <v>3281</v>
      </c>
      <c r="Q2976" s="13" t="s">
        <v>3269</v>
      </c>
      <c r="R2976" s="13" t="s">
        <v>0</v>
      </c>
      <c r="S2976" s="13" t="s">
        <v>0</v>
      </c>
      <c r="T2976" s="13" t="s">
        <v>9</v>
      </c>
      <c r="U2976" s="13" t="s">
        <v>0</v>
      </c>
      <c r="V2976" s="13" t="s">
        <v>0</v>
      </c>
      <c r="W2976" s="13" t="s">
        <v>0</v>
      </c>
      <c r="X2976" s="13" t="s">
        <v>0</v>
      </c>
      <c r="Y2976" s="13" t="s">
        <v>10</v>
      </c>
      <c r="Z2976" s="13" t="s">
        <v>0</v>
      </c>
      <c r="AA2976" s="14"/>
      <c r="AB2976" s="13" t="s">
        <v>0</v>
      </c>
      <c r="AC2976" s="13" t="s">
        <v>0</v>
      </c>
      <c r="AD2976" s="13" t="s">
        <v>0</v>
      </c>
      <c r="AE2976" s="15">
        <v>0</v>
      </c>
    </row>
    <row r="2977" spans="1:31" ht="14.15" customHeight="1" x14ac:dyDescent="0.25">
      <c r="A2977" s="12" t="s">
        <v>0</v>
      </c>
      <c r="B2977" s="13" t="s">
        <v>1</v>
      </c>
      <c r="C2977" s="13" t="s">
        <v>3629</v>
      </c>
      <c r="D2977" s="14">
        <v>44330</v>
      </c>
      <c r="E2977" s="14">
        <v>44330</v>
      </c>
      <c r="F2977" s="14">
        <v>44336</v>
      </c>
      <c r="G2977" s="13" t="s">
        <v>3</v>
      </c>
      <c r="H2977" s="13" t="s">
        <v>4</v>
      </c>
      <c r="I2977" s="15">
        <v>-731.53</v>
      </c>
      <c r="J2977" s="13" t="s">
        <v>5</v>
      </c>
      <c r="K2977" s="13" t="s">
        <v>6</v>
      </c>
      <c r="L2977" s="15">
        <v>-61411.94</v>
      </c>
      <c r="M2977" s="15">
        <v>-731.53</v>
      </c>
      <c r="N2977" s="16" t="str">
        <f>IF(M2977="","",IF(M2977&lt;0,-M2977&amp;"_"&amp;COUNTIF(M$2:M2977,M2977),M2977&amp;"_"&amp;COUNTIF(M$2:M2977,M2977)))</f>
        <v>731.53_1</v>
      </c>
      <c r="O2977" s="17" t="str">
        <f t="shared" si="46"/>
        <v/>
      </c>
      <c r="P2977" s="13" t="s">
        <v>3630</v>
      </c>
      <c r="Q2977" s="13" t="s">
        <v>3624</v>
      </c>
      <c r="R2977" s="13" t="s">
        <v>0</v>
      </c>
      <c r="S2977" s="13" t="s">
        <v>0</v>
      </c>
      <c r="T2977" s="13" t="s">
        <v>9</v>
      </c>
      <c r="U2977" s="13" t="s">
        <v>0</v>
      </c>
      <c r="V2977" s="13" t="s">
        <v>0</v>
      </c>
      <c r="W2977" s="13" t="s">
        <v>0</v>
      </c>
      <c r="X2977" s="13" t="s">
        <v>0</v>
      </c>
      <c r="Y2977" s="13" t="s">
        <v>10</v>
      </c>
      <c r="Z2977" s="13" t="s">
        <v>0</v>
      </c>
      <c r="AA2977" s="14"/>
      <c r="AB2977" s="13" t="s">
        <v>0</v>
      </c>
      <c r="AC2977" s="13" t="s">
        <v>0</v>
      </c>
      <c r="AD2977" s="13" t="s">
        <v>0</v>
      </c>
      <c r="AE2977" s="15">
        <v>0</v>
      </c>
    </row>
    <row r="2978" spans="1:31" ht="14.15" customHeight="1" x14ac:dyDescent="0.25">
      <c r="A2978" s="12" t="s">
        <v>0</v>
      </c>
      <c r="B2978" s="13" t="s">
        <v>1</v>
      </c>
      <c r="C2978" s="13" t="s">
        <v>4251</v>
      </c>
      <c r="D2978" s="14">
        <v>44369</v>
      </c>
      <c r="E2978" s="14">
        <v>44369</v>
      </c>
      <c r="F2978" s="14">
        <v>44371</v>
      </c>
      <c r="G2978" s="13" t="s">
        <v>3</v>
      </c>
      <c r="H2978" s="13" t="s">
        <v>4</v>
      </c>
      <c r="I2978" s="15">
        <v>-729.91</v>
      </c>
      <c r="J2978" s="13" t="s">
        <v>394</v>
      </c>
      <c r="K2978" s="13" t="s">
        <v>6</v>
      </c>
      <c r="L2978" s="15">
        <v>-61275.94</v>
      </c>
      <c r="M2978" s="15">
        <v>-729.91</v>
      </c>
      <c r="N2978" s="16" t="str">
        <f>IF(M2978="","",IF(M2978&lt;0,-M2978&amp;"_"&amp;COUNTIF(M$2:M2978,M2978),M2978&amp;"_"&amp;COUNTIF(M$2:M2978,M2978)))</f>
        <v>729.91_1</v>
      </c>
      <c r="O2978" s="17" t="str">
        <f t="shared" si="46"/>
        <v/>
      </c>
      <c r="P2978" s="13" t="s">
        <v>4252</v>
      </c>
      <c r="Q2978" s="13" t="s">
        <v>4248</v>
      </c>
      <c r="R2978" s="13" t="s">
        <v>0</v>
      </c>
      <c r="S2978" s="13" t="s">
        <v>0</v>
      </c>
      <c r="T2978" s="13" t="s">
        <v>9</v>
      </c>
      <c r="U2978" s="13" t="s">
        <v>0</v>
      </c>
      <c r="V2978" s="13" t="s">
        <v>0</v>
      </c>
      <c r="W2978" s="13" t="s">
        <v>0</v>
      </c>
      <c r="X2978" s="13" t="s">
        <v>0</v>
      </c>
      <c r="Y2978" s="13" t="s">
        <v>10</v>
      </c>
      <c r="Z2978" s="13" t="s">
        <v>0</v>
      </c>
      <c r="AA2978" s="14"/>
      <c r="AB2978" s="13" t="s">
        <v>0</v>
      </c>
      <c r="AC2978" s="13" t="s">
        <v>0</v>
      </c>
      <c r="AD2978" s="13" t="s">
        <v>0</v>
      </c>
      <c r="AE2978" s="15">
        <v>0</v>
      </c>
    </row>
    <row r="2979" spans="1:31" ht="14.15" customHeight="1" x14ac:dyDescent="0.25">
      <c r="A2979" s="12" t="s">
        <v>0</v>
      </c>
      <c r="B2979" s="13" t="s">
        <v>289</v>
      </c>
      <c r="C2979" s="13" t="s">
        <v>1560</v>
      </c>
      <c r="D2979" s="14">
        <v>44165</v>
      </c>
      <c r="E2979" s="14">
        <v>44165</v>
      </c>
      <c r="F2979" s="14">
        <v>44171</v>
      </c>
      <c r="G2979" s="13" t="s">
        <v>48</v>
      </c>
      <c r="H2979" s="13" t="s">
        <v>4</v>
      </c>
      <c r="I2979" s="15">
        <v>-728.8</v>
      </c>
      <c r="J2979" s="13" t="s">
        <v>5</v>
      </c>
      <c r="K2979" s="13" t="s">
        <v>6</v>
      </c>
      <c r="L2979" s="15">
        <v>-61182.76</v>
      </c>
      <c r="M2979" s="15">
        <v>-728.8</v>
      </c>
      <c r="N2979" s="16" t="str">
        <f>IF(M2979="","",IF(M2979&lt;0,-M2979&amp;"_"&amp;COUNTIF(M$2:M2979,M2979),M2979&amp;"_"&amp;COUNTIF(M$2:M2979,M2979)))</f>
        <v>728.8_1</v>
      </c>
      <c r="O2979" s="17" t="str">
        <f t="shared" si="46"/>
        <v/>
      </c>
      <c r="P2979" s="13" t="s">
        <v>1561</v>
      </c>
      <c r="Q2979" s="13" t="s">
        <v>1561</v>
      </c>
      <c r="R2979" s="13" t="s">
        <v>817</v>
      </c>
      <c r="S2979" s="13" t="s">
        <v>0</v>
      </c>
      <c r="T2979" s="13" t="s">
        <v>9</v>
      </c>
      <c r="U2979" s="13" t="s">
        <v>295</v>
      </c>
      <c r="V2979" s="13" t="s">
        <v>0</v>
      </c>
      <c r="W2979" s="13" t="s">
        <v>0</v>
      </c>
      <c r="X2979" s="13" t="s">
        <v>0</v>
      </c>
      <c r="Y2979" s="13" t="s">
        <v>291</v>
      </c>
      <c r="Z2979" s="13" t="s">
        <v>0</v>
      </c>
      <c r="AA2979" s="14"/>
      <c r="AB2979" s="13" t="s">
        <v>0</v>
      </c>
      <c r="AC2979" s="13" t="s">
        <v>0</v>
      </c>
      <c r="AD2979" s="13" t="s">
        <v>0</v>
      </c>
      <c r="AE2979" s="15">
        <v>0</v>
      </c>
    </row>
    <row r="2980" spans="1:31" ht="14.15" customHeight="1" x14ac:dyDescent="0.25">
      <c r="A2980" s="12" t="s">
        <v>0</v>
      </c>
      <c r="B2980" s="13" t="s">
        <v>1</v>
      </c>
      <c r="C2980" s="13" t="s">
        <v>2442</v>
      </c>
      <c r="D2980" s="14">
        <v>44231</v>
      </c>
      <c r="E2980" s="14">
        <v>44231</v>
      </c>
      <c r="F2980" s="14">
        <v>44237</v>
      </c>
      <c r="G2980" s="13" t="s">
        <v>3</v>
      </c>
      <c r="H2980" s="13" t="s">
        <v>4</v>
      </c>
      <c r="I2980" s="15">
        <v>-722.51</v>
      </c>
      <c r="J2980" s="13" t="s">
        <v>394</v>
      </c>
      <c r="K2980" s="13" t="s">
        <v>6</v>
      </c>
      <c r="L2980" s="15">
        <v>-60654.71</v>
      </c>
      <c r="M2980" s="15">
        <v>-722.51</v>
      </c>
      <c r="N2980" s="16" t="str">
        <f>IF(M2980="","",IF(M2980&lt;0,-M2980&amp;"_"&amp;COUNTIF(M$2:M2980,M2980),M2980&amp;"_"&amp;COUNTIF(M$2:M2980,M2980)))</f>
        <v>722.51_1</v>
      </c>
      <c r="O2980" s="17" t="str">
        <f t="shared" si="46"/>
        <v/>
      </c>
      <c r="P2980" s="13" t="s">
        <v>2443</v>
      </c>
      <c r="Q2980" s="13" t="s">
        <v>2427</v>
      </c>
      <c r="R2980" s="13" t="s">
        <v>0</v>
      </c>
      <c r="S2980" s="13" t="s">
        <v>0</v>
      </c>
      <c r="T2980" s="13" t="s">
        <v>9</v>
      </c>
      <c r="U2980" s="13" t="s">
        <v>0</v>
      </c>
      <c r="V2980" s="13" t="s">
        <v>0</v>
      </c>
      <c r="W2980" s="13" t="s">
        <v>0</v>
      </c>
      <c r="X2980" s="13" t="s">
        <v>0</v>
      </c>
      <c r="Y2980" s="13" t="s">
        <v>10</v>
      </c>
      <c r="Z2980" s="13" t="s">
        <v>0</v>
      </c>
      <c r="AA2980" s="14"/>
      <c r="AB2980" s="13" t="s">
        <v>0</v>
      </c>
      <c r="AC2980" s="13" t="s">
        <v>0</v>
      </c>
      <c r="AD2980" s="13" t="s">
        <v>0</v>
      </c>
      <c r="AE2980" s="15">
        <v>0</v>
      </c>
    </row>
    <row r="2981" spans="1:31" ht="14.15" customHeight="1" x14ac:dyDescent="0.25">
      <c r="A2981" s="12" t="s">
        <v>0</v>
      </c>
      <c r="B2981" s="13" t="s">
        <v>1</v>
      </c>
      <c r="C2981" s="13" t="s">
        <v>2824</v>
      </c>
      <c r="D2981" s="14">
        <v>44267</v>
      </c>
      <c r="E2981" s="14">
        <v>44267</v>
      </c>
      <c r="F2981" s="14">
        <v>44272</v>
      </c>
      <c r="G2981" s="13" t="s">
        <v>3</v>
      </c>
      <c r="H2981" s="13" t="s">
        <v>4</v>
      </c>
      <c r="I2981" s="15">
        <v>-707.28</v>
      </c>
      <c r="J2981" s="13" t="s">
        <v>68</v>
      </c>
      <c r="K2981" s="13" t="s">
        <v>6</v>
      </c>
      <c r="L2981" s="15">
        <v>-59376.160000000003</v>
      </c>
      <c r="M2981" s="15">
        <v>-707.28</v>
      </c>
      <c r="N2981" s="16" t="str">
        <f>IF(M2981="","",IF(M2981&lt;0,-M2981&amp;"_"&amp;COUNTIF(M$2:M2981,M2981),M2981&amp;"_"&amp;COUNTIF(M$2:M2981,M2981)))</f>
        <v>707.28_1</v>
      </c>
      <c r="O2981" s="17" t="str">
        <f t="shared" si="46"/>
        <v/>
      </c>
      <c r="P2981" s="13" t="s">
        <v>2825</v>
      </c>
      <c r="Q2981" s="13" t="s">
        <v>2823</v>
      </c>
      <c r="R2981" s="13" t="s">
        <v>0</v>
      </c>
      <c r="S2981" s="13" t="s">
        <v>0</v>
      </c>
      <c r="T2981" s="13" t="s">
        <v>9</v>
      </c>
      <c r="U2981" s="13" t="s">
        <v>0</v>
      </c>
      <c r="V2981" s="13" t="s">
        <v>0</v>
      </c>
      <c r="W2981" s="13" t="s">
        <v>0</v>
      </c>
      <c r="X2981" s="13" t="s">
        <v>0</v>
      </c>
      <c r="Y2981" s="13" t="s">
        <v>10</v>
      </c>
      <c r="Z2981" s="13" t="s">
        <v>0</v>
      </c>
      <c r="AA2981" s="14"/>
      <c r="AB2981" s="13" t="s">
        <v>0</v>
      </c>
      <c r="AC2981" s="13" t="s">
        <v>0</v>
      </c>
      <c r="AD2981" s="13" t="s">
        <v>0</v>
      </c>
      <c r="AE2981" s="15">
        <v>0</v>
      </c>
    </row>
    <row r="2982" spans="1:31" ht="14.15" customHeight="1" x14ac:dyDescent="0.25">
      <c r="A2982" s="12" t="s">
        <v>0</v>
      </c>
      <c r="B2982" s="13" t="s">
        <v>1</v>
      </c>
      <c r="C2982" s="13" t="s">
        <v>441</v>
      </c>
      <c r="D2982" s="14">
        <v>44065</v>
      </c>
      <c r="E2982" s="14">
        <v>44065</v>
      </c>
      <c r="F2982" s="14">
        <v>44070</v>
      </c>
      <c r="G2982" s="13" t="s">
        <v>3</v>
      </c>
      <c r="H2982" s="13" t="s">
        <v>4</v>
      </c>
      <c r="I2982" s="15">
        <v>-705.08</v>
      </c>
      <c r="J2982" s="13" t="s">
        <v>68</v>
      </c>
      <c r="K2982" s="13" t="s">
        <v>6</v>
      </c>
      <c r="L2982" s="15">
        <v>-59191.47</v>
      </c>
      <c r="M2982" s="15">
        <v>-705.08</v>
      </c>
      <c r="N2982" s="16" t="str">
        <f>IF(M2982="","",IF(M2982&lt;0,-M2982&amp;"_"&amp;COUNTIF(M$2:M2982,M2982),M2982&amp;"_"&amp;COUNTIF(M$2:M2982,M2982)))</f>
        <v>705.08_1</v>
      </c>
      <c r="O2982" s="17" t="str">
        <f t="shared" si="46"/>
        <v/>
      </c>
      <c r="P2982" s="13" t="s">
        <v>442</v>
      </c>
      <c r="Q2982" s="13" t="s">
        <v>440</v>
      </c>
      <c r="R2982" s="13" t="s">
        <v>0</v>
      </c>
      <c r="S2982" s="13" t="s">
        <v>0</v>
      </c>
      <c r="T2982" s="13" t="s">
        <v>9</v>
      </c>
      <c r="U2982" s="13" t="s">
        <v>0</v>
      </c>
      <c r="V2982" s="13" t="s">
        <v>0</v>
      </c>
      <c r="W2982" s="13" t="s">
        <v>0</v>
      </c>
      <c r="X2982" s="13" t="s">
        <v>0</v>
      </c>
      <c r="Y2982" s="13" t="s">
        <v>10</v>
      </c>
      <c r="Z2982" s="13" t="s">
        <v>0</v>
      </c>
      <c r="AA2982" s="14"/>
      <c r="AB2982" s="13" t="s">
        <v>0</v>
      </c>
      <c r="AC2982" s="13" t="s">
        <v>0</v>
      </c>
      <c r="AD2982" s="13" t="s">
        <v>0</v>
      </c>
      <c r="AE2982" s="15">
        <v>0</v>
      </c>
    </row>
    <row r="2983" spans="1:31" ht="14.15" customHeight="1" x14ac:dyDescent="0.25">
      <c r="A2983" s="12" t="s">
        <v>0</v>
      </c>
      <c r="B2983" s="13" t="s">
        <v>1</v>
      </c>
      <c r="C2983" s="13" t="s">
        <v>2117</v>
      </c>
      <c r="D2983" s="14">
        <v>44201</v>
      </c>
      <c r="E2983" s="14">
        <v>44201</v>
      </c>
      <c r="F2983" s="14">
        <v>44206</v>
      </c>
      <c r="G2983" s="13" t="s">
        <v>3</v>
      </c>
      <c r="H2983" s="13" t="s">
        <v>4</v>
      </c>
      <c r="I2983" s="15">
        <v>-689.12</v>
      </c>
      <c r="J2983" s="13" t="s">
        <v>394</v>
      </c>
      <c r="K2983" s="13" t="s">
        <v>6</v>
      </c>
      <c r="L2983" s="15">
        <v>-57851.62</v>
      </c>
      <c r="M2983" s="15">
        <v>-689.12</v>
      </c>
      <c r="N2983" s="16" t="str">
        <f>IF(M2983="","",IF(M2983&lt;0,-M2983&amp;"_"&amp;COUNTIF(M$2:M2983,M2983),M2983&amp;"_"&amp;COUNTIF(M$2:M2983,M2983)))</f>
        <v>689.12_1</v>
      </c>
      <c r="O2983" s="17" t="str">
        <f t="shared" si="46"/>
        <v/>
      </c>
      <c r="P2983" s="13" t="s">
        <v>2118</v>
      </c>
      <c r="Q2983" s="13" t="s">
        <v>2116</v>
      </c>
      <c r="R2983" s="13" t="s">
        <v>0</v>
      </c>
      <c r="S2983" s="13" t="s">
        <v>0</v>
      </c>
      <c r="T2983" s="13" t="s">
        <v>9</v>
      </c>
      <c r="U2983" s="13" t="s">
        <v>0</v>
      </c>
      <c r="V2983" s="13" t="s">
        <v>0</v>
      </c>
      <c r="W2983" s="13" t="s">
        <v>0</v>
      </c>
      <c r="X2983" s="13" t="s">
        <v>0</v>
      </c>
      <c r="Y2983" s="13" t="s">
        <v>10</v>
      </c>
      <c r="Z2983" s="13" t="s">
        <v>0</v>
      </c>
      <c r="AA2983" s="14"/>
      <c r="AB2983" s="13" t="s">
        <v>0</v>
      </c>
      <c r="AC2983" s="13" t="s">
        <v>0</v>
      </c>
      <c r="AD2983" s="13" t="s">
        <v>0</v>
      </c>
      <c r="AE2983" s="15">
        <v>0</v>
      </c>
    </row>
    <row r="2984" spans="1:31" ht="14.15" customHeight="1" x14ac:dyDescent="0.25">
      <c r="A2984" s="12" t="s">
        <v>0</v>
      </c>
      <c r="B2984" s="13" t="s">
        <v>1</v>
      </c>
      <c r="C2984" s="13" t="s">
        <v>948</v>
      </c>
      <c r="D2984" s="14">
        <v>44122</v>
      </c>
      <c r="E2984" s="14">
        <v>44122</v>
      </c>
      <c r="F2984" s="14">
        <v>44126</v>
      </c>
      <c r="G2984" s="13" t="s">
        <v>3</v>
      </c>
      <c r="H2984" s="13" t="s">
        <v>4</v>
      </c>
      <c r="I2984" s="15">
        <v>-687.17</v>
      </c>
      <c r="J2984" s="13" t="s">
        <v>68</v>
      </c>
      <c r="K2984" s="13" t="s">
        <v>6</v>
      </c>
      <c r="L2984" s="15">
        <v>-57687.93</v>
      </c>
      <c r="M2984" s="15">
        <v>-687.17</v>
      </c>
      <c r="N2984" s="16" t="str">
        <f>IF(M2984="","",IF(M2984&lt;0,-M2984&amp;"_"&amp;COUNTIF(M$2:M2984,M2984),M2984&amp;"_"&amp;COUNTIF(M$2:M2984,M2984)))</f>
        <v>687.17_1</v>
      </c>
      <c r="O2984" s="17" t="str">
        <f t="shared" si="46"/>
        <v/>
      </c>
      <c r="P2984" s="13" t="s">
        <v>949</v>
      </c>
      <c r="Q2984" s="13" t="s">
        <v>947</v>
      </c>
      <c r="R2984" s="13" t="s">
        <v>0</v>
      </c>
      <c r="S2984" s="13" t="s">
        <v>0</v>
      </c>
      <c r="T2984" s="13" t="s">
        <v>9</v>
      </c>
      <c r="U2984" s="13" t="s">
        <v>0</v>
      </c>
      <c r="V2984" s="13" t="s">
        <v>0</v>
      </c>
      <c r="W2984" s="13" t="s">
        <v>0</v>
      </c>
      <c r="X2984" s="13" t="s">
        <v>0</v>
      </c>
      <c r="Y2984" s="13" t="s">
        <v>10</v>
      </c>
      <c r="Z2984" s="13" t="s">
        <v>0</v>
      </c>
      <c r="AA2984" s="14"/>
      <c r="AB2984" s="13" t="s">
        <v>0</v>
      </c>
      <c r="AC2984" s="13" t="s">
        <v>0</v>
      </c>
      <c r="AD2984" s="13" t="s">
        <v>0</v>
      </c>
      <c r="AE2984" s="15">
        <v>0</v>
      </c>
    </row>
    <row r="2985" spans="1:31" ht="14.15" customHeight="1" x14ac:dyDescent="0.25">
      <c r="A2985" s="12" t="s">
        <v>0</v>
      </c>
      <c r="B2985" s="13" t="s">
        <v>1</v>
      </c>
      <c r="C2985" s="13" t="s">
        <v>2311</v>
      </c>
      <c r="D2985" s="14">
        <v>44219</v>
      </c>
      <c r="E2985" s="14">
        <v>44219</v>
      </c>
      <c r="F2985" s="14">
        <v>44227</v>
      </c>
      <c r="G2985" s="13" t="s">
        <v>3</v>
      </c>
      <c r="H2985" s="13" t="s">
        <v>4</v>
      </c>
      <c r="I2985" s="15">
        <v>-682.68</v>
      </c>
      <c r="J2985" s="13" t="s">
        <v>68</v>
      </c>
      <c r="K2985" s="13" t="s">
        <v>6</v>
      </c>
      <c r="L2985" s="15">
        <v>-57310.99</v>
      </c>
      <c r="M2985" s="15">
        <v>-682.68</v>
      </c>
      <c r="N2985" s="16" t="str">
        <f>IF(M2985="","",IF(M2985&lt;0,-M2985&amp;"_"&amp;COUNTIF(M$2:M2985,M2985),M2985&amp;"_"&amp;COUNTIF(M$2:M2985,M2985)))</f>
        <v>682.68_1</v>
      </c>
      <c r="O2985" s="17" t="str">
        <f t="shared" si="46"/>
        <v/>
      </c>
      <c r="P2985" s="13" t="s">
        <v>2312</v>
      </c>
      <c r="Q2985" s="13" t="s">
        <v>2282</v>
      </c>
      <c r="R2985" s="13" t="s">
        <v>0</v>
      </c>
      <c r="S2985" s="13" t="s">
        <v>0</v>
      </c>
      <c r="T2985" s="13" t="s">
        <v>9</v>
      </c>
      <c r="U2985" s="13" t="s">
        <v>0</v>
      </c>
      <c r="V2985" s="13" t="s">
        <v>0</v>
      </c>
      <c r="W2985" s="13" t="s">
        <v>0</v>
      </c>
      <c r="X2985" s="13" t="s">
        <v>0</v>
      </c>
      <c r="Y2985" s="13" t="s">
        <v>10</v>
      </c>
      <c r="Z2985" s="13" t="s">
        <v>0</v>
      </c>
      <c r="AA2985" s="14"/>
      <c r="AB2985" s="13" t="s">
        <v>0</v>
      </c>
      <c r="AC2985" s="13" t="s">
        <v>0</v>
      </c>
      <c r="AD2985" s="13" t="s">
        <v>0</v>
      </c>
      <c r="AE2985" s="15">
        <v>0</v>
      </c>
    </row>
    <row r="2986" spans="1:31" ht="14.15" customHeight="1" x14ac:dyDescent="0.25">
      <c r="A2986" s="12" t="s">
        <v>0</v>
      </c>
      <c r="B2986" s="13" t="s">
        <v>1</v>
      </c>
      <c r="C2986" s="13" t="s">
        <v>2742</v>
      </c>
      <c r="D2986" s="14">
        <v>44259</v>
      </c>
      <c r="E2986" s="14">
        <v>44259</v>
      </c>
      <c r="F2986" s="14">
        <v>44268</v>
      </c>
      <c r="G2986" s="13" t="s">
        <v>3</v>
      </c>
      <c r="H2986" s="13" t="s">
        <v>4</v>
      </c>
      <c r="I2986" s="15">
        <v>-679.9</v>
      </c>
      <c r="J2986" s="13" t="s">
        <v>68</v>
      </c>
      <c r="K2986" s="13" t="s">
        <v>6</v>
      </c>
      <c r="L2986" s="15">
        <v>-57077.61</v>
      </c>
      <c r="M2986" s="15">
        <v>-679.9</v>
      </c>
      <c r="N2986" s="16" t="str">
        <f>IF(M2986="","",IF(M2986&lt;0,-M2986&amp;"_"&amp;COUNTIF(M$2:M2986,M2986),M2986&amp;"_"&amp;COUNTIF(M$2:M2986,M2986)))</f>
        <v>679.9_1</v>
      </c>
      <c r="O2986" s="17" t="str">
        <f t="shared" si="46"/>
        <v/>
      </c>
      <c r="P2986" s="13" t="s">
        <v>2743</v>
      </c>
      <c r="Q2986" s="13" t="s">
        <v>2741</v>
      </c>
      <c r="R2986" s="13" t="s">
        <v>0</v>
      </c>
      <c r="S2986" s="13" t="s">
        <v>0</v>
      </c>
      <c r="T2986" s="13" t="s">
        <v>9</v>
      </c>
      <c r="U2986" s="13" t="s">
        <v>0</v>
      </c>
      <c r="V2986" s="13" t="s">
        <v>0</v>
      </c>
      <c r="W2986" s="13" t="s">
        <v>0</v>
      </c>
      <c r="X2986" s="13" t="s">
        <v>0</v>
      </c>
      <c r="Y2986" s="13" t="s">
        <v>10</v>
      </c>
      <c r="Z2986" s="13" t="s">
        <v>0</v>
      </c>
      <c r="AA2986" s="14"/>
      <c r="AB2986" s="13" t="s">
        <v>0</v>
      </c>
      <c r="AC2986" s="13" t="s">
        <v>0</v>
      </c>
      <c r="AD2986" s="13" t="s">
        <v>0</v>
      </c>
      <c r="AE2986" s="15">
        <v>0</v>
      </c>
    </row>
    <row r="2987" spans="1:31" ht="14.15" customHeight="1" x14ac:dyDescent="0.25">
      <c r="A2987" s="12" t="s">
        <v>0</v>
      </c>
      <c r="B2987" s="13" t="s">
        <v>1</v>
      </c>
      <c r="C2987" s="13" t="s">
        <v>3066</v>
      </c>
      <c r="D2987" s="14">
        <v>44284</v>
      </c>
      <c r="E2987" s="14">
        <v>44284</v>
      </c>
      <c r="F2987" s="14">
        <v>44290</v>
      </c>
      <c r="G2987" s="13" t="s">
        <v>3</v>
      </c>
      <c r="H2987" s="13" t="s">
        <v>4</v>
      </c>
      <c r="I2987" s="15">
        <v>-675.13</v>
      </c>
      <c r="J2987" s="13" t="s">
        <v>394</v>
      </c>
      <c r="K2987" s="13" t="s">
        <v>6</v>
      </c>
      <c r="L2987" s="15">
        <v>-56677.16</v>
      </c>
      <c r="M2987" s="15">
        <v>-675.13</v>
      </c>
      <c r="N2987" s="16" t="str">
        <f>IF(M2987="","",IF(M2987&lt;0,-M2987&amp;"_"&amp;COUNTIF(M$2:M2987,M2987),M2987&amp;"_"&amp;COUNTIF(M$2:M2987,M2987)))</f>
        <v>675.13_1</v>
      </c>
      <c r="O2987" s="17" t="str">
        <f t="shared" si="46"/>
        <v/>
      </c>
      <c r="P2987" s="13" t="s">
        <v>3067</v>
      </c>
      <c r="Q2987" s="13" t="s">
        <v>3061</v>
      </c>
      <c r="R2987" s="13" t="s">
        <v>0</v>
      </c>
      <c r="S2987" s="13" t="s">
        <v>0</v>
      </c>
      <c r="T2987" s="13" t="s">
        <v>9</v>
      </c>
      <c r="U2987" s="13" t="s">
        <v>0</v>
      </c>
      <c r="V2987" s="13" t="s">
        <v>0</v>
      </c>
      <c r="W2987" s="13" t="s">
        <v>0</v>
      </c>
      <c r="X2987" s="13" t="s">
        <v>0</v>
      </c>
      <c r="Y2987" s="13" t="s">
        <v>10</v>
      </c>
      <c r="Z2987" s="13" t="s">
        <v>0</v>
      </c>
      <c r="AA2987" s="14"/>
      <c r="AB2987" s="13" t="s">
        <v>0</v>
      </c>
      <c r="AC2987" s="13" t="s">
        <v>0</v>
      </c>
      <c r="AD2987" s="13" t="s">
        <v>0</v>
      </c>
      <c r="AE2987" s="15">
        <v>0</v>
      </c>
    </row>
    <row r="2988" spans="1:31" ht="14.15" customHeight="1" x14ac:dyDescent="0.25">
      <c r="A2988" s="12" t="s">
        <v>0</v>
      </c>
      <c r="B2988" s="13" t="s">
        <v>1</v>
      </c>
      <c r="C2988" s="13" t="s">
        <v>3779</v>
      </c>
      <c r="D2988" s="14">
        <v>44344</v>
      </c>
      <c r="E2988" s="14">
        <v>44344</v>
      </c>
      <c r="F2988" s="14">
        <v>44349</v>
      </c>
      <c r="G2988" s="13" t="s">
        <v>48</v>
      </c>
      <c r="H2988" s="13" t="s">
        <v>4</v>
      </c>
      <c r="I2988" s="15">
        <v>-675</v>
      </c>
      <c r="J2988" s="13" t="s">
        <v>5</v>
      </c>
      <c r="K2988" s="13" t="s">
        <v>6</v>
      </c>
      <c r="L2988" s="15">
        <v>-56666.25</v>
      </c>
      <c r="M2988" s="15">
        <v>-675</v>
      </c>
      <c r="N2988" s="16" t="str">
        <f>IF(M2988="","",IF(M2988&lt;0,-M2988&amp;"_"&amp;COUNTIF(M$2:M2988,M2988),M2988&amp;"_"&amp;COUNTIF(M$2:M2988,M2988)))</f>
        <v>675_1</v>
      </c>
      <c r="O2988" s="17" t="str">
        <f t="shared" si="46"/>
        <v/>
      </c>
      <c r="P2988" s="13" t="s">
        <v>3780</v>
      </c>
      <c r="Q2988" s="13" t="s">
        <v>3780</v>
      </c>
      <c r="R2988" s="13" t="s">
        <v>1656</v>
      </c>
      <c r="S2988" s="13" t="s">
        <v>0</v>
      </c>
      <c r="T2988" s="13" t="s">
        <v>9</v>
      </c>
      <c r="U2988" s="13" t="s">
        <v>1656</v>
      </c>
      <c r="V2988" s="13" t="s">
        <v>0</v>
      </c>
      <c r="W2988" s="13" t="s">
        <v>0</v>
      </c>
      <c r="X2988" s="13" t="s">
        <v>0</v>
      </c>
      <c r="Y2988" s="13" t="s">
        <v>10</v>
      </c>
      <c r="Z2988" s="13" t="s">
        <v>0</v>
      </c>
      <c r="AA2988" s="14"/>
      <c r="AB2988" s="13" t="s">
        <v>0</v>
      </c>
      <c r="AC2988" s="13" t="s">
        <v>0</v>
      </c>
      <c r="AD2988" s="13" t="s">
        <v>0</v>
      </c>
      <c r="AE2988" s="15">
        <v>0</v>
      </c>
    </row>
    <row r="2989" spans="1:31" ht="14.15" customHeight="1" x14ac:dyDescent="0.25">
      <c r="A2989" s="12" t="s">
        <v>0</v>
      </c>
      <c r="B2989" s="13" t="s">
        <v>1</v>
      </c>
      <c r="C2989" s="13" t="s">
        <v>1780</v>
      </c>
      <c r="D2989" s="14">
        <v>44182</v>
      </c>
      <c r="E2989" s="14">
        <v>44182</v>
      </c>
      <c r="F2989" s="14">
        <v>44196</v>
      </c>
      <c r="G2989" s="13" t="s">
        <v>3</v>
      </c>
      <c r="H2989" s="13" t="s">
        <v>4</v>
      </c>
      <c r="I2989" s="15">
        <v>-665.75</v>
      </c>
      <c r="J2989" s="13" t="s">
        <v>5</v>
      </c>
      <c r="K2989" s="13" t="s">
        <v>6</v>
      </c>
      <c r="L2989" s="15">
        <v>-55889.71</v>
      </c>
      <c r="M2989" s="15">
        <v>-665.75</v>
      </c>
      <c r="N2989" s="16" t="str">
        <f>IF(M2989="","",IF(M2989&lt;0,-M2989&amp;"_"&amp;COUNTIF(M$2:M2989,M2989),M2989&amp;"_"&amp;COUNTIF(M$2:M2989,M2989)))</f>
        <v>665.75_1</v>
      </c>
      <c r="O2989" s="17" t="str">
        <f t="shared" si="46"/>
        <v/>
      </c>
      <c r="P2989" s="13" t="s">
        <v>1781</v>
      </c>
      <c r="Q2989" s="13" t="s">
        <v>1777</v>
      </c>
      <c r="R2989" s="13" t="s">
        <v>0</v>
      </c>
      <c r="S2989" s="13" t="s">
        <v>0</v>
      </c>
      <c r="T2989" s="13" t="s">
        <v>9</v>
      </c>
      <c r="U2989" s="13" t="s">
        <v>0</v>
      </c>
      <c r="V2989" s="13" t="s">
        <v>0</v>
      </c>
      <c r="W2989" s="13" t="s">
        <v>0</v>
      </c>
      <c r="X2989" s="13" t="s">
        <v>0</v>
      </c>
      <c r="Y2989" s="13" t="s">
        <v>10</v>
      </c>
      <c r="Z2989" s="13" t="s">
        <v>0</v>
      </c>
      <c r="AA2989" s="14"/>
      <c r="AB2989" s="13" t="s">
        <v>0</v>
      </c>
      <c r="AC2989" s="13" t="s">
        <v>0</v>
      </c>
      <c r="AD2989" s="13" t="s">
        <v>0</v>
      </c>
      <c r="AE2989" s="15">
        <v>0</v>
      </c>
    </row>
    <row r="2990" spans="1:31" ht="14.15" customHeight="1" x14ac:dyDescent="0.25">
      <c r="A2990" s="12" t="s">
        <v>0</v>
      </c>
      <c r="B2990" s="13" t="s">
        <v>1</v>
      </c>
      <c r="C2990" s="13" t="s">
        <v>3342</v>
      </c>
      <c r="D2990" s="14">
        <v>44316</v>
      </c>
      <c r="E2990" s="14">
        <v>44316</v>
      </c>
      <c r="F2990" s="14">
        <v>44323</v>
      </c>
      <c r="G2990" s="13" t="s">
        <v>3</v>
      </c>
      <c r="H2990" s="13" t="s">
        <v>4</v>
      </c>
      <c r="I2990" s="15">
        <v>-665.75</v>
      </c>
      <c r="J2990" s="13" t="s">
        <v>5</v>
      </c>
      <c r="K2990" s="13" t="s">
        <v>6</v>
      </c>
      <c r="L2990" s="15">
        <v>-55889.71</v>
      </c>
      <c r="M2990" s="15">
        <v>-665.75</v>
      </c>
      <c r="N2990" s="16" t="str">
        <f>IF(M2990="","",IF(M2990&lt;0,-M2990&amp;"_"&amp;COUNTIF(M$2:M2990,M2990),M2990&amp;"_"&amp;COUNTIF(M$2:M2990,M2990)))</f>
        <v>665.75_2</v>
      </c>
      <c r="O2990" s="17" t="str">
        <f t="shared" si="46"/>
        <v/>
      </c>
      <c r="P2990" s="13" t="s">
        <v>3343</v>
      </c>
      <c r="Q2990" s="13" t="s">
        <v>3339</v>
      </c>
      <c r="R2990" s="13" t="s">
        <v>0</v>
      </c>
      <c r="S2990" s="13" t="s">
        <v>0</v>
      </c>
      <c r="T2990" s="13" t="s">
        <v>9</v>
      </c>
      <c r="U2990" s="13" t="s">
        <v>0</v>
      </c>
      <c r="V2990" s="13" t="s">
        <v>0</v>
      </c>
      <c r="W2990" s="13" t="s">
        <v>0</v>
      </c>
      <c r="X2990" s="13" t="s">
        <v>0</v>
      </c>
      <c r="Y2990" s="13" t="s">
        <v>10</v>
      </c>
      <c r="Z2990" s="13" t="s">
        <v>0</v>
      </c>
      <c r="AA2990" s="14"/>
      <c r="AB2990" s="13" t="s">
        <v>0</v>
      </c>
      <c r="AC2990" s="13" t="s">
        <v>0</v>
      </c>
      <c r="AD2990" s="13" t="s">
        <v>0</v>
      </c>
      <c r="AE2990" s="15">
        <v>0</v>
      </c>
    </row>
    <row r="2991" spans="1:31" ht="14.15" customHeight="1" x14ac:dyDescent="0.25">
      <c r="A2991" s="12" t="s">
        <v>0</v>
      </c>
      <c r="B2991" s="13" t="s">
        <v>1</v>
      </c>
      <c r="C2991" s="13" t="s">
        <v>1967</v>
      </c>
      <c r="D2991" s="14">
        <v>44195</v>
      </c>
      <c r="E2991" s="14">
        <v>44195</v>
      </c>
      <c r="F2991" s="14">
        <v>44202</v>
      </c>
      <c r="G2991" s="13" t="s">
        <v>3</v>
      </c>
      <c r="H2991" s="13" t="s">
        <v>4</v>
      </c>
      <c r="I2991" s="15">
        <v>-660.83</v>
      </c>
      <c r="J2991" s="13" t="s">
        <v>5</v>
      </c>
      <c r="K2991" s="13" t="s">
        <v>6</v>
      </c>
      <c r="L2991" s="15">
        <v>-55476.68</v>
      </c>
      <c r="M2991" s="15">
        <v>-660.83</v>
      </c>
      <c r="N2991" s="16" t="str">
        <f>IF(M2991="","",IF(M2991&lt;0,-M2991&amp;"_"&amp;COUNTIF(M$2:M2991,M2991),M2991&amp;"_"&amp;COUNTIF(M$2:M2991,M2991)))</f>
        <v>660.83_1</v>
      </c>
      <c r="O2991" s="17" t="str">
        <f t="shared" si="46"/>
        <v/>
      </c>
      <c r="P2991" s="13" t="s">
        <v>1968</v>
      </c>
      <c r="Q2991" s="13" t="s">
        <v>1956</v>
      </c>
      <c r="R2991" s="13" t="s">
        <v>0</v>
      </c>
      <c r="S2991" s="13" t="s">
        <v>0</v>
      </c>
      <c r="T2991" s="13" t="s">
        <v>9</v>
      </c>
      <c r="U2991" s="13" t="s">
        <v>0</v>
      </c>
      <c r="V2991" s="13" t="s">
        <v>0</v>
      </c>
      <c r="W2991" s="13" t="s">
        <v>0</v>
      </c>
      <c r="X2991" s="13" t="s">
        <v>0</v>
      </c>
      <c r="Y2991" s="13" t="s">
        <v>10</v>
      </c>
      <c r="Z2991" s="13" t="s">
        <v>0</v>
      </c>
      <c r="AA2991" s="14"/>
      <c r="AB2991" s="13" t="s">
        <v>0</v>
      </c>
      <c r="AC2991" s="13" t="s">
        <v>0</v>
      </c>
      <c r="AD2991" s="13" t="s">
        <v>0</v>
      </c>
      <c r="AE2991" s="15">
        <v>0</v>
      </c>
    </row>
    <row r="2992" spans="1:31" ht="14.15" customHeight="1" x14ac:dyDescent="0.25">
      <c r="A2992" s="12" t="s">
        <v>0</v>
      </c>
      <c r="B2992" s="13" t="s">
        <v>1</v>
      </c>
      <c r="C2992" s="13" t="s">
        <v>1372</v>
      </c>
      <c r="D2992" s="14">
        <v>44151</v>
      </c>
      <c r="E2992" s="14">
        <v>44151</v>
      </c>
      <c r="F2992" s="14">
        <v>44161</v>
      </c>
      <c r="G2992" s="13" t="s">
        <v>3</v>
      </c>
      <c r="H2992" s="13" t="s">
        <v>4</v>
      </c>
      <c r="I2992" s="15">
        <v>-654.95000000000005</v>
      </c>
      <c r="J2992" s="13" t="s">
        <v>5</v>
      </c>
      <c r="K2992" s="13" t="s">
        <v>6</v>
      </c>
      <c r="L2992" s="15">
        <v>-54983.05</v>
      </c>
      <c r="M2992" s="15">
        <v>-654.95000000000005</v>
      </c>
      <c r="N2992" s="16" t="str">
        <f>IF(M2992="","",IF(M2992&lt;0,-M2992&amp;"_"&amp;COUNTIF(M$2:M2992,M2992),M2992&amp;"_"&amp;COUNTIF(M$2:M2992,M2992)))</f>
        <v>654.95_1</v>
      </c>
      <c r="O2992" s="17" t="str">
        <f t="shared" si="46"/>
        <v/>
      </c>
      <c r="P2992" s="13" t="s">
        <v>1373</v>
      </c>
      <c r="Q2992" s="13" t="s">
        <v>1363</v>
      </c>
      <c r="R2992" s="13" t="s">
        <v>0</v>
      </c>
      <c r="S2992" s="13" t="s">
        <v>0</v>
      </c>
      <c r="T2992" s="13" t="s">
        <v>9</v>
      </c>
      <c r="U2992" s="13" t="s">
        <v>0</v>
      </c>
      <c r="V2992" s="13" t="s">
        <v>0</v>
      </c>
      <c r="W2992" s="13" t="s">
        <v>0</v>
      </c>
      <c r="X2992" s="13" t="s">
        <v>0</v>
      </c>
      <c r="Y2992" s="13" t="s">
        <v>10</v>
      </c>
      <c r="Z2992" s="13" t="s">
        <v>0</v>
      </c>
      <c r="AA2992" s="14"/>
      <c r="AB2992" s="13" t="s">
        <v>0</v>
      </c>
      <c r="AC2992" s="13" t="s">
        <v>0</v>
      </c>
      <c r="AD2992" s="13" t="s">
        <v>0</v>
      </c>
      <c r="AE2992" s="15">
        <v>0</v>
      </c>
    </row>
    <row r="2993" spans="1:31" ht="14.15" customHeight="1" x14ac:dyDescent="0.25">
      <c r="A2993" s="12" t="s">
        <v>0</v>
      </c>
      <c r="B2993" s="13" t="s">
        <v>303</v>
      </c>
      <c r="C2993" s="13" t="s">
        <v>3359</v>
      </c>
      <c r="D2993" s="14">
        <v>44316</v>
      </c>
      <c r="E2993" s="14">
        <v>44316</v>
      </c>
      <c r="F2993" s="14">
        <v>44322</v>
      </c>
      <c r="G2993" s="13" t="s">
        <v>48</v>
      </c>
      <c r="H2993" s="13" t="s">
        <v>4</v>
      </c>
      <c r="I2993" s="15">
        <v>-652.16999999999996</v>
      </c>
      <c r="J2993" s="13" t="s">
        <v>5</v>
      </c>
      <c r="K2993" s="13" t="s">
        <v>6</v>
      </c>
      <c r="L2993" s="15">
        <v>-54749.67</v>
      </c>
      <c r="M2993" s="15">
        <v>-652.16999999999996</v>
      </c>
      <c r="N2993" s="16" t="str">
        <f>IF(M2993="","",IF(M2993&lt;0,-M2993&amp;"_"&amp;COUNTIF(M$2:M2993,M2993),M2993&amp;"_"&amp;COUNTIF(M$2:M2993,M2993)))</f>
        <v>652.17_1</v>
      </c>
      <c r="O2993" s="17" t="str">
        <f t="shared" si="46"/>
        <v/>
      </c>
      <c r="P2993" s="13" t="s">
        <v>3360</v>
      </c>
      <c r="Q2993" s="13" t="s">
        <v>3360</v>
      </c>
      <c r="R2993" s="13" t="s">
        <v>2002</v>
      </c>
      <c r="S2993" s="13" t="s">
        <v>0</v>
      </c>
      <c r="T2993" s="13" t="s">
        <v>9</v>
      </c>
      <c r="U2993" s="13" t="s">
        <v>3095</v>
      </c>
      <c r="V2993" s="13" t="s">
        <v>0</v>
      </c>
      <c r="W2993" s="13" t="s">
        <v>0</v>
      </c>
      <c r="X2993" s="13" t="s">
        <v>0</v>
      </c>
      <c r="Y2993" s="13" t="s">
        <v>0</v>
      </c>
      <c r="Z2993" s="13" t="s">
        <v>0</v>
      </c>
      <c r="AA2993" s="14"/>
      <c r="AB2993" s="13" t="s">
        <v>0</v>
      </c>
      <c r="AC2993" s="13" t="s">
        <v>0</v>
      </c>
      <c r="AD2993" s="13" t="s">
        <v>0</v>
      </c>
      <c r="AE2993" s="15">
        <v>0</v>
      </c>
    </row>
    <row r="2994" spans="1:31" ht="14.15" customHeight="1" x14ac:dyDescent="0.25">
      <c r="A2994" s="12" t="s">
        <v>0</v>
      </c>
      <c r="B2994" s="13" t="s">
        <v>303</v>
      </c>
      <c r="C2994" s="13" t="s">
        <v>550</v>
      </c>
      <c r="D2994" s="14">
        <v>44074</v>
      </c>
      <c r="E2994" s="14">
        <v>44074</v>
      </c>
      <c r="F2994" s="14">
        <v>44082</v>
      </c>
      <c r="G2994" s="13" t="s">
        <v>48</v>
      </c>
      <c r="H2994" s="13" t="s">
        <v>4</v>
      </c>
      <c r="I2994" s="15">
        <v>-644.1</v>
      </c>
      <c r="J2994" s="13" t="s">
        <v>68</v>
      </c>
      <c r="K2994" s="13" t="s">
        <v>6</v>
      </c>
      <c r="L2994" s="15">
        <v>-54072.2</v>
      </c>
      <c r="M2994" s="15">
        <v>-644.1</v>
      </c>
      <c r="N2994" s="16" t="str">
        <f>IF(M2994="","",IF(M2994&lt;0,-M2994&amp;"_"&amp;COUNTIF(M$2:M2994,M2994),M2994&amp;"_"&amp;COUNTIF(M$2:M2994,M2994)))</f>
        <v>644.1_1</v>
      </c>
      <c r="O2994" s="17" t="str">
        <f t="shared" si="46"/>
        <v/>
      </c>
      <c r="P2994" s="13" t="s">
        <v>551</v>
      </c>
      <c r="Q2994" s="13" t="s">
        <v>551</v>
      </c>
      <c r="R2994" s="13" t="s">
        <v>306</v>
      </c>
      <c r="S2994" s="13" t="s">
        <v>0</v>
      </c>
      <c r="T2994" s="13" t="s">
        <v>9</v>
      </c>
      <c r="U2994" s="13" t="s">
        <v>307</v>
      </c>
      <c r="V2994" s="13" t="s">
        <v>0</v>
      </c>
      <c r="W2994" s="13" t="s">
        <v>0</v>
      </c>
      <c r="X2994" s="13" t="s">
        <v>0</v>
      </c>
      <c r="Y2994" s="13" t="s">
        <v>291</v>
      </c>
      <c r="Z2994" s="13" t="s">
        <v>0</v>
      </c>
      <c r="AA2994" s="14"/>
      <c r="AB2994" s="13" t="s">
        <v>0</v>
      </c>
      <c r="AC2994" s="13" t="s">
        <v>0</v>
      </c>
      <c r="AD2994" s="13" t="s">
        <v>0</v>
      </c>
      <c r="AE2994" s="15">
        <v>0</v>
      </c>
    </row>
    <row r="2995" spans="1:31" ht="14.15" customHeight="1" x14ac:dyDescent="0.25">
      <c r="A2995" s="12" t="s">
        <v>0</v>
      </c>
      <c r="B2995" s="13" t="s">
        <v>1</v>
      </c>
      <c r="C2995" s="13" t="s">
        <v>4346</v>
      </c>
      <c r="D2995" s="14">
        <v>44375</v>
      </c>
      <c r="E2995" s="14">
        <v>44375</v>
      </c>
      <c r="F2995" s="14">
        <v>44378</v>
      </c>
      <c r="G2995" s="13" t="s">
        <v>3</v>
      </c>
      <c r="H2995" s="13" t="s">
        <v>4</v>
      </c>
      <c r="I2995" s="15">
        <v>-617.78</v>
      </c>
      <c r="J2995" s="13" t="s">
        <v>5</v>
      </c>
      <c r="K2995" s="13" t="s">
        <v>6</v>
      </c>
      <c r="L2995" s="15">
        <v>-51862.63</v>
      </c>
      <c r="M2995" s="15">
        <v>-617.78</v>
      </c>
      <c r="N2995" s="16" t="str">
        <f>IF(M2995="","",IF(M2995&lt;0,-M2995&amp;"_"&amp;COUNTIF(M$2:M2995,M2995),M2995&amp;"_"&amp;COUNTIF(M$2:M2995,M2995)))</f>
        <v>617.78_1</v>
      </c>
      <c r="O2995" s="17" t="str">
        <f t="shared" si="46"/>
        <v/>
      </c>
      <c r="P2995" s="13" t="s">
        <v>4347</v>
      </c>
      <c r="Q2995" s="13" t="s">
        <v>4341</v>
      </c>
      <c r="R2995" s="13" t="s">
        <v>0</v>
      </c>
      <c r="S2995" s="13" t="s">
        <v>0</v>
      </c>
      <c r="T2995" s="13" t="s">
        <v>9</v>
      </c>
      <c r="U2995" s="13" t="s">
        <v>0</v>
      </c>
      <c r="V2995" s="13" t="s">
        <v>0</v>
      </c>
      <c r="W2995" s="13" t="s">
        <v>0</v>
      </c>
      <c r="X2995" s="13" t="s">
        <v>0</v>
      </c>
      <c r="Y2995" s="13" t="s">
        <v>10</v>
      </c>
      <c r="Z2995" s="13" t="s">
        <v>0</v>
      </c>
      <c r="AA2995" s="14"/>
      <c r="AB2995" s="13" t="s">
        <v>0</v>
      </c>
      <c r="AC2995" s="13" t="s">
        <v>0</v>
      </c>
      <c r="AD2995" s="13" t="s">
        <v>0</v>
      </c>
      <c r="AE2995" s="15">
        <v>0</v>
      </c>
    </row>
    <row r="2996" spans="1:31" ht="14.15" customHeight="1" x14ac:dyDescent="0.25">
      <c r="A2996" s="12" t="s">
        <v>0</v>
      </c>
      <c r="B2996" s="13" t="s">
        <v>1</v>
      </c>
      <c r="C2996" s="13" t="s">
        <v>3806</v>
      </c>
      <c r="D2996" s="14">
        <v>44346</v>
      </c>
      <c r="E2996" s="14">
        <v>44346</v>
      </c>
      <c r="F2996" s="14">
        <v>44349</v>
      </c>
      <c r="G2996" s="13" t="s">
        <v>48</v>
      </c>
      <c r="H2996" s="13" t="s">
        <v>4</v>
      </c>
      <c r="I2996" s="15">
        <v>-600</v>
      </c>
      <c r="J2996" s="13" t="s">
        <v>5</v>
      </c>
      <c r="K2996" s="13" t="s">
        <v>6</v>
      </c>
      <c r="L2996" s="15">
        <v>-50370</v>
      </c>
      <c r="M2996" s="15">
        <v>-600</v>
      </c>
      <c r="N2996" s="16" t="str">
        <f>IF(M2996="","",IF(M2996&lt;0,-M2996&amp;"_"&amp;COUNTIF(M$2:M2996,M2996),M2996&amp;"_"&amp;COUNTIF(M$2:M2996,M2996)))</f>
        <v>600_1</v>
      </c>
      <c r="O2996" s="17" t="str">
        <f t="shared" si="46"/>
        <v/>
      </c>
      <c r="P2996" s="13" t="s">
        <v>3807</v>
      </c>
      <c r="Q2996" s="13" t="s">
        <v>3807</v>
      </c>
      <c r="R2996" s="13" t="s">
        <v>1656</v>
      </c>
      <c r="S2996" s="13" t="s">
        <v>0</v>
      </c>
      <c r="T2996" s="13" t="s">
        <v>9</v>
      </c>
      <c r="U2996" s="13" t="s">
        <v>1656</v>
      </c>
      <c r="V2996" s="13" t="s">
        <v>0</v>
      </c>
      <c r="W2996" s="13" t="s">
        <v>0</v>
      </c>
      <c r="X2996" s="13" t="s">
        <v>0</v>
      </c>
      <c r="Y2996" s="13" t="s">
        <v>10</v>
      </c>
      <c r="Z2996" s="13" t="s">
        <v>0</v>
      </c>
      <c r="AA2996" s="14"/>
      <c r="AB2996" s="13" t="s">
        <v>0</v>
      </c>
      <c r="AC2996" s="13" t="s">
        <v>0</v>
      </c>
      <c r="AD2996" s="13" t="s">
        <v>0</v>
      </c>
      <c r="AE2996" s="15">
        <v>0</v>
      </c>
    </row>
    <row r="2997" spans="1:31" ht="14.15" customHeight="1" x14ac:dyDescent="0.25">
      <c r="A2997" s="12" t="s">
        <v>0</v>
      </c>
      <c r="B2997" s="13" t="s">
        <v>1</v>
      </c>
      <c r="C2997" s="13" t="s">
        <v>393</v>
      </c>
      <c r="D2997" s="14">
        <v>44060</v>
      </c>
      <c r="E2997" s="14">
        <v>44060</v>
      </c>
      <c r="F2997" s="14">
        <v>44068</v>
      </c>
      <c r="G2997" s="13" t="s">
        <v>3</v>
      </c>
      <c r="H2997" s="13" t="s">
        <v>4</v>
      </c>
      <c r="I2997" s="15">
        <v>-594.67999999999995</v>
      </c>
      <c r="J2997" s="13" t="s">
        <v>68</v>
      </c>
      <c r="K2997" s="13" t="s">
        <v>6</v>
      </c>
      <c r="L2997" s="15">
        <v>-49923.39</v>
      </c>
      <c r="M2997" s="15">
        <v>-594.67999999999995</v>
      </c>
      <c r="N2997" s="16" t="str">
        <f>IF(M2997="","",IF(M2997&lt;0,-M2997&amp;"_"&amp;COUNTIF(M$2:M2997,M2997),M2997&amp;"_"&amp;COUNTIF(M$2:M2997,M2997)))</f>
        <v>594.68_1</v>
      </c>
      <c r="O2997" s="17" t="str">
        <f t="shared" si="46"/>
        <v/>
      </c>
      <c r="P2997" s="13" t="s">
        <v>395</v>
      </c>
      <c r="Q2997" s="13" t="s">
        <v>388</v>
      </c>
      <c r="R2997" s="13" t="s">
        <v>0</v>
      </c>
      <c r="S2997" s="13" t="s">
        <v>0</v>
      </c>
      <c r="T2997" s="13" t="s">
        <v>9</v>
      </c>
      <c r="U2997" s="13" t="s">
        <v>0</v>
      </c>
      <c r="V2997" s="13" t="s">
        <v>0</v>
      </c>
      <c r="W2997" s="13" t="s">
        <v>0</v>
      </c>
      <c r="X2997" s="13" t="s">
        <v>0</v>
      </c>
      <c r="Y2997" s="13" t="s">
        <v>10</v>
      </c>
      <c r="Z2997" s="13" t="s">
        <v>0</v>
      </c>
      <c r="AA2997" s="14"/>
      <c r="AB2997" s="13" t="s">
        <v>0</v>
      </c>
      <c r="AC2997" s="13" t="s">
        <v>0</v>
      </c>
      <c r="AD2997" s="13" t="s">
        <v>0</v>
      </c>
      <c r="AE2997" s="15">
        <v>0</v>
      </c>
    </row>
    <row r="2998" spans="1:31" ht="14.15" customHeight="1" x14ac:dyDescent="0.25">
      <c r="A2998" s="12" t="s">
        <v>0</v>
      </c>
      <c r="B2998" s="13" t="s">
        <v>1</v>
      </c>
      <c r="C2998" s="13" t="s">
        <v>948</v>
      </c>
      <c r="D2998" s="14">
        <v>44122</v>
      </c>
      <c r="E2998" s="14">
        <v>44122</v>
      </c>
      <c r="F2998" s="14">
        <v>44126</v>
      </c>
      <c r="G2998" s="13" t="s">
        <v>3</v>
      </c>
      <c r="H2998" s="13" t="s">
        <v>4</v>
      </c>
      <c r="I2998" s="15">
        <v>-589</v>
      </c>
      <c r="J2998" s="13" t="s">
        <v>5</v>
      </c>
      <c r="K2998" s="13" t="s">
        <v>6</v>
      </c>
      <c r="L2998" s="15">
        <v>-49446.55</v>
      </c>
      <c r="M2998" s="15">
        <v>-589</v>
      </c>
      <c r="N2998" s="16" t="str">
        <f>IF(M2998="","",IF(M2998&lt;0,-M2998&amp;"_"&amp;COUNTIF(M$2:M2998,M2998),M2998&amp;"_"&amp;COUNTIF(M$2:M2998,M2998)))</f>
        <v>589_1</v>
      </c>
      <c r="O2998" s="17" t="str">
        <f t="shared" si="46"/>
        <v/>
      </c>
      <c r="P2998" s="13" t="s">
        <v>949</v>
      </c>
      <c r="Q2998" s="13" t="s">
        <v>947</v>
      </c>
      <c r="R2998" s="13" t="s">
        <v>0</v>
      </c>
      <c r="S2998" s="13" t="s">
        <v>0</v>
      </c>
      <c r="T2998" s="13" t="s">
        <v>9</v>
      </c>
      <c r="U2998" s="13" t="s">
        <v>0</v>
      </c>
      <c r="V2998" s="13" t="s">
        <v>0</v>
      </c>
      <c r="W2998" s="13" t="s">
        <v>0</v>
      </c>
      <c r="X2998" s="13" t="s">
        <v>0</v>
      </c>
      <c r="Y2998" s="13" t="s">
        <v>10</v>
      </c>
      <c r="Z2998" s="13" t="s">
        <v>0</v>
      </c>
      <c r="AA2998" s="14"/>
      <c r="AB2998" s="13" t="s">
        <v>0</v>
      </c>
      <c r="AC2998" s="13" t="s">
        <v>0</v>
      </c>
      <c r="AD2998" s="13" t="s">
        <v>0</v>
      </c>
      <c r="AE2998" s="15">
        <v>0</v>
      </c>
    </row>
    <row r="2999" spans="1:31" ht="14.15" customHeight="1" x14ac:dyDescent="0.25">
      <c r="A2999" s="12" t="s">
        <v>0</v>
      </c>
      <c r="B2999" s="13" t="s">
        <v>1</v>
      </c>
      <c r="C2999" s="13" t="s">
        <v>1066</v>
      </c>
      <c r="D2999" s="14">
        <v>44133</v>
      </c>
      <c r="E2999" s="14">
        <v>44133</v>
      </c>
      <c r="F2999" s="14">
        <v>44137</v>
      </c>
      <c r="G2999" s="13" t="s">
        <v>3</v>
      </c>
      <c r="H2999" s="13" t="s">
        <v>4</v>
      </c>
      <c r="I2999" s="15">
        <v>-589</v>
      </c>
      <c r="J2999" s="13" t="s">
        <v>5</v>
      </c>
      <c r="K2999" s="13" t="s">
        <v>6</v>
      </c>
      <c r="L2999" s="15">
        <v>-49446.55</v>
      </c>
      <c r="M2999" s="15">
        <v>-589</v>
      </c>
      <c r="N2999" s="16" t="str">
        <f>IF(M2999="","",IF(M2999&lt;0,-M2999&amp;"_"&amp;COUNTIF(M$2:M2999,M2999),M2999&amp;"_"&amp;COUNTIF(M$2:M2999,M2999)))</f>
        <v>589_2</v>
      </c>
      <c r="O2999" s="17" t="str">
        <f t="shared" si="46"/>
        <v/>
      </c>
      <c r="P2999" s="13" t="s">
        <v>1067</v>
      </c>
      <c r="Q2999" s="13" t="s">
        <v>1065</v>
      </c>
      <c r="R2999" s="13" t="s">
        <v>0</v>
      </c>
      <c r="S2999" s="13" t="s">
        <v>0</v>
      </c>
      <c r="T2999" s="13" t="s">
        <v>9</v>
      </c>
      <c r="U2999" s="13" t="s">
        <v>0</v>
      </c>
      <c r="V2999" s="13" t="s">
        <v>0</v>
      </c>
      <c r="W2999" s="13" t="s">
        <v>0</v>
      </c>
      <c r="X2999" s="13" t="s">
        <v>0</v>
      </c>
      <c r="Y2999" s="13" t="s">
        <v>10</v>
      </c>
      <c r="Z2999" s="13" t="s">
        <v>0</v>
      </c>
      <c r="AA2999" s="14"/>
      <c r="AB2999" s="13" t="s">
        <v>0</v>
      </c>
      <c r="AC2999" s="13" t="s">
        <v>0</v>
      </c>
      <c r="AD2999" s="13" t="s">
        <v>0</v>
      </c>
      <c r="AE2999" s="15">
        <v>0</v>
      </c>
    </row>
    <row r="3000" spans="1:31" ht="14.15" customHeight="1" x14ac:dyDescent="0.25">
      <c r="A3000" s="12" t="s">
        <v>0</v>
      </c>
      <c r="B3000" s="13" t="s">
        <v>1</v>
      </c>
      <c r="C3000" s="13" t="s">
        <v>2824</v>
      </c>
      <c r="D3000" s="14">
        <v>44267</v>
      </c>
      <c r="E3000" s="14">
        <v>44267</v>
      </c>
      <c r="F3000" s="14">
        <v>44272</v>
      </c>
      <c r="G3000" s="13" t="s">
        <v>3</v>
      </c>
      <c r="H3000" s="13" t="s">
        <v>4</v>
      </c>
      <c r="I3000" s="15">
        <v>-583.51</v>
      </c>
      <c r="J3000" s="13" t="s">
        <v>394</v>
      </c>
      <c r="K3000" s="13" t="s">
        <v>6</v>
      </c>
      <c r="L3000" s="15">
        <v>-48985.66</v>
      </c>
      <c r="M3000" s="15">
        <v>-583.51</v>
      </c>
      <c r="N3000" s="16" t="str">
        <f>IF(M3000="","",IF(M3000&lt;0,-M3000&amp;"_"&amp;COUNTIF(M$2:M3000,M3000),M3000&amp;"_"&amp;COUNTIF(M$2:M3000,M3000)))</f>
        <v>583.51_1</v>
      </c>
      <c r="O3000" s="17" t="str">
        <f t="shared" si="46"/>
        <v/>
      </c>
      <c r="P3000" s="13" t="s">
        <v>2825</v>
      </c>
      <c r="Q3000" s="13" t="s">
        <v>2823</v>
      </c>
      <c r="R3000" s="13" t="s">
        <v>0</v>
      </c>
      <c r="S3000" s="13" t="s">
        <v>0</v>
      </c>
      <c r="T3000" s="13" t="s">
        <v>9</v>
      </c>
      <c r="U3000" s="13" t="s">
        <v>0</v>
      </c>
      <c r="V3000" s="13" t="s">
        <v>0</v>
      </c>
      <c r="W3000" s="13" t="s">
        <v>0</v>
      </c>
      <c r="X3000" s="13" t="s">
        <v>0</v>
      </c>
      <c r="Y3000" s="13" t="s">
        <v>10</v>
      </c>
      <c r="Z3000" s="13" t="s">
        <v>0</v>
      </c>
      <c r="AA3000" s="14"/>
      <c r="AB3000" s="13" t="s">
        <v>0</v>
      </c>
      <c r="AC3000" s="13" t="s">
        <v>0</v>
      </c>
      <c r="AD3000" s="13" t="s">
        <v>0</v>
      </c>
      <c r="AE3000" s="15">
        <v>0</v>
      </c>
    </row>
    <row r="3001" spans="1:31" ht="14.15" customHeight="1" x14ac:dyDescent="0.25">
      <c r="A3001" s="12" t="s">
        <v>0</v>
      </c>
      <c r="B3001" s="13" t="s">
        <v>1</v>
      </c>
      <c r="C3001" s="13" t="s">
        <v>1372</v>
      </c>
      <c r="D3001" s="14">
        <v>44151</v>
      </c>
      <c r="E3001" s="14">
        <v>44151</v>
      </c>
      <c r="F3001" s="14">
        <v>44161</v>
      </c>
      <c r="G3001" s="13" t="s">
        <v>3</v>
      </c>
      <c r="H3001" s="13" t="s">
        <v>4</v>
      </c>
      <c r="I3001" s="15">
        <v>-582.17999999999995</v>
      </c>
      <c r="J3001" s="13" t="s">
        <v>325</v>
      </c>
      <c r="K3001" s="13" t="s">
        <v>6</v>
      </c>
      <c r="L3001" s="15">
        <v>-48874.02</v>
      </c>
      <c r="M3001" s="15">
        <v>-582.17999999999995</v>
      </c>
      <c r="N3001" s="16" t="str">
        <f>IF(M3001="","",IF(M3001&lt;0,-M3001&amp;"_"&amp;COUNTIF(M$2:M3001,M3001),M3001&amp;"_"&amp;COUNTIF(M$2:M3001,M3001)))</f>
        <v>582.18_1</v>
      </c>
      <c r="O3001" s="17" t="str">
        <f t="shared" si="46"/>
        <v/>
      </c>
      <c r="P3001" s="13" t="s">
        <v>1373</v>
      </c>
      <c r="Q3001" s="13" t="s">
        <v>1363</v>
      </c>
      <c r="R3001" s="13" t="s">
        <v>0</v>
      </c>
      <c r="S3001" s="13" t="s">
        <v>0</v>
      </c>
      <c r="T3001" s="13" t="s">
        <v>9</v>
      </c>
      <c r="U3001" s="13" t="s">
        <v>0</v>
      </c>
      <c r="V3001" s="13" t="s">
        <v>0</v>
      </c>
      <c r="W3001" s="13" t="s">
        <v>0</v>
      </c>
      <c r="X3001" s="13" t="s">
        <v>0</v>
      </c>
      <c r="Y3001" s="13" t="s">
        <v>10</v>
      </c>
      <c r="Z3001" s="13" t="s">
        <v>0</v>
      </c>
      <c r="AA3001" s="14"/>
      <c r="AB3001" s="13" t="s">
        <v>0</v>
      </c>
      <c r="AC3001" s="13" t="s">
        <v>0</v>
      </c>
      <c r="AD3001" s="13" t="s">
        <v>0</v>
      </c>
      <c r="AE3001" s="15">
        <v>0</v>
      </c>
    </row>
    <row r="3002" spans="1:31" ht="14.15" customHeight="1" x14ac:dyDescent="0.25">
      <c r="A3002" s="12" t="s">
        <v>0</v>
      </c>
      <c r="B3002" s="13" t="s">
        <v>289</v>
      </c>
      <c r="C3002" s="13" t="s">
        <v>2702</v>
      </c>
      <c r="D3002" s="14">
        <v>44255</v>
      </c>
      <c r="E3002" s="14">
        <v>44255</v>
      </c>
      <c r="F3002" s="14">
        <v>44262</v>
      </c>
      <c r="G3002" s="13" t="s">
        <v>48</v>
      </c>
      <c r="H3002" s="13" t="s">
        <v>4</v>
      </c>
      <c r="I3002" s="15">
        <v>-570.75</v>
      </c>
      <c r="J3002" s="13" t="s">
        <v>5</v>
      </c>
      <c r="K3002" s="13" t="s">
        <v>6</v>
      </c>
      <c r="L3002" s="15">
        <v>-47914.46</v>
      </c>
      <c r="M3002" s="15">
        <v>-570.75</v>
      </c>
      <c r="N3002" s="16" t="str">
        <f>IF(M3002="","",IF(M3002&lt;0,-M3002&amp;"_"&amp;COUNTIF(M$2:M3002,M3002),M3002&amp;"_"&amp;COUNTIF(M$2:M3002,M3002)))</f>
        <v>570.75_1</v>
      </c>
      <c r="O3002" s="17" t="str">
        <f t="shared" si="46"/>
        <v/>
      </c>
      <c r="P3002" s="13" t="s">
        <v>2703</v>
      </c>
      <c r="Q3002" s="13" t="s">
        <v>2704</v>
      </c>
      <c r="R3002" s="13" t="s">
        <v>1994</v>
      </c>
      <c r="S3002" s="13" t="s">
        <v>0</v>
      </c>
      <c r="T3002" s="13" t="s">
        <v>9</v>
      </c>
      <c r="U3002" s="13" t="s">
        <v>1995</v>
      </c>
      <c r="V3002" s="13" t="s">
        <v>0</v>
      </c>
      <c r="W3002" s="13" t="s">
        <v>0</v>
      </c>
      <c r="X3002" s="13" t="s">
        <v>0</v>
      </c>
      <c r="Y3002" s="13" t="s">
        <v>0</v>
      </c>
      <c r="Z3002" s="13" t="s">
        <v>0</v>
      </c>
      <c r="AA3002" s="14"/>
      <c r="AB3002" s="13" t="s">
        <v>0</v>
      </c>
      <c r="AC3002" s="13" t="s">
        <v>0</v>
      </c>
      <c r="AD3002" s="13" t="s">
        <v>0</v>
      </c>
      <c r="AE3002" s="15">
        <v>0</v>
      </c>
    </row>
    <row r="3003" spans="1:31" ht="14.15" customHeight="1" x14ac:dyDescent="0.25">
      <c r="A3003" s="12" t="s">
        <v>0</v>
      </c>
      <c r="B3003" s="13" t="s">
        <v>303</v>
      </c>
      <c r="C3003" s="13" t="s">
        <v>308</v>
      </c>
      <c r="D3003" s="14">
        <v>44042</v>
      </c>
      <c r="E3003" s="14">
        <v>44042</v>
      </c>
      <c r="F3003" s="14">
        <v>44056</v>
      </c>
      <c r="G3003" s="13" t="s">
        <v>48</v>
      </c>
      <c r="H3003" s="13" t="s">
        <v>4</v>
      </c>
      <c r="I3003" s="15">
        <v>-562.95000000000005</v>
      </c>
      <c r="J3003" s="13" t="s">
        <v>5</v>
      </c>
      <c r="K3003" s="13" t="s">
        <v>6</v>
      </c>
      <c r="L3003" s="15">
        <v>-47259.65</v>
      </c>
      <c r="M3003" s="15">
        <v>-562.95000000000005</v>
      </c>
      <c r="N3003" s="16" t="str">
        <f>IF(M3003="","",IF(M3003&lt;0,-M3003&amp;"_"&amp;COUNTIF(M$2:M3003,M3003),M3003&amp;"_"&amp;COUNTIF(M$2:M3003,M3003)))</f>
        <v>562.95_1</v>
      </c>
      <c r="O3003" s="17" t="str">
        <f t="shared" si="46"/>
        <v/>
      </c>
      <c r="P3003" s="13" t="s">
        <v>309</v>
      </c>
      <c r="Q3003" s="13" t="s">
        <v>309</v>
      </c>
      <c r="R3003" s="13" t="s">
        <v>306</v>
      </c>
      <c r="S3003" s="13" t="s">
        <v>0</v>
      </c>
      <c r="T3003" s="13" t="s">
        <v>9</v>
      </c>
      <c r="U3003" s="13" t="s">
        <v>307</v>
      </c>
      <c r="V3003" s="13" t="s">
        <v>0</v>
      </c>
      <c r="W3003" s="13" t="s">
        <v>0</v>
      </c>
      <c r="X3003" s="13" t="s">
        <v>0</v>
      </c>
      <c r="Y3003" s="13" t="s">
        <v>291</v>
      </c>
      <c r="Z3003" s="13" t="s">
        <v>0</v>
      </c>
      <c r="AA3003" s="14"/>
      <c r="AB3003" s="13" t="s">
        <v>0</v>
      </c>
      <c r="AC3003" s="13" t="s">
        <v>0</v>
      </c>
      <c r="AD3003" s="13" t="s">
        <v>0</v>
      </c>
      <c r="AE3003" s="15">
        <v>0</v>
      </c>
    </row>
    <row r="3004" spans="1:31" ht="14.15" customHeight="1" x14ac:dyDescent="0.25">
      <c r="A3004" s="12" t="s">
        <v>0</v>
      </c>
      <c r="B3004" s="13" t="s">
        <v>1</v>
      </c>
      <c r="C3004" s="13" t="s">
        <v>1139</v>
      </c>
      <c r="D3004" s="14">
        <v>44140</v>
      </c>
      <c r="E3004" s="14">
        <v>44140</v>
      </c>
      <c r="F3004" s="14">
        <v>44163</v>
      </c>
      <c r="G3004" s="13" t="s">
        <v>48</v>
      </c>
      <c r="H3004" s="13" t="s">
        <v>4</v>
      </c>
      <c r="I3004" s="15">
        <v>-549</v>
      </c>
      <c r="J3004" s="13" t="s">
        <v>5</v>
      </c>
      <c r="K3004" s="13" t="s">
        <v>6</v>
      </c>
      <c r="L3004" s="15">
        <v>-46088.55</v>
      </c>
      <c r="M3004" s="15">
        <v>-549</v>
      </c>
      <c r="N3004" s="16" t="str">
        <f>IF(M3004="","",IF(M3004&lt;0,-M3004&amp;"_"&amp;COUNTIF(M$2:M3004,M3004),M3004&amp;"_"&amp;COUNTIF(M$2:M3004,M3004)))</f>
        <v>549_1</v>
      </c>
      <c r="O3004" s="17" t="str">
        <f t="shared" si="46"/>
        <v/>
      </c>
      <c r="P3004" s="13" t="s">
        <v>1140</v>
      </c>
      <c r="Q3004" s="13" t="s">
        <v>1140</v>
      </c>
      <c r="R3004" s="13" t="s">
        <v>50</v>
      </c>
      <c r="S3004" s="13" t="s">
        <v>0</v>
      </c>
      <c r="T3004" s="13" t="s">
        <v>9</v>
      </c>
      <c r="U3004" s="13" t="s">
        <v>50</v>
      </c>
      <c r="V3004" s="13" t="s">
        <v>0</v>
      </c>
      <c r="W3004" s="13" t="s">
        <v>0</v>
      </c>
      <c r="X3004" s="13" t="s">
        <v>0</v>
      </c>
      <c r="Y3004" s="13" t="s">
        <v>10</v>
      </c>
      <c r="Z3004" s="13" t="s">
        <v>0</v>
      </c>
      <c r="AA3004" s="14"/>
      <c r="AB3004" s="13" t="s">
        <v>0</v>
      </c>
      <c r="AC3004" s="13" t="s">
        <v>0</v>
      </c>
      <c r="AD3004" s="13" t="s">
        <v>0</v>
      </c>
      <c r="AE3004" s="15">
        <v>0</v>
      </c>
    </row>
    <row r="3005" spans="1:31" ht="14.15" customHeight="1" x14ac:dyDescent="0.25">
      <c r="A3005" s="12" t="s">
        <v>0</v>
      </c>
      <c r="B3005" s="13" t="s">
        <v>1</v>
      </c>
      <c r="C3005" s="13" t="s">
        <v>1218</v>
      </c>
      <c r="D3005" s="14">
        <v>44141</v>
      </c>
      <c r="E3005" s="14">
        <v>44141</v>
      </c>
      <c r="F3005" s="14">
        <v>44146</v>
      </c>
      <c r="G3005" s="13" t="s">
        <v>3</v>
      </c>
      <c r="H3005" s="13" t="s">
        <v>4</v>
      </c>
      <c r="I3005" s="15">
        <v>-547.52</v>
      </c>
      <c r="J3005" s="13" t="s">
        <v>394</v>
      </c>
      <c r="K3005" s="13" t="s">
        <v>6</v>
      </c>
      <c r="L3005" s="15">
        <v>-45964.3</v>
      </c>
      <c r="M3005" s="15">
        <v>-547.52</v>
      </c>
      <c r="N3005" s="16" t="str">
        <f>IF(M3005="","",IF(M3005&lt;0,-M3005&amp;"_"&amp;COUNTIF(M$2:M3005,M3005),M3005&amp;"_"&amp;COUNTIF(M$2:M3005,M3005)))</f>
        <v>547.52_1</v>
      </c>
      <c r="O3005" s="17" t="str">
        <f t="shared" si="46"/>
        <v/>
      </c>
      <c r="P3005" s="13" t="s">
        <v>1219</v>
      </c>
      <c r="Q3005" s="13" t="s">
        <v>1220</v>
      </c>
      <c r="R3005" s="13" t="s">
        <v>0</v>
      </c>
      <c r="S3005" s="13" t="s">
        <v>0</v>
      </c>
      <c r="T3005" s="13" t="s">
        <v>9</v>
      </c>
      <c r="U3005" s="13" t="s">
        <v>0</v>
      </c>
      <c r="V3005" s="13" t="s">
        <v>0</v>
      </c>
      <c r="W3005" s="13" t="s">
        <v>0</v>
      </c>
      <c r="X3005" s="13" t="s">
        <v>0</v>
      </c>
      <c r="Y3005" s="13" t="s">
        <v>10</v>
      </c>
      <c r="Z3005" s="13" t="s">
        <v>0</v>
      </c>
      <c r="AA3005" s="14"/>
      <c r="AB3005" s="13" t="s">
        <v>0</v>
      </c>
      <c r="AC3005" s="13" t="s">
        <v>0</v>
      </c>
      <c r="AD3005" s="13" t="s">
        <v>0</v>
      </c>
      <c r="AE3005" s="15">
        <v>0</v>
      </c>
    </row>
    <row r="3006" spans="1:31" ht="14.15" customHeight="1" x14ac:dyDescent="0.25">
      <c r="A3006" s="12" t="s">
        <v>0</v>
      </c>
      <c r="B3006" s="13" t="s">
        <v>1</v>
      </c>
      <c r="C3006" s="13" t="s">
        <v>2522</v>
      </c>
      <c r="D3006" s="14">
        <v>44237</v>
      </c>
      <c r="E3006" s="14">
        <v>44237</v>
      </c>
      <c r="F3006" s="14">
        <v>44243</v>
      </c>
      <c r="G3006" s="13" t="s">
        <v>3</v>
      </c>
      <c r="H3006" s="13" t="s">
        <v>4</v>
      </c>
      <c r="I3006" s="15">
        <v>-543.9</v>
      </c>
      <c r="J3006" s="13" t="s">
        <v>68</v>
      </c>
      <c r="K3006" s="13" t="s">
        <v>6</v>
      </c>
      <c r="L3006" s="15">
        <v>-45660.41</v>
      </c>
      <c r="M3006" s="15">
        <v>-543.9</v>
      </c>
      <c r="N3006" s="16" t="str">
        <f>IF(M3006="","",IF(M3006&lt;0,-M3006&amp;"_"&amp;COUNTIF(M$2:M3006,M3006),M3006&amp;"_"&amp;COUNTIF(M$2:M3006,M3006)))</f>
        <v>543.9_1</v>
      </c>
      <c r="O3006" s="17" t="str">
        <f t="shared" si="46"/>
        <v/>
      </c>
      <c r="P3006" s="13" t="s">
        <v>2523</v>
      </c>
      <c r="Q3006" s="13" t="s">
        <v>2517</v>
      </c>
      <c r="R3006" s="13" t="s">
        <v>0</v>
      </c>
      <c r="S3006" s="13" t="s">
        <v>0</v>
      </c>
      <c r="T3006" s="13" t="s">
        <v>9</v>
      </c>
      <c r="U3006" s="13" t="s">
        <v>0</v>
      </c>
      <c r="V3006" s="13" t="s">
        <v>0</v>
      </c>
      <c r="W3006" s="13" t="s">
        <v>0</v>
      </c>
      <c r="X3006" s="13" t="s">
        <v>0</v>
      </c>
      <c r="Y3006" s="13" t="s">
        <v>10</v>
      </c>
      <c r="Z3006" s="13" t="s">
        <v>0</v>
      </c>
      <c r="AA3006" s="14"/>
      <c r="AB3006" s="13" t="s">
        <v>0</v>
      </c>
      <c r="AC3006" s="13" t="s">
        <v>0</v>
      </c>
      <c r="AD3006" s="13" t="s">
        <v>0</v>
      </c>
      <c r="AE3006" s="15">
        <v>0</v>
      </c>
    </row>
    <row r="3007" spans="1:31" ht="14.15" customHeight="1" x14ac:dyDescent="0.25">
      <c r="A3007" s="12" t="s">
        <v>0</v>
      </c>
      <c r="B3007" s="13" t="s">
        <v>1</v>
      </c>
      <c r="C3007" s="13" t="s">
        <v>3027</v>
      </c>
      <c r="D3007" s="14">
        <v>44281</v>
      </c>
      <c r="E3007" s="14">
        <v>44281</v>
      </c>
      <c r="F3007" s="14">
        <v>44290</v>
      </c>
      <c r="G3007" s="13" t="s">
        <v>3</v>
      </c>
      <c r="H3007" s="13" t="s">
        <v>4</v>
      </c>
      <c r="I3007" s="15">
        <v>-541.86</v>
      </c>
      <c r="J3007" s="13" t="s">
        <v>68</v>
      </c>
      <c r="K3007" s="13" t="s">
        <v>6</v>
      </c>
      <c r="L3007" s="15">
        <v>-45489.15</v>
      </c>
      <c r="M3007" s="15">
        <v>-541.86</v>
      </c>
      <c r="N3007" s="16" t="str">
        <f>IF(M3007="","",IF(M3007&lt;0,-M3007&amp;"_"&amp;COUNTIF(M$2:M3007,M3007),M3007&amp;"_"&amp;COUNTIF(M$2:M3007,M3007)))</f>
        <v>541.86_1</v>
      </c>
      <c r="O3007" s="17" t="str">
        <f t="shared" si="46"/>
        <v/>
      </c>
      <c r="P3007" s="13" t="s">
        <v>3028</v>
      </c>
      <c r="Q3007" s="13" t="s">
        <v>3014</v>
      </c>
      <c r="R3007" s="13" t="s">
        <v>0</v>
      </c>
      <c r="S3007" s="13" t="s">
        <v>0</v>
      </c>
      <c r="T3007" s="13" t="s">
        <v>9</v>
      </c>
      <c r="U3007" s="13" t="s">
        <v>0</v>
      </c>
      <c r="V3007" s="13" t="s">
        <v>0</v>
      </c>
      <c r="W3007" s="13" t="s">
        <v>0</v>
      </c>
      <c r="X3007" s="13" t="s">
        <v>0</v>
      </c>
      <c r="Y3007" s="13" t="s">
        <v>10</v>
      </c>
      <c r="Z3007" s="13" t="s">
        <v>0</v>
      </c>
      <c r="AA3007" s="14"/>
      <c r="AB3007" s="13" t="s">
        <v>0</v>
      </c>
      <c r="AC3007" s="13" t="s">
        <v>0</v>
      </c>
      <c r="AD3007" s="13" t="s">
        <v>0</v>
      </c>
      <c r="AE3007" s="15">
        <v>0</v>
      </c>
    </row>
    <row r="3008" spans="1:31" ht="14.15" customHeight="1" x14ac:dyDescent="0.25">
      <c r="A3008" s="12" t="s">
        <v>0</v>
      </c>
      <c r="B3008" s="13" t="s">
        <v>1</v>
      </c>
      <c r="C3008" s="13" t="s">
        <v>1655</v>
      </c>
      <c r="D3008" s="14">
        <v>44171</v>
      </c>
      <c r="E3008" s="14">
        <v>44171</v>
      </c>
      <c r="F3008" s="14">
        <v>44208</v>
      </c>
      <c r="G3008" s="13" t="s">
        <v>48</v>
      </c>
      <c r="H3008" s="13" t="s">
        <v>4</v>
      </c>
      <c r="I3008" s="15">
        <v>-540</v>
      </c>
      <c r="J3008" s="13" t="s">
        <v>5</v>
      </c>
      <c r="K3008" s="13" t="s">
        <v>6</v>
      </c>
      <c r="L3008" s="15">
        <v>-45333</v>
      </c>
      <c r="M3008" s="15">
        <v>-540</v>
      </c>
      <c r="N3008" s="16" t="str">
        <f>IF(M3008="","",IF(M3008&lt;0,-M3008&amp;"_"&amp;COUNTIF(M$2:M3008,M3008),M3008&amp;"_"&amp;COUNTIF(M$2:M3008,M3008)))</f>
        <v>540_1</v>
      </c>
      <c r="O3008" s="17" t="str">
        <f t="shared" si="46"/>
        <v/>
      </c>
      <c r="P3008" s="13" t="s">
        <v>1629</v>
      </c>
      <c r="Q3008" s="13" t="s">
        <v>1629</v>
      </c>
      <c r="R3008" s="13" t="s">
        <v>1656</v>
      </c>
      <c r="S3008" s="13" t="s">
        <v>0</v>
      </c>
      <c r="T3008" s="13" t="s">
        <v>9</v>
      </c>
      <c r="U3008" s="13" t="s">
        <v>1656</v>
      </c>
      <c r="V3008" s="13" t="s">
        <v>0</v>
      </c>
      <c r="W3008" s="13" t="s">
        <v>0</v>
      </c>
      <c r="X3008" s="13" t="s">
        <v>0</v>
      </c>
      <c r="Y3008" s="13" t="s">
        <v>10</v>
      </c>
      <c r="Z3008" s="13" t="s">
        <v>0</v>
      </c>
      <c r="AA3008" s="14"/>
      <c r="AB3008" s="13" t="s">
        <v>0</v>
      </c>
      <c r="AC3008" s="13" t="s">
        <v>0</v>
      </c>
      <c r="AD3008" s="13" t="s">
        <v>0</v>
      </c>
      <c r="AE3008" s="15">
        <v>0</v>
      </c>
    </row>
    <row r="3009" spans="1:31" ht="14.15" customHeight="1" x14ac:dyDescent="0.25">
      <c r="A3009" s="12" t="s">
        <v>0</v>
      </c>
      <c r="B3009" s="13" t="s">
        <v>1</v>
      </c>
      <c r="C3009" s="13" t="s">
        <v>52</v>
      </c>
      <c r="D3009" s="14">
        <v>44017</v>
      </c>
      <c r="E3009" s="14">
        <v>44017</v>
      </c>
      <c r="F3009" s="14">
        <v>44028</v>
      </c>
      <c r="G3009" s="13" t="s">
        <v>48</v>
      </c>
      <c r="H3009" s="13" t="s">
        <v>4</v>
      </c>
      <c r="I3009" s="15">
        <v>-510</v>
      </c>
      <c r="J3009" s="13" t="s">
        <v>5</v>
      </c>
      <c r="K3009" s="13" t="s">
        <v>6</v>
      </c>
      <c r="L3009" s="15">
        <v>-42814.5</v>
      </c>
      <c r="M3009" s="15">
        <v>-510</v>
      </c>
      <c r="N3009" s="16" t="str">
        <f>IF(M3009="","",IF(M3009&lt;0,-M3009&amp;"_"&amp;COUNTIF(M$2:M3009,M3009),M3009&amp;"_"&amp;COUNTIF(M$2:M3009,M3009)))</f>
        <v>510_1</v>
      </c>
      <c r="O3009" s="17" t="str">
        <f t="shared" si="46"/>
        <v/>
      </c>
      <c r="P3009" s="13" t="s">
        <v>53</v>
      </c>
      <c r="Q3009" s="13" t="s">
        <v>53</v>
      </c>
      <c r="R3009" s="13" t="s">
        <v>50</v>
      </c>
      <c r="S3009" s="13" t="s">
        <v>0</v>
      </c>
      <c r="T3009" s="13" t="s">
        <v>9</v>
      </c>
      <c r="U3009" s="13" t="s">
        <v>51</v>
      </c>
      <c r="V3009" s="13" t="s">
        <v>0</v>
      </c>
      <c r="W3009" s="13" t="s">
        <v>0</v>
      </c>
      <c r="X3009" s="13" t="s">
        <v>0</v>
      </c>
      <c r="Y3009" s="13" t="s">
        <v>10</v>
      </c>
      <c r="Z3009" s="13" t="s">
        <v>0</v>
      </c>
      <c r="AA3009" s="14"/>
      <c r="AB3009" s="13" t="s">
        <v>0</v>
      </c>
      <c r="AC3009" s="13" t="s">
        <v>0</v>
      </c>
      <c r="AD3009" s="13" t="s">
        <v>0</v>
      </c>
      <c r="AE3009" s="15">
        <v>0</v>
      </c>
    </row>
    <row r="3010" spans="1:31" ht="14.15" customHeight="1" x14ac:dyDescent="0.25">
      <c r="A3010" s="12" t="s">
        <v>0</v>
      </c>
      <c r="B3010" s="13" t="s">
        <v>1</v>
      </c>
      <c r="C3010" s="13" t="s">
        <v>959</v>
      </c>
      <c r="D3010" s="14">
        <v>44123</v>
      </c>
      <c r="E3010" s="14">
        <v>44123</v>
      </c>
      <c r="F3010" s="14">
        <v>44128</v>
      </c>
      <c r="G3010" s="13" t="s">
        <v>3</v>
      </c>
      <c r="H3010" s="13" t="s">
        <v>4</v>
      </c>
      <c r="I3010" s="15">
        <v>-501.81</v>
      </c>
      <c r="J3010" s="13" t="s">
        <v>5</v>
      </c>
      <c r="K3010" s="13" t="s">
        <v>6</v>
      </c>
      <c r="L3010" s="15">
        <v>-42126.95</v>
      </c>
      <c r="M3010" s="15">
        <v>-501.81</v>
      </c>
      <c r="N3010" s="16" t="str">
        <f>IF(M3010="","",IF(M3010&lt;0,-M3010&amp;"_"&amp;COUNTIF(M$2:M3010,M3010),M3010&amp;"_"&amp;COUNTIF(M$2:M3010,M3010)))</f>
        <v>501.81_1</v>
      </c>
      <c r="O3010" s="17" t="str">
        <f t="shared" ref="O3010:O3073" si="47">IF(COUNTIF(N:N,N3010)=2,"x","")</f>
        <v/>
      </c>
      <c r="P3010" s="13" t="s">
        <v>960</v>
      </c>
      <c r="Q3010" s="13" t="s">
        <v>958</v>
      </c>
      <c r="R3010" s="13" t="s">
        <v>0</v>
      </c>
      <c r="S3010" s="13" t="s">
        <v>0</v>
      </c>
      <c r="T3010" s="13" t="s">
        <v>9</v>
      </c>
      <c r="U3010" s="13" t="s">
        <v>0</v>
      </c>
      <c r="V3010" s="13" t="s">
        <v>0</v>
      </c>
      <c r="W3010" s="13" t="s">
        <v>0</v>
      </c>
      <c r="X3010" s="13" t="s">
        <v>0</v>
      </c>
      <c r="Y3010" s="13" t="s">
        <v>10</v>
      </c>
      <c r="Z3010" s="13" t="s">
        <v>0</v>
      </c>
      <c r="AA3010" s="14"/>
      <c r="AB3010" s="13" t="s">
        <v>0</v>
      </c>
      <c r="AC3010" s="13" t="s">
        <v>0</v>
      </c>
      <c r="AD3010" s="13" t="s">
        <v>0</v>
      </c>
      <c r="AE3010" s="15">
        <v>0</v>
      </c>
    </row>
    <row r="3011" spans="1:31" ht="14.15" customHeight="1" x14ac:dyDescent="0.25">
      <c r="A3011" s="12" t="s">
        <v>0</v>
      </c>
      <c r="B3011" s="13" t="s">
        <v>1</v>
      </c>
      <c r="C3011" s="13" t="s">
        <v>3808</v>
      </c>
      <c r="D3011" s="14">
        <v>44346</v>
      </c>
      <c r="E3011" s="14">
        <v>44346</v>
      </c>
      <c r="F3011" s="14">
        <v>44349</v>
      </c>
      <c r="G3011" s="13" t="s">
        <v>48</v>
      </c>
      <c r="H3011" s="13" t="s">
        <v>4</v>
      </c>
      <c r="I3011" s="15">
        <v>-500</v>
      </c>
      <c r="J3011" s="13" t="s">
        <v>5</v>
      </c>
      <c r="K3011" s="13" t="s">
        <v>6</v>
      </c>
      <c r="L3011" s="15">
        <v>-41975</v>
      </c>
      <c r="M3011" s="15">
        <v>-500</v>
      </c>
      <c r="N3011" s="16" t="str">
        <f>IF(M3011="","",IF(M3011&lt;0,-M3011&amp;"_"&amp;COUNTIF(M$2:M3011,M3011),M3011&amp;"_"&amp;COUNTIF(M$2:M3011,M3011)))</f>
        <v>500_1</v>
      </c>
      <c r="O3011" s="17" t="str">
        <f t="shared" si="47"/>
        <v/>
      </c>
      <c r="P3011" s="13" t="s">
        <v>3809</v>
      </c>
      <c r="Q3011" s="13" t="s">
        <v>3809</v>
      </c>
      <c r="R3011" s="13" t="s">
        <v>1656</v>
      </c>
      <c r="S3011" s="13" t="s">
        <v>0</v>
      </c>
      <c r="T3011" s="13" t="s">
        <v>9</v>
      </c>
      <c r="U3011" s="13" t="s">
        <v>1656</v>
      </c>
      <c r="V3011" s="13" t="s">
        <v>0</v>
      </c>
      <c r="W3011" s="13" t="s">
        <v>0</v>
      </c>
      <c r="X3011" s="13" t="s">
        <v>0</v>
      </c>
      <c r="Y3011" s="13" t="s">
        <v>10</v>
      </c>
      <c r="Z3011" s="13" t="s">
        <v>0</v>
      </c>
      <c r="AA3011" s="14"/>
      <c r="AB3011" s="13" t="s">
        <v>0</v>
      </c>
      <c r="AC3011" s="13" t="s">
        <v>0</v>
      </c>
      <c r="AD3011" s="13" t="s">
        <v>0</v>
      </c>
      <c r="AE3011" s="15">
        <v>0</v>
      </c>
    </row>
    <row r="3012" spans="1:31" ht="14.15" customHeight="1" x14ac:dyDescent="0.25">
      <c r="A3012" s="12" t="s">
        <v>0</v>
      </c>
      <c r="B3012" s="13" t="s">
        <v>1</v>
      </c>
      <c r="C3012" s="13" t="s">
        <v>3029</v>
      </c>
      <c r="D3012" s="14">
        <v>44281</v>
      </c>
      <c r="E3012" s="14">
        <v>44281</v>
      </c>
      <c r="F3012" s="14">
        <v>44290</v>
      </c>
      <c r="G3012" s="13" t="s">
        <v>3</v>
      </c>
      <c r="H3012" s="13" t="s">
        <v>4</v>
      </c>
      <c r="I3012" s="15">
        <v>-494.39</v>
      </c>
      <c r="J3012" s="13" t="s">
        <v>5</v>
      </c>
      <c r="K3012" s="13" t="s">
        <v>6</v>
      </c>
      <c r="L3012" s="15">
        <v>-41504.04</v>
      </c>
      <c r="M3012" s="15">
        <v>-494.39</v>
      </c>
      <c r="N3012" s="16" t="str">
        <f>IF(M3012="","",IF(M3012&lt;0,-M3012&amp;"_"&amp;COUNTIF(M$2:M3012,M3012),M3012&amp;"_"&amp;COUNTIF(M$2:M3012,M3012)))</f>
        <v>494.39_1</v>
      </c>
      <c r="O3012" s="17" t="str">
        <f t="shared" si="47"/>
        <v/>
      </c>
      <c r="P3012" s="13" t="s">
        <v>3030</v>
      </c>
      <c r="Q3012" s="13" t="s">
        <v>3014</v>
      </c>
      <c r="R3012" s="13" t="s">
        <v>0</v>
      </c>
      <c r="S3012" s="13" t="s">
        <v>0</v>
      </c>
      <c r="T3012" s="13" t="s">
        <v>9</v>
      </c>
      <c r="U3012" s="13" t="s">
        <v>0</v>
      </c>
      <c r="V3012" s="13" t="s">
        <v>0</v>
      </c>
      <c r="W3012" s="13" t="s">
        <v>0</v>
      </c>
      <c r="X3012" s="13" t="s">
        <v>0</v>
      </c>
      <c r="Y3012" s="13" t="s">
        <v>10</v>
      </c>
      <c r="Z3012" s="13" t="s">
        <v>0</v>
      </c>
      <c r="AA3012" s="14"/>
      <c r="AB3012" s="13" t="s">
        <v>0</v>
      </c>
      <c r="AC3012" s="13" t="s">
        <v>0</v>
      </c>
      <c r="AD3012" s="13" t="s">
        <v>0</v>
      </c>
      <c r="AE3012" s="15">
        <v>0</v>
      </c>
    </row>
    <row r="3013" spans="1:31" ht="14.15" customHeight="1" x14ac:dyDescent="0.25">
      <c r="A3013" s="12" t="s">
        <v>0</v>
      </c>
      <c r="B3013" s="13" t="s">
        <v>1</v>
      </c>
      <c r="C3013" s="13" t="s">
        <v>3029</v>
      </c>
      <c r="D3013" s="14">
        <v>44281</v>
      </c>
      <c r="E3013" s="14">
        <v>44281</v>
      </c>
      <c r="F3013" s="14">
        <v>44290</v>
      </c>
      <c r="G3013" s="13" t="s">
        <v>3</v>
      </c>
      <c r="H3013" s="13" t="s">
        <v>4</v>
      </c>
      <c r="I3013" s="15">
        <v>-493.5</v>
      </c>
      <c r="J3013" s="13" t="s">
        <v>68</v>
      </c>
      <c r="K3013" s="13" t="s">
        <v>6</v>
      </c>
      <c r="L3013" s="15">
        <v>-41429.33</v>
      </c>
      <c r="M3013" s="15">
        <v>-493.5</v>
      </c>
      <c r="N3013" s="16" t="str">
        <f>IF(M3013="","",IF(M3013&lt;0,-M3013&amp;"_"&amp;COUNTIF(M$2:M3013,M3013),M3013&amp;"_"&amp;COUNTIF(M$2:M3013,M3013)))</f>
        <v>493.5_1</v>
      </c>
      <c r="O3013" s="17" t="str">
        <f t="shared" si="47"/>
        <v/>
      </c>
      <c r="P3013" s="13" t="s">
        <v>3030</v>
      </c>
      <c r="Q3013" s="13" t="s">
        <v>3014</v>
      </c>
      <c r="R3013" s="13" t="s">
        <v>0</v>
      </c>
      <c r="S3013" s="13" t="s">
        <v>0</v>
      </c>
      <c r="T3013" s="13" t="s">
        <v>9</v>
      </c>
      <c r="U3013" s="13" t="s">
        <v>0</v>
      </c>
      <c r="V3013" s="13" t="s">
        <v>0</v>
      </c>
      <c r="W3013" s="13" t="s">
        <v>0</v>
      </c>
      <c r="X3013" s="13" t="s">
        <v>0</v>
      </c>
      <c r="Y3013" s="13" t="s">
        <v>10</v>
      </c>
      <c r="Z3013" s="13" t="s">
        <v>0</v>
      </c>
      <c r="AA3013" s="14"/>
      <c r="AB3013" s="13" t="s">
        <v>0</v>
      </c>
      <c r="AC3013" s="13" t="s">
        <v>0</v>
      </c>
      <c r="AD3013" s="13" t="s">
        <v>0</v>
      </c>
      <c r="AE3013" s="15">
        <v>0</v>
      </c>
    </row>
    <row r="3014" spans="1:31" ht="14.15" customHeight="1" x14ac:dyDescent="0.25">
      <c r="A3014" s="12" t="s">
        <v>0</v>
      </c>
      <c r="B3014" s="13" t="s">
        <v>1</v>
      </c>
      <c r="C3014" s="13" t="s">
        <v>15</v>
      </c>
      <c r="D3014" s="14">
        <v>44014</v>
      </c>
      <c r="E3014" s="14">
        <v>44014</v>
      </c>
      <c r="F3014" s="14">
        <v>44030</v>
      </c>
      <c r="G3014" s="13" t="s">
        <v>3</v>
      </c>
      <c r="H3014" s="13" t="s">
        <v>4</v>
      </c>
      <c r="I3014" s="15">
        <v>-489.22</v>
      </c>
      <c r="J3014" s="13" t="s">
        <v>5</v>
      </c>
      <c r="K3014" s="13" t="s">
        <v>6</v>
      </c>
      <c r="L3014" s="15">
        <v>-41070.019999999997</v>
      </c>
      <c r="M3014" s="15">
        <v>-489.22</v>
      </c>
      <c r="N3014" s="16" t="str">
        <f>IF(M3014="","",IF(M3014&lt;0,-M3014&amp;"_"&amp;COUNTIF(M$2:M3014,M3014),M3014&amp;"_"&amp;COUNTIF(M$2:M3014,M3014)))</f>
        <v>489.22_1</v>
      </c>
      <c r="O3014" s="17" t="str">
        <f t="shared" si="47"/>
        <v/>
      </c>
      <c r="P3014" s="13" t="s">
        <v>16</v>
      </c>
      <c r="Q3014" s="13" t="s">
        <v>8</v>
      </c>
      <c r="R3014" s="13" t="s">
        <v>0</v>
      </c>
      <c r="S3014" s="13" t="s">
        <v>0</v>
      </c>
      <c r="T3014" s="13" t="s">
        <v>9</v>
      </c>
      <c r="U3014" s="13" t="s">
        <v>0</v>
      </c>
      <c r="V3014" s="13" t="s">
        <v>0</v>
      </c>
      <c r="W3014" s="13" t="s">
        <v>0</v>
      </c>
      <c r="X3014" s="13" t="s">
        <v>0</v>
      </c>
      <c r="Y3014" s="13" t="s">
        <v>10</v>
      </c>
      <c r="Z3014" s="13" t="s">
        <v>0</v>
      </c>
      <c r="AA3014" s="14"/>
      <c r="AB3014" s="13" t="s">
        <v>0</v>
      </c>
      <c r="AC3014" s="13" t="s">
        <v>0</v>
      </c>
      <c r="AD3014" s="13" t="s">
        <v>0</v>
      </c>
      <c r="AE3014" s="15">
        <v>0</v>
      </c>
    </row>
    <row r="3015" spans="1:31" ht="14.15" customHeight="1" x14ac:dyDescent="0.25">
      <c r="A3015" s="12" t="s">
        <v>0</v>
      </c>
      <c r="B3015" s="13" t="s">
        <v>1</v>
      </c>
      <c r="C3015" s="13" t="s">
        <v>3794</v>
      </c>
      <c r="D3015" s="14">
        <v>44344</v>
      </c>
      <c r="E3015" s="14">
        <v>44344</v>
      </c>
      <c r="F3015" s="14">
        <v>44348</v>
      </c>
      <c r="G3015" s="13" t="s">
        <v>3</v>
      </c>
      <c r="H3015" s="13" t="s">
        <v>4</v>
      </c>
      <c r="I3015" s="15">
        <v>-472.97</v>
      </c>
      <c r="J3015" s="13" t="s">
        <v>5</v>
      </c>
      <c r="K3015" s="13" t="s">
        <v>6</v>
      </c>
      <c r="L3015" s="15">
        <v>-39705.83</v>
      </c>
      <c r="M3015" s="15">
        <v>-472.97</v>
      </c>
      <c r="N3015" s="16" t="str">
        <f>IF(M3015="","",IF(M3015&lt;0,-M3015&amp;"_"&amp;COUNTIF(M$2:M3015,M3015),M3015&amp;"_"&amp;COUNTIF(M$2:M3015,M3015)))</f>
        <v>472.97_1</v>
      </c>
      <c r="O3015" s="17" t="str">
        <f t="shared" si="47"/>
        <v/>
      </c>
      <c r="P3015" s="13" t="s">
        <v>3795</v>
      </c>
      <c r="Q3015" s="13" t="s">
        <v>3778</v>
      </c>
      <c r="R3015" s="13" t="s">
        <v>0</v>
      </c>
      <c r="S3015" s="13" t="s">
        <v>0</v>
      </c>
      <c r="T3015" s="13" t="s">
        <v>9</v>
      </c>
      <c r="U3015" s="13" t="s">
        <v>0</v>
      </c>
      <c r="V3015" s="13" t="s">
        <v>0</v>
      </c>
      <c r="W3015" s="13" t="s">
        <v>0</v>
      </c>
      <c r="X3015" s="13" t="s">
        <v>0</v>
      </c>
      <c r="Y3015" s="13" t="s">
        <v>10</v>
      </c>
      <c r="Z3015" s="13" t="s">
        <v>0</v>
      </c>
      <c r="AA3015" s="14"/>
      <c r="AB3015" s="13" t="s">
        <v>0</v>
      </c>
      <c r="AC3015" s="13" t="s">
        <v>0</v>
      </c>
      <c r="AD3015" s="13" t="s">
        <v>0</v>
      </c>
      <c r="AE3015" s="15">
        <v>0</v>
      </c>
    </row>
    <row r="3016" spans="1:31" ht="14.15" customHeight="1" x14ac:dyDescent="0.25">
      <c r="A3016" s="12" t="s">
        <v>0</v>
      </c>
      <c r="B3016" s="13" t="s">
        <v>1</v>
      </c>
      <c r="C3016" s="13" t="s">
        <v>1950</v>
      </c>
      <c r="D3016" s="14">
        <v>44194</v>
      </c>
      <c r="E3016" s="14">
        <v>44194</v>
      </c>
      <c r="F3016" s="14">
        <v>44199</v>
      </c>
      <c r="G3016" s="13" t="s">
        <v>3</v>
      </c>
      <c r="H3016" s="13" t="s">
        <v>4</v>
      </c>
      <c r="I3016" s="15">
        <v>-471.64</v>
      </c>
      <c r="J3016" s="13" t="s">
        <v>5</v>
      </c>
      <c r="K3016" s="13" t="s">
        <v>6</v>
      </c>
      <c r="L3016" s="15">
        <v>-39594.18</v>
      </c>
      <c r="M3016" s="15">
        <v>-471.64</v>
      </c>
      <c r="N3016" s="16" t="str">
        <f>IF(M3016="","",IF(M3016&lt;0,-M3016&amp;"_"&amp;COUNTIF(M$2:M3016,M3016),M3016&amp;"_"&amp;COUNTIF(M$2:M3016,M3016)))</f>
        <v>471.64_1</v>
      </c>
      <c r="O3016" s="17" t="str">
        <f t="shared" si="47"/>
        <v/>
      </c>
      <c r="P3016" s="13" t="s">
        <v>1951</v>
      </c>
      <c r="Q3016" s="13" t="s">
        <v>1949</v>
      </c>
      <c r="R3016" s="13" t="s">
        <v>0</v>
      </c>
      <c r="S3016" s="13" t="s">
        <v>0</v>
      </c>
      <c r="T3016" s="13" t="s">
        <v>9</v>
      </c>
      <c r="U3016" s="13" t="s">
        <v>0</v>
      </c>
      <c r="V3016" s="13" t="s">
        <v>0</v>
      </c>
      <c r="W3016" s="13" t="s">
        <v>0</v>
      </c>
      <c r="X3016" s="13" t="s">
        <v>0</v>
      </c>
      <c r="Y3016" s="13" t="s">
        <v>10</v>
      </c>
      <c r="Z3016" s="13" t="s">
        <v>0</v>
      </c>
      <c r="AA3016" s="14"/>
      <c r="AB3016" s="13" t="s">
        <v>0</v>
      </c>
      <c r="AC3016" s="13" t="s">
        <v>0</v>
      </c>
      <c r="AD3016" s="13" t="s">
        <v>0</v>
      </c>
      <c r="AE3016" s="15">
        <v>0</v>
      </c>
    </row>
    <row r="3017" spans="1:31" ht="14.15" customHeight="1" x14ac:dyDescent="0.25">
      <c r="A3017" s="12" t="s">
        <v>0</v>
      </c>
      <c r="B3017" s="13" t="s">
        <v>1</v>
      </c>
      <c r="C3017" s="13" t="s">
        <v>4267</v>
      </c>
      <c r="D3017" s="14">
        <v>44370</v>
      </c>
      <c r="E3017" s="14">
        <v>44370</v>
      </c>
      <c r="F3017" s="14">
        <v>44371</v>
      </c>
      <c r="G3017" s="13" t="s">
        <v>3</v>
      </c>
      <c r="H3017" s="13" t="s">
        <v>4</v>
      </c>
      <c r="I3017" s="15">
        <v>-466.24</v>
      </c>
      <c r="J3017" s="13" t="s">
        <v>5</v>
      </c>
      <c r="K3017" s="13" t="s">
        <v>6</v>
      </c>
      <c r="L3017" s="15">
        <v>-39140.85</v>
      </c>
      <c r="M3017" s="15">
        <v>-466.24</v>
      </c>
      <c r="N3017" s="16" t="str">
        <f>IF(M3017="","",IF(M3017&lt;0,-M3017&amp;"_"&amp;COUNTIF(M$2:M3017,M3017),M3017&amp;"_"&amp;COUNTIF(M$2:M3017,M3017)))</f>
        <v>466.24_1</v>
      </c>
      <c r="O3017" s="17" t="str">
        <f t="shared" si="47"/>
        <v/>
      </c>
      <c r="P3017" s="13" t="s">
        <v>4268</v>
      </c>
      <c r="Q3017" s="13" t="s">
        <v>4269</v>
      </c>
      <c r="R3017" s="13" t="s">
        <v>0</v>
      </c>
      <c r="S3017" s="13" t="s">
        <v>0</v>
      </c>
      <c r="T3017" s="13" t="s">
        <v>9</v>
      </c>
      <c r="U3017" s="13" t="s">
        <v>0</v>
      </c>
      <c r="V3017" s="13" t="s">
        <v>0</v>
      </c>
      <c r="W3017" s="13" t="s">
        <v>0</v>
      </c>
      <c r="X3017" s="13" t="s">
        <v>0</v>
      </c>
      <c r="Y3017" s="13" t="s">
        <v>10</v>
      </c>
      <c r="Z3017" s="13" t="s">
        <v>0</v>
      </c>
      <c r="AA3017" s="14"/>
      <c r="AB3017" s="13" t="s">
        <v>0</v>
      </c>
      <c r="AC3017" s="13" t="s">
        <v>0</v>
      </c>
      <c r="AD3017" s="13" t="s">
        <v>0</v>
      </c>
      <c r="AE3017" s="15">
        <v>0</v>
      </c>
    </row>
    <row r="3018" spans="1:31" ht="14.15" customHeight="1" x14ac:dyDescent="0.25">
      <c r="A3018" s="12" t="s">
        <v>0</v>
      </c>
      <c r="B3018" s="13" t="s">
        <v>1</v>
      </c>
      <c r="C3018" s="13" t="s">
        <v>1744</v>
      </c>
      <c r="D3018" s="14">
        <v>44178</v>
      </c>
      <c r="E3018" s="14">
        <v>44178</v>
      </c>
      <c r="F3018" s="14">
        <v>44188</v>
      </c>
      <c r="G3018" s="13" t="s">
        <v>3</v>
      </c>
      <c r="H3018" s="13" t="s">
        <v>4</v>
      </c>
      <c r="I3018" s="15">
        <v>-458.71</v>
      </c>
      <c r="J3018" s="13" t="s">
        <v>394</v>
      </c>
      <c r="K3018" s="13" t="s">
        <v>6</v>
      </c>
      <c r="L3018" s="15">
        <v>-38508.699999999997</v>
      </c>
      <c r="M3018" s="15">
        <v>-458.71</v>
      </c>
      <c r="N3018" s="16" t="str">
        <f>IF(M3018="","",IF(M3018&lt;0,-M3018&amp;"_"&amp;COUNTIF(M$2:M3018,M3018),M3018&amp;"_"&amp;COUNTIF(M$2:M3018,M3018)))</f>
        <v>458.71_1</v>
      </c>
      <c r="O3018" s="17" t="str">
        <f t="shared" si="47"/>
        <v/>
      </c>
      <c r="P3018" s="13" t="s">
        <v>1745</v>
      </c>
      <c r="Q3018" s="13" t="s">
        <v>1739</v>
      </c>
      <c r="R3018" s="13" t="s">
        <v>0</v>
      </c>
      <c r="S3018" s="13" t="s">
        <v>0</v>
      </c>
      <c r="T3018" s="13" t="s">
        <v>9</v>
      </c>
      <c r="U3018" s="13" t="s">
        <v>0</v>
      </c>
      <c r="V3018" s="13" t="s">
        <v>0</v>
      </c>
      <c r="W3018" s="13" t="s">
        <v>0</v>
      </c>
      <c r="X3018" s="13" t="s">
        <v>0</v>
      </c>
      <c r="Y3018" s="13" t="s">
        <v>10</v>
      </c>
      <c r="Z3018" s="13" t="s">
        <v>0</v>
      </c>
      <c r="AA3018" s="14"/>
      <c r="AB3018" s="13" t="s">
        <v>0</v>
      </c>
      <c r="AC3018" s="13" t="s">
        <v>0</v>
      </c>
      <c r="AD3018" s="13" t="s">
        <v>0</v>
      </c>
      <c r="AE3018" s="15">
        <v>0</v>
      </c>
    </row>
    <row r="3019" spans="1:31" ht="14.15" customHeight="1" x14ac:dyDescent="0.25">
      <c r="A3019" s="12" t="s">
        <v>0</v>
      </c>
      <c r="B3019" s="13" t="s">
        <v>1</v>
      </c>
      <c r="C3019" s="13" t="s">
        <v>561</v>
      </c>
      <c r="D3019" s="14">
        <v>44076</v>
      </c>
      <c r="E3019" s="14">
        <v>44076</v>
      </c>
      <c r="F3019" s="14">
        <v>44082</v>
      </c>
      <c r="G3019" s="13" t="s">
        <v>3</v>
      </c>
      <c r="H3019" s="13" t="s">
        <v>4</v>
      </c>
      <c r="I3019" s="15">
        <v>-444.53</v>
      </c>
      <c r="J3019" s="13" t="s">
        <v>394</v>
      </c>
      <c r="K3019" s="13" t="s">
        <v>6</v>
      </c>
      <c r="L3019" s="15">
        <v>-37318.29</v>
      </c>
      <c r="M3019" s="15">
        <v>-444.53</v>
      </c>
      <c r="N3019" s="16" t="str">
        <f>IF(M3019="","",IF(M3019&lt;0,-M3019&amp;"_"&amp;COUNTIF(M$2:M3019,M3019),M3019&amp;"_"&amp;COUNTIF(M$2:M3019,M3019)))</f>
        <v>444.53_1</v>
      </c>
      <c r="O3019" s="17" t="str">
        <f t="shared" si="47"/>
        <v/>
      </c>
      <c r="P3019" s="13" t="s">
        <v>562</v>
      </c>
      <c r="Q3019" s="13" t="s">
        <v>563</v>
      </c>
      <c r="R3019" s="13" t="s">
        <v>0</v>
      </c>
      <c r="S3019" s="13" t="s">
        <v>0</v>
      </c>
      <c r="T3019" s="13" t="s">
        <v>9</v>
      </c>
      <c r="U3019" s="13" t="s">
        <v>0</v>
      </c>
      <c r="V3019" s="13" t="s">
        <v>0</v>
      </c>
      <c r="W3019" s="13" t="s">
        <v>0</v>
      </c>
      <c r="X3019" s="13" t="s">
        <v>0</v>
      </c>
      <c r="Y3019" s="13" t="s">
        <v>10</v>
      </c>
      <c r="Z3019" s="13" t="s">
        <v>0</v>
      </c>
      <c r="AA3019" s="14"/>
      <c r="AB3019" s="13" t="s">
        <v>0</v>
      </c>
      <c r="AC3019" s="13" t="s">
        <v>0</v>
      </c>
      <c r="AD3019" s="13" t="s">
        <v>0</v>
      </c>
      <c r="AE3019" s="15">
        <v>0</v>
      </c>
    </row>
    <row r="3020" spans="1:31" ht="14.15" customHeight="1" x14ac:dyDescent="0.25">
      <c r="A3020" s="12" t="s">
        <v>0</v>
      </c>
      <c r="B3020" s="13" t="s">
        <v>1</v>
      </c>
      <c r="C3020" s="13" t="s">
        <v>3066</v>
      </c>
      <c r="D3020" s="14">
        <v>44284</v>
      </c>
      <c r="E3020" s="14">
        <v>44284</v>
      </c>
      <c r="F3020" s="14">
        <v>44290</v>
      </c>
      <c r="G3020" s="13" t="s">
        <v>3</v>
      </c>
      <c r="H3020" s="13" t="s">
        <v>4</v>
      </c>
      <c r="I3020" s="15">
        <v>-438.19</v>
      </c>
      <c r="J3020" s="13" t="s">
        <v>5</v>
      </c>
      <c r="K3020" s="13" t="s">
        <v>6</v>
      </c>
      <c r="L3020" s="15">
        <v>-36786.050000000003</v>
      </c>
      <c r="M3020" s="15">
        <v>-438.19</v>
      </c>
      <c r="N3020" s="16" t="str">
        <f>IF(M3020="","",IF(M3020&lt;0,-M3020&amp;"_"&amp;COUNTIF(M$2:M3020,M3020),M3020&amp;"_"&amp;COUNTIF(M$2:M3020,M3020)))</f>
        <v>438.19_1</v>
      </c>
      <c r="O3020" s="17" t="str">
        <f t="shared" si="47"/>
        <v/>
      </c>
      <c r="P3020" s="13" t="s">
        <v>3067</v>
      </c>
      <c r="Q3020" s="13" t="s">
        <v>3061</v>
      </c>
      <c r="R3020" s="13" t="s">
        <v>0</v>
      </c>
      <c r="S3020" s="13" t="s">
        <v>0</v>
      </c>
      <c r="T3020" s="13" t="s">
        <v>9</v>
      </c>
      <c r="U3020" s="13" t="s">
        <v>0</v>
      </c>
      <c r="V3020" s="13" t="s">
        <v>0</v>
      </c>
      <c r="W3020" s="13" t="s">
        <v>0</v>
      </c>
      <c r="X3020" s="13" t="s">
        <v>0</v>
      </c>
      <c r="Y3020" s="13" t="s">
        <v>10</v>
      </c>
      <c r="Z3020" s="13" t="s">
        <v>0</v>
      </c>
      <c r="AA3020" s="14"/>
      <c r="AB3020" s="13" t="s">
        <v>0</v>
      </c>
      <c r="AC3020" s="13" t="s">
        <v>0</v>
      </c>
      <c r="AD3020" s="13" t="s">
        <v>0</v>
      </c>
      <c r="AE3020" s="15">
        <v>0</v>
      </c>
    </row>
    <row r="3021" spans="1:31" ht="14.15" customHeight="1" x14ac:dyDescent="0.25">
      <c r="A3021" s="12" t="s">
        <v>0</v>
      </c>
      <c r="B3021" s="13" t="s">
        <v>1</v>
      </c>
      <c r="C3021" s="13" t="s">
        <v>1642</v>
      </c>
      <c r="D3021" s="14">
        <v>44171</v>
      </c>
      <c r="E3021" s="14">
        <v>44171</v>
      </c>
      <c r="F3021" s="14">
        <v>44189</v>
      </c>
      <c r="G3021" s="13" t="s">
        <v>48</v>
      </c>
      <c r="H3021" s="13" t="s">
        <v>4</v>
      </c>
      <c r="I3021" s="15">
        <v>-434</v>
      </c>
      <c r="J3021" s="13" t="s">
        <v>5</v>
      </c>
      <c r="K3021" s="13" t="s">
        <v>6</v>
      </c>
      <c r="L3021" s="15">
        <v>-36434.300000000003</v>
      </c>
      <c r="M3021" s="15">
        <v>-434</v>
      </c>
      <c r="N3021" s="16" t="str">
        <f>IF(M3021="","",IF(M3021&lt;0,-M3021&amp;"_"&amp;COUNTIF(M$2:M3021,M3021),M3021&amp;"_"&amp;COUNTIF(M$2:M3021,M3021)))</f>
        <v>434_1</v>
      </c>
      <c r="O3021" s="17" t="str">
        <f t="shared" si="47"/>
        <v/>
      </c>
      <c r="P3021" s="13" t="s">
        <v>1643</v>
      </c>
      <c r="Q3021" s="13" t="s">
        <v>1643</v>
      </c>
      <c r="R3021" s="13" t="s">
        <v>50</v>
      </c>
      <c r="S3021" s="13" t="s">
        <v>0</v>
      </c>
      <c r="T3021" s="13" t="s">
        <v>9</v>
      </c>
      <c r="U3021" s="13" t="s">
        <v>50</v>
      </c>
      <c r="V3021" s="13" t="s">
        <v>0</v>
      </c>
      <c r="W3021" s="13" t="s">
        <v>0</v>
      </c>
      <c r="X3021" s="13" t="s">
        <v>0</v>
      </c>
      <c r="Y3021" s="13" t="s">
        <v>10</v>
      </c>
      <c r="Z3021" s="13" t="s">
        <v>0</v>
      </c>
      <c r="AA3021" s="14"/>
      <c r="AB3021" s="13" t="s">
        <v>0</v>
      </c>
      <c r="AC3021" s="13" t="s">
        <v>0</v>
      </c>
      <c r="AD3021" s="13" t="s">
        <v>0</v>
      </c>
      <c r="AE3021" s="15">
        <v>0</v>
      </c>
    </row>
    <row r="3022" spans="1:31" ht="14.15" customHeight="1" x14ac:dyDescent="0.25">
      <c r="A3022" s="12" t="s">
        <v>0</v>
      </c>
      <c r="B3022" s="13" t="s">
        <v>1</v>
      </c>
      <c r="C3022" s="13" t="s">
        <v>1653</v>
      </c>
      <c r="D3022" s="14">
        <v>44171</v>
      </c>
      <c r="E3022" s="14">
        <v>44171</v>
      </c>
      <c r="F3022" s="14">
        <v>44189</v>
      </c>
      <c r="G3022" s="13" t="s">
        <v>48</v>
      </c>
      <c r="H3022" s="13" t="s">
        <v>4</v>
      </c>
      <c r="I3022" s="15">
        <v>-434</v>
      </c>
      <c r="J3022" s="13" t="s">
        <v>5</v>
      </c>
      <c r="K3022" s="13" t="s">
        <v>6</v>
      </c>
      <c r="L3022" s="15">
        <v>-36434.300000000003</v>
      </c>
      <c r="M3022" s="15">
        <v>-434</v>
      </c>
      <c r="N3022" s="16" t="str">
        <f>IF(M3022="","",IF(M3022&lt;0,-M3022&amp;"_"&amp;COUNTIF(M$2:M3022,M3022),M3022&amp;"_"&amp;COUNTIF(M$2:M3022,M3022)))</f>
        <v>434_2</v>
      </c>
      <c r="O3022" s="17" t="str">
        <f t="shared" si="47"/>
        <v/>
      </c>
      <c r="P3022" s="13" t="s">
        <v>1654</v>
      </c>
      <c r="Q3022" s="13" t="s">
        <v>1654</v>
      </c>
      <c r="R3022" s="13" t="s">
        <v>50</v>
      </c>
      <c r="S3022" s="13" t="s">
        <v>0</v>
      </c>
      <c r="T3022" s="13" t="s">
        <v>9</v>
      </c>
      <c r="U3022" s="13" t="s">
        <v>50</v>
      </c>
      <c r="V3022" s="13" t="s">
        <v>0</v>
      </c>
      <c r="W3022" s="13" t="s">
        <v>0</v>
      </c>
      <c r="X3022" s="13" t="s">
        <v>0</v>
      </c>
      <c r="Y3022" s="13" t="s">
        <v>10</v>
      </c>
      <c r="Z3022" s="13" t="s">
        <v>0</v>
      </c>
      <c r="AA3022" s="14"/>
      <c r="AB3022" s="13" t="s">
        <v>0</v>
      </c>
      <c r="AC3022" s="13" t="s">
        <v>0</v>
      </c>
      <c r="AD3022" s="13" t="s">
        <v>0</v>
      </c>
      <c r="AE3022" s="15">
        <v>0</v>
      </c>
    </row>
    <row r="3023" spans="1:31" ht="14.15" customHeight="1" x14ac:dyDescent="0.25">
      <c r="A3023" s="12" t="s">
        <v>0</v>
      </c>
      <c r="B3023" s="13" t="s">
        <v>1</v>
      </c>
      <c r="C3023" s="13" t="s">
        <v>1143</v>
      </c>
      <c r="D3023" s="14">
        <v>44140</v>
      </c>
      <c r="E3023" s="14">
        <v>44140</v>
      </c>
      <c r="F3023" s="14">
        <v>44163</v>
      </c>
      <c r="G3023" s="13" t="s">
        <v>48</v>
      </c>
      <c r="H3023" s="13" t="s">
        <v>4</v>
      </c>
      <c r="I3023" s="15">
        <v>-432</v>
      </c>
      <c r="J3023" s="13" t="s">
        <v>5</v>
      </c>
      <c r="K3023" s="13" t="s">
        <v>6</v>
      </c>
      <c r="L3023" s="15">
        <v>-36266.400000000001</v>
      </c>
      <c r="M3023" s="15">
        <v>-432</v>
      </c>
      <c r="N3023" s="16" t="str">
        <f>IF(M3023="","",IF(M3023&lt;0,-M3023&amp;"_"&amp;COUNTIF(M$2:M3023,M3023),M3023&amp;"_"&amp;COUNTIF(M$2:M3023,M3023)))</f>
        <v>432_1</v>
      </c>
      <c r="O3023" s="17" t="str">
        <f t="shared" si="47"/>
        <v/>
      </c>
      <c r="P3023" s="13" t="s">
        <v>1144</v>
      </c>
      <c r="Q3023" s="13" t="s">
        <v>1144</v>
      </c>
      <c r="R3023" s="13" t="s">
        <v>50</v>
      </c>
      <c r="S3023" s="13" t="s">
        <v>0</v>
      </c>
      <c r="T3023" s="13" t="s">
        <v>9</v>
      </c>
      <c r="U3023" s="13" t="s">
        <v>50</v>
      </c>
      <c r="V3023" s="13" t="s">
        <v>0</v>
      </c>
      <c r="W3023" s="13" t="s">
        <v>0</v>
      </c>
      <c r="X3023" s="13" t="s">
        <v>0</v>
      </c>
      <c r="Y3023" s="13" t="s">
        <v>10</v>
      </c>
      <c r="Z3023" s="13" t="s">
        <v>0</v>
      </c>
      <c r="AA3023" s="14"/>
      <c r="AB3023" s="13" t="s">
        <v>0</v>
      </c>
      <c r="AC3023" s="13" t="s">
        <v>0</v>
      </c>
      <c r="AD3023" s="13" t="s">
        <v>0</v>
      </c>
      <c r="AE3023" s="15">
        <v>0</v>
      </c>
    </row>
    <row r="3024" spans="1:31" ht="14.15" customHeight="1" x14ac:dyDescent="0.25">
      <c r="A3024" s="12" t="s">
        <v>0</v>
      </c>
      <c r="B3024" s="13" t="s">
        <v>1</v>
      </c>
      <c r="C3024" s="13" t="s">
        <v>2877</v>
      </c>
      <c r="D3024" s="14">
        <v>44274</v>
      </c>
      <c r="E3024" s="14">
        <v>44274</v>
      </c>
      <c r="F3024" s="14">
        <v>44287</v>
      </c>
      <c r="G3024" s="13" t="s">
        <v>3</v>
      </c>
      <c r="H3024" s="13" t="s">
        <v>4</v>
      </c>
      <c r="I3024" s="15">
        <v>-420.46</v>
      </c>
      <c r="J3024" s="13" t="s">
        <v>68</v>
      </c>
      <c r="K3024" s="13" t="s">
        <v>6</v>
      </c>
      <c r="L3024" s="15">
        <v>-35297.620000000003</v>
      </c>
      <c r="M3024" s="15">
        <v>-420.46</v>
      </c>
      <c r="N3024" s="16" t="str">
        <f>IF(M3024="","",IF(M3024&lt;0,-M3024&amp;"_"&amp;COUNTIF(M$2:M3024,M3024),M3024&amp;"_"&amp;COUNTIF(M$2:M3024,M3024)))</f>
        <v>420.46_1</v>
      </c>
      <c r="O3024" s="17" t="str">
        <f t="shared" si="47"/>
        <v/>
      </c>
      <c r="P3024" s="13" t="s">
        <v>2878</v>
      </c>
      <c r="Q3024" s="13" t="s">
        <v>2874</v>
      </c>
      <c r="R3024" s="13" t="s">
        <v>0</v>
      </c>
      <c r="S3024" s="13" t="s">
        <v>0</v>
      </c>
      <c r="T3024" s="13" t="s">
        <v>9</v>
      </c>
      <c r="U3024" s="13" t="s">
        <v>0</v>
      </c>
      <c r="V3024" s="13" t="s">
        <v>0</v>
      </c>
      <c r="W3024" s="13" t="s">
        <v>0</v>
      </c>
      <c r="X3024" s="13" t="s">
        <v>0</v>
      </c>
      <c r="Y3024" s="13" t="s">
        <v>10</v>
      </c>
      <c r="Z3024" s="13" t="s">
        <v>0</v>
      </c>
      <c r="AA3024" s="14"/>
      <c r="AB3024" s="13" t="s">
        <v>0</v>
      </c>
      <c r="AC3024" s="13" t="s">
        <v>0</v>
      </c>
      <c r="AD3024" s="13" t="s">
        <v>0</v>
      </c>
      <c r="AE3024" s="15">
        <v>0</v>
      </c>
    </row>
    <row r="3025" spans="1:31" ht="14.15" customHeight="1" x14ac:dyDescent="0.25">
      <c r="A3025" s="12" t="s">
        <v>0</v>
      </c>
      <c r="B3025" s="13" t="s">
        <v>1</v>
      </c>
      <c r="C3025" s="13" t="s">
        <v>4346</v>
      </c>
      <c r="D3025" s="14">
        <v>44375</v>
      </c>
      <c r="E3025" s="14">
        <v>44375</v>
      </c>
      <c r="F3025" s="14">
        <v>44378</v>
      </c>
      <c r="G3025" s="13" t="s">
        <v>3</v>
      </c>
      <c r="H3025" s="13" t="s">
        <v>4</v>
      </c>
      <c r="I3025" s="15">
        <v>-409.81</v>
      </c>
      <c r="J3025" s="13" t="s">
        <v>5</v>
      </c>
      <c r="K3025" s="13" t="s">
        <v>6</v>
      </c>
      <c r="L3025" s="15">
        <v>-34403.550000000003</v>
      </c>
      <c r="M3025" s="15">
        <v>-409.81</v>
      </c>
      <c r="N3025" s="16" t="str">
        <f>IF(M3025="","",IF(M3025&lt;0,-M3025&amp;"_"&amp;COUNTIF(M$2:M3025,M3025),M3025&amp;"_"&amp;COUNTIF(M$2:M3025,M3025)))</f>
        <v>409.81_1</v>
      </c>
      <c r="O3025" s="17" t="str">
        <f t="shared" si="47"/>
        <v/>
      </c>
      <c r="P3025" s="13" t="s">
        <v>4347</v>
      </c>
      <c r="Q3025" s="13" t="s">
        <v>4341</v>
      </c>
      <c r="R3025" s="13" t="s">
        <v>0</v>
      </c>
      <c r="S3025" s="13" t="s">
        <v>0</v>
      </c>
      <c r="T3025" s="13" t="s">
        <v>9</v>
      </c>
      <c r="U3025" s="13" t="s">
        <v>0</v>
      </c>
      <c r="V3025" s="13" t="s">
        <v>0</v>
      </c>
      <c r="W3025" s="13" t="s">
        <v>0</v>
      </c>
      <c r="X3025" s="13" t="s">
        <v>0</v>
      </c>
      <c r="Y3025" s="13" t="s">
        <v>10</v>
      </c>
      <c r="Z3025" s="13" t="s">
        <v>0</v>
      </c>
      <c r="AA3025" s="14"/>
      <c r="AB3025" s="13" t="s">
        <v>0</v>
      </c>
      <c r="AC3025" s="13" t="s">
        <v>0</v>
      </c>
      <c r="AD3025" s="13" t="s">
        <v>0</v>
      </c>
      <c r="AE3025" s="15">
        <v>0</v>
      </c>
    </row>
    <row r="3026" spans="1:31" ht="14.15" customHeight="1" x14ac:dyDescent="0.25">
      <c r="A3026" s="12" t="s">
        <v>0</v>
      </c>
      <c r="B3026" s="13" t="s">
        <v>1</v>
      </c>
      <c r="C3026" s="13" t="s">
        <v>3128</v>
      </c>
      <c r="D3026" s="14">
        <v>44291</v>
      </c>
      <c r="E3026" s="14">
        <v>44291</v>
      </c>
      <c r="F3026" s="14">
        <v>44306</v>
      </c>
      <c r="G3026" s="13" t="s">
        <v>3</v>
      </c>
      <c r="H3026" s="13" t="s">
        <v>4</v>
      </c>
      <c r="I3026" s="15">
        <v>-407.93</v>
      </c>
      <c r="J3026" s="13" t="s">
        <v>394</v>
      </c>
      <c r="K3026" s="13" t="s">
        <v>6</v>
      </c>
      <c r="L3026" s="15">
        <v>-34245.72</v>
      </c>
      <c r="M3026" s="15">
        <v>-407.93</v>
      </c>
      <c r="N3026" s="16" t="str">
        <f>IF(M3026="","",IF(M3026&lt;0,-M3026&amp;"_"&amp;COUNTIF(M$2:M3026,M3026),M3026&amp;"_"&amp;COUNTIF(M$2:M3026,M3026)))</f>
        <v>407.93_1</v>
      </c>
      <c r="O3026" s="17" t="str">
        <f t="shared" si="47"/>
        <v/>
      </c>
      <c r="P3026" s="13" t="s">
        <v>3129</v>
      </c>
      <c r="Q3026" s="13" t="s">
        <v>3125</v>
      </c>
      <c r="R3026" s="13" t="s">
        <v>0</v>
      </c>
      <c r="S3026" s="13" t="s">
        <v>0</v>
      </c>
      <c r="T3026" s="13" t="s">
        <v>9</v>
      </c>
      <c r="U3026" s="13" t="s">
        <v>0</v>
      </c>
      <c r="V3026" s="13" t="s">
        <v>0</v>
      </c>
      <c r="W3026" s="13" t="s">
        <v>0</v>
      </c>
      <c r="X3026" s="13" t="s">
        <v>0</v>
      </c>
      <c r="Y3026" s="13" t="s">
        <v>10</v>
      </c>
      <c r="Z3026" s="13" t="s">
        <v>0</v>
      </c>
      <c r="AA3026" s="14"/>
      <c r="AB3026" s="13" t="s">
        <v>0</v>
      </c>
      <c r="AC3026" s="13" t="s">
        <v>0</v>
      </c>
      <c r="AD3026" s="13" t="s">
        <v>0</v>
      </c>
      <c r="AE3026" s="15">
        <v>0</v>
      </c>
    </row>
    <row r="3027" spans="1:31" ht="14.15" customHeight="1" x14ac:dyDescent="0.25">
      <c r="A3027" s="12" t="s">
        <v>0</v>
      </c>
      <c r="B3027" s="13" t="s">
        <v>1</v>
      </c>
      <c r="C3027" s="13" t="s">
        <v>1066</v>
      </c>
      <c r="D3027" s="14">
        <v>44133</v>
      </c>
      <c r="E3027" s="14">
        <v>44133</v>
      </c>
      <c r="F3027" s="14">
        <v>44137</v>
      </c>
      <c r="G3027" s="13" t="s">
        <v>3</v>
      </c>
      <c r="H3027" s="13" t="s">
        <v>4</v>
      </c>
      <c r="I3027" s="15">
        <v>-392.67</v>
      </c>
      <c r="J3027" s="13" t="s">
        <v>488</v>
      </c>
      <c r="K3027" s="13" t="s">
        <v>6</v>
      </c>
      <c r="L3027" s="15">
        <v>-32964.639999999999</v>
      </c>
      <c r="M3027" s="15">
        <v>-392.67</v>
      </c>
      <c r="N3027" s="16" t="str">
        <f>IF(M3027="","",IF(M3027&lt;0,-M3027&amp;"_"&amp;COUNTIF(M$2:M3027,M3027),M3027&amp;"_"&amp;COUNTIF(M$2:M3027,M3027)))</f>
        <v>392.67_1</v>
      </c>
      <c r="O3027" s="17" t="str">
        <f t="shared" si="47"/>
        <v/>
      </c>
      <c r="P3027" s="13" t="s">
        <v>1067</v>
      </c>
      <c r="Q3027" s="13" t="s">
        <v>1065</v>
      </c>
      <c r="R3027" s="13" t="s">
        <v>0</v>
      </c>
      <c r="S3027" s="13" t="s">
        <v>0</v>
      </c>
      <c r="T3027" s="13" t="s">
        <v>9</v>
      </c>
      <c r="U3027" s="13" t="s">
        <v>0</v>
      </c>
      <c r="V3027" s="13" t="s">
        <v>0</v>
      </c>
      <c r="W3027" s="13" t="s">
        <v>0</v>
      </c>
      <c r="X3027" s="13" t="s">
        <v>0</v>
      </c>
      <c r="Y3027" s="13" t="s">
        <v>10</v>
      </c>
      <c r="Z3027" s="13" t="s">
        <v>0</v>
      </c>
      <c r="AA3027" s="14"/>
      <c r="AB3027" s="13" t="s">
        <v>0</v>
      </c>
      <c r="AC3027" s="13" t="s">
        <v>0</v>
      </c>
      <c r="AD3027" s="13" t="s">
        <v>0</v>
      </c>
      <c r="AE3027" s="15">
        <v>0</v>
      </c>
    </row>
    <row r="3028" spans="1:31" ht="14.15" customHeight="1" x14ac:dyDescent="0.25">
      <c r="A3028" s="12" t="s">
        <v>0</v>
      </c>
      <c r="B3028" s="13" t="s">
        <v>1</v>
      </c>
      <c r="C3028" s="13" t="s">
        <v>1066</v>
      </c>
      <c r="D3028" s="14">
        <v>44133</v>
      </c>
      <c r="E3028" s="14">
        <v>44133</v>
      </c>
      <c r="F3028" s="14">
        <v>44137</v>
      </c>
      <c r="G3028" s="13" t="s">
        <v>3</v>
      </c>
      <c r="H3028" s="13" t="s">
        <v>4</v>
      </c>
      <c r="I3028" s="15">
        <v>-392.67</v>
      </c>
      <c r="J3028" s="13" t="s">
        <v>68</v>
      </c>
      <c r="K3028" s="13" t="s">
        <v>6</v>
      </c>
      <c r="L3028" s="15">
        <v>-32964.65</v>
      </c>
      <c r="M3028" s="15">
        <v>-392.67</v>
      </c>
      <c r="N3028" s="16" t="str">
        <f>IF(M3028="","",IF(M3028&lt;0,-M3028&amp;"_"&amp;COUNTIF(M$2:M3028,M3028),M3028&amp;"_"&amp;COUNTIF(M$2:M3028,M3028)))</f>
        <v>392.67_2</v>
      </c>
      <c r="O3028" s="17" t="str">
        <f t="shared" si="47"/>
        <v/>
      </c>
      <c r="P3028" s="13" t="s">
        <v>1067</v>
      </c>
      <c r="Q3028" s="13" t="s">
        <v>1065</v>
      </c>
      <c r="R3028" s="13" t="s">
        <v>0</v>
      </c>
      <c r="S3028" s="13" t="s">
        <v>0</v>
      </c>
      <c r="T3028" s="13" t="s">
        <v>9</v>
      </c>
      <c r="U3028" s="13" t="s">
        <v>0</v>
      </c>
      <c r="V3028" s="13" t="s">
        <v>0</v>
      </c>
      <c r="W3028" s="13" t="s">
        <v>0</v>
      </c>
      <c r="X3028" s="13" t="s">
        <v>0</v>
      </c>
      <c r="Y3028" s="13" t="s">
        <v>10</v>
      </c>
      <c r="Z3028" s="13" t="s">
        <v>0</v>
      </c>
      <c r="AA3028" s="14"/>
      <c r="AB3028" s="13" t="s">
        <v>0</v>
      </c>
      <c r="AC3028" s="13" t="s">
        <v>0</v>
      </c>
      <c r="AD3028" s="13" t="s">
        <v>0</v>
      </c>
      <c r="AE3028" s="15">
        <v>0</v>
      </c>
    </row>
    <row r="3029" spans="1:31" ht="14.15" customHeight="1" x14ac:dyDescent="0.25">
      <c r="A3029" s="12" t="s">
        <v>0</v>
      </c>
      <c r="B3029" s="13" t="s">
        <v>303</v>
      </c>
      <c r="C3029" s="13" t="s">
        <v>310</v>
      </c>
      <c r="D3029" s="14">
        <v>44042</v>
      </c>
      <c r="E3029" s="14">
        <v>44042</v>
      </c>
      <c r="F3029" s="14">
        <v>44056</v>
      </c>
      <c r="G3029" s="13" t="s">
        <v>48</v>
      </c>
      <c r="H3029" s="13" t="s">
        <v>4</v>
      </c>
      <c r="I3029" s="15">
        <v>-380.99</v>
      </c>
      <c r="J3029" s="13" t="s">
        <v>5</v>
      </c>
      <c r="K3029" s="13" t="s">
        <v>6</v>
      </c>
      <c r="L3029" s="15">
        <v>-31984.11</v>
      </c>
      <c r="M3029" s="15">
        <v>-380.99</v>
      </c>
      <c r="N3029" s="16" t="str">
        <f>IF(M3029="","",IF(M3029&lt;0,-M3029&amp;"_"&amp;COUNTIF(M$2:M3029,M3029),M3029&amp;"_"&amp;COUNTIF(M$2:M3029,M3029)))</f>
        <v>380.99_1</v>
      </c>
      <c r="O3029" s="17" t="str">
        <f t="shared" si="47"/>
        <v/>
      </c>
      <c r="P3029" s="13" t="s">
        <v>311</v>
      </c>
      <c r="Q3029" s="13" t="s">
        <v>311</v>
      </c>
      <c r="R3029" s="13" t="s">
        <v>306</v>
      </c>
      <c r="S3029" s="13" t="s">
        <v>0</v>
      </c>
      <c r="T3029" s="13" t="s">
        <v>9</v>
      </c>
      <c r="U3029" s="13" t="s">
        <v>307</v>
      </c>
      <c r="V3029" s="13" t="s">
        <v>0</v>
      </c>
      <c r="W3029" s="13" t="s">
        <v>0</v>
      </c>
      <c r="X3029" s="13" t="s">
        <v>0</v>
      </c>
      <c r="Y3029" s="13" t="s">
        <v>291</v>
      </c>
      <c r="Z3029" s="13" t="s">
        <v>0</v>
      </c>
      <c r="AA3029" s="14"/>
      <c r="AB3029" s="13" t="s">
        <v>0</v>
      </c>
      <c r="AC3029" s="13" t="s">
        <v>0</v>
      </c>
      <c r="AD3029" s="13" t="s">
        <v>0</v>
      </c>
      <c r="AE3029" s="15">
        <v>0</v>
      </c>
    </row>
    <row r="3030" spans="1:31" ht="14.15" customHeight="1" x14ac:dyDescent="0.25">
      <c r="A3030" s="12" t="s">
        <v>0</v>
      </c>
      <c r="B3030" s="13" t="s">
        <v>1</v>
      </c>
      <c r="C3030" s="13" t="s">
        <v>789</v>
      </c>
      <c r="D3030" s="14">
        <v>44101</v>
      </c>
      <c r="E3030" s="14">
        <v>44101</v>
      </c>
      <c r="F3030" s="14">
        <v>44105</v>
      </c>
      <c r="G3030" s="13" t="s">
        <v>3</v>
      </c>
      <c r="H3030" s="13" t="s">
        <v>4</v>
      </c>
      <c r="I3030" s="15">
        <v>-380.77</v>
      </c>
      <c r="J3030" s="13" t="s">
        <v>5</v>
      </c>
      <c r="K3030" s="13" t="s">
        <v>6</v>
      </c>
      <c r="L3030" s="15">
        <v>-31965.64</v>
      </c>
      <c r="M3030" s="15">
        <v>-380.77</v>
      </c>
      <c r="N3030" s="16" t="str">
        <f>IF(M3030="","",IF(M3030&lt;0,-M3030&amp;"_"&amp;COUNTIF(M$2:M3030,M3030),M3030&amp;"_"&amp;COUNTIF(M$2:M3030,M3030)))</f>
        <v>380.77_1</v>
      </c>
      <c r="O3030" s="17" t="str">
        <f t="shared" si="47"/>
        <v/>
      </c>
      <c r="P3030" s="13" t="s">
        <v>790</v>
      </c>
      <c r="Q3030" s="13" t="s">
        <v>784</v>
      </c>
      <c r="R3030" s="13" t="s">
        <v>0</v>
      </c>
      <c r="S3030" s="13" t="s">
        <v>0</v>
      </c>
      <c r="T3030" s="13" t="s">
        <v>9</v>
      </c>
      <c r="U3030" s="13" t="s">
        <v>0</v>
      </c>
      <c r="V3030" s="13" t="s">
        <v>0</v>
      </c>
      <c r="W3030" s="13" t="s">
        <v>0</v>
      </c>
      <c r="X3030" s="13" t="s">
        <v>0</v>
      </c>
      <c r="Y3030" s="13" t="s">
        <v>10</v>
      </c>
      <c r="Z3030" s="13" t="s">
        <v>0</v>
      </c>
      <c r="AA3030" s="14"/>
      <c r="AB3030" s="13" t="s">
        <v>0</v>
      </c>
      <c r="AC3030" s="13" t="s">
        <v>0</v>
      </c>
      <c r="AD3030" s="13" t="s">
        <v>0</v>
      </c>
      <c r="AE3030" s="15">
        <v>0</v>
      </c>
    </row>
    <row r="3031" spans="1:31" ht="14.15" customHeight="1" x14ac:dyDescent="0.25">
      <c r="A3031" s="12" t="s">
        <v>0</v>
      </c>
      <c r="B3031" s="13" t="s">
        <v>1</v>
      </c>
      <c r="C3031" s="13" t="s">
        <v>1159</v>
      </c>
      <c r="D3031" s="14">
        <v>44140</v>
      </c>
      <c r="E3031" s="14">
        <v>44140</v>
      </c>
      <c r="F3031" s="14">
        <v>44163</v>
      </c>
      <c r="G3031" s="13" t="s">
        <v>48</v>
      </c>
      <c r="H3031" s="13" t="s">
        <v>4</v>
      </c>
      <c r="I3031" s="15">
        <v>-378</v>
      </c>
      <c r="J3031" s="13" t="s">
        <v>5</v>
      </c>
      <c r="K3031" s="13" t="s">
        <v>6</v>
      </c>
      <c r="L3031" s="15">
        <v>-31733.1</v>
      </c>
      <c r="M3031" s="15">
        <v>-378</v>
      </c>
      <c r="N3031" s="16" t="str">
        <f>IF(M3031="","",IF(M3031&lt;0,-M3031&amp;"_"&amp;COUNTIF(M$2:M3031,M3031),M3031&amp;"_"&amp;COUNTIF(M$2:M3031,M3031)))</f>
        <v>378_1</v>
      </c>
      <c r="O3031" s="17" t="str">
        <f t="shared" si="47"/>
        <v/>
      </c>
      <c r="P3031" s="13" t="s">
        <v>1160</v>
      </c>
      <c r="Q3031" s="13" t="s">
        <v>1160</v>
      </c>
      <c r="R3031" s="13" t="s">
        <v>50</v>
      </c>
      <c r="S3031" s="13" t="s">
        <v>0</v>
      </c>
      <c r="T3031" s="13" t="s">
        <v>9</v>
      </c>
      <c r="U3031" s="13" t="s">
        <v>50</v>
      </c>
      <c r="V3031" s="13" t="s">
        <v>0</v>
      </c>
      <c r="W3031" s="13" t="s">
        <v>0</v>
      </c>
      <c r="X3031" s="13" t="s">
        <v>0</v>
      </c>
      <c r="Y3031" s="13" t="s">
        <v>10</v>
      </c>
      <c r="Z3031" s="13" t="s">
        <v>0</v>
      </c>
      <c r="AA3031" s="14"/>
      <c r="AB3031" s="13" t="s">
        <v>0</v>
      </c>
      <c r="AC3031" s="13" t="s">
        <v>0</v>
      </c>
      <c r="AD3031" s="13" t="s">
        <v>0</v>
      </c>
      <c r="AE3031" s="15">
        <v>0</v>
      </c>
    </row>
    <row r="3032" spans="1:31" ht="14.15" customHeight="1" x14ac:dyDescent="0.25">
      <c r="A3032" s="12" t="s">
        <v>0</v>
      </c>
      <c r="B3032" s="13" t="s">
        <v>1</v>
      </c>
      <c r="C3032" s="13" t="s">
        <v>1640</v>
      </c>
      <c r="D3032" s="14">
        <v>44171</v>
      </c>
      <c r="E3032" s="14">
        <v>44171</v>
      </c>
      <c r="F3032" s="14">
        <v>44189</v>
      </c>
      <c r="G3032" s="13" t="s">
        <v>48</v>
      </c>
      <c r="H3032" s="13" t="s">
        <v>4</v>
      </c>
      <c r="I3032" s="15">
        <v>-378</v>
      </c>
      <c r="J3032" s="13" t="s">
        <v>5</v>
      </c>
      <c r="K3032" s="13" t="s">
        <v>6</v>
      </c>
      <c r="L3032" s="15">
        <v>-31733.1</v>
      </c>
      <c r="M3032" s="15">
        <v>-378</v>
      </c>
      <c r="N3032" s="16" t="str">
        <f>IF(M3032="","",IF(M3032&lt;0,-M3032&amp;"_"&amp;COUNTIF(M$2:M3032,M3032),M3032&amp;"_"&amp;COUNTIF(M$2:M3032,M3032)))</f>
        <v>378_2</v>
      </c>
      <c r="O3032" s="17" t="str">
        <f t="shared" si="47"/>
        <v/>
      </c>
      <c r="P3032" s="13" t="s">
        <v>1641</v>
      </c>
      <c r="Q3032" s="13" t="s">
        <v>1641</v>
      </c>
      <c r="R3032" s="13" t="s">
        <v>50</v>
      </c>
      <c r="S3032" s="13" t="s">
        <v>0</v>
      </c>
      <c r="T3032" s="13" t="s">
        <v>9</v>
      </c>
      <c r="U3032" s="13" t="s">
        <v>50</v>
      </c>
      <c r="V3032" s="13" t="s">
        <v>0</v>
      </c>
      <c r="W3032" s="13" t="s">
        <v>0</v>
      </c>
      <c r="X3032" s="13" t="s">
        <v>0</v>
      </c>
      <c r="Y3032" s="13" t="s">
        <v>10</v>
      </c>
      <c r="Z3032" s="13" t="s">
        <v>0</v>
      </c>
      <c r="AA3032" s="14"/>
      <c r="AB3032" s="13" t="s">
        <v>0</v>
      </c>
      <c r="AC3032" s="13" t="s">
        <v>0</v>
      </c>
      <c r="AD3032" s="13" t="s">
        <v>0</v>
      </c>
      <c r="AE3032" s="15">
        <v>0</v>
      </c>
    </row>
    <row r="3033" spans="1:31" ht="14.15" customHeight="1" x14ac:dyDescent="0.25">
      <c r="A3033" s="12" t="s">
        <v>0</v>
      </c>
      <c r="B3033" s="13" t="s">
        <v>1</v>
      </c>
      <c r="C3033" s="13" t="s">
        <v>2309</v>
      </c>
      <c r="D3033" s="14">
        <v>44219</v>
      </c>
      <c r="E3033" s="14">
        <v>44219</v>
      </c>
      <c r="F3033" s="14">
        <v>44226</v>
      </c>
      <c r="G3033" s="13" t="s">
        <v>3</v>
      </c>
      <c r="H3033" s="13" t="s">
        <v>4</v>
      </c>
      <c r="I3033" s="15">
        <v>-361.25</v>
      </c>
      <c r="J3033" s="13" t="s">
        <v>68</v>
      </c>
      <c r="K3033" s="13" t="s">
        <v>6</v>
      </c>
      <c r="L3033" s="15">
        <v>-30326.94</v>
      </c>
      <c r="M3033" s="15">
        <v>-361.25</v>
      </c>
      <c r="N3033" s="16" t="str">
        <f>IF(M3033="","",IF(M3033&lt;0,-M3033&amp;"_"&amp;COUNTIF(M$2:M3033,M3033),M3033&amp;"_"&amp;COUNTIF(M$2:M3033,M3033)))</f>
        <v>361.25_1</v>
      </c>
      <c r="O3033" s="17" t="str">
        <f t="shared" si="47"/>
        <v/>
      </c>
      <c r="P3033" s="13" t="s">
        <v>2310</v>
      </c>
      <c r="Q3033" s="13" t="s">
        <v>2282</v>
      </c>
      <c r="R3033" s="13" t="s">
        <v>0</v>
      </c>
      <c r="S3033" s="13" t="s">
        <v>0</v>
      </c>
      <c r="T3033" s="13" t="s">
        <v>9</v>
      </c>
      <c r="U3033" s="13" t="s">
        <v>0</v>
      </c>
      <c r="V3033" s="13" t="s">
        <v>0</v>
      </c>
      <c r="W3033" s="13" t="s">
        <v>0</v>
      </c>
      <c r="X3033" s="13" t="s">
        <v>0</v>
      </c>
      <c r="Y3033" s="13" t="s">
        <v>10</v>
      </c>
      <c r="Z3033" s="13" t="s">
        <v>0</v>
      </c>
      <c r="AA3033" s="14"/>
      <c r="AB3033" s="13" t="s">
        <v>0</v>
      </c>
      <c r="AC3033" s="13" t="s">
        <v>0</v>
      </c>
      <c r="AD3033" s="13" t="s">
        <v>0</v>
      </c>
      <c r="AE3033" s="15">
        <v>0</v>
      </c>
    </row>
    <row r="3034" spans="1:31" ht="14.15" customHeight="1" x14ac:dyDescent="0.25">
      <c r="A3034" s="12" t="s">
        <v>0</v>
      </c>
      <c r="B3034" s="13" t="s">
        <v>1</v>
      </c>
      <c r="C3034" s="13" t="s">
        <v>896</v>
      </c>
      <c r="D3034" s="14">
        <v>44114</v>
      </c>
      <c r="E3034" s="14">
        <v>44114</v>
      </c>
      <c r="F3034" s="14">
        <v>44121</v>
      </c>
      <c r="G3034" s="13" t="s">
        <v>48</v>
      </c>
      <c r="H3034" s="13" t="s">
        <v>4</v>
      </c>
      <c r="I3034" s="15">
        <v>-340.23</v>
      </c>
      <c r="J3034" s="13" t="s">
        <v>5</v>
      </c>
      <c r="K3034" s="13" t="s">
        <v>6</v>
      </c>
      <c r="L3034" s="15">
        <v>-28562.31</v>
      </c>
      <c r="M3034" s="15">
        <v>-340.23</v>
      </c>
      <c r="N3034" s="16" t="str">
        <f>IF(M3034="","",IF(M3034&lt;0,-M3034&amp;"_"&amp;COUNTIF(M$2:M3034,M3034),M3034&amp;"_"&amp;COUNTIF(M$2:M3034,M3034)))</f>
        <v>340.23_1</v>
      </c>
      <c r="O3034" s="17" t="str">
        <f t="shared" si="47"/>
        <v/>
      </c>
      <c r="P3034" s="13" t="s">
        <v>897</v>
      </c>
      <c r="Q3034" s="13" t="s">
        <v>897</v>
      </c>
      <c r="R3034" s="13" t="s">
        <v>50</v>
      </c>
      <c r="S3034" s="13" t="s">
        <v>0</v>
      </c>
      <c r="T3034" s="13" t="s">
        <v>9</v>
      </c>
      <c r="U3034" s="13" t="s">
        <v>51</v>
      </c>
      <c r="V3034" s="13" t="s">
        <v>0</v>
      </c>
      <c r="W3034" s="13" t="s">
        <v>0</v>
      </c>
      <c r="X3034" s="13" t="s">
        <v>0</v>
      </c>
      <c r="Y3034" s="13" t="s">
        <v>10</v>
      </c>
      <c r="Z3034" s="13" t="s">
        <v>0</v>
      </c>
      <c r="AA3034" s="14"/>
      <c r="AB3034" s="13" t="s">
        <v>0</v>
      </c>
      <c r="AC3034" s="13" t="s">
        <v>0</v>
      </c>
      <c r="AD3034" s="13" t="s">
        <v>0</v>
      </c>
      <c r="AE3034" s="15">
        <v>0</v>
      </c>
    </row>
    <row r="3035" spans="1:31" ht="14.15" customHeight="1" x14ac:dyDescent="0.25">
      <c r="A3035" s="12" t="s">
        <v>0</v>
      </c>
      <c r="B3035" s="13" t="s">
        <v>1</v>
      </c>
      <c r="C3035" s="13" t="s">
        <v>2218</v>
      </c>
      <c r="D3035" s="14">
        <v>44214</v>
      </c>
      <c r="E3035" s="14">
        <v>44214</v>
      </c>
      <c r="F3035" s="14">
        <v>44220</v>
      </c>
      <c r="G3035" s="13" t="s">
        <v>48</v>
      </c>
      <c r="H3035" s="13" t="s">
        <v>4</v>
      </c>
      <c r="I3035" s="15">
        <v>-340</v>
      </c>
      <c r="J3035" s="13" t="s">
        <v>5</v>
      </c>
      <c r="K3035" s="13" t="s">
        <v>6</v>
      </c>
      <c r="L3035" s="15">
        <v>-28543</v>
      </c>
      <c r="M3035" s="15">
        <v>-340</v>
      </c>
      <c r="N3035" s="16" t="str">
        <f>IF(M3035="","",IF(M3035&lt;0,-M3035&amp;"_"&amp;COUNTIF(M$2:M3035,M3035),M3035&amp;"_"&amp;COUNTIF(M$2:M3035,M3035)))</f>
        <v>340_1</v>
      </c>
      <c r="O3035" s="17" t="str">
        <f t="shared" si="47"/>
        <v/>
      </c>
      <c r="P3035" s="13" t="s">
        <v>2219</v>
      </c>
      <c r="Q3035" s="13" t="s">
        <v>2219</v>
      </c>
      <c r="R3035" s="13" t="s">
        <v>1656</v>
      </c>
      <c r="S3035" s="13" t="s">
        <v>0</v>
      </c>
      <c r="T3035" s="13" t="s">
        <v>9</v>
      </c>
      <c r="U3035" s="13" t="s">
        <v>1656</v>
      </c>
      <c r="V3035" s="13" t="s">
        <v>0</v>
      </c>
      <c r="W3035" s="13" t="s">
        <v>0</v>
      </c>
      <c r="X3035" s="13" t="s">
        <v>0</v>
      </c>
      <c r="Y3035" s="13" t="s">
        <v>10</v>
      </c>
      <c r="Z3035" s="13" t="s">
        <v>0</v>
      </c>
      <c r="AA3035" s="14"/>
      <c r="AB3035" s="13" t="s">
        <v>0</v>
      </c>
      <c r="AC3035" s="13" t="s">
        <v>0</v>
      </c>
      <c r="AD3035" s="13" t="s">
        <v>0</v>
      </c>
      <c r="AE3035" s="15">
        <v>0</v>
      </c>
    </row>
    <row r="3036" spans="1:31" ht="14.15" customHeight="1" x14ac:dyDescent="0.25">
      <c r="A3036" s="12" t="s">
        <v>0</v>
      </c>
      <c r="B3036" s="13" t="s">
        <v>1</v>
      </c>
      <c r="C3036" s="13" t="s">
        <v>3458</v>
      </c>
      <c r="D3036" s="14">
        <v>44320</v>
      </c>
      <c r="E3036" s="14">
        <v>44320</v>
      </c>
      <c r="F3036" s="14">
        <v>44328</v>
      </c>
      <c r="G3036" s="13" t="s">
        <v>3</v>
      </c>
      <c r="H3036" s="13" t="s">
        <v>4</v>
      </c>
      <c r="I3036" s="15">
        <v>-339.71</v>
      </c>
      <c r="J3036" s="13" t="s">
        <v>394</v>
      </c>
      <c r="K3036" s="13" t="s">
        <v>6</v>
      </c>
      <c r="L3036" s="15">
        <v>-28518.65</v>
      </c>
      <c r="M3036" s="15">
        <v>-339.71</v>
      </c>
      <c r="N3036" s="16" t="str">
        <f>IF(M3036="","",IF(M3036&lt;0,-M3036&amp;"_"&amp;COUNTIF(M$2:M3036,M3036),M3036&amp;"_"&amp;COUNTIF(M$2:M3036,M3036)))</f>
        <v>339.71_1</v>
      </c>
      <c r="O3036" s="17" t="str">
        <f t="shared" si="47"/>
        <v/>
      </c>
      <c r="P3036" s="13" t="s">
        <v>3459</v>
      </c>
      <c r="Q3036" s="13" t="s">
        <v>3453</v>
      </c>
      <c r="R3036" s="13" t="s">
        <v>0</v>
      </c>
      <c r="S3036" s="13" t="s">
        <v>0</v>
      </c>
      <c r="T3036" s="13" t="s">
        <v>9</v>
      </c>
      <c r="U3036" s="13" t="s">
        <v>0</v>
      </c>
      <c r="V3036" s="13" t="s">
        <v>0</v>
      </c>
      <c r="W3036" s="13" t="s">
        <v>0</v>
      </c>
      <c r="X3036" s="13" t="s">
        <v>0</v>
      </c>
      <c r="Y3036" s="13" t="s">
        <v>10</v>
      </c>
      <c r="Z3036" s="13" t="s">
        <v>0</v>
      </c>
      <c r="AA3036" s="14"/>
      <c r="AB3036" s="13" t="s">
        <v>0</v>
      </c>
      <c r="AC3036" s="13" t="s">
        <v>0</v>
      </c>
      <c r="AD3036" s="13" t="s">
        <v>0</v>
      </c>
      <c r="AE3036" s="15">
        <v>0</v>
      </c>
    </row>
    <row r="3037" spans="1:31" ht="14.15" customHeight="1" x14ac:dyDescent="0.25">
      <c r="A3037" s="12" t="s">
        <v>0</v>
      </c>
      <c r="B3037" s="13" t="s">
        <v>1</v>
      </c>
      <c r="C3037" s="13" t="s">
        <v>580</v>
      </c>
      <c r="D3037" s="14">
        <v>44077</v>
      </c>
      <c r="E3037" s="14">
        <v>44077</v>
      </c>
      <c r="F3037" s="14">
        <v>44104</v>
      </c>
      <c r="G3037" s="13" t="s">
        <v>3</v>
      </c>
      <c r="H3037" s="13" t="s">
        <v>4</v>
      </c>
      <c r="I3037" s="15">
        <v>-332.95</v>
      </c>
      <c r="J3037" s="13" t="s">
        <v>394</v>
      </c>
      <c r="K3037" s="13" t="s">
        <v>6</v>
      </c>
      <c r="L3037" s="15">
        <v>-27951.15</v>
      </c>
      <c r="M3037" s="15">
        <v>-332.95</v>
      </c>
      <c r="N3037" s="16" t="str">
        <f>IF(M3037="","",IF(M3037&lt;0,-M3037&amp;"_"&amp;COUNTIF(M$2:M3037,M3037),M3037&amp;"_"&amp;COUNTIF(M$2:M3037,M3037)))</f>
        <v>332.95_1</v>
      </c>
      <c r="O3037" s="17" t="str">
        <f t="shared" si="47"/>
        <v/>
      </c>
      <c r="P3037" s="13" t="s">
        <v>581</v>
      </c>
      <c r="Q3037" s="13" t="s">
        <v>571</v>
      </c>
      <c r="R3037" s="13" t="s">
        <v>0</v>
      </c>
      <c r="S3037" s="13" t="s">
        <v>0</v>
      </c>
      <c r="T3037" s="13" t="s">
        <v>9</v>
      </c>
      <c r="U3037" s="13" t="s">
        <v>0</v>
      </c>
      <c r="V3037" s="13" t="s">
        <v>0</v>
      </c>
      <c r="W3037" s="13" t="s">
        <v>0</v>
      </c>
      <c r="X3037" s="13" t="s">
        <v>0</v>
      </c>
      <c r="Y3037" s="13" t="s">
        <v>10</v>
      </c>
      <c r="Z3037" s="13" t="s">
        <v>0</v>
      </c>
      <c r="AA3037" s="14"/>
      <c r="AB3037" s="13" t="s">
        <v>0</v>
      </c>
      <c r="AC3037" s="13" t="s">
        <v>0</v>
      </c>
      <c r="AD3037" s="13" t="s">
        <v>0</v>
      </c>
      <c r="AE3037" s="15">
        <v>0</v>
      </c>
    </row>
    <row r="3038" spans="1:31" ht="14.15" customHeight="1" x14ac:dyDescent="0.25">
      <c r="A3038" s="12" t="s">
        <v>0</v>
      </c>
      <c r="B3038" s="13" t="s">
        <v>1</v>
      </c>
      <c r="C3038" s="13" t="s">
        <v>3064</v>
      </c>
      <c r="D3038" s="14">
        <v>44284</v>
      </c>
      <c r="E3038" s="14">
        <v>44284</v>
      </c>
      <c r="F3038" s="14">
        <v>44290</v>
      </c>
      <c r="G3038" s="13" t="s">
        <v>3</v>
      </c>
      <c r="H3038" s="13" t="s">
        <v>4</v>
      </c>
      <c r="I3038" s="15">
        <v>-317.70999999999998</v>
      </c>
      <c r="J3038" s="13" t="s">
        <v>394</v>
      </c>
      <c r="K3038" s="13" t="s">
        <v>6</v>
      </c>
      <c r="L3038" s="15">
        <v>-26671.75</v>
      </c>
      <c r="M3038" s="15">
        <v>-317.70999999999998</v>
      </c>
      <c r="N3038" s="16" t="str">
        <f>IF(M3038="","",IF(M3038&lt;0,-M3038&amp;"_"&amp;COUNTIF(M$2:M3038,M3038),M3038&amp;"_"&amp;COUNTIF(M$2:M3038,M3038)))</f>
        <v>317.71_1</v>
      </c>
      <c r="O3038" s="17" t="str">
        <f t="shared" si="47"/>
        <v/>
      </c>
      <c r="P3038" s="13" t="s">
        <v>3065</v>
      </c>
      <c r="Q3038" s="13" t="s">
        <v>3061</v>
      </c>
      <c r="R3038" s="13" t="s">
        <v>0</v>
      </c>
      <c r="S3038" s="13" t="s">
        <v>0</v>
      </c>
      <c r="T3038" s="13" t="s">
        <v>9</v>
      </c>
      <c r="U3038" s="13" t="s">
        <v>0</v>
      </c>
      <c r="V3038" s="13" t="s">
        <v>0</v>
      </c>
      <c r="W3038" s="13" t="s">
        <v>0</v>
      </c>
      <c r="X3038" s="13" t="s">
        <v>0</v>
      </c>
      <c r="Y3038" s="13" t="s">
        <v>10</v>
      </c>
      <c r="Z3038" s="13" t="s">
        <v>0</v>
      </c>
      <c r="AA3038" s="14"/>
      <c r="AB3038" s="13" t="s">
        <v>0</v>
      </c>
      <c r="AC3038" s="13" t="s">
        <v>0</v>
      </c>
      <c r="AD3038" s="13" t="s">
        <v>0</v>
      </c>
      <c r="AE3038" s="15">
        <v>0</v>
      </c>
    </row>
    <row r="3039" spans="1:31" ht="14.15" customHeight="1" x14ac:dyDescent="0.25">
      <c r="A3039" s="12" t="s">
        <v>0</v>
      </c>
      <c r="B3039" s="13" t="s">
        <v>1</v>
      </c>
      <c r="C3039" s="13" t="s">
        <v>1529</v>
      </c>
      <c r="D3039" s="14">
        <v>44164</v>
      </c>
      <c r="E3039" s="14">
        <v>44164</v>
      </c>
      <c r="F3039" s="14">
        <v>44166</v>
      </c>
      <c r="G3039" s="13" t="s">
        <v>3</v>
      </c>
      <c r="H3039" s="13" t="s">
        <v>4</v>
      </c>
      <c r="I3039" s="15">
        <v>-305.81</v>
      </c>
      <c r="J3039" s="13" t="s">
        <v>5</v>
      </c>
      <c r="K3039" s="13" t="s">
        <v>6</v>
      </c>
      <c r="L3039" s="15">
        <v>-25672.75</v>
      </c>
      <c r="M3039" s="15">
        <v>-305.81</v>
      </c>
      <c r="N3039" s="16" t="str">
        <f>IF(M3039="","",IF(M3039&lt;0,-M3039&amp;"_"&amp;COUNTIF(M$2:M3039,M3039),M3039&amp;"_"&amp;COUNTIF(M$2:M3039,M3039)))</f>
        <v>305.81_1</v>
      </c>
      <c r="O3039" s="17" t="str">
        <f t="shared" si="47"/>
        <v/>
      </c>
      <c r="P3039" s="13" t="s">
        <v>1530</v>
      </c>
      <c r="Q3039" s="13" t="s">
        <v>1516</v>
      </c>
      <c r="R3039" s="13" t="s">
        <v>0</v>
      </c>
      <c r="S3039" s="13" t="s">
        <v>0</v>
      </c>
      <c r="T3039" s="13" t="s">
        <v>9</v>
      </c>
      <c r="U3039" s="13" t="s">
        <v>0</v>
      </c>
      <c r="V3039" s="13" t="s">
        <v>0</v>
      </c>
      <c r="W3039" s="13" t="s">
        <v>0</v>
      </c>
      <c r="X3039" s="13" t="s">
        <v>0</v>
      </c>
      <c r="Y3039" s="13" t="s">
        <v>10</v>
      </c>
      <c r="Z3039" s="13" t="s">
        <v>0</v>
      </c>
      <c r="AA3039" s="14"/>
      <c r="AB3039" s="13" t="s">
        <v>0</v>
      </c>
      <c r="AC3039" s="13" t="s">
        <v>0</v>
      </c>
      <c r="AD3039" s="13" t="s">
        <v>0</v>
      </c>
      <c r="AE3039" s="15">
        <v>0</v>
      </c>
    </row>
    <row r="3040" spans="1:31" ht="14.15" customHeight="1" x14ac:dyDescent="0.25">
      <c r="A3040" s="12" t="s">
        <v>0</v>
      </c>
      <c r="B3040" s="13" t="s">
        <v>1</v>
      </c>
      <c r="C3040" s="13" t="s">
        <v>323</v>
      </c>
      <c r="D3040" s="14">
        <v>44043</v>
      </c>
      <c r="E3040" s="14">
        <v>44043</v>
      </c>
      <c r="F3040" s="14">
        <v>44057</v>
      </c>
      <c r="G3040" s="13" t="s">
        <v>3</v>
      </c>
      <c r="H3040" s="13" t="s">
        <v>4</v>
      </c>
      <c r="I3040" s="15">
        <v>-302.3</v>
      </c>
      <c r="J3040" s="13" t="s">
        <v>325</v>
      </c>
      <c r="K3040" s="13" t="s">
        <v>6</v>
      </c>
      <c r="L3040" s="15">
        <v>-25378.09</v>
      </c>
      <c r="M3040" s="15">
        <v>-302.3</v>
      </c>
      <c r="N3040" s="16" t="str">
        <f>IF(M3040="","",IF(M3040&lt;0,-M3040&amp;"_"&amp;COUNTIF(M$2:M3040,M3040),M3040&amp;"_"&amp;COUNTIF(M$2:M3040,M3040)))</f>
        <v>302.3_1</v>
      </c>
      <c r="O3040" s="17" t="str">
        <f t="shared" si="47"/>
        <v/>
      </c>
      <c r="P3040" s="13" t="s">
        <v>324</v>
      </c>
      <c r="Q3040" s="13" t="s">
        <v>316</v>
      </c>
      <c r="R3040" s="13" t="s">
        <v>0</v>
      </c>
      <c r="S3040" s="13" t="s">
        <v>0</v>
      </c>
      <c r="T3040" s="13" t="s">
        <v>9</v>
      </c>
      <c r="U3040" s="13" t="s">
        <v>0</v>
      </c>
      <c r="V3040" s="13" t="s">
        <v>0</v>
      </c>
      <c r="W3040" s="13" t="s">
        <v>0</v>
      </c>
      <c r="X3040" s="13" t="s">
        <v>0</v>
      </c>
      <c r="Y3040" s="13" t="s">
        <v>10</v>
      </c>
      <c r="Z3040" s="13" t="s">
        <v>0</v>
      </c>
      <c r="AA3040" s="14"/>
      <c r="AB3040" s="13" t="s">
        <v>0</v>
      </c>
      <c r="AC3040" s="13" t="s">
        <v>0</v>
      </c>
      <c r="AD3040" s="13" t="s">
        <v>0</v>
      </c>
      <c r="AE3040" s="15">
        <v>0</v>
      </c>
    </row>
    <row r="3041" spans="1:31" ht="14.15" customHeight="1" x14ac:dyDescent="0.25">
      <c r="A3041" s="12" t="s">
        <v>0</v>
      </c>
      <c r="B3041" s="13" t="s">
        <v>1</v>
      </c>
      <c r="C3041" s="13" t="s">
        <v>1878</v>
      </c>
      <c r="D3041" s="14">
        <v>44188</v>
      </c>
      <c r="E3041" s="14">
        <v>44188</v>
      </c>
      <c r="F3041" s="14">
        <v>44198</v>
      </c>
      <c r="G3041" s="13" t="s">
        <v>3</v>
      </c>
      <c r="H3041" s="13" t="s">
        <v>4</v>
      </c>
      <c r="I3041" s="15">
        <v>-293.17</v>
      </c>
      <c r="J3041" s="13" t="s">
        <v>394</v>
      </c>
      <c r="K3041" s="13" t="s">
        <v>6</v>
      </c>
      <c r="L3041" s="15">
        <v>-24611.62</v>
      </c>
      <c r="M3041" s="15">
        <v>-293.17</v>
      </c>
      <c r="N3041" s="16" t="str">
        <f>IF(M3041="","",IF(M3041&lt;0,-M3041&amp;"_"&amp;COUNTIF(M$2:M3041,M3041),M3041&amp;"_"&amp;COUNTIF(M$2:M3041,M3041)))</f>
        <v>293.17_1</v>
      </c>
      <c r="O3041" s="17" t="str">
        <f t="shared" si="47"/>
        <v/>
      </c>
      <c r="P3041" s="13" t="s">
        <v>1879</v>
      </c>
      <c r="Q3041" s="13" t="s">
        <v>1869</v>
      </c>
      <c r="R3041" s="13" t="s">
        <v>0</v>
      </c>
      <c r="S3041" s="13" t="s">
        <v>0</v>
      </c>
      <c r="T3041" s="13" t="s">
        <v>9</v>
      </c>
      <c r="U3041" s="13" t="s">
        <v>0</v>
      </c>
      <c r="V3041" s="13" t="s">
        <v>0</v>
      </c>
      <c r="W3041" s="13" t="s">
        <v>0</v>
      </c>
      <c r="X3041" s="13" t="s">
        <v>0</v>
      </c>
      <c r="Y3041" s="13" t="s">
        <v>10</v>
      </c>
      <c r="Z3041" s="13" t="s">
        <v>0</v>
      </c>
      <c r="AA3041" s="14"/>
      <c r="AB3041" s="13" t="s">
        <v>0</v>
      </c>
      <c r="AC3041" s="13" t="s">
        <v>0</v>
      </c>
      <c r="AD3041" s="13" t="s">
        <v>0</v>
      </c>
      <c r="AE3041" s="15">
        <v>0</v>
      </c>
    </row>
    <row r="3042" spans="1:31" ht="14.15" customHeight="1" x14ac:dyDescent="0.25">
      <c r="A3042" s="12" t="s">
        <v>0</v>
      </c>
      <c r="B3042" s="13" t="s">
        <v>1</v>
      </c>
      <c r="C3042" s="13" t="s">
        <v>3434</v>
      </c>
      <c r="D3042" s="14">
        <v>44320</v>
      </c>
      <c r="E3042" s="14">
        <v>44320</v>
      </c>
      <c r="F3042" s="14">
        <v>44339</v>
      </c>
      <c r="G3042" s="13" t="s">
        <v>48</v>
      </c>
      <c r="H3042" s="13" t="s">
        <v>4</v>
      </c>
      <c r="I3042" s="15">
        <v>-286.41000000000003</v>
      </c>
      <c r="J3042" s="13" t="s">
        <v>5</v>
      </c>
      <c r="K3042" s="13" t="s">
        <v>6</v>
      </c>
      <c r="L3042" s="15">
        <v>-24044.12</v>
      </c>
      <c r="M3042" s="15">
        <v>-286.41000000000003</v>
      </c>
      <c r="N3042" s="16" t="str">
        <f>IF(M3042="","",IF(M3042&lt;0,-M3042&amp;"_"&amp;COUNTIF(M$2:M3042,M3042),M3042&amp;"_"&amp;COUNTIF(M$2:M3042,M3042)))</f>
        <v>286.41_1</v>
      </c>
      <c r="O3042" s="17" t="str">
        <f t="shared" si="47"/>
        <v/>
      </c>
      <c r="P3042" s="13" t="s">
        <v>3435</v>
      </c>
      <c r="Q3042" s="13" t="s">
        <v>3435</v>
      </c>
      <c r="R3042" s="13" t="s">
        <v>1656</v>
      </c>
      <c r="S3042" s="13" t="s">
        <v>0</v>
      </c>
      <c r="T3042" s="13" t="s">
        <v>9</v>
      </c>
      <c r="U3042" s="13" t="s">
        <v>1656</v>
      </c>
      <c r="V3042" s="13" t="s">
        <v>0</v>
      </c>
      <c r="W3042" s="13" t="s">
        <v>0</v>
      </c>
      <c r="X3042" s="13" t="s">
        <v>0</v>
      </c>
      <c r="Y3042" s="13" t="s">
        <v>10</v>
      </c>
      <c r="Z3042" s="13" t="s">
        <v>0</v>
      </c>
      <c r="AA3042" s="14"/>
      <c r="AB3042" s="13" t="s">
        <v>0</v>
      </c>
      <c r="AC3042" s="13" t="s">
        <v>0</v>
      </c>
      <c r="AD3042" s="13" t="s">
        <v>0</v>
      </c>
      <c r="AE3042" s="15">
        <v>0</v>
      </c>
    </row>
    <row r="3043" spans="1:31" ht="14.15" customHeight="1" x14ac:dyDescent="0.25">
      <c r="A3043" s="12" t="s">
        <v>0</v>
      </c>
      <c r="B3043" s="13" t="s">
        <v>1</v>
      </c>
      <c r="C3043" s="13" t="s">
        <v>2119</v>
      </c>
      <c r="D3043" s="14">
        <v>44201</v>
      </c>
      <c r="E3043" s="14">
        <v>44201</v>
      </c>
      <c r="F3043" s="14">
        <v>44208</v>
      </c>
      <c r="G3043" s="13" t="s">
        <v>3</v>
      </c>
      <c r="H3043" s="13" t="s">
        <v>4</v>
      </c>
      <c r="I3043" s="15">
        <v>-282.98</v>
      </c>
      <c r="J3043" s="13" t="s">
        <v>5</v>
      </c>
      <c r="K3043" s="13" t="s">
        <v>6</v>
      </c>
      <c r="L3043" s="15">
        <v>-23756.17</v>
      </c>
      <c r="M3043" s="15">
        <v>-282.98</v>
      </c>
      <c r="N3043" s="16" t="str">
        <f>IF(M3043="","",IF(M3043&lt;0,-M3043&amp;"_"&amp;COUNTIF(M$2:M3043,M3043),M3043&amp;"_"&amp;COUNTIF(M$2:M3043,M3043)))</f>
        <v>282.98_1</v>
      </c>
      <c r="O3043" s="17" t="str">
        <f t="shared" si="47"/>
        <v/>
      </c>
      <c r="P3043" s="13" t="s">
        <v>2120</v>
      </c>
      <c r="Q3043" s="13" t="s">
        <v>2116</v>
      </c>
      <c r="R3043" s="13" t="s">
        <v>0</v>
      </c>
      <c r="S3043" s="13" t="s">
        <v>0</v>
      </c>
      <c r="T3043" s="13" t="s">
        <v>9</v>
      </c>
      <c r="U3043" s="13" t="s">
        <v>0</v>
      </c>
      <c r="V3043" s="13" t="s">
        <v>0</v>
      </c>
      <c r="W3043" s="13" t="s">
        <v>0</v>
      </c>
      <c r="X3043" s="13" t="s">
        <v>0</v>
      </c>
      <c r="Y3043" s="13" t="s">
        <v>10</v>
      </c>
      <c r="Z3043" s="13" t="s">
        <v>0</v>
      </c>
      <c r="AA3043" s="14"/>
      <c r="AB3043" s="13" t="s">
        <v>0</v>
      </c>
      <c r="AC3043" s="13" t="s">
        <v>0</v>
      </c>
      <c r="AD3043" s="13" t="s">
        <v>0</v>
      </c>
      <c r="AE3043" s="15">
        <v>0</v>
      </c>
    </row>
    <row r="3044" spans="1:31" ht="14.15" customHeight="1" x14ac:dyDescent="0.25">
      <c r="A3044" s="12" t="s">
        <v>0</v>
      </c>
      <c r="B3044" s="13" t="s">
        <v>1</v>
      </c>
      <c r="C3044" s="13" t="s">
        <v>1838</v>
      </c>
      <c r="D3044" s="14">
        <v>44184</v>
      </c>
      <c r="E3044" s="14">
        <v>44184</v>
      </c>
      <c r="F3044" s="14">
        <v>44202</v>
      </c>
      <c r="G3044" s="13" t="s">
        <v>3</v>
      </c>
      <c r="H3044" s="13" t="s">
        <v>4</v>
      </c>
      <c r="I3044" s="15">
        <v>-278.18</v>
      </c>
      <c r="J3044" s="13" t="s">
        <v>5</v>
      </c>
      <c r="K3044" s="13" t="s">
        <v>6</v>
      </c>
      <c r="L3044" s="15">
        <v>-23353.21</v>
      </c>
      <c r="M3044" s="15">
        <v>-278.18</v>
      </c>
      <c r="N3044" s="16" t="str">
        <f>IF(M3044="","",IF(M3044&lt;0,-M3044&amp;"_"&amp;COUNTIF(M$2:M3044,M3044),M3044&amp;"_"&amp;COUNTIF(M$2:M3044,M3044)))</f>
        <v>278.18_1</v>
      </c>
      <c r="O3044" s="17" t="str">
        <f t="shared" si="47"/>
        <v/>
      </c>
      <c r="P3044" s="13" t="s">
        <v>1839</v>
      </c>
      <c r="Q3044" s="13" t="s">
        <v>1831</v>
      </c>
      <c r="R3044" s="13" t="s">
        <v>0</v>
      </c>
      <c r="S3044" s="13" t="s">
        <v>0</v>
      </c>
      <c r="T3044" s="13" t="s">
        <v>9</v>
      </c>
      <c r="U3044" s="13" t="s">
        <v>0</v>
      </c>
      <c r="V3044" s="13" t="s">
        <v>0</v>
      </c>
      <c r="W3044" s="13" t="s">
        <v>0</v>
      </c>
      <c r="X3044" s="13" t="s">
        <v>0</v>
      </c>
      <c r="Y3044" s="13" t="s">
        <v>10</v>
      </c>
      <c r="Z3044" s="13" t="s">
        <v>0</v>
      </c>
      <c r="AA3044" s="14"/>
      <c r="AB3044" s="13" t="s">
        <v>0</v>
      </c>
      <c r="AC3044" s="13" t="s">
        <v>0</v>
      </c>
      <c r="AD3044" s="13" t="s">
        <v>0</v>
      </c>
      <c r="AE3044" s="15">
        <v>0</v>
      </c>
    </row>
    <row r="3045" spans="1:31" ht="14.15" customHeight="1" x14ac:dyDescent="0.25">
      <c r="A3045" s="12" t="s">
        <v>0</v>
      </c>
      <c r="B3045" s="13" t="s">
        <v>1</v>
      </c>
      <c r="C3045" s="13" t="s">
        <v>2031</v>
      </c>
      <c r="D3045" s="14">
        <v>44197</v>
      </c>
      <c r="E3045" s="14">
        <v>44197</v>
      </c>
      <c r="F3045" s="14">
        <v>44235</v>
      </c>
      <c r="G3045" s="13" t="s">
        <v>48</v>
      </c>
      <c r="H3045" s="13" t="s">
        <v>4</v>
      </c>
      <c r="I3045" s="15">
        <v>-274</v>
      </c>
      <c r="J3045" s="13" t="s">
        <v>5</v>
      </c>
      <c r="K3045" s="13" t="s">
        <v>6</v>
      </c>
      <c r="L3045" s="15">
        <v>-23002.3</v>
      </c>
      <c r="M3045" s="15">
        <v>-274</v>
      </c>
      <c r="N3045" s="16" t="str">
        <f>IF(M3045="","",IF(M3045&lt;0,-M3045&amp;"_"&amp;COUNTIF(M$2:M3045,M3045),M3045&amp;"_"&amp;COUNTIF(M$2:M3045,M3045)))</f>
        <v>274_1</v>
      </c>
      <c r="O3045" s="17" t="str">
        <f t="shared" si="47"/>
        <v/>
      </c>
      <c r="P3045" s="13" t="s">
        <v>2009</v>
      </c>
      <c r="Q3045" s="13" t="s">
        <v>2009</v>
      </c>
      <c r="R3045" s="13" t="s">
        <v>1656</v>
      </c>
      <c r="S3045" s="13" t="s">
        <v>0</v>
      </c>
      <c r="T3045" s="13" t="s">
        <v>9</v>
      </c>
      <c r="U3045" s="13" t="s">
        <v>1656</v>
      </c>
      <c r="V3045" s="13" t="s">
        <v>0</v>
      </c>
      <c r="W3045" s="13" t="s">
        <v>0</v>
      </c>
      <c r="X3045" s="13" t="s">
        <v>0</v>
      </c>
      <c r="Y3045" s="13" t="s">
        <v>10</v>
      </c>
      <c r="Z3045" s="13" t="s">
        <v>0</v>
      </c>
      <c r="AA3045" s="14"/>
      <c r="AB3045" s="13" t="s">
        <v>0</v>
      </c>
      <c r="AC3045" s="13" t="s">
        <v>0</v>
      </c>
      <c r="AD3045" s="13" t="s">
        <v>0</v>
      </c>
      <c r="AE3045" s="15">
        <v>0</v>
      </c>
    </row>
    <row r="3046" spans="1:31" ht="14.15" customHeight="1" x14ac:dyDescent="0.25">
      <c r="A3046" s="12" t="s">
        <v>0</v>
      </c>
      <c r="B3046" s="13" t="s">
        <v>1</v>
      </c>
      <c r="C3046" s="13" t="s">
        <v>3066</v>
      </c>
      <c r="D3046" s="14">
        <v>44284</v>
      </c>
      <c r="E3046" s="14">
        <v>44284</v>
      </c>
      <c r="F3046" s="14">
        <v>44290</v>
      </c>
      <c r="G3046" s="13" t="s">
        <v>3</v>
      </c>
      <c r="H3046" s="13" t="s">
        <v>4</v>
      </c>
      <c r="I3046" s="15">
        <v>-271.31</v>
      </c>
      <c r="J3046" s="13" t="s">
        <v>488</v>
      </c>
      <c r="K3046" s="13" t="s">
        <v>6</v>
      </c>
      <c r="L3046" s="15">
        <v>-22776.47</v>
      </c>
      <c r="M3046" s="15">
        <v>-271.31</v>
      </c>
      <c r="N3046" s="16" t="str">
        <f>IF(M3046="","",IF(M3046&lt;0,-M3046&amp;"_"&amp;COUNTIF(M$2:M3046,M3046),M3046&amp;"_"&amp;COUNTIF(M$2:M3046,M3046)))</f>
        <v>271.31_1</v>
      </c>
      <c r="O3046" s="17" t="str">
        <f t="shared" si="47"/>
        <v/>
      </c>
      <c r="P3046" s="13" t="s">
        <v>3067</v>
      </c>
      <c r="Q3046" s="13" t="s">
        <v>3061</v>
      </c>
      <c r="R3046" s="13" t="s">
        <v>0</v>
      </c>
      <c r="S3046" s="13" t="s">
        <v>0</v>
      </c>
      <c r="T3046" s="13" t="s">
        <v>9</v>
      </c>
      <c r="U3046" s="13" t="s">
        <v>0</v>
      </c>
      <c r="V3046" s="13" t="s">
        <v>0</v>
      </c>
      <c r="W3046" s="13" t="s">
        <v>0</v>
      </c>
      <c r="X3046" s="13" t="s">
        <v>0</v>
      </c>
      <c r="Y3046" s="13" t="s">
        <v>10</v>
      </c>
      <c r="Z3046" s="13" t="s">
        <v>0</v>
      </c>
      <c r="AA3046" s="14"/>
      <c r="AB3046" s="13" t="s">
        <v>0</v>
      </c>
      <c r="AC3046" s="13" t="s">
        <v>0</v>
      </c>
      <c r="AD3046" s="13" t="s">
        <v>0</v>
      </c>
      <c r="AE3046" s="15">
        <v>0</v>
      </c>
    </row>
    <row r="3047" spans="1:31" ht="14.15" customHeight="1" x14ac:dyDescent="0.25">
      <c r="A3047" s="12" t="s">
        <v>0</v>
      </c>
      <c r="B3047" s="13" t="s">
        <v>1</v>
      </c>
      <c r="C3047" s="13" t="s">
        <v>1916</v>
      </c>
      <c r="D3047" s="14">
        <v>44191</v>
      </c>
      <c r="E3047" s="14">
        <v>44191</v>
      </c>
      <c r="F3047" s="14">
        <v>44196</v>
      </c>
      <c r="G3047" s="13" t="s">
        <v>48</v>
      </c>
      <c r="H3047" s="13" t="s">
        <v>4</v>
      </c>
      <c r="I3047" s="15">
        <v>-260</v>
      </c>
      <c r="J3047" s="13" t="s">
        <v>5</v>
      </c>
      <c r="K3047" s="13" t="s">
        <v>6</v>
      </c>
      <c r="L3047" s="15">
        <v>-21827</v>
      </c>
      <c r="M3047" s="15">
        <v>-260</v>
      </c>
      <c r="N3047" s="16" t="str">
        <f>IF(M3047="","",IF(M3047&lt;0,-M3047&amp;"_"&amp;COUNTIF(M$2:M3047,M3047),M3047&amp;"_"&amp;COUNTIF(M$2:M3047,M3047)))</f>
        <v>260_1</v>
      </c>
      <c r="O3047" s="17" t="str">
        <f t="shared" si="47"/>
        <v/>
      </c>
      <c r="P3047" s="13" t="s">
        <v>1917</v>
      </c>
      <c r="Q3047" s="13" t="s">
        <v>1917</v>
      </c>
      <c r="R3047" s="13" t="s">
        <v>1656</v>
      </c>
      <c r="S3047" s="13" t="s">
        <v>0</v>
      </c>
      <c r="T3047" s="13" t="s">
        <v>9</v>
      </c>
      <c r="U3047" s="13" t="s">
        <v>1656</v>
      </c>
      <c r="V3047" s="13" t="s">
        <v>0</v>
      </c>
      <c r="W3047" s="13" t="s">
        <v>0</v>
      </c>
      <c r="X3047" s="13" t="s">
        <v>0</v>
      </c>
      <c r="Y3047" s="13" t="s">
        <v>10</v>
      </c>
      <c r="Z3047" s="13" t="s">
        <v>0</v>
      </c>
      <c r="AA3047" s="14"/>
      <c r="AB3047" s="13" t="s">
        <v>0</v>
      </c>
      <c r="AC3047" s="13" t="s">
        <v>0</v>
      </c>
      <c r="AD3047" s="13" t="s">
        <v>0</v>
      </c>
      <c r="AE3047" s="15">
        <v>0</v>
      </c>
    </row>
    <row r="3048" spans="1:31" ht="14.15" customHeight="1" x14ac:dyDescent="0.25">
      <c r="A3048" s="12" t="s">
        <v>0</v>
      </c>
      <c r="B3048" s="13" t="s">
        <v>1</v>
      </c>
      <c r="C3048" s="13" t="s">
        <v>950</v>
      </c>
      <c r="D3048" s="14">
        <v>44122</v>
      </c>
      <c r="E3048" s="14">
        <v>44122</v>
      </c>
      <c r="F3048" s="14">
        <v>44126</v>
      </c>
      <c r="G3048" s="13" t="s">
        <v>3</v>
      </c>
      <c r="H3048" s="13" t="s">
        <v>4</v>
      </c>
      <c r="I3048" s="15">
        <v>-250.91</v>
      </c>
      <c r="J3048" s="13" t="s">
        <v>488</v>
      </c>
      <c r="K3048" s="13" t="s">
        <v>6</v>
      </c>
      <c r="L3048" s="15">
        <v>-21063.89</v>
      </c>
      <c r="M3048" s="15">
        <v>-250.91</v>
      </c>
      <c r="N3048" s="16" t="str">
        <f>IF(M3048="","",IF(M3048&lt;0,-M3048&amp;"_"&amp;COUNTIF(M$2:M3048,M3048),M3048&amp;"_"&amp;COUNTIF(M$2:M3048,M3048)))</f>
        <v>250.91_1</v>
      </c>
      <c r="O3048" s="17" t="str">
        <f t="shared" si="47"/>
        <v/>
      </c>
      <c r="P3048" s="13" t="s">
        <v>951</v>
      </c>
      <c r="Q3048" s="13" t="s">
        <v>947</v>
      </c>
      <c r="R3048" s="13" t="s">
        <v>0</v>
      </c>
      <c r="S3048" s="13" t="s">
        <v>0</v>
      </c>
      <c r="T3048" s="13" t="s">
        <v>9</v>
      </c>
      <c r="U3048" s="13" t="s">
        <v>0</v>
      </c>
      <c r="V3048" s="13" t="s">
        <v>0</v>
      </c>
      <c r="W3048" s="13" t="s">
        <v>0</v>
      </c>
      <c r="X3048" s="13" t="s">
        <v>0</v>
      </c>
      <c r="Y3048" s="13" t="s">
        <v>10</v>
      </c>
      <c r="Z3048" s="13" t="s">
        <v>0</v>
      </c>
      <c r="AA3048" s="14"/>
      <c r="AB3048" s="13" t="s">
        <v>0</v>
      </c>
      <c r="AC3048" s="13" t="s">
        <v>0</v>
      </c>
      <c r="AD3048" s="13" t="s">
        <v>0</v>
      </c>
      <c r="AE3048" s="15">
        <v>0</v>
      </c>
    </row>
    <row r="3049" spans="1:31" ht="14.15" customHeight="1" x14ac:dyDescent="0.25">
      <c r="A3049" s="12" t="s">
        <v>0</v>
      </c>
      <c r="B3049" s="13" t="s">
        <v>1</v>
      </c>
      <c r="C3049" s="13" t="s">
        <v>971</v>
      </c>
      <c r="D3049" s="14">
        <v>44123</v>
      </c>
      <c r="E3049" s="14">
        <v>44123</v>
      </c>
      <c r="F3049" s="14">
        <v>44137</v>
      </c>
      <c r="G3049" s="13" t="s">
        <v>3</v>
      </c>
      <c r="H3049" s="13" t="s">
        <v>4</v>
      </c>
      <c r="I3049" s="15">
        <v>-250.91</v>
      </c>
      <c r="J3049" s="13" t="s">
        <v>488</v>
      </c>
      <c r="K3049" s="13" t="s">
        <v>6</v>
      </c>
      <c r="L3049" s="15">
        <v>-21063.89</v>
      </c>
      <c r="M3049" s="15">
        <v>-250.91</v>
      </c>
      <c r="N3049" s="16" t="str">
        <f>IF(M3049="","",IF(M3049&lt;0,-M3049&amp;"_"&amp;COUNTIF(M$2:M3049,M3049),M3049&amp;"_"&amp;COUNTIF(M$2:M3049,M3049)))</f>
        <v>250.91_2</v>
      </c>
      <c r="O3049" s="17" t="str">
        <f t="shared" si="47"/>
        <v/>
      </c>
      <c r="P3049" s="13" t="s">
        <v>972</v>
      </c>
      <c r="Q3049" s="13" t="s">
        <v>958</v>
      </c>
      <c r="R3049" s="13" t="s">
        <v>0</v>
      </c>
      <c r="S3049" s="13" t="s">
        <v>0</v>
      </c>
      <c r="T3049" s="13" t="s">
        <v>9</v>
      </c>
      <c r="U3049" s="13" t="s">
        <v>0</v>
      </c>
      <c r="V3049" s="13" t="s">
        <v>0</v>
      </c>
      <c r="W3049" s="13" t="s">
        <v>0</v>
      </c>
      <c r="X3049" s="13" t="s">
        <v>0</v>
      </c>
      <c r="Y3049" s="13" t="s">
        <v>10</v>
      </c>
      <c r="Z3049" s="13" t="s">
        <v>0</v>
      </c>
      <c r="AA3049" s="14"/>
      <c r="AB3049" s="13" t="s">
        <v>0</v>
      </c>
      <c r="AC3049" s="13" t="s">
        <v>0</v>
      </c>
      <c r="AD3049" s="13" t="s">
        <v>0</v>
      </c>
      <c r="AE3049" s="15">
        <v>0</v>
      </c>
    </row>
    <row r="3050" spans="1:31" ht="14.15" customHeight="1" x14ac:dyDescent="0.25">
      <c r="A3050" s="12" t="s">
        <v>0</v>
      </c>
      <c r="B3050" s="13" t="s">
        <v>1</v>
      </c>
      <c r="C3050" s="13" t="s">
        <v>2275</v>
      </c>
      <c r="D3050" s="14">
        <v>44218</v>
      </c>
      <c r="E3050" s="14">
        <v>44218</v>
      </c>
      <c r="F3050" s="14">
        <v>44224</v>
      </c>
      <c r="G3050" s="13" t="s">
        <v>3</v>
      </c>
      <c r="H3050" s="13" t="s">
        <v>4</v>
      </c>
      <c r="I3050" s="15">
        <v>-249.27</v>
      </c>
      <c r="J3050" s="13" t="s">
        <v>68</v>
      </c>
      <c r="K3050" s="13" t="s">
        <v>6</v>
      </c>
      <c r="L3050" s="15">
        <v>-20926.22</v>
      </c>
      <c r="M3050" s="15">
        <v>-249.27</v>
      </c>
      <c r="N3050" s="16" t="str">
        <f>IF(M3050="","",IF(M3050&lt;0,-M3050&amp;"_"&amp;COUNTIF(M$2:M3050,M3050),M3050&amp;"_"&amp;COUNTIF(M$2:M3050,M3050)))</f>
        <v>249.27_1</v>
      </c>
      <c r="O3050" s="17" t="str">
        <f t="shared" si="47"/>
        <v/>
      </c>
      <c r="P3050" s="13" t="s">
        <v>2276</v>
      </c>
      <c r="Q3050" s="13" t="s">
        <v>2274</v>
      </c>
      <c r="R3050" s="13" t="s">
        <v>0</v>
      </c>
      <c r="S3050" s="13" t="s">
        <v>0</v>
      </c>
      <c r="T3050" s="13" t="s">
        <v>9</v>
      </c>
      <c r="U3050" s="13" t="s">
        <v>0</v>
      </c>
      <c r="V3050" s="13" t="s">
        <v>0</v>
      </c>
      <c r="W3050" s="13" t="s">
        <v>0</v>
      </c>
      <c r="X3050" s="13" t="s">
        <v>0</v>
      </c>
      <c r="Y3050" s="13" t="s">
        <v>10</v>
      </c>
      <c r="Z3050" s="13" t="s">
        <v>0</v>
      </c>
      <c r="AA3050" s="14"/>
      <c r="AB3050" s="13" t="s">
        <v>0</v>
      </c>
      <c r="AC3050" s="13" t="s">
        <v>0</v>
      </c>
      <c r="AD3050" s="13" t="s">
        <v>0</v>
      </c>
      <c r="AE3050" s="15">
        <v>0</v>
      </c>
    </row>
    <row r="3051" spans="1:31" ht="14.15" customHeight="1" x14ac:dyDescent="0.25">
      <c r="A3051" s="12" t="s">
        <v>0</v>
      </c>
      <c r="B3051" s="13" t="s">
        <v>1</v>
      </c>
      <c r="C3051" s="13" t="s">
        <v>462</v>
      </c>
      <c r="D3051" s="14">
        <v>44068</v>
      </c>
      <c r="E3051" s="14">
        <v>44068</v>
      </c>
      <c r="F3051" s="14">
        <v>44072</v>
      </c>
      <c r="G3051" s="13" t="s">
        <v>48</v>
      </c>
      <c r="H3051" s="13" t="s">
        <v>4</v>
      </c>
      <c r="I3051" s="15">
        <v>-237.4</v>
      </c>
      <c r="J3051" s="13" t="s">
        <v>5</v>
      </c>
      <c r="K3051" s="13" t="s">
        <v>6</v>
      </c>
      <c r="L3051" s="15">
        <v>-19929.73</v>
      </c>
      <c r="M3051" s="15">
        <v>-237.4</v>
      </c>
      <c r="N3051" s="16" t="str">
        <f>IF(M3051="","",IF(M3051&lt;0,-M3051&amp;"_"&amp;COUNTIF(M$2:M3051,M3051),M3051&amp;"_"&amp;COUNTIF(M$2:M3051,M3051)))</f>
        <v>237.4_1</v>
      </c>
      <c r="O3051" s="17" t="str">
        <f t="shared" si="47"/>
        <v/>
      </c>
      <c r="P3051" s="13" t="s">
        <v>463</v>
      </c>
      <c r="Q3051" s="13" t="s">
        <v>463</v>
      </c>
      <c r="R3051" s="13" t="s">
        <v>50</v>
      </c>
      <c r="S3051" s="13" t="s">
        <v>0</v>
      </c>
      <c r="T3051" s="13" t="s">
        <v>9</v>
      </c>
      <c r="U3051" s="13" t="s">
        <v>51</v>
      </c>
      <c r="V3051" s="13" t="s">
        <v>0</v>
      </c>
      <c r="W3051" s="13" t="s">
        <v>0</v>
      </c>
      <c r="X3051" s="13" t="s">
        <v>0</v>
      </c>
      <c r="Y3051" s="13" t="s">
        <v>10</v>
      </c>
      <c r="Z3051" s="13" t="s">
        <v>0</v>
      </c>
      <c r="AA3051" s="14"/>
      <c r="AB3051" s="13" t="s">
        <v>0</v>
      </c>
      <c r="AC3051" s="13" t="s">
        <v>0</v>
      </c>
      <c r="AD3051" s="13" t="s">
        <v>0</v>
      </c>
      <c r="AE3051" s="15">
        <v>0</v>
      </c>
    </row>
    <row r="3052" spans="1:31" ht="14.15" customHeight="1" x14ac:dyDescent="0.25">
      <c r="A3052" s="12" t="s">
        <v>0</v>
      </c>
      <c r="B3052" s="13" t="s">
        <v>1</v>
      </c>
      <c r="C3052" s="13" t="s">
        <v>2199</v>
      </c>
      <c r="D3052" s="14">
        <v>44211</v>
      </c>
      <c r="E3052" s="14">
        <v>44211</v>
      </c>
      <c r="F3052" s="14">
        <v>44217</v>
      </c>
      <c r="G3052" s="13" t="s">
        <v>3</v>
      </c>
      <c r="H3052" s="13" t="s">
        <v>4</v>
      </c>
      <c r="I3052" s="15">
        <v>-229.66</v>
      </c>
      <c r="J3052" s="13" t="s">
        <v>894</v>
      </c>
      <c r="K3052" s="13" t="s">
        <v>6</v>
      </c>
      <c r="L3052" s="15">
        <v>-19279.95</v>
      </c>
      <c r="M3052" s="15">
        <v>-229.66</v>
      </c>
      <c r="N3052" s="16" t="str">
        <f>IF(M3052="","",IF(M3052&lt;0,-M3052&amp;"_"&amp;COUNTIF(M$2:M3052,M3052),M3052&amp;"_"&amp;COUNTIF(M$2:M3052,M3052)))</f>
        <v>229.66_1</v>
      </c>
      <c r="O3052" s="17" t="str">
        <f t="shared" si="47"/>
        <v/>
      </c>
      <c r="P3052" s="13" t="s">
        <v>2200</v>
      </c>
      <c r="Q3052" s="13" t="s">
        <v>2201</v>
      </c>
      <c r="R3052" s="13" t="s">
        <v>0</v>
      </c>
      <c r="S3052" s="13" t="s">
        <v>0</v>
      </c>
      <c r="T3052" s="13" t="s">
        <v>9</v>
      </c>
      <c r="U3052" s="13" t="s">
        <v>0</v>
      </c>
      <c r="V3052" s="13" t="s">
        <v>0</v>
      </c>
      <c r="W3052" s="13" t="s">
        <v>0</v>
      </c>
      <c r="X3052" s="13" t="s">
        <v>0</v>
      </c>
      <c r="Y3052" s="13" t="s">
        <v>10</v>
      </c>
      <c r="Z3052" s="13" t="s">
        <v>0</v>
      </c>
      <c r="AA3052" s="14"/>
      <c r="AB3052" s="13" t="s">
        <v>0</v>
      </c>
      <c r="AC3052" s="13" t="s">
        <v>0</v>
      </c>
      <c r="AD3052" s="13" t="s">
        <v>0</v>
      </c>
      <c r="AE3052" s="15">
        <v>0</v>
      </c>
    </row>
    <row r="3053" spans="1:31" ht="14.15" customHeight="1" x14ac:dyDescent="0.25">
      <c r="A3053" s="12" t="s">
        <v>0</v>
      </c>
      <c r="B3053" s="13" t="s">
        <v>1</v>
      </c>
      <c r="C3053" s="13" t="s">
        <v>2293</v>
      </c>
      <c r="D3053" s="14">
        <v>44219</v>
      </c>
      <c r="E3053" s="14">
        <v>44219</v>
      </c>
      <c r="F3053" s="14">
        <v>44226</v>
      </c>
      <c r="G3053" s="13" t="s">
        <v>3</v>
      </c>
      <c r="H3053" s="13" t="s">
        <v>4</v>
      </c>
      <c r="I3053" s="15">
        <v>-227.56</v>
      </c>
      <c r="J3053" s="13" t="s">
        <v>394</v>
      </c>
      <c r="K3053" s="13" t="s">
        <v>6</v>
      </c>
      <c r="L3053" s="15">
        <v>-19103.66</v>
      </c>
      <c r="M3053" s="15">
        <v>-227.56</v>
      </c>
      <c r="N3053" s="16" t="str">
        <f>IF(M3053="","",IF(M3053&lt;0,-M3053&amp;"_"&amp;COUNTIF(M$2:M3053,M3053),M3053&amp;"_"&amp;COUNTIF(M$2:M3053,M3053)))</f>
        <v>227.56_1</v>
      </c>
      <c r="O3053" s="17" t="str">
        <f t="shared" si="47"/>
        <v/>
      </c>
      <c r="P3053" s="13" t="s">
        <v>2294</v>
      </c>
      <c r="Q3053" s="13" t="s">
        <v>2282</v>
      </c>
      <c r="R3053" s="13" t="s">
        <v>0</v>
      </c>
      <c r="S3053" s="13" t="s">
        <v>0</v>
      </c>
      <c r="T3053" s="13" t="s">
        <v>9</v>
      </c>
      <c r="U3053" s="13" t="s">
        <v>0</v>
      </c>
      <c r="V3053" s="13" t="s">
        <v>0</v>
      </c>
      <c r="W3053" s="13" t="s">
        <v>0</v>
      </c>
      <c r="X3053" s="13" t="s">
        <v>0</v>
      </c>
      <c r="Y3053" s="13" t="s">
        <v>10</v>
      </c>
      <c r="Z3053" s="13" t="s">
        <v>0</v>
      </c>
      <c r="AA3053" s="14"/>
      <c r="AB3053" s="13" t="s">
        <v>0</v>
      </c>
      <c r="AC3053" s="13" t="s">
        <v>0</v>
      </c>
      <c r="AD3053" s="13" t="s">
        <v>0</v>
      </c>
      <c r="AE3053" s="15">
        <v>0</v>
      </c>
    </row>
    <row r="3054" spans="1:31" ht="14.15" customHeight="1" x14ac:dyDescent="0.25">
      <c r="A3054" s="12" t="s">
        <v>0</v>
      </c>
      <c r="B3054" s="13" t="s">
        <v>1</v>
      </c>
      <c r="C3054" s="13" t="s">
        <v>2293</v>
      </c>
      <c r="D3054" s="14">
        <v>44219</v>
      </c>
      <c r="E3054" s="14">
        <v>44219</v>
      </c>
      <c r="F3054" s="14">
        <v>44226</v>
      </c>
      <c r="G3054" s="13" t="s">
        <v>3</v>
      </c>
      <c r="H3054" s="13" t="s">
        <v>4</v>
      </c>
      <c r="I3054" s="15">
        <v>-227.56</v>
      </c>
      <c r="J3054" s="13" t="s">
        <v>394</v>
      </c>
      <c r="K3054" s="13" t="s">
        <v>6</v>
      </c>
      <c r="L3054" s="15">
        <v>-19103.66</v>
      </c>
      <c r="M3054" s="15">
        <v>-227.56</v>
      </c>
      <c r="N3054" s="16" t="str">
        <f>IF(M3054="","",IF(M3054&lt;0,-M3054&amp;"_"&amp;COUNTIF(M$2:M3054,M3054),M3054&amp;"_"&amp;COUNTIF(M$2:M3054,M3054)))</f>
        <v>227.56_2</v>
      </c>
      <c r="O3054" s="17" t="str">
        <f t="shared" si="47"/>
        <v/>
      </c>
      <c r="P3054" s="13" t="s">
        <v>2294</v>
      </c>
      <c r="Q3054" s="13" t="s">
        <v>2282</v>
      </c>
      <c r="R3054" s="13" t="s">
        <v>0</v>
      </c>
      <c r="S3054" s="13" t="s">
        <v>0</v>
      </c>
      <c r="T3054" s="13" t="s">
        <v>9</v>
      </c>
      <c r="U3054" s="13" t="s">
        <v>0</v>
      </c>
      <c r="V3054" s="13" t="s">
        <v>0</v>
      </c>
      <c r="W3054" s="13" t="s">
        <v>0</v>
      </c>
      <c r="X3054" s="13" t="s">
        <v>0</v>
      </c>
      <c r="Y3054" s="13" t="s">
        <v>10</v>
      </c>
      <c r="Z3054" s="13" t="s">
        <v>0</v>
      </c>
      <c r="AA3054" s="14"/>
      <c r="AB3054" s="13" t="s">
        <v>0</v>
      </c>
      <c r="AC3054" s="13" t="s">
        <v>0</v>
      </c>
      <c r="AD3054" s="13" t="s">
        <v>0</v>
      </c>
      <c r="AE3054" s="15">
        <v>0</v>
      </c>
    </row>
    <row r="3055" spans="1:31" ht="14.15" customHeight="1" x14ac:dyDescent="0.25">
      <c r="A3055" s="12" t="s">
        <v>0</v>
      </c>
      <c r="B3055" s="13" t="s">
        <v>1</v>
      </c>
      <c r="C3055" s="13" t="s">
        <v>2301</v>
      </c>
      <c r="D3055" s="14">
        <v>44219</v>
      </c>
      <c r="E3055" s="14">
        <v>44219</v>
      </c>
      <c r="F3055" s="14">
        <v>44226</v>
      </c>
      <c r="G3055" s="13" t="s">
        <v>3</v>
      </c>
      <c r="H3055" s="13" t="s">
        <v>4</v>
      </c>
      <c r="I3055" s="15">
        <v>-227.56</v>
      </c>
      <c r="J3055" s="13" t="s">
        <v>394</v>
      </c>
      <c r="K3055" s="13" t="s">
        <v>6</v>
      </c>
      <c r="L3055" s="15">
        <v>-19103.66</v>
      </c>
      <c r="M3055" s="15">
        <v>-227.56</v>
      </c>
      <c r="N3055" s="16" t="str">
        <f>IF(M3055="","",IF(M3055&lt;0,-M3055&amp;"_"&amp;COUNTIF(M$2:M3055,M3055),M3055&amp;"_"&amp;COUNTIF(M$2:M3055,M3055)))</f>
        <v>227.56_3</v>
      </c>
      <c r="O3055" s="17" t="str">
        <f t="shared" si="47"/>
        <v/>
      </c>
      <c r="P3055" s="13" t="s">
        <v>2302</v>
      </c>
      <c r="Q3055" s="13" t="s">
        <v>2282</v>
      </c>
      <c r="R3055" s="13" t="s">
        <v>0</v>
      </c>
      <c r="S3055" s="13" t="s">
        <v>0</v>
      </c>
      <c r="T3055" s="13" t="s">
        <v>9</v>
      </c>
      <c r="U3055" s="13" t="s">
        <v>0</v>
      </c>
      <c r="V3055" s="13" t="s">
        <v>0</v>
      </c>
      <c r="W3055" s="13" t="s">
        <v>0</v>
      </c>
      <c r="X3055" s="13" t="s">
        <v>0</v>
      </c>
      <c r="Y3055" s="13" t="s">
        <v>10</v>
      </c>
      <c r="Z3055" s="13" t="s">
        <v>0</v>
      </c>
      <c r="AA3055" s="14"/>
      <c r="AB3055" s="13" t="s">
        <v>0</v>
      </c>
      <c r="AC3055" s="13" t="s">
        <v>0</v>
      </c>
      <c r="AD3055" s="13" t="s">
        <v>0</v>
      </c>
      <c r="AE3055" s="15">
        <v>0</v>
      </c>
    </row>
    <row r="3056" spans="1:31" ht="14.15" customHeight="1" x14ac:dyDescent="0.25">
      <c r="A3056" s="12" t="s">
        <v>0</v>
      </c>
      <c r="B3056" s="13" t="s">
        <v>1</v>
      </c>
      <c r="C3056" s="13" t="s">
        <v>47</v>
      </c>
      <c r="D3056" s="14">
        <v>44017</v>
      </c>
      <c r="E3056" s="14">
        <v>44017</v>
      </c>
      <c r="F3056" s="14">
        <v>44028</v>
      </c>
      <c r="G3056" s="13" t="s">
        <v>48</v>
      </c>
      <c r="H3056" s="13" t="s">
        <v>4</v>
      </c>
      <c r="I3056" s="15">
        <v>-225</v>
      </c>
      <c r="J3056" s="13" t="s">
        <v>5</v>
      </c>
      <c r="K3056" s="13" t="s">
        <v>6</v>
      </c>
      <c r="L3056" s="15">
        <v>-18888.75</v>
      </c>
      <c r="M3056" s="15">
        <v>-225</v>
      </c>
      <c r="N3056" s="16" t="str">
        <f>IF(M3056="","",IF(M3056&lt;0,-M3056&amp;"_"&amp;COUNTIF(M$2:M3056,M3056),M3056&amp;"_"&amp;COUNTIF(M$2:M3056,M3056)))</f>
        <v>225_1</v>
      </c>
      <c r="O3056" s="17" t="str">
        <f t="shared" si="47"/>
        <v/>
      </c>
      <c r="P3056" s="13" t="s">
        <v>49</v>
      </c>
      <c r="Q3056" s="13" t="s">
        <v>49</v>
      </c>
      <c r="R3056" s="13" t="s">
        <v>50</v>
      </c>
      <c r="S3056" s="13" t="s">
        <v>0</v>
      </c>
      <c r="T3056" s="13" t="s">
        <v>9</v>
      </c>
      <c r="U3056" s="13" t="s">
        <v>51</v>
      </c>
      <c r="V3056" s="13" t="s">
        <v>0</v>
      </c>
      <c r="W3056" s="13" t="s">
        <v>0</v>
      </c>
      <c r="X3056" s="13" t="s">
        <v>0</v>
      </c>
      <c r="Y3056" s="13" t="s">
        <v>10</v>
      </c>
      <c r="Z3056" s="13" t="s">
        <v>0</v>
      </c>
      <c r="AA3056" s="14"/>
      <c r="AB3056" s="13" t="s">
        <v>0</v>
      </c>
      <c r="AC3056" s="13" t="s">
        <v>0</v>
      </c>
      <c r="AD3056" s="13" t="s">
        <v>0</v>
      </c>
      <c r="AE3056" s="15">
        <v>0</v>
      </c>
    </row>
    <row r="3057" spans="1:31" ht="14.15" customHeight="1" x14ac:dyDescent="0.25">
      <c r="A3057" s="12" t="s">
        <v>0</v>
      </c>
      <c r="B3057" s="13" t="s">
        <v>1</v>
      </c>
      <c r="C3057" s="13" t="s">
        <v>889</v>
      </c>
      <c r="D3057" s="14">
        <v>44114</v>
      </c>
      <c r="E3057" s="14">
        <v>44114</v>
      </c>
      <c r="F3057" s="14">
        <v>44121</v>
      </c>
      <c r="G3057" s="13" t="s">
        <v>48</v>
      </c>
      <c r="H3057" s="13" t="s">
        <v>4</v>
      </c>
      <c r="I3057" s="15">
        <v>-222.3</v>
      </c>
      <c r="J3057" s="13" t="s">
        <v>325</v>
      </c>
      <c r="K3057" s="13" t="s">
        <v>6</v>
      </c>
      <c r="L3057" s="15">
        <v>-18662.09</v>
      </c>
      <c r="M3057" s="15">
        <v>-222.3</v>
      </c>
      <c r="N3057" s="16" t="str">
        <f>IF(M3057="","",IF(M3057&lt;0,-M3057&amp;"_"&amp;COUNTIF(M$2:M3057,M3057),M3057&amp;"_"&amp;COUNTIF(M$2:M3057,M3057)))</f>
        <v>222.3_1</v>
      </c>
      <c r="O3057" s="17" t="str">
        <f t="shared" si="47"/>
        <v/>
      </c>
      <c r="P3057" s="13" t="s">
        <v>890</v>
      </c>
      <c r="Q3057" s="13" t="s">
        <v>890</v>
      </c>
      <c r="R3057" s="13" t="s">
        <v>50</v>
      </c>
      <c r="S3057" s="13" t="s">
        <v>0</v>
      </c>
      <c r="T3057" s="13" t="s">
        <v>9</v>
      </c>
      <c r="U3057" s="13" t="s">
        <v>51</v>
      </c>
      <c r="V3057" s="13" t="s">
        <v>0</v>
      </c>
      <c r="W3057" s="13" t="s">
        <v>0</v>
      </c>
      <c r="X3057" s="13" t="s">
        <v>0</v>
      </c>
      <c r="Y3057" s="13" t="s">
        <v>10</v>
      </c>
      <c r="Z3057" s="13" t="s">
        <v>0</v>
      </c>
      <c r="AA3057" s="14"/>
      <c r="AB3057" s="13" t="s">
        <v>0</v>
      </c>
      <c r="AC3057" s="13" t="s">
        <v>0</v>
      </c>
      <c r="AD3057" s="13" t="s">
        <v>0</v>
      </c>
      <c r="AE3057" s="15">
        <v>0</v>
      </c>
    </row>
    <row r="3058" spans="1:31" ht="14.15" customHeight="1" x14ac:dyDescent="0.25">
      <c r="A3058" s="12" t="s">
        <v>0</v>
      </c>
      <c r="B3058" s="13" t="s">
        <v>1</v>
      </c>
      <c r="C3058" s="13" t="s">
        <v>3278</v>
      </c>
      <c r="D3058" s="14">
        <v>44311</v>
      </c>
      <c r="E3058" s="14">
        <v>44311</v>
      </c>
      <c r="F3058" s="14">
        <v>44315</v>
      </c>
      <c r="G3058" s="13" t="s">
        <v>3</v>
      </c>
      <c r="H3058" s="13" t="s">
        <v>4</v>
      </c>
      <c r="I3058" s="15">
        <v>-216.27</v>
      </c>
      <c r="J3058" s="13" t="s">
        <v>894</v>
      </c>
      <c r="K3058" s="13" t="s">
        <v>6</v>
      </c>
      <c r="L3058" s="15">
        <v>-18155.86</v>
      </c>
      <c r="M3058" s="15">
        <v>-216.27</v>
      </c>
      <c r="N3058" s="16" t="str">
        <f>IF(M3058="","",IF(M3058&lt;0,-M3058&amp;"_"&amp;COUNTIF(M$2:M3058,M3058),M3058&amp;"_"&amp;COUNTIF(M$2:M3058,M3058)))</f>
        <v>216.27_1</v>
      </c>
      <c r="O3058" s="17" t="str">
        <f t="shared" si="47"/>
        <v/>
      </c>
      <c r="P3058" s="13" t="s">
        <v>3279</v>
      </c>
      <c r="Q3058" s="13" t="s">
        <v>3269</v>
      </c>
      <c r="R3058" s="13" t="s">
        <v>0</v>
      </c>
      <c r="S3058" s="13" t="s">
        <v>0</v>
      </c>
      <c r="T3058" s="13" t="s">
        <v>9</v>
      </c>
      <c r="U3058" s="13" t="s">
        <v>0</v>
      </c>
      <c r="V3058" s="13" t="s">
        <v>0</v>
      </c>
      <c r="W3058" s="13" t="s">
        <v>0</v>
      </c>
      <c r="X3058" s="13" t="s">
        <v>0</v>
      </c>
      <c r="Y3058" s="13" t="s">
        <v>10</v>
      </c>
      <c r="Z3058" s="13" t="s">
        <v>0</v>
      </c>
      <c r="AA3058" s="14"/>
      <c r="AB3058" s="13" t="s">
        <v>0</v>
      </c>
      <c r="AC3058" s="13" t="s">
        <v>0</v>
      </c>
      <c r="AD3058" s="13" t="s">
        <v>0</v>
      </c>
      <c r="AE3058" s="15">
        <v>0</v>
      </c>
    </row>
    <row r="3059" spans="1:31" ht="14.15" customHeight="1" x14ac:dyDescent="0.25">
      <c r="A3059" s="12" t="s">
        <v>0</v>
      </c>
      <c r="B3059" s="13" t="s">
        <v>1</v>
      </c>
      <c r="C3059" s="13" t="s">
        <v>2965</v>
      </c>
      <c r="D3059" s="14">
        <v>44278</v>
      </c>
      <c r="E3059" s="14">
        <v>44278</v>
      </c>
      <c r="F3059" s="14">
        <v>44283</v>
      </c>
      <c r="G3059" s="13" t="s">
        <v>3</v>
      </c>
      <c r="H3059" s="13" t="s">
        <v>4</v>
      </c>
      <c r="I3059" s="15">
        <v>-207.92</v>
      </c>
      <c r="J3059" s="13" t="s">
        <v>488</v>
      </c>
      <c r="K3059" s="13" t="s">
        <v>6</v>
      </c>
      <c r="L3059" s="15">
        <v>-17454.88</v>
      </c>
      <c r="M3059" s="15">
        <v>-207.92</v>
      </c>
      <c r="N3059" s="16" t="str">
        <f>IF(M3059="","",IF(M3059&lt;0,-M3059&amp;"_"&amp;COUNTIF(M$2:M3059,M3059),M3059&amp;"_"&amp;COUNTIF(M$2:M3059,M3059)))</f>
        <v>207.92_1</v>
      </c>
      <c r="O3059" s="17" t="str">
        <f t="shared" si="47"/>
        <v/>
      </c>
      <c r="P3059" s="13" t="s">
        <v>2966</v>
      </c>
      <c r="Q3059" s="13" t="s">
        <v>2964</v>
      </c>
      <c r="R3059" s="13" t="s">
        <v>0</v>
      </c>
      <c r="S3059" s="13" t="s">
        <v>0</v>
      </c>
      <c r="T3059" s="13" t="s">
        <v>9</v>
      </c>
      <c r="U3059" s="13" t="s">
        <v>0</v>
      </c>
      <c r="V3059" s="13" t="s">
        <v>0</v>
      </c>
      <c r="W3059" s="13" t="s">
        <v>0</v>
      </c>
      <c r="X3059" s="13" t="s">
        <v>0</v>
      </c>
      <c r="Y3059" s="13" t="s">
        <v>10</v>
      </c>
      <c r="Z3059" s="13" t="s">
        <v>0</v>
      </c>
      <c r="AA3059" s="14"/>
      <c r="AB3059" s="13" t="s">
        <v>0</v>
      </c>
      <c r="AC3059" s="13" t="s">
        <v>0</v>
      </c>
      <c r="AD3059" s="13" t="s">
        <v>0</v>
      </c>
      <c r="AE3059" s="15">
        <v>0</v>
      </c>
    </row>
    <row r="3060" spans="1:31" ht="14.15" customHeight="1" x14ac:dyDescent="0.25">
      <c r="A3060" s="12" t="s">
        <v>0</v>
      </c>
      <c r="B3060" s="13" t="s">
        <v>1</v>
      </c>
      <c r="C3060" s="13" t="s">
        <v>2148</v>
      </c>
      <c r="D3060" s="14">
        <v>44207</v>
      </c>
      <c r="E3060" s="14">
        <v>44207</v>
      </c>
      <c r="F3060" s="14">
        <v>44219</v>
      </c>
      <c r="G3060" s="13" t="s">
        <v>3</v>
      </c>
      <c r="H3060" s="13" t="s">
        <v>4</v>
      </c>
      <c r="I3060" s="15">
        <v>-206.93</v>
      </c>
      <c r="J3060" s="13" t="s">
        <v>567</v>
      </c>
      <c r="K3060" s="13" t="s">
        <v>6</v>
      </c>
      <c r="L3060" s="15">
        <v>-17371.78</v>
      </c>
      <c r="M3060" s="15">
        <v>-206.93</v>
      </c>
      <c r="N3060" s="16" t="str">
        <f>IF(M3060="","",IF(M3060&lt;0,-M3060&amp;"_"&amp;COUNTIF(M$2:M3060,M3060),M3060&amp;"_"&amp;COUNTIF(M$2:M3060,M3060)))</f>
        <v>206.93_1</v>
      </c>
      <c r="O3060" s="17" t="str">
        <f t="shared" si="47"/>
        <v/>
      </c>
      <c r="P3060" s="13" t="s">
        <v>2149</v>
      </c>
      <c r="Q3060" s="13" t="s">
        <v>2145</v>
      </c>
      <c r="R3060" s="13" t="s">
        <v>0</v>
      </c>
      <c r="S3060" s="13" t="s">
        <v>0</v>
      </c>
      <c r="T3060" s="13" t="s">
        <v>9</v>
      </c>
      <c r="U3060" s="13" t="s">
        <v>0</v>
      </c>
      <c r="V3060" s="13" t="s">
        <v>0</v>
      </c>
      <c r="W3060" s="13" t="s">
        <v>0</v>
      </c>
      <c r="X3060" s="13" t="s">
        <v>0</v>
      </c>
      <c r="Y3060" s="13" t="s">
        <v>10</v>
      </c>
      <c r="Z3060" s="13" t="s">
        <v>0</v>
      </c>
      <c r="AA3060" s="14"/>
      <c r="AB3060" s="13" t="s">
        <v>0</v>
      </c>
      <c r="AC3060" s="13" t="s">
        <v>0</v>
      </c>
      <c r="AD3060" s="13" t="s">
        <v>0</v>
      </c>
      <c r="AE3060" s="15">
        <v>0</v>
      </c>
    </row>
    <row r="3061" spans="1:31" ht="14.15" customHeight="1" x14ac:dyDescent="0.25">
      <c r="A3061" s="12" t="s">
        <v>0</v>
      </c>
      <c r="B3061" s="13" t="s">
        <v>1</v>
      </c>
      <c r="C3061" s="13" t="s">
        <v>2148</v>
      </c>
      <c r="D3061" s="14">
        <v>44207</v>
      </c>
      <c r="E3061" s="14">
        <v>44207</v>
      </c>
      <c r="F3061" s="14">
        <v>44219</v>
      </c>
      <c r="G3061" s="13" t="s">
        <v>3</v>
      </c>
      <c r="H3061" s="13" t="s">
        <v>4</v>
      </c>
      <c r="I3061" s="15">
        <v>-206.93</v>
      </c>
      <c r="J3061" s="13" t="s">
        <v>488</v>
      </c>
      <c r="K3061" s="13" t="s">
        <v>6</v>
      </c>
      <c r="L3061" s="15">
        <v>-17371.77</v>
      </c>
      <c r="M3061" s="15">
        <v>-206.93</v>
      </c>
      <c r="N3061" s="16" t="str">
        <f>IF(M3061="","",IF(M3061&lt;0,-M3061&amp;"_"&amp;COUNTIF(M$2:M3061,M3061),M3061&amp;"_"&amp;COUNTIF(M$2:M3061,M3061)))</f>
        <v>206.93_2</v>
      </c>
      <c r="O3061" s="17" t="str">
        <f t="shared" si="47"/>
        <v/>
      </c>
      <c r="P3061" s="13" t="s">
        <v>2149</v>
      </c>
      <c r="Q3061" s="13" t="s">
        <v>2145</v>
      </c>
      <c r="R3061" s="13" t="s">
        <v>0</v>
      </c>
      <c r="S3061" s="13" t="s">
        <v>0</v>
      </c>
      <c r="T3061" s="13" t="s">
        <v>9</v>
      </c>
      <c r="U3061" s="13" t="s">
        <v>0</v>
      </c>
      <c r="V3061" s="13" t="s">
        <v>0</v>
      </c>
      <c r="W3061" s="13" t="s">
        <v>0</v>
      </c>
      <c r="X3061" s="13" t="s">
        <v>0</v>
      </c>
      <c r="Y3061" s="13" t="s">
        <v>10</v>
      </c>
      <c r="Z3061" s="13" t="s">
        <v>0</v>
      </c>
      <c r="AA3061" s="14"/>
      <c r="AB3061" s="13" t="s">
        <v>0</v>
      </c>
      <c r="AC3061" s="13" t="s">
        <v>0</v>
      </c>
      <c r="AD3061" s="13" t="s">
        <v>0</v>
      </c>
      <c r="AE3061" s="15">
        <v>0</v>
      </c>
    </row>
    <row r="3062" spans="1:31" ht="14.15" customHeight="1" x14ac:dyDescent="0.25">
      <c r="A3062" s="12" t="s">
        <v>0</v>
      </c>
      <c r="B3062" s="13" t="s">
        <v>1</v>
      </c>
      <c r="C3062" s="13" t="s">
        <v>3329</v>
      </c>
      <c r="D3062" s="14">
        <v>44315</v>
      </c>
      <c r="E3062" s="14">
        <v>44315</v>
      </c>
      <c r="F3062" s="14">
        <v>44324</v>
      </c>
      <c r="G3062" s="13" t="s">
        <v>3</v>
      </c>
      <c r="H3062" s="13" t="s">
        <v>4</v>
      </c>
      <c r="I3062" s="15">
        <v>-206.93</v>
      </c>
      <c r="J3062" s="13" t="s">
        <v>488</v>
      </c>
      <c r="K3062" s="13" t="s">
        <v>6</v>
      </c>
      <c r="L3062" s="15">
        <v>-17371.77</v>
      </c>
      <c r="M3062" s="15">
        <v>-206.93</v>
      </c>
      <c r="N3062" s="16" t="str">
        <f>IF(M3062="","",IF(M3062&lt;0,-M3062&amp;"_"&amp;COUNTIF(M$2:M3062,M3062),M3062&amp;"_"&amp;COUNTIF(M$2:M3062,M3062)))</f>
        <v>206.93_3</v>
      </c>
      <c r="O3062" s="17" t="str">
        <f t="shared" si="47"/>
        <v/>
      </c>
      <c r="P3062" s="13" t="s">
        <v>3330</v>
      </c>
      <c r="Q3062" s="13" t="s">
        <v>3331</v>
      </c>
      <c r="R3062" s="13" t="s">
        <v>0</v>
      </c>
      <c r="S3062" s="13" t="s">
        <v>0</v>
      </c>
      <c r="T3062" s="13" t="s">
        <v>9</v>
      </c>
      <c r="U3062" s="13" t="s">
        <v>0</v>
      </c>
      <c r="V3062" s="13" t="s">
        <v>0</v>
      </c>
      <c r="W3062" s="13" t="s">
        <v>0</v>
      </c>
      <c r="X3062" s="13" t="s">
        <v>0</v>
      </c>
      <c r="Y3062" s="13" t="s">
        <v>10</v>
      </c>
      <c r="Z3062" s="13" t="s">
        <v>0</v>
      </c>
      <c r="AA3062" s="14"/>
      <c r="AB3062" s="13" t="s">
        <v>0</v>
      </c>
      <c r="AC3062" s="13" t="s">
        <v>0</v>
      </c>
      <c r="AD3062" s="13" t="s">
        <v>0</v>
      </c>
      <c r="AE3062" s="15">
        <v>0</v>
      </c>
    </row>
    <row r="3063" spans="1:31" ht="14.15" customHeight="1" x14ac:dyDescent="0.25">
      <c r="A3063" s="12" t="s">
        <v>0</v>
      </c>
      <c r="B3063" s="13" t="s">
        <v>1</v>
      </c>
      <c r="C3063" s="13" t="s">
        <v>3790</v>
      </c>
      <c r="D3063" s="14">
        <v>44344</v>
      </c>
      <c r="E3063" s="14">
        <v>44344</v>
      </c>
      <c r="F3063" s="14">
        <v>44348</v>
      </c>
      <c r="G3063" s="13" t="s">
        <v>3</v>
      </c>
      <c r="H3063" s="13" t="s">
        <v>4</v>
      </c>
      <c r="I3063" s="15">
        <v>-206.89</v>
      </c>
      <c r="J3063" s="13" t="s">
        <v>325</v>
      </c>
      <c r="K3063" s="13" t="s">
        <v>6</v>
      </c>
      <c r="L3063" s="15">
        <v>-17368.419999999998</v>
      </c>
      <c r="M3063" s="15">
        <v>-206.89</v>
      </c>
      <c r="N3063" s="16" t="str">
        <f>IF(M3063="","",IF(M3063&lt;0,-M3063&amp;"_"&amp;COUNTIF(M$2:M3063,M3063),M3063&amp;"_"&amp;COUNTIF(M$2:M3063,M3063)))</f>
        <v>206.89_1</v>
      </c>
      <c r="O3063" s="17" t="str">
        <f t="shared" si="47"/>
        <v/>
      </c>
      <c r="P3063" s="13" t="s">
        <v>3791</v>
      </c>
      <c r="Q3063" s="13" t="s">
        <v>3778</v>
      </c>
      <c r="R3063" s="13" t="s">
        <v>0</v>
      </c>
      <c r="S3063" s="13" t="s">
        <v>0</v>
      </c>
      <c r="T3063" s="13" t="s">
        <v>9</v>
      </c>
      <c r="U3063" s="13" t="s">
        <v>0</v>
      </c>
      <c r="V3063" s="13" t="s">
        <v>0</v>
      </c>
      <c r="W3063" s="13" t="s">
        <v>0</v>
      </c>
      <c r="X3063" s="13" t="s">
        <v>0</v>
      </c>
      <c r="Y3063" s="13" t="s">
        <v>10</v>
      </c>
      <c r="Z3063" s="13" t="s">
        <v>0</v>
      </c>
      <c r="AA3063" s="14"/>
      <c r="AB3063" s="13" t="s">
        <v>0</v>
      </c>
      <c r="AC3063" s="13" t="s">
        <v>0</v>
      </c>
      <c r="AD3063" s="13" t="s">
        <v>0</v>
      </c>
      <c r="AE3063" s="15">
        <v>0</v>
      </c>
    </row>
    <row r="3064" spans="1:31" ht="14.15" customHeight="1" x14ac:dyDescent="0.25">
      <c r="A3064" s="12" t="s">
        <v>0</v>
      </c>
      <c r="B3064" s="13" t="s">
        <v>1</v>
      </c>
      <c r="C3064" s="13" t="s">
        <v>891</v>
      </c>
      <c r="D3064" s="14">
        <v>44114</v>
      </c>
      <c r="E3064" s="14">
        <v>44114</v>
      </c>
      <c r="F3064" s="14">
        <v>44121</v>
      </c>
      <c r="G3064" s="13" t="s">
        <v>48</v>
      </c>
      <c r="H3064" s="13" t="s">
        <v>4</v>
      </c>
      <c r="I3064" s="15">
        <v>-205.8</v>
      </c>
      <c r="J3064" s="13" t="s">
        <v>5</v>
      </c>
      <c r="K3064" s="13" t="s">
        <v>6</v>
      </c>
      <c r="L3064" s="15">
        <v>-17276.91</v>
      </c>
      <c r="M3064" s="15">
        <v>-205.8</v>
      </c>
      <c r="N3064" s="16" t="str">
        <f>IF(M3064="","",IF(M3064&lt;0,-M3064&amp;"_"&amp;COUNTIF(M$2:M3064,M3064),M3064&amp;"_"&amp;COUNTIF(M$2:M3064,M3064)))</f>
        <v>205.8_1</v>
      </c>
      <c r="O3064" s="17" t="str">
        <f t="shared" si="47"/>
        <v/>
      </c>
      <c r="P3064" s="13" t="s">
        <v>892</v>
      </c>
      <c r="Q3064" s="13" t="s">
        <v>892</v>
      </c>
      <c r="R3064" s="13" t="s">
        <v>50</v>
      </c>
      <c r="S3064" s="13" t="s">
        <v>0</v>
      </c>
      <c r="T3064" s="13" t="s">
        <v>9</v>
      </c>
      <c r="U3064" s="13" t="s">
        <v>51</v>
      </c>
      <c r="V3064" s="13" t="s">
        <v>0</v>
      </c>
      <c r="W3064" s="13" t="s">
        <v>0</v>
      </c>
      <c r="X3064" s="13" t="s">
        <v>0</v>
      </c>
      <c r="Y3064" s="13" t="s">
        <v>10</v>
      </c>
      <c r="Z3064" s="13" t="s">
        <v>0</v>
      </c>
      <c r="AA3064" s="14"/>
      <c r="AB3064" s="13" t="s">
        <v>0</v>
      </c>
      <c r="AC3064" s="13" t="s">
        <v>0</v>
      </c>
      <c r="AD3064" s="13" t="s">
        <v>0</v>
      </c>
      <c r="AE3064" s="15">
        <v>0</v>
      </c>
    </row>
    <row r="3065" spans="1:31" ht="14.15" customHeight="1" x14ac:dyDescent="0.25">
      <c r="A3065" s="12" t="s">
        <v>0</v>
      </c>
      <c r="B3065" s="13" t="s">
        <v>1</v>
      </c>
      <c r="C3065" s="13" t="s">
        <v>4163</v>
      </c>
      <c r="D3065" s="14">
        <v>44364</v>
      </c>
      <c r="E3065" s="14">
        <v>44364</v>
      </c>
      <c r="F3065" s="14">
        <v>44376</v>
      </c>
      <c r="G3065" s="13" t="s">
        <v>48</v>
      </c>
      <c r="H3065" s="13" t="s">
        <v>4</v>
      </c>
      <c r="I3065" s="15">
        <v>-200</v>
      </c>
      <c r="J3065" s="13" t="s">
        <v>5</v>
      </c>
      <c r="K3065" s="13" t="s">
        <v>6</v>
      </c>
      <c r="L3065" s="15">
        <v>-16790</v>
      </c>
      <c r="M3065" s="15">
        <v>-200</v>
      </c>
      <c r="N3065" s="16" t="str">
        <f>IF(M3065="","",IF(M3065&lt;0,-M3065&amp;"_"&amp;COUNTIF(M$2:M3065,M3065),M3065&amp;"_"&amp;COUNTIF(M$2:M3065,M3065)))</f>
        <v>200_1</v>
      </c>
      <c r="O3065" s="17" t="str">
        <f t="shared" si="47"/>
        <v/>
      </c>
      <c r="P3065" s="13" t="s">
        <v>4164</v>
      </c>
      <c r="Q3065" s="13" t="s">
        <v>4164</v>
      </c>
      <c r="R3065" s="13" t="s">
        <v>50</v>
      </c>
      <c r="S3065" s="13" t="s">
        <v>0</v>
      </c>
      <c r="T3065" s="13" t="s">
        <v>9</v>
      </c>
      <c r="U3065" s="13" t="s">
        <v>50</v>
      </c>
      <c r="V3065" s="13" t="s">
        <v>0</v>
      </c>
      <c r="W3065" s="13" t="s">
        <v>0</v>
      </c>
      <c r="X3065" s="13" t="s">
        <v>0</v>
      </c>
      <c r="Y3065" s="13" t="s">
        <v>10</v>
      </c>
      <c r="Z3065" s="13" t="s">
        <v>0</v>
      </c>
      <c r="AA3065" s="14"/>
      <c r="AB3065" s="13" t="s">
        <v>0</v>
      </c>
      <c r="AC3065" s="13" t="s">
        <v>0</v>
      </c>
      <c r="AD3065" s="13" t="s">
        <v>0</v>
      </c>
      <c r="AE3065" s="15">
        <v>0</v>
      </c>
    </row>
    <row r="3066" spans="1:31" ht="14.15" customHeight="1" x14ac:dyDescent="0.25">
      <c r="A3066" s="12" t="s">
        <v>0</v>
      </c>
      <c r="B3066" s="13" t="s">
        <v>1</v>
      </c>
      <c r="C3066" s="13" t="s">
        <v>372</v>
      </c>
      <c r="D3066" s="14">
        <v>44055</v>
      </c>
      <c r="E3066" s="14">
        <v>44055</v>
      </c>
      <c r="F3066" s="14">
        <v>44065</v>
      </c>
      <c r="G3066" s="13" t="s">
        <v>48</v>
      </c>
      <c r="H3066" s="13" t="s">
        <v>4</v>
      </c>
      <c r="I3066" s="15">
        <v>-196</v>
      </c>
      <c r="J3066" s="13" t="s">
        <v>5</v>
      </c>
      <c r="K3066" s="13" t="s">
        <v>6</v>
      </c>
      <c r="L3066" s="15">
        <v>-16454.2</v>
      </c>
      <c r="M3066" s="15">
        <v>-196</v>
      </c>
      <c r="N3066" s="16" t="str">
        <f>IF(M3066="","",IF(M3066&lt;0,-M3066&amp;"_"&amp;COUNTIF(M$2:M3066,M3066),M3066&amp;"_"&amp;COUNTIF(M$2:M3066,M3066)))</f>
        <v>196_1</v>
      </c>
      <c r="O3066" s="17" t="str">
        <f t="shared" si="47"/>
        <v/>
      </c>
      <c r="P3066" s="13" t="s">
        <v>373</v>
      </c>
      <c r="Q3066" s="13" t="s">
        <v>373</v>
      </c>
      <c r="R3066" s="13" t="s">
        <v>50</v>
      </c>
      <c r="S3066" s="13" t="s">
        <v>0</v>
      </c>
      <c r="T3066" s="13" t="s">
        <v>9</v>
      </c>
      <c r="U3066" s="13" t="s">
        <v>51</v>
      </c>
      <c r="V3066" s="13" t="s">
        <v>0</v>
      </c>
      <c r="W3066" s="13" t="s">
        <v>0</v>
      </c>
      <c r="X3066" s="13" t="s">
        <v>0</v>
      </c>
      <c r="Y3066" s="13" t="s">
        <v>10</v>
      </c>
      <c r="Z3066" s="13" t="s">
        <v>0</v>
      </c>
      <c r="AA3066" s="14"/>
      <c r="AB3066" s="13" t="s">
        <v>0</v>
      </c>
      <c r="AC3066" s="13" t="s">
        <v>0</v>
      </c>
      <c r="AD3066" s="13" t="s">
        <v>0</v>
      </c>
      <c r="AE3066" s="15">
        <v>0</v>
      </c>
    </row>
    <row r="3067" spans="1:31" ht="14.15" customHeight="1" x14ac:dyDescent="0.25">
      <c r="A3067" s="12" t="s">
        <v>0</v>
      </c>
      <c r="B3067" s="13" t="s">
        <v>1</v>
      </c>
      <c r="C3067" s="13" t="s">
        <v>4002</v>
      </c>
      <c r="D3067" s="14">
        <v>44358</v>
      </c>
      <c r="E3067" s="14">
        <v>44358</v>
      </c>
      <c r="F3067" s="14">
        <v>44372</v>
      </c>
      <c r="G3067" s="13" t="s">
        <v>48</v>
      </c>
      <c r="H3067" s="13" t="s">
        <v>4</v>
      </c>
      <c r="I3067" s="15">
        <v>-191</v>
      </c>
      <c r="J3067" s="13" t="s">
        <v>5</v>
      </c>
      <c r="K3067" s="13" t="s">
        <v>6</v>
      </c>
      <c r="L3067" s="15">
        <v>-16034.45</v>
      </c>
      <c r="M3067" s="15">
        <v>-191</v>
      </c>
      <c r="N3067" s="16" t="str">
        <f>IF(M3067="","",IF(M3067&lt;0,-M3067&amp;"_"&amp;COUNTIF(M$2:M3067,M3067),M3067&amp;"_"&amp;COUNTIF(M$2:M3067,M3067)))</f>
        <v>191_1</v>
      </c>
      <c r="O3067" s="17" t="str">
        <f t="shared" si="47"/>
        <v/>
      </c>
      <c r="P3067" s="13" t="s">
        <v>4003</v>
      </c>
      <c r="Q3067" s="13" t="s">
        <v>4003</v>
      </c>
      <c r="R3067" s="13" t="s">
        <v>50</v>
      </c>
      <c r="S3067" s="13" t="s">
        <v>0</v>
      </c>
      <c r="T3067" s="13" t="s">
        <v>9</v>
      </c>
      <c r="U3067" s="13" t="s">
        <v>50</v>
      </c>
      <c r="V3067" s="13" t="s">
        <v>0</v>
      </c>
      <c r="W3067" s="13" t="s">
        <v>0</v>
      </c>
      <c r="X3067" s="13" t="s">
        <v>0</v>
      </c>
      <c r="Y3067" s="13" t="s">
        <v>10</v>
      </c>
      <c r="Z3067" s="13" t="s">
        <v>0</v>
      </c>
      <c r="AA3067" s="14"/>
      <c r="AB3067" s="13" t="s">
        <v>0</v>
      </c>
      <c r="AC3067" s="13" t="s">
        <v>0</v>
      </c>
      <c r="AD3067" s="13" t="s">
        <v>0</v>
      </c>
      <c r="AE3067" s="15">
        <v>0</v>
      </c>
    </row>
    <row r="3068" spans="1:31" ht="14.15" customHeight="1" x14ac:dyDescent="0.25">
      <c r="A3068" s="12" t="s">
        <v>0</v>
      </c>
      <c r="B3068" s="13" t="s">
        <v>1</v>
      </c>
      <c r="C3068" s="13" t="s">
        <v>1688</v>
      </c>
      <c r="D3068" s="14">
        <v>44173</v>
      </c>
      <c r="E3068" s="14">
        <v>44173</v>
      </c>
      <c r="F3068" s="14">
        <v>44178</v>
      </c>
      <c r="G3068" s="13" t="s">
        <v>3</v>
      </c>
      <c r="H3068" s="13" t="s">
        <v>4</v>
      </c>
      <c r="I3068" s="15">
        <v>-182.51</v>
      </c>
      <c r="J3068" s="13" t="s">
        <v>488</v>
      </c>
      <c r="K3068" s="13" t="s">
        <v>6</v>
      </c>
      <c r="L3068" s="15">
        <v>-15321.71</v>
      </c>
      <c r="M3068" s="15">
        <v>-182.51</v>
      </c>
      <c r="N3068" s="16" t="str">
        <f>IF(M3068="","",IF(M3068&lt;0,-M3068&amp;"_"&amp;COUNTIF(M$2:M3068,M3068),M3068&amp;"_"&amp;COUNTIF(M$2:M3068,M3068)))</f>
        <v>182.51_1</v>
      </c>
      <c r="O3068" s="17" t="str">
        <f t="shared" si="47"/>
        <v/>
      </c>
      <c r="P3068" s="13" t="s">
        <v>1689</v>
      </c>
      <c r="Q3068" s="13" t="s">
        <v>1687</v>
      </c>
      <c r="R3068" s="13" t="s">
        <v>0</v>
      </c>
      <c r="S3068" s="13" t="s">
        <v>0</v>
      </c>
      <c r="T3068" s="13" t="s">
        <v>9</v>
      </c>
      <c r="U3068" s="13" t="s">
        <v>0</v>
      </c>
      <c r="V3068" s="13" t="s">
        <v>0</v>
      </c>
      <c r="W3068" s="13" t="s">
        <v>0</v>
      </c>
      <c r="X3068" s="13" t="s">
        <v>0</v>
      </c>
      <c r="Y3068" s="13" t="s">
        <v>10</v>
      </c>
      <c r="Z3068" s="13" t="s">
        <v>0</v>
      </c>
      <c r="AA3068" s="14"/>
      <c r="AB3068" s="13" t="s">
        <v>0</v>
      </c>
      <c r="AC3068" s="13" t="s">
        <v>0</v>
      </c>
      <c r="AD3068" s="13" t="s">
        <v>0</v>
      </c>
      <c r="AE3068" s="15">
        <v>0</v>
      </c>
    </row>
    <row r="3069" spans="1:31" ht="14.15" customHeight="1" x14ac:dyDescent="0.25">
      <c r="A3069" s="12" t="s">
        <v>0</v>
      </c>
      <c r="B3069" s="13" t="s">
        <v>1</v>
      </c>
      <c r="C3069" s="13" t="s">
        <v>3713</v>
      </c>
      <c r="D3069" s="14">
        <v>44337</v>
      </c>
      <c r="E3069" s="14">
        <v>44337</v>
      </c>
      <c r="F3069" s="14">
        <v>44346</v>
      </c>
      <c r="G3069" s="13" t="s">
        <v>48</v>
      </c>
      <c r="H3069" s="13" t="s">
        <v>4</v>
      </c>
      <c r="I3069" s="15">
        <v>-179.28</v>
      </c>
      <c r="J3069" s="13" t="s">
        <v>325</v>
      </c>
      <c r="K3069" s="13" t="s">
        <v>6</v>
      </c>
      <c r="L3069" s="15">
        <v>-15050.56</v>
      </c>
      <c r="M3069" s="15">
        <v>-179.28</v>
      </c>
      <c r="N3069" s="16" t="str">
        <f>IF(M3069="","",IF(M3069&lt;0,-M3069&amp;"_"&amp;COUNTIF(M$2:M3069,M3069),M3069&amp;"_"&amp;COUNTIF(M$2:M3069,M3069)))</f>
        <v>179.28_1</v>
      </c>
      <c r="O3069" s="17" t="str">
        <f t="shared" si="47"/>
        <v/>
      </c>
      <c r="P3069" s="13" t="s">
        <v>3714</v>
      </c>
      <c r="Q3069" s="13" t="s">
        <v>3714</v>
      </c>
      <c r="R3069" s="13" t="s">
        <v>1656</v>
      </c>
      <c r="S3069" s="13" t="s">
        <v>0</v>
      </c>
      <c r="T3069" s="13" t="s">
        <v>9</v>
      </c>
      <c r="U3069" s="13" t="s">
        <v>1656</v>
      </c>
      <c r="V3069" s="13" t="s">
        <v>0</v>
      </c>
      <c r="W3069" s="13" t="s">
        <v>0</v>
      </c>
      <c r="X3069" s="13" t="s">
        <v>0</v>
      </c>
      <c r="Y3069" s="13" t="s">
        <v>10</v>
      </c>
      <c r="Z3069" s="13" t="s">
        <v>0</v>
      </c>
      <c r="AA3069" s="14"/>
      <c r="AB3069" s="13" t="s">
        <v>0</v>
      </c>
      <c r="AC3069" s="13" t="s">
        <v>0</v>
      </c>
      <c r="AD3069" s="13" t="s">
        <v>0</v>
      </c>
      <c r="AE3069" s="15">
        <v>0</v>
      </c>
    </row>
    <row r="3070" spans="1:31" ht="14.15" customHeight="1" x14ac:dyDescent="0.25">
      <c r="A3070" s="12" t="s">
        <v>0</v>
      </c>
      <c r="B3070" s="13" t="s">
        <v>1</v>
      </c>
      <c r="C3070" s="13" t="s">
        <v>3974</v>
      </c>
      <c r="D3070" s="14">
        <v>44358</v>
      </c>
      <c r="E3070" s="14">
        <v>44358</v>
      </c>
      <c r="F3070" s="14">
        <v>44370</v>
      </c>
      <c r="G3070" s="13" t="s">
        <v>48</v>
      </c>
      <c r="H3070" s="13" t="s">
        <v>4</v>
      </c>
      <c r="I3070" s="15">
        <v>-166</v>
      </c>
      <c r="J3070" s="13" t="s">
        <v>5</v>
      </c>
      <c r="K3070" s="13" t="s">
        <v>6</v>
      </c>
      <c r="L3070" s="15">
        <v>-13935.7</v>
      </c>
      <c r="M3070" s="15">
        <v>-166</v>
      </c>
      <c r="N3070" s="16" t="str">
        <f>IF(M3070="","",IF(M3070&lt;0,-M3070&amp;"_"&amp;COUNTIF(M$2:M3070,M3070),M3070&amp;"_"&amp;COUNTIF(M$2:M3070,M3070)))</f>
        <v>166_1</v>
      </c>
      <c r="O3070" s="17" t="str">
        <f t="shared" si="47"/>
        <v/>
      </c>
      <c r="P3070" s="13" t="s">
        <v>3975</v>
      </c>
      <c r="Q3070" s="13" t="s">
        <v>3975</v>
      </c>
      <c r="R3070" s="13" t="s">
        <v>50</v>
      </c>
      <c r="S3070" s="13" t="s">
        <v>0</v>
      </c>
      <c r="T3070" s="13" t="s">
        <v>9</v>
      </c>
      <c r="U3070" s="13" t="s">
        <v>50</v>
      </c>
      <c r="V3070" s="13" t="s">
        <v>0</v>
      </c>
      <c r="W3070" s="13" t="s">
        <v>0</v>
      </c>
      <c r="X3070" s="13" t="s">
        <v>0</v>
      </c>
      <c r="Y3070" s="13" t="s">
        <v>10</v>
      </c>
      <c r="Z3070" s="13" t="s">
        <v>0</v>
      </c>
      <c r="AA3070" s="14"/>
      <c r="AB3070" s="13" t="s">
        <v>0</v>
      </c>
      <c r="AC3070" s="13" t="s">
        <v>0</v>
      </c>
      <c r="AD3070" s="13" t="s">
        <v>0</v>
      </c>
      <c r="AE3070" s="15">
        <v>0</v>
      </c>
    </row>
    <row r="3071" spans="1:31" ht="14.15" customHeight="1" x14ac:dyDescent="0.25">
      <c r="A3071" s="12" t="s">
        <v>0</v>
      </c>
      <c r="B3071" s="13" t="s">
        <v>1</v>
      </c>
      <c r="C3071" s="13" t="s">
        <v>3992</v>
      </c>
      <c r="D3071" s="14">
        <v>44358</v>
      </c>
      <c r="E3071" s="14">
        <v>44358</v>
      </c>
      <c r="F3071" s="14">
        <v>44371</v>
      </c>
      <c r="G3071" s="13" t="s">
        <v>48</v>
      </c>
      <c r="H3071" s="13" t="s">
        <v>4</v>
      </c>
      <c r="I3071" s="15">
        <v>-166</v>
      </c>
      <c r="J3071" s="13" t="s">
        <v>5</v>
      </c>
      <c r="K3071" s="13" t="s">
        <v>6</v>
      </c>
      <c r="L3071" s="15">
        <v>-13935.7</v>
      </c>
      <c r="M3071" s="15">
        <v>-166</v>
      </c>
      <c r="N3071" s="16" t="str">
        <f>IF(M3071="","",IF(M3071&lt;0,-M3071&amp;"_"&amp;COUNTIF(M$2:M3071,M3071),M3071&amp;"_"&amp;COUNTIF(M$2:M3071,M3071)))</f>
        <v>166_2</v>
      </c>
      <c r="O3071" s="17" t="str">
        <f t="shared" si="47"/>
        <v/>
      </c>
      <c r="P3071" s="13" t="s">
        <v>3993</v>
      </c>
      <c r="Q3071" s="13" t="s">
        <v>3993</v>
      </c>
      <c r="R3071" s="13" t="s">
        <v>50</v>
      </c>
      <c r="S3071" s="13" t="s">
        <v>0</v>
      </c>
      <c r="T3071" s="13" t="s">
        <v>9</v>
      </c>
      <c r="U3071" s="13" t="s">
        <v>50</v>
      </c>
      <c r="V3071" s="13" t="s">
        <v>0</v>
      </c>
      <c r="W3071" s="13" t="s">
        <v>0</v>
      </c>
      <c r="X3071" s="13" t="s">
        <v>0</v>
      </c>
      <c r="Y3071" s="13" t="s">
        <v>10</v>
      </c>
      <c r="Z3071" s="13" t="s">
        <v>0</v>
      </c>
      <c r="AA3071" s="14"/>
      <c r="AB3071" s="13" t="s">
        <v>0</v>
      </c>
      <c r="AC3071" s="13" t="s">
        <v>0</v>
      </c>
      <c r="AD3071" s="13" t="s">
        <v>0</v>
      </c>
      <c r="AE3071" s="15">
        <v>0</v>
      </c>
    </row>
    <row r="3072" spans="1:31" ht="14.15" customHeight="1" x14ac:dyDescent="0.25">
      <c r="A3072" s="12" t="s">
        <v>0</v>
      </c>
      <c r="B3072" s="13" t="s">
        <v>1</v>
      </c>
      <c r="C3072" s="13" t="s">
        <v>3837</v>
      </c>
      <c r="D3072" s="14">
        <v>44349</v>
      </c>
      <c r="E3072" s="14">
        <v>44349</v>
      </c>
      <c r="F3072" s="14">
        <v>44356</v>
      </c>
      <c r="G3072" s="13" t="s">
        <v>3</v>
      </c>
      <c r="H3072" s="13" t="s">
        <v>4</v>
      </c>
      <c r="I3072" s="15">
        <v>-163.34</v>
      </c>
      <c r="J3072" s="13" t="s">
        <v>55</v>
      </c>
      <c r="K3072" s="13" t="s">
        <v>6</v>
      </c>
      <c r="L3072" s="15">
        <v>-13712.4</v>
      </c>
      <c r="M3072" s="15">
        <v>-163.34</v>
      </c>
      <c r="N3072" s="16" t="str">
        <f>IF(M3072="","",IF(M3072&lt;0,-M3072&amp;"_"&amp;COUNTIF(M$2:M3072,M3072),M3072&amp;"_"&amp;COUNTIF(M$2:M3072,M3072)))</f>
        <v>163.34_1</v>
      </c>
      <c r="O3072" s="17" t="str">
        <f t="shared" si="47"/>
        <v/>
      </c>
      <c r="P3072" s="13" t="s">
        <v>3838</v>
      </c>
      <c r="Q3072" s="13" t="s">
        <v>3839</v>
      </c>
      <c r="R3072" s="13" t="s">
        <v>0</v>
      </c>
      <c r="S3072" s="13" t="s">
        <v>0</v>
      </c>
      <c r="T3072" s="13" t="s">
        <v>9</v>
      </c>
      <c r="U3072" s="13" t="s">
        <v>0</v>
      </c>
      <c r="V3072" s="13" t="s">
        <v>0</v>
      </c>
      <c r="W3072" s="13" t="s">
        <v>0</v>
      </c>
      <c r="X3072" s="13" t="s">
        <v>0</v>
      </c>
      <c r="Y3072" s="13" t="s">
        <v>10</v>
      </c>
      <c r="Z3072" s="13" t="s">
        <v>0</v>
      </c>
      <c r="AA3072" s="14"/>
      <c r="AB3072" s="13" t="s">
        <v>0</v>
      </c>
      <c r="AC3072" s="13" t="s">
        <v>0</v>
      </c>
      <c r="AD3072" s="13" t="s">
        <v>0</v>
      </c>
      <c r="AE3072" s="15">
        <v>0</v>
      </c>
    </row>
    <row r="3073" spans="1:31" ht="14.15" customHeight="1" x14ac:dyDescent="0.25">
      <c r="A3073" s="12" t="s">
        <v>0</v>
      </c>
      <c r="B3073" s="13" t="s">
        <v>1</v>
      </c>
      <c r="C3073" s="13" t="s">
        <v>1630</v>
      </c>
      <c r="D3073" s="14">
        <v>44171</v>
      </c>
      <c r="E3073" s="14">
        <v>44171</v>
      </c>
      <c r="F3073" s="14">
        <v>44189</v>
      </c>
      <c r="G3073" s="13" t="s">
        <v>48</v>
      </c>
      <c r="H3073" s="13" t="s">
        <v>4</v>
      </c>
      <c r="I3073" s="15">
        <v>-160</v>
      </c>
      <c r="J3073" s="13" t="s">
        <v>5</v>
      </c>
      <c r="K3073" s="13" t="s">
        <v>6</v>
      </c>
      <c r="L3073" s="15">
        <v>-13432</v>
      </c>
      <c r="M3073" s="15">
        <v>-160</v>
      </c>
      <c r="N3073" s="16" t="str">
        <f>IF(M3073="","",IF(M3073&lt;0,-M3073&amp;"_"&amp;COUNTIF(M$2:M3073,M3073),M3073&amp;"_"&amp;COUNTIF(M$2:M3073,M3073)))</f>
        <v>160_1</v>
      </c>
      <c r="O3073" s="17" t="str">
        <f t="shared" si="47"/>
        <v/>
      </c>
      <c r="P3073" s="13" t="s">
        <v>1631</v>
      </c>
      <c r="Q3073" s="13" t="s">
        <v>1631</v>
      </c>
      <c r="R3073" s="13" t="s">
        <v>50</v>
      </c>
      <c r="S3073" s="13" t="s">
        <v>0</v>
      </c>
      <c r="T3073" s="13" t="s">
        <v>9</v>
      </c>
      <c r="U3073" s="13" t="s">
        <v>50</v>
      </c>
      <c r="V3073" s="13" t="s">
        <v>0</v>
      </c>
      <c r="W3073" s="13" t="s">
        <v>0</v>
      </c>
      <c r="X3073" s="13" t="s">
        <v>0</v>
      </c>
      <c r="Y3073" s="13" t="s">
        <v>10</v>
      </c>
      <c r="Z3073" s="13" t="s">
        <v>0</v>
      </c>
      <c r="AA3073" s="14"/>
      <c r="AB3073" s="13" t="s">
        <v>0</v>
      </c>
      <c r="AC3073" s="13" t="s">
        <v>0</v>
      </c>
      <c r="AD3073" s="13" t="s">
        <v>0</v>
      </c>
      <c r="AE3073" s="15">
        <v>0</v>
      </c>
    </row>
    <row r="3074" spans="1:31" ht="14.15" customHeight="1" x14ac:dyDescent="0.25">
      <c r="A3074" s="12" t="s">
        <v>0</v>
      </c>
      <c r="B3074" s="13" t="s">
        <v>1</v>
      </c>
      <c r="C3074" s="13" t="s">
        <v>1636</v>
      </c>
      <c r="D3074" s="14">
        <v>44171</v>
      </c>
      <c r="E3074" s="14">
        <v>44171</v>
      </c>
      <c r="F3074" s="14">
        <v>44189</v>
      </c>
      <c r="G3074" s="13" t="s">
        <v>48</v>
      </c>
      <c r="H3074" s="13" t="s">
        <v>4</v>
      </c>
      <c r="I3074" s="15">
        <v>-160</v>
      </c>
      <c r="J3074" s="13" t="s">
        <v>5</v>
      </c>
      <c r="K3074" s="13" t="s">
        <v>6</v>
      </c>
      <c r="L3074" s="15">
        <v>-13432</v>
      </c>
      <c r="M3074" s="15">
        <v>-160</v>
      </c>
      <c r="N3074" s="16" t="str">
        <f>IF(M3074="","",IF(M3074&lt;0,-M3074&amp;"_"&amp;COUNTIF(M$2:M3074,M3074),M3074&amp;"_"&amp;COUNTIF(M$2:M3074,M3074)))</f>
        <v>160_2</v>
      </c>
      <c r="O3074" s="17" t="str">
        <f t="shared" ref="O3074:O3137" si="48">IF(COUNTIF(N:N,N3074)=2,"x","")</f>
        <v/>
      </c>
      <c r="P3074" s="13" t="s">
        <v>1637</v>
      </c>
      <c r="Q3074" s="13" t="s">
        <v>1637</v>
      </c>
      <c r="R3074" s="13" t="s">
        <v>50</v>
      </c>
      <c r="S3074" s="13" t="s">
        <v>0</v>
      </c>
      <c r="T3074" s="13" t="s">
        <v>9</v>
      </c>
      <c r="U3074" s="13" t="s">
        <v>50</v>
      </c>
      <c r="V3074" s="13" t="s">
        <v>0</v>
      </c>
      <c r="W3074" s="13" t="s">
        <v>0</v>
      </c>
      <c r="X3074" s="13" t="s">
        <v>0</v>
      </c>
      <c r="Y3074" s="13" t="s">
        <v>10</v>
      </c>
      <c r="Z3074" s="13" t="s">
        <v>0</v>
      </c>
      <c r="AA3074" s="14"/>
      <c r="AB3074" s="13" t="s">
        <v>0</v>
      </c>
      <c r="AC3074" s="13" t="s">
        <v>0</v>
      </c>
      <c r="AD3074" s="13" t="s">
        <v>0</v>
      </c>
      <c r="AE3074" s="15">
        <v>0</v>
      </c>
    </row>
    <row r="3075" spans="1:31" ht="14.15" customHeight="1" x14ac:dyDescent="0.25">
      <c r="A3075" s="12" t="s">
        <v>0</v>
      </c>
      <c r="B3075" s="13" t="s">
        <v>1</v>
      </c>
      <c r="C3075" s="13" t="s">
        <v>3837</v>
      </c>
      <c r="D3075" s="14">
        <v>44349</v>
      </c>
      <c r="E3075" s="14">
        <v>44349</v>
      </c>
      <c r="F3075" s="14">
        <v>44356</v>
      </c>
      <c r="G3075" s="13" t="s">
        <v>3</v>
      </c>
      <c r="H3075" s="13" t="s">
        <v>4</v>
      </c>
      <c r="I3075" s="15">
        <v>-153.74</v>
      </c>
      <c r="J3075" s="13" t="s">
        <v>488</v>
      </c>
      <c r="K3075" s="13" t="s">
        <v>6</v>
      </c>
      <c r="L3075" s="15">
        <v>-12906.47</v>
      </c>
      <c r="M3075" s="15">
        <v>-153.74</v>
      </c>
      <c r="N3075" s="16" t="str">
        <f>IF(M3075="","",IF(M3075&lt;0,-M3075&amp;"_"&amp;COUNTIF(M$2:M3075,M3075),M3075&amp;"_"&amp;COUNTIF(M$2:M3075,M3075)))</f>
        <v>153.74_1</v>
      </c>
      <c r="O3075" s="17" t="str">
        <f t="shared" si="48"/>
        <v/>
      </c>
      <c r="P3075" s="13" t="s">
        <v>3838</v>
      </c>
      <c r="Q3075" s="13" t="s">
        <v>3839</v>
      </c>
      <c r="R3075" s="13" t="s">
        <v>0</v>
      </c>
      <c r="S3075" s="13" t="s">
        <v>0</v>
      </c>
      <c r="T3075" s="13" t="s">
        <v>9</v>
      </c>
      <c r="U3075" s="13" t="s">
        <v>0</v>
      </c>
      <c r="V3075" s="13" t="s">
        <v>0</v>
      </c>
      <c r="W3075" s="13" t="s">
        <v>0</v>
      </c>
      <c r="X3075" s="13" t="s">
        <v>0</v>
      </c>
      <c r="Y3075" s="13" t="s">
        <v>10</v>
      </c>
      <c r="Z3075" s="13" t="s">
        <v>0</v>
      </c>
      <c r="AA3075" s="14"/>
      <c r="AB3075" s="13" t="s">
        <v>0</v>
      </c>
      <c r="AC3075" s="13" t="s">
        <v>0</v>
      </c>
      <c r="AD3075" s="13" t="s">
        <v>0</v>
      </c>
      <c r="AE3075" s="15">
        <v>0</v>
      </c>
    </row>
    <row r="3076" spans="1:31" ht="14.15" customHeight="1" x14ac:dyDescent="0.25">
      <c r="A3076" s="12" t="s">
        <v>0</v>
      </c>
      <c r="B3076" s="13" t="s">
        <v>1</v>
      </c>
      <c r="C3076" s="13" t="s">
        <v>3837</v>
      </c>
      <c r="D3076" s="14">
        <v>44349</v>
      </c>
      <c r="E3076" s="14">
        <v>44349</v>
      </c>
      <c r="F3076" s="14">
        <v>44356</v>
      </c>
      <c r="G3076" s="13" t="s">
        <v>3</v>
      </c>
      <c r="H3076" s="13" t="s">
        <v>4</v>
      </c>
      <c r="I3076" s="15">
        <v>-153.74</v>
      </c>
      <c r="J3076" s="13" t="s">
        <v>488</v>
      </c>
      <c r="K3076" s="13" t="s">
        <v>6</v>
      </c>
      <c r="L3076" s="15">
        <v>-12906.47</v>
      </c>
      <c r="M3076" s="15">
        <v>-153.74</v>
      </c>
      <c r="N3076" s="16" t="str">
        <f>IF(M3076="","",IF(M3076&lt;0,-M3076&amp;"_"&amp;COUNTIF(M$2:M3076,M3076),M3076&amp;"_"&amp;COUNTIF(M$2:M3076,M3076)))</f>
        <v>153.74_2</v>
      </c>
      <c r="O3076" s="17" t="str">
        <f t="shared" si="48"/>
        <v/>
      </c>
      <c r="P3076" s="13" t="s">
        <v>3838</v>
      </c>
      <c r="Q3076" s="13" t="s">
        <v>3839</v>
      </c>
      <c r="R3076" s="13" t="s">
        <v>0</v>
      </c>
      <c r="S3076" s="13" t="s">
        <v>0</v>
      </c>
      <c r="T3076" s="13" t="s">
        <v>9</v>
      </c>
      <c r="U3076" s="13" t="s">
        <v>0</v>
      </c>
      <c r="V3076" s="13" t="s">
        <v>0</v>
      </c>
      <c r="W3076" s="13" t="s">
        <v>0</v>
      </c>
      <c r="X3076" s="13" t="s">
        <v>0</v>
      </c>
      <c r="Y3076" s="13" t="s">
        <v>10</v>
      </c>
      <c r="Z3076" s="13" t="s">
        <v>0</v>
      </c>
      <c r="AA3076" s="14"/>
      <c r="AB3076" s="13" t="s">
        <v>0</v>
      </c>
      <c r="AC3076" s="13" t="s">
        <v>0</v>
      </c>
      <c r="AD3076" s="13" t="s">
        <v>0</v>
      </c>
      <c r="AE3076" s="15">
        <v>0</v>
      </c>
    </row>
    <row r="3077" spans="1:31" ht="14.15" customHeight="1" x14ac:dyDescent="0.25">
      <c r="A3077" s="12" t="s">
        <v>0</v>
      </c>
      <c r="B3077" s="13" t="s">
        <v>1</v>
      </c>
      <c r="C3077" s="13" t="s">
        <v>3837</v>
      </c>
      <c r="D3077" s="14">
        <v>44349</v>
      </c>
      <c r="E3077" s="14">
        <v>44349</v>
      </c>
      <c r="F3077" s="14">
        <v>44356</v>
      </c>
      <c r="G3077" s="13" t="s">
        <v>3</v>
      </c>
      <c r="H3077" s="13" t="s">
        <v>4</v>
      </c>
      <c r="I3077" s="15">
        <v>-153.74</v>
      </c>
      <c r="J3077" s="13" t="s">
        <v>488</v>
      </c>
      <c r="K3077" s="13" t="s">
        <v>6</v>
      </c>
      <c r="L3077" s="15">
        <v>-12906.47</v>
      </c>
      <c r="M3077" s="15">
        <v>-153.74</v>
      </c>
      <c r="N3077" s="16" t="str">
        <f>IF(M3077="","",IF(M3077&lt;0,-M3077&amp;"_"&amp;COUNTIF(M$2:M3077,M3077),M3077&amp;"_"&amp;COUNTIF(M$2:M3077,M3077)))</f>
        <v>153.74_3</v>
      </c>
      <c r="O3077" s="17" t="str">
        <f t="shared" si="48"/>
        <v/>
      </c>
      <c r="P3077" s="13" t="s">
        <v>3838</v>
      </c>
      <c r="Q3077" s="13" t="s">
        <v>3839</v>
      </c>
      <c r="R3077" s="13" t="s">
        <v>0</v>
      </c>
      <c r="S3077" s="13" t="s">
        <v>0</v>
      </c>
      <c r="T3077" s="13" t="s">
        <v>9</v>
      </c>
      <c r="U3077" s="13" t="s">
        <v>0</v>
      </c>
      <c r="V3077" s="13" t="s">
        <v>0</v>
      </c>
      <c r="W3077" s="13" t="s">
        <v>0</v>
      </c>
      <c r="X3077" s="13" t="s">
        <v>0</v>
      </c>
      <c r="Y3077" s="13" t="s">
        <v>10</v>
      </c>
      <c r="Z3077" s="13" t="s">
        <v>0</v>
      </c>
      <c r="AA3077" s="14"/>
      <c r="AB3077" s="13" t="s">
        <v>0</v>
      </c>
      <c r="AC3077" s="13" t="s">
        <v>0</v>
      </c>
      <c r="AD3077" s="13" t="s">
        <v>0</v>
      </c>
      <c r="AE3077" s="15">
        <v>0</v>
      </c>
    </row>
    <row r="3078" spans="1:31" ht="14.15" customHeight="1" x14ac:dyDescent="0.25">
      <c r="A3078" s="12" t="s">
        <v>0</v>
      </c>
      <c r="B3078" s="13" t="s">
        <v>1</v>
      </c>
      <c r="C3078" s="13" t="s">
        <v>3994</v>
      </c>
      <c r="D3078" s="14">
        <v>44358</v>
      </c>
      <c r="E3078" s="14">
        <v>44358</v>
      </c>
      <c r="F3078" s="14">
        <v>44371</v>
      </c>
      <c r="G3078" s="13" t="s">
        <v>48</v>
      </c>
      <c r="H3078" s="13" t="s">
        <v>4</v>
      </c>
      <c r="I3078" s="15">
        <v>-150</v>
      </c>
      <c r="J3078" s="13" t="s">
        <v>5</v>
      </c>
      <c r="K3078" s="13" t="s">
        <v>6</v>
      </c>
      <c r="L3078" s="15">
        <v>-12592.5</v>
      </c>
      <c r="M3078" s="15">
        <v>-150</v>
      </c>
      <c r="N3078" s="16" t="str">
        <f>IF(M3078="","",IF(M3078&lt;0,-M3078&amp;"_"&amp;COUNTIF(M$2:M3078,M3078),M3078&amp;"_"&amp;COUNTIF(M$2:M3078,M3078)))</f>
        <v>150_1</v>
      </c>
      <c r="O3078" s="17" t="str">
        <f t="shared" si="48"/>
        <v/>
      </c>
      <c r="P3078" s="13" t="s">
        <v>3995</v>
      </c>
      <c r="Q3078" s="13" t="s">
        <v>3995</v>
      </c>
      <c r="R3078" s="13" t="s">
        <v>50</v>
      </c>
      <c r="S3078" s="13" t="s">
        <v>0</v>
      </c>
      <c r="T3078" s="13" t="s">
        <v>9</v>
      </c>
      <c r="U3078" s="13" t="s">
        <v>50</v>
      </c>
      <c r="V3078" s="13" t="s">
        <v>0</v>
      </c>
      <c r="W3078" s="13" t="s">
        <v>0</v>
      </c>
      <c r="X3078" s="13" t="s">
        <v>0</v>
      </c>
      <c r="Y3078" s="13" t="s">
        <v>10</v>
      </c>
      <c r="Z3078" s="13" t="s">
        <v>0</v>
      </c>
      <c r="AA3078" s="14"/>
      <c r="AB3078" s="13" t="s">
        <v>0</v>
      </c>
      <c r="AC3078" s="13" t="s">
        <v>0</v>
      </c>
      <c r="AD3078" s="13" t="s">
        <v>0</v>
      </c>
      <c r="AE3078" s="15">
        <v>0</v>
      </c>
    </row>
    <row r="3079" spans="1:31" ht="14.15" customHeight="1" x14ac:dyDescent="0.25">
      <c r="A3079" s="12" t="s">
        <v>0</v>
      </c>
      <c r="B3079" s="13" t="s">
        <v>1</v>
      </c>
      <c r="C3079" s="13" t="s">
        <v>4011</v>
      </c>
      <c r="D3079" s="14">
        <v>44358</v>
      </c>
      <c r="E3079" s="14">
        <v>44358</v>
      </c>
      <c r="F3079" s="14">
        <v>44372</v>
      </c>
      <c r="G3079" s="13" t="s">
        <v>48</v>
      </c>
      <c r="H3079" s="13" t="s">
        <v>4</v>
      </c>
      <c r="I3079" s="15">
        <v>-150</v>
      </c>
      <c r="J3079" s="13" t="s">
        <v>5</v>
      </c>
      <c r="K3079" s="13" t="s">
        <v>6</v>
      </c>
      <c r="L3079" s="15">
        <v>-12592.5</v>
      </c>
      <c r="M3079" s="15">
        <v>-150</v>
      </c>
      <c r="N3079" s="16" t="str">
        <f>IF(M3079="","",IF(M3079&lt;0,-M3079&amp;"_"&amp;COUNTIF(M$2:M3079,M3079),M3079&amp;"_"&amp;COUNTIF(M$2:M3079,M3079)))</f>
        <v>150_2</v>
      </c>
      <c r="O3079" s="17" t="str">
        <f t="shared" si="48"/>
        <v/>
      </c>
      <c r="P3079" s="13" t="s">
        <v>4012</v>
      </c>
      <c r="Q3079" s="13" t="s">
        <v>4012</v>
      </c>
      <c r="R3079" s="13" t="s">
        <v>50</v>
      </c>
      <c r="S3079" s="13" t="s">
        <v>0</v>
      </c>
      <c r="T3079" s="13" t="s">
        <v>9</v>
      </c>
      <c r="U3079" s="13" t="s">
        <v>50</v>
      </c>
      <c r="V3079" s="13" t="s">
        <v>0</v>
      </c>
      <c r="W3079" s="13" t="s">
        <v>0</v>
      </c>
      <c r="X3079" s="13" t="s">
        <v>0</v>
      </c>
      <c r="Y3079" s="13" t="s">
        <v>10</v>
      </c>
      <c r="Z3079" s="13" t="s">
        <v>0</v>
      </c>
      <c r="AA3079" s="14"/>
      <c r="AB3079" s="13" t="s">
        <v>0</v>
      </c>
      <c r="AC3079" s="13" t="s">
        <v>0</v>
      </c>
      <c r="AD3079" s="13" t="s">
        <v>0</v>
      </c>
      <c r="AE3079" s="15">
        <v>0</v>
      </c>
    </row>
    <row r="3080" spans="1:31" ht="14.15" customHeight="1" x14ac:dyDescent="0.25">
      <c r="A3080" s="12" t="s">
        <v>0</v>
      </c>
      <c r="B3080" s="13" t="s">
        <v>1</v>
      </c>
      <c r="C3080" s="13" t="s">
        <v>3075</v>
      </c>
      <c r="D3080" s="14">
        <v>44285</v>
      </c>
      <c r="E3080" s="14">
        <v>44285</v>
      </c>
      <c r="F3080" s="14">
        <v>44290</v>
      </c>
      <c r="G3080" s="13" t="s">
        <v>3</v>
      </c>
      <c r="H3080" s="13" t="s">
        <v>4</v>
      </c>
      <c r="I3080" s="15">
        <v>-147.80000000000001</v>
      </c>
      <c r="J3080" s="13" t="s">
        <v>5</v>
      </c>
      <c r="K3080" s="13" t="s">
        <v>6</v>
      </c>
      <c r="L3080" s="15">
        <v>-12407.81</v>
      </c>
      <c r="M3080" s="15">
        <v>-147.80000000000001</v>
      </c>
      <c r="N3080" s="16" t="str">
        <f>IF(M3080="","",IF(M3080&lt;0,-M3080&amp;"_"&amp;COUNTIF(M$2:M3080,M3080),M3080&amp;"_"&amp;COUNTIF(M$2:M3080,M3080)))</f>
        <v>147.8_1</v>
      </c>
      <c r="O3080" s="17" t="str">
        <f t="shared" si="48"/>
        <v/>
      </c>
      <c r="P3080" s="13" t="s">
        <v>3076</v>
      </c>
      <c r="Q3080" s="13" t="s">
        <v>3074</v>
      </c>
      <c r="R3080" s="13" t="s">
        <v>0</v>
      </c>
      <c r="S3080" s="13" t="s">
        <v>0</v>
      </c>
      <c r="T3080" s="13" t="s">
        <v>9</v>
      </c>
      <c r="U3080" s="13" t="s">
        <v>0</v>
      </c>
      <c r="V3080" s="13" t="s">
        <v>0</v>
      </c>
      <c r="W3080" s="13" t="s">
        <v>0</v>
      </c>
      <c r="X3080" s="13" t="s">
        <v>0</v>
      </c>
      <c r="Y3080" s="13" t="s">
        <v>10</v>
      </c>
      <c r="Z3080" s="13" t="s">
        <v>0</v>
      </c>
      <c r="AA3080" s="14"/>
      <c r="AB3080" s="13" t="s">
        <v>0</v>
      </c>
      <c r="AC3080" s="13" t="s">
        <v>0</v>
      </c>
      <c r="AD3080" s="13" t="s">
        <v>0</v>
      </c>
      <c r="AE3080" s="15">
        <v>0</v>
      </c>
    </row>
    <row r="3081" spans="1:31" ht="14.15" customHeight="1" x14ac:dyDescent="0.25">
      <c r="A3081" s="12" t="s">
        <v>0</v>
      </c>
      <c r="B3081" s="13" t="s">
        <v>1</v>
      </c>
      <c r="C3081" s="13" t="s">
        <v>2077</v>
      </c>
      <c r="D3081" s="14">
        <v>44199</v>
      </c>
      <c r="E3081" s="14">
        <v>44199</v>
      </c>
      <c r="F3081" s="14">
        <v>44220</v>
      </c>
      <c r="G3081" s="13" t="s">
        <v>48</v>
      </c>
      <c r="H3081" s="13" t="s">
        <v>4</v>
      </c>
      <c r="I3081" s="15">
        <v>-147.75</v>
      </c>
      <c r="J3081" s="13" t="s">
        <v>488</v>
      </c>
      <c r="K3081" s="13" t="s">
        <v>6</v>
      </c>
      <c r="L3081" s="15">
        <v>-12403.61</v>
      </c>
      <c r="M3081" s="15">
        <v>-147.75</v>
      </c>
      <c r="N3081" s="16" t="str">
        <f>IF(M3081="","",IF(M3081&lt;0,-M3081&amp;"_"&amp;COUNTIF(M$2:M3081,M3081),M3081&amp;"_"&amp;COUNTIF(M$2:M3081,M3081)))</f>
        <v>147.75_1</v>
      </c>
      <c r="O3081" s="17" t="str">
        <f t="shared" si="48"/>
        <v/>
      </c>
      <c r="P3081" s="13" t="s">
        <v>2078</v>
      </c>
      <c r="Q3081" s="13" t="s">
        <v>2078</v>
      </c>
      <c r="R3081" s="13" t="s">
        <v>1656</v>
      </c>
      <c r="S3081" s="13" t="s">
        <v>0</v>
      </c>
      <c r="T3081" s="13" t="s">
        <v>9</v>
      </c>
      <c r="U3081" s="13" t="s">
        <v>1656</v>
      </c>
      <c r="V3081" s="13" t="s">
        <v>0</v>
      </c>
      <c r="W3081" s="13" t="s">
        <v>0</v>
      </c>
      <c r="X3081" s="13" t="s">
        <v>0</v>
      </c>
      <c r="Y3081" s="13" t="s">
        <v>10</v>
      </c>
      <c r="Z3081" s="13" t="s">
        <v>0</v>
      </c>
      <c r="AA3081" s="14"/>
      <c r="AB3081" s="13" t="s">
        <v>0</v>
      </c>
      <c r="AC3081" s="13" t="s">
        <v>0</v>
      </c>
      <c r="AD3081" s="13" t="s">
        <v>0</v>
      </c>
      <c r="AE3081" s="15">
        <v>0</v>
      </c>
    </row>
    <row r="3082" spans="1:31" ht="14.15" customHeight="1" x14ac:dyDescent="0.25">
      <c r="A3082" s="12" t="s">
        <v>0</v>
      </c>
      <c r="B3082" s="13" t="s">
        <v>1</v>
      </c>
      <c r="C3082" s="13" t="s">
        <v>3344</v>
      </c>
      <c r="D3082" s="14">
        <v>44316</v>
      </c>
      <c r="E3082" s="14">
        <v>44316</v>
      </c>
      <c r="F3082" s="14">
        <v>44324</v>
      </c>
      <c r="G3082" s="13" t="s">
        <v>3</v>
      </c>
      <c r="H3082" s="13" t="s">
        <v>4</v>
      </c>
      <c r="I3082" s="15">
        <v>-137.94999999999999</v>
      </c>
      <c r="J3082" s="13" t="s">
        <v>488</v>
      </c>
      <c r="K3082" s="13" t="s">
        <v>6</v>
      </c>
      <c r="L3082" s="15">
        <v>-11580.9</v>
      </c>
      <c r="M3082" s="15">
        <v>-137.94999999999999</v>
      </c>
      <c r="N3082" s="16" t="str">
        <f>IF(M3082="","",IF(M3082&lt;0,-M3082&amp;"_"&amp;COUNTIF(M$2:M3082,M3082),M3082&amp;"_"&amp;COUNTIF(M$2:M3082,M3082)))</f>
        <v>137.95_1</v>
      </c>
      <c r="O3082" s="17" t="str">
        <f t="shared" si="48"/>
        <v/>
      </c>
      <c r="P3082" s="13" t="s">
        <v>3345</v>
      </c>
      <c r="Q3082" s="13" t="s">
        <v>3339</v>
      </c>
      <c r="R3082" s="13" t="s">
        <v>0</v>
      </c>
      <c r="S3082" s="13" t="s">
        <v>0</v>
      </c>
      <c r="T3082" s="13" t="s">
        <v>9</v>
      </c>
      <c r="U3082" s="13" t="s">
        <v>0</v>
      </c>
      <c r="V3082" s="13" t="s">
        <v>0</v>
      </c>
      <c r="W3082" s="13" t="s">
        <v>0</v>
      </c>
      <c r="X3082" s="13" t="s">
        <v>0</v>
      </c>
      <c r="Y3082" s="13" t="s">
        <v>10</v>
      </c>
      <c r="Z3082" s="13" t="s">
        <v>0</v>
      </c>
      <c r="AA3082" s="14"/>
      <c r="AB3082" s="13" t="s">
        <v>0</v>
      </c>
      <c r="AC3082" s="13" t="s">
        <v>0</v>
      </c>
      <c r="AD3082" s="13" t="s">
        <v>0</v>
      </c>
      <c r="AE3082" s="15">
        <v>0</v>
      </c>
    </row>
    <row r="3083" spans="1:31" ht="14.15" customHeight="1" x14ac:dyDescent="0.25">
      <c r="A3083" s="12" t="s">
        <v>0</v>
      </c>
      <c r="B3083" s="13" t="s">
        <v>1</v>
      </c>
      <c r="C3083" s="13" t="s">
        <v>3711</v>
      </c>
      <c r="D3083" s="14">
        <v>44337</v>
      </c>
      <c r="E3083" s="14">
        <v>44337</v>
      </c>
      <c r="F3083" s="14">
        <v>44346</v>
      </c>
      <c r="G3083" s="13" t="s">
        <v>48</v>
      </c>
      <c r="H3083" s="13" t="s">
        <v>4</v>
      </c>
      <c r="I3083" s="15">
        <v>-137.28</v>
      </c>
      <c r="J3083" s="13" t="s">
        <v>567</v>
      </c>
      <c r="K3083" s="13" t="s">
        <v>6</v>
      </c>
      <c r="L3083" s="15">
        <v>-11524.66</v>
      </c>
      <c r="M3083" s="15">
        <v>-137.28</v>
      </c>
      <c r="N3083" s="16" t="str">
        <f>IF(M3083="","",IF(M3083&lt;0,-M3083&amp;"_"&amp;COUNTIF(M$2:M3083,M3083),M3083&amp;"_"&amp;COUNTIF(M$2:M3083,M3083)))</f>
        <v>137.28_1</v>
      </c>
      <c r="O3083" s="17" t="str">
        <f t="shared" si="48"/>
        <v/>
      </c>
      <c r="P3083" s="13" t="s">
        <v>3712</v>
      </c>
      <c r="Q3083" s="13" t="s">
        <v>3712</v>
      </c>
      <c r="R3083" s="13" t="s">
        <v>1656</v>
      </c>
      <c r="S3083" s="13" t="s">
        <v>0</v>
      </c>
      <c r="T3083" s="13" t="s">
        <v>9</v>
      </c>
      <c r="U3083" s="13" t="s">
        <v>1656</v>
      </c>
      <c r="V3083" s="13" t="s">
        <v>0</v>
      </c>
      <c r="W3083" s="13" t="s">
        <v>0</v>
      </c>
      <c r="X3083" s="13" t="s">
        <v>0</v>
      </c>
      <c r="Y3083" s="13" t="s">
        <v>10</v>
      </c>
      <c r="Z3083" s="13" t="s">
        <v>0</v>
      </c>
      <c r="AA3083" s="14"/>
      <c r="AB3083" s="13" t="s">
        <v>0</v>
      </c>
      <c r="AC3083" s="13" t="s">
        <v>0</v>
      </c>
      <c r="AD3083" s="13" t="s">
        <v>0</v>
      </c>
      <c r="AE3083" s="15">
        <v>0</v>
      </c>
    </row>
    <row r="3084" spans="1:31" ht="14.15" customHeight="1" x14ac:dyDescent="0.25">
      <c r="A3084" s="12" t="s">
        <v>0</v>
      </c>
      <c r="B3084" s="13" t="s">
        <v>1</v>
      </c>
      <c r="C3084" s="13" t="s">
        <v>3168</v>
      </c>
      <c r="D3084" s="14">
        <v>44299</v>
      </c>
      <c r="E3084" s="14">
        <v>44299</v>
      </c>
      <c r="F3084" s="14">
        <v>44306</v>
      </c>
      <c r="G3084" s="13" t="s">
        <v>3</v>
      </c>
      <c r="H3084" s="13" t="s">
        <v>4</v>
      </c>
      <c r="I3084" s="15">
        <v>-137.05000000000001</v>
      </c>
      <c r="J3084" s="13" t="s">
        <v>325</v>
      </c>
      <c r="K3084" s="13" t="s">
        <v>6</v>
      </c>
      <c r="L3084" s="15">
        <v>-11505.35</v>
      </c>
      <c r="M3084" s="15">
        <v>-137.05000000000001</v>
      </c>
      <c r="N3084" s="16" t="str">
        <f>IF(M3084="","",IF(M3084&lt;0,-M3084&amp;"_"&amp;COUNTIF(M$2:M3084,M3084),M3084&amp;"_"&amp;COUNTIF(M$2:M3084,M3084)))</f>
        <v>137.05_1</v>
      </c>
      <c r="O3084" s="17" t="str">
        <f t="shared" si="48"/>
        <v/>
      </c>
      <c r="P3084" s="13" t="s">
        <v>3169</v>
      </c>
      <c r="Q3084" s="13" t="s">
        <v>3170</v>
      </c>
      <c r="R3084" s="13" t="s">
        <v>0</v>
      </c>
      <c r="S3084" s="13" t="s">
        <v>0</v>
      </c>
      <c r="T3084" s="13" t="s">
        <v>9</v>
      </c>
      <c r="U3084" s="13" t="s">
        <v>0</v>
      </c>
      <c r="V3084" s="13" t="s">
        <v>0</v>
      </c>
      <c r="W3084" s="13" t="s">
        <v>0</v>
      </c>
      <c r="X3084" s="13" t="s">
        <v>0</v>
      </c>
      <c r="Y3084" s="13" t="s">
        <v>10</v>
      </c>
      <c r="Z3084" s="13" t="s">
        <v>0</v>
      </c>
      <c r="AA3084" s="14"/>
      <c r="AB3084" s="13" t="s">
        <v>0</v>
      </c>
      <c r="AC3084" s="13" t="s">
        <v>0</v>
      </c>
      <c r="AD3084" s="13" t="s">
        <v>0</v>
      </c>
      <c r="AE3084" s="15">
        <v>0</v>
      </c>
    </row>
    <row r="3085" spans="1:31" ht="14.15" customHeight="1" x14ac:dyDescent="0.25">
      <c r="A3085" s="12" t="s">
        <v>0</v>
      </c>
      <c r="B3085" s="13" t="s">
        <v>1</v>
      </c>
      <c r="C3085" s="13" t="s">
        <v>1688</v>
      </c>
      <c r="D3085" s="14">
        <v>44173</v>
      </c>
      <c r="E3085" s="14">
        <v>44173</v>
      </c>
      <c r="F3085" s="14">
        <v>44178</v>
      </c>
      <c r="G3085" s="13" t="s">
        <v>3</v>
      </c>
      <c r="H3085" s="13" t="s">
        <v>4</v>
      </c>
      <c r="I3085" s="15">
        <v>-136.88</v>
      </c>
      <c r="J3085" s="13" t="s">
        <v>567</v>
      </c>
      <c r="K3085" s="13" t="s">
        <v>6</v>
      </c>
      <c r="L3085" s="15">
        <v>-11491.08</v>
      </c>
      <c r="M3085" s="15">
        <v>-136.88</v>
      </c>
      <c r="N3085" s="16" t="str">
        <f>IF(M3085="","",IF(M3085&lt;0,-M3085&amp;"_"&amp;COUNTIF(M$2:M3085,M3085),M3085&amp;"_"&amp;COUNTIF(M$2:M3085,M3085)))</f>
        <v>136.88_1</v>
      </c>
      <c r="O3085" s="17" t="str">
        <f t="shared" si="48"/>
        <v/>
      </c>
      <c r="P3085" s="13" t="s">
        <v>1689</v>
      </c>
      <c r="Q3085" s="13" t="s">
        <v>1687</v>
      </c>
      <c r="R3085" s="13" t="s">
        <v>0</v>
      </c>
      <c r="S3085" s="13" t="s">
        <v>0</v>
      </c>
      <c r="T3085" s="13" t="s">
        <v>9</v>
      </c>
      <c r="U3085" s="13" t="s">
        <v>0</v>
      </c>
      <c r="V3085" s="13" t="s">
        <v>0</v>
      </c>
      <c r="W3085" s="13" t="s">
        <v>0</v>
      </c>
      <c r="X3085" s="13" t="s">
        <v>0</v>
      </c>
      <c r="Y3085" s="13" t="s">
        <v>10</v>
      </c>
      <c r="Z3085" s="13" t="s">
        <v>0</v>
      </c>
      <c r="AA3085" s="14"/>
      <c r="AB3085" s="13" t="s">
        <v>0</v>
      </c>
      <c r="AC3085" s="13" t="s">
        <v>0</v>
      </c>
      <c r="AD3085" s="13" t="s">
        <v>0</v>
      </c>
      <c r="AE3085" s="15">
        <v>0</v>
      </c>
    </row>
    <row r="3086" spans="1:31" ht="14.15" customHeight="1" x14ac:dyDescent="0.25">
      <c r="A3086" s="12" t="s">
        <v>0</v>
      </c>
      <c r="B3086" s="13" t="s">
        <v>1</v>
      </c>
      <c r="C3086" s="13" t="s">
        <v>566</v>
      </c>
      <c r="D3086" s="14">
        <v>44077</v>
      </c>
      <c r="E3086" s="14">
        <v>44077</v>
      </c>
      <c r="F3086" s="14">
        <v>44101</v>
      </c>
      <c r="G3086" s="13" t="s">
        <v>48</v>
      </c>
      <c r="H3086" s="13" t="s">
        <v>4</v>
      </c>
      <c r="I3086" s="15">
        <v>-134.88</v>
      </c>
      <c r="J3086" s="13" t="s">
        <v>567</v>
      </c>
      <c r="K3086" s="13" t="s">
        <v>6</v>
      </c>
      <c r="L3086" s="15">
        <v>-11323.18</v>
      </c>
      <c r="M3086" s="15">
        <v>-134.88</v>
      </c>
      <c r="N3086" s="16" t="str">
        <f>IF(M3086="","",IF(M3086&lt;0,-M3086&amp;"_"&amp;COUNTIF(M$2:M3086,M3086),M3086&amp;"_"&amp;COUNTIF(M$2:M3086,M3086)))</f>
        <v>134.88_1</v>
      </c>
      <c r="O3086" s="17" t="str">
        <f t="shared" si="48"/>
        <v/>
      </c>
      <c r="P3086" s="13" t="s">
        <v>568</v>
      </c>
      <c r="Q3086" s="13" t="s">
        <v>568</v>
      </c>
      <c r="R3086" s="13" t="s">
        <v>50</v>
      </c>
      <c r="S3086" s="13" t="s">
        <v>0</v>
      </c>
      <c r="T3086" s="13" t="s">
        <v>9</v>
      </c>
      <c r="U3086" s="13" t="s">
        <v>51</v>
      </c>
      <c r="V3086" s="13" t="s">
        <v>0</v>
      </c>
      <c r="W3086" s="13" t="s">
        <v>0</v>
      </c>
      <c r="X3086" s="13" t="s">
        <v>0</v>
      </c>
      <c r="Y3086" s="13" t="s">
        <v>10</v>
      </c>
      <c r="Z3086" s="13" t="s">
        <v>0</v>
      </c>
      <c r="AA3086" s="14"/>
      <c r="AB3086" s="13" t="s">
        <v>0</v>
      </c>
      <c r="AC3086" s="13" t="s">
        <v>0</v>
      </c>
      <c r="AD3086" s="13" t="s">
        <v>0</v>
      </c>
      <c r="AE3086" s="15">
        <v>0</v>
      </c>
    </row>
    <row r="3087" spans="1:31" ht="14.15" customHeight="1" x14ac:dyDescent="0.25">
      <c r="A3087" s="12" t="s">
        <v>0</v>
      </c>
      <c r="B3087" s="13" t="s">
        <v>1</v>
      </c>
      <c r="C3087" s="13" t="s">
        <v>2305</v>
      </c>
      <c r="D3087" s="14">
        <v>44219</v>
      </c>
      <c r="E3087" s="14">
        <v>44219</v>
      </c>
      <c r="F3087" s="14">
        <v>44226</v>
      </c>
      <c r="G3087" s="13" t="s">
        <v>3</v>
      </c>
      <c r="H3087" s="13" t="s">
        <v>4</v>
      </c>
      <c r="I3087" s="15">
        <v>-131.6</v>
      </c>
      <c r="J3087" s="13" t="s">
        <v>5</v>
      </c>
      <c r="K3087" s="13" t="s">
        <v>6</v>
      </c>
      <c r="L3087" s="15">
        <v>-11047.82</v>
      </c>
      <c r="M3087" s="15">
        <v>-131.6</v>
      </c>
      <c r="N3087" s="16" t="str">
        <f>IF(M3087="","",IF(M3087&lt;0,-M3087&amp;"_"&amp;COUNTIF(M$2:M3087,M3087),M3087&amp;"_"&amp;COUNTIF(M$2:M3087,M3087)))</f>
        <v>131.6_1</v>
      </c>
      <c r="O3087" s="17" t="str">
        <f t="shared" si="48"/>
        <v/>
      </c>
      <c r="P3087" s="13" t="s">
        <v>2306</v>
      </c>
      <c r="Q3087" s="13" t="s">
        <v>2282</v>
      </c>
      <c r="R3087" s="13" t="s">
        <v>0</v>
      </c>
      <c r="S3087" s="13" t="s">
        <v>0</v>
      </c>
      <c r="T3087" s="13" t="s">
        <v>9</v>
      </c>
      <c r="U3087" s="13" t="s">
        <v>0</v>
      </c>
      <c r="V3087" s="13" t="s">
        <v>0</v>
      </c>
      <c r="W3087" s="13" t="s">
        <v>0</v>
      </c>
      <c r="X3087" s="13" t="s">
        <v>0</v>
      </c>
      <c r="Y3087" s="13" t="s">
        <v>10</v>
      </c>
      <c r="Z3087" s="13" t="s">
        <v>0</v>
      </c>
      <c r="AA3087" s="14"/>
      <c r="AB3087" s="13" t="s">
        <v>0</v>
      </c>
      <c r="AC3087" s="13" t="s">
        <v>0</v>
      </c>
      <c r="AD3087" s="13" t="s">
        <v>0</v>
      </c>
      <c r="AE3087" s="15">
        <v>0</v>
      </c>
    </row>
    <row r="3088" spans="1:31" ht="14.15" customHeight="1" x14ac:dyDescent="0.25">
      <c r="A3088" s="12" t="s">
        <v>0</v>
      </c>
      <c r="B3088" s="13" t="s">
        <v>1</v>
      </c>
      <c r="C3088" s="13" t="s">
        <v>2224</v>
      </c>
      <c r="D3088" s="14">
        <v>44214</v>
      </c>
      <c r="E3088" s="14">
        <v>44214</v>
      </c>
      <c r="F3088" s="14">
        <v>44220</v>
      </c>
      <c r="G3088" s="13" t="s">
        <v>48</v>
      </c>
      <c r="H3088" s="13" t="s">
        <v>4</v>
      </c>
      <c r="I3088" s="15">
        <v>-127.66</v>
      </c>
      <c r="J3088" s="13" t="s">
        <v>325</v>
      </c>
      <c r="K3088" s="13" t="s">
        <v>6</v>
      </c>
      <c r="L3088" s="15">
        <v>-10717.06</v>
      </c>
      <c r="M3088" s="15">
        <v>-127.66</v>
      </c>
      <c r="N3088" s="16" t="str">
        <f>IF(M3088="","",IF(M3088&lt;0,-M3088&amp;"_"&amp;COUNTIF(M$2:M3088,M3088),M3088&amp;"_"&amp;COUNTIF(M$2:M3088,M3088)))</f>
        <v>127.66_1</v>
      </c>
      <c r="O3088" s="17" t="str">
        <f t="shared" si="48"/>
        <v/>
      </c>
      <c r="P3088" s="13" t="s">
        <v>2225</v>
      </c>
      <c r="Q3088" s="13" t="s">
        <v>2225</v>
      </c>
      <c r="R3088" s="13" t="s">
        <v>1656</v>
      </c>
      <c r="S3088" s="13" t="s">
        <v>0</v>
      </c>
      <c r="T3088" s="13" t="s">
        <v>9</v>
      </c>
      <c r="U3088" s="13" t="s">
        <v>1656</v>
      </c>
      <c r="V3088" s="13" t="s">
        <v>0</v>
      </c>
      <c r="W3088" s="13" t="s">
        <v>0</v>
      </c>
      <c r="X3088" s="13" t="s">
        <v>0</v>
      </c>
      <c r="Y3088" s="13" t="s">
        <v>10</v>
      </c>
      <c r="Z3088" s="13" t="s">
        <v>0</v>
      </c>
      <c r="AA3088" s="14"/>
      <c r="AB3088" s="13" t="s">
        <v>0</v>
      </c>
      <c r="AC3088" s="13" t="s">
        <v>0</v>
      </c>
      <c r="AD3088" s="13" t="s">
        <v>0</v>
      </c>
      <c r="AE3088" s="15">
        <v>0</v>
      </c>
    </row>
    <row r="3089" spans="1:31" ht="14.15" customHeight="1" x14ac:dyDescent="0.25">
      <c r="A3089" s="12" t="s">
        <v>0</v>
      </c>
      <c r="B3089" s="13" t="s">
        <v>1</v>
      </c>
      <c r="C3089" s="13" t="s">
        <v>1141</v>
      </c>
      <c r="D3089" s="14">
        <v>44140</v>
      </c>
      <c r="E3089" s="14">
        <v>44140</v>
      </c>
      <c r="F3089" s="14">
        <v>44163</v>
      </c>
      <c r="G3089" s="13" t="s">
        <v>48</v>
      </c>
      <c r="H3089" s="13" t="s">
        <v>4</v>
      </c>
      <c r="I3089" s="15">
        <v>-126</v>
      </c>
      <c r="J3089" s="13" t="s">
        <v>5</v>
      </c>
      <c r="K3089" s="13" t="s">
        <v>6</v>
      </c>
      <c r="L3089" s="15">
        <v>-10577.7</v>
      </c>
      <c r="M3089" s="15">
        <v>-126</v>
      </c>
      <c r="N3089" s="16" t="str">
        <f>IF(M3089="","",IF(M3089&lt;0,-M3089&amp;"_"&amp;COUNTIF(M$2:M3089,M3089),M3089&amp;"_"&amp;COUNTIF(M$2:M3089,M3089)))</f>
        <v>126_1</v>
      </c>
      <c r="O3089" s="17" t="str">
        <f t="shared" si="48"/>
        <v/>
      </c>
      <c r="P3089" s="13" t="s">
        <v>1142</v>
      </c>
      <c r="Q3089" s="13" t="s">
        <v>1142</v>
      </c>
      <c r="R3089" s="13" t="s">
        <v>50</v>
      </c>
      <c r="S3089" s="13" t="s">
        <v>0</v>
      </c>
      <c r="T3089" s="13" t="s">
        <v>9</v>
      </c>
      <c r="U3089" s="13" t="s">
        <v>50</v>
      </c>
      <c r="V3089" s="13" t="s">
        <v>0</v>
      </c>
      <c r="W3089" s="13" t="s">
        <v>0</v>
      </c>
      <c r="X3089" s="13" t="s">
        <v>0</v>
      </c>
      <c r="Y3089" s="13" t="s">
        <v>10</v>
      </c>
      <c r="Z3089" s="13" t="s">
        <v>0</v>
      </c>
      <c r="AA3089" s="14"/>
      <c r="AB3089" s="13" t="s">
        <v>0</v>
      </c>
      <c r="AC3089" s="13" t="s">
        <v>0</v>
      </c>
      <c r="AD3089" s="13" t="s">
        <v>0</v>
      </c>
      <c r="AE3089" s="15">
        <v>0</v>
      </c>
    </row>
    <row r="3090" spans="1:31" ht="14.15" customHeight="1" x14ac:dyDescent="0.25">
      <c r="A3090" s="12" t="s">
        <v>0</v>
      </c>
      <c r="B3090" s="13" t="s">
        <v>1</v>
      </c>
      <c r="C3090" s="13" t="s">
        <v>1644</v>
      </c>
      <c r="D3090" s="14">
        <v>44171</v>
      </c>
      <c r="E3090" s="14">
        <v>44171</v>
      </c>
      <c r="F3090" s="14">
        <v>44189</v>
      </c>
      <c r="G3090" s="13" t="s">
        <v>48</v>
      </c>
      <c r="H3090" s="13" t="s">
        <v>4</v>
      </c>
      <c r="I3090" s="15">
        <v>-126</v>
      </c>
      <c r="J3090" s="13" t="s">
        <v>5</v>
      </c>
      <c r="K3090" s="13" t="s">
        <v>6</v>
      </c>
      <c r="L3090" s="15">
        <v>-10577.7</v>
      </c>
      <c r="M3090" s="15">
        <v>-126</v>
      </c>
      <c r="N3090" s="16" t="str">
        <f>IF(M3090="","",IF(M3090&lt;0,-M3090&amp;"_"&amp;COUNTIF(M$2:M3090,M3090),M3090&amp;"_"&amp;COUNTIF(M$2:M3090,M3090)))</f>
        <v>126_2</v>
      </c>
      <c r="O3090" s="17" t="str">
        <f t="shared" si="48"/>
        <v/>
      </c>
      <c r="P3090" s="13" t="s">
        <v>1645</v>
      </c>
      <c r="Q3090" s="13" t="s">
        <v>1645</v>
      </c>
      <c r="R3090" s="13" t="s">
        <v>50</v>
      </c>
      <c r="S3090" s="13" t="s">
        <v>0</v>
      </c>
      <c r="T3090" s="13" t="s">
        <v>9</v>
      </c>
      <c r="U3090" s="13" t="s">
        <v>50</v>
      </c>
      <c r="V3090" s="13" t="s">
        <v>0</v>
      </c>
      <c r="W3090" s="13" t="s">
        <v>0</v>
      </c>
      <c r="X3090" s="13" t="s">
        <v>0</v>
      </c>
      <c r="Y3090" s="13" t="s">
        <v>10</v>
      </c>
      <c r="Z3090" s="13" t="s">
        <v>0</v>
      </c>
      <c r="AA3090" s="14"/>
      <c r="AB3090" s="13" t="s">
        <v>0</v>
      </c>
      <c r="AC3090" s="13" t="s">
        <v>0</v>
      </c>
      <c r="AD3090" s="13" t="s">
        <v>0</v>
      </c>
      <c r="AE3090" s="15">
        <v>0</v>
      </c>
    </row>
    <row r="3091" spans="1:31" ht="14.15" customHeight="1" x14ac:dyDescent="0.25">
      <c r="A3091" s="12" t="s">
        <v>0</v>
      </c>
      <c r="B3091" s="13" t="s">
        <v>1</v>
      </c>
      <c r="C3091" s="13" t="s">
        <v>926</v>
      </c>
      <c r="D3091" s="14">
        <v>44117</v>
      </c>
      <c r="E3091" s="14">
        <v>44117</v>
      </c>
      <c r="F3091" s="14">
        <v>44126</v>
      </c>
      <c r="G3091" s="13" t="s">
        <v>3</v>
      </c>
      <c r="H3091" s="13" t="s">
        <v>4</v>
      </c>
      <c r="I3091" s="15">
        <v>-125.45</v>
      </c>
      <c r="J3091" s="13" t="s">
        <v>325</v>
      </c>
      <c r="K3091" s="13" t="s">
        <v>6</v>
      </c>
      <c r="L3091" s="15">
        <v>-10531.53</v>
      </c>
      <c r="M3091" s="15">
        <v>-125.45</v>
      </c>
      <c r="N3091" s="16" t="str">
        <f>IF(M3091="","",IF(M3091&lt;0,-M3091&amp;"_"&amp;COUNTIF(M$2:M3091,M3091),M3091&amp;"_"&amp;COUNTIF(M$2:M3091,M3091)))</f>
        <v>125.45_1</v>
      </c>
      <c r="O3091" s="17" t="str">
        <f t="shared" si="48"/>
        <v/>
      </c>
      <c r="P3091" s="13" t="s">
        <v>927</v>
      </c>
      <c r="Q3091" s="13" t="s">
        <v>917</v>
      </c>
      <c r="R3091" s="13" t="s">
        <v>0</v>
      </c>
      <c r="S3091" s="13" t="s">
        <v>0</v>
      </c>
      <c r="T3091" s="13" t="s">
        <v>9</v>
      </c>
      <c r="U3091" s="13" t="s">
        <v>0</v>
      </c>
      <c r="V3091" s="13" t="s">
        <v>0</v>
      </c>
      <c r="W3091" s="13" t="s">
        <v>0</v>
      </c>
      <c r="X3091" s="13" t="s">
        <v>0</v>
      </c>
      <c r="Y3091" s="13" t="s">
        <v>10</v>
      </c>
      <c r="Z3091" s="13" t="s">
        <v>0</v>
      </c>
      <c r="AA3091" s="14"/>
      <c r="AB3091" s="13" t="s">
        <v>0</v>
      </c>
      <c r="AC3091" s="13" t="s">
        <v>0</v>
      </c>
      <c r="AD3091" s="13" t="s">
        <v>0</v>
      </c>
      <c r="AE3091" s="15">
        <v>0</v>
      </c>
    </row>
    <row r="3092" spans="1:31" ht="14.15" customHeight="1" x14ac:dyDescent="0.25">
      <c r="A3092" s="12" t="s">
        <v>0</v>
      </c>
      <c r="B3092" s="13" t="s">
        <v>1</v>
      </c>
      <c r="C3092" s="13" t="s">
        <v>2275</v>
      </c>
      <c r="D3092" s="14">
        <v>44218</v>
      </c>
      <c r="E3092" s="14">
        <v>44218</v>
      </c>
      <c r="F3092" s="14">
        <v>44224</v>
      </c>
      <c r="G3092" s="13" t="s">
        <v>3</v>
      </c>
      <c r="H3092" s="13" t="s">
        <v>4</v>
      </c>
      <c r="I3092" s="15">
        <v>-124.63</v>
      </c>
      <c r="J3092" s="13" t="s">
        <v>68</v>
      </c>
      <c r="K3092" s="13" t="s">
        <v>6</v>
      </c>
      <c r="L3092" s="15">
        <v>-10462.69</v>
      </c>
      <c r="M3092" s="15">
        <v>-124.63</v>
      </c>
      <c r="N3092" s="16" t="str">
        <f>IF(M3092="","",IF(M3092&lt;0,-M3092&amp;"_"&amp;COUNTIF(M$2:M3092,M3092),M3092&amp;"_"&amp;COUNTIF(M$2:M3092,M3092)))</f>
        <v>124.63_1</v>
      </c>
      <c r="O3092" s="17" t="str">
        <f t="shared" si="48"/>
        <v/>
      </c>
      <c r="P3092" s="13" t="s">
        <v>2276</v>
      </c>
      <c r="Q3092" s="13" t="s">
        <v>2274</v>
      </c>
      <c r="R3092" s="13" t="s">
        <v>0</v>
      </c>
      <c r="S3092" s="13" t="s">
        <v>0</v>
      </c>
      <c r="T3092" s="13" t="s">
        <v>9</v>
      </c>
      <c r="U3092" s="13" t="s">
        <v>0</v>
      </c>
      <c r="V3092" s="13" t="s">
        <v>0</v>
      </c>
      <c r="W3092" s="13" t="s">
        <v>0</v>
      </c>
      <c r="X3092" s="13" t="s">
        <v>0</v>
      </c>
      <c r="Y3092" s="13" t="s">
        <v>10</v>
      </c>
      <c r="Z3092" s="13" t="s">
        <v>0</v>
      </c>
      <c r="AA3092" s="14"/>
      <c r="AB3092" s="13" t="s">
        <v>0</v>
      </c>
      <c r="AC3092" s="13" t="s">
        <v>0</v>
      </c>
      <c r="AD3092" s="13" t="s">
        <v>0</v>
      </c>
      <c r="AE3092" s="15">
        <v>0</v>
      </c>
    </row>
    <row r="3093" spans="1:31" ht="14.15" customHeight="1" x14ac:dyDescent="0.25">
      <c r="A3093" s="12" t="s">
        <v>0</v>
      </c>
      <c r="B3093" s="13" t="s">
        <v>1</v>
      </c>
      <c r="C3093" s="13" t="s">
        <v>893</v>
      </c>
      <c r="D3093" s="14">
        <v>44114</v>
      </c>
      <c r="E3093" s="14">
        <v>44114</v>
      </c>
      <c r="F3093" s="14">
        <v>44121</v>
      </c>
      <c r="G3093" s="13" t="s">
        <v>48</v>
      </c>
      <c r="H3093" s="13" t="s">
        <v>4</v>
      </c>
      <c r="I3093" s="15">
        <v>-123.72</v>
      </c>
      <c r="J3093" s="13" t="s">
        <v>894</v>
      </c>
      <c r="K3093" s="13" t="s">
        <v>6</v>
      </c>
      <c r="L3093" s="15">
        <v>-10386.290000000001</v>
      </c>
      <c r="M3093" s="15">
        <v>-123.72</v>
      </c>
      <c r="N3093" s="16" t="str">
        <f>IF(M3093="","",IF(M3093&lt;0,-M3093&amp;"_"&amp;COUNTIF(M$2:M3093,M3093),M3093&amp;"_"&amp;COUNTIF(M$2:M3093,M3093)))</f>
        <v>123.72_1</v>
      </c>
      <c r="O3093" s="17" t="str">
        <f t="shared" si="48"/>
        <v/>
      </c>
      <c r="P3093" s="13" t="s">
        <v>895</v>
      </c>
      <c r="Q3093" s="13" t="s">
        <v>895</v>
      </c>
      <c r="R3093" s="13" t="s">
        <v>50</v>
      </c>
      <c r="S3093" s="13" t="s">
        <v>0</v>
      </c>
      <c r="T3093" s="13" t="s">
        <v>9</v>
      </c>
      <c r="U3093" s="13" t="s">
        <v>51</v>
      </c>
      <c r="V3093" s="13" t="s">
        <v>0</v>
      </c>
      <c r="W3093" s="13" t="s">
        <v>0</v>
      </c>
      <c r="X3093" s="13" t="s">
        <v>0</v>
      </c>
      <c r="Y3093" s="13" t="s">
        <v>10</v>
      </c>
      <c r="Z3093" s="13" t="s">
        <v>0</v>
      </c>
      <c r="AA3093" s="14"/>
      <c r="AB3093" s="13" t="s">
        <v>0</v>
      </c>
      <c r="AC3093" s="13" t="s">
        <v>0</v>
      </c>
      <c r="AD3093" s="13" t="s">
        <v>0</v>
      </c>
      <c r="AE3093" s="15">
        <v>0</v>
      </c>
    </row>
    <row r="3094" spans="1:31" ht="14.15" customHeight="1" x14ac:dyDescent="0.25">
      <c r="A3094" s="12" t="s">
        <v>0</v>
      </c>
      <c r="B3094" s="13" t="s">
        <v>1</v>
      </c>
      <c r="C3094" s="13" t="s">
        <v>3029</v>
      </c>
      <c r="D3094" s="14">
        <v>44281</v>
      </c>
      <c r="E3094" s="14">
        <v>44281</v>
      </c>
      <c r="F3094" s="14">
        <v>44290</v>
      </c>
      <c r="G3094" s="13" t="s">
        <v>3</v>
      </c>
      <c r="H3094" s="13" t="s">
        <v>4</v>
      </c>
      <c r="I3094" s="15">
        <v>-120.58</v>
      </c>
      <c r="J3094" s="13" t="s">
        <v>394</v>
      </c>
      <c r="K3094" s="13" t="s">
        <v>6</v>
      </c>
      <c r="L3094" s="15">
        <v>-10122.69</v>
      </c>
      <c r="M3094" s="15">
        <v>-120.58</v>
      </c>
      <c r="N3094" s="16" t="str">
        <f>IF(M3094="","",IF(M3094&lt;0,-M3094&amp;"_"&amp;COUNTIF(M$2:M3094,M3094),M3094&amp;"_"&amp;COUNTIF(M$2:M3094,M3094)))</f>
        <v>120.58_1</v>
      </c>
      <c r="O3094" s="17" t="str">
        <f t="shared" si="48"/>
        <v/>
      </c>
      <c r="P3094" s="13" t="s">
        <v>3030</v>
      </c>
      <c r="Q3094" s="13" t="s">
        <v>3014</v>
      </c>
      <c r="R3094" s="13" t="s">
        <v>0</v>
      </c>
      <c r="S3094" s="13" t="s">
        <v>0</v>
      </c>
      <c r="T3094" s="13" t="s">
        <v>9</v>
      </c>
      <c r="U3094" s="13" t="s">
        <v>0</v>
      </c>
      <c r="V3094" s="13" t="s">
        <v>0</v>
      </c>
      <c r="W3094" s="13" t="s">
        <v>0</v>
      </c>
      <c r="X3094" s="13" t="s">
        <v>0</v>
      </c>
      <c r="Y3094" s="13" t="s">
        <v>10</v>
      </c>
      <c r="Z3094" s="13" t="s">
        <v>0</v>
      </c>
      <c r="AA3094" s="14"/>
      <c r="AB3094" s="13" t="s">
        <v>0</v>
      </c>
      <c r="AC3094" s="13" t="s">
        <v>0</v>
      </c>
      <c r="AD3094" s="13" t="s">
        <v>0</v>
      </c>
      <c r="AE3094" s="15">
        <v>0</v>
      </c>
    </row>
    <row r="3095" spans="1:31" ht="14.15" customHeight="1" x14ac:dyDescent="0.25">
      <c r="A3095" s="12" t="s">
        <v>0</v>
      </c>
      <c r="B3095" s="13" t="s">
        <v>289</v>
      </c>
      <c r="C3095" s="13" t="s">
        <v>3350</v>
      </c>
      <c r="D3095" s="14">
        <v>44316</v>
      </c>
      <c r="E3095" s="14">
        <v>44316</v>
      </c>
      <c r="F3095" s="14">
        <v>44322</v>
      </c>
      <c r="G3095" s="13" t="s">
        <v>48</v>
      </c>
      <c r="H3095" s="13" t="s">
        <v>4</v>
      </c>
      <c r="I3095" s="15">
        <v>-118.36</v>
      </c>
      <c r="J3095" s="13" t="s">
        <v>488</v>
      </c>
      <c r="K3095" s="13" t="s">
        <v>6</v>
      </c>
      <c r="L3095" s="15">
        <v>-9936.32</v>
      </c>
      <c r="M3095" s="15">
        <v>-118.36</v>
      </c>
      <c r="N3095" s="16" t="str">
        <f>IF(M3095="","",IF(M3095&lt;0,-M3095&amp;"_"&amp;COUNTIF(M$2:M3095,M3095),M3095&amp;"_"&amp;COUNTIF(M$2:M3095,M3095)))</f>
        <v>118.36_1</v>
      </c>
      <c r="O3095" s="17" t="str">
        <f t="shared" si="48"/>
        <v/>
      </c>
      <c r="P3095" s="13" t="s">
        <v>3351</v>
      </c>
      <c r="Q3095" s="13" t="s">
        <v>3352</v>
      </c>
      <c r="R3095" s="13" t="s">
        <v>1994</v>
      </c>
      <c r="S3095" s="13" t="s">
        <v>0</v>
      </c>
      <c r="T3095" s="13" t="s">
        <v>9</v>
      </c>
      <c r="U3095" s="13" t="s">
        <v>1995</v>
      </c>
      <c r="V3095" s="13" t="s">
        <v>0</v>
      </c>
      <c r="W3095" s="13" t="s">
        <v>0</v>
      </c>
      <c r="X3095" s="13" t="s">
        <v>0</v>
      </c>
      <c r="Y3095" s="13" t="s">
        <v>0</v>
      </c>
      <c r="Z3095" s="13" t="s">
        <v>0</v>
      </c>
      <c r="AA3095" s="14"/>
      <c r="AB3095" s="13" t="s">
        <v>0</v>
      </c>
      <c r="AC3095" s="13" t="s">
        <v>0</v>
      </c>
      <c r="AD3095" s="13" t="s">
        <v>0</v>
      </c>
      <c r="AE3095" s="15">
        <v>0</v>
      </c>
    </row>
    <row r="3096" spans="1:31" ht="14.15" customHeight="1" x14ac:dyDescent="0.25">
      <c r="A3096" s="12" t="s">
        <v>0</v>
      </c>
      <c r="B3096" s="13" t="s">
        <v>1</v>
      </c>
      <c r="C3096" s="13" t="s">
        <v>1634</v>
      </c>
      <c r="D3096" s="14">
        <v>44171</v>
      </c>
      <c r="E3096" s="14">
        <v>44171</v>
      </c>
      <c r="F3096" s="14">
        <v>44189</v>
      </c>
      <c r="G3096" s="13" t="s">
        <v>48</v>
      </c>
      <c r="H3096" s="13" t="s">
        <v>4</v>
      </c>
      <c r="I3096" s="15">
        <v>-117</v>
      </c>
      <c r="J3096" s="13" t="s">
        <v>5</v>
      </c>
      <c r="K3096" s="13" t="s">
        <v>6</v>
      </c>
      <c r="L3096" s="15">
        <v>-9822.15</v>
      </c>
      <c r="M3096" s="15">
        <v>-117</v>
      </c>
      <c r="N3096" s="16" t="str">
        <f>IF(M3096="","",IF(M3096&lt;0,-M3096&amp;"_"&amp;COUNTIF(M$2:M3096,M3096),M3096&amp;"_"&amp;COUNTIF(M$2:M3096,M3096)))</f>
        <v>117_1</v>
      </c>
      <c r="O3096" s="17" t="str">
        <f t="shared" si="48"/>
        <v/>
      </c>
      <c r="P3096" s="13" t="s">
        <v>1635</v>
      </c>
      <c r="Q3096" s="13" t="s">
        <v>1635</v>
      </c>
      <c r="R3096" s="13" t="s">
        <v>50</v>
      </c>
      <c r="S3096" s="13" t="s">
        <v>0</v>
      </c>
      <c r="T3096" s="13" t="s">
        <v>9</v>
      </c>
      <c r="U3096" s="13" t="s">
        <v>50</v>
      </c>
      <c r="V3096" s="13" t="s">
        <v>0</v>
      </c>
      <c r="W3096" s="13" t="s">
        <v>0</v>
      </c>
      <c r="X3096" s="13" t="s">
        <v>0</v>
      </c>
      <c r="Y3096" s="13" t="s">
        <v>10</v>
      </c>
      <c r="Z3096" s="13" t="s">
        <v>0</v>
      </c>
      <c r="AA3096" s="14"/>
      <c r="AB3096" s="13" t="s">
        <v>0</v>
      </c>
      <c r="AC3096" s="13" t="s">
        <v>0</v>
      </c>
      <c r="AD3096" s="13" t="s">
        <v>0</v>
      </c>
      <c r="AE3096" s="15">
        <v>0</v>
      </c>
    </row>
    <row r="3097" spans="1:31" ht="14.15" customHeight="1" x14ac:dyDescent="0.25">
      <c r="A3097" s="12" t="s">
        <v>0</v>
      </c>
      <c r="B3097" s="13" t="s">
        <v>1</v>
      </c>
      <c r="C3097" s="13" t="s">
        <v>3278</v>
      </c>
      <c r="D3097" s="14">
        <v>44311</v>
      </c>
      <c r="E3097" s="14">
        <v>44311</v>
      </c>
      <c r="F3097" s="14">
        <v>44315</v>
      </c>
      <c r="G3097" s="13" t="s">
        <v>3</v>
      </c>
      <c r="H3097" s="13" t="s">
        <v>4</v>
      </c>
      <c r="I3097" s="15">
        <v>-116.89</v>
      </c>
      <c r="J3097" s="13" t="s">
        <v>55</v>
      </c>
      <c r="K3097" s="13" t="s">
        <v>6</v>
      </c>
      <c r="L3097" s="15">
        <v>-9812.92</v>
      </c>
      <c r="M3097" s="15">
        <v>-116.89</v>
      </c>
      <c r="N3097" s="16" t="str">
        <f>IF(M3097="","",IF(M3097&lt;0,-M3097&amp;"_"&amp;COUNTIF(M$2:M3097,M3097),M3097&amp;"_"&amp;COUNTIF(M$2:M3097,M3097)))</f>
        <v>116.89_1</v>
      </c>
      <c r="O3097" s="17" t="str">
        <f t="shared" si="48"/>
        <v/>
      </c>
      <c r="P3097" s="13" t="s">
        <v>3279</v>
      </c>
      <c r="Q3097" s="13" t="s">
        <v>3269</v>
      </c>
      <c r="R3097" s="13" t="s">
        <v>0</v>
      </c>
      <c r="S3097" s="13" t="s">
        <v>0</v>
      </c>
      <c r="T3097" s="13" t="s">
        <v>9</v>
      </c>
      <c r="U3097" s="13" t="s">
        <v>0</v>
      </c>
      <c r="V3097" s="13" t="s">
        <v>0</v>
      </c>
      <c r="W3097" s="13" t="s">
        <v>0</v>
      </c>
      <c r="X3097" s="13" t="s">
        <v>0</v>
      </c>
      <c r="Y3097" s="13" t="s">
        <v>10</v>
      </c>
      <c r="Z3097" s="13" t="s">
        <v>0</v>
      </c>
      <c r="AA3097" s="14"/>
      <c r="AB3097" s="13" t="s">
        <v>0</v>
      </c>
      <c r="AC3097" s="13" t="s">
        <v>0</v>
      </c>
      <c r="AD3097" s="13" t="s">
        <v>0</v>
      </c>
      <c r="AE3097" s="15">
        <v>0</v>
      </c>
    </row>
    <row r="3098" spans="1:31" ht="14.15" customHeight="1" x14ac:dyDescent="0.25">
      <c r="A3098" s="12" t="s">
        <v>0</v>
      </c>
      <c r="B3098" s="13" t="s">
        <v>1</v>
      </c>
      <c r="C3098" s="13" t="s">
        <v>3278</v>
      </c>
      <c r="D3098" s="14">
        <v>44311</v>
      </c>
      <c r="E3098" s="14">
        <v>44311</v>
      </c>
      <c r="F3098" s="14">
        <v>44315</v>
      </c>
      <c r="G3098" s="13" t="s">
        <v>3</v>
      </c>
      <c r="H3098" s="13" t="s">
        <v>4</v>
      </c>
      <c r="I3098" s="15">
        <v>-116.89</v>
      </c>
      <c r="J3098" s="13" t="s">
        <v>55</v>
      </c>
      <c r="K3098" s="13" t="s">
        <v>6</v>
      </c>
      <c r="L3098" s="15">
        <v>-9812.92</v>
      </c>
      <c r="M3098" s="15">
        <v>-116.89</v>
      </c>
      <c r="N3098" s="16" t="str">
        <f>IF(M3098="","",IF(M3098&lt;0,-M3098&amp;"_"&amp;COUNTIF(M$2:M3098,M3098),M3098&amp;"_"&amp;COUNTIF(M$2:M3098,M3098)))</f>
        <v>116.89_2</v>
      </c>
      <c r="O3098" s="17" t="str">
        <f t="shared" si="48"/>
        <v/>
      </c>
      <c r="P3098" s="13" t="s">
        <v>3279</v>
      </c>
      <c r="Q3098" s="13" t="s">
        <v>3269</v>
      </c>
      <c r="R3098" s="13" t="s">
        <v>0</v>
      </c>
      <c r="S3098" s="13" t="s">
        <v>0</v>
      </c>
      <c r="T3098" s="13" t="s">
        <v>9</v>
      </c>
      <c r="U3098" s="13" t="s">
        <v>0</v>
      </c>
      <c r="V3098" s="13" t="s">
        <v>0</v>
      </c>
      <c r="W3098" s="13" t="s">
        <v>0</v>
      </c>
      <c r="X3098" s="13" t="s">
        <v>0</v>
      </c>
      <c r="Y3098" s="13" t="s">
        <v>10</v>
      </c>
      <c r="Z3098" s="13" t="s">
        <v>0</v>
      </c>
      <c r="AA3098" s="14"/>
      <c r="AB3098" s="13" t="s">
        <v>0</v>
      </c>
      <c r="AC3098" s="13" t="s">
        <v>0</v>
      </c>
      <c r="AD3098" s="13" t="s">
        <v>0</v>
      </c>
      <c r="AE3098" s="15">
        <v>0</v>
      </c>
    </row>
    <row r="3099" spans="1:31" ht="14.15" customHeight="1" x14ac:dyDescent="0.25">
      <c r="A3099" s="12" t="s">
        <v>0</v>
      </c>
      <c r="B3099" s="13" t="s">
        <v>1</v>
      </c>
      <c r="C3099" s="13" t="s">
        <v>1151</v>
      </c>
      <c r="D3099" s="14">
        <v>44140</v>
      </c>
      <c r="E3099" s="14">
        <v>44140</v>
      </c>
      <c r="F3099" s="14">
        <v>44163</v>
      </c>
      <c r="G3099" s="13" t="s">
        <v>48</v>
      </c>
      <c r="H3099" s="13" t="s">
        <v>4</v>
      </c>
      <c r="I3099" s="15">
        <v>-116</v>
      </c>
      <c r="J3099" s="13" t="s">
        <v>5</v>
      </c>
      <c r="K3099" s="13" t="s">
        <v>6</v>
      </c>
      <c r="L3099" s="15">
        <v>-9738.2000000000007</v>
      </c>
      <c r="M3099" s="15">
        <v>-116</v>
      </c>
      <c r="N3099" s="16" t="str">
        <f>IF(M3099="","",IF(M3099&lt;0,-M3099&amp;"_"&amp;COUNTIF(M$2:M3099,M3099),M3099&amp;"_"&amp;COUNTIF(M$2:M3099,M3099)))</f>
        <v>116_1</v>
      </c>
      <c r="O3099" s="17" t="str">
        <f t="shared" si="48"/>
        <v/>
      </c>
      <c r="P3099" s="13" t="s">
        <v>1152</v>
      </c>
      <c r="Q3099" s="13" t="s">
        <v>1152</v>
      </c>
      <c r="R3099" s="13" t="s">
        <v>50</v>
      </c>
      <c r="S3099" s="13" t="s">
        <v>0</v>
      </c>
      <c r="T3099" s="13" t="s">
        <v>9</v>
      </c>
      <c r="U3099" s="13" t="s">
        <v>50</v>
      </c>
      <c r="V3099" s="13" t="s">
        <v>0</v>
      </c>
      <c r="W3099" s="13" t="s">
        <v>0</v>
      </c>
      <c r="X3099" s="13" t="s">
        <v>0</v>
      </c>
      <c r="Y3099" s="13" t="s">
        <v>10</v>
      </c>
      <c r="Z3099" s="13" t="s">
        <v>0</v>
      </c>
      <c r="AA3099" s="14"/>
      <c r="AB3099" s="13" t="s">
        <v>0</v>
      </c>
      <c r="AC3099" s="13" t="s">
        <v>0</v>
      </c>
      <c r="AD3099" s="13" t="s">
        <v>0</v>
      </c>
      <c r="AE3099" s="15">
        <v>0</v>
      </c>
    </row>
    <row r="3100" spans="1:31" ht="14.15" customHeight="1" x14ac:dyDescent="0.25">
      <c r="A3100" s="12" t="s">
        <v>0</v>
      </c>
      <c r="B3100" s="13" t="s">
        <v>1</v>
      </c>
      <c r="C3100" s="13" t="s">
        <v>4004</v>
      </c>
      <c r="D3100" s="14">
        <v>44358</v>
      </c>
      <c r="E3100" s="14">
        <v>44358</v>
      </c>
      <c r="F3100" s="14">
        <v>44372</v>
      </c>
      <c r="G3100" s="13" t="s">
        <v>48</v>
      </c>
      <c r="H3100" s="13" t="s">
        <v>4</v>
      </c>
      <c r="I3100" s="15">
        <v>-116</v>
      </c>
      <c r="J3100" s="13" t="s">
        <v>5</v>
      </c>
      <c r="K3100" s="13" t="s">
        <v>6</v>
      </c>
      <c r="L3100" s="15">
        <v>-9738.2000000000007</v>
      </c>
      <c r="M3100" s="15">
        <v>-116</v>
      </c>
      <c r="N3100" s="16" t="str">
        <f>IF(M3100="","",IF(M3100&lt;0,-M3100&amp;"_"&amp;COUNTIF(M$2:M3100,M3100),M3100&amp;"_"&amp;COUNTIF(M$2:M3100,M3100)))</f>
        <v>116_2</v>
      </c>
      <c r="O3100" s="17" t="str">
        <f t="shared" si="48"/>
        <v/>
      </c>
      <c r="P3100" s="13" t="s">
        <v>4005</v>
      </c>
      <c r="Q3100" s="13" t="s">
        <v>4006</v>
      </c>
      <c r="R3100" s="13" t="s">
        <v>1656</v>
      </c>
      <c r="S3100" s="13" t="s">
        <v>0</v>
      </c>
      <c r="T3100" s="13" t="s">
        <v>9</v>
      </c>
      <c r="U3100" s="13" t="s">
        <v>50</v>
      </c>
      <c r="V3100" s="13" t="s">
        <v>0</v>
      </c>
      <c r="W3100" s="13" t="s">
        <v>0</v>
      </c>
      <c r="X3100" s="13" t="s">
        <v>0</v>
      </c>
      <c r="Y3100" s="13" t="s">
        <v>10</v>
      </c>
      <c r="Z3100" s="13" t="s">
        <v>0</v>
      </c>
      <c r="AA3100" s="14"/>
      <c r="AB3100" s="13" t="s">
        <v>0</v>
      </c>
      <c r="AC3100" s="13" t="s">
        <v>0</v>
      </c>
      <c r="AD3100" s="13" t="s">
        <v>0</v>
      </c>
      <c r="AE3100" s="15">
        <v>0</v>
      </c>
    </row>
    <row r="3101" spans="1:31" ht="14.15" customHeight="1" x14ac:dyDescent="0.25">
      <c r="A3101" s="12" t="s">
        <v>0</v>
      </c>
      <c r="B3101" s="13" t="s">
        <v>1</v>
      </c>
      <c r="C3101" s="13" t="s">
        <v>469</v>
      </c>
      <c r="D3101" s="14">
        <v>44068</v>
      </c>
      <c r="E3101" s="14">
        <v>44068</v>
      </c>
      <c r="F3101" s="14">
        <v>44072</v>
      </c>
      <c r="G3101" s="13" t="s">
        <v>48</v>
      </c>
      <c r="H3101" s="13" t="s">
        <v>4</v>
      </c>
      <c r="I3101" s="15">
        <v>-114</v>
      </c>
      <c r="J3101" s="13" t="s">
        <v>5</v>
      </c>
      <c r="K3101" s="13" t="s">
        <v>6</v>
      </c>
      <c r="L3101" s="15">
        <v>-9570.2999999999993</v>
      </c>
      <c r="M3101" s="15">
        <v>-114</v>
      </c>
      <c r="N3101" s="16" t="str">
        <f>IF(M3101="","",IF(M3101&lt;0,-M3101&amp;"_"&amp;COUNTIF(M$2:M3101,M3101),M3101&amp;"_"&amp;COUNTIF(M$2:M3101,M3101)))</f>
        <v>114_1</v>
      </c>
      <c r="O3101" s="17" t="str">
        <f t="shared" si="48"/>
        <v/>
      </c>
      <c r="P3101" s="13" t="s">
        <v>470</v>
      </c>
      <c r="Q3101" s="13" t="s">
        <v>470</v>
      </c>
      <c r="R3101" s="13" t="s">
        <v>50</v>
      </c>
      <c r="S3101" s="13" t="s">
        <v>0</v>
      </c>
      <c r="T3101" s="13" t="s">
        <v>9</v>
      </c>
      <c r="U3101" s="13" t="s">
        <v>51</v>
      </c>
      <c r="V3101" s="13" t="s">
        <v>0</v>
      </c>
      <c r="W3101" s="13" t="s">
        <v>0</v>
      </c>
      <c r="X3101" s="13" t="s">
        <v>0</v>
      </c>
      <c r="Y3101" s="13" t="s">
        <v>10</v>
      </c>
      <c r="Z3101" s="13" t="s">
        <v>0</v>
      </c>
      <c r="AA3101" s="14"/>
      <c r="AB3101" s="13" t="s">
        <v>0</v>
      </c>
      <c r="AC3101" s="13" t="s">
        <v>0</v>
      </c>
      <c r="AD3101" s="13" t="s">
        <v>0</v>
      </c>
      <c r="AE3101" s="15">
        <v>0</v>
      </c>
    </row>
    <row r="3102" spans="1:31" ht="14.15" customHeight="1" x14ac:dyDescent="0.25">
      <c r="A3102" s="12" t="s">
        <v>0</v>
      </c>
      <c r="B3102" s="13" t="s">
        <v>1</v>
      </c>
      <c r="C3102" s="13" t="s">
        <v>3426</v>
      </c>
      <c r="D3102" s="14">
        <v>44320</v>
      </c>
      <c r="E3102" s="14">
        <v>44320</v>
      </c>
      <c r="F3102" s="14">
        <v>44339</v>
      </c>
      <c r="G3102" s="13" t="s">
        <v>48</v>
      </c>
      <c r="H3102" s="13" t="s">
        <v>4</v>
      </c>
      <c r="I3102" s="15">
        <v>-106.59</v>
      </c>
      <c r="J3102" s="13" t="s">
        <v>5</v>
      </c>
      <c r="K3102" s="13" t="s">
        <v>6</v>
      </c>
      <c r="L3102" s="15">
        <v>-8948.23</v>
      </c>
      <c r="M3102" s="15">
        <v>-106.59</v>
      </c>
      <c r="N3102" s="16" t="str">
        <f>IF(M3102="","",IF(M3102&lt;0,-M3102&amp;"_"&amp;COUNTIF(M$2:M3102,M3102),M3102&amp;"_"&amp;COUNTIF(M$2:M3102,M3102)))</f>
        <v>106.59_1</v>
      </c>
      <c r="O3102" s="17" t="str">
        <f t="shared" si="48"/>
        <v/>
      </c>
      <c r="P3102" s="13" t="s">
        <v>3427</v>
      </c>
      <c r="Q3102" s="13" t="s">
        <v>3427</v>
      </c>
      <c r="R3102" s="13" t="s">
        <v>1656</v>
      </c>
      <c r="S3102" s="13" t="s">
        <v>0</v>
      </c>
      <c r="T3102" s="13" t="s">
        <v>9</v>
      </c>
      <c r="U3102" s="13" t="s">
        <v>1656</v>
      </c>
      <c r="V3102" s="13" t="s">
        <v>0</v>
      </c>
      <c r="W3102" s="13" t="s">
        <v>0</v>
      </c>
      <c r="X3102" s="13" t="s">
        <v>0</v>
      </c>
      <c r="Y3102" s="13" t="s">
        <v>10</v>
      </c>
      <c r="Z3102" s="13" t="s">
        <v>0</v>
      </c>
      <c r="AA3102" s="14"/>
      <c r="AB3102" s="13" t="s">
        <v>0</v>
      </c>
      <c r="AC3102" s="13" t="s">
        <v>0</v>
      </c>
      <c r="AD3102" s="13" t="s">
        <v>0</v>
      </c>
      <c r="AE3102" s="15">
        <v>0</v>
      </c>
    </row>
    <row r="3103" spans="1:31" ht="14.15" customHeight="1" x14ac:dyDescent="0.25">
      <c r="A3103" s="12" t="s">
        <v>0</v>
      </c>
      <c r="B3103" s="13" t="s">
        <v>1</v>
      </c>
      <c r="C3103" s="13" t="s">
        <v>54</v>
      </c>
      <c r="D3103" s="14">
        <v>44017</v>
      </c>
      <c r="E3103" s="14">
        <v>44017</v>
      </c>
      <c r="F3103" s="14">
        <v>44028</v>
      </c>
      <c r="G3103" s="13" t="s">
        <v>48</v>
      </c>
      <c r="H3103" s="13" t="s">
        <v>4</v>
      </c>
      <c r="I3103" s="15">
        <v>-104.48</v>
      </c>
      <c r="J3103" s="13" t="s">
        <v>55</v>
      </c>
      <c r="K3103" s="13" t="s">
        <v>6</v>
      </c>
      <c r="L3103" s="15">
        <v>-8771.1</v>
      </c>
      <c r="M3103" s="15">
        <v>-104.48</v>
      </c>
      <c r="N3103" s="16" t="str">
        <f>IF(M3103="","",IF(M3103&lt;0,-M3103&amp;"_"&amp;COUNTIF(M$2:M3103,M3103),M3103&amp;"_"&amp;COUNTIF(M$2:M3103,M3103)))</f>
        <v>104.48_1</v>
      </c>
      <c r="O3103" s="17" t="str">
        <f t="shared" si="48"/>
        <v/>
      </c>
      <c r="P3103" s="13" t="s">
        <v>56</v>
      </c>
      <c r="Q3103" s="13" t="s">
        <v>56</v>
      </c>
      <c r="R3103" s="13" t="s">
        <v>50</v>
      </c>
      <c r="S3103" s="13" t="s">
        <v>0</v>
      </c>
      <c r="T3103" s="13" t="s">
        <v>9</v>
      </c>
      <c r="U3103" s="13" t="s">
        <v>51</v>
      </c>
      <c r="V3103" s="13" t="s">
        <v>0</v>
      </c>
      <c r="W3103" s="13" t="s">
        <v>0</v>
      </c>
      <c r="X3103" s="13" t="s">
        <v>0</v>
      </c>
      <c r="Y3103" s="13" t="s">
        <v>10</v>
      </c>
      <c r="Z3103" s="13" t="s">
        <v>0</v>
      </c>
      <c r="AA3103" s="14"/>
      <c r="AB3103" s="13" t="s">
        <v>0</v>
      </c>
      <c r="AC3103" s="13" t="s">
        <v>0</v>
      </c>
      <c r="AD3103" s="13" t="s">
        <v>0</v>
      </c>
      <c r="AE3103" s="15">
        <v>0</v>
      </c>
    </row>
    <row r="3104" spans="1:31" ht="14.15" customHeight="1" x14ac:dyDescent="0.25">
      <c r="A3104" s="12" t="s">
        <v>0</v>
      </c>
      <c r="B3104" s="13" t="s">
        <v>289</v>
      </c>
      <c r="C3104" s="13" t="s">
        <v>3353</v>
      </c>
      <c r="D3104" s="14">
        <v>44316</v>
      </c>
      <c r="E3104" s="14">
        <v>44316</v>
      </c>
      <c r="F3104" s="14">
        <v>44322</v>
      </c>
      <c r="G3104" s="13" t="s">
        <v>48</v>
      </c>
      <c r="H3104" s="13" t="s">
        <v>4</v>
      </c>
      <c r="I3104" s="15">
        <v>-103.08</v>
      </c>
      <c r="J3104" s="13" t="s">
        <v>55</v>
      </c>
      <c r="K3104" s="13" t="s">
        <v>6</v>
      </c>
      <c r="L3104" s="15">
        <v>-8653.57</v>
      </c>
      <c r="M3104" s="15">
        <v>-103.08</v>
      </c>
      <c r="N3104" s="16" t="str">
        <f>IF(M3104="","",IF(M3104&lt;0,-M3104&amp;"_"&amp;COUNTIF(M$2:M3104,M3104),M3104&amp;"_"&amp;COUNTIF(M$2:M3104,M3104)))</f>
        <v>103.08_1</v>
      </c>
      <c r="O3104" s="17" t="str">
        <f t="shared" si="48"/>
        <v/>
      </c>
      <c r="P3104" s="13" t="s">
        <v>3354</v>
      </c>
      <c r="Q3104" s="13" t="s">
        <v>3355</v>
      </c>
      <c r="R3104" s="13" t="s">
        <v>1994</v>
      </c>
      <c r="S3104" s="13" t="s">
        <v>0</v>
      </c>
      <c r="T3104" s="13" t="s">
        <v>9</v>
      </c>
      <c r="U3104" s="13" t="s">
        <v>1995</v>
      </c>
      <c r="V3104" s="13" t="s">
        <v>0</v>
      </c>
      <c r="W3104" s="13" t="s">
        <v>0</v>
      </c>
      <c r="X3104" s="13" t="s">
        <v>0</v>
      </c>
      <c r="Y3104" s="13" t="s">
        <v>0</v>
      </c>
      <c r="Z3104" s="13" t="s">
        <v>0</v>
      </c>
      <c r="AA3104" s="14"/>
      <c r="AB3104" s="13" t="s">
        <v>0</v>
      </c>
      <c r="AC3104" s="13" t="s">
        <v>0</v>
      </c>
      <c r="AD3104" s="13" t="s">
        <v>0</v>
      </c>
      <c r="AE3104" s="15">
        <v>0</v>
      </c>
    </row>
    <row r="3105" spans="1:31" ht="14.15" customHeight="1" x14ac:dyDescent="0.25">
      <c r="A3105" s="12" t="s">
        <v>0</v>
      </c>
      <c r="B3105" s="13" t="s">
        <v>1</v>
      </c>
      <c r="C3105" s="13" t="s">
        <v>3029</v>
      </c>
      <c r="D3105" s="14">
        <v>44281</v>
      </c>
      <c r="E3105" s="14">
        <v>44281</v>
      </c>
      <c r="F3105" s="14">
        <v>44290</v>
      </c>
      <c r="G3105" s="13" t="s">
        <v>3</v>
      </c>
      <c r="H3105" s="13" t="s">
        <v>4</v>
      </c>
      <c r="I3105" s="15">
        <v>-100.95</v>
      </c>
      <c r="J3105" s="13" t="s">
        <v>488</v>
      </c>
      <c r="K3105" s="13" t="s">
        <v>6</v>
      </c>
      <c r="L3105" s="15">
        <v>-8474.75</v>
      </c>
      <c r="M3105" s="15">
        <v>-100.95</v>
      </c>
      <c r="N3105" s="16" t="str">
        <f>IF(M3105="","",IF(M3105&lt;0,-M3105&amp;"_"&amp;COUNTIF(M$2:M3105,M3105),M3105&amp;"_"&amp;COUNTIF(M$2:M3105,M3105)))</f>
        <v>100.95_1</v>
      </c>
      <c r="O3105" s="17" t="str">
        <f t="shared" si="48"/>
        <v/>
      </c>
      <c r="P3105" s="13" t="s">
        <v>3030</v>
      </c>
      <c r="Q3105" s="13" t="s">
        <v>3014</v>
      </c>
      <c r="R3105" s="13" t="s">
        <v>0</v>
      </c>
      <c r="S3105" s="13" t="s">
        <v>0</v>
      </c>
      <c r="T3105" s="13" t="s">
        <v>9</v>
      </c>
      <c r="U3105" s="13" t="s">
        <v>0</v>
      </c>
      <c r="V3105" s="13" t="s">
        <v>0</v>
      </c>
      <c r="W3105" s="13" t="s">
        <v>0</v>
      </c>
      <c r="X3105" s="13" t="s">
        <v>0</v>
      </c>
      <c r="Y3105" s="13" t="s">
        <v>10</v>
      </c>
      <c r="Z3105" s="13" t="s">
        <v>0</v>
      </c>
      <c r="AA3105" s="14"/>
      <c r="AB3105" s="13" t="s">
        <v>0</v>
      </c>
      <c r="AC3105" s="13" t="s">
        <v>0</v>
      </c>
      <c r="AD3105" s="13" t="s">
        <v>0</v>
      </c>
      <c r="AE3105" s="15">
        <v>0</v>
      </c>
    </row>
    <row r="3106" spans="1:31" ht="14.15" customHeight="1" x14ac:dyDescent="0.25">
      <c r="A3106" s="12" t="s">
        <v>0</v>
      </c>
      <c r="B3106" s="13" t="s">
        <v>1</v>
      </c>
      <c r="C3106" s="13" t="s">
        <v>3783</v>
      </c>
      <c r="D3106" s="14">
        <v>44344</v>
      </c>
      <c r="E3106" s="14">
        <v>44344</v>
      </c>
      <c r="F3106" s="14">
        <v>44349</v>
      </c>
      <c r="G3106" s="13" t="s">
        <v>48</v>
      </c>
      <c r="H3106" s="13" t="s">
        <v>4</v>
      </c>
      <c r="I3106" s="15">
        <v>-100</v>
      </c>
      <c r="J3106" s="13" t="s">
        <v>5</v>
      </c>
      <c r="K3106" s="13" t="s">
        <v>6</v>
      </c>
      <c r="L3106" s="15">
        <v>-8395</v>
      </c>
      <c r="M3106" s="15">
        <v>-100</v>
      </c>
      <c r="N3106" s="16" t="str">
        <f>IF(M3106="","",IF(M3106&lt;0,-M3106&amp;"_"&amp;COUNTIF(M$2:M3106,M3106),M3106&amp;"_"&amp;COUNTIF(M$2:M3106,M3106)))</f>
        <v>100_1</v>
      </c>
      <c r="O3106" s="17" t="str">
        <f t="shared" si="48"/>
        <v/>
      </c>
      <c r="P3106" s="13" t="s">
        <v>3784</v>
      </c>
      <c r="Q3106" s="13" t="s">
        <v>3784</v>
      </c>
      <c r="R3106" s="13" t="s">
        <v>1656</v>
      </c>
      <c r="S3106" s="13" t="s">
        <v>0</v>
      </c>
      <c r="T3106" s="13" t="s">
        <v>9</v>
      </c>
      <c r="U3106" s="13" t="s">
        <v>1656</v>
      </c>
      <c r="V3106" s="13" t="s">
        <v>0</v>
      </c>
      <c r="W3106" s="13" t="s">
        <v>0</v>
      </c>
      <c r="X3106" s="13" t="s">
        <v>0</v>
      </c>
      <c r="Y3106" s="13" t="s">
        <v>10</v>
      </c>
      <c r="Z3106" s="13" t="s">
        <v>0</v>
      </c>
      <c r="AA3106" s="14"/>
      <c r="AB3106" s="13" t="s">
        <v>0</v>
      </c>
      <c r="AC3106" s="13" t="s">
        <v>0</v>
      </c>
      <c r="AD3106" s="13" t="s">
        <v>0</v>
      </c>
      <c r="AE3106" s="15">
        <v>0</v>
      </c>
    </row>
    <row r="3107" spans="1:31" ht="14.15" customHeight="1" x14ac:dyDescent="0.25">
      <c r="A3107" s="12" t="s">
        <v>0</v>
      </c>
      <c r="B3107" s="13" t="s">
        <v>1</v>
      </c>
      <c r="C3107" s="13" t="s">
        <v>3785</v>
      </c>
      <c r="D3107" s="14">
        <v>44344</v>
      </c>
      <c r="E3107" s="14">
        <v>44344</v>
      </c>
      <c r="F3107" s="14">
        <v>44349</v>
      </c>
      <c r="G3107" s="13" t="s">
        <v>48</v>
      </c>
      <c r="H3107" s="13" t="s">
        <v>4</v>
      </c>
      <c r="I3107" s="15">
        <v>-100</v>
      </c>
      <c r="J3107" s="13" t="s">
        <v>5</v>
      </c>
      <c r="K3107" s="13" t="s">
        <v>6</v>
      </c>
      <c r="L3107" s="15">
        <v>-8395</v>
      </c>
      <c r="M3107" s="15">
        <v>-100</v>
      </c>
      <c r="N3107" s="16" t="str">
        <f>IF(M3107="","",IF(M3107&lt;0,-M3107&amp;"_"&amp;COUNTIF(M$2:M3107,M3107),M3107&amp;"_"&amp;COUNTIF(M$2:M3107,M3107)))</f>
        <v>100_2</v>
      </c>
      <c r="O3107" s="17" t="str">
        <f t="shared" si="48"/>
        <v/>
      </c>
      <c r="P3107" s="13" t="s">
        <v>3786</v>
      </c>
      <c r="Q3107" s="13" t="s">
        <v>3786</v>
      </c>
      <c r="R3107" s="13" t="s">
        <v>1656</v>
      </c>
      <c r="S3107" s="13" t="s">
        <v>0</v>
      </c>
      <c r="T3107" s="13" t="s">
        <v>9</v>
      </c>
      <c r="U3107" s="13" t="s">
        <v>1656</v>
      </c>
      <c r="V3107" s="13" t="s">
        <v>0</v>
      </c>
      <c r="W3107" s="13" t="s">
        <v>0</v>
      </c>
      <c r="X3107" s="13" t="s">
        <v>0</v>
      </c>
      <c r="Y3107" s="13" t="s">
        <v>10</v>
      </c>
      <c r="Z3107" s="13" t="s">
        <v>0</v>
      </c>
      <c r="AA3107" s="14"/>
      <c r="AB3107" s="13" t="s">
        <v>0</v>
      </c>
      <c r="AC3107" s="13" t="s">
        <v>0</v>
      </c>
      <c r="AD3107" s="13" t="s">
        <v>0</v>
      </c>
      <c r="AE3107" s="15">
        <v>0</v>
      </c>
    </row>
    <row r="3108" spans="1:31" ht="14.15" customHeight="1" x14ac:dyDescent="0.25">
      <c r="A3108" s="12" t="s">
        <v>0</v>
      </c>
      <c r="B3108" s="13" t="s">
        <v>1</v>
      </c>
      <c r="C3108" s="13" t="s">
        <v>3990</v>
      </c>
      <c r="D3108" s="14">
        <v>44358</v>
      </c>
      <c r="E3108" s="14">
        <v>44358</v>
      </c>
      <c r="F3108" s="14">
        <v>44371</v>
      </c>
      <c r="G3108" s="13" t="s">
        <v>48</v>
      </c>
      <c r="H3108" s="13" t="s">
        <v>4</v>
      </c>
      <c r="I3108" s="15">
        <v>-100</v>
      </c>
      <c r="J3108" s="13" t="s">
        <v>5</v>
      </c>
      <c r="K3108" s="13" t="s">
        <v>6</v>
      </c>
      <c r="L3108" s="15">
        <v>-8395</v>
      </c>
      <c r="M3108" s="15">
        <v>-100</v>
      </c>
      <c r="N3108" s="16" t="str">
        <f>IF(M3108="","",IF(M3108&lt;0,-M3108&amp;"_"&amp;COUNTIF(M$2:M3108,M3108),M3108&amp;"_"&amp;COUNTIF(M$2:M3108,M3108)))</f>
        <v>100_3</v>
      </c>
      <c r="O3108" s="17" t="str">
        <f t="shared" si="48"/>
        <v/>
      </c>
      <c r="P3108" s="13" t="s">
        <v>3991</v>
      </c>
      <c r="Q3108" s="13" t="s">
        <v>3991</v>
      </c>
      <c r="R3108" s="13" t="s">
        <v>50</v>
      </c>
      <c r="S3108" s="13" t="s">
        <v>0</v>
      </c>
      <c r="T3108" s="13" t="s">
        <v>9</v>
      </c>
      <c r="U3108" s="13" t="s">
        <v>50</v>
      </c>
      <c r="V3108" s="13" t="s">
        <v>0</v>
      </c>
      <c r="W3108" s="13" t="s">
        <v>0</v>
      </c>
      <c r="X3108" s="13" t="s">
        <v>0</v>
      </c>
      <c r="Y3108" s="13" t="s">
        <v>10</v>
      </c>
      <c r="Z3108" s="13" t="s">
        <v>0</v>
      </c>
      <c r="AA3108" s="14"/>
      <c r="AB3108" s="13" t="s">
        <v>0</v>
      </c>
      <c r="AC3108" s="13" t="s">
        <v>0</v>
      </c>
      <c r="AD3108" s="13" t="s">
        <v>0</v>
      </c>
      <c r="AE3108" s="15">
        <v>0</v>
      </c>
    </row>
    <row r="3109" spans="1:31" ht="14.15" customHeight="1" x14ac:dyDescent="0.25">
      <c r="A3109" s="12" t="s">
        <v>0</v>
      </c>
      <c r="B3109" s="13" t="s">
        <v>1</v>
      </c>
      <c r="C3109" s="13" t="s">
        <v>4094</v>
      </c>
      <c r="D3109" s="14">
        <v>44362</v>
      </c>
      <c r="E3109" s="14">
        <v>44362</v>
      </c>
      <c r="F3109" s="14">
        <v>44376</v>
      </c>
      <c r="G3109" s="13" t="s">
        <v>48</v>
      </c>
      <c r="H3109" s="13" t="s">
        <v>4</v>
      </c>
      <c r="I3109" s="15">
        <v>-100</v>
      </c>
      <c r="J3109" s="13" t="s">
        <v>5</v>
      </c>
      <c r="K3109" s="13" t="s">
        <v>6</v>
      </c>
      <c r="L3109" s="15">
        <v>-8395</v>
      </c>
      <c r="M3109" s="15">
        <v>-100</v>
      </c>
      <c r="N3109" s="16" t="str">
        <f>IF(M3109="","",IF(M3109&lt;0,-M3109&amp;"_"&amp;COUNTIF(M$2:M3109,M3109),M3109&amp;"_"&amp;COUNTIF(M$2:M3109,M3109)))</f>
        <v>100_4</v>
      </c>
      <c r="O3109" s="17" t="str">
        <f t="shared" si="48"/>
        <v/>
      </c>
      <c r="P3109" s="13" t="s">
        <v>4095</v>
      </c>
      <c r="Q3109" s="13" t="s">
        <v>4095</v>
      </c>
      <c r="R3109" s="13" t="s">
        <v>2733</v>
      </c>
      <c r="S3109" s="13" t="s">
        <v>0</v>
      </c>
      <c r="T3109" s="13" t="s">
        <v>9</v>
      </c>
      <c r="U3109" s="13" t="s">
        <v>50</v>
      </c>
      <c r="V3109" s="13" t="s">
        <v>0</v>
      </c>
      <c r="W3109" s="13" t="s">
        <v>0</v>
      </c>
      <c r="X3109" s="13" t="s">
        <v>0</v>
      </c>
      <c r="Y3109" s="13" t="s">
        <v>10</v>
      </c>
      <c r="Z3109" s="13" t="s">
        <v>0</v>
      </c>
      <c r="AA3109" s="14"/>
      <c r="AB3109" s="13" t="s">
        <v>0</v>
      </c>
      <c r="AC3109" s="13" t="s">
        <v>0</v>
      </c>
      <c r="AD3109" s="13" t="s">
        <v>0</v>
      </c>
      <c r="AE3109" s="15">
        <v>0</v>
      </c>
    </row>
    <row r="3110" spans="1:31" ht="14.15" customHeight="1" x14ac:dyDescent="0.25">
      <c r="A3110" s="12" t="s">
        <v>0</v>
      </c>
      <c r="B3110" s="13" t="s">
        <v>1</v>
      </c>
      <c r="C3110" s="13" t="s">
        <v>4096</v>
      </c>
      <c r="D3110" s="14">
        <v>44362</v>
      </c>
      <c r="E3110" s="14">
        <v>44362</v>
      </c>
      <c r="F3110" s="14">
        <v>44376</v>
      </c>
      <c r="G3110" s="13" t="s">
        <v>48</v>
      </c>
      <c r="H3110" s="13" t="s">
        <v>4</v>
      </c>
      <c r="I3110" s="15">
        <v>-100</v>
      </c>
      <c r="J3110" s="13" t="s">
        <v>5</v>
      </c>
      <c r="K3110" s="13" t="s">
        <v>6</v>
      </c>
      <c r="L3110" s="15">
        <v>-8395</v>
      </c>
      <c r="M3110" s="15">
        <v>-100</v>
      </c>
      <c r="N3110" s="16" t="str">
        <f>IF(M3110="","",IF(M3110&lt;0,-M3110&amp;"_"&amp;COUNTIF(M$2:M3110,M3110),M3110&amp;"_"&amp;COUNTIF(M$2:M3110,M3110)))</f>
        <v>100_5</v>
      </c>
      <c r="O3110" s="17" t="str">
        <f t="shared" si="48"/>
        <v/>
      </c>
      <c r="P3110" s="13" t="s">
        <v>4097</v>
      </c>
      <c r="Q3110" s="13" t="s">
        <v>4097</v>
      </c>
      <c r="R3110" s="13" t="s">
        <v>50</v>
      </c>
      <c r="S3110" s="13" t="s">
        <v>0</v>
      </c>
      <c r="T3110" s="13" t="s">
        <v>9</v>
      </c>
      <c r="U3110" s="13" t="s">
        <v>50</v>
      </c>
      <c r="V3110" s="13" t="s">
        <v>0</v>
      </c>
      <c r="W3110" s="13" t="s">
        <v>0</v>
      </c>
      <c r="X3110" s="13" t="s">
        <v>0</v>
      </c>
      <c r="Y3110" s="13" t="s">
        <v>10</v>
      </c>
      <c r="Z3110" s="13" t="s">
        <v>0</v>
      </c>
      <c r="AA3110" s="14"/>
      <c r="AB3110" s="13" t="s">
        <v>0</v>
      </c>
      <c r="AC3110" s="13" t="s">
        <v>0</v>
      </c>
      <c r="AD3110" s="13" t="s">
        <v>0</v>
      </c>
      <c r="AE3110" s="15">
        <v>0</v>
      </c>
    </row>
    <row r="3111" spans="1:31" ht="14.15" customHeight="1" x14ac:dyDescent="0.25">
      <c r="A3111" s="12" t="s">
        <v>0</v>
      </c>
      <c r="B3111" s="13" t="s">
        <v>1</v>
      </c>
      <c r="C3111" s="13" t="s">
        <v>4153</v>
      </c>
      <c r="D3111" s="14">
        <v>44364</v>
      </c>
      <c r="E3111" s="14">
        <v>44364</v>
      </c>
      <c r="F3111" s="14">
        <v>44376</v>
      </c>
      <c r="G3111" s="13" t="s">
        <v>48</v>
      </c>
      <c r="H3111" s="13" t="s">
        <v>4</v>
      </c>
      <c r="I3111" s="15">
        <v>-100</v>
      </c>
      <c r="J3111" s="13" t="s">
        <v>5</v>
      </c>
      <c r="K3111" s="13" t="s">
        <v>6</v>
      </c>
      <c r="L3111" s="15">
        <v>-8395</v>
      </c>
      <c r="M3111" s="15">
        <v>-100</v>
      </c>
      <c r="N3111" s="16" t="str">
        <f>IF(M3111="","",IF(M3111&lt;0,-M3111&amp;"_"&amp;COUNTIF(M$2:M3111,M3111),M3111&amp;"_"&amp;COUNTIF(M$2:M3111,M3111)))</f>
        <v>100_6</v>
      </c>
      <c r="O3111" s="17" t="str">
        <f t="shared" si="48"/>
        <v/>
      </c>
      <c r="P3111" s="13" t="s">
        <v>4154</v>
      </c>
      <c r="Q3111" s="13" t="s">
        <v>4154</v>
      </c>
      <c r="R3111" s="13" t="s">
        <v>50</v>
      </c>
      <c r="S3111" s="13" t="s">
        <v>0</v>
      </c>
      <c r="T3111" s="13" t="s">
        <v>9</v>
      </c>
      <c r="U3111" s="13" t="s">
        <v>50</v>
      </c>
      <c r="V3111" s="13" t="s">
        <v>0</v>
      </c>
      <c r="W3111" s="13" t="s">
        <v>0</v>
      </c>
      <c r="X3111" s="13" t="s">
        <v>0</v>
      </c>
      <c r="Y3111" s="13" t="s">
        <v>10</v>
      </c>
      <c r="Z3111" s="13" t="s">
        <v>0</v>
      </c>
      <c r="AA3111" s="14"/>
      <c r="AB3111" s="13" t="s">
        <v>0</v>
      </c>
      <c r="AC3111" s="13" t="s">
        <v>0</v>
      </c>
      <c r="AD3111" s="13" t="s">
        <v>0</v>
      </c>
      <c r="AE3111" s="15">
        <v>0</v>
      </c>
    </row>
    <row r="3112" spans="1:31" ht="14.15" customHeight="1" x14ac:dyDescent="0.25">
      <c r="A3112" s="12" t="s">
        <v>0</v>
      </c>
      <c r="B3112" s="13" t="s">
        <v>1</v>
      </c>
      <c r="C3112" s="13" t="s">
        <v>3432</v>
      </c>
      <c r="D3112" s="14">
        <v>44320</v>
      </c>
      <c r="E3112" s="14">
        <v>44320</v>
      </c>
      <c r="F3112" s="14">
        <v>44339</v>
      </c>
      <c r="G3112" s="13" t="s">
        <v>48</v>
      </c>
      <c r="H3112" s="13" t="s">
        <v>4</v>
      </c>
      <c r="I3112" s="15">
        <v>-99.6</v>
      </c>
      <c r="J3112" s="13" t="s">
        <v>5</v>
      </c>
      <c r="K3112" s="13" t="s">
        <v>6</v>
      </c>
      <c r="L3112" s="15">
        <v>-8361.42</v>
      </c>
      <c r="M3112" s="15">
        <v>-99.6</v>
      </c>
      <c r="N3112" s="16" t="str">
        <f>IF(M3112="","",IF(M3112&lt;0,-M3112&amp;"_"&amp;COUNTIF(M$2:M3112,M3112),M3112&amp;"_"&amp;COUNTIF(M$2:M3112,M3112)))</f>
        <v>99.6_1</v>
      </c>
      <c r="O3112" s="17" t="str">
        <f t="shared" si="48"/>
        <v/>
      </c>
      <c r="P3112" s="13" t="s">
        <v>3433</v>
      </c>
      <c r="Q3112" s="13" t="s">
        <v>3433</v>
      </c>
      <c r="R3112" s="13" t="s">
        <v>1656</v>
      </c>
      <c r="S3112" s="13" t="s">
        <v>0</v>
      </c>
      <c r="T3112" s="13" t="s">
        <v>9</v>
      </c>
      <c r="U3112" s="13" t="s">
        <v>1656</v>
      </c>
      <c r="V3112" s="13" t="s">
        <v>0</v>
      </c>
      <c r="W3112" s="13" t="s">
        <v>0</v>
      </c>
      <c r="X3112" s="13" t="s">
        <v>0</v>
      </c>
      <c r="Y3112" s="13" t="s">
        <v>10</v>
      </c>
      <c r="Z3112" s="13" t="s">
        <v>0</v>
      </c>
      <c r="AA3112" s="14"/>
      <c r="AB3112" s="13" t="s">
        <v>0</v>
      </c>
      <c r="AC3112" s="13" t="s">
        <v>0</v>
      </c>
      <c r="AD3112" s="13" t="s">
        <v>0</v>
      </c>
      <c r="AE3112" s="15">
        <v>0</v>
      </c>
    </row>
    <row r="3113" spans="1:31" ht="14.15" customHeight="1" x14ac:dyDescent="0.25">
      <c r="A3113" s="12" t="s">
        <v>0</v>
      </c>
      <c r="B3113" s="13" t="s">
        <v>1</v>
      </c>
      <c r="C3113" s="13" t="s">
        <v>3707</v>
      </c>
      <c r="D3113" s="14">
        <v>44337</v>
      </c>
      <c r="E3113" s="14">
        <v>44337</v>
      </c>
      <c r="F3113" s="14">
        <v>44346</v>
      </c>
      <c r="G3113" s="13" t="s">
        <v>48</v>
      </c>
      <c r="H3113" s="13" t="s">
        <v>4</v>
      </c>
      <c r="I3113" s="15">
        <v>-99.3</v>
      </c>
      <c r="J3113" s="13" t="s">
        <v>1233</v>
      </c>
      <c r="K3113" s="13" t="s">
        <v>6</v>
      </c>
      <c r="L3113" s="15">
        <v>-8336.24</v>
      </c>
      <c r="M3113" s="15">
        <v>-99.3</v>
      </c>
      <c r="N3113" s="16" t="str">
        <f>IF(M3113="","",IF(M3113&lt;0,-M3113&amp;"_"&amp;COUNTIF(M$2:M3113,M3113),M3113&amp;"_"&amp;COUNTIF(M$2:M3113,M3113)))</f>
        <v>99.3_1</v>
      </c>
      <c r="O3113" s="17" t="str">
        <f t="shared" si="48"/>
        <v/>
      </c>
      <c r="P3113" s="13" t="s">
        <v>3708</v>
      </c>
      <c r="Q3113" s="13" t="s">
        <v>3708</v>
      </c>
      <c r="R3113" s="13" t="s">
        <v>1656</v>
      </c>
      <c r="S3113" s="13" t="s">
        <v>0</v>
      </c>
      <c r="T3113" s="13" t="s">
        <v>9</v>
      </c>
      <c r="U3113" s="13" t="s">
        <v>1656</v>
      </c>
      <c r="V3113" s="13" t="s">
        <v>0</v>
      </c>
      <c r="W3113" s="13" t="s">
        <v>0</v>
      </c>
      <c r="X3113" s="13" t="s">
        <v>0</v>
      </c>
      <c r="Y3113" s="13" t="s">
        <v>10</v>
      </c>
      <c r="Z3113" s="13" t="s">
        <v>0</v>
      </c>
      <c r="AA3113" s="14"/>
      <c r="AB3113" s="13" t="s">
        <v>0</v>
      </c>
      <c r="AC3113" s="13" t="s">
        <v>0</v>
      </c>
      <c r="AD3113" s="13" t="s">
        <v>0</v>
      </c>
      <c r="AE3113" s="15">
        <v>0</v>
      </c>
    </row>
    <row r="3114" spans="1:31" ht="14.15" customHeight="1" x14ac:dyDescent="0.25">
      <c r="A3114" s="12" t="s">
        <v>0</v>
      </c>
      <c r="B3114" s="13" t="s">
        <v>1</v>
      </c>
      <c r="C3114" s="13" t="s">
        <v>2068</v>
      </c>
      <c r="D3114" s="14">
        <v>44199</v>
      </c>
      <c r="E3114" s="14">
        <v>44199</v>
      </c>
      <c r="F3114" s="14">
        <v>44220</v>
      </c>
      <c r="G3114" s="13" t="s">
        <v>48</v>
      </c>
      <c r="H3114" s="13" t="s">
        <v>4</v>
      </c>
      <c r="I3114" s="15">
        <v>-98.5</v>
      </c>
      <c r="J3114" s="13" t="s">
        <v>1233</v>
      </c>
      <c r="K3114" s="13" t="s">
        <v>6</v>
      </c>
      <c r="L3114" s="15">
        <v>-8269.08</v>
      </c>
      <c r="M3114" s="15">
        <v>-98.5</v>
      </c>
      <c r="N3114" s="16" t="str">
        <f>IF(M3114="","",IF(M3114&lt;0,-M3114&amp;"_"&amp;COUNTIF(M$2:M3114,M3114),M3114&amp;"_"&amp;COUNTIF(M$2:M3114,M3114)))</f>
        <v>98.5_1</v>
      </c>
      <c r="O3114" s="17" t="str">
        <f t="shared" si="48"/>
        <v/>
      </c>
      <c r="P3114" s="13" t="s">
        <v>2069</v>
      </c>
      <c r="Q3114" s="13" t="s">
        <v>2069</v>
      </c>
      <c r="R3114" s="13" t="s">
        <v>1656</v>
      </c>
      <c r="S3114" s="13" t="s">
        <v>0</v>
      </c>
      <c r="T3114" s="13" t="s">
        <v>9</v>
      </c>
      <c r="U3114" s="13" t="s">
        <v>1656</v>
      </c>
      <c r="V3114" s="13" t="s">
        <v>0</v>
      </c>
      <c r="W3114" s="13" t="s">
        <v>0</v>
      </c>
      <c r="X3114" s="13" t="s">
        <v>0</v>
      </c>
      <c r="Y3114" s="13" t="s">
        <v>10</v>
      </c>
      <c r="Z3114" s="13" t="s">
        <v>0</v>
      </c>
      <c r="AA3114" s="14"/>
      <c r="AB3114" s="13" t="s">
        <v>0</v>
      </c>
      <c r="AC3114" s="13" t="s">
        <v>0</v>
      </c>
      <c r="AD3114" s="13" t="s">
        <v>0</v>
      </c>
      <c r="AE3114" s="15">
        <v>0</v>
      </c>
    </row>
    <row r="3115" spans="1:31" ht="14.15" customHeight="1" x14ac:dyDescent="0.25">
      <c r="A3115" s="12" t="s">
        <v>0</v>
      </c>
      <c r="B3115" s="13" t="s">
        <v>1</v>
      </c>
      <c r="C3115" s="13" t="s">
        <v>4131</v>
      </c>
      <c r="D3115" s="14">
        <v>44364</v>
      </c>
      <c r="E3115" s="14">
        <v>44364</v>
      </c>
      <c r="F3115" s="14">
        <v>44376</v>
      </c>
      <c r="G3115" s="13" t="s">
        <v>48</v>
      </c>
      <c r="H3115" s="13" t="s">
        <v>4</v>
      </c>
      <c r="I3115" s="15">
        <v>-98</v>
      </c>
      <c r="J3115" s="13" t="s">
        <v>5</v>
      </c>
      <c r="K3115" s="13" t="s">
        <v>6</v>
      </c>
      <c r="L3115" s="15">
        <v>-8227.1</v>
      </c>
      <c r="M3115" s="15">
        <v>-98</v>
      </c>
      <c r="N3115" s="16" t="str">
        <f>IF(M3115="","",IF(M3115&lt;0,-M3115&amp;"_"&amp;COUNTIF(M$2:M3115,M3115),M3115&amp;"_"&amp;COUNTIF(M$2:M3115,M3115)))</f>
        <v>98_1</v>
      </c>
      <c r="O3115" s="17" t="str">
        <f t="shared" si="48"/>
        <v/>
      </c>
      <c r="P3115" s="13" t="s">
        <v>4132</v>
      </c>
      <c r="Q3115" s="13" t="s">
        <v>4132</v>
      </c>
      <c r="R3115" s="13" t="s">
        <v>50</v>
      </c>
      <c r="S3115" s="13" t="s">
        <v>0</v>
      </c>
      <c r="T3115" s="13" t="s">
        <v>9</v>
      </c>
      <c r="U3115" s="13" t="s">
        <v>50</v>
      </c>
      <c r="V3115" s="13" t="s">
        <v>0</v>
      </c>
      <c r="W3115" s="13" t="s">
        <v>0</v>
      </c>
      <c r="X3115" s="13" t="s">
        <v>0</v>
      </c>
      <c r="Y3115" s="13" t="s">
        <v>10</v>
      </c>
      <c r="Z3115" s="13" t="s">
        <v>0</v>
      </c>
      <c r="AA3115" s="14"/>
      <c r="AB3115" s="13" t="s">
        <v>0</v>
      </c>
      <c r="AC3115" s="13" t="s">
        <v>0</v>
      </c>
      <c r="AD3115" s="13" t="s">
        <v>0</v>
      </c>
      <c r="AE3115" s="15">
        <v>0</v>
      </c>
    </row>
    <row r="3116" spans="1:31" ht="14.15" customHeight="1" x14ac:dyDescent="0.25">
      <c r="A3116" s="12" t="s">
        <v>0</v>
      </c>
      <c r="B3116" s="13" t="s">
        <v>1</v>
      </c>
      <c r="C3116" s="13" t="s">
        <v>4155</v>
      </c>
      <c r="D3116" s="14">
        <v>44364</v>
      </c>
      <c r="E3116" s="14">
        <v>44364</v>
      </c>
      <c r="F3116" s="14">
        <v>44376</v>
      </c>
      <c r="G3116" s="13" t="s">
        <v>48</v>
      </c>
      <c r="H3116" s="13" t="s">
        <v>4</v>
      </c>
      <c r="I3116" s="15">
        <v>-98</v>
      </c>
      <c r="J3116" s="13" t="s">
        <v>5</v>
      </c>
      <c r="K3116" s="13" t="s">
        <v>6</v>
      </c>
      <c r="L3116" s="15">
        <v>-8227.1</v>
      </c>
      <c r="M3116" s="15">
        <v>-98</v>
      </c>
      <c r="N3116" s="16" t="str">
        <f>IF(M3116="","",IF(M3116&lt;0,-M3116&amp;"_"&amp;COUNTIF(M$2:M3116,M3116),M3116&amp;"_"&amp;COUNTIF(M$2:M3116,M3116)))</f>
        <v>98_2</v>
      </c>
      <c r="O3116" s="17" t="str">
        <f t="shared" si="48"/>
        <v/>
      </c>
      <c r="P3116" s="13" t="s">
        <v>4156</v>
      </c>
      <c r="Q3116" s="13" t="s">
        <v>4156</v>
      </c>
      <c r="R3116" s="13" t="s">
        <v>50</v>
      </c>
      <c r="S3116" s="13" t="s">
        <v>0</v>
      </c>
      <c r="T3116" s="13" t="s">
        <v>9</v>
      </c>
      <c r="U3116" s="13" t="s">
        <v>50</v>
      </c>
      <c r="V3116" s="13" t="s">
        <v>0</v>
      </c>
      <c r="W3116" s="13" t="s">
        <v>0</v>
      </c>
      <c r="X3116" s="13" t="s">
        <v>0</v>
      </c>
      <c r="Y3116" s="13" t="s">
        <v>10</v>
      </c>
      <c r="Z3116" s="13" t="s">
        <v>0</v>
      </c>
      <c r="AA3116" s="14"/>
      <c r="AB3116" s="13" t="s">
        <v>0</v>
      </c>
      <c r="AC3116" s="13" t="s">
        <v>0</v>
      </c>
      <c r="AD3116" s="13" t="s">
        <v>0</v>
      </c>
      <c r="AE3116" s="15">
        <v>0</v>
      </c>
    </row>
    <row r="3117" spans="1:31" ht="14.15" customHeight="1" x14ac:dyDescent="0.25">
      <c r="A3117" s="12" t="s">
        <v>0</v>
      </c>
      <c r="B3117" s="13" t="s">
        <v>1</v>
      </c>
      <c r="C3117" s="13" t="s">
        <v>3447</v>
      </c>
      <c r="D3117" s="14">
        <v>44320</v>
      </c>
      <c r="E3117" s="14">
        <v>44320</v>
      </c>
      <c r="F3117" s="14">
        <v>44339</v>
      </c>
      <c r="G3117" s="13" t="s">
        <v>48</v>
      </c>
      <c r="H3117" s="13" t="s">
        <v>4</v>
      </c>
      <c r="I3117" s="15">
        <v>-97.98</v>
      </c>
      <c r="J3117" s="13" t="s">
        <v>394</v>
      </c>
      <c r="K3117" s="13" t="s">
        <v>6</v>
      </c>
      <c r="L3117" s="15">
        <v>-8225.42</v>
      </c>
      <c r="M3117" s="15">
        <v>-97.98</v>
      </c>
      <c r="N3117" s="16" t="str">
        <f>IF(M3117="","",IF(M3117&lt;0,-M3117&amp;"_"&amp;COUNTIF(M$2:M3117,M3117),M3117&amp;"_"&amp;COUNTIF(M$2:M3117,M3117)))</f>
        <v>97.98_1</v>
      </c>
      <c r="O3117" s="17" t="str">
        <f t="shared" si="48"/>
        <v/>
      </c>
      <c r="P3117" s="13" t="s">
        <v>3448</v>
      </c>
      <c r="Q3117" s="13" t="s">
        <v>3448</v>
      </c>
      <c r="R3117" s="13" t="s">
        <v>1656</v>
      </c>
      <c r="S3117" s="13" t="s">
        <v>0</v>
      </c>
      <c r="T3117" s="13" t="s">
        <v>9</v>
      </c>
      <c r="U3117" s="13" t="s">
        <v>1656</v>
      </c>
      <c r="V3117" s="13" t="s">
        <v>0</v>
      </c>
      <c r="W3117" s="13" t="s">
        <v>0</v>
      </c>
      <c r="X3117" s="13" t="s">
        <v>0</v>
      </c>
      <c r="Y3117" s="13" t="s">
        <v>10</v>
      </c>
      <c r="Z3117" s="13" t="s">
        <v>0</v>
      </c>
      <c r="AA3117" s="14"/>
      <c r="AB3117" s="13" t="s">
        <v>0</v>
      </c>
      <c r="AC3117" s="13" t="s">
        <v>0</v>
      </c>
      <c r="AD3117" s="13" t="s">
        <v>0</v>
      </c>
      <c r="AE3117" s="15">
        <v>0</v>
      </c>
    </row>
    <row r="3118" spans="1:31" ht="14.15" customHeight="1" x14ac:dyDescent="0.25">
      <c r="A3118" s="12" t="s">
        <v>0</v>
      </c>
      <c r="B3118" s="13" t="s">
        <v>1</v>
      </c>
      <c r="C3118" s="13" t="s">
        <v>4157</v>
      </c>
      <c r="D3118" s="14">
        <v>44364</v>
      </c>
      <c r="E3118" s="14">
        <v>44364</v>
      </c>
      <c r="F3118" s="14">
        <v>44376</v>
      </c>
      <c r="G3118" s="13" t="s">
        <v>48</v>
      </c>
      <c r="H3118" s="13" t="s">
        <v>4</v>
      </c>
      <c r="I3118" s="15">
        <v>-96</v>
      </c>
      <c r="J3118" s="13" t="s">
        <v>5</v>
      </c>
      <c r="K3118" s="13" t="s">
        <v>6</v>
      </c>
      <c r="L3118" s="15">
        <v>-8059.2</v>
      </c>
      <c r="M3118" s="15">
        <v>-96</v>
      </c>
      <c r="N3118" s="16" t="str">
        <f>IF(M3118="","",IF(M3118&lt;0,-M3118&amp;"_"&amp;COUNTIF(M$2:M3118,M3118),M3118&amp;"_"&amp;COUNTIF(M$2:M3118,M3118)))</f>
        <v>96_1</v>
      </c>
      <c r="O3118" s="17" t="str">
        <f t="shared" si="48"/>
        <v/>
      </c>
      <c r="P3118" s="13" t="s">
        <v>4158</v>
      </c>
      <c r="Q3118" s="13" t="s">
        <v>4158</v>
      </c>
      <c r="R3118" s="13" t="s">
        <v>50</v>
      </c>
      <c r="S3118" s="13" t="s">
        <v>0</v>
      </c>
      <c r="T3118" s="13" t="s">
        <v>9</v>
      </c>
      <c r="U3118" s="13" t="s">
        <v>50</v>
      </c>
      <c r="V3118" s="13" t="s">
        <v>0</v>
      </c>
      <c r="W3118" s="13" t="s">
        <v>0</v>
      </c>
      <c r="X3118" s="13" t="s">
        <v>0</v>
      </c>
      <c r="Y3118" s="13" t="s">
        <v>10</v>
      </c>
      <c r="Z3118" s="13" t="s">
        <v>0</v>
      </c>
      <c r="AA3118" s="14"/>
      <c r="AB3118" s="13" t="s">
        <v>0</v>
      </c>
      <c r="AC3118" s="13" t="s">
        <v>0</v>
      </c>
      <c r="AD3118" s="13" t="s">
        <v>0</v>
      </c>
      <c r="AE3118" s="15">
        <v>0</v>
      </c>
    </row>
    <row r="3119" spans="1:31" ht="14.15" customHeight="1" x14ac:dyDescent="0.25">
      <c r="A3119" s="12" t="s">
        <v>0</v>
      </c>
      <c r="B3119" s="13" t="s">
        <v>1</v>
      </c>
      <c r="C3119" s="13" t="s">
        <v>1649</v>
      </c>
      <c r="D3119" s="14">
        <v>44171</v>
      </c>
      <c r="E3119" s="14">
        <v>44171</v>
      </c>
      <c r="F3119" s="14">
        <v>44189</v>
      </c>
      <c r="G3119" s="13" t="s">
        <v>48</v>
      </c>
      <c r="H3119" s="13" t="s">
        <v>4</v>
      </c>
      <c r="I3119" s="15">
        <v>-94</v>
      </c>
      <c r="J3119" s="13" t="s">
        <v>5</v>
      </c>
      <c r="K3119" s="13" t="s">
        <v>6</v>
      </c>
      <c r="L3119" s="15">
        <v>-7891.3</v>
      </c>
      <c r="M3119" s="15">
        <v>-94</v>
      </c>
      <c r="N3119" s="16" t="str">
        <f>IF(M3119="","",IF(M3119&lt;0,-M3119&amp;"_"&amp;COUNTIF(M$2:M3119,M3119),M3119&amp;"_"&amp;COUNTIF(M$2:M3119,M3119)))</f>
        <v>94_1</v>
      </c>
      <c r="O3119" s="17" t="str">
        <f t="shared" si="48"/>
        <v/>
      </c>
      <c r="P3119" s="13" t="s">
        <v>1650</v>
      </c>
      <c r="Q3119" s="13" t="s">
        <v>1650</v>
      </c>
      <c r="R3119" s="13" t="s">
        <v>50</v>
      </c>
      <c r="S3119" s="13" t="s">
        <v>0</v>
      </c>
      <c r="T3119" s="13" t="s">
        <v>9</v>
      </c>
      <c r="U3119" s="13" t="s">
        <v>50</v>
      </c>
      <c r="V3119" s="13" t="s">
        <v>0</v>
      </c>
      <c r="W3119" s="13" t="s">
        <v>0</v>
      </c>
      <c r="X3119" s="13" t="s">
        <v>0</v>
      </c>
      <c r="Y3119" s="13" t="s">
        <v>10</v>
      </c>
      <c r="Z3119" s="13" t="s">
        <v>0</v>
      </c>
      <c r="AA3119" s="14"/>
      <c r="AB3119" s="13" t="s">
        <v>0</v>
      </c>
      <c r="AC3119" s="13" t="s">
        <v>0</v>
      </c>
      <c r="AD3119" s="13" t="s">
        <v>0</v>
      </c>
      <c r="AE3119" s="15">
        <v>0</v>
      </c>
    </row>
    <row r="3120" spans="1:31" ht="14.15" customHeight="1" x14ac:dyDescent="0.25">
      <c r="A3120" s="12" t="s">
        <v>0</v>
      </c>
      <c r="B3120" s="13" t="s">
        <v>1</v>
      </c>
      <c r="C3120" s="13" t="s">
        <v>1901</v>
      </c>
      <c r="D3120" s="14">
        <v>44190</v>
      </c>
      <c r="E3120" s="14">
        <v>44190</v>
      </c>
      <c r="F3120" s="14">
        <v>44196</v>
      </c>
      <c r="G3120" s="13" t="s">
        <v>3</v>
      </c>
      <c r="H3120" s="13" t="s">
        <v>4</v>
      </c>
      <c r="I3120" s="15">
        <v>-94</v>
      </c>
      <c r="J3120" s="13" t="s">
        <v>5</v>
      </c>
      <c r="K3120" s="13" t="s">
        <v>6</v>
      </c>
      <c r="L3120" s="15">
        <v>-7891.3</v>
      </c>
      <c r="M3120" s="15">
        <v>-94</v>
      </c>
      <c r="N3120" s="16" t="str">
        <f>IF(M3120="","",IF(M3120&lt;0,-M3120&amp;"_"&amp;COUNTIF(M$2:M3120,M3120),M3120&amp;"_"&amp;COUNTIF(M$2:M3120,M3120)))</f>
        <v>94_2</v>
      </c>
      <c r="O3120" s="17" t="str">
        <f t="shared" si="48"/>
        <v/>
      </c>
      <c r="P3120" s="13" t="s">
        <v>1902</v>
      </c>
      <c r="Q3120" s="13" t="s">
        <v>1903</v>
      </c>
      <c r="R3120" s="13" t="s">
        <v>0</v>
      </c>
      <c r="S3120" s="13" t="s">
        <v>0</v>
      </c>
      <c r="T3120" s="13" t="s">
        <v>9</v>
      </c>
      <c r="U3120" s="13" t="s">
        <v>0</v>
      </c>
      <c r="V3120" s="13" t="s">
        <v>0</v>
      </c>
      <c r="W3120" s="13" t="s">
        <v>0</v>
      </c>
      <c r="X3120" s="13" t="s">
        <v>0</v>
      </c>
      <c r="Y3120" s="13" t="s">
        <v>10</v>
      </c>
      <c r="Z3120" s="13" t="s">
        <v>0</v>
      </c>
      <c r="AA3120" s="14"/>
      <c r="AB3120" s="13" t="s">
        <v>0</v>
      </c>
      <c r="AC3120" s="13" t="s">
        <v>0</v>
      </c>
      <c r="AD3120" s="13" t="s">
        <v>0</v>
      </c>
      <c r="AE3120" s="15">
        <v>0</v>
      </c>
    </row>
    <row r="3121" spans="1:31" ht="14.15" customHeight="1" x14ac:dyDescent="0.25">
      <c r="A3121" s="12" t="s">
        <v>0</v>
      </c>
      <c r="B3121" s="13" t="s">
        <v>1</v>
      </c>
      <c r="C3121" s="13" t="s">
        <v>1638</v>
      </c>
      <c r="D3121" s="14">
        <v>44171</v>
      </c>
      <c r="E3121" s="14">
        <v>44171</v>
      </c>
      <c r="F3121" s="14">
        <v>44189</v>
      </c>
      <c r="G3121" s="13" t="s">
        <v>48</v>
      </c>
      <c r="H3121" s="13" t="s">
        <v>4</v>
      </c>
      <c r="I3121" s="15">
        <v>-93</v>
      </c>
      <c r="J3121" s="13" t="s">
        <v>5</v>
      </c>
      <c r="K3121" s="13" t="s">
        <v>6</v>
      </c>
      <c r="L3121" s="15">
        <v>-7807.35</v>
      </c>
      <c r="M3121" s="15">
        <v>-93</v>
      </c>
      <c r="N3121" s="16" t="str">
        <f>IF(M3121="","",IF(M3121&lt;0,-M3121&amp;"_"&amp;COUNTIF(M$2:M3121,M3121),M3121&amp;"_"&amp;COUNTIF(M$2:M3121,M3121)))</f>
        <v>93_1</v>
      </c>
      <c r="O3121" s="17" t="str">
        <f t="shared" si="48"/>
        <v/>
      </c>
      <c r="P3121" s="13" t="s">
        <v>1639</v>
      </c>
      <c r="Q3121" s="13" t="s">
        <v>1639</v>
      </c>
      <c r="R3121" s="13" t="s">
        <v>50</v>
      </c>
      <c r="S3121" s="13" t="s">
        <v>0</v>
      </c>
      <c r="T3121" s="13" t="s">
        <v>9</v>
      </c>
      <c r="U3121" s="13" t="s">
        <v>50</v>
      </c>
      <c r="V3121" s="13" t="s">
        <v>0</v>
      </c>
      <c r="W3121" s="13" t="s">
        <v>0</v>
      </c>
      <c r="X3121" s="13" t="s">
        <v>0</v>
      </c>
      <c r="Y3121" s="13" t="s">
        <v>10</v>
      </c>
      <c r="Z3121" s="13" t="s">
        <v>0</v>
      </c>
      <c r="AA3121" s="14"/>
      <c r="AB3121" s="13" t="s">
        <v>0</v>
      </c>
      <c r="AC3121" s="13" t="s">
        <v>0</v>
      </c>
      <c r="AD3121" s="13" t="s">
        <v>0</v>
      </c>
      <c r="AE3121" s="15">
        <v>0</v>
      </c>
    </row>
    <row r="3122" spans="1:31" ht="14.15" customHeight="1" x14ac:dyDescent="0.25">
      <c r="A3122" s="12" t="s">
        <v>0</v>
      </c>
      <c r="B3122" s="13" t="s">
        <v>1</v>
      </c>
      <c r="C3122" s="13" t="s">
        <v>3980</v>
      </c>
      <c r="D3122" s="14">
        <v>44358</v>
      </c>
      <c r="E3122" s="14">
        <v>44358</v>
      </c>
      <c r="F3122" s="14">
        <v>44371</v>
      </c>
      <c r="G3122" s="13" t="s">
        <v>48</v>
      </c>
      <c r="H3122" s="13" t="s">
        <v>4</v>
      </c>
      <c r="I3122" s="15">
        <v>-91</v>
      </c>
      <c r="J3122" s="13" t="s">
        <v>5</v>
      </c>
      <c r="K3122" s="13" t="s">
        <v>6</v>
      </c>
      <c r="L3122" s="15">
        <v>-7639.45</v>
      </c>
      <c r="M3122" s="15">
        <v>-91</v>
      </c>
      <c r="N3122" s="16" t="str">
        <f>IF(M3122="","",IF(M3122&lt;0,-M3122&amp;"_"&amp;COUNTIF(M$2:M3122,M3122),M3122&amp;"_"&amp;COUNTIF(M$2:M3122,M3122)))</f>
        <v>91_1</v>
      </c>
      <c r="O3122" s="17" t="str">
        <f t="shared" si="48"/>
        <v/>
      </c>
      <c r="P3122" s="13" t="s">
        <v>3981</v>
      </c>
      <c r="Q3122" s="13" t="s">
        <v>3981</v>
      </c>
      <c r="R3122" s="13" t="s">
        <v>50</v>
      </c>
      <c r="S3122" s="13" t="s">
        <v>0</v>
      </c>
      <c r="T3122" s="13" t="s">
        <v>9</v>
      </c>
      <c r="U3122" s="13" t="s">
        <v>50</v>
      </c>
      <c r="V3122" s="13" t="s">
        <v>0</v>
      </c>
      <c r="W3122" s="13" t="s">
        <v>0</v>
      </c>
      <c r="X3122" s="13" t="s">
        <v>0</v>
      </c>
      <c r="Y3122" s="13" t="s">
        <v>10</v>
      </c>
      <c r="Z3122" s="13" t="s">
        <v>0</v>
      </c>
      <c r="AA3122" s="14"/>
      <c r="AB3122" s="13" t="s">
        <v>0</v>
      </c>
      <c r="AC3122" s="13" t="s">
        <v>0</v>
      </c>
      <c r="AD3122" s="13" t="s">
        <v>0</v>
      </c>
      <c r="AE3122" s="15">
        <v>0</v>
      </c>
    </row>
    <row r="3123" spans="1:31" ht="14.15" customHeight="1" x14ac:dyDescent="0.25">
      <c r="A3123" s="12" t="s">
        <v>0</v>
      </c>
      <c r="B3123" s="13" t="s">
        <v>1</v>
      </c>
      <c r="C3123" s="13" t="s">
        <v>485</v>
      </c>
      <c r="D3123" s="14">
        <v>44068</v>
      </c>
      <c r="E3123" s="14">
        <v>44068</v>
      </c>
      <c r="F3123" s="14">
        <v>44072</v>
      </c>
      <c r="G3123" s="13" t="s">
        <v>48</v>
      </c>
      <c r="H3123" s="13" t="s">
        <v>4</v>
      </c>
      <c r="I3123" s="15">
        <v>-90</v>
      </c>
      <c r="J3123" s="13" t="s">
        <v>5</v>
      </c>
      <c r="K3123" s="13" t="s">
        <v>6</v>
      </c>
      <c r="L3123" s="15">
        <v>-7555.5</v>
      </c>
      <c r="M3123" s="15">
        <v>-90</v>
      </c>
      <c r="N3123" s="16" t="str">
        <f>IF(M3123="","",IF(M3123&lt;0,-M3123&amp;"_"&amp;COUNTIF(M$2:M3123,M3123),M3123&amp;"_"&amp;COUNTIF(M$2:M3123,M3123)))</f>
        <v>90_1</v>
      </c>
      <c r="O3123" s="17" t="str">
        <f t="shared" si="48"/>
        <v/>
      </c>
      <c r="P3123" s="13" t="s">
        <v>486</v>
      </c>
      <c r="Q3123" s="13" t="s">
        <v>486</v>
      </c>
      <c r="R3123" s="13" t="s">
        <v>50</v>
      </c>
      <c r="S3123" s="13" t="s">
        <v>0</v>
      </c>
      <c r="T3123" s="13" t="s">
        <v>9</v>
      </c>
      <c r="U3123" s="13" t="s">
        <v>51</v>
      </c>
      <c r="V3123" s="13" t="s">
        <v>0</v>
      </c>
      <c r="W3123" s="13" t="s">
        <v>0</v>
      </c>
      <c r="X3123" s="13" t="s">
        <v>0</v>
      </c>
      <c r="Y3123" s="13" t="s">
        <v>10</v>
      </c>
      <c r="Z3123" s="13" t="s">
        <v>0</v>
      </c>
      <c r="AA3123" s="14"/>
      <c r="AB3123" s="13" t="s">
        <v>0</v>
      </c>
      <c r="AC3123" s="13" t="s">
        <v>0</v>
      </c>
      <c r="AD3123" s="13" t="s">
        <v>0</v>
      </c>
      <c r="AE3123" s="15">
        <v>0</v>
      </c>
    </row>
    <row r="3124" spans="1:31" ht="14.15" customHeight="1" x14ac:dyDescent="0.25">
      <c r="A3124" s="12" t="s">
        <v>0</v>
      </c>
      <c r="B3124" s="13" t="s">
        <v>1</v>
      </c>
      <c r="C3124" s="13" t="s">
        <v>3411</v>
      </c>
      <c r="D3124" s="14">
        <v>44320</v>
      </c>
      <c r="E3124" s="14">
        <v>44320</v>
      </c>
      <c r="F3124" s="14">
        <v>44339</v>
      </c>
      <c r="G3124" s="13" t="s">
        <v>48</v>
      </c>
      <c r="H3124" s="13" t="s">
        <v>4</v>
      </c>
      <c r="I3124" s="15">
        <v>-89.64</v>
      </c>
      <c r="J3124" s="13" t="s">
        <v>325</v>
      </c>
      <c r="K3124" s="13" t="s">
        <v>6</v>
      </c>
      <c r="L3124" s="15">
        <v>-7525.28</v>
      </c>
      <c r="M3124" s="15">
        <v>-89.64</v>
      </c>
      <c r="N3124" s="16" t="str">
        <f>IF(M3124="","",IF(M3124&lt;0,-M3124&amp;"_"&amp;COUNTIF(M$2:M3124,M3124),M3124&amp;"_"&amp;COUNTIF(M$2:M3124,M3124)))</f>
        <v>89.64_1</v>
      </c>
      <c r="O3124" s="17" t="str">
        <f t="shared" si="48"/>
        <v/>
      </c>
      <c r="P3124" s="13" t="s">
        <v>3412</v>
      </c>
      <c r="Q3124" s="13" t="s">
        <v>3412</v>
      </c>
      <c r="R3124" s="13" t="s">
        <v>1656</v>
      </c>
      <c r="S3124" s="13" t="s">
        <v>0</v>
      </c>
      <c r="T3124" s="13" t="s">
        <v>9</v>
      </c>
      <c r="U3124" s="13" t="s">
        <v>1656</v>
      </c>
      <c r="V3124" s="13" t="s">
        <v>0</v>
      </c>
      <c r="W3124" s="13" t="s">
        <v>0</v>
      </c>
      <c r="X3124" s="13" t="s">
        <v>0</v>
      </c>
      <c r="Y3124" s="13" t="s">
        <v>10</v>
      </c>
      <c r="Z3124" s="13" t="s">
        <v>0</v>
      </c>
      <c r="AA3124" s="14"/>
      <c r="AB3124" s="13" t="s">
        <v>0</v>
      </c>
      <c r="AC3124" s="13" t="s">
        <v>0</v>
      </c>
      <c r="AD3124" s="13" t="s">
        <v>0</v>
      </c>
      <c r="AE3124" s="15">
        <v>0</v>
      </c>
    </row>
    <row r="3125" spans="1:31" ht="14.15" customHeight="1" x14ac:dyDescent="0.25">
      <c r="A3125" s="12" t="s">
        <v>0</v>
      </c>
      <c r="B3125" s="13" t="s">
        <v>1</v>
      </c>
      <c r="C3125" s="13" t="s">
        <v>2232</v>
      </c>
      <c r="D3125" s="14">
        <v>44214</v>
      </c>
      <c r="E3125" s="14">
        <v>44214</v>
      </c>
      <c r="F3125" s="14">
        <v>44220</v>
      </c>
      <c r="G3125" s="13" t="s">
        <v>48</v>
      </c>
      <c r="H3125" s="13" t="s">
        <v>4</v>
      </c>
      <c r="I3125" s="15">
        <v>-88</v>
      </c>
      <c r="J3125" s="13" t="s">
        <v>5</v>
      </c>
      <c r="K3125" s="13" t="s">
        <v>6</v>
      </c>
      <c r="L3125" s="15">
        <v>-7387.6</v>
      </c>
      <c r="M3125" s="15">
        <v>-88</v>
      </c>
      <c r="N3125" s="16" t="str">
        <f>IF(M3125="","",IF(M3125&lt;0,-M3125&amp;"_"&amp;COUNTIF(M$2:M3125,M3125),M3125&amp;"_"&amp;COUNTIF(M$2:M3125,M3125)))</f>
        <v>88_1</v>
      </c>
      <c r="O3125" s="17" t="str">
        <f t="shared" si="48"/>
        <v/>
      </c>
      <c r="P3125" s="13" t="s">
        <v>2233</v>
      </c>
      <c r="Q3125" s="13" t="s">
        <v>2233</v>
      </c>
      <c r="R3125" s="13" t="s">
        <v>1656</v>
      </c>
      <c r="S3125" s="13" t="s">
        <v>0</v>
      </c>
      <c r="T3125" s="13" t="s">
        <v>9</v>
      </c>
      <c r="U3125" s="13" t="s">
        <v>1656</v>
      </c>
      <c r="V3125" s="13" t="s">
        <v>0</v>
      </c>
      <c r="W3125" s="13" t="s">
        <v>0</v>
      </c>
      <c r="X3125" s="13" t="s">
        <v>0</v>
      </c>
      <c r="Y3125" s="13" t="s">
        <v>10</v>
      </c>
      <c r="Z3125" s="13" t="s">
        <v>0</v>
      </c>
      <c r="AA3125" s="14"/>
      <c r="AB3125" s="13" t="s">
        <v>0</v>
      </c>
      <c r="AC3125" s="13" t="s">
        <v>0</v>
      </c>
      <c r="AD3125" s="13" t="s">
        <v>0</v>
      </c>
      <c r="AE3125" s="15">
        <v>0</v>
      </c>
    </row>
    <row r="3126" spans="1:31" ht="14.15" customHeight="1" x14ac:dyDescent="0.25">
      <c r="A3126" s="12" t="s">
        <v>0</v>
      </c>
      <c r="B3126" s="13" t="s">
        <v>1</v>
      </c>
      <c r="C3126" s="13" t="s">
        <v>3029</v>
      </c>
      <c r="D3126" s="14">
        <v>44281</v>
      </c>
      <c r="E3126" s="14">
        <v>44281</v>
      </c>
      <c r="F3126" s="14">
        <v>44290</v>
      </c>
      <c r="G3126" s="13" t="s">
        <v>3</v>
      </c>
      <c r="H3126" s="13" t="s">
        <v>4</v>
      </c>
      <c r="I3126" s="15">
        <v>-87.64</v>
      </c>
      <c r="J3126" s="13" t="s">
        <v>325</v>
      </c>
      <c r="K3126" s="13" t="s">
        <v>6</v>
      </c>
      <c r="L3126" s="15">
        <v>-7357.38</v>
      </c>
      <c r="M3126" s="15">
        <v>-87.64</v>
      </c>
      <c r="N3126" s="16" t="str">
        <f>IF(M3126="","",IF(M3126&lt;0,-M3126&amp;"_"&amp;COUNTIF(M$2:M3126,M3126),M3126&amp;"_"&amp;COUNTIF(M$2:M3126,M3126)))</f>
        <v>87.64_1</v>
      </c>
      <c r="O3126" s="17" t="str">
        <f t="shared" si="48"/>
        <v/>
      </c>
      <c r="P3126" s="13" t="s">
        <v>3030</v>
      </c>
      <c r="Q3126" s="13" t="s">
        <v>3014</v>
      </c>
      <c r="R3126" s="13" t="s">
        <v>0</v>
      </c>
      <c r="S3126" s="13" t="s">
        <v>0</v>
      </c>
      <c r="T3126" s="13" t="s">
        <v>9</v>
      </c>
      <c r="U3126" s="13" t="s">
        <v>0</v>
      </c>
      <c r="V3126" s="13" t="s">
        <v>0</v>
      </c>
      <c r="W3126" s="13" t="s">
        <v>0</v>
      </c>
      <c r="X3126" s="13" t="s">
        <v>0</v>
      </c>
      <c r="Y3126" s="13" t="s">
        <v>10</v>
      </c>
      <c r="Z3126" s="13" t="s">
        <v>0</v>
      </c>
      <c r="AA3126" s="14"/>
      <c r="AB3126" s="13" t="s">
        <v>0</v>
      </c>
      <c r="AC3126" s="13" t="s">
        <v>0</v>
      </c>
      <c r="AD3126" s="13" t="s">
        <v>0</v>
      </c>
      <c r="AE3126" s="15">
        <v>0</v>
      </c>
    </row>
    <row r="3127" spans="1:31" ht="14.15" customHeight="1" x14ac:dyDescent="0.25">
      <c r="A3127" s="12" t="s">
        <v>0</v>
      </c>
      <c r="B3127" s="13" t="s">
        <v>1</v>
      </c>
      <c r="C3127" s="13" t="s">
        <v>2236</v>
      </c>
      <c r="D3127" s="14">
        <v>44214</v>
      </c>
      <c r="E3127" s="14">
        <v>44214</v>
      </c>
      <c r="F3127" s="14">
        <v>44220</v>
      </c>
      <c r="G3127" s="13" t="s">
        <v>48</v>
      </c>
      <c r="H3127" s="13" t="s">
        <v>4</v>
      </c>
      <c r="I3127" s="15">
        <v>-84.44</v>
      </c>
      <c r="J3127" s="13" t="s">
        <v>325</v>
      </c>
      <c r="K3127" s="13" t="s">
        <v>6</v>
      </c>
      <c r="L3127" s="15">
        <v>-7088.74</v>
      </c>
      <c r="M3127" s="15">
        <v>-84.44</v>
      </c>
      <c r="N3127" s="16" t="str">
        <f>IF(M3127="","",IF(M3127&lt;0,-M3127&amp;"_"&amp;COUNTIF(M$2:M3127,M3127),M3127&amp;"_"&amp;COUNTIF(M$2:M3127,M3127)))</f>
        <v>84.44_1</v>
      </c>
      <c r="O3127" s="17" t="str">
        <f t="shared" si="48"/>
        <v/>
      </c>
      <c r="P3127" s="13" t="s">
        <v>2237</v>
      </c>
      <c r="Q3127" s="13" t="s">
        <v>2237</v>
      </c>
      <c r="R3127" s="13" t="s">
        <v>1656</v>
      </c>
      <c r="S3127" s="13" t="s">
        <v>0</v>
      </c>
      <c r="T3127" s="13" t="s">
        <v>9</v>
      </c>
      <c r="U3127" s="13" t="s">
        <v>1656</v>
      </c>
      <c r="V3127" s="13" t="s">
        <v>0</v>
      </c>
      <c r="W3127" s="13" t="s">
        <v>0</v>
      </c>
      <c r="X3127" s="13" t="s">
        <v>0</v>
      </c>
      <c r="Y3127" s="13" t="s">
        <v>10</v>
      </c>
      <c r="Z3127" s="13" t="s">
        <v>0</v>
      </c>
      <c r="AA3127" s="14"/>
      <c r="AB3127" s="13" t="s">
        <v>0</v>
      </c>
      <c r="AC3127" s="13" t="s">
        <v>0</v>
      </c>
      <c r="AD3127" s="13" t="s">
        <v>0</v>
      </c>
      <c r="AE3127" s="15">
        <v>0</v>
      </c>
    </row>
    <row r="3128" spans="1:31" ht="14.15" customHeight="1" x14ac:dyDescent="0.25">
      <c r="A3128" s="12" t="s">
        <v>0</v>
      </c>
      <c r="B3128" s="13" t="s">
        <v>1</v>
      </c>
      <c r="C3128" s="13" t="s">
        <v>2085</v>
      </c>
      <c r="D3128" s="14">
        <v>44199</v>
      </c>
      <c r="E3128" s="14">
        <v>44199</v>
      </c>
      <c r="F3128" s="14">
        <v>44220</v>
      </c>
      <c r="G3128" s="13" t="s">
        <v>48</v>
      </c>
      <c r="H3128" s="13" t="s">
        <v>4</v>
      </c>
      <c r="I3128" s="15">
        <v>-82.48</v>
      </c>
      <c r="J3128" s="13" t="s">
        <v>1233</v>
      </c>
      <c r="K3128" s="13" t="s">
        <v>6</v>
      </c>
      <c r="L3128" s="15">
        <v>-6924.2</v>
      </c>
      <c r="M3128" s="15">
        <v>-82.48</v>
      </c>
      <c r="N3128" s="16" t="str">
        <f>IF(M3128="","",IF(M3128&lt;0,-M3128&amp;"_"&amp;COUNTIF(M$2:M3128,M3128),M3128&amp;"_"&amp;COUNTIF(M$2:M3128,M3128)))</f>
        <v>82.48_1</v>
      </c>
      <c r="O3128" s="17" t="str">
        <f t="shared" si="48"/>
        <v/>
      </c>
      <c r="P3128" s="13" t="s">
        <v>2086</v>
      </c>
      <c r="Q3128" s="13" t="s">
        <v>2086</v>
      </c>
      <c r="R3128" s="13" t="s">
        <v>1656</v>
      </c>
      <c r="S3128" s="13" t="s">
        <v>0</v>
      </c>
      <c r="T3128" s="13" t="s">
        <v>9</v>
      </c>
      <c r="U3128" s="13" t="s">
        <v>1656</v>
      </c>
      <c r="V3128" s="13" t="s">
        <v>0</v>
      </c>
      <c r="W3128" s="13" t="s">
        <v>0</v>
      </c>
      <c r="X3128" s="13" t="s">
        <v>0</v>
      </c>
      <c r="Y3128" s="13" t="s">
        <v>10</v>
      </c>
      <c r="Z3128" s="13" t="s">
        <v>0</v>
      </c>
      <c r="AA3128" s="14"/>
      <c r="AB3128" s="13" t="s">
        <v>0</v>
      </c>
      <c r="AC3128" s="13" t="s">
        <v>0</v>
      </c>
      <c r="AD3128" s="13" t="s">
        <v>0</v>
      </c>
      <c r="AE3128" s="15">
        <v>0</v>
      </c>
    </row>
    <row r="3129" spans="1:31" ht="14.15" customHeight="1" x14ac:dyDescent="0.25">
      <c r="A3129" s="12" t="s">
        <v>0</v>
      </c>
      <c r="B3129" s="13" t="s">
        <v>1</v>
      </c>
      <c r="C3129" s="13" t="s">
        <v>1145</v>
      </c>
      <c r="D3129" s="14">
        <v>44140</v>
      </c>
      <c r="E3129" s="14">
        <v>44140</v>
      </c>
      <c r="F3129" s="14">
        <v>44163</v>
      </c>
      <c r="G3129" s="13" t="s">
        <v>48</v>
      </c>
      <c r="H3129" s="13" t="s">
        <v>4</v>
      </c>
      <c r="I3129" s="15">
        <v>-82</v>
      </c>
      <c r="J3129" s="13" t="s">
        <v>5</v>
      </c>
      <c r="K3129" s="13" t="s">
        <v>6</v>
      </c>
      <c r="L3129" s="15">
        <v>-6883.9</v>
      </c>
      <c r="M3129" s="15">
        <v>-82</v>
      </c>
      <c r="N3129" s="16" t="str">
        <f>IF(M3129="","",IF(M3129&lt;0,-M3129&amp;"_"&amp;COUNTIF(M$2:M3129,M3129),M3129&amp;"_"&amp;COUNTIF(M$2:M3129,M3129)))</f>
        <v>82_1</v>
      </c>
      <c r="O3129" s="17" t="str">
        <f t="shared" si="48"/>
        <v/>
      </c>
      <c r="P3129" s="13" t="s">
        <v>1146</v>
      </c>
      <c r="Q3129" s="13" t="s">
        <v>1146</v>
      </c>
      <c r="R3129" s="13" t="s">
        <v>50</v>
      </c>
      <c r="S3129" s="13" t="s">
        <v>0</v>
      </c>
      <c r="T3129" s="13" t="s">
        <v>9</v>
      </c>
      <c r="U3129" s="13" t="s">
        <v>50</v>
      </c>
      <c r="V3129" s="13" t="s">
        <v>0</v>
      </c>
      <c r="W3129" s="13" t="s">
        <v>0</v>
      </c>
      <c r="X3129" s="13" t="s">
        <v>0</v>
      </c>
      <c r="Y3129" s="13" t="s">
        <v>10</v>
      </c>
      <c r="Z3129" s="13" t="s">
        <v>0</v>
      </c>
      <c r="AA3129" s="14"/>
      <c r="AB3129" s="13" t="s">
        <v>0</v>
      </c>
      <c r="AC3129" s="13" t="s">
        <v>0</v>
      </c>
      <c r="AD3129" s="13" t="s">
        <v>0</v>
      </c>
      <c r="AE3129" s="15">
        <v>0</v>
      </c>
    </row>
    <row r="3130" spans="1:31" ht="14.15" customHeight="1" x14ac:dyDescent="0.25">
      <c r="A3130" s="12" t="s">
        <v>0</v>
      </c>
      <c r="B3130" s="13" t="s">
        <v>1</v>
      </c>
      <c r="C3130" s="13" t="s">
        <v>1157</v>
      </c>
      <c r="D3130" s="14">
        <v>44140</v>
      </c>
      <c r="E3130" s="14">
        <v>44140</v>
      </c>
      <c r="F3130" s="14">
        <v>44163</v>
      </c>
      <c r="G3130" s="13" t="s">
        <v>48</v>
      </c>
      <c r="H3130" s="13" t="s">
        <v>4</v>
      </c>
      <c r="I3130" s="15">
        <v>-82</v>
      </c>
      <c r="J3130" s="13" t="s">
        <v>5</v>
      </c>
      <c r="K3130" s="13" t="s">
        <v>6</v>
      </c>
      <c r="L3130" s="15">
        <v>-6883.9</v>
      </c>
      <c r="M3130" s="15">
        <v>-82</v>
      </c>
      <c r="N3130" s="16" t="str">
        <f>IF(M3130="","",IF(M3130&lt;0,-M3130&amp;"_"&amp;COUNTIF(M$2:M3130,M3130),M3130&amp;"_"&amp;COUNTIF(M$2:M3130,M3130)))</f>
        <v>82_2</v>
      </c>
      <c r="O3130" s="17" t="str">
        <f t="shared" si="48"/>
        <v/>
      </c>
      <c r="P3130" s="13" t="s">
        <v>1158</v>
      </c>
      <c r="Q3130" s="13" t="s">
        <v>1158</v>
      </c>
      <c r="R3130" s="13" t="s">
        <v>50</v>
      </c>
      <c r="S3130" s="13" t="s">
        <v>0</v>
      </c>
      <c r="T3130" s="13" t="s">
        <v>9</v>
      </c>
      <c r="U3130" s="13" t="s">
        <v>50</v>
      </c>
      <c r="V3130" s="13" t="s">
        <v>0</v>
      </c>
      <c r="W3130" s="13" t="s">
        <v>0</v>
      </c>
      <c r="X3130" s="13" t="s">
        <v>0</v>
      </c>
      <c r="Y3130" s="13" t="s">
        <v>10</v>
      </c>
      <c r="Z3130" s="13" t="s">
        <v>0</v>
      </c>
      <c r="AA3130" s="14"/>
      <c r="AB3130" s="13" t="s">
        <v>0</v>
      </c>
      <c r="AC3130" s="13" t="s">
        <v>0</v>
      </c>
      <c r="AD3130" s="13" t="s">
        <v>0</v>
      </c>
      <c r="AE3130" s="15">
        <v>0</v>
      </c>
    </row>
    <row r="3131" spans="1:31" ht="14.15" customHeight="1" x14ac:dyDescent="0.25">
      <c r="A3131" s="12" t="s">
        <v>0</v>
      </c>
      <c r="B3131" s="13" t="s">
        <v>1</v>
      </c>
      <c r="C3131" s="13" t="s">
        <v>1632</v>
      </c>
      <c r="D3131" s="14">
        <v>44171</v>
      </c>
      <c r="E3131" s="14">
        <v>44171</v>
      </c>
      <c r="F3131" s="14">
        <v>44189</v>
      </c>
      <c r="G3131" s="13" t="s">
        <v>48</v>
      </c>
      <c r="H3131" s="13" t="s">
        <v>4</v>
      </c>
      <c r="I3131" s="15">
        <v>-82</v>
      </c>
      <c r="J3131" s="13" t="s">
        <v>5</v>
      </c>
      <c r="K3131" s="13" t="s">
        <v>6</v>
      </c>
      <c r="L3131" s="15">
        <v>-6883.9</v>
      </c>
      <c r="M3131" s="15">
        <v>-82</v>
      </c>
      <c r="N3131" s="16" t="str">
        <f>IF(M3131="","",IF(M3131&lt;0,-M3131&amp;"_"&amp;COUNTIF(M$2:M3131,M3131),M3131&amp;"_"&amp;COUNTIF(M$2:M3131,M3131)))</f>
        <v>82_3</v>
      </c>
      <c r="O3131" s="17" t="str">
        <f t="shared" si="48"/>
        <v/>
      </c>
      <c r="P3131" s="13" t="s">
        <v>1633</v>
      </c>
      <c r="Q3131" s="13" t="s">
        <v>1633</v>
      </c>
      <c r="R3131" s="13" t="s">
        <v>50</v>
      </c>
      <c r="S3131" s="13" t="s">
        <v>0</v>
      </c>
      <c r="T3131" s="13" t="s">
        <v>9</v>
      </c>
      <c r="U3131" s="13" t="s">
        <v>50</v>
      </c>
      <c r="V3131" s="13" t="s">
        <v>0</v>
      </c>
      <c r="W3131" s="13" t="s">
        <v>0</v>
      </c>
      <c r="X3131" s="13" t="s">
        <v>0</v>
      </c>
      <c r="Y3131" s="13" t="s">
        <v>10</v>
      </c>
      <c r="Z3131" s="13" t="s">
        <v>0</v>
      </c>
      <c r="AA3131" s="14"/>
      <c r="AB3131" s="13" t="s">
        <v>0</v>
      </c>
      <c r="AC3131" s="13" t="s">
        <v>0</v>
      </c>
      <c r="AD3131" s="13" t="s">
        <v>0</v>
      </c>
      <c r="AE3131" s="15">
        <v>0</v>
      </c>
    </row>
    <row r="3132" spans="1:31" ht="14.15" customHeight="1" x14ac:dyDescent="0.25">
      <c r="A3132" s="12" t="s">
        <v>0</v>
      </c>
      <c r="B3132" s="13" t="s">
        <v>1</v>
      </c>
      <c r="C3132" s="13" t="s">
        <v>1711</v>
      </c>
      <c r="D3132" s="14">
        <v>44175</v>
      </c>
      <c r="E3132" s="14">
        <v>44175</v>
      </c>
      <c r="F3132" s="14">
        <v>44191</v>
      </c>
      <c r="G3132" s="13" t="s">
        <v>48</v>
      </c>
      <c r="H3132" s="13" t="s">
        <v>4</v>
      </c>
      <c r="I3132" s="15">
        <v>-82</v>
      </c>
      <c r="J3132" s="13" t="s">
        <v>5</v>
      </c>
      <c r="K3132" s="13" t="s">
        <v>6</v>
      </c>
      <c r="L3132" s="15">
        <v>-6883.9</v>
      </c>
      <c r="M3132" s="15">
        <v>-82</v>
      </c>
      <c r="N3132" s="16" t="str">
        <f>IF(M3132="","",IF(M3132&lt;0,-M3132&amp;"_"&amp;COUNTIF(M$2:M3132,M3132),M3132&amp;"_"&amp;COUNTIF(M$2:M3132,M3132)))</f>
        <v>82_4</v>
      </c>
      <c r="O3132" s="17" t="str">
        <f t="shared" si="48"/>
        <v/>
      </c>
      <c r="P3132" s="13" t="s">
        <v>1712</v>
      </c>
      <c r="Q3132" s="13" t="s">
        <v>1712</v>
      </c>
      <c r="R3132" s="13" t="s">
        <v>1656</v>
      </c>
      <c r="S3132" s="13" t="s">
        <v>0</v>
      </c>
      <c r="T3132" s="13" t="s">
        <v>9</v>
      </c>
      <c r="U3132" s="13" t="s">
        <v>1656</v>
      </c>
      <c r="V3132" s="13" t="s">
        <v>0</v>
      </c>
      <c r="W3132" s="13" t="s">
        <v>0</v>
      </c>
      <c r="X3132" s="13" t="s">
        <v>0</v>
      </c>
      <c r="Y3132" s="13" t="s">
        <v>10</v>
      </c>
      <c r="Z3132" s="13" t="s">
        <v>0</v>
      </c>
      <c r="AA3132" s="14"/>
      <c r="AB3132" s="13" t="s">
        <v>0</v>
      </c>
      <c r="AC3132" s="13" t="s">
        <v>0</v>
      </c>
      <c r="AD3132" s="13" t="s">
        <v>0</v>
      </c>
      <c r="AE3132" s="15">
        <v>0</v>
      </c>
    </row>
    <row r="3133" spans="1:31" ht="14.15" customHeight="1" x14ac:dyDescent="0.25">
      <c r="A3133" s="12" t="s">
        <v>0</v>
      </c>
      <c r="B3133" s="13" t="s">
        <v>1</v>
      </c>
      <c r="C3133" s="13" t="s">
        <v>3982</v>
      </c>
      <c r="D3133" s="14">
        <v>44358</v>
      </c>
      <c r="E3133" s="14">
        <v>44358</v>
      </c>
      <c r="F3133" s="14">
        <v>44371</v>
      </c>
      <c r="G3133" s="13" t="s">
        <v>48</v>
      </c>
      <c r="H3133" s="13" t="s">
        <v>4</v>
      </c>
      <c r="I3133" s="15">
        <v>-82</v>
      </c>
      <c r="J3133" s="13" t="s">
        <v>5</v>
      </c>
      <c r="K3133" s="13" t="s">
        <v>6</v>
      </c>
      <c r="L3133" s="15">
        <v>-6883.9</v>
      </c>
      <c r="M3133" s="15">
        <v>-82</v>
      </c>
      <c r="N3133" s="16" t="str">
        <f>IF(M3133="","",IF(M3133&lt;0,-M3133&amp;"_"&amp;COUNTIF(M$2:M3133,M3133),M3133&amp;"_"&amp;COUNTIF(M$2:M3133,M3133)))</f>
        <v>82_5</v>
      </c>
      <c r="O3133" s="17" t="str">
        <f t="shared" si="48"/>
        <v/>
      </c>
      <c r="P3133" s="13" t="s">
        <v>3983</v>
      </c>
      <c r="Q3133" s="13" t="s">
        <v>3983</v>
      </c>
      <c r="R3133" s="13" t="s">
        <v>50</v>
      </c>
      <c r="S3133" s="13" t="s">
        <v>0</v>
      </c>
      <c r="T3133" s="13" t="s">
        <v>9</v>
      </c>
      <c r="U3133" s="13" t="s">
        <v>50</v>
      </c>
      <c r="V3133" s="13" t="s">
        <v>0</v>
      </c>
      <c r="W3133" s="13" t="s">
        <v>0</v>
      </c>
      <c r="X3133" s="13" t="s">
        <v>0</v>
      </c>
      <c r="Y3133" s="13" t="s">
        <v>10</v>
      </c>
      <c r="Z3133" s="13" t="s">
        <v>0</v>
      </c>
      <c r="AA3133" s="14"/>
      <c r="AB3133" s="13" t="s">
        <v>0</v>
      </c>
      <c r="AC3133" s="13" t="s">
        <v>0</v>
      </c>
      <c r="AD3133" s="13" t="s">
        <v>0</v>
      </c>
      <c r="AE3133" s="15">
        <v>0</v>
      </c>
    </row>
    <row r="3134" spans="1:31" ht="14.15" customHeight="1" x14ac:dyDescent="0.25">
      <c r="A3134" s="12" t="s">
        <v>0</v>
      </c>
      <c r="B3134" s="13" t="s">
        <v>1</v>
      </c>
      <c r="C3134" s="13" t="s">
        <v>3962</v>
      </c>
      <c r="D3134" s="14">
        <v>44358</v>
      </c>
      <c r="E3134" s="14">
        <v>44358</v>
      </c>
      <c r="F3134" s="14">
        <v>44370</v>
      </c>
      <c r="G3134" s="13" t="s">
        <v>48</v>
      </c>
      <c r="H3134" s="13" t="s">
        <v>4</v>
      </c>
      <c r="I3134" s="15">
        <v>-75</v>
      </c>
      <c r="J3134" s="13" t="s">
        <v>5</v>
      </c>
      <c r="K3134" s="13" t="s">
        <v>6</v>
      </c>
      <c r="L3134" s="15">
        <v>-6296.25</v>
      </c>
      <c r="M3134" s="15">
        <v>-75</v>
      </c>
      <c r="N3134" s="16" t="str">
        <f>IF(M3134="","",IF(M3134&lt;0,-M3134&amp;"_"&amp;COUNTIF(M$2:M3134,M3134),M3134&amp;"_"&amp;COUNTIF(M$2:M3134,M3134)))</f>
        <v>75_1</v>
      </c>
      <c r="O3134" s="17" t="str">
        <f t="shared" si="48"/>
        <v/>
      </c>
      <c r="P3134" s="13" t="s">
        <v>3963</v>
      </c>
      <c r="Q3134" s="13" t="s">
        <v>3963</v>
      </c>
      <c r="R3134" s="13" t="s">
        <v>50</v>
      </c>
      <c r="S3134" s="13" t="s">
        <v>0</v>
      </c>
      <c r="T3134" s="13" t="s">
        <v>9</v>
      </c>
      <c r="U3134" s="13" t="s">
        <v>50</v>
      </c>
      <c r="V3134" s="13" t="s">
        <v>0</v>
      </c>
      <c r="W3134" s="13" t="s">
        <v>0</v>
      </c>
      <c r="X3134" s="13" t="s">
        <v>0</v>
      </c>
      <c r="Y3134" s="13" t="s">
        <v>10</v>
      </c>
      <c r="Z3134" s="13" t="s">
        <v>0</v>
      </c>
      <c r="AA3134" s="14"/>
      <c r="AB3134" s="13" t="s">
        <v>0</v>
      </c>
      <c r="AC3134" s="13" t="s">
        <v>0</v>
      </c>
      <c r="AD3134" s="13" t="s">
        <v>0</v>
      </c>
      <c r="AE3134" s="15">
        <v>0</v>
      </c>
    </row>
    <row r="3135" spans="1:31" ht="14.15" customHeight="1" x14ac:dyDescent="0.25">
      <c r="A3135" s="12" t="s">
        <v>0</v>
      </c>
      <c r="B3135" s="13" t="s">
        <v>1</v>
      </c>
      <c r="C3135" s="13" t="s">
        <v>3968</v>
      </c>
      <c r="D3135" s="14">
        <v>44358</v>
      </c>
      <c r="E3135" s="14">
        <v>44358</v>
      </c>
      <c r="F3135" s="14">
        <v>44370</v>
      </c>
      <c r="G3135" s="13" t="s">
        <v>48</v>
      </c>
      <c r="H3135" s="13" t="s">
        <v>4</v>
      </c>
      <c r="I3135" s="15">
        <v>-75</v>
      </c>
      <c r="J3135" s="13" t="s">
        <v>5</v>
      </c>
      <c r="K3135" s="13" t="s">
        <v>6</v>
      </c>
      <c r="L3135" s="15">
        <v>-6296.25</v>
      </c>
      <c r="M3135" s="15">
        <v>-75</v>
      </c>
      <c r="N3135" s="16" t="str">
        <f>IF(M3135="","",IF(M3135&lt;0,-M3135&amp;"_"&amp;COUNTIF(M$2:M3135,M3135),M3135&amp;"_"&amp;COUNTIF(M$2:M3135,M3135)))</f>
        <v>75_2</v>
      </c>
      <c r="O3135" s="17" t="str">
        <f t="shared" si="48"/>
        <v/>
      </c>
      <c r="P3135" s="13" t="s">
        <v>3969</v>
      </c>
      <c r="Q3135" s="13" t="s">
        <v>3969</v>
      </c>
      <c r="R3135" s="13" t="s">
        <v>50</v>
      </c>
      <c r="S3135" s="13" t="s">
        <v>0</v>
      </c>
      <c r="T3135" s="13" t="s">
        <v>9</v>
      </c>
      <c r="U3135" s="13" t="s">
        <v>50</v>
      </c>
      <c r="V3135" s="13" t="s">
        <v>0</v>
      </c>
      <c r="W3135" s="13" t="s">
        <v>0</v>
      </c>
      <c r="X3135" s="13" t="s">
        <v>0</v>
      </c>
      <c r="Y3135" s="13" t="s">
        <v>10</v>
      </c>
      <c r="Z3135" s="13" t="s">
        <v>0</v>
      </c>
      <c r="AA3135" s="14"/>
      <c r="AB3135" s="13" t="s">
        <v>0</v>
      </c>
      <c r="AC3135" s="13" t="s">
        <v>0</v>
      </c>
      <c r="AD3135" s="13" t="s">
        <v>0</v>
      </c>
      <c r="AE3135" s="15">
        <v>0</v>
      </c>
    </row>
    <row r="3136" spans="1:31" ht="14.15" customHeight="1" x14ac:dyDescent="0.25">
      <c r="A3136" s="12" t="s">
        <v>0</v>
      </c>
      <c r="B3136" s="13" t="s">
        <v>1</v>
      </c>
      <c r="C3136" s="13" t="s">
        <v>3976</v>
      </c>
      <c r="D3136" s="14">
        <v>44358</v>
      </c>
      <c r="E3136" s="14">
        <v>44358</v>
      </c>
      <c r="F3136" s="14">
        <v>44371</v>
      </c>
      <c r="G3136" s="13" t="s">
        <v>48</v>
      </c>
      <c r="H3136" s="13" t="s">
        <v>4</v>
      </c>
      <c r="I3136" s="15">
        <v>-75</v>
      </c>
      <c r="J3136" s="13" t="s">
        <v>5</v>
      </c>
      <c r="K3136" s="13" t="s">
        <v>6</v>
      </c>
      <c r="L3136" s="15">
        <v>-6296.25</v>
      </c>
      <c r="M3136" s="15">
        <v>-75</v>
      </c>
      <c r="N3136" s="16" t="str">
        <f>IF(M3136="","",IF(M3136&lt;0,-M3136&amp;"_"&amp;COUNTIF(M$2:M3136,M3136),M3136&amp;"_"&amp;COUNTIF(M$2:M3136,M3136)))</f>
        <v>75_3</v>
      </c>
      <c r="O3136" s="17" t="str">
        <f t="shared" si="48"/>
        <v/>
      </c>
      <c r="P3136" s="13" t="s">
        <v>3977</v>
      </c>
      <c r="Q3136" s="13" t="s">
        <v>3977</v>
      </c>
      <c r="R3136" s="13" t="s">
        <v>50</v>
      </c>
      <c r="S3136" s="13" t="s">
        <v>0</v>
      </c>
      <c r="T3136" s="13" t="s">
        <v>9</v>
      </c>
      <c r="U3136" s="13" t="s">
        <v>50</v>
      </c>
      <c r="V3136" s="13" t="s">
        <v>0</v>
      </c>
      <c r="W3136" s="13" t="s">
        <v>0</v>
      </c>
      <c r="X3136" s="13" t="s">
        <v>0</v>
      </c>
      <c r="Y3136" s="13" t="s">
        <v>10</v>
      </c>
      <c r="Z3136" s="13" t="s">
        <v>0</v>
      </c>
      <c r="AA3136" s="14"/>
      <c r="AB3136" s="13" t="s">
        <v>0</v>
      </c>
      <c r="AC3136" s="13" t="s">
        <v>0</v>
      </c>
      <c r="AD3136" s="13" t="s">
        <v>0</v>
      </c>
      <c r="AE3136" s="15">
        <v>0</v>
      </c>
    </row>
    <row r="3137" spans="1:31" ht="14.15" customHeight="1" x14ac:dyDescent="0.25">
      <c r="A3137" s="12" t="s">
        <v>0</v>
      </c>
      <c r="B3137" s="13" t="s">
        <v>1</v>
      </c>
      <c r="C3137" s="13" t="s">
        <v>3984</v>
      </c>
      <c r="D3137" s="14">
        <v>44358</v>
      </c>
      <c r="E3137" s="14">
        <v>44358</v>
      </c>
      <c r="F3137" s="14">
        <v>44371</v>
      </c>
      <c r="G3137" s="13" t="s">
        <v>48</v>
      </c>
      <c r="H3137" s="13" t="s">
        <v>4</v>
      </c>
      <c r="I3137" s="15">
        <v>-75</v>
      </c>
      <c r="J3137" s="13" t="s">
        <v>5</v>
      </c>
      <c r="K3137" s="13" t="s">
        <v>6</v>
      </c>
      <c r="L3137" s="15">
        <v>-6296.25</v>
      </c>
      <c r="M3137" s="15">
        <v>-75</v>
      </c>
      <c r="N3137" s="16" t="str">
        <f>IF(M3137="","",IF(M3137&lt;0,-M3137&amp;"_"&amp;COUNTIF(M$2:M3137,M3137),M3137&amp;"_"&amp;COUNTIF(M$2:M3137,M3137)))</f>
        <v>75_4</v>
      </c>
      <c r="O3137" s="17" t="str">
        <f t="shared" si="48"/>
        <v/>
      </c>
      <c r="P3137" s="13" t="s">
        <v>3985</v>
      </c>
      <c r="Q3137" s="13" t="s">
        <v>3985</v>
      </c>
      <c r="R3137" s="13" t="s">
        <v>50</v>
      </c>
      <c r="S3137" s="13" t="s">
        <v>0</v>
      </c>
      <c r="T3137" s="13" t="s">
        <v>9</v>
      </c>
      <c r="U3137" s="13" t="s">
        <v>50</v>
      </c>
      <c r="V3137" s="13" t="s">
        <v>0</v>
      </c>
      <c r="W3137" s="13" t="s">
        <v>0</v>
      </c>
      <c r="X3137" s="13" t="s">
        <v>0</v>
      </c>
      <c r="Y3137" s="13" t="s">
        <v>10</v>
      </c>
      <c r="Z3137" s="13" t="s">
        <v>0</v>
      </c>
      <c r="AA3137" s="14"/>
      <c r="AB3137" s="13" t="s">
        <v>0</v>
      </c>
      <c r="AC3137" s="13" t="s">
        <v>0</v>
      </c>
      <c r="AD3137" s="13" t="s">
        <v>0</v>
      </c>
      <c r="AE3137" s="15">
        <v>0</v>
      </c>
    </row>
    <row r="3138" spans="1:31" ht="14.15" customHeight="1" x14ac:dyDescent="0.25">
      <c r="A3138" s="12" t="s">
        <v>0</v>
      </c>
      <c r="B3138" s="13" t="s">
        <v>1</v>
      </c>
      <c r="C3138" s="13" t="s">
        <v>3998</v>
      </c>
      <c r="D3138" s="14">
        <v>44358</v>
      </c>
      <c r="E3138" s="14">
        <v>44358</v>
      </c>
      <c r="F3138" s="14">
        <v>44371</v>
      </c>
      <c r="G3138" s="13" t="s">
        <v>48</v>
      </c>
      <c r="H3138" s="13" t="s">
        <v>4</v>
      </c>
      <c r="I3138" s="15">
        <v>-75</v>
      </c>
      <c r="J3138" s="13" t="s">
        <v>5</v>
      </c>
      <c r="K3138" s="13" t="s">
        <v>6</v>
      </c>
      <c r="L3138" s="15">
        <v>-6296.25</v>
      </c>
      <c r="M3138" s="15">
        <v>-75</v>
      </c>
      <c r="N3138" s="16" t="str">
        <f>IF(M3138="","",IF(M3138&lt;0,-M3138&amp;"_"&amp;COUNTIF(M$2:M3138,M3138),M3138&amp;"_"&amp;COUNTIF(M$2:M3138,M3138)))</f>
        <v>75_5</v>
      </c>
      <c r="O3138" s="17" t="str">
        <f t="shared" ref="O3138:O3201" si="49">IF(COUNTIF(N:N,N3138)=2,"x","")</f>
        <v/>
      </c>
      <c r="P3138" s="13" t="s">
        <v>3999</v>
      </c>
      <c r="Q3138" s="13" t="s">
        <v>3999</v>
      </c>
      <c r="R3138" s="13" t="s">
        <v>50</v>
      </c>
      <c r="S3138" s="13" t="s">
        <v>0</v>
      </c>
      <c r="T3138" s="13" t="s">
        <v>9</v>
      </c>
      <c r="U3138" s="13" t="s">
        <v>50</v>
      </c>
      <c r="V3138" s="13" t="s">
        <v>0</v>
      </c>
      <c r="W3138" s="13" t="s">
        <v>0</v>
      </c>
      <c r="X3138" s="13" t="s">
        <v>0</v>
      </c>
      <c r="Y3138" s="13" t="s">
        <v>10</v>
      </c>
      <c r="Z3138" s="13" t="s">
        <v>0</v>
      </c>
      <c r="AA3138" s="14"/>
      <c r="AB3138" s="13" t="s">
        <v>0</v>
      </c>
      <c r="AC3138" s="13" t="s">
        <v>0</v>
      </c>
      <c r="AD3138" s="13" t="s">
        <v>0</v>
      </c>
      <c r="AE3138" s="15">
        <v>0</v>
      </c>
    </row>
    <row r="3139" spans="1:31" ht="14.15" customHeight="1" x14ac:dyDescent="0.25">
      <c r="A3139" s="12" t="s">
        <v>0</v>
      </c>
      <c r="B3139" s="13" t="s">
        <v>1</v>
      </c>
      <c r="C3139" s="13" t="s">
        <v>4009</v>
      </c>
      <c r="D3139" s="14">
        <v>44358</v>
      </c>
      <c r="E3139" s="14">
        <v>44358</v>
      </c>
      <c r="F3139" s="14">
        <v>44372</v>
      </c>
      <c r="G3139" s="13" t="s">
        <v>48</v>
      </c>
      <c r="H3139" s="13" t="s">
        <v>4</v>
      </c>
      <c r="I3139" s="15">
        <v>-75</v>
      </c>
      <c r="J3139" s="13" t="s">
        <v>5</v>
      </c>
      <c r="K3139" s="13" t="s">
        <v>6</v>
      </c>
      <c r="L3139" s="15">
        <v>-6296.25</v>
      </c>
      <c r="M3139" s="15">
        <v>-75</v>
      </c>
      <c r="N3139" s="16" t="str">
        <f>IF(M3139="","",IF(M3139&lt;0,-M3139&amp;"_"&amp;COUNTIF(M$2:M3139,M3139),M3139&amp;"_"&amp;COUNTIF(M$2:M3139,M3139)))</f>
        <v>75_6</v>
      </c>
      <c r="O3139" s="17" t="str">
        <f t="shared" si="49"/>
        <v/>
      </c>
      <c r="P3139" s="13" t="s">
        <v>4010</v>
      </c>
      <c r="Q3139" s="13" t="s">
        <v>4010</v>
      </c>
      <c r="R3139" s="13" t="s">
        <v>50</v>
      </c>
      <c r="S3139" s="13" t="s">
        <v>0</v>
      </c>
      <c r="T3139" s="13" t="s">
        <v>9</v>
      </c>
      <c r="U3139" s="13" t="s">
        <v>50</v>
      </c>
      <c r="V3139" s="13" t="s">
        <v>0</v>
      </c>
      <c r="W3139" s="13" t="s">
        <v>0</v>
      </c>
      <c r="X3139" s="13" t="s">
        <v>0</v>
      </c>
      <c r="Y3139" s="13" t="s">
        <v>10</v>
      </c>
      <c r="Z3139" s="13" t="s">
        <v>0</v>
      </c>
      <c r="AA3139" s="14"/>
      <c r="AB3139" s="13" t="s">
        <v>0</v>
      </c>
      <c r="AC3139" s="13" t="s">
        <v>0</v>
      </c>
      <c r="AD3139" s="13" t="s">
        <v>0</v>
      </c>
      <c r="AE3139" s="15">
        <v>0</v>
      </c>
    </row>
    <row r="3140" spans="1:31" ht="14.15" customHeight="1" x14ac:dyDescent="0.25">
      <c r="A3140" s="12" t="s">
        <v>0</v>
      </c>
      <c r="B3140" s="13" t="s">
        <v>1</v>
      </c>
      <c r="C3140" s="13" t="s">
        <v>2226</v>
      </c>
      <c r="D3140" s="14">
        <v>44214</v>
      </c>
      <c r="E3140" s="14">
        <v>44214</v>
      </c>
      <c r="F3140" s="14">
        <v>44220</v>
      </c>
      <c r="G3140" s="13" t="s">
        <v>48</v>
      </c>
      <c r="H3140" s="13" t="s">
        <v>4</v>
      </c>
      <c r="I3140" s="15">
        <v>-73</v>
      </c>
      <c r="J3140" s="13" t="s">
        <v>5</v>
      </c>
      <c r="K3140" s="13" t="s">
        <v>6</v>
      </c>
      <c r="L3140" s="15">
        <v>-6128.35</v>
      </c>
      <c r="M3140" s="15">
        <v>-73</v>
      </c>
      <c r="N3140" s="16" t="str">
        <f>IF(M3140="","",IF(M3140&lt;0,-M3140&amp;"_"&amp;COUNTIF(M$2:M3140,M3140),M3140&amp;"_"&amp;COUNTIF(M$2:M3140,M3140)))</f>
        <v>73_1</v>
      </c>
      <c r="O3140" s="17" t="str">
        <f t="shared" si="49"/>
        <v/>
      </c>
      <c r="P3140" s="13" t="s">
        <v>2227</v>
      </c>
      <c r="Q3140" s="13" t="s">
        <v>2227</v>
      </c>
      <c r="R3140" s="13" t="s">
        <v>1656</v>
      </c>
      <c r="S3140" s="13" t="s">
        <v>0</v>
      </c>
      <c r="T3140" s="13" t="s">
        <v>9</v>
      </c>
      <c r="U3140" s="13" t="s">
        <v>1656</v>
      </c>
      <c r="V3140" s="13" t="s">
        <v>0</v>
      </c>
      <c r="W3140" s="13" t="s">
        <v>0</v>
      </c>
      <c r="X3140" s="13" t="s">
        <v>0</v>
      </c>
      <c r="Y3140" s="13" t="s">
        <v>10</v>
      </c>
      <c r="Z3140" s="13" t="s">
        <v>0</v>
      </c>
      <c r="AA3140" s="14"/>
      <c r="AB3140" s="13" t="s">
        <v>0</v>
      </c>
      <c r="AC3140" s="13" t="s">
        <v>0</v>
      </c>
      <c r="AD3140" s="13" t="s">
        <v>0</v>
      </c>
      <c r="AE3140" s="15">
        <v>0</v>
      </c>
    </row>
    <row r="3141" spans="1:31" ht="14.15" customHeight="1" x14ac:dyDescent="0.25">
      <c r="A3141" s="12" t="s">
        <v>0</v>
      </c>
      <c r="B3141" s="13" t="s">
        <v>1</v>
      </c>
      <c r="C3141" s="13" t="s">
        <v>4120</v>
      </c>
      <c r="D3141" s="14">
        <v>44364</v>
      </c>
      <c r="E3141" s="14">
        <v>44364</v>
      </c>
      <c r="F3141" s="14">
        <v>44376</v>
      </c>
      <c r="G3141" s="13" t="s">
        <v>48</v>
      </c>
      <c r="H3141" s="13" t="s">
        <v>4</v>
      </c>
      <c r="I3141" s="15">
        <v>-73</v>
      </c>
      <c r="J3141" s="13" t="s">
        <v>5</v>
      </c>
      <c r="K3141" s="13" t="s">
        <v>6</v>
      </c>
      <c r="L3141" s="15">
        <v>-6128.35</v>
      </c>
      <c r="M3141" s="15">
        <v>-73</v>
      </c>
      <c r="N3141" s="16" t="str">
        <f>IF(M3141="","",IF(M3141&lt;0,-M3141&amp;"_"&amp;COUNTIF(M$2:M3141,M3141),M3141&amp;"_"&amp;COUNTIF(M$2:M3141,M3141)))</f>
        <v>73_2</v>
      </c>
      <c r="O3141" s="17" t="str">
        <f t="shared" si="49"/>
        <v/>
      </c>
      <c r="P3141" s="13" t="s">
        <v>4121</v>
      </c>
      <c r="Q3141" s="13" t="s">
        <v>4121</v>
      </c>
      <c r="R3141" s="13" t="s">
        <v>50</v>
      </c>
      <c r="S3141" s="13" t="s">
        <v>0</v>
      </c>
      <c r="T3141" s="13" t="s">
        <v>9</v>
      </c>
      <c r="U3141" s="13" t="s">
        <v>50</v>
      </c>
      <c r="V3141" s="13" t="s">
        <v>0</v>
      </c>
      <c r="W3141" s="13" t="s">
        <v>0</v>
      </c>
      <c r="X3141" s="13" t="s">
        <v>0</v>
      </c>
      <c r="Y3141" s="13" t="s">
        <v>10</v>
      </c>
      <c r="Z3141" s="13" t="s">
        <v>0</v>
      </c>
      <c r="AA3141" s="14"/>
      <c r="AB3141" s="13" t="s">
        <v>0</v>
      </c>
      <c r="AC3141" s="13" t="s">
        <v>0</v>
      </c>
      <c r="AD3141" s="13" t="s">
        <v>0</v>
      </c>
      <c r="AE3141" s="15">
        <v>0</v>
      </c>
    </row>
    <row r="3142" spans="1:31" ht="14.15" customHeight="1" x14ac:dyDescent="0.25">
      <c r="A3142" s="12" t="s">
        <v>0</v>
      </c>
      <c r="B3142" s="13" t="s">
        <v>1</v>
      </c>
      <c r="C3142" s="13" t="s">
        <v>4165</v>
      </c>
      <c r="D3142" s="14">
        <v>44364</v>
      </c>
      <c r="E3142" s="14">
        <v>44364</v>
      </c>
      <c r="F3142" s="14">
        <v>44376</v>
      </c>
      <c r="G3142" s="13" t="s">
        <v>48</v>
      </c>
      <c r="H3142" s="13" t="s">
        <v>4</v>
      </c>
      <c r="I3142" s="15">
        <v>-73</v>
      </c>
      <c r="J3142" s="13" t="s">
        <v>5</v>
      </c>
      <c r="K3142" s="13" t="s">
        <v>6</v>
      </c>
      <c r="L3142" s="15">
        <v>-6128.35</v>
      </c>
      <c r="M3142" s="15">
        <v>-73</v>
      </c>
      <c r="N3142" s="16" t="str">
        <f>IF(M3142="","",IF(M3142&lt;0,-M3142&amp;"_"&amp;COUNTIF(M$2:M3142,M3142),M3142&amp;"_"&amp;COUNTIF(M$2:M3142,M3142)))</f>
        <v>73_3</v>
      </c>
      <c r="O3142" s="17" t="str">
        <f t="shared" si="49"/>
        <v/>
      </c>
      <c r="P3142" s="13" t="s">
        <v>4166</v>
      </c>
      <c r="Q3142" s="13" t="s">
        <v>4166</v>
      </c>
      <c r="R3142" s="13" t="s">
        <v>50</v>
      </c>
      <c r="S3142" s="13" t="s">
        <v>0</v>
      </c>
      <c r="T3142" s="13" t="s">
        <v>9</v>
      </c>
      <c r="U3142" s="13" t="s">
        <v>50</v>
      </c>
      <c r="V3142" s="13" t="s">
        <v>0</v>
      </c>
      <c r="W3142" s="13" t="s">
        <v>0</v>
      </c>
      <c r="X3142" s="13" t="s">
        <v>0</v>
      </c>
      <c r="Y3142" s="13" t="s">
        <v>10</v>
      </c>
      <c r="Z3142" s="13" t="s">
        <v>0</v>
      </c>
      <c r="AA3142" s="14"/>
      <c r="AB3142" s="13" t="s">
        <v>0</v>
      </c>
      <c r="AC3142" s="13" t="s">
        <v>0</v>
      </c>
      <c r="AD3142" s="13" t="s">
        <v>0</v>
      </c>
      <c r="AE3142" s="15">
        <v>0</v>
      </c>
    </row>
    <row r="3143" spans="1:31" ht="14.15" customHeight="1" x14ac:dyDescent="0.25">
      <c r="A3143" s="12" t="s">
        <v>0</v>
      </c>
      <c r="B3143" s="13" t="s">
        <v>1</v>
      </c>
      <c r="C3143" s="13" t="s">
        <v>1618</v>
      </c>
      <c r="D3143" s="14">
        <v>44169</v>
      </c>
      <c r="E3143" s="14">
        <v>44169</v>
      </c>
      <c r="F3143" s="14">
        <v>44189</v>
      </c>
      <c r="G3143" s="13" t="s">
        <v>48</v>
      </c>
      <c r="H3143" s="13" t="s">
        <v>4</v>
      </c>
      <c r="I3143" s="15">
        <v>-72.17</v>
      </c>
      <c r="J3143" s="13" t="s">
        <v>488</v>
      </c>
      <c r="K3143" s="13" t="s">
        <v>6</v>
      </c>
      <c r="L3143" s="15">
        <v>-6058.67</v>
      </c>
      <c r="M3143" s="15">
        <v>-72.17</v>
      </c>
      <c r="N3143" s="16" t="str">
        <f>IF(M3143="","",IF(M3143&lt;0,-M3143&amp;"_"&amp;COUNTIF(M$2:M3143,M3143),M3143&amp;"_"&amp;COUNTIF(M$2:M3143,M3143)))</f>
        <v>72.17_1</v>
      </c>
      <c r="O3143" s="17" t="str">
        <f t="shared" si="49"/>
        <v/>
      </c>
      <c r="P3143" s="13" t="s">
        <v>1619</v>
      </c>
      <c r="Q3143" s="13" t="s">
        <v>1619</v>
      </c>
      <c r="R3143" s="13" t="s">
        <v>1620</v>
      </c>
      <c r="S3143" s="13" t="s">
        <v>0</v>
      </c>
      <c r="T3143" s="13" t="s">
        <v>9</v>
      </c>
      <c r="U3143" s="13" t="s">
        <v>1620</v>
      </c>
      <c r="V3143" s="13" t="s">
        <v>0</v>
      </c>
      <c r="W3143" s="13" t="s">
        <v>0</v>
      </c>
      <c r="X3143" s="13" t="s">
        <v>0</v>
      </c>
      <c r="Y3143" s="13" t="s">
        <v>10</v>
      </c>
      <c r="Z3143" s="13" t="s">
        <v>0</v>
      </c>
      <c r="AA3143" s="14"/>
      <c r="AB3143" s="13" t="s">
        <v>0</v>
      </c>
      <c r="AC3143" s="13" t="s">
        <v>0</v>
      </c>
      <c r="AD3143" s="13" t="s">
        <v>0</v>
      </c>
      <c r="AE3143" s="15">
        <v>0</v>
      </c>
    </row>
    <row r="3144" spans="1:31" ht="14.15" customHeight="1" x14ac:dyDescent="0.25">
      <c r="A3144" s="12" t="s">
        <v>0</v>
      </c>
      <c r="B3144" s="13" t="s">
        <v>1</v>
      </c>
      <c r="C3144" s="13" t="s">
        <v>2238</v>
      </c>
      <c r="D3144" s="14">
        <v>44214</v>
      </c>
      <c r="E3144" s="14">
        <v>44214</v>
      </c>
      <c r="F3144" s="14">
        <v>44220</v>
      </c>
      <c r="G3144" s="13" t="s">
        <v>48</v>
      </c>
      <c r="H3144" s="13" t="s">
        <v>4</v>
      </c>
      <c r="I3144" s="15">
        <v>-69.349999999999994</v>
      </c>
      <c r="J3144" s="13" t="s">
        <v>2239</v>
      </c>
      <c r="K3144" s="13" t="s">
        <v>6</v>
      </c>
      <c r="L3144" s="15">
        <v>-5821.93</v>
      </c>
      <c r="M3144" s="15">
        <v>-69.349999999999994</v>
      </c>
      <c r="N3144" s="16" t="str">
        <f>IF(M3144="","",IF(M3144&lt;0,-M3144&amp;"_"&amp;COUNTIF(M$2:M3144,M3144),M3144&amp;"_"&amp;COUNTIF(M$2:M3144,M3144)))</f>
        <v>69.35_1</v>
      </c>
      <c r="O3144" s="17" t="str">
        <f t="shared" si="49"/>
        <v/>
      </c>
      <c r="P3144" s="13" t="s">
        <v>2240</v>
      </c>
      <c r="Q3144" s="13" t="s">
        <v>2240</v>
      </c>
      <c r="R3144" s="13" t="s">
        <v>1656</v>
      </c>
      <c r="S3144" s="13" t="s">
        <v>0</v>
      </c>
      <c r="T3144" s="13" t="s">
        <v>9</v>
      </c>
      <c r="U3144" s="13" t="s">
        <v>1656</v>
      </c>
      <c r="V3144" s="13" t="s">
        <v>0</v>
      </c>
      <c r="W3144" s="13" t="s">
        <v>0</v>
      </c>
      <c r="X3144" s="13" t="s">
        <v>0</v>
      </c>
      <c r="Y3144" s="13" t="s">
        <v>10</v>
      </c>
      <c r="Z3144" s="13" t="s">
        <v>0</v>
      </c>
      <c r="AA3144" s="14"/>
      <c r="AB3144" s="13" t="s">
        <v>0</v>
      </c>
      <c r="AC3144" s="13" t="s">
        <v>0</v>
      </c>
      <c r="AD3144" s="13" t="s">
        <v>0</v>
      </c>
      <c r="AE3144" s="15">
        <v>0</v>
      </c>
    </row>
    <row r="3145" spans="1:31" ht="14.15" customHeight="1" x14ac:dyDescent="0.25">
      <c r="A3145" s="12" t="s">
        <v>0</v>
      </c>
      <c r="B3145" s="13" t="s">
        <v>1</v>
      </c>
      <c r="C3145" s="13" t="s">
        <v>674</v>
      </c>
      <c r="D3145" s="14">
        <v>44089</v>
      </c>
      <c r="E3145" s="14">
        <v>44089</v>
      </c>
      <c r="F3145" s="14">
        <v>44101</v>
      </c>
      <c r="G3145" s="13" t="s">
        <v>48</v>
      </c>
      <c r="H3145" s="13" t="s">
        <v>4</v>
      </c>
      <c r="I3145" s="15">
        <v>-69</v>
      </c>
      <c r="J3145" s="13" t="s">
        <v>5</v>
      </c>
      <c r="K3145" s="13" t="s">
        <v>6</v>
      </c>
      <c r="L3145" s="15">
        <v>-5792.55</v>
      </c>
      <c r="M3145" s="15">
        <v>-69</v>
      </c>
      <c r="N3145" s="16" t="str">
        <f>IF(M3145="","",IF(M3145&lt;0,-M3145&amp;"_"&amp;COUNTIF(M$2:M3145,M3145),M3145&amp;"_"&amp;COUNTIF(M$2:M3145,M3145)))</f>
        <v>69_1</v>
      </c>
      <c r="O3145" s="17" t="str">
        <f t="shared" si="49"/>
        <v/>
      </c>
      <c r="P3145" s="13" t="s">
        <v>675</v>
      </c>
      <c r="Q3145" s="13" t="s">
        <v>675</v>
      </c>
      <c r="R3145" s="13" t="s">
        <v>50</v>
      </c>
      <c r="S3145" s="13" t="s">
        <v>0</v>
      </c>
      <c r="T3145" s="13" t="s">
        <v>9</v>
      </c>
      <c r="U3145" s="13" t="s">
        <v>51</v>
      </c>
      <c r="V3145" s="13" t="s">
        <v>0</v>
      </c>
      <c r="W3145" s="13" t="s">
        <v>0</v>
      </c>
      <c r="X3145" s="13" t="s">
        <v>0</v>
      </c>
      <c r="Y3145" s="13" t="s">
        <v>10</v>
      </c>
      <c r="Z3145" s="13" t="s">
        <v>0</v>
      </c>
      <c r="AA3145" s="14"/>
      <c r="AB3145" s="13" t="s">
        <v>0</v>
      </c>
      <c r="AC3145" s="13" t="s">
        <v>0</v>
      </c>
      <c r="AD3145" s="13" t="s">
        <v>0</v>
      </c>
      <c r="AE3145" s="15">
        <v>0</v>
      </c>
    </row>
    <row r="3146" spans="1:31" ht="14.15" customHeight="1" x14ac:dyDescent="0.25">
      <c r="A3146" s="12" t="s">
        <v>0</v>
      </c>
      <c r="B3146" s="13" t="s">
        <v>1</v>
      </c>
      <c r="C3146" s="13" t="s">
        <v>3693</v>
      </c>
      <c r="D3146" s="14">
        <v>44337</v>
      </c>
      <c r="E3146" s="14">
        <v>44337</v>
      </c>
      <c r="F3146" s="14">
        <v>44346</v>
      </c>
      <c r="G3146" s="13" t="s">
        <v>48</v>
      </c>
      <c r="H3146" s="13" t="s">
        <v>4</v>
      </c>
      <c r="I3146" s="15">
        <v>-68.64</v>
      </c>
      <c r="J3146" s="13" t="s">
        <v>567</v>
      </c>
      <c r="K3146" s="13" t="s">
        <v>6</v>
      </c>
      <c r="L3146" s="15">
        <v>-5762.33</v>
      </c>
      <c r="M3146" s="15">
        <v>-68.64</v>
      </c>
      <c r="N3146" s="16" t="str">
        <f>IF(M3146="","",IF(M3146&lt;0,-M3146&amp;"_"&amp;COUNTIF(M$2:M3146,M3146),M3146&amp;"_"&amp;COUNTIF(M$2:M3146,M3146)))</f>
        <v>68.64_1</v>
      </c>
      <c r="O3146" s="17" t="str">
        <f t="shared" si="49"/>
        <v/>
      </c>
      <c r="P3146" s="13" t="s">
        <v>3694</v>
      </c>
      <c r="Q3146" s="13" t="s">
        <v>3694</v>
      </c>
      <c r="R3146" s="13" t="s">
        <v>1656</v>
      </c>
      <c r="S3146" s="13" t="s">
        <v>0</v>
      </c>
      <c r="T3146" s="13" t="s">
        <v>9</v>
      </c>
      <c r="U3146" s="13" t="s">
        <v>1656</v>
      </c>
      <c r="V3146" s="13" t="s">
        <v>0</v>
      </c>
      <c r="W3146" s="13" t="s">
        <v>0</v>
      </c>
      <c r="X3146" s="13" t="s">
        <v>0</v>
      </c>
      <c r="Y3146" s="13" t="s">
        <v>10</v>
      </c>
      <c r="Z3146" s="13" t="s">
        <v>0</v>
      </c>
      <c r="AA3146" s="14"/>
      <c r="AB3146" s="13" t="s">
        <v>0</v>
      </c>
      <c r="AC3146" s="13" t="s">
        <v>0</v>
      </c>
      <c r="AD3146" s="13" t="s">
        <v>0</v>
      </c>
      <c r="AE3146" s="15">
        <v>0</v>
      </c>
    </row>
    <row r="3147" spans="1:31" ht="14.15" customHeight="1" x14ac:dyDescent="0.25">
      <c r="A3147" s="12" t="s">
        <v>0</v>
      </c>
      <c r="B3147" s="13" t="s">
        <v>1</v>
      </c>
      <c r="C3147" s="13" t="s">
        <v>3695</v>
      </c>
      <c r="D3147" s="14">
        <v>44337</v>
      </c>
      <c r="E3147" s="14">
        <v>44337</v>
      </c>
      <c r="F3147" s="14">
        <v>44346</v>
      </c>
      <c r="G3147" s="13" t="s">
        <v>48</v>
      </c>
      <c r="H3147" s="13" t="s">
        <v>4</v>
      </c>
      <c r="I3147" s="15">
        <v>-68.64</v>
      </c>
      <c r="J3147" s="13" t="s">
        <v>567</v>
      </c>
      <c r="K3147" s="13" t="s">
        <v>6</v>
      </c>
      <c r="L3147" s="15">
        <v>-5762.33</v>
      </c>
      <c r="M3147" s="15">
        <v>-68.64</v>
      </c>
      <c r="N3147" s="16" t="str">
        <f>IF(M3147="","",IF(M3147&lt;0,-M3147&amp;"_"&amp;COUNTIF(M$2:M3147,M3147),M3147&amp;"_"&amp;COUNTIF(M$2:M3147,M3147)))</f>
        <v>68.64_2</v>
      </c>
      <c r="O3147" s="17" t="str">
        <f t="shared" si="49"/>
        <v/>
      </c>
      <c r="P3147" s="13" t="s">
        <v>3696</v>
      </c>
      <c r="Q3147" s="13" t="s">
        <v>3696</v>
      </c>
      <c r="R3147" s="13" t="s">
        <v>1656</v>
      </c>
      <c r="S3147" s="13" t="s">
        <v>0</v>
      </c>
      <c r="T3147" s="13" t="s">
        <v>9</v>
      </c>
      <c r="U3147" s="13" t="s">
        <v>1656</v>
      </c>
      <c r="V3147" s="13" t="s">
        <v>0</v>
      </c>
      <c r="W3147" s="13" t="s">
        <v>0</v>
      </c>
      <c r="X3147" s="13" t="s">
        <v>0</v>
      </c>
      <c r="Y3147" s="13" t="s">
        <v>10</v>
      </c>
      <c r="Z3147" s="13" t="s">
        <v>0</v>
      </c>
      <c r="AA3147" s="14"/>
      <c r="AB3147" s="13" t="s">
        <v>0</v>
      </c>
      <c r="AC3147" s="13" t="s">
        <v>0</v>
      </c>
      <c r="AD3147" s="13" t="s">
        <v>0</v>
      </c>
      <c r="AE3147" s="15">
        <v>0</v>
      </c>
    </row>
    <row r="3148" spans="1:31" ht="14.15" customHeight="1" x14ac:dyDescent="0.25">
      <c r="A3148" s="12" t="s">
        <v>0</v>
      </c>
      <c r="B3148" s="13" t="s">
        <v>1</v>
      </c>
      <c r="C3148" s="13" t="s">
        <v>3697</v>
      </c>
      <c r="D3148" s="14">
        <v>44337</v>
      </c>
      <c r="E3148" s="14">
        <v>44337</v>
      </c>
      <c r="F3148" s="14">
        <v>44346</v>
      </c>
      <c r="G3148" s="13" t="s">
        <v>48</v>
      </c>
      <c r="H3148" s="13" t="s">
        <v>4</v>
      </c>
      <c r="I3148" s="15">
        <v>-68.64</v>
      </c>
      <c r="J3148" s="13" t="s">
        <v>567</v>
      </c>
      <c r="K3148" s="13" t="s">
        <v>6</v>
      </c>
      <c r="L3148" s="15">
        <v>-5762.33</v>
      </c>
      <c r="M3148" s="15">
        <v>-68.64</v>
      </c>
      <c r="N3148" s="16" t="str">
        <f>IF(M3148="","",IF(M3148&lt;0,-M3148&amp;"_"&amp;COUNTIF(M$2:M3148,M3148),M3148&amp;"_"&amp;COUNTIF(M$2:M3148,M3148)))</f>
        <v>68.64_3</v>
      </c>
      <c r="O3148" s="17" t="str">
        <f t="shared" si="49"/>
        <v/>
      </c>
      <c r="P3148" s="13" t="s">
        <v>3698</v>
      </c>
      <c r="Q3148" s="13" t="s">
        <v>3698</v>
      </c>
      <c r="R3148" s="13" t="s">
        <v>1656</v>
      </c>
      <c r="S3148" s="13" t="s">
        <v>0</v>
      </c>
      <c r="T3148" s="13" t="s">
        <v>9</v>
      </c>
      <c r="U3148" s="13" t="s">
        <v>1656</v>
      </c>
      <c r="V3148" s="13" t="s">
        <v>0</v>
      </c>
      <c r="W3148" s="13" t="s">
        <v>0</v>
      </c>
      <c r="X3148" s="13" t="s">
        <v>0</v>
      </c>
      <c r="Y3148" s="13" t="s">
        <v>10</v>
      </c>
      <c r="Z3148" s="13" t="s">
        <v>0</v>
      </c>
      <c r="AA3148" s="14"/>
      <c r="AB3148" s="13" t="s">
        <v>0</v>
      </c>
      <c r="AC3148" s="13" t="s">
        <v>0</v>
      </c>
      <c r="AD3148" s="13" t="s">
        <v>0</v>
      </c>
      <c r="AE3148" s="15">
        <v>0</v>
      </c>
    </row>
    <row r="3149" spans="1:31" ht="14.15" customHeight="1" x14ac:dyDescent="0.25">
      <c r="A3149" s="12" t="s">
        <v>0</v>
      </c>
      <c r="B3149" s="13" t="s">
        <v>1</v>
      </c>
      <c r="C3149" s="13" t="s">
        <v>3699</v>
      </c>
      <c r="D3149" s="14">
        <v>44337</v>
      </c>
      <c r="E3149" s="14">
        <v>44337</v>
      </c>
      <c r="F3149" s="14">
        <v>44346</v>
      </c>
      <c r="G3149" s="13" t="s">
        <v>48</v>
      </c>
      <c r="H3149" s="13" t="s">
        <v>4</v>
      </c>
      <c r="I3149" s="15">
        <v>-68.64</v>
      </c>
      <c r="J3149" s="13" t="s">
        <v>567</v>
      </c>
      <c r="K3149" s="13" t="s">
        <v>6</v>
      </c>
      <c r="L3149" s="15">
        <v>-5762.33</v>
      </c>
      <c r="M3149" s="15">
        <v>-68.64</v>
      </c>
      <c r="N3149" s="16" t="str">
        <f>IF(M3149="","",IF(M3149&lt;0,-M3149&amp;"_"&amp;COUNTIF(M$2:M3149,M3149),M3149&amp;"_"&amp;COUNTIF(M$2:M3149,M3149)))</f>
        <v>68.64_4</v>
      </c>
      <c r="O3149" s="17" t="str">
        <f t="shared" si="49"/>
        <v/>
      </c>
      <c r="P3149" s="13" t="s">
        <v>3700</v>
      </c>
      <c r="Q3149" s="13" t="s">
        <v>3700</v>
      </c>
      <c r="R3149" s="13" t="s">
        <v>1656</v>
      </c>
      <c r="S3149" s="13" t="s">
        <v>0</v>
      </c>
      <c r="T3149" s="13" t="s">
        <v>9</v>
      </c>
      <c r="U3149" s="13" t="s">
        <v>1656</v>
      </c>
      <c r="V3149" s="13" t="s">
        <v>0</v>
      </c>
      <c r="W3149" s="13" t="s">
        <v>0</v>
      </c>
      <c r="X3149" s="13" t="s">
        <v>0</v>
      </c>
      <c r="Y3149" s="13" t="s">
        <v>10</v>
      </c>
      <c r="Z3149" s="13" t="s">
        <v>0</v>
      </c>
      <c r="AA3149" s="14"/>
      <c r="AB3149" s="13" t="s">
        <v>0</v>
      </c>
      <c r="AC3149" s="13" t="s">
        <v>0</v>
      </c>
      <c r="AD3149" s="13" t="s">
        <v>0</v>
      </c>
      <c r="AE3149" s="15">
        <v>0</v>
      </c>
    </row>
    <row r="3150" spans="1:31" ht="14.15" customHeight="1" x14ac:dyDescent="0.25">
      <c r="A3150" s="12" t="s">
        <v>0</v>
      </c>
      <c r="B3150" s="13" t="s">
        <v>1</v>
      </c>
      <c r="C3150" s="13" t="s">
        <v>3702</v>
      </c>
      <c r="D3150" s="14">
        <v>44337</v>
      </c>
      <c r="E3150" s="14">
        <v>44337</v>
      </c>
      <c r="F3150" s="14">
        <v>44346</v>
      </c>
      <c r="G3150" s="13" t="s">
        <v>48</v>
      </c>
      <c r="H3150" s="13" t="s">
        <v>4</v>
      </c>
      <c r="I3150" s="15">
        <v>-68.64</v>
      </c>
      <c r="J3150" s="13" t="s">
        <v>567</v>
      </c>
      <c r="K3150" s="13" t="s">
        <v>6</v>
      </c>
      <c r="L3150" s="15">
        <v>-5762.33</v>
      </c>
      <c r="M3150" s="15">
        <v>-68.64</v>
      </c>
      <c r="N3150" s="16" t="str">
        <f>IF(M3150="","",IF(M3150&lt;0,-M3150&amp;"_"&amp;COUNTIF(M$2:M3150,M3150),M3150&amp;"_"&amp;COUNTIF(M$2:M3150,M3150)))</f>
        <v>68.64_5</v>
      </c>
      <c r="O3150" s="17" t="str">
        <f t="shared" si="49"/>
        <v/>
      </c>
      <c r="P3150" s="13" t="s">
        <v>3703</v>
      </c>
      <c r="Q3150" s="13" t="s">
        <v>3703</v>
      </c>
      <c r="R3150" s="13" t="s">
        <v>1656</v>
      </c>
      <c r="S3150" s="13" t="s">
        <v>0</v>
      </c>
      <c r="T3150" s="13" t="s">
        <v>9</v>
      </c>
      <c r="U3150" s="13" t="s">
        <v>1656</v>
      </c>
      <c r="V3150" s="13" t="s">
        <v>0</v>
      </c>
      <c r="W3150" s="13" t="s">
        <v>0</v>
      </c>
      <c r="X3150" s="13" t="s">
        <v>0</v>
      </c>
      <c r="Y3150" s="13" t="s">
        <v>10</v>
      </c>
      <c r="Z3150" s="13" t="s">
        <v>0</v>
      </c>
      <c r="AA3150" s="14"/>
      <c r="AB3150" s="13" t="s">
        <v>0</v>
      </c>
      <c r="AC3150" s="13" t="s">
        <v>0</v>
      </c>
      <c r="AD3150" s="13" t="s">
        <v>0</v>
      </c>
      <c r="AE3150" s="15">
        <v>0</v>
      </c>
    </row>
    <row r="3151" spans="1:31" ht="14.15" customHeight="1" x14ac:dyDescent="0.25">
      <c r="A3151" s="12" t="s">
        <v>0</v>
      </c>
      <c r="B3151" s="13" t="s">
        <v>1</v>
      </c>
      <c r="C3151" s="13" t="s">
        <v>3704</v>
      </c>
      <c r="D3151" s="14">
        <v>44337</v>
      </c>
      <c r="E3151" s="14">
        <v>44337</v>
      </c>
      <c r="F3151" s="14">
        <v>44346</v>
      </c>
      <c r="G3151" s="13" t="s">
        <v>48</v>
      </c>
      <c r="H3151" s="13" t="s">
        <v>4</v>
      </c>
      <c r="I3151" s="15">
        <v>-68.64</v>
      </c>
      <c r="J3151" s="13" t="s">
        <v>567</v>
      </c>
      <c r="K3151" s="13" t="s">
        <v>6</v>
      </c>
      <c r="L3151" s="15">
        <v>-5762.33</v>
      </c>
      <c r="M3151" s="15">
        <v>-68.64</v>
      </c>
      <c r="N3151" s="16" t="str">
        <f>IF(M3151="","",IF(M3151&lt;0,-M3151&amp;"_"&amp;COUNTIF(M$2:M3151,M3151),M3151&amp;"_"&amp;COUNTIF(M$2:M3151,M3151)))</f>
        <v>68.64_6</v>
      </c>
      <c r="O3151" s="17" t="str">
        <f t="shared" si="49"/>
        <v/>
      </c>
      <c r="P3151" s="13" t="s">
        <v>3686</v>
      </c>
      <c r="Q3151" s="13" t="s">
        <v>3686</v>
      </c>
      <c r="R3151" s="13" t="s">
        <v>1656</v>
      </c>
      <c r="S3151" s="13" t="s">
        <v>0</v>
      </c>
      <c r="T3151" s="13" t="s">
        <v>9</v>
      </c>
      <c r="U3151" s="13" t="s">
        <v>1656</v>
      </c>
      <c r="V3151" s="13" t="s">
        <v>0</v>
      </c>
      <c r="W3151" s="13" t="s">
        <v>0</v>
      </c>
      <c r="X3151" s="13" t="s">
        <v>0</v>
      </c>
      <c r="Y3151" s="13" t="s">
        <v>10</v>
      </c>
      <c r="Z3151" s="13" t="s">
        <v>0</v>
      </c>
      <c r="AA3151" s="14"/>
      <c r="AB3151" s="13" t="s">
        <v>0</v>
      </c>
      <c r="AC3151" s="13" t="s">
        <v>0</v>
      </c>
      <c r="AD3151" s="13" t="s">
        <v>0</v>
      </c>
      <c r="AE3151" s="15">
        <v>0</v>
      </c>
    </row>
    <row r="3152" spans="1:31" ht="14.15" customHeight="1" x14ac:dyDescent="0.25">
      <c r="A3152" s="12" t="s">
        <v>0</v>
      </c>
      <c r="B3152" s="13" t="s">
        <v>1</v>
      </c>
      <c r="C3152" s="13" t="s">
        <v>3705</v>
      </c>
      <c r="D3152" s="14">
        <v>44337</v>
      </c>
      <c r="E3152" s="14">
        <v>44337</v>
      </c>
      <c r="F3152" s="14">
        <v>44346</v>
      </c>
      <c r="G3152" s="13" t="s">
        <v>48</v>
      </c>
      <c r="H3152" s="13" t="s">
        <v>4</v>
      </c>
      <c r="I3152" s="15">
        <v>-68.64</v>
      </c>
      <c r="J3152" s="13" t="s">
        <v>567</v>
      </c>
      <c r="K3152" s="13" t="s">
        <v>6</v>
      </c>
      <c r="L3152" s="15">
        <v>-5762.33</v>
      </c>
      <c r="M3152" s="15">
        <v>-68.64</v>
      </c>
      <c r="N3152" s="16" t="str">
        <f>IF(M3152="","",IF(M3152&lt;0,-M3152&amp;"_"&amp;COUNTIF(M$2:M3152,M3152),M3152&amp;"_"&amp;COUNTIF(M$2:M3152,M3152)))</f>
        <v>68.64_7</v>
      </c>
      <c r="O3152" s="17" t="str">
        <f t="shared" si="49"/>
        <v/>
      </c>
      <c r="P3152" s="13" t="s">
        <v>3706</v>
      </c>
      <c r="Q3152" s="13" t="s">
        <v>3706</v>
      </c>
      <c r="R3152" s="13" t="s">
        <v>1656</v>
      </c>
      <c r="S3152" s="13" t="s">
        <v>0</v>
      </c>
      <c r="T3152" s="13" t="s">
        <v>9</v>
      </c>
      <c r="U3152" s="13" t="s">
        <v>1656</v>
      </c>
      <c r="V3152" s="13" t="s">
        <v>0</v>
      </c>
      <c r="W3152" s="13" t="s">
        <v>0</v>
      </c>
      <c r="X3152" s="13" t="s">
        <v>0</v>
      </c>
      <c r="Y3152" s="13" t="s">
        <v>10</v>
      </c>
      <c r="Z3152" s="13" t="s">
        <v>0</v>
      </c>
      <c r="AA3152" s="14"/>
      <c r="AB3152" s="13" t="s">
        <v>0</v>
      </c>
      <c r="AC3152" s="13" t="s">
        <v>0</v>
      </c>
      <c r="AD3152" s="13" t="s">
        <v>0</v>
      </c>
      <c r="AE3152" s="15">
        <v>0</v>
      </c>
    </row>
    <row r="3153" spans="1:31" ht="14.15" customHeight="1" x14ac:dyDescent="0.25">
      <c r="A3153" s="12" t="s">
        <v>0</v>
      </c>
      <c r="B3153" s="13" t="s">
        <v>1</v>
      </c>
      <c r="C3153" s="13" t="s">
        <v>3715</v>
      </c>
      <c r="D3153" s="14">
        <v>44337</v>
      </c>
      <c r="E3153" s="14">
        <v>44337</v>
      </c>
      <c r="F3153" s="14">
        <v>44346</v>
      </c>
      <c r="G3153" s="13" t="s">
        <v>48</v>
      </c>
      <c r="H3153" s="13" t="s">
        <v>4</v>
      </c>
      <c r="I3153" s="15">
        <v>-68.64</v>
      </c>
      <c r="J3153" s="13" t="s">
        <v>567</v>
      </c>
      <c r="K3153" s="13" t="s">
        <v>6</v>
      </c>
      <c r="L3153" s="15">
        <v>-5762.33</v>
      </c>
      <c r="M3153" s="15">
        <v>-68.64</v>
      </c>
      <c r="N3153" s="16" t="str">
        <f>IF(M3153="","",IF(M3153&lt;0,-M3153&amp;"_"&amp;COUNTIF(M$2:M3153,M3153),M3153&amp;"_"&amp;COUNTIF(M$2:M3153,M3153)))</f>
        <v>68.64_8</v>
      </c>
      <c r="O3153" s="17" t="str">
        <f t="shared" si="49"/>
        <v/>
      </c>
      <c r="P3153" s="13" t="s">
        <v>3716</v>
      </c>
      <c r="Q3153" s="13" t="s">
        <v>3716</v>
      </c>
      <c r="R3153" s="13" t="s">
        <v>1656</v>
      </c>
      <c r="S3153" s="13" t="s">
        <v>0</v>
      </c>
      <c r="T3153" s="13" t="s">
        <v>9</v>
      </c>
      <c r="U3153" s="13" t="s">
        <v>1656</v>
      </c>
      <c r="V3153" s="13" t="s">
        <v>0</v>
      </c>
      <c r="W3153" s="13" t="s">
        <v>0</v>
      </c>
      <c r="X3153" s="13" t="s">
        <v>0</v>
      </c>
      <c r="Y3153" s="13" t="s">
        <v>10</v>
      </c>
      <c r="Z3153" s="13" t="s">
        <v>0</v>
      </c>
      <c r="AA3153" s="14"/>
      <c r="AB3153" s="13" t="s">
        <v>0</v>
      </c>
      <c r="AC3153" s="13" t="s">
        <v>0</v>
      </c>
      <c r="AD3153" s="13" t="s">
        <v>0</v>
      </c>
      <c r="AE3153" s="15">
        <v>0</v>
      </c>
    </row>
    <row r="3154" spans="1:31" ht="14.15" customHeight="1" x14ac:dyDescent="0.25">
      <c r="A3154" s="12" t="s">
        <v>0</v>
      </c>
      <c r="B3154" s="13" t="s">
        <v>1</v>
      </c>
      <c r="C3154" s="13" t="s">
        <v>3719</v>
      </c>
      <c r="D3154" s="14">
        <v>44337</v>
      </c>
      <c r="E3154" s="14">
        <v>44337</v>
      </c>
      <c r="F3154" s="14">
        <v>44346</v>
      </c>
      <c r="G3154" s="13" t="s">
        <v>48</v>
      </c>
      <c r="H3154" s="13" t="s">
        <v>4</v>
      </c>
      <c r="I3154" s="15">
        <v>-68.64</v>
      </c>
      <c r="J3154" s="13" t="s">
        <v>567</v>
      </c>
      <c r="K3154" s="13" t="s">
        <v>6</v>
      </c>
      <c r="L3154" s="15">
        <v>-5762.33</v>
      </c>
      <c r="M3154" s="15">
        <v>-68.64</v>
      </c>
      <c r="N3154" s="16" t="str">
        <f>IF(M3154="","",IF(M3154&lt;0,-M3154&amp;"_"&amp;COUNTIF(M$2:M3154,M3154),M3154&amp;"_"&amp;COUNTIF(M$2:M3154,M3154)))</f>
        <v>68.64_9</v>
      </c>
      <c r="O3154" s="17" t="str">
        <f t="shared" si="49"/>
        <v/>
      </c>
      <c r="P3154" s="13" t="s">
        <v>3720</v>
      </c>
      <c r="Q3154" s="13" t="s">
        <v>3720</v>
      </c>
      <c r="R3154" s="13" t="s">
        <v>1656</v>
      </c>
      <c r="S3154" s="13" t="s">
        <v>0</v>
      </c>
      <c r="T3154" s="13" t="s">
        <v>9</v>
      </c>
      <c r="U3154" s="13" t="s">
        <v>1656</v>
      </c>
      <c r="V3154" s="13" t="s">
        <v>0</v>
      </c>
      <c r="W3154" s="13" t="s">
        <v>0</v>
      </c>
      <c r="X3154" s="13" t="s">
        <v>0</v>
      </c>
      <c r="Y3154" s="13" t="s">
        <v>10</v>
      </c>
      <c r="Z3154" s="13" t="s">
        <v>0</v>
      </c>
      <c r="AA3154" s="14"/>
      <c r="AB3154" s="13" t="s">
        <v>0</v>
      </c>
      <c r="AC3154" s="13" t="s">
        <v>0</v>
      </c>
      <c r="AD3154" s="13" t="s">
        <v>0</v>
      </c>
      <c r="AE3154" s="15">
        <v>0</v>
      </c>
    </row>
    <row r="3155" spans="1:31" ht="14.15" customHeight="1" x14ac:dyDescent="0.25">
      <c r="A3155" s="12" t="s">
        <v>0</v>
      </c>
      <c r="B3155" s="13" t="s">
        <v>1</v>
      </c>
      <c r="C3155" s="13" t="s">
        <v>1131</v>
      </c>
      <c r="D3155" s="14">
        <v>44137</v>
      </c>
      <c r="E3155" s="14">
        <v>44137</v>
      </c>
      <c r="F3155" s="14">
        <v>44145</v>
      </c>
      <c r="G3155" s="13" t="s">
        <v>3</v>
      </c>
      <c r="H3155" s="13" t="s">
        <v>4</v>
      </c>
      <c r="I3155" s="15">
        <v>-68.44</v>
      </c>
      <c r="J3155" s="13" t="s">
        <v>567</v>
      </c>
      <c r="K3155" s="13" t="s">
        <v>6</v>
      </c>
      <c r="L3155" s="15">
        <v>-5745.54</v>
      </c>
      <c r="M3155" s="15">
        <v>-68.44</v>
      </c>
      <c r="N3155" s="16" t="str">
        <f>IF(M3155="","",IF(M3155&lt;0,-M3155&amp;"_"&amp;COUNTIF(M$2:M3155,M3155),M3155&amp;"_"&amp;COUNTIF(M$2:M3155,M3155)))</f>
        <v>68.44_1</v>
      </c>
      <c r="O3155" s="17" t="str">
        <f t="shared" si="49"/>
        <v/>
      </c>
      <c r="P3155" s="13" t="s">
        <v>1132</v>
      </c>
      <c r="Q3155" s="13" t="s">
        <v>1120</v>
      </c>
      <c r="R3155" s="13" t="s">
        <v>0</v>
      </c>
      <c r="S3155" s="13" t="s">
        <v>0</v>
      </c>
      <c r="T3155" s="13" t="s">
        <v>9</v>
      </c>
      <c r="U3155" s="13" t="s">
        <v>0</v>
      </c>
      <c r="V3155" s="13" t="s">
        <v>0</v>
      </c>
      <c r="W3155" s="13" t="s">
        <v>0</v>
      </c>
      <c r="X3155" s="13" t="s">
        <v>0</v>
      </c>
      <c r="Y3155" s="13" t="s">
        <v>10</v>
      </c>
      <c r="Z3155" s="13" t="s">
        <v>0</v>
      </c>
      <c r="AA3155" s="14"/>
      <c r="AB3155" s="13" t="s">
        <v>0</v>
      </c>
      <c r="AC3155" s="13" t="s">
        <v>0</v>
      </c>
      <c r="AD3155" s="13" t="s">
        <v>0</v>
      </c>
      <c r="AE3155" s="15">
        <v>0</v>
      </c>
    </row>
    <row r="3156" spans="1:31" ht="14.15" customHeight="1" x14ac:dyDescent="0.25">
      <c r="A3156" s="12" t="s">
        <v>0</v>
      </c>
      <c r="B3156" s="13" t="s">
        <v>1</v>
      </c>
      <c r="C3156" s="13" t="s">
        <v>1131</v>
      </c>
      <c r="D3156" s="14">
        <v>44137</v>
      </c>
      <c r="E3156" s="14">
        <v>44137</v>
      </c>
      <c r="F3156" s="14">
        <v>44145</v>
      </c>
      <c r="G3156" s="13" t="s">
        <v>3</v>
      </c>
      <c r="H3156" s="13" t="s">
        <v>4</v>
      </c>
      <c r="I3156" s="15">
        <v>-68.44</v>
      </c>
      <c r="J3156" s="13" t="s">
        <v>567</v>
      </c>
      <c r="K3156" s="13" t="s">
        <v>6</v>
      </c>
      <c r="L3156" s="15">
        <v>-5745.54</v>
      </c>
      <c r="M3156" s="15">
        <v>-68.44</v>
      </c>
      <c r="N3156" s="16" t="str">
        <f>IF(M3156="","",IF(M3156&lt;0,-M3156&amp;"_"&amp;COUNTIF(M$2:M3156,M3156),M3156&amp;"_"&amp;COUNTIF(M$2:M3156,M3156)))</f>
        <v>68.44_2</v>
      </c>
      <c r="O3156" s="17" t="str">
        <f t="shared" si="49"/>
        <v/>
      </c>
      <c r="P3156" s="13" t="s">
        <v>1132</v>
      </c>
      <c r="Q3156" s="13" t="s">
        <v>1120</v>
      </c>
      <c r="R3156" s="13" t="s">
        <v>0</v>
      </c>
      <c r="S3156" s="13" t="s">
        <v>0</v>
      </c>
      <c r="T3156" s="13" t="s">
        <v>9</v>
      </c>
      <c r="U3156" s="13" t="s">
        <v>0</v>
      </c>
      <c r="V3156" s="13" t="s">
        <v>0</v>
      </c>
      <c r="W3156" s="13" t="s">
        <v>0</v>
      </c>
      <c r="X3156" s="13" t="s">
        <v>0</v>
      </c>
      <c r="Y3156" s="13" t="s">
        <v>10</v>
      </c>
      <c r="Z3156" s="13" t="s">
        <v>0</v>
      </c>
      <c r="AA3156" s="14"/>
      <c r="AB3156" s="13" t="s">
        <v>0</v>
      </c>
      <c r="AC3156" s="13" t="s">
        <v>0</v>
      </c>
      <c r="AD3156" s="13" t="s">
        <v>0</v>
      </c>
      <c r="AE3156" s="15">
        <v>0</v>
      </c>
    </row>
    <row r="3157" spans="1:31" ht="14.15" customHeight="1" x14ac:dyDescent="0.25">
      <c r="A3157" s="12" t="s">
        <v>0</v>
      </c>
      <c r="B3157" s="13" t="s">
        <v>1</v>
      </c>
      <c r="C3157" s="13" t="s">
        <v>1621</v>
      </c>
      <c r="D3157" s="14">
        <v>44169</v>
      </c>
      <c r="E3157" s="14">
        <v>44169</v>
      </c>
      <c r="F3157" s="14">
        <v>44189</v>
      </c>
      <c r="G3157" s="13" t="s">
        <v>48</v>
      </c>
      <c r="H3157" s="13" t="s">
        <v>4</v>
      </c>
      <c r="I3157" s="15">
        <v>-67.8</v>
      </c>
      <c r="J3157" s="13" t="s">
        <v>5</v>
      </c>
      <c r="K3157" s="13" t="s">
        <v>6</v>
      </c>
      <c r="L3157" s="15">
        <v>-5691.81</v>
      </c>
      <c r="M3157" s="15">
        <v>-67.8</v>
      </c>
      <c r="N3157" s="16" t="str">
        <f>IF(M3157="","",IF(M3157&lt;0,-M3157&amp;"_"&amp;COUNTIF(M$2:M3157,M3157),M3157&amp;"_"&amp;COUNTIF(M$2:M3157,M3157)))</f>
        <v>67.8_1</v>
      </c>
      <c r="O3157" s="17" t="str">
        <f t="shared" si="49"/>
        <v/>
      </c>
      <c r="P3157" s="13" t="s">
        <v>1622</v>
      </c>
      <c r="Q3157" s="13" t="s">
        <v>1622</v>
      </c>
      <c r="R3157" s="13" t="s">
        <v>1620</v>
      </c>
      <c r="S3157" s="13" t="s">
        <v>0</v>
      </c>
      <c r="T3157" s="13" t="s">
        <v>9</v>
      </c>
      <c r="U3157" s="13" t="s">
        <v>1620</v>
      </c>
      <c r="V3157" s="13" t="s">
        <v>0</v>
      </c>
      <c r="W3157" s="13" t="s">
        <v>0</v>
      </c>
      <c r="X3157" s="13" t="s">
        <v>0</v>
      </c>
      <c r="Y3157" s="13" t="s">
        <v>10</v>
      </c>
      <c r="Z3157" s="13" t="s">
        <v>0</v>
      </c>
      <c r="AA3157" s="14"/>
      <c r="AB3157" s="13" t="s">
        <v>0</v>
      </c>
      <c r="AC3157" s="13" t="s">
        <v>0</v>
      </c>
      <c r="AD3157" s="13" t="s">
        <v>0</v>
      </c>
      <c r="AE3157" s="15">
        <v>0</v>
      </c>
    </row>
    <row r="3158" spans="1:31" ht="14.15" customHeight="1" x14ac:dyDescent="0.25">
      <c r="A3158" s="12" t="s">
        <v>0</v>
      </c>
      <c r="B3158" s="13" t="s">
        <v>1</v>
      </c>
      <c r="C3158" s="13" t="s">
        <v>676</v>
      </c>
      <c r="D3158" s="14">
        <v>44089</v>
      </c>
      <c r="E3158" s="14">
        <v>44089</v>
      </c>
      <c r="F3158" s="14">
        <v>44101</v>
      </c>
      <c r="G3158" s="13" t="s">
        <v>48</v>
      </c>
      <c r="H3158" s="13" t="s">
        <v>4</v>
      </c>
      <c r="I3158" s="15">
        <v>-66</v>
      </c>
      <c r="J3158" s="13" t="s">
        <v>5</v>
      </c>
      <c r="K3158" s="13" t="s">
        <v>6</v>
      </c>
      <c r="L3158" s="15">
        <v>-5540.7</v>
      </c>
      <c r="M3158" s="15">
        <v>-66</v>
      </c>
      <c r="N3158" s="16" t="str">
        <f>IF(M3158="","",IF(M3158&lt;0,-M3158&amp;"_"&amp;COUNTIF(M$2:M3158,M3158),M3158&amp;"_"&amp;COUNTIF(M$2:M3158,M3158)))</f>
        <v>66_1</v>
      </c>
      <c r="O3158" s="17" t="str">
        <f t="shared" si="49"/>
        <v/>
      </c>
      <c r="P3158" s="13" t="s">
        <v>677</v>
      </c>
      <c r="Q3158" s="13" t="s">
        <v>677</v>
      </c>
      <c r="R3158" s="13" t="s">
        <v>50</v>
      </c>
      <c r="S3158" s="13" t="s">
        <v>0</v>
      </c>
      <c r="T3158" s="13" t="s">
        <v>9</v>
      </c>
      <c r="U3158" s="13" t="s">
        <v>51</v>
      </c>
      <c r="V3158" s="13" t="s">
        <v>0</v>
      </c>
      <c r="W3158" s="13" t="s">
        <v>0</v>
      </c>
      <c r="X3158" s="13" t="s">
        <v>0</v>
      </c>
      <c r="Y3158" s="13" t="s">
        <v>10</v>
      </c>
      <c r="Z3158" s="13" t="s">
        <v>0</v>
      </c>
      <c r="AA3158" s="14"/>
      <c r="AB3158" s="13" t="s">
        <v>0</v>
      </c>
      <c r="AC3158" s="13" t="s">
        <v>0</v>
      </c>
      <c r="AD3158" s="13" t="s">
        <v>0</v>
      </c>
      <c r="AE3158" s="15">
        <v>0</v>
      </c>
    </row>
    <row r="3159" spans="1:31" ht="14.15" customHeight="1" x14ac:dyDescent="0.25">
      <c r="A3159" s="12" t="s">
        <v>0</v>
      </c>
      <c r="B3159" s="13" t="s">
        <v>1</v>
      </c>
      <c r="C3159" s="13" t="s">
        <v>2275</v>
      </c>
      <c r="D3159" s="14">
        <v>44218</v>
      </c>
      <c r="E3159" s="14">
        <v>44218</v>
      </c>
      <c r="F3159" s="14">
        <v>44224</v>
      </c>
      <c r="G3159" s="13" t="s">
        <v>3</v>
      </c>
      <c r="H3159" s="13" t="s">
        <v>4</v>
      </c>
      <c r="I3159" s="15">
        <v>-62.32</v>
      </c>
      <c r="J3159" s="13" t="s">
        <v>2277</v>
      </c>
      <c r="K3159" s="13" t="s">
        <v>6</v>
      </c>
      <c r="L3159" s="15">
        <v>-5231.76</v>
      </c>
      <c r="M3159" s="15">
        <v>-62.32</v>
      </c>
      <c r="N3159" s="16" t="str">
        <f>IF(M3159="","",IF(M3159&lt;0,-M3159&amp;"_"&amp;COUNTIF(M$2:M3159,M3159),M3159&amp;"_"&amp;COUNTIF(M$2:M3159,M3159)))</f>
        <v>62.32_1</v>
      </c>
      <c r="O3159" s="17" t="str">
        <f t="shared" si="49"/>
        <v/>
      </c>
      <c r="P3159" s="13" t="s">
        <v>2276</v>
      </c>
      <c r="Q3159" s="13" t="s">
        <v>2274</v>
      </c>
      <c r="R3159" s="13" t="s">
        <v>0</v>
      </c>
      <c r="S3159" s="13" t="s">
        <v>0</v>
      </c>
      <c r="T3159" s="13" t="s">
        <v>9</v>
      </c>
      <c r="U3159" s="13" t="s">
        <v>0</v>
      </c>
      <c r="V3159" s="13" t="s">
        <v>0</v>
      </c>
      <c r="W3159" s="13" t="s">
        <v>0</v>
      </c>
      <c r="X3159" s="13" t="s">
        <v>0</v>
      </c>
      <c r="Y3159" s="13" t="s">
        <v>10</v>
      </c>
      <c r="Z3159" s="13" t="s">
        <v>0</v>
      </c>
      <c r="AA3159" s="14"/>
      <c r="AB3159" s="13" t="s">
        <v>0</v>
      </c>
      <c r="AC3159" s="13" t="s">
        <v>0</v>
      </c>
      <c r="AD3159" s="13" t="s">
        <v>0</v>
      </c>
      <c r="AE3159" s="15">
        <v>0</v>
      </c>
    </row>
    <row r="3160" spans="1:31" ht="14.15" customHeight="1" x14ac:dyDescent="0.25">
      <c r="A3160" s="12" t="s">
        <v>0</v>
      </c>
      <c r="B3160" s="13" t="s">
        <v>1</v>
      </c>
      <c r="C3160" s="13" t="s">
        <v>487</v>
      </c>
      <c r="D3160" s="14">
        <v>44068</v>
      </c>
      <c r="E3160" s="14">
        <v>44068</v>
      </c>
      <c r="F3160" s="14">
        <v>44072</v>
      </c>
      <c r="G3160" s="13" t="s">
        <v>48</v>
      </c>
      <c r="H3160" s="13" t="s">
        <v>4</v>
      </c>
      <c r="I3160" s="15">
        <v>-61.18</v>
      </c>
      <c r="J3160" s="13" t="s">
        <v>488</v>
      </c>
      <c r="K3160" s="13" t="s">
        <v>6</v>
      </c>
      <c r="L3160" s="15">
        <v>-5136.0600000000004</v>
      </c>
      <c r="M3160" s="15">
        <v>-61.18</v>
      </c>
      <c r="N3160" s="16" t="str">
        <f>IF(M3160="","",IF(M3160&lt;0,-M3160&amp;"_"&amp;COUNTIF(M$2:M3160,M3160),M3160&amp;"_"&amp;COUNTIF(M$2:M3160,M3160)))</f>
        <v>61.18_1</v>
      </c>
      <c r="O3160" s="17" t="str">
        <f t="shared" si="49"/>
        <v/>
      </c>
      <c r="P3160" s="13" t="s">
        <v>489</v>
      </c>
      <c r="Q3160" s="13" t="s">
        <v>489</v>
      </c>
      <c r="R3160" s="13" t="s">
        <v>50</v>
      </c>
      <c r="S3160" s="13" t="s">
        <v>0</v>
      </c>
      <c r="T3160" s="13" t="s">
        <v>9</v>
      </c>
      <c r="U3160" s="13" t="s">
        <v>51</v>
      </c>
      <c r="V3160" s="13" t="s">
        <v>0</v>
      </c>
      <c r="W3160" s="13" t="s">
        <v>0</v>
      </c>
      <c r="X3160" s="13" t="s">
        <v>0</v>
      </c>
      <c r="Y3160" s="13" t="s">
        <v>10</v>
      </c>
      <c r="Z3160" s="13" t="s">
        <v>0</v>
      </c>
      <c r="AA3160" s="14"/>
      <c r="AB3160" s="13" t="s">
        <v>0</v>
      </c>
      <c r="AC3160" s="13" t="s">
        <v>0</v>
      </c>
      <c r="AD3160" s="13" t="s">
        <v>0</v>
      </c>
      <c r="AE3160" s="15">
        <v>0</v>
      </c>
    </row>
    <row r="3161" spans="1:31" ht="14.15" customHeight="1" x14ac:dyDescent="0.25">
      <c r="A3161" s="12" t="s">
        <v>0</v>
      </c>
      <c r="B3161" s="13" t="s">
        <v>303</v>
      </c>
      <c r="C3161" s="13" t="s">
        <v>828</v>
      </c>
      <c r="D3161" s="14">
        <v>44104</v>
      </c>
      <c r="E3161" s="14">
        <v>44104</v>
      </c>
      <c r="F3161" s="14">
        <v>44114</v>
      </c>
      <c r="G3161" s="13" t="s">
        <v>48</v>
      </c>
      <c r="H3161" s="13" t="s">
        <v>4</v>
      </c>
      <c r="I3161" s="15">
        <v>-60</v>
      </c>
      <c r="J3161" s="13" t="s">
        <v>5</v>
      </c>
      <c r="K3161" s="13" t="s">
        <v>6</v>
      </c>
      <c r="L3161" s="15">
        <v>-5037</v>
      </c>
      <c r="M3161" s="15">
        <v>-60</v>
      </c>
      <c r="N3161" s="16" t="str">
        <f>IF(M3161="","",IF(M3161&lt;0,-M3161&amp;"_"&amp;COUNTIF(M$2:M3161,M3161),M3161&amp;"_"&amp;COUNTIF(M$2:M3161,M3161)))</f>
        <v>60_1</v>
      </c>
      <c r="O3161" s="17" t="str">
        <f t="shared" si="49"/>
        <v/>
      </c>
      <c r="P3161" s="13" t="s">
        <v>829</v>
      </c>
      <c r="Q3161" s="13" t="s">
        <v>829</v>
      </c>
      <c r="R3161" s="13" t="s">
        <v>306</v>
      </c>
      <c r="S3161" s="13" t="s">
        <v>0</v>
      </c>
      <c r="T3161" s="13" t="s">
        <v>9</v>
      </c>
      <c r="U3161" s="13" t="s">
        <v>307</v>
      </c>
      <c r="V3161" s="13" t="s">
        <v>0</v>
      </c>
      <c r="W3161" s="13" t="s">
        <v>0</v>
      </c>
      <c r="X3161" s="13" t="s">
        <v>0</v>
      </c>
      <c r="Y3161" s="13" t="s">
        <v>291</v>
      </c>
      <c r="Z3161" s="13" t="s">
        <v>0</v>
      </c>
      <c r="AA3161" s="14"/>
      <c r="AB3161" s="13" t="s">
        <v>0</v>
      </c>
      <c r="AC3161" s="13" t="s">
        <v>0</v>
      </c>
      <c r="AD3161" s="13" t="s">
        <v>0</v>
      </c>
      <c r="AE3161" s="15">
        <v>0</v>
      </c>
    </row>
    <row r="3162" spans="1:31" ht="14.15" customHeight="1" x14ac:dyDescent="0.25">
      <c r="A3162" s="12" t="s">
        <v>0</v>
      </c>
      <c r="B3162" s="13" t="s">
        <v>1</v>
      </c>
      <c r="C3162" s="13" t="s">
        <v>1920</v>
      </c>
      <c r="D3162" s="14">
        <v>44191</v>
      </c>
      <c r="E3162" s="14">
        <v>44191</v>
      </c>
      <c r="F3162" s="14">
        <v>44196</v>
      </c>
      <c r="G3162" s="13" t="s">
        <v>48</v>
      </c>
      <c r="H3162" s="13" t="s">
        <v>4</v>
      </c>
      <c r="I3162" s="15">
        <v>-60</v>
      </c>
      <c r="J3162" s="13" t="s">
        <v>5</v>
      </c>
      <c r="K3162" s="13" t="s">
        <v>6</v>
      </c>
      <c r="L3162" s="15">
        <v>-5037</v>
      </c>
      <c r="M3162" s="15">
        <v>-60</v>
      </c>
      <c r="N3162" s="16" t="str">
        <f>IF(M3162="","",IF(M3162&lt;0,-M3162&amp;"_"&amp;COUNTIF(M$2:M3162,M3162),M3162&amp;"_"&amp;COUNTIF(M$2:M3162,M3162)))</f>
        <v>60_2</v>
      </c>
      <c r="O3162" s="17" t="str">
        <f t="shared" si="49"/>
        <v/>
      </c>
      <c r="P3162" s="13" t="s">
        <v>1921</v>
      </c>
      <c r="Q3162" s="13" t="s">
        <v>1921</v>
      </c>
      <c r="R3162" s="13" t="s">
        <v>1656</v>
      </c>
      <c r="S3162" s="13" t="s">
        <v>0</v>
      </c>
      <c r="T3162" s="13" t="s">
        <v>9</v>
      </c>
      <c r="U3162" s="13" t="s">
        <v>1656</v>
      </c>
      <c r="V3162" s="13" t="s">
        <v>0</v>
      </c>
      <c r="W3162" s="13" t="s">
        <v>0</v>
      </c>
      <c r="X3162" s="13" t="s">
        <v>0</v>
      </c>
      <c r="Y3162" s="13" t="s">
        <v>10</v>
      </c>
      <c r="Z3162" s="13" t="s">
        <v>0</v>
      </c>
      <c r="AA3162" s="14"/>
      <c r="AB3162" s="13" t="s">
        <v>0</v>
      </c>
      <c r="AC3162" s="13" t="s">
        <v>0</v>
      </c>
      <c r="AD3162" s="13" t="s">
        <v>0</v>
      </c>
      <c r="AE3162" s="15">
        <v>0</v>
      </c>
    </row>
    <row r="3163" spans="1:31" ht="14.15" customHeight="1" x14ac:dyDescent="0.25">
      <c r="A3163" s="12" t="s">
        <v>0</v>
      </c>
      <c r="B3163" s="13" t="s">
        <v>1</v>
      </c>
      <c r="C3163" s="13" t="s">
        <v>1237</v>
      </c>
      <c r="D3163" s="14">
        <v>44143</v>
      </c>
      <c r="E3163" s="14">
        <v>44143</v>
      </c>
      <c r="F3163" s="14">
        <v>44163</v>
      </c>
      <c r="G3163" s="13" t="s">
        <v>48</v>
      </c>
      <c r="H3163" s="13" t="s">
        <v>4</v>
      </c>
      <c r="I3163" s="15">
        <v>-59.1</v>
      </c>
      <c r="J3163" s="13" t="s">
        <v>477</v>
      </c>
      <c r="K3163" s="13" t="s">
        <v>6</v>
      </c>
      <c r="L3163" s="15">
        <v>-4961.45</v>
      </c>
      <c r="M3163" s="15">
        <v>-59.1</v>
      </c>
      <c r="N3163" s="16" t="str">
        <f>IF(M3163="","",IF(M3163&lt;0,-M3163&amp;"_"&amp;COUNTIF(M$2:M3163,M3163),M3163&amp;"_"&amp;COUNTIF(M$2:M3163,M3163)))</f>
        <v>59.1_1</v>
      </c>
      <c r="O3163" s="17" t="str">
        <f t="shared" si="49"/>
        <v/>
      </c>
      <c r="P3163" s="13" t="s">
        <v>1238</v>
      </c>
      <c r="Q3163" s="13" t="s">
        <v>1238</v>
      </c>
      <c r="R3163" s="13" t="s">
        <v>50</v>
      </c>
      <c r="S3163" s="13" t="s">
        <v>0</v>
      </c>
      <c r="T3163" s="13" t="s">
        <v>9</v>
      </c>
      <c r="U3163" s="13" t="s">
        <v>50</v>
      </c>
      <c r="V3163" s="13" t="s">
        <v>0</v>
      </c>
      <c r="W3163" s="13" t="s">
        <v>0</v>
      </c>
      <c r="X3163" s="13" t="s">
        <v>0</v>
      </c>
      <c r="Y3163" s="13" t="s">
        <v>10</v>
      </c>
      <c r="Z3163" s="13" t="s">
        <v>0</v>
      </c>
      <c r="AA3163" s="14"/>
      <c r="AB3163" s="13" t="s">
        <v>0</v>
      </c>
      <c r="AC3163" s="13" t="s">
        <v>0</v>
      </c>
      <c r="AD3163" s="13" t="s">
        <v>0</v>
      </c>
      <c r="AE3163" s="15">
        <v>0</v>
      </c>
    </row>
    <row r="3164" spans="1:31" ht="14.15" customHeight="1" x14ac:dyDescent="0.25">
      <c r="A3164" s="12" t="s">
        <v>0</v>
      </c>
      <c r="B3164" s="13" t="s">
        <v>1</v>
      </c>
      <c r="C3164" s="13" t="s">
        <v>497</v>
      </c>
      <c r="D3164" s="14">
        <v>44068</v>
      </c>
      <c r="E3164" s="14">
        <v>44068</v>
      </c>
      <c r="F3164" s="14">
        <v>44072</v>
      </c>
      <c r="G3164" s="13" t="s">
        <v>48</v>
      </c>
      <c r="H3164" s="13" t="s">
        <v>4</v>
      </c>
      <c r="I3164" s="15">
        <v>-57</v>
      </c>
      <c r="J3164" s="13" t="s">
        <v>5</v>
      </c>
      <c r="K3164" s="13" t="s">
        <v>6</v>
      </c>
      <c r="L3164" s="15">
        <v>-4785.1499999999996</v>
      </c>
      <c r="M3164" s="15">
        <v>-57</v>
      </c>
      <c r="N3164" s="16" t="str">
        <f>IF(M3164="","",IF(M3164&lt;0,-M3164&amp;"_"&amp;COUNTIF(M$2:M3164,M3164),M3164&amp;"_"&amp;COUNTIF(M$2:M3164,M3164)))</f>
        <v>57_1</v>
      </c>
      <c r="O3164" s="17" t="str">
        <f t="shared" si="49"/>
        <v/>
      </c>
      <c r="P3164" s="13" t="s">
        <v>498</v>
      </c>
      <c r="Q3164" s="13" t="s">
        <v>498</v>
      </c>
      <c r="R3164" s="13" t="s">
        <v>50</v>
      </c>
      <c r="S3164" s="13" t="s">
        <v>0</v>
      </c>
      <c r="T3164" s="13" t="s">
        <v>9</v>
      </c>
      <c r="U3164" s="13" t="s">
        <v>51</v>
      </c>
      <c r="V3164" s="13" t="s">
        <v>0</v>
      </c>
      <c r="W3164" s="13" t="s">
        <v>0</v>
      </c>
      <c r="X3164" s="13" t="s">
        <v>0</v>
      </c>
      <c r="Y3164" s="13" t="s">
        <v>10</v>
      </c>
      <c r="Z3164" s="13" t="s">
        <v>0</v>
      </c>
      <c r="AA3164" s="14"/>
      <c r="AB3164" s="13" t="s">
        <v>0</v>
      </c>
      <c r="AC3164" s="13" t="s">
        <v>0</v>
      </c>
      <c r="AD3164" s="13" t="s">
        <v>0</v>
      </c>
      <c r="AE3164" s="15">
        <v>0</v>
      </c>
    </row>
    <row r="3165" spans="1:31" ht="14.15" customHeight="1" x14ac:dyDescent="0.25">
      <c r="A3165" s="12" t="s">
        <v>0</v>
      </c>
      <c r="B3165" s="13" t="s">
        <v>1</v>
      </c>
      <c r="C3165" s="13" t="s">
        <v>3781</v>
      </c>
      <c r="D3165" s="14">
        <v>44344</v>
      </c>
      <c r="E3165" s="14">
        <v>44344</v>
      </c>
      <c r="F3165" s="14">
        <v>44349</v>
      </c>
      <c r="G3165" s="13" t="s">
        <v>48</v>
      </c>
      <c r="H3165" s="13" t="s">
        <v>4</v>
      </c>
      <c r="I3165" s="15">
        <v>-57</v>
      </c>
      <c r="J3165" s="13" t="s">
        <v>5</v>
      </c>
      <c r="K3165" s="13" t="s">
        <v>6</v>
      </c>
      <c r="L3165" s="15">
        <v>-4785.1499999999996</v>
      </c>
      <c r="M3165" s="15">
        <v>-57</v>
      </c>
      <c r="N3165" s="16" t="str">
        <f>IF(M3165="","",IF(M3165&lt;0,-M3165&amp;"_"&amp;COUNTIF(M$2:M3165,M3165),M3165&amp;"_"&amp;COUNTIF(M$2:M3165,M3165)))</f>
        <v>57_2</v>
      </c>
      <c r="O3165" s="17" t="str">
        <f t="shared" si="49"/>
        <v/>
      </c>
      <c r="P3165" s="13" t="s">
        <v>3782</v>
      </c>
      <c r="Q3165" s="13" t="s">
        <v>3780</v>
      </c>
      <c r="R3165" s="13" t="s">
        <v>1656</v>
      </c>
      <c r="S3165" s="13" t="s">
        <v>0</v>
      </c>
      <c r="T3165" s="13" t="s">
        <v>9</v>
      </c>
      <c r="U3165" s="13" t="s">
        <v>1656</v>
      </c>
      <c r="V3165" s="13" t="s">
        <v>0</v>
      </c>
      <c r="W3165" s="13" t="s">
        <v>0</v>
      </c>
      <c r="X3165" s="13" t="s">
        <v>0</v>
      </c>
      <c r="Y3165" s="13" t="s">
        <v>10</v>
      </c>
      <c r="Z3165" s="13" t="s">
        <v>0</v>
      </c>
      <c r="AA3165" s="14"/>
      <c r="AB3165" s="13" t="s">
        <v>0</v>
      </c>
      <c r="AC3165" s="13" t="s">
        <v>0</v>
      </c>
      <c r="AD3165" s="13" t="s">
        <v>0</v>
      </c>
      <c r="AE3165" s="15">
        <v>0</v>
      </c>
    </row>
    <row r="3166" spans="1:31" ht="14.15" customHeight="1" x14ac:dyDescent="0.25">
      <c r="A3166" s="12" t="s">
        <v>0</v>
      </c>
      <c r="B3166" s="13" t="s">
        <v>1</v>
      </c>
      <c r="C3166" s="13" t="s">
        <v>4129</v>
      </c>
      <c r="D3166" s="14">
        <v>44364</v>
      </c>
      <c r="E3166" s="14">
        <v>44364</v>
      </c>
      <c r="F3166" s="14">
        <v>44376</v>
      </c>
      <c r="G3166" s="13" t="s">
        <v>48</v>
      </c>
      <c r="H3166" s="13" t="s">
        <v>4</v>
      </c>
      <c r="I3166" s="15">
        <v>-57</v>
      </c>
      <c r="J3166" s="13" t="s">
        <v>5</v>
      </c>
      <c r="K3166" s="13" t="s">
        <v>6</v>
      </c>
      <c r="L3166" s="15">
        <v>-4785.1499999999996</v>
      </c>
      <c r="M3166" s="15">
        <v>-57</v>
      </c>
      <c r="N3166" s="16" t="str">
        <f>IF(M3166="","",IF(M3166&lt;0,-M3166&amp;"_"&amp;COUNTIF(M$2:M3166,M3166),M3166&amp;"_"&amp;COUNTIF(M$2:M3166,M3166)))</f>
        <v>57_3</v>
      </c>
      <c r="O3166" s="17" t="str">
        <f t="shared" si="49"/>
        <v/>
      </c>
      <c r="P3166" s="13" t="s">
        <v>4130</v>
      </c>
      <c r="Q3166" s="13" t="s">
        <v>4130</v>
      </c>
      <c r="R3166" s="13" t="s">
        <v>50</v>
      </c>
      <c r="S3166" s="13" t="s">
        <v>0</v>
      </c>
      <c r="T3166" s="13" t="s">
        <v>9</v>
      </c>
      <c r="U3166" s="13" t="s">
        <v>50</v>
      </c>
      <c r="V3166" s="13" t="s">
        <v>0</v>
      </c>
      <c r="W3166" s="13" t="s">
        <v>0</v>
      </c>
      <c r="X3166" s="13" t="s">
        <v>0</v>
      </c>
      <c r="Y3166" s="13" t="s">
        <v>10</v>
      </c>
      <c r="Z3166" s="13" t="s">
        <v>0</v>
      </c>
      <c r="AA3166" s="14"/>
      <c r="AB3166" s="13" t="s">
        <v>0</v>
      </c>
      <c r="AC3166" s="13" t="s">
        <v>0</v>
      </c>
      <c r="AD3166" s="13" t="s">
        <v>0</v>
      </c>
      <c r="AE3166" s="15">
        <v>0</v>
      </c>
    </row>
    <row r="3167" spans="1:31" ht="14.15" customHeight="1" x14ac:dyDescent="0.25">
      <c r="A3167" s="12" t="s">
        <v>0</v>
      </c>
      <c r="B3167" s="13" t="s">
        <v>1</v>
      </c>
      <c r="C3167" s="13" t="s">
        <v>3430</v>
      </c>
      <c r="D3167" s="14">
        <v>44320</v>
      </c>
      <c r="E3167" s="14">
        <v>44320</v>
      </c>
      <c r="F3167" s="14">
        <v>44339</v>
      </c>
      <c r="G3167" s="13" t="s">
        <v>48</v>
      </c>
      <c r="H3167" s="13" t="s">
        <v>4</v>
      </c>
      <c r="I3167" s="15">
        <v>-51.55</v>
      </c>
      <c r="J3167" s="13" t="s">
        <v>3414</v>
      </c>
      <c r="K3167" s="13" t="s">
        <v>6</v>
      </c>
      <c r="L3167" s="15">
        <v>-4327.62</v>
      </c>
      <c r="M3167" s="15">
        <v>-51.55</v>
      </c>
      <c r="N3167" s="16" t="str">
        <f>IF(M3167="","",IF(M3167&lt;0,-M3167&amp;"_"&amp;COUNTIF(M$2:M3167,M3167),M3167&amp;"_"&amp;COUNTIF(M$2:M3167,M3167)))</f>
        <v>51.55_1</v>
      </c>
      <c r="O3167" s="17" t="str">
        <f t="shared" si="49"/>
        <v/>
      </c>
      <c r="P3167" s="13" t="s">
        <v>3431</v>
      </c>
      <c r="Q3167" s="13" t="s">
        <v>3431</v>
      </c>
      <c r="R3167" s="13" t="s">
        <v>1656</v>
      </c>
      <c r="S3167" s="13" t="s">
        <v>0</v>
      </c>
      <c r="T3167" s="13" t="s">
        <v>9</v>
      </c>
      <c r="U3167" s="13" t="s">
        <v>1656</v>
      </c>
      <c r="V3167" s="13" t="s">
        <v>0</v>
      </c>
      <c r="W3167" s="13" t="s">
        <v>0</v>
      </c>
      <c r="X3167" s="13" t="s">
        <v>0</v>
      </c>
      <c r="Y3167" s="13" t="s">
        <v>10</v>
      </c>
      <c r="Z3167" s="13" t="s">
        <v>0</v>
      </c>
      <c r="AA3167" s="14"/>
      <c r="AB3167" s="13" t="s">
        <v>0</v>
      </c>
      <c r="AC3167" s="13" t="s">
        <v>0</v>
      </c>
      <c r="AD3167" s="13" t="s">
        <v>0</v>
      </c>
      <c r="AE3167" s="15">
        <v>0</v>
      </c>
    </row>
    <row r="3168" spans="1:31" ht="14.15" customHeight="1" x14ac:dyDescent="0.25">
      <c r="A3168" s="12" t="s">
        <v>0</v>
      </c>
      <c r="B3168" s="13" t="s">
        <v>1</v>
      </c>
      <c r="C3168" s="13" t="s">
        <v>3970</v>
      </c>
      <c r="D3168" s="14">
        <v>44358</v>
      </c>
      <c r="E3168" s="14">
        <v>44358</v>
      </c>
      <c r="F3168" s="14">
        <v>44370</v>
      </c>
      <c r="G3168" s="13" t="s">
        <v>48</v>
      </c>
      <c r="H3168" s="13" t="s">
        <v>4</v>
      </c>
      <c r="I3168" s="15">
        <v>-50</v>
      </c>
      <c r="J3168" s="13" t="s">
        <v>5</v>
      </c>
      <c r="K3168" s="13" t="s">
        <v>6</v>
      </c>
      <c r="L3168" s="15">
        <v>-4197.5</v>
      </c>
      <c r="M3168" s="15">
        <v>-50</v>
      </c>
      <c r="N3168" s="16" t="str">
        <f>IF(M3168="","",IF(M3168&lt;0,-M3168&amp;"_"&amp;COUNTIF(M$2:M3168,M3168),M3168&amp;"_"&amp;COUNTIF(M$2:M3168,M3168)))</f>
        <v>50_1</v>
      </c>
      <c r="O3168" s="17" t="str">
        <f t="shared" si="49"/>
        <v/>
      </c>
      <c r="P3168" s="13" t="s">
        <v>3971</v>
      </c>
      <c r="Q3168" s="13" t="s">
        <v>3971</v>
      </c>
      <c r="R3168" s="13" t="s">
        <v>50</v>
      </c>
      <c r="S3168" s="13" t="s">
        <v>0</v>
      </c>
      <c r="T3168" s="13" t="s">
        <v>9</v>
      </c>
      <c r="U3168" s="13" t="s">
        <v>50</v>
      </c>
      <c r="V3168" s="13" t="s">
        <v>0</v>
      </c>
      <c r="W3168" s="13" t="s">
        <v>0</v>
      </c>
      <c r="X3168" s="13" t="s">
        <v>0</v>
      </c>
      <c r="Y3168" s="13" t="s">
        <v>10</v>
      </c>
      <c r="Z3168" s="13" t="s">
        <v>0</v>
      </c>
      <c r="AA3168" s="14"/>
      <c r="AB3168" s="13" t="s">
        <v>0</v>
      </c>
      <c r="AC3168" s="13" t="s">
        <v>0</v>
      </c>
      <c r="AD3168" s="13" t="s">
        <v>0</v>
      </c>
      <c r="AE3168" s="15">
        <v>0</v>
      </c>
    </row>
    <row r="3169" spans="1:31" ht="14.15" customHeight="1" x14ac:dyDescent="0.25">
      <c r="A3169" s="12" t="s">
        <v>0</v>
      </c>
      <c r="B3169" s="13" t="s">
        <v>1</v>
      </c>
      <c r="C3169" s="13" t="s">
        <v>3972</v>
      </c>
      <c r="D3169" s="14">
        <v>44358</v>
      </c>
      <c r="E3169" s="14">
        <v>44358</v>
      </c>
      <c r="F3169" s="14">
        <v>44370</v>
      </c>
      <c r="G3169" s="13" t="s">
        <v>48</v>
      </c>
      <c r="H3169" s="13" t="s">
        <v>4</v>
      </c>
      <c r="I3169" s="15">
        <v>-50</v>
      </c>
      <c r="J3169" s="13" t="s">
        <v>5</v>
      </c>
      <c r="K3169" s="13" t="s">
        <v>6</v>
      </c>
      <c r="L3169" s="15">
        <v>-4197.5</v>
      </c>
      <c r="M3169" s="15">
        <v>-50</v>
      </c>
      <c r="N3169" s="16" t="str">
        <f>IF(M3169="","",IF(M3169&lt;0,-M3169&amp;"_"&amp;COUNTIF(M$2:M3169,M3169),M3169&amp;"_"&amp;COUNTIF(M$2:M3169,M3169)))</f>
        <v>50_2</v>
      </c>
      <c r="O3169" s="17" t="str">
        <f t="shared" si="49"/>
        <v/>
      </c>
      <c r="P3169" s="13" t="s">
        <v>3973</v>
      </c>
      <c r="Q3169" s="13" t="s">
        <v>3973</v>
      </c>
      <c r="R3169" s="13" t="s">
        <v>50</v>
      </c>
      <c r="S3169" s="13" t="s">
        <v>0</v>
      </c>
      <c r="T3169" s="13" t="s">
        <v>9</v>
      </c>
      <c r="U3169" s="13" t="s">
        <v>50</v>
      </c>
      <c r="V3169" s="13" t="s">
        <v>0</v>
      </c>
      <c r="W3169" s="13" t="s">
        <v>0</v>
      </c>
      <c r="X3169" s="13" t="s">
        <v>0</v>
      </c>
      <c r="Y3169" s="13" t="s">
        <v>10</v>
      </c>
      <c r="Z3169" s="13" t="s">
        <v>0</v>
      </c>
      <c r="AA3169" s="14"/>
      <c r="AB3169" s="13" t="s">
        <v>0</v>
      </c>
      <c r="AC3169" s="13" t="s">
        <v>0</v>
      </c>
      <c r="AD3169" s="13" t="s">
        <v>0</v>
      </c>
      <c r="AE3169" s="15">
        <v>0</v>
      </c>
    </row>
    <row r="3170" spans="1:31" ht="14.15" customHeight="1" x14ac:dyDescent="0.25">
      <c r="A3170" s="12" t="s">
        <v>0</v>
      </c>
      <c r="B3170" s="13" t="s">
        <v>1</v>
      </c>
      <c r="C3170" s="13" t="s">
        <v>3986</v>
      </c>
      <c r="D3170" s="14">
        <v>44358</v>
      </c>
      <c r="E3170" s="14">
        <v>44358</v>
      </c>
      <c r="F3170" s="14">
        <v>44371</v>
      </c>
      <c r="G3170" s="13" t="s">
        <v>48</v>
      </c>
      <c r="H3170" s="13" t="s">
        <v>4</v>
      </c>
      <c r="I3170" s="15">
        <v>-50</v>
      </c>
      <c r="J3170" s="13" t="s">
        <v>5</v>
      </c>
      <c r="K3170" s="13" t="s">
        <v>6</v>
      </c>
      <c r="L3170" s="15">
        <v>-4197.5</v>
      </c>
      <c r="M3170" s="15">
        <v>-50</v>
      </c>
      <c r="N3170" s="16" t="str">
        <f>IF(M3170="","",IF(M3170&lt;0,-M3170&amp;"_"&amp;COUNTIF(M$2:M3170,M3170),M3170&amp;"_"&amp;COUNTIF(M$2:M3170,M3170)))</f>
        <v>50_3</v>
      </c>
      <c r="O3170" s="17" t="str">
        <f t="shared" si="49"/>
        <v/>
      </c>
      <c r="P3170" s="13" t="s">
        <v>3987</v>
      </c>
      <c r="Q3170" s="13" t="s">
        <v>3987</v>
      </c>
      <c r="R3170" s="13" t="s">
        <v>50</v>
      </c>
      <c r="S3170" s="13" t="s">
        <v>0</v>
      </c>
      <c r="T3170" s="13" t="s">
        <v>9</v>
      </c>
      <c r="U3170" s="13" t="s">
        <v>50</v>
      </c>
      <c r="V3170" s="13" t="s">
        <v>0</v>
      </c>
      <c r="W3170" s="13" t="s">
        <v>0</v>
      </c>
      <c r="X3170" s="13" t="s">
        <v>0</v>
      </c>
      <c r="Y3170" s="13" t="s">
        <v>10</v>
      </c>
      <c r="Z3170" s="13" t="s">
        <v>0</v>
      </c>
      <c r="AA3170" s="14"/>
      <c r="AB3170" s="13" t="s">
        <v>0</v>
      </c>
      <c r="AC3170" s="13" t="s">
        <v>0</v>
      </c>
      <c r="AD3170" s="13" t="s">
        <v>0</v>
      </c>
      <c r="AE3170" s="15">
        <v>0</v>
      </c>
    </row>
    <row r="3171" spans="1:31" ht="14.15" customHeight="1" x14ac:dyDescent="0.25">
      <c r="A3171" s="12" t="s">
        <v>0</v>
      </c>
      <c r="B3171" s="13" t="s">
        <v>1</v>
      </c>
      <c r="C3171" s="13" t="s">
        <v>3988</v>
      </c>
      <c r="D3171" s="14">
        <v>44358</v>
      </c>
      <c r="E3171" s="14">
        <v>44358</v>
      </c>
      <c r="F3171" s="14">
        <v>44371</v>
      </c>
      <c r="G3171" s="13" t="s">
        <v>48</v>
      </c>
      <c r="H3171" s="13" t="s">
        <v>4</v>
      </c>
      <c r="I3171" s="15">
        <v>-50</v>
      </c>
      <c r="J3171" s="13" t="s">
        <v>5</v>
      </c>
      <c r="K3171" s="13" t="s">
        <v>6</v>
      </c>
      <c r="L3171" s="15">
        <v>-4197.5</v>
      </c>
      <c r="M3171" s="15">
        <v>-50</v>
      </c>
      <c r="N3171" s="16" t="str">
        <f>IF(M3171="","",IF(M3171&lt;0,-M3171&amp;"_"&amp;COUNTIF(M$2:M3171,M3171),M3171&amp;"_"&amp;COUNTIF(M$2:M3171,M3171)))</f>
        <v>50_4</v>
      </c>
      <c r="O3171" s="17" t="str">
        <f t="shared" si="49"/>
        <v/>
      </c>
      <c r="P3171" s="13" t="s">
        <v>3989</v>
      </c>
      <c r="Q3171" s="13" t="s">
        <v>3989</v>
      </c>
      <c r="R3171" s="13" t="s">
        <v>50</v>
      </c>
      <c r="S3171" s="13" t="s">
        <v>0</v>
      </c>
      <c r="T3171" s="13" t="s">
        <v>9</v>
      </c>
      <c r="U3171" s="13" t="s">
        <v>50</v>
      </c>
      <c r="V3171" s="13" t="s">
        <v>0</v>
      </c>
      <c r="W3171" s="13" t="s">
        <v>0</v>
      </c>
      <c r="X3171" s="13" t="s">
        <v>0</v>
      </c>
      <c r="Y3171" s="13" t="s">
        <v>10</v>
      </c>
      <c r="Z3171" s="13" t="s">
        <v>0</v>
      </c>
      <c r="AA3171" s="14"/>
      <c r="AB3171" s="13" t="s">
        <v>0</v>
      </c>
      <c r="AC3171" s="13" t="s">
        <v>0</v>
      </c>
      <c r="AD3171" s="13" t="s">
        <v>0</v>
      </c>
      <c r="AE3171" s="15">
        <v>0</v>
      </c>
    </row>
    <row r="3172" spans="1:31" ht="14.15" customHeight="1" x14ac:dyDescent="0.25">
      <c r="A3172" s="12" t="s">
        <v>0</v>
      </c>
      <c r="B3172" s="13" t="s">
        <v>1</v>
      </c>
      <c r="C3172" s="13" t="s">
        <v>4000</v>
      </c>
      <c r="D3172" s="14">
        <v>44358</v>
      </c>
      <c r="E3172" s="14">
        <v>44358</v>
      </c>
      <c r="F3172" s="14">
        <v>44372</v>
      </c>
      <c r="G3172" s="13" t="s">
        <v>48</v>
      </c>
      <c r="H3172" s="13" t="s">
        <v>4</v>
      </c>
      <c r="I3172" s="15">
        <v>-50</v>
      </c>
      <c r="J3172" s="13" t="s">
        <v>5</v>
      </c>
      <c r="K3172" s="13" t="s">
        <v>6</v>
      </c>
      <c r="L3172" s="15">
        <v>-4197.5</v>
      </c>
      <c r="M3172" s="15">
        <v>-50</v>
      </c>
      <c r="N3172" s="16" t="str">
        <f>IF(M3172="","",IF(M3172&lt;0,-M3172&amp;"_"&amp;COUNTIF(M$2:M3172,M3172),M3172&amp;"_"&amp;COUNTIF(M$2:M3172,M3172)))</f>
        <v>50_5</v>
      </c>
      <c r="O3172" s="17" t="str">
        <f t="shared" si="49"/>
        <v/>
      </c>
      <c r="P3172" s="13" t="s">
        <v>4001</v>
      </c>
      <c r="Q3172" s="13" t="s">
        <v>4001</v>
      </c>
      <c r="R3172" s="13" t="s">
        <v>50</v>
      </c>
      <c r="S3172" s="13" t="s">
        <v>0</v>
      </c>
      <c r="T3172" s="13" t="s">
        <v>9</v>
      </c>
      <c r="U3172" s="13" t="s">
        <v>50</v>
      </c>
      <c r="V3172" s="13" t="s">
        <v>0</v>
      </c>
      <c r="W3172" s="13" t="s">
        <v>0</v>
      </c>
      <c r="X3172" s="13" t="s">
        <v>0</v>
      </c>
      <c r="Y3172" s="13" t="s">
        <v>10</v>
      </c>
      <c r="Z3172" s="13" t="s">
        <v>0</v>
      </c>
      <c r="AA3172" s="14"/>
      <c r="AB3172" s="13" t="s">
        <v>0</v>
      </c>
      <c r="AC3172" s="13" t="s">
        <v>0</v>
      </c>
      <c r="AD3172" s="13" t="s">
        <v>0</v>
      </c>
      <c r="AE3172" s="15">
        <v>0</v>
      </c>
    </row>
    <row r="3173" spans="1:31" ht="14.15" customHeight="1" x14ac:dyDescent="0.25">
      <c r="A3173" s="12" t="s">
        <v>0</v>
      </c>
      <c r="B3173" s="13" t="s">
        <v>1</v>
      </c>
      <c r="C3173" s="13" t="s">
        <v>4122</v>
      </c>
      <c r="D3173" s="14">
        <v>44364</v>
      </c>
      <c r="E3173" s="14">
        <v>44364</v>
      </c>
      <c r="F3173" s="14">
        <v>44376</v>
      </c>
      <c r="G3173" s="13" t="s">
        <v>48</v>
      </c>
      <c r="H3173" s="13" t="s">
        <v>4</v>
      </c>
      <c r="I3173" s="15">
        <v>-50</v>
      </c>
      <c r="J3173" s="13" t="s">
        <v>5</v>
      </c>
      <c r="K3173" s="13" t="s">
        <v>6</v>
      </c>
      <c r="L3173" s="15">
        <v>-4197.5</v>
      </c>
      <c r="M3173" s="15">
        <v>-50</v>
      </c>
      <c r="N3173" s="16" t="str">
        <f>IF(M3173="","",IF(M3173&lt;0,-M3173&amp;"_"&amp;COUNTIF(M$2:M3173,M3173),M3173&amp;"_"&amp;COUNTIF(M$2:M3173,M3173)))</f>
        <v>50_6</v>
      </c>
      <c r="O3173" s="17" t="str">
        <f t="shared" si="49"/>
        <v/>
      </c>
      <c r="P3173" s="13" t="s">
        <v>4123</v>
      </c>
      <c r="Q3173" s="13" t="s">
        <v>4123</v>
      </c>
      <c r="R3173" s="13" t="s">
        <v>50</v>
      </c>
      <c r="S3173" s="13" t="s">
        <v>0</v>
      </c>
      <c r="T3173" s="13" t="s">
        <v>9</v>
      </c>
      <c r="U3173" s="13" t="s">
        <v>50</v>
      </c>
      <c r="V3173" s="13" t="s">
        <v>0</v>
      </c>
      <c r="W3173" s="13" t="s">
        <v>0</v>
      </c>
      <c r="X3173" s="13" t="s">
        <v>0</v>
      </c>
      <c r="Y3173" s="13" t="s">
        <v>10</v>
      </c>
      <c r="Z3173" s="13" t="s">
        <v>0</v>
      </c>
      <c r="AA3173" s="14"/>
      <c r="AB3173" s="13" t="s">
        <v>0</v>
      </c>
      <c r="AC3173" s="13" t="s">
        <v>0</v>
      </c>
      <c r="AD3173" s="13" t="s">
        <v>0</v>
      </c>
      <c r="AE3173" s="15">
        <v>0</v>
      </c>
    </row>
    <row r="3174" spans="1:31" ht="14.15" customHeight="1" x14ac:dyDescent="0.25">
      <c r="A3174" s="12" t="s">
        <v>0</v>
      </c>
      <c r="B3174" s="13" t="s">
        <v>1</v>
      </c>
      <c r="C3174" s="13" t="s">
        <v>4124</v>
      </c>
      <c r="D3174" s="14">
        <v>44364</v>
      </c>
      <c r="E3174" s="14">
        <v>44364</v>
      </c>
      <c r="F3174" s="14">
        <v>44376</v>
      </c>
      <c r="G3174" s="13" t="s">
        <v>48</v>
      </c>
      <c r="H3174" s="13" t="s">
        <v>4</v>
      </c>
      <c r="I3174" s="15">
        <v>-50</v>
      </c>
      <c r="J3174" s="13" t="s">
        <v>5</v>
      </c>
      <c r="K3174" s="13" t="s">
        <v>6</v>
      </c>
      <c r="L3174" s="15">
        <v>-4197.5</v>
      </c>
      <c r="M3174" s="15">
        <v>-50</v>
      </c>
      <c r="N3174" s="16" t="str">
        <f>IF(M3174="","",IF(M3174&lt;0,-M3174&amp;"_"&amp;COUNTIF(M$2:M3174,M3174),M3174&amp;"_"&amp;COUNTIF(M$2:M3174,M3174)))</f>
        <v>50_7</v>
      </c>
      <c r="O3174" s="17" t="str">
        <f t="shared" si="49"/>
        <v/>
      </c>
      <c r="P3174" s="13" t="s">
        <v>4125</v>
      </c>
      <c r="Q3174" s="13" t="s">
        <v>4125</v>
      </c>
      <c r="R3174" s="13" t="s">
        <v>50</v>
      </c>
      <c r="S3174" s="13" t="s">
        <v>0</v>
      </c>
      <c r="T3174" s="13" t="s">
        <v>9</v>
      </c>
      <c r="U3174" s="13" t="s">
        <v>50</v>
      </c>
      <c r="V3174" s="13" t="s">
        <v>0</v>
      </c>
      <c r="W3174" s="13" t="s">
        <v>0</v>
      </c>
      <c r="X3174" s="13" t="s">
        <v>0</v>
      </c>
      <c r="Y3174" s="13" t="s">
        <v>10</v>
      </c>
      <c r="Z3174" s="13" t="s">
        <v>0</v>
      </c>
      <c r="AA3174" s="14"/>
      <c r="AB3174" s="13" t="s">
        <v>0</v>
      </c>
      <c r="AC3174" s="13" t="s">
        <v>0</v>
      </c>
      <c r="AD3174" s="13" t="s">
        <v>0</v>
      </c>
      <c r="AE3174" s="15">
        <v>0</v>
      </c>
    </row>
    <row r="3175" spans="1:31" ht="14.15" customHeight="1" x14ac:dyDescent="0.25">
      <c r="A3175" s="12" t="s">
        <v>0</v>
      </c>
      <c r="B3175" s="13" t="s">
        <v>1</v>
      </c>
      <c r="C3175" s="13" t="s">
        <v>4128</v>
      </c>
      <c r="D3175" s="14">
        <v>44364</v>
      </c>
      <c r="E3175" s="14">
        <v>44364</v>
      </c>
      <c r="F3175" s="14">
        <v>44376</v>
      </c>
      <c r="G3175" s="13" t="s">
        <v>48</v>
      </c>
      <c r="H3175" s="13" t="s">
        <v>4</v>
      </c>
      <c r="I3175" s="15">
        <v>-50</v>
      </c>
      <c r="J3175" s="13" t="s">
        <v>5</v>
      </c>
      <c r="K3175" s="13" t="s">
        <v>6</v>
      </c>
      <c r="L3175" s="15">
        <v>-4197.5</v>
      </c>
      <c r="M3175" s="15">
        <v>-50</v>
      </c>
      <c r="N3175" s="16" t="str">
        <f>IF(M3175="","",IF(M3175&lt;0,-M3175&amp;"_"&amp;COUNTIF(M$2:M3175,M3175),M3175&amp;"_"&amp;COUNTIF(M$2:M3175,M3175)))</f>
        <v>50_8</v>
      </c>
      <c r="O3175" s="17" t="str">
        <f t="shared" si="49"/>
        <v/>
      </c>
      <c r="P3175" s="13" t="s">
        <v>4117</v>
      </c>
      <c r="Q3175" s="13" t="s">
        <v>4117</v>
      </c>
      <c r="R3175" s="13" t="s">
        <v>50</v>
      </c>
      <c r="S3175" s="13" t="s">
        <v>0</v>
      </c>
      <c r="T3175" s="13" t="s">
        <v>9</v>
      </c>
      <c r="U3175" s="13" t="s">
        <v>50</v>
      </c>
      <c r="V3175" s="13" t="s">
        <v>0</v>
      </c>
      <c r="W3175" s="13" t="s">
        <v>0</v>
      </c>
      <c r="X3175" s="13" t="s">
        <v>0</v>
      </c>
      <c r="Y3175" s="13" t="s">
        <v>10</v>
      </c>
      <c r="Z3175" s="13" t="s">
        <v>0</v>
      </c>
      <c r="AA3175" s="14"/>
      <c r="AB3175" s="13" t="s">
        <v>0</v>
      </c>
      <c r="AC3175" s="13" t="s">
        <v>0</v>
      </c>
      <c r="AD3175" s="13" t="s">
        <v>0</v>
      </c>
      <c r="AE3175" s="15">
        <v>0</v>
      </c>
    </row>
    <row r="3176" spans="1:31" ht="14.15" customHeight="1" x14ac:dyDescent="0.25">
      <c r="A3176" s="12" t="s">
        <v>0</v>
      </c>
      <c r="B3176" s="13" t="s">
        <v>1</v>
      </c>
      <c r="C3176" s="13" t="s">
        <v>4133</v>
      </c>
      <c r="D3176" s="14">
        <v>44364</v>
      </c>
      <c r="E3176" s="14">
        <v>44364</v>
      </c>
      <c r="F3176" s="14">
        <v>44376</v>
      </c>
      <c r="G3176" s="13" t="s">
        <v>48</v>
      </c>
      <c r="H3176" s="13" t="s">
        <v>4</v>
      </c>
      <c r="I3176" s="15">
        <v>-50</v>
      </c>
      <c r="J3176" s="13" t="s">
        <v>5</v>
      </c>
      <c r="K3176" s="13" t="s">
        <v>6</v>
      </c>
      <c r="L3176" s="15">
        <v>-4197.5</v>
      </c>
      <c r="M3176" s="15">
        <v>-50</v>
      </c>
      <c r="N3176" s="16" t="str">
        <f>IF(M3176="","",IF(M3176&lt;0,-M3176&amp;"_"&amp;COUNTIF(M$2:M3176,M3176),M3176&amp;"_"&amp;COUNTIF(M$2:M3176,M3176)))</f>
        <v>50_9</v>
      </c>
      <c r="O3176" s="17" t="str">
        <f t="shared" si="49"/>
        <v/>
      </c>
      <c r="P3176" s="13" t="s">
        <v>4134</v>
      </c>
      <c r="Q3176" s="13" t="s">
        <v>4134</v>
      </c>
      <c r="R3176" s="13" t="s">
        <v>50</v>
      </c>
      <c r="S3176" s="13" t="s">
        <v>0</v>
      </c>
      <c r="T3176" s="13" t="s">
        <v>9</v>
      </c>
      <c r="U3176" s="13" t="s">
        <v>50</v>
      </c>
      <c r="V3176" s="13" t="s">
        <v>0</v>
      </c>
      <c r="W3176" s="13" t="s">
        <v>0</v>
      </c>
      <c r="X3176" s="13" t="s">
        <v>0</v>
      </c>
      <c r="Y3176" s="13" t="s">
        <v>10</v>
      </c>
      <c r="Z3176" s="13" t="s">
        <v>0</v>
      </c>
      <c r="AA3176" s="14"/>
      <c r="AB3176" s="13" t="s">
        <v>0</v>
      </c>
      <c r="AC3176" s="13" t="s">
        <v>0</v>
      </c>
      <c r="AD3176" s="13" t="s">
        <v>0</v>
      </c>
      <c r="AE3176" s="15">
        <v>0</v>
      </c>
    </row>
    <row r="3177" spans="1:31" ht="14.15" customHeight="1" x14ac:dyDescent="0.25">
      <c r="A3177" s="12" t="s">
        <v>0</v>
      </c>
      <c r="B3177" s="13" t="s">
        <v>1</v>
      </c>
      <c r="C3177" s="13" t="s">
        <v>4137</v>
      </c>
      <c r="D3177" s="14">
        <v>44364</v>
      </c>
      <c r="E3177" s="14">
        <v>44364</v>
      </c>
      <c r="F3177" s="14">
        <v>44376</v>
      </c>
      <c r="G3177" s="13" t="s">
        <v>48</v>
      </c>
      <c r="H3177" s="13" t="s">
        <v>4</v>
      </c>
      <c r="I3177" s="15">
        <v>-50</v>
      </c>
      <c r="J3177" s="13" t="s">
        <v>5</v>
      </c>
      <c r="K3177" s="13" t="s">
        <v>6</v>
      </c>
      <c r="L3177" s="15">
        <v>-4197.5</v>
      </c>
      <c r="M3177" s="15">
        <v>-50</v>
      </c>
      <c r="N3177" s="16" t="str">
        <f>IF(M3177="","",IF(M3177&lt;0,-M3177&amp;"_"&amp;COUNTIF(M$2:M3177,M3177),M3177&amp;"_"&amp;COUNTIF(M$2:M3177,M3177)))</f>
        <v>50_10</v>
      </c>
      <c r="O3177" s="17" t="str">
        <f t="shared" si="49"/>
        <v/>
      </c>
      <c r="P3177" s="13" t="s">
        <v>4138</v>
      </c>
      <c r="Q3177" s="13" t="s">
        <v>4138</v>
      </c>
      <c r="R3177" s="13" t="s">
        <v>50</v>
      </c>
      <c r="S3177" s="13" t="s">
        <v>0</v>
      </c>
      <c r="T3177" s="13" t="s">
        <v>9</v>
      </c>
      <c r="U3177" s="13" t="s">
        <v>50</v>
      </c>
      <c r="V3177" s="13" t="s">
        <v>0</v>
      </c>
      <c r="W3177" s="13" t="s">
        <v>0</v>
      </c>
      <c r="X3177" s="13" t="s">
        <v>0</v>
      </c>
      <c r="Y3177" s="13" t="s">
        <v>10</v>
      </c>
      <c r="Z3177" s="13" t="s">
        <v>0</v>
      </c>
      <c r="AA3177" s="14"/>
      <c r="AB3177" s="13" t="s">
        <v>0</v>
      </c>
      <c r="AC3177" s="13" t="s">
        <v>0</v>
      </c>
      <c r="AD3177" s="13" t="s">
        <v>0</v>
      </c>
      <c r="AE3177" s="15">
        <v>0</v>
      </c>
    </row>
    <row r="3178" spans="1:31" ht="14.15" customHeight="1" x14ac:dyDescent="0.25">
      <c r="A3178" s="12" t="s">
        <v>0</v>
      </c>
      <c r="B3178" s="13" t="s">
        <v>1</v>
      </c>
      <c r="C3178" s="13" t="s">
        <v>4141</v>
      </c>
      <c r="D3178" s="14">
        <v>44364</v>
      </c>
      <c r="E3178" s="14">
        <v>44364</v>
      </c>
      <c r="F3178" s="14">
        <v>44376</v>
      </c>
      <c r="G3178" s="13" t="s">
        <v>48</v>
      </c>
      <c r="H3178" s="13" t="s">
        <v>4</v>
      </c>
      <c r="I3178" s="15">
        <v>-50</v>
      </c>
      <c r="J3178" s="13" t="s">
        <v>5</v>
      </c>
      <c r="K3178" s="13" t="s">
        <v>6</v>
      </c>
      <c r="L3178" s="15">
        <v>-4197.5</v>
      </c>
      <c r="M3178" s="15">
        <v>-50</v>
      </c>
      <c r="N3178" s="16" t="str">
        <f>IF(M3178="","",IF(M3178&lt;0,-M3178&amp;"_"&amp;COUNTIF(M$2:M3178,M3178),M3178&amp;"_"&amp;COUNTIF(M$2:M3178,M3178)))</f>
        <v>50_11</v>
      </c>
      <c r="O3178" s="17" t="str">
        <f t="shared" si="49"/>
        <v/>
      </c>
      <c r="P3178" s="13" t="s">
        <v>4142</v>
      </c>
      <c r="Q3178" s="13" t="s">
        <v>4142</v>
      </c>
      <c r="R3178" s="13" t="s">
        <v>50</v>
      </c>
      <c r="S3178" s="13" t="s">
        <v>0</v>
      </c>
      <c r="T3178" s="13" t="s">
        <v>9</v>
      </c>
      <c r="U3178" s="13" t="s">
        <v>50</v>
      </c>
      <c r="V3178" s="13" t="s">
        <v>0</v>
      </c>
      <c r="W3178" s="13" t="s">
        <v>0</v>
      </c>
      <c r="X3178" s="13" t="s">
        <v>0</v>
      </c>
      <c r="Y3178" s="13" t="s">
        <v>10</v>
      </c>
      <c r="Z3178" s="13" t="s">
        <v>0</v>
      </c>
      <c r="AA3178" s="14"/>
      <c r="AB3178" s="13" t="s">
        <v>0</v>
      </c>
      <c r="AC3178" s="13" t="s">
        <v>0</v>
      </c>
      <c r="AD3178" s="13" t="s">
        <v>0</v>
      </c>
      <c r="AE3178" s="15">
        <v>0</v>
      </c>
    </row>
    <row r="3179" spans="1:31" ht="14.15" customHeight="1" x14ac:dyDescent="0.25">
      <c r="A3179" s="12" t="s">
        <v>0</v>
      </c>
      <c r="B3179" s="13" t="s">
        <v>1</v>
      </c>
      <c r="C3179" s="13" t="s">
        <v>4143</v>
      </c>
      <c r="D3179" s="14">
        <v>44364</v>
      </c>
      <c r="E3179" s="14">
        <v>44364</v>
      </c>
      <c r="F3179" s="14">
        <v>44376</v>
      </c>
      <c r="G3179" s="13" t="s">
        <v>48</v>
      </c>
      <c r="H3179" s="13" t="s">
        <v>4</v>
      </c>
      <c r="I3179" s="15">
        <v>-50</v>
      </c>
      <c r="J3179" s="13" t="s">
        <v>5</v>
      </c>
      <c r="K3179" s="13" t="s">
        <v>6</v>
      </c>
      <c r="L3179" s="15">
        <v>-4197.5</v>
      </c>
      <c r="M3179" s="15">
        <v>-50</v>
      </c>
      <c r="N3179" s="16" t="str">
        <f>IF(M3179="","",IF(M3179&lt;0,-M3179&amp;"_"&amp;COUNTIF(M$2:M3179,M3179),M3179&amp;"_"&amp;COUNTIF(M$2:M3179,M3179)))</f>
        <v>50_12</v>
      </c>
      <c r="O3179" s="17" t="str">
        <f t="shared" si="49"/>
        <v/>
      </c>
      <c r="P3179" s="13" t="s">
        <v>4144</v>
      </c>
      <c r="Q3179" s="13" t="s">
        <v>4144</v>
      </c>
      <c r="R3179" s="13" t="s">
        <v>50</v>
      </c>
      <c r="S3179" s="13" t="s">
        <v>0</v>
      </c>
      <c r="T3179" s="13" t="s">
        <v>9</v>
      </c>
      <c r="U3179" s="13" t="s">
        <v>50</v>
      </c>
      <c r="V3179" s="13" t="s">
        <v>0</v>
      </c>
      <c r="W3179" s="13" t="s">
        <v>0</v>
      </c>
      <c r="X3179" s="13" t="s">
        <v>0</v>
      </c>
      <c r="Y3179" s="13" t="s">
        <v>10</v>
      </c>
      <c r="Z3179" s="13" t="s">
        <v>0</v>
      </c>
      <c r="AA3179" s="14"/>
      <c r="AB3179" s="13" t="s">
        <v>0</v>
      </c>
      <c r="AC3179" s="13" t="s">
        <v>0</v>
      </c>
      <c r="AD3179" s="13" t="s">
        <v>0</v>
      </c>
      <c r="AE3179" s="15">
        <v>0</v>
      </c>
    </row>
    <row r="3180" spans="1:31" ht="14.15" customHeight="1" x14ac:dyDescent="0.25">
      <c r="A3180" s="12" t="s">
        <v>0</v>
      </c>
      <c r="B3180" s="13" t="s">
        <v>1</v>
      </c>
      <c r="C3180" s="13" t="s">
        <v>4159</v>
      </c>
      <c r="D3180" s="14">
        <v>44364</v>
      </c>
      <c r="E3180" s="14">
        <v>44364</v>
      </c>
      <c r="F3180" s="14">
        <v>44376</v>
      </c>
      <c r="G3180" s="13" t="s">
        <v>48</v>
      </c>
      <c r="H3180" s="13" t="s">
        <v>4</v>
      </c>
      <c r="I3180" s="15">
        <v>-50</v>
      </c>
      <c r="J3180" s="13" t="s">
        <v>5</v>
      </c>
      <c r="K3180" s="13" t="s">
        <v>6</v>
      </c>
      <c r="L3180" s="15">
        <v>-4197.5</v>
      </c>
      <c r="M3180" s="15">
        <v>-50</v>
      </c>
      <c r="N3180" s="16" t="str">
        <f>IF(M3180="","",IF(M3180&lt;0,-M3180&amp;"_"&amp;COUNTIF(M$2:M3180,M3180),M3180&amp;"_"&amp;COUNTIF(M$2:M3180,M3180)))</f>
        <v>50_13</v>
      </c>
      <c r="O3180" s="17" t="str">
        <f t="shared" si="49"/>
        <v/>
      </c>
      <c r="P3180" s="13" t="s">
        <v>4160</v>
      </c>
      <c r="Q3180" s="13" t="s">
        <v>4160</v>
      </c>
      <c r="R3180" s="13" t="s">
        <v>50</v>
      </c>
      <c r="S3180" s="13" t="s">
        <v>0</v>
      </c>
      <c r="T3180" s="13" t="s">
        <v>9</v>
      </c>
      <c r="U3180" s="13" t="s">
        <v>50</v>
      </c>
      <c r="V3180" s="13" t="s">
        <v>0</v>
      </c>
      <c r="W3180" s="13" t="s">
        <v>0</v>
      </c>
      <c r="X3180" s="13" t="s">
        <v>0</v>
      </c>
      <c r="Y3180" s="13" t="s">
        <v>10</v>
      </c>
      <c r="Z3180" s="13" t="s">
        <v>0</v>
      </c>
      <c r="AA3180" s="14"/>
      <c r="AB3180" s="13" t="s">
        <v>0</v>
      </c>
      <c r="AC3180" s="13" t="s">
        <v>0</v>
      </c>
      <c r="AD3180" s="13" t="s">
        <v>0</v>
      </c>
      <c r="AE3180" s="15">
        <v>0</v>
      </c>
    </row>
    <row r="3181" spans="1:31" ht="14.15" customHeight="1" x14ac:dyDescent="0.25">
      <c r="A3181" s="12" t="s">
        <v>0</v>
      </c>
      <c r="B3181" s="13" t="s">
        <v>1</v>
      </c>
      <c r="C3181" s="13" t="s">
        <v>4175</v>
      </c>
      <c r="D3181" s="14">
        <v>44364</v>
      </c>
      <c r="E3181" s="14">
        <v>44364</v>
      </c>
      <c r="F3181" s="14">
        <v>44376</v>
      </c>
      <c r="G3181" s="13" t="s">
        <v>48</v>
      </c>
      <c r="H3181" s="13" t="s">
        <v>4</v>
      </c>
      <c r="I3181" s="15">
        <v>-50</v>
      </c>
      <c r="J3181" s="13" t="s">
        <v>5</v>
      </c>
      <c r="K3181" s="13" t="s">
        <v>6</v>
      </c>
      <c r="L3181" s="15">
        <v>-4197.5</v>
      </c>
      <c r="M3181" s="15">
        <v>-50</v>
      </c>
      <c r="N3181" s="16" t="str">
        <f>IF(M3181="","",IF(M3181&lt;0,-M3181&amp;"_"&amp;COUNTIF(M$2:M3181,M3181),M3181&amp;"_"&amp;COUNTIF(M$2:M3181,M3181)))</f>
        <v>50_14</v>
      </c>
      <c r="O3181" s="17" t="str">
        <f t="shared" si="49"/>
        <v/>
      </c>
      <c r="P3181" s="13" t="s">
        <v>4176</v>
      </c>
      <c r="Q3181" s="13" t="s">
        <v>4176</v>
      </c>
      <c r="R3181" s="13" t="s">
        <v>50</v>
      </c>
      <c r="S3181" s="13" t="s">
        <v>0</v>
      </c>
      <c r="T3181" s="13" t="s">
        <v>9</v>
      </c>
      <c r="U3181" s="13" t="s">
        <v>50</v>
      </c>
      <c r="V3181" s="13" t="s">
        <v>0</v>
      </c>
      <c r="W3181" s="13" t="s">
        <v>0</v>
      </c>
      <c r="X3181" s="13" t="s">
        <v>0</v>
      </c>
      <c r="Y3181" s="13" t="s">
        <v>10</v>
      </c>
      <c r="Z3181" s="13" t="s">
        <v>0</v>
      </c>
      <c r="AA3181" s="14"/>
      <c r="AB3181" s="13" t="s">
        <v>0</v>
      </c>
      <c r="AC3181" s="13" t="s">
        <v>0</v>
      </c>
      <c r="AD3181" s="13" t="s">
        <v>0</v>
      </c>
      <c r="AE3181" s="15">
        <v>0</v>
      </c>
    </row>
    <row r="3182" spans="1:31" ht="14.15" customHeight="1" x14ac:dyDescent="0.25">
      <c r="A3182" s="12" t="s">
        <v>0</v>
      </c>
      <c r="B3182" s="13" t="s">
        <v>1</v>
      </c>
      <c r="C3182" s="13" t="s">
        <v>2054</v>
      </c>
      <c r="D3182" s="14">
        <v>44199</v>
      </c>
      <c r="E3182" s="14">
        <v>44199</v>
      </c>
      <c r="F3182" s="14">
        <v>44220</v>
      </c>
      <c r="G3182" s="13" t="s">
        <v>48</v>
      </c>
      <c r="H3182" s="13" t="s">
        <v>4</v>
      </c>
      <c r="I3182" s="15">
        <v>-49.25</v>
      </c>
      <c r="J3182" s="13" t="s">
        <v>1233</v>
      </c>
      <c r="K3182" s="13" t="s">
        <v>6</v>
      </c>
      <c r="L3182" s="15">
        <v>-4134.54</v>
      </c>
      <c r="M3182" s="15">
        <v>-49.25</v>
      </c>
      <c r="N3182" s="16" t="str">
        <f>IF(M3182="","",IF(M3182&lt;0,-M3182&amp;"_"&amp;COUNTIF(M$2:M3182,M3182),M3182&amp;"_"&amp;COUNTIF(M$2:M3182,M3182)))</f>
        <v>49.25_1</v>
      </c>
      <c r="O3182" s="17" t="str">
        <f t="shared" si="49"/>
        <v/>
      </c>
      <c r="P3182" s="13" t="s">
        <v>2055</v>
      </c>
      <c r="Q3182" s="13" t="s">
        <v>2055</v>
      </c>
      <c r="R3182" s="13" t="s">
        <v>1656</v>
      </c>
      <c r="S3182" s="13" t="s">
        <v>0</v>
      </c>
      <c r="T3182" s="13" t="s">
        <v>9</v>
      </c>
      <c r="U3182" s="13" t="s">
        <v>1656</v>
      </c>
      <c r="V3182" s="13" t="s">
        <v>0</v>
      </c>
      <c r="W3182" s="13" t="s">
        <v>0</v>
      </c>
      <c r="X3182" s="13" t="s">
        <v>0</v>
      </c>
      <c r="Y3182" s="13" t="s">
        <v>10</v>
      </c>
      <c r="Z3182" s="13" t="s">
        <v>0</v>
      </c>
      <c r="AA3182" s="14"/>
      <c r="AB3182" s="13" t="s">
        <v>0</v>
      </c>
      <c r="AC3182" s="13" t="s">
        <v>0</v>
      </c>
      <c r="AD3182" s="13" t="s">
        <v>0</v>
      </c>
      <c r="AE3182" s="15">
        <v>0</v>
      </c>
    </row>
    <row r="3183" spans="1:31" ht="14.15" customHeight="1" x14ac:dyDescent="0.25">
      <c r="A3183" s="12" t="s">
        <v>0</v>
      </c>
      <c r="B3183" s="13" t="s">
        <v>1</v>
      </c>
      <c r="C3183" s="13" t="s">
        <v>2058</v>
      </c>
      <c r="D3183" s="14">
        <v>44199</v>
      </c>
      <c r="E3183" s="14">
        <v>44199</v>
      </c>
      <c r="F3183" s="14">
        <v>44220</v>
      </c>
      <c r="G3183" s="13" t="s">
        <v>48</v>
      </c>
      <c r="H3183" s="13" t="s">
        <v>4</v>
      </c>
      <c r="I3183" s="15">
        <v>-49.25</v>
      </c>
      <c r="J3183" s="13" t="s">
        <v>1233</v>
      </c>
      <c r="K3183" s="13" t="s">
        <v>6</v>
      </c>
      <c r="L3183" s="15">
        <v>-4134.54</v>
      </c>
      <c r="M3183" s="15">
        <v>-49.25</v>
      </c>
      <c r="N3183" s="16" t="str">
        <f>IF(M3183="","",IF(M3183&lt;0,-M3183&amp;"_"&amp;COUNTIF(M$2:M3183,M3183),M3183&amp;"_"&amp;COUNTIF(M$2:M3183,M3183)))</f>
        <v>49.25_2</v>
      </c>
      <c r="O3183" s="17" t="str">
        <f t="shared" si="49"/>
        <v/>
      </c>
      <c r="P3183" s="13" t="s">
        <v>2059</v>
      </c>
      <c r="Q3183" s="13" t="s">
        <v>2059</v>
      </c>
      <c r="R3183" s="13" t="s">
        <v>1656</v>
      </c>
      <c r="S3183" s="13" t="s">
        <v>0</v>
      </c>
      <c r="T3183" s="13" t="s">
        <v>9</v>
      </c>
      <c r="U3183" s="13" t="s">
        <v>1656</v>
      </c>
      <c r="V3183" s="13" t="s">
        <v>0</v>
      </c>
      <c r="W3183" s="13" t="s">
        <v>0</v>
      </c>
      <c r="X3183" s="13" t="s">
        <v>0</v>
      </c>
      <c r="Y3183" s="13" t="s">
        <v>10</v>
      </c>
      <c r="Z3183" s="13" t="s">
        <v>0</v>
      </c>
      <c r="AA3183" s="14"/>
      <c r="AB3183" s="13" t="s">
        <v>0</v>
      </c>
      <c r="AC3183" s="13" t="s">
        <v>0</v>
      </c>
      <c r="AD3183" s="13" t="s">
        <v>0</v>
      </c>
      <c r="AE3183" s="15">
        <v>0</v>
      </c>
    </row>
    <row r="3184" spans="1:31" ht="14.15" customHeight="1" x14ac:dyDescent="0.25">
      <c r="A3184" s="12" t="s">
        <v>0</v>
      </c>
      <c r="B3184" s="13" t="s">
        <v>1</v>
      </c>
      <c r="C3184" s="13" t="s">
        <v>2066</v>
      </c>
      <c r="D3184" s="14">
        <v>44199</v>
      </c>
      <c r="E3184" s="14">
        <v>44199</v>
      </c>
      <c r="F3184" s="14">
        <v>44220</v>
      </c>
      <c r="G3184" s="13" t="s">
        <v>48</v>
      </c>
      <c r="H3184" s="13" t="s">
        <v>4</v>
      </c>
      <c r="I3184" s="15">
        <v>-49.25</v>
      </c>
      <c r="J3184" s="13" t="s">
        <v>1233</v>
      </c>
      <c r="K3184" s="13" t="s">
        <v>6</v>
      </c>
      <c r="L3184" s="15">
        <v>-4134.54</v>
      </c>
      <c r="M3184" s="15">
        <v>-49.25</v>
      </c>
      <c r="N3184" s="16" t="str">
        <f>IF(M3184="","",IF(M3184&lt;0,-M3184&amp;"_"&amp;COUNTIF(M$2:M3184,M3184),M3184&amp;"_"&amp;COUNTIF(M$2:M3184,M3184)))</f>
        <v>49.25_3</v>
      </c>
      <c r="O3184" s="17" t="str">
        <f t="shared" si="49"/>
        <v/>
      </c>
      <c r="P3184" s="13" t="s">
        <v>2067</v>
      </c>
      <c r="Q3184" s="13" t="s">
        <v>2067</v>
      </c>
      <c r="R3184" s="13" t="s">
        <v>1656</v>
      </c>
      <c r="S3184" s="13" t="s">
        <v>0</v>
      </c>
      <c r="T3184" s="13" t="s">
        <v>9</v>
      </c>
      <c r="U3184" s="13" t="s">
        <v>1656</v>
      </c>
      <c r="V3184" s="13" t="s">
        <v>0</v>
      </c>
      <c r="W3184" s="13" t="s">
        <v>0</v>
      </c>
      <c r="X3184" s="13" t="s">
        <v>0</v>
      </c>
      <c r="Y3184" s="13" t="s">
        <v>10</v>
      </c>
      <c r="Z3184" s="13" t="s">
        <v>0</v>
      </c>
      <c r="AA3184" s="14"/>
      <c r="AB3184" s="13" t="s">
        <v>0</v>
      </c>
      <c r="AC3184" s="13" t="s">
        <v>0</v>
      </c>
      <c r="AD3184" s="13" t="s">
        <v>0</v>
      </c>
      <c r="AE3184" s="15">
        <v>0</v>
      </c>
    </row>
    <row r="3185" spans="1:31" ht="14.15" customHeight="1" x14ac:dyDescent="0.25">
      <c r="A3185" s="12" t="s">
        <v>0</v>
      </c>
      <c r="B3185" s="13" t="s">
        <v>1</v>
      </c>
      <c r="C3185" s="13" t="s">
        <v>2075</v>
      </c>
      <c r="D3185" s="14">
        <v>44199</v>
      </c>
      <c r="E3185" s="14">
        <v>44199</v>
      </c>
      <c r="F3185" s="14">
        <v>44220</v>
      </c>
      <c r="G3185" s="13" t="s">
        <v>48</v>
      </c>
      <c r="H3185" s="13" t="s">
        <v>4</v>
      </c>
      <c r="I3185" s="15">
        <v>-49.25</v>
      </c>
      <c r="J3185" s="13" t="s">
        <v>1233</v>
      </c>
      <c r="K3185" s="13" t="s">
        <v>6</v>
      </c>
      <c r="L3185" s="15">
        <v>-4134.54</v>
      </c>
      <c r="M3185" s="15">
        <v>-49.25</v>
      </c>
      <c r="N3185" s="16" t="str">
        <f>IF(M3185="","",IF(M3185&lt;0,-M3185&amp;"_"&amp;COUNTIF(M$2:M3185,M3185),M3185&amp;"_"&amp;COUNTIF(M$2:M3185,M3185)))</f>
        <v>49.25_4</v>
      </c>
      <c r="O3185" s="17" t="str">
        <f t="shared" si="49"/>
        <v/>
      </c>
      <c r="P3185" s="13" t="s">
        <v>2076</v>
      </c>
      <c r="Q3185" s="13" t="s">
        <v>2076</v>
      </c>
      <c r="R3185" s="13" t="s">
        <v>1656</v>
      </c>
      <c r="S3185" s="13" t="s">
        <v>0</v>
      </c>
      <c r="T3185" s="13" t="s">
        <v>9</v>
      </c>
      <c r="U3185" s="13" t="s">
        <v>1656</v>
      </c>
      <c r="V3185" s="13" t="s">
        <v>0</v>
      </c>
      <c r="W3185" s="13" t="s">
        <v>0</v>
      </c>
      <c r="X3185" s="13" t="s">
        <v>0</v>
      </c>
      <c r="Y3185" s="13" t="s">
        <v>10</v>
      </c>
      <c r="Z3185" s="13" t="s">
        <v>0</v>
      </c>
      <c r="AA3185" s="14"/>
      <c r="AB3185" s="13" t="s">
        <v>0</v>
      </c>
      <c r="AC3185" s="13" t="s">
        <v>0</v>
      </c>
      <c r="AD3185" s="13" t="s">
        <v>0</v>
      </c>
      <c r="AE3185" s="15">
        <v>0</v>
      </c>
    </row>
    <row r="3186" spans="1:31" ht="14.15" customHeight="1" x14ac:dyDescent="0.25">
      <c r="A3186" s="12" t="s">
        <v>0</v>
      </c>
      <c r="B3186" s="13" t="s">
        <v>1</v>
      </c>
      <c r="C3186" s="13" t="s">
        <v>2079</v>
      </c>
      <c r="D3186" s="14">
        <v>44199</v>
      </c>
      <c r="E3186" s="14">
        <v>44199</v>
      </c>
      <c r="F3186" s="14">
        <v>44220</v>
      </c>
      <c r="G3186" s="13" t="s">
        <v>48</v>
      </c>
      <c r="H3186" s="13" t="s">
        <v>4</v>
      </c>
      <c r="I3186" s="15">
        <v>-49.25</v>
      </c>
      <c r="J3186" s="13" t="s">
        <v>1233</v>
      </c>
      <c r="K3186" s="13" t="s">
        <v>6</v>
      </c>
      <c r="L3186" s="15">
        <v>-4134.54</v>
      </c>
      <c r="M3186" s="15">
        <v>-49.25</v>
      </c>
      <c r="N3186" s="16" t="str">
        <f>IF(M3186="","",IF(M3186&lt;0,-M3186&amp;"_"&amp;COUNTIF(M$2:M3186,M3186),M3186&amp;"_"&amp;COUNTIF(M$2:M3186,M3186)))</f>
        <v>49.25_5</v>
      </c>
      <c r="O3186" s="17" t="str">
        <f t="shared" si="49"/>
        <v/>
      </c>
      <c r="P3186" s="13" t="s">
        <v>2080</v>
      </c>
      <c r="Q3186" s="13" t="s">
        <v>2080</v>
      </c>
      <c r="R3186" s="13" t="s">
        <v>1656</v>
      </c>
      <c r="S3186" s="13" t="s">
        <v>0</v>
      </c>
      <c r="T3186" s="13" t="s">
        <v>9</v>
      </c>
      <c r="U3186" s="13" t="s">
        <v>1656</v>
      </c>
      <c r="V3186" s="13" t="s">
        <v>0</v>
      </c>
      <c r="W3186" s="13" t="s">
        <v>0</v>
      </c>
      <c r="X3186" s="13" t="s">
        <v>0</v>
      </c>
      <c r="Y3186" s="13" t="s">
        <v>10</v>
      </c>
      <c r="Z3186" s="13" t="s">
        <v>0</v>
      </c>
      <c r="AA3186" s="14"/>
      <c r="AB3186" s="13" t="s">
        <v>0</v>
      </c>
      <c r="AC3186" s="13" t="s">
        <v>0</v>
      </c>
      <c r="AD3186" s="13" t="s">
        <v>0</v>
      </c>
      <c r="AE3186" s="15">
        <v>0</v>
      </c>
    </row>
    <row r="3187" spans="1:31" ht="14.15" customHeight="1" x14ac:dyDescent="0.25">
      <c r="A3187" s="12" t="s">
        <v>0</v>
      </c>
      <c r="B3187" s="13" t="s">
        <v>1</v>
      </c>
      <c r="C3187" s="13" t="s">
        <v>2087</v>
      </c>
      <c r="D3187" s="14">
        <v>44199</v>
      </c>
      <c r="E3187" s="14">
        <v>44199</v>
      </c>
      <c r="F3187" s="14">
        <v>44220</v>
      </c>
      <c r="G3187" s="13" t="s">
        <v>48</v>
      </c>
      <c r="H3187" s="13" t="s">
        <v>4</v>
      </c>
      <c r="I3187" s="15">
        <v>-49.25</v>
      </c>
      <c r="J3187" s="13" t="s">
        <v>1233</v>
      </c>
      <c r="K3187" s="13" t="s">
        <v>6</v>
      </c>
      <c r="L3187" s="15">
        <v>-4134.54</v>
      </c>
      <c r="M3187" s="15">
        <v>-49.25</v>
      </c>
      <c r="N3187" s="16" t="str">
        <f>IF(M3187="","",IF(M3187&lt;0,-M3187&amp;"_"&amp;COUNTIF(M$2:M3187,M3187),M3187&amp;"_"&amp;COUNTIF(M$2:M3187,M3187)))</f>
        <v>49.25_6</v>
      </c>
      <c r="O3187" s="17" t="str">
        <f t="shared" si="49"/>
        <v/>
      </c>
      <c r="P3187" s="13" t="s">
        <v>2088</v>
      </c>
      <c r="Q3187" s="13" t="s">
        <v>2088</v>
      </c>
      <c r="R3187" s="13" t="s">
        <v>1656</v>
      </c>
      <c r="S3187" s="13" t="s">
        <v>0</v>
      </c>
      <c r="T3187" s="13" t="s">
        <v>9</v>
      </c>
      <c r="U3187" s="13" t="s">
        <v>1656</v>
      </c>
      <c r="V3187" s="13" t="s">
        <v>0</v>
      </c>
      <c r="W3187" s="13" t="s">
        <v>0</v>
      </c>
      <c r="X3187" s="13" t="s">
        <v>0</v>
      </c>
      <c r="Y3187" s="13" t="s">
        <v>10</v>
      </c>
      <c r="Z3187" s="13" t="s">
        <v>0</v>
      </c>
      <c r="AA3187" s="14"/>
      <c r="AB3187" s="13" t="s">
        <v>0</v>
      </c>
      <c r="AC3187" s="13" t="s">
        <v>0</v>
      </c>
      <c r="AD3187" s="13" t="s">
        <v>0</v>
      </c>
      <c r="AE3187" s="15">
        <v>0</v>
      </c>
    </row>
    <row r="3188" spans="1:31" ht="14.15" customHeight="1" x14ac:dyDescent="0.25">
      <c r="A3188" s="12" t="s">
        <v>0</v>
      </c>
      <c r="B3188" s="13" t="s">
        <v>1</v>
      </c>
      <c r="C3188" s="13" t="s">
        <v>2374</v>
      </c>
      <c r="D3188" s="14">
        <v>44227</v>
      </c>
      <c r="E3188" s="14">
        <v>44227</v>
      </c>
      <c r="F3188" s="14">
        <v>44231</v>
      </c>
      <c r="G3188" s="13" t="s">
        <v>48</v>
      </c>
      <c r="H3188" s="13" t="s">
        <v>4</v>
      </c>
      <c r="I3188" s="15">
        <v>-49.25</v>
      </c>
      <c r="J3188" s="13" t="s">
        <v>1233</v>
      </c>
      <c r="K3188" s="13" t="s">
        <v>6</v>
      </c>
      <c r="L3188" s="15">
        <v>-4134.54</v>
      </c>
      <c r="M3188" s="15">
        <v>-49.25</v>
      </c>
      <c r="N3188" s="16" t="str">
        <f>IF(M3188="","",IF(M3188&lt;0,-M3188&amp;"_"&amp;COUNTIF(M$2:M3188,M3188),M3188&amp;"_"&amp;COUNTIF(M$2:M3188,M3188)))</f>
        <v>49.25_7</v>
      </c>
      <c r="O3188" s="17" t="str">
        <f t="shared" si="49"/>
        <v/>
      </c>
      <c r="P3188" s="13" t="s">
        <v>2375</v>
      </c>
      <c r="Q3188" s="13" t="s">
        <v>2375</v>
      </c>
      <c r="R3188" s="13" t="s">
        <v>1656</v>
      </c>
      <c r="S3188" s="13" t="s">
        <v>0</v>
      </c>
      <c r="T3188" s="13" t="s">
        <v>9</v>
      </c>
      <c r="U3188" s="13" t="s">
        <v>1656</v>
      </c>
      <c r="V3188" s="13" t="s">
        <v>0</v>
      </c>
      <c r="W3188" s="13" t="s">
        <v>0</v>
      </c>
      <c r="X3188" s="13" t="s">
        <v>0</v>
      </c>
      <c r="Y3188" s="13" t="s">
        <v>10</v>
      </c>
      <c r="Z3188" s="13" t="s">
        <v>0</v>
      </c>
      <c r="AA3188" s="14"/>
      <c r="AB3188" s="13" t="s">
        <v>0</v>
      </c>
      <c r="AC3188" s="13" t="s">
        <v>0</v>
      </c>
      <c r="AD3188" s="13" t="s">
        <v>0</v>
      </c>
      <c r="AE3188" s="15">
        <v>0</v>
      </c>
    </row>
    <row r="3189" spans="1:31" ht="14.15" customHeight="1" x14ac:dyDescent="0.25">
      <c r="A3189" s="12" t="s">
        <v>0</v>
      </c>
      <c r="B3189" s="13" t="s">
        <v>1</v>
      </c>
      <c r="C3189" s="13" t="s">
        <v>3996</v>
      </c>
      <c r="D3189" s="14">
        <v>44358</v>
      </c>
      <c r="E3189" s="14">
        <v>44358</v>
      </c>
      <c r="F3189" s="14">
        <v>44371</v>
      </c>
      <c r="G3189" s="13" t="s">
        <v>48</v>
      </c>
      <c r="H3189" s="13" t="s">
        <v>4</v>
      </c>
      <c r="I3189" s="15">
        <v>-48</v>
      </c>
      <c r="J3189" s="13" t="s">
        <v>5</v>
      </c>
      <c r="K3189" s="13" t="s">
        <v>6</v>
      </c>
      <c r="L3189" s="15">
        <v>-4029.6</v>
      </c>
      <c r="M3189" s="15">
        <v>-48</v>
      </c>
      <c r="N3189" s="16" t="str">
        <f>IF(M3189="","",IF(M3189&lt;0,-M3189&amp;"_"&amp;COUNTIF(M$2:M3189,M3189),M3189&amp;"_"&amp;COUNTIF(M$2:M3189,M3189)))</f>
        <v>48_1</v>
      </c>
      <c r="O3189" s="17" t="str">
        <f t="shared" si="49"/>
        <v/>
      </c>
      <c r="P3189" s="13" t="s">
        <v>3997</v>
      </c>
      <c r="Q3189" s="13" t="s">
        <v>3997</v>
      </c>
      <c r="R3189" s="13" t="s">
        <v>50</v>
      </c>
      <c r="S3189" s="13" t="s">
        <v>0</v>
      </c>
      <c r="T3189" s="13" t="s">
        <v>9</v>
      </c>
      <c r="U3189" s="13" t="s">
        <v>50</v>
      </c>
      <c r="V3189" s="13" t="s">
        <v>0</v>
      </c>
      <c r="W3189" s="13" t="s">
        <v>0</v>
      </c>
      <c r="X3189" s="13" t="s">
        <v>0</v>
      </c>
      <c r="Y3189" s="13" t="s">
        <v>10</v>
      </c>
      <c r="Z3189" s="13" t="s">
        <v>0</v>
      </c>
      <c r="AA3189" s="14"/>
      <c r="AB3189" s="13" t="s">
        <v>0</v>
      </c>
      <c r="AC3189" s="13" t="s">
        <v>0</v>
      </c>
      <c r="AD3189" s="13" t="s">
        <v>0</v>
      </c>
      <c r="AE3189" s="15">
        <v>0</v>
      </c>
    </row>
    <row r="3190" spans="1:31" ht="14.15" customHeight="1" x14ac:dyDescent="0.25">
      <c r="A3190" s="12" t="s">
        <v>0</v>
      </c>
      <c r="B3190" s="13" t="s">
        <v>1</v>
      </c>
      <c r="C3190" s="13" t="s">
        <v>476</v>
      </c>
      <c r="D3190" s="14">
        <v>44068</v>
      </c>
      <c r="E3190" s="14">
        <v>44068</v>
      </c>
      <c r="F3190" s="14">
        <v>44072</v>
      </c>
      <c r="G3190" s="13" t="s">
        <v>48</v>
      </c>
      <c r="H3190" s="13" t="s">
        <v>4</v>
      </c>
      <c r="I3190" s="15">
        <v>-47.48</v>
      </c>
      <c r="J3190" s="13" t="s">
        <v>477</v>
      </c>
      <c r="K3190" s="13" t="s">
        <v>6</v>
      </c>
      <c r="L3190" s="15">
        <v>-3985.95</v>
      </c>
      <c r="M3190" s="15">
        <v>-47.48</v>
      </c>
      <c r="N3190" s="16" t="str">
        <f>IF(M3190="","",IF(M3190&lt;0,-M3190&amp;"_"&amp;COUNTIF(M$2:M3190,M3190),M3190&amp;"_"&amp;COUNTIF(M$2:M3190,M3190)))</f>
        <v>47.48_1</v>
      </c>
      <c r="O3190" s="17" t="str">
        <f t="shared" si="49"/>
        <v/>
      </c>
      <c r="P3190" s="13" t="s">
        <v>478</v>
      </c>
      <c r="Q3190" s="13" t="s">
        <v>478</v>
      </c>
      <c r="R3190" s="13" t="s">
        <v>50</v>
      </c>
      <c r="S3190" s="13" t="s">
        <v>0</v>
      </c>
      <c r="T3190" s="13" t="s">
        <v>9</v>
      </c>
      <c r="U3190" s="13" t="s">
        <v>51</v>
      </c>
      <c r="V3190" s="13" t="s">
        <v>0</v>
      </c>
      <c r="W3190" s="13" t="s">
        <v>0</v>
      </c>
      <c r="X3190" s="13" t="s">
        <v>0</v>
      </c>
      <c r="Y3190" s="13" t="s">
        <v>10</v>
      </c>
      <c r="Z3190" s="13" t="s">
        <v>0</v>
      </c>
      <c r="AA3190" s="14"/>
      <c r="AB3190" s="13" t="s">
        <v>0</v>
      </c>
      <c r="AC3190" s="13" t="s">
        <v>0</v>
      </c>
      <c r="AD3190" s="13" t="s">
        <v>0</v>
      </c>
      <c r="AE3190" s="15">
        <v>0</v>
      </c>
    </row>
    <row r="3191" spans="1:31" ht="14.15" customHeight="1" x14ac:dyDescent="0.25">
      <c r="A3191" s="12" t="s">
        <v>0</v>
      </c>
      <c r="B3191" s="13" t="s">
        <v>1</v>
      </c>
      <c r="C3191" s="13" t="s">
        <v>2025</v>
      </c>
      <c r="D3191" s="14">
        <v>44197</v>
      </c>
      <c r="E3191" s="14">
        <v>44197</v>
      </c>
      <c r="F3191" s="14">
        <v>44220</v>
      </c>
      <c r="G3191" s="13" t="s">
        <v>48</v>
      </c>
      <c r="H3191" s="13" t="s">
        <v>4</v>
      </c>
      <c r="I3191" s="15">
        <v>-46</v>
      </c>
      <c r="J3191" s="13" t="s">
        <v>5</v>
      </c>
      <c r="K3191" s="13" t="s">
        <v>6</v>
      </c>
      <c r="L3191" s="15">
        <v>-3861.7</v>
      </c>
      <c r="M3191" s="15">
        <v>-46</v>
      </c>
      <c r="N3191" s="16" t="str">
        <f>IF(M3191="","",IF(M3191&lt;0,-M3191&amp;"_"&amp;COUNTIF(M$2:M3191,M3191),M3191&amp;"_"&amp;COUNTIF(M$2:M3191,M3191)))</f>
        <v>46_1</v>
      </c>
      <c r="O3191" s="17" t="str">
        <f t="shared" si="49"/>
        <v/>
      </c>
      <c r="P3191" s="13" t="s">
        <v>2026</v>
      </c>
      <c r="Q3191" s="13" t="s">
        <v>2026</v>
      </c>
      <c r="R3191" s="13" t="s">
        <v>1656</v>
      </c>
      <c r="S3191" s="13" t="s">
        <v>0</v>
      </c>
      <c r="T3191" s="13" t="s">
        <v>9</v>
      </c>
      <c r="U3191" s="13" t="s">
        <v>1656</v>
      </c>
      <c r="V3191" s="13" t="s">
        <v>0</v>
      </c>
      <c r="W3191" s="13" t="s">
        <v>0</v>
      </c>
      <c r="X3191" s="13" t="s">
        <v>0</v>
      </c>
      <c r="Y3191" s="13" t="s">
        <v>10</v>
      </c>
      <c r="Z3191" s="13" t="s">
        <v>0</v>
      </c>
      <c r="AA3191" s="14"/>
      <c r="AB3191" s="13" t="s">
        <v>0</v>
      </c>
      <c r="AC3191" s="13" t="s">
        <v>0</v>
      </c>
      <c r="AD3191" s="13" t="s">
        <v>0</v>
      </c>
      <c r="AE3191" s="15">
        <v>0</v>
      </c>
    </row>
    <row r="3192" spans="1:31" ht="14.15" customHeight="1" x14ac:dyDescent="0.25">
      <c r="A3192" s="12" t="s">
        <v>0</v>
      </c>
      <c r="B3192" s="13" t="s">
        <v>1</v>
      </c>
      <c r="C3192" s="13" t="s">
        <v>479</v>
      </c>
      <c r="D3192" s="14">
        <v>44068</v>
      </c>
      <c r="E3192" s="14">
        <v>44068</v>
      </c>
      <c r="F3192" s="14">
        <v>44072</v>
      </c>
      <c r="G3192" s="13" t="s">
        <v>48</v>
      </c>
      <c r="H3192" s="13" t="s">
        <v>4</v>
      </c>
      <c r="I3192" s="15">
        <v>-45</v>
      </c>
      <c r="J3192" s="13" t="s">
        <v>5</v>
      </c>
      <c r="K3192" s="13" t="s">
        <v>6</v>
      </c>
      <c r="L3192" s="15">
        <v>-3777.75</v>
      </c>
      <c r="M3192" s="15">
        <v>-45</v>
      </c>
      <c r="N3192" s="16" t="str">
        <f>IF(M3192="","",IF(M3192&lt;0,-M3192&amp;"_"&amp;COUNTIF(M$2:M3192,M3192),M3192&amp;"_"&amp;COUNTIF(M$2:M3192,M3192)))</f>
        <v>45_1</v>
      </c>
      <c r="O3192" s="17" t="str">
        <f t="shared" si="49"/>
        <v/>
      </c>
      <c r="P3192" s="13" t="s">
        <v>480</v>
      </c>
      <c r="Q3192" s="13" t="s">
        <v>480</v>
      </c>
      <c r="R3192" s="13" t="s">
        <v>50</v>
      </c>
      <c r="S3192" s="13" t="s">
        <v>0</v>
      </c>
      <c r="T3192" s="13" t="s">
        <v>9</v>
      </c>
      <c r="U3192" s="13" t="s">
        <v>51</v>
      </c>
      <c r="V3192" s="13" t="s">
        <v>0</v>
      </c>
      <c r="W3192" s="13" t="s">
        <v>0</v>
      </c>
      <c r="X3192" s="13" t="s">
        <v>0</v>
      </c>
      <c r="Y3192" s="13" t="s">
        <v>10</v>
      </c>
      <c r="Z3192" s="13" t="s">
        <v>0</v>
      </c>
      <c r="AA3192" s="14"/>
      <c r="AB3192" s="13" t="s">
        <v>0</v>
      </c>
      <c r="AC3192" s="13" t="s">
        <v>0</v>
      </c>
      <c r="AD3192" s="13" t="s">
        <v>0</v>
      </c>
      <c r="AE3192" s="15">
        <v>0</v>
      </c>
    </row>
    <row r="3193" spans="1:31" ht="14.15" customHeight="1" x14ac:dyDescent="0.25">
      <c r="A3193" s="12" t="s">
        <v>0</v>
      </c>
      <c r="B3193" s="13" t="s">
        <v>1</v>
      </c>
      <c r="C3193" s="13" t="s">
        <v>481</v>
      </c>
      <c r="D3193" s="14">
        <v>44068</v>
      </c>
      <c r="E3193" s="14">
        <v>44068</v>
      </c>
      <c r="F3193" s="14">
        <v>44072</v>
      </c>
      <c r="G3193" s="13" t="s">
        <v>48</v>
      </c>
      <c r="H3193" s="13" t="s">
        <v>4</v>
      </c>
      <c r="I3193" s="15">
        <v>-45</v>
      </c>
      <c r="J3193" s="13" t="s">
        <v>5</v>
      </c>
      <c r="K3193" s="13" t="s">
        <v>6</v>
      </c>
      <c r="L3193" s="15">
        <v>-3777.75</v>
      </c>
      <c r="M3193" s="15">
        <v>-45</v>
      </c>
      <c r="N3193" s="16" t="str">
        <f>IF(M3193="","",IF(M3193&lt;0,-M3193&amp;"_"&amp;COUNTIF(M$2:M3193,M3193),M3193&amp;"_"&amp;COUNTIF(M$2:M3193,M3193)))</f>
        <v>45_2</v>
      </c>
      <c r="O3193" s="17" t="str">
        <f t="shared" si="49"/>
        <v/>
      </c>
      <c r="P3193" s="13" t="s">
        <v>482</v>
      </c>
      <c r="Q3193" s="13" t="s">
        <v>482</v>
      </c>
      <c r="R3193" s="13" t="s">
        <v>50</v>
      </c>
      <c r="S3193" s="13" t="s">
        <v>0</v>
      </c>
      <c r="T3193" s="13" t="s">
        <v>9</v>
      </c>
      <c r="U3193" s="13" t="s">
        <v>51</v>
      </c>
      <c r="V3193" s="13" t="s">
        <v>0</v>
      </c>
      <c r="W3193" s="13" t="s">
        <v>0</v>
      </c>
      <c r="X3193" s="13" t="s">
        <v>0</v>
      </c>
      <c r="Y3193" s="13" t="s">
        <v>10</v>
      </c>
      <c r="Z3193" s="13" t="s">
        <v>0</v>
      </c>
      <c r="AA3193" s="14"/>
      <c r="AB3193" s="13" t="s">
        <v>0</v>
      </c>
      <c r="AC3193" s="13" t="s">
        <v>0</v>
      </c>
      <c r="AD3193" s="13" t="s">
        <v>0</v>
      </c>
      <c r="AE3193" s="15">
        <v>0</v>
      </c>
    </row>
    <row r="3194" spans="1:31" ht="14.15" customHeight="1" x14ac:dyDescent="0.25">
      <c r="A3194" s="12" t="s">
        <v>0</v>
      </c>
      <c r="B3194" s="13" t="s">
        <v>1</v>
      </c>
      <c r="C3194" s="13" t="s">
        <v>483</v>
      </c>
      <c r="D3194" s="14">
        <v>44068</v>
      </c>
      <c r="E3194" s="14">
        <v>44068</v>
      </c>
      <c r="F3194" s="14">
        <v>44072</v>
      </c>
      <c r="G3194" s="13" t="s">
        <v>48</v>
      </c>
      <c r="H3194" s="13" t="s">
        <v>4</v>
      </c>
      <c r="I3194" s="15">
        <v>-45</v>
      </c>
      <c r="J3194" s="13" t="s">
        <v>5</v>
      </c>
      <c r="K3194" s="13" t="s">
        <v>6</v>
      </c>
      <c r="L3194" s="15">
        <v>-3777.75</v>
      </c>
      <c r="M3194" s="15">
        <v>-45</v>
      </c>
      <c r="N3194" s="16" t="str">
        <f>IF(M3194="","",IF(M3194&lt;0,-M3194&amp;"_"&amp;COUNTIF(M$2:M3194,M3194),M3194&amp;"_"&amp;COUNTIF(M$2:M3194,M3194)))</f>
        <v>45_3</v>
      </c>
      <c r="O3194" s="17" t="str">
        <f t="shared" si="49"/>
        <v/>
      </c>
      <c r="P3194" s="13" t="s">
        <v>484</v>
      </c>
      <c r="Q3194" s="13" t="s">
        <v>484</v>
      </c>
      <c r="R3194" s="13" t="s">
        <v>50</v>
      </c>
      <c r="S3194" s="13" t="s">
        <v>0</v>
      </c>
      <c r="T3194" s="13" t="s">
        <v>9</v>
      </c>
      <c r="U3194" s="13" t="s">
        <v>51</v>
      </c>
      <c r="V3194" s="13" t="s">
        <v>0</v>
      </c>
      <c r="W3194" s="13" t="s">
        <v>0</v>
      </c>
      <c r="X3194" s="13" t="s">
        <v>0</v>
      </c>
      <c r="Y3194" s="13" t="s">
        <v>10</v>
      </c>
      <c r="Z3194" s="13" t="s">
        <v>0</v>
      </c>
      <c r="AA3194" s="14"/>
      <c r="AB3194" s="13" t="s">
        <v>0</v>
      </c>
      <c r="AC3194" s="13" t="s">
        <v>0</v>
      </c>
      <c r="AD3194" s="13" t="s">
        <v>0</v>
      </c>
      <c r="AE3194" s="15">
        <v>0</v>
      </c>
    </row>
    <row r="3195" spans="1:31" ht="14.15" customHeight="1" x14ac:dyDescent="0.25">
      <c r="A3195" s="12" t="s">
        <v>0</v>
      </c>
      <c r="B3195" s="13" t="s">
        <v>1</v>
      </c>
      <c r="C3195" s="13" t="s">
        <v>490</v>
      </c>
      <c r="D3195" s="14">
        <v>44068</v>
      </c>
      <c r="E3195" s="14">
        <v>44068</v>
      </c>
      <c r="F3195" s="14">
        <v>44072</v>
      </c>
      <c r="G3195" s="13" t="s">
        <v>48</v>
      </c>
      <c r="H3195" s="13" t="s">
        <v>4</v>
      </c>
      <c r="I3195" s="15">
        <v>-45</v>
      </c>
      <c r="J3195" s="13" t="s">
        <v>5</v>
      </c>
      <c r="K3195" s="13" t="s">
        <v>6</v>
      </c>
      <c r="L3195" s="15">
        <v>-3777.75</v>
      </c>
      <c r="M3195" s="15">
        <v>-45</v>
      </c>
      <c r="N3195" s="16" t="str">
        <f>IF(M3195="","",IF(M3195&lt;0,-M3195&amp;"_"&amp;COUNTIF(M$2:M3195,M3195),M3195&amp;"_"&amp;COUNTIF(M$2:M3195,M3195)))</f>
        <v>45_4</v>
      </c>
      <c r="O3195" s="17" t="str">
        <f t="shared" si="49"/>
        <v/>
      </c>
      <c r="P3195" s="13" t="s">
        <v>491</v>
      </c>
      <c r="Q3195" s="13" t="s">
        <v>491</v>
      </c>
      <c r="R3195" s="13" t="s">
        <v>50</v>
      </c>
      <c r="S3195" s="13" t="s">
        <v>0</v>
      </c>
      <c r="T3195" s="13" t="s">
        <v>9</v>
      </c>
      <c r="U3195" s="13" t="s">
        <v>51</v>
      </c>
      <c r="V3195" s="13" t="s">
        <v>0</v>
      </c>
      <c r="W3195" s="13" t="s">
        <v>0</v>
      </c>
      <c r="X3195" s="13" t="s">
        <v>0</v>
      </c>
      <c r="Y3195" s="13" t="s">
        <v>10</v>
      </c>
      <c r="Z3195" s="13" t="s">
        <v>0</v>
      </c>
      <c r="AA3195" s="14"/>
      <c r="AB3195" s="13" t="s">
        <v>0</v>
      </c>
      <c r="AC3195" s="13" t="s">
        <v>0</v>
      </c>
      <c r="AD3195" s="13" t="s">
        <v>0</v>
      </c>
      <c r="AE3195" s="15">
        <v>0</v>
      </c>
    </row>
    <row r="3196" spans="1:31" ht="14.15" customHeight="1" x14ac:dyDescent="0.25">
      <c r="A3196" s="12" t="s">
        <v>0</v>
      </c>
      <c r="B3196" s="13" t="s">
        <v>1</v>
      </c>
      <c r="C3196" s="13" t="s">
        <v>2230</v>
      </c>
      <c r="D3196" s="14">
        <v>44214</v>
      </c>
      <c r="E3196" s="14">
        <v>44214</v>
      </c>
      <c r="F3196" s="14">
        <v>44220</v>
      </c>
      <c r="G3196" s="13" t="s">
        <v>48</v>
      </c>
      <c r="H3196" s="13" t="s">
        <v>4</v>
      </c>
      <c r="I3196" s="15">
        <v>-44</v>
      </c>
      <c r="J3196" s="13" t="s">
        <v>5</v>
      </c>
      <c r="K3196" s="13" t="s">
        <v>6</v>
      </c>
      <c r="L3196" s="15">
        <v>-3693.8</v>
      </c>
      <c r="M3196" s="15">
        <v>-44</v>
      </c>
      <c r="N3196" s="16" t="str">
        <f>IF(M3196="","",IF(M3196&lt;0,-M3196&amp;"_"&amp;COUNTIF(M$2:M3196,M3196),M3196&amp;"_"&amp;COUNTIF(M$2:M3196,M3196)))</f>
        <v>44_1</v>
      </c>
      <c r="O3196" s="17" t="str">
        <f t="shared" si="49"/>
        <v/>
      </c>
      <c r="P3196" s="13" t="s">
        <v>2231</v>
      </c>
      <c r="Q3196" s="13" t="s">
        <v>2231</v>
      </c>
      <c r="R3196" s="13" t="s">
        <v>1656</v>
      </c>
      <c r="S3196" s="13" t="s">
        <v>0</v>
      </c>
      <c r="T3196" s="13" t="s">
        <v>9</v>
      </c>
      <c r="U3196" s="13" t="s">
        <v>1656</v>
      </c>
      <c r="V3196" s="13" t="s">
        <v>0</v>
      </c>
      <c r="W3196" s="13" t="s">
        <v>0</v>
      </c>
      <c r="X3196" s="13" t="s">
        <v>0</v>
      </c>
      <c r="Y3196" s="13" t="s">
        <v>10</v>
      </c>
      <c r="Z3196" s="13" t="s">
        <v>0</v>
      </c>
      <c r="AA3196" s="14"/>
      <c r="AB3196" s="13" t="s">
        <v>0</v>
      </c>
      <c r="AC3196" s="13" t="s">
        <v>0</v>
      </c>
      <c r="AD3196" s="13" t="s">
        <v>0</v>
      </c>
      <c r="AE3196" s="15">
        <v>0</v>
      </c>
    </row>
    <row r="3197" spans="1:31" ht="14.15" customHeight="1" x14ac:dyDescent="0.25">
      <c r="A3197" s="12" t="s">
        <v>0</v>
      </c>
      <c r="B3197" s="13" t="s">
        <v>1</v>
      </c>
      <c r="C3197" s="13" t="s">
        <v>3735</v>
      </c>
      <c r="D3197" s="14">
        <v>44338</v>
      </c>
      <c r="E3197" s="14">
        <v>44338</v>
      </c>
      <c r="F3197" s="14">
        <v>44346</v>
      </c>
      <c r="G3197" s="13" t="s">
        <v>48</v>
      </c>
      <c r="H3197" s="13" t="s">
        <v>4</v>
      </c>
      <c r="I3197" s="15">
        <v>-43</v>
      </c>
      <c r="J3197" s="13" t="s">
        <v>5</v>
      </c>
      <c r="K3197" s="13" t="s">
        <v>6</v>
      </c>
      <c r="L3197" s="15">
        <v>-3609.85</v>
      </c>
      <c r="M3197" s="15">
        <v>-43</v>
      </c>
      <c r="N3197" s="16" t="str">
        <f>IF(M3197="","",IF(M3197&lt;0,-M3197&amp;"_"&amp;COUNTIF(M$2:M3197,M3197),M3197&amp;"_"&amp;COUNTIF(M$2:M3197,M3197)))</f>
        <v>43_1</v>
      </c>
      <c r="O3197" s="17" t="str">
        <f t="shared" si="49"/>
        <v/>
      </c>
      <c r="P3197" s="13" t="s">
        <v>3736</v>
      </c>
      <c r="Q3197" s="13" t="s">
        <v>3736</v>
      </c>
      <c r="R3197" s="13" t="s">
        <v>1656</v>
      </c>
      <c r="S3197" s="13" t="s">
        <v>0</v>
      </c>
      <c r="T3197" s="13" t="s">
        <v>9</v>
      </c>
      <c r="U3197" s="13" t="s">
        <v>1656</v>
      </c>
      <c r="V3197" s="13" t="s">
        <v>0</v>
      </c>
      <c r="W3197" s="13" t="s">
        <v>0</v>
      </c>
      <c r="X3197" s="13" t="s">
        <v>0</v>
      </c>
      <c r="Y3197" s="13" t="s">
        <v>10</v>
      </c>
      <c r="Z3197" s="13" t="s">
        <v>0</v>
      </c>
      <c r="AA3197" s="14"/>
      <c r="AB3197" s="13" t="s">
        <v>0</v>
      </c>
      <c r="AC3197" s="13" t="s">
        <v>0</v>
      </c>
      <c r="AD3197" s="13" t="s">
        <v>0</v>
      </c>
      <c r="AE3197" s="15">
        <v>0</v>
      </c>
    </row>
    <row r="3198" spans="1:31" ht="14.15" customHeight="1" x14ac:dyDescent="0.25">
      <c r="A3198" s="12" t="s">
        <v>0</v>
      </c>
      <c r="B3198" s="13" t="s">
        <v>1</v>
      </c>
      <c r="C3198" s="13" t="s">
        <v>1232</v>
      </c>
      <c r="D3198" s="14">
        <v>44143</v>
      </c>
      <c r="E3198" s="14">
        <v>44143</v>
      </c>
      <c r="F3198" s="14">
        <v>44163</v>
      </c>
      <c r="G3198" s="13" t="s">
        <v>48</v>
      </c>
      <c r="H3198" s="13" t="s">
        <v>4</v>
      </c>
      <c r="I3198" s="15">
        <v>-41.24</v>
      </c>
      <c r="J3198" s="13" t="s">
        <v>1233</v>
      </c>
      <c r="K3198" s="13" t="s">
        <v>6</v>
      </c>
      <c r="L3198" s="15">
        <v>-3462.1</v>
      </c>
      <c r="M3198" s="15">
        <v>-41.24</v>
      </c>
      <c r="N3198" s="16" t="str">
        <f>IF(M3198="","",IF(M3198&lt;0,-M3198&amp;"_"&amp;COUNTIF(M$2:M3198,M3198),M3198&amp;"_"&amp;COUNTIF(M$2:M3198,M3198)))</f>
        <v>41.24_1</v>
      </c>
      <c r="O3198" s="17" t="str">
        <f t="shared" si="49"/>
        <v/>
      </c>
      <c r="P3198" s="13" t="s">
        <v>1234</v>
      </c>
      <c r="Q3198" s="13" t="s">
        <v>1234</v>
      </c>
      <c r="R3198" s="13" t="s">
        <v>50</v>
      </c>
      <c r="S3198" s="13" t="s">
        <v>0</v>
      </c>
      <c r="T3198" s="13" t="s">
        <v>9</v>
      </c>
      <c r="U3198" s="13" t="s">
        <v>50</v>
      </c>
      <c r="V3198" s="13" t="s">
        <v>0</v>
      </c>
      <c r="W3198" s="13" t="s">
        <v>0</v>
      </c>
      <c r="X3198" s="13" t="s">
        <v>0</v>
      </c>
      <c r="Y3198" s="13" t="s">
        <v>10</v>
      </c>
      <c r="Z3198" s="13" t="s">
        <v>0</v>
      </c>
      <c r="AA3198" s="14"/>
      <c r="AB3198" s="13" t="s">
        <v>0</v>
      </c>
      <c r="AC3198" s="13" t="s">
        <v>0</v>
      </c>
      <c r="AD3198" s="13" t="s">
        <v>0</v>
      </c>
      <c r="AE3198" s="15">
        <v>0</v>
      </c>
    </row>
    <row r="3199" spans="1:31" ht="14.15" customHeight="1" x14ac:dyDescent="0.25">
      <c r="A3199" s="12" t="s">
        <v>0</v>
      </c>
      <c r="B3199" s="13" t="s">
        <v>1</v>
      </c>
      <c r="C3199" s="13" t="s">
        <v>1623</v>
      </c>
      <c r="D3199" s="14">
        <v>44169</v>
      </c>
      <c r="E3199" s="14">
        <v>44169</v>
      </c>
      <c r="F3199" s="14">
        <v>44189</v>
      </c>
      <c r="G3199" s="13" t="s">
        <v>48</v>
      </c>
      <c r="H3199" s="13" t="s">
        <v>4</v>
      </c>
      <c r="I3199" s="15">
        <v>-41.24</v>
      </c>
      <c r="J3199" s="13" t="s">
        <v>1233</v>
      </c>
      <c r="K3199" s="13" t="s">
        <v>6</v>
      </c>
      <c r="L3199" s="15">
        <v>-3462.1</v>
      </c>
      <c r="M3199" s="15">
        <v>-41.24</v>
      </c>
      <c r="N3199" s="16" t="str">
        <f>IF(M3199="","",IF(M3199&lt;0,-M3199&amp;"_"&amp;COUNTIF(M$2:M3199,M3199),M3199&amp;"_"&amp;COUNTIF(M$2:M3199,M3199)))</f>
        <v>41.24_2</v>
      </c>
      <c r="O3199" s="17" t="str">
        <f t="shared" si="49"/>
        <v/>
      </c>
      <c r="P3199" s="13" t="s">
        <v>1624</v>
      </c>
      <c r="Q3199" s="13" t="s">
        <v>1624</v>
      </c>
      <c r="R3199" s="13" t="s">
        <v>1620</v>
      </c>
      <c r="S3199" s="13" t="s">
        <v>0</v>
      </c>
      <c r="T3199" s="13" t="s">
        <v>9</v>
      </c>
      <c r="U3199" s="13" t="s">
        <v>1620</v>
      </c>
      <c r="V3199" s="13" t="s">
        <v>0</v>
      </c>
      <c r="W3199" s="13" t="s">
        <v>0</v>
      </c>
      <c r="X3199" s="13" t="s">
        <v>0</v>
      </c>
      <c r="Y3199" s="13" t="s">
        <v>10</v>
      </c>
      <c r="Z3199" s="13" t="s">
        <v>0</v>
      </c>
      <c r="AA3199" s="14"/>
      <c r="AB3199" s="13" t="s">
        <v>0</v>
      </c>
      <c r="AC3199" s="13" t="s">
        <v>0</v>
      </c>
      <c r="AD3199" s="13" t="s">
        <v>0</v>
      </c>
      <c r="AE3199" s="15">
        <v>0</v>
      </c>
    </row>
    <row r="3200" spans="1:31" ht="14.15" customHeight="1" x14ac:dyDescent="0.25">
      <c r="A3200" s="12" t="s">
        <v>0</v>
      </c>
      <c r="B3200" s="13" t="s">
        <v>1</v>
      </c>
      <c r="C3200" s="13" t="s">
        <v>2060</v>
      </c>
      <c r="D3200" s="14">
        <v>44199</v>
      </c>
      <c r="E3200" s="14">
        <v>44199</v>
      </c>
      <c r="F3200" s="14">
        <v>44220</v>
      </c>
      <c r="G3200" s="13" t="s">
        <v>48</v>
      </c>
      <c r="H3200" s="13" t="s">
        <v>4</v>
      </c>
      <c r="I3200" s="15">
        <v>-41.24</v>
      </c>
      <c r="J3200" s="13" t="s">
        <v>1233</v>
      </c>
      <c r="K3200" s="13" t="s">
        <v>6</v>
      </c>
      <c r="L3200" s="15">
        <v>-3462.1</v>
      </c>
      <c r="M3200" s="15">
        <v>-41.24</v>
      </c>
      <c r="N3200" s="16" t="str">
        <f>IF(M3200="","",IF(M3200&lt;0,-M3200&amp;"_"&amp;COUNTIF(M$2:M3200,M3200),M3200&amp;"_"&amp;COUNTIF(M$2:M3200,M3200)))</f>
        <v>41.24_3</v>
      </c>
      <c r="O3200" s="17" t="str">
        <f t="shared" si="49"/>
        <v/>
      </c>
      <c r="P3200" s="13" t="s">
        <v>2061</v>
      </c>
      <c r="Q3200" s="13" t="s">
        <v>2061</v>
      </c>
      <c r="R3200" s="13" t="s">
        <v>1656</v>
      </c>
      <c r="S3200" s="13" t="s">
        <v>0</v>
      </c>
      <c r="T3200" s="13" t="s">
        <v>9</v>
      </c>
      <c r="U3200" s="13" t="s">
        <v>1656</v>
      </c>
      <c r="V3200" s="13" t="s">
        <v>0</v>
      </c>
      <c r="W3200" s="13" t="s">
        <v>0</v>
      </c>
      <c r="X3200" s="13" t="s">
        <v>0</v>
      </c>
      <c r="Y3200" s="13" t="s">
        <v>10</v>
      </c>
      <c r="Z3200" s="13" t="s">
        <v>0</v>
      </c>
      <c r="AA3200" s="14"/>
      <c r="AB3200" s="13" t="s">
        <v>0</v>
      </c>
      <c r="AC3200" s="13" t="s">
        <v>0</v>
      </c>
      <c r="AD3200" s="13" t="s">
        <v>0</v>
      </c>
      <c r="AE3200" s="15">
        <v>0</v>
      </c>
    </row>
    <row r="3201" spans="1:31" ht="14.15" customHeight="1" x14ac:dyDescent="0.25">
      <c r="A3201" s="12" t="s">
        <v>0</v>
      </c>
      <c r="B3201" s="13" t="s">
        <v>1</v>
      </c>
      <c r="C3201" s="13" t="s">
        <v>2062</v>
      </c>
      <c r="D3201" s="14">
        <v>44199</v>
      </c>
      <c r="E3201" s="14">
        <v>44199</v>
      </c>
      <c r="F3201" s="14">
        <v>44220</v>
      </c>
      <c r="G3201" s="13" t="s">
        <v>48</v>
      </c>
      <c r="H3201" s="13" t="s">
        <v>4</v>
      </c>
      <c r="I3201" s="15">
        <v>-41.24</v>
      </c>
      <c r="J3201" s="13" t="s">
        <v>1233</v>
      </c>
      <c r="K3201" s="13" t="s">
        <v>6</v>
      </c>
      <c r="L3201" s="15">
        <v>-3462.1</v>
      </c>
      <c r="M3201" s="15">
        <v>-41.24</v>
      </c>
      <c r="N3201" s="16" t="str">
        <f>IF(M3201="","",IF(M3201&lt;0,-M3201&amp;"_"&amp;COUNTIF(M$2:M3201,M3201),M3201&amp;"_"&amp;COUNTIF(M$2:M3201,M3201)))</f>
        <v>41.24_4</v>
      </c>
      <c r="O3201" s="17" t="str">
        <f t="shared" si="49"/>
        <v/>
      </c>
      <c r="P3201" s="13" t="s">
        <v>2063</v>
      </c>
      <c r="Q3201" s="13" t="s">
        <v>2063</v>
      </c>
      <c r="R3201" s="13" t="s">
        <v>1656</v>
      </c>
      <c r="S3201" s="13" t="s">
        <v>0</v>
      </c>
      <c r="T3201" s="13" t="s">
        <v>9</v>
      </c>
      <c r="U3201" s="13" t="s">
        <v>1656</v>
      </c>
      <c r="V3201" s="13" t="s">
        <v>0</v>
      </c>
      <c r="W3201" s="13" t="s">
        <v>0</v>
      </c>
      <c r="X3201" s="13" t="s">
        <v>0</v>
      </c>
      <c r="Y3201" s="13" t="s">
        <v>10</v>
      </c>
      <c r="Z3201" s="13" t="s">
        <v>0</v>
      </c>
      <c r="AA3201" s="14"/>
      <c r="AB3201" s="13" t="s">
        <v>0</v>
      </c>
      <c r="AC3201" s="13" t="s">
        <v>0</v>
      </c>
      <c r="AD3201" s="13" t="s">
        <v>0</v>
      </c>
      <c r="AE3201" s="15">
        <v>0</v>
      </c>
    </row>
    <row r="3202" spans="1:31" ht="14.15" customHeight="1" x14ac:dyDescent="0.25">
      <c r="A3202" s="12" t="s">
        <v>0</v>
      </c>
      <c r="B3202" s="13" t="s">
        <v>1</v>
      </c>
      <c r="C3202" s="13" t="s">
        <v>2064</v>
      </c>
      <c r="D3202" s="14">
        <v>44199</v>
      </c>
      <c r="E3202" s="14">
        <v>44199</v>
      </c>
      <c r="F3202" s="14">
        <v>44220</v>
      </c>
      <c r="G3202" s="13" t="s">
        <v>48</v>
      </c>
      <c r="H3202" s="13" t="s">
        <v>4</v>
      </c>
      <c r="I3202" s="15">
        <v>-41.24</v>
      </c>
      <c r="J3202" s="13" t="s">
        <v>1233</v>
      </c>
      <c r="K3202" s="13" t="s">
        <v>6</v>
      </c>
      <c r="L3202" s="15">
        <v>-3462.1</v>
      </c>
      <c r="M3202" s="15">
        <v>-41.24</v>
      </c>
      <c r="N3202" s="16" t="str">
        <f>IF(M3202="","",IF(M3202&lt;0,-M3202&amp;"_"&amp;COUNTIF(M$2:M3202,M3202),M3202&amp;"_"&amp;COUNTIF(M$2:M3202,M3202)))</f>
        <v>41.24_5</v>
      </c>
      <c r="O3202" s="17" t="str">
        <f t="shared" ref="O3202:O3265" si="50">IF(COUNTIF(N:N,N3202)=2,"x","")</f>
        <v/>
      </c>
      <c r="P3202" s="13" t="s">
        <v>2065</v>
      </c>
      <c r="Q3202" s="13" t="s">
        <v>2065</v>
      </c>
      <c r="R3202" s="13" t="s">
        <v>1656</v>
      </c>
      <c r="S3202" s="13" t="s">
        <v>0</v>
      </c>
      <c r="T3202" s="13" t="s">
        <v>9</v>
      </c>
      <c r="U3202" s="13" t="s">
        <v>1656</v>
      </c>
      <c r="V3202" s="13" t="s">
        <v>0</v>
      </c>
      <c r="W3202" s="13" t="s">
        <v>0</v>
      </c>
      <c r="X3202" s="13" t="s">
        <v>0</v>
      </c>
      <c r="Y3202" s="13" t="s">
        <v>10</v>
      </c>
      <c r="Z3202" s="13" t="s">
        <v>0</v>
      </c>
      <c r="AA3202" s="14"/>
      <c r="AB3202" s="13" t="s">
        <v>0</v>
      </c>
      <c r="AC3202" s="13" t="s">
        <v>0</v>
      </c>
      <c r="AD3202" s="13" t="s">
        <v>0</v>
      </c>
      <c r="AE3202" s="15">
        <v>0</v>
      </c>
    </row>
    <row r="3203" spans="1:31" ht="14.15" customHeight="1" x14ac:dyDescent="0.25">
      <c r="A3203" s="12" t="s">
        <v>0</v>
      </c>
      <c r="B3203" s="13" t="s">
        <v>1</v>
      </c>
      <c r="C3203" s="13" t="s">
        <v>2073</v>
      </c>
      <c r="D3203" s="14">
        <v>44199</v>
      </c>
      <c r="E3203" s="14">
        <v>44199</v>
      </c>
      <c r="F3203" s="14">
        <v>44220</v>
      </c>
      <c r="G3203" s="13" t="s">
        <v>48</v>
      </c>
      <c r="H3203" s="13" t="s">
        <v>4</v>
      </c>
      <c r="I3203" s="15">
        <v>-41.24</v>
      </c>
      <c r="J3203" s="13" t="s">
        <v>1233</v>
      </c>
      <c r="K3203" s="13" t="s">
        <v>6</v>
      </c>
      <c r="L3203" s="15">
        <v>-3462.1</v>
      </c>
      <c r="M3203" s="15">
        <v>-41.24</v>
      </c>
      <c r="N3203" s="16" t="str">
        <f>IF(M3203="","",IF(M3203&lt;0,-M3203&amp;"_"&amp;COUNTIF(M$2:M3203,M3203),M3203&amp;"_"&amp;COUNTIF(M$2:M3203,M3203)))</f>
        <v>41.24_6</v>
      </c>
      <c r="O3203" s="17" t="str">
        <f t="shared" si="50"/>
        <v/>
      </c>
      <c r="P3203" s="13" t="s">
        <v>2074</v>
      </c>
      <c r="Q3203" s="13" t="s">
        <v>2074</v>
      </c>
      <c r="R3203" s="13" t="s">
        <v>1656</v>
      </c>
      <c r="S3203" s="13" t="s">
        <v>0</v>
      </c>
      <c r="T3203" s="13" t="s">
        <v>9</v>
      </c>
      <c r="U3203" s="13" t="s">
        <v>1656</v>
      </c>
      <c r="V3203" s="13" t="s">
        <v>0</v>
      </c>
      <c r="W3203" s="13" t="s">
        <v>0</v>
      </c>
      <c r="X3203" s="13" t="s">
        <v>0</v>
      </c>
      <c r="Y3203" s="13" t="s">
        <v>10</v>
      </c>
      <c r="Z3203" s="13" t="s">
        <v>0</v>
      </c>
      <c r="AA3203" s="14"/>
      <c r="AB3203" s="13" t="s">
        <v>0</v>
      </c>
      <c r="AC3203" s="13" t="s">
        <v>0</v>
      </c>
      <c r="AD3203" s="13" t="s">
        <v>0</v>
      </c>
      <c r="AE3203" s="15">
        <v>0</v>
      </c>
    </row>
    <row r="3204" spans="1:31" ht="14.15" customHeight="1" x14ac:dyDescent="0.25">
      <c r="A3204" s="12" t="s">
        <v>0</v>
      </c>
      <c r="B3204" s="13" t="s">
        <v>1</v>
      </c>
      <c r="C3204" s="13" t="s">
        <v>2083</v>
      </c>
      <c r="D3204" s="14">
        <v>44199</v>
      </c>
      <c r="E3204" s="14">
        <v>44199</v>
      </c>
      <c r="F3204" s="14">
        <v>44220</v>
      </c>
      <c r="G3204" s="13" t="s">
        <v>48</v>
      </c>
      <c r="H3204" s="13" t="s">
        <v>4</v>
      </c>
      <c r="I3204" s="15">
        <v>-41.24</v>
      </c>
      <c r="J3204" s="13" t="s">
        <v>1233</v>
      </c>
      <c r="K3204" s="13" t="s">
        <v>6</v>
      </c>
      <c r="L3204" s="15">
        <v>-3462.1</v>
      </c>
      <c r="M3204" s="15">
        <v>-41.24</v>
      </c>
      <c r="N3204" s="16" t="str">
        <f>IF(M3204="","",IF(M3204&lt;0,-M3204&amp;"_"&amp;COUNTIF(M$2:M3204,M3204),M3204&amp;"_"&amp;COUNTIF(M$2:M3204,M3204)))</f>
        <v>41.24_7</v>
      </c>
      <c r="O3204" s="17" t="str">
        <f t="shared" si="50"/>
        <v/>
      </c>
      <c r="P3204" s="13" t="s">
        <v>2084</v>
      </c>
      <c r="Q3204" s="13" t="s">
        <v>2084</v>
      </c>
      <c r="R3204" s="13" t="s">
        <v>1656</v>
      </c>
      <c r="S3204" s="13" t="s">
        <v>0</v>
      </c>
      <c r="T3204" s="13" t="s">
        <v>9</v>
      </c>
      <c r="U3204" s="13" t="s">
        <v>1656</v>
      </c>
      <c r="V3204" s="13" t="s">
        <v>0</v>
      </c>
      <c r="W3204" s="13" t="s">
        <v>0</v>
      </c>
      <c r="X3204" s="13" t="s">
        <v>0</v>
      </c>
      <c r="Y3204" s="13" t="s">
        <v>10</v>
      </c>
      <c r="Z3204" s="13" t="s">
        <v>0</v>
      </c>
      <c r="AA3204" s="14"/>
      <c r="AB3204" s="13" t="s">
        <v>0</v>
      </c>
      <c r="AC3204" s="13" t="s">
        <v>0</v>
      </c>
      <c r="AD3204" s="13" t="s">
        <v>0</v>
      </c>
      <c r="AE3204" s="15">
        <v>0</v>
      </c>
    </row>
    <row r="3205" spans="1:31" ht="14.15" customHeight="1" x14ac:dyDescent="0.25">
      <c r="A3205" s="12" t="s">
        <v>0</v>
      </c>
      <c r="B3205" s="13" t="s">
        <v>1</v>
      </c>
      <c r="C3205" s="13" t="s">
        <v>466</v>
      </c>
      <c r="D3205" s="14">
        <v>44068</v>
      </c>
      <c r="E3205" s="14">
        <v>44068</v>
      </c>
      <c r="F3205" s="14">
        <v>44072</v>
      </c>
      <c r="G3205" s="13" t="s">
        <v>48</v>
      </c>
      <c r="H3205" s="13" t="s">
        <v>4</v>
      </c>
      <c r="I3205" s="15">
        <v>-41.1</v>
      </c>
      <c r="J3205" s="13" t="s">
        <v>467</v>
      </c>
      <c r="K3205" s="13" t="s">
        <v>6</v>
      </c>
      <c r="L3205" s="15">
        <v>-3450.35</v>
      </c>
      <c r="M3205" s="15">
        <v>-41.1</v>
      </c>
      <c r="N3205" s="16" t="str">
        <f>IF(M3205="","",IF(M3205&lt;0,-M3205&amp;"_"&amp;COUNTIF(M$2:M3205,M3205),M3205&amp;"_"&amp;COUNTIF(M$2:M3205,M3205)))</f>
        <v>41.1_1</v>
      </c>
      <c r="O3205" s="17" t="str">
        <f t="shared" si="50"/>
        <v/>
      </c>
      <c r="P3205" s="13" t="s">
        <v>468</v>
      </c>
      <c r="Q3205" s="13" t="s">
        <v>468</v>
      </c>
      <c r="R3205" s="13" t="s">
        <v>50</v>
      </c>
      <c r="S3205" s="13" t="s">
        <v>0</v>
      </c>
      <c r="T3205" s="13" t="s">
        <v>9</v>
      </c>
      <c r="U3205" s="13" t="s">
        <v>51</v>
      </c>
      <c r="V3205" s="13" t="s">
        <v>0</v>
      </c>
      <c r="W3205" s="13" t="s">
        <v>0</v>
      </c>
      <c r="X3205" s="13" t="s">
        <v>0</v>
      </c>
      <c r="Y3205" s="13" t="s">
        <v>10</v>
      </c>
      <c r="Z3205" s="13" t="s">
        <v>0</v>
      </c>
      <c r="AA3205" s="14"/>
      <c r="AB3205" s="13" t="s">
        <v>0</v>
      </c>
      <c r="AC3205" s="13" t="s">
        <v>0</v>
      </c>
      <c r="AD3205" s="13" t="s">
        <v>0</v>
      </c>
      <c r="AE3205" s="15">
        <v>0</v>
      </c>
    </row>
    <row r="3206" spans="1:31" ht="14.15" customHeight="1" x14ac:dyDescent="0.25">
      <c r="A3206" s="12" t="s">
        <v>0</v>
      </c>
      <c r="B3206" s="13" t="s">
        <v>1</v>
      </c>
      <c r="C3206" s="13" t="s">
        <v>471</v>
      </c>
      <c r="D3206" s="14">
        <v>44068</v>
      </c>
      <c r="E3206" s="14">
        <v>44068</v>
      </c>
      <c r="F3206" s="14">
        <v>44072</v>
      </c>
      <c r="G3206" s="13" t="s">
        <v>48</v>
      </c>
      <c r="H3206" s="13" t="s">
        <v>4</v>
      </c>
      <c r="I3206" s="15">
        <v>-41.1</v>
      </c>
      <c r="J3206" s="13" t="s">
        <v>467</v>
      </c>
      <c r="K3206" s="13" t="s">
        <v>6</v>
      </c>
      <c r="L3206" s="15">
        <v>-3450.35</v>
      </c>
      <c r="M3206" s="15">
        <v>-41.1</v>
      </c>
      <c r="N3206" s="16" t="str">
        <f>IF(M3206="","",IF(M3206&lt;0,-M3206&amp;"_"&amp;COUNTIF(M$2:M3206,M3206),M3206&amp;"_"&amp;COUNTIF(M$2:M3206,M3206)))</f>
        <v>41.1_2</v>
      </c>
      <c r="O3206" s="17" t="str">
        <f t="shared" si="50"/>
        <v/>
      </c>
      <c r="P3206" s="13" t="s">
        <v>472</v>
      </c>
      <c r="Q3206" s="13" t="s">
        <v>472</v>
      </c>
      <c r="R3206" s="13" t="s">
        <v>50</v>
      </c>
      <c r="S3206" s="13" t="s">
        <v>0</v>
      </c>
      <c r="T3206" s="13" t="s">
        <v>9</v>
      </c>
      <c r="U3206" s="13" t="s">
        <v>51</v>
      </c>
      <c r="V3206" s="13" t="s">
        <v>0</v>
      </c>
      <c r="W3206" s="13" t="s">
        <v>0</v>
      </c>
      <c r="X3206" s="13" t="s">
        <v>0</v>
      </c>
      <c r="Y3206" s="13" t="s">
        <v>10</v>
      </c>
      <c r="Z3206" s="13" t="s">
        <v>0</v>
      </c>
      <c r="AA3206" s="14"/>
      <c r="AB3206" s="13" t="s">
        <v>0</v>
      </c>
      <c r="AC3206" s="13" t="s">
        <v>0</v>
      </c>
      <c r="AD3206" s="13" t="s">
        <v>0</v>
      </c>
      <c r="AE3206" s="15">
        <v>0</v>
      </c>
    </row>
    <row r="3207" spans="1:31" ht="14.15" customHeight="1" x14ac:dyDescent="0.25">
      <c r="A3207" s="12" t="s">
        <v>0</v>
      </c>
      <c r="B3207" s="13" t="s">
        <v>1</v>
      </c>
      <c r="C3207" s="13" t="s">
        <v>2010</v>
      </c>
      <c r="D3207" s="14">
        <v>44197</v>
      </c>
      <c r="E3207" s="14">
        <v>44197</v>
      </c>
      <c r="F3207" s="14">
        <v>44220</v>
      </c>
      <c r="G3207" s="13" t="s">
        <v>48</v>
      </c>
      <c r="H3207" s="13" t="s">
        <v>4</v>
      </c>
      <c r="I3207" s="15">
        <v>-41</v>
      </c>
      <c r="J3207" s="13" t="s">
        <v>5</v>
      </c>
      <c r="K3207" s="13" t="s">
        <v>6</v>
      </c>
      <c r="L3207" s="15">
        <v>-3441.95</v>
      </c>
      <c r="M3207" s="15">
        <v>-41</v>
      </c>
      <c r="N3207" s="16" t="str">
        <f>IF(M3207="","",IF(M3207&lt;0,-M3207&amp;"_"&amp;COUNTIF(M$2:M3207,M3207),M3207&amp;"_"&amp;COUNTIF(M$2:M3207,M3207)))</f>
        <v>41_1</v>
      </c>
      <c r="O3207" s="17" t="str">
        <f t="shared" si="50"/>
        <v/>
      </c>
      <c r="P3207" s="13" t="s">
        <v>2011</v>
      </c>
      <c r="Q3207" s="13" t="s">
        <v>2011</v>
      </c>
      <c r="R3207" s="13" t="s">
        <v>1656</v>
      </c>
      <c r="S3207" s="13" t="s">
        <v>0</v>
      </c>
      <c r="T3207" s="13" t="s">
        <v>9</v>
      </c>
      <c r="U3207" s="13" t="s">
        <v>1656</v>
      </c>
      <c r="V3207" s="13" t="s">
        <v>0</v>
      </c>
      <c r="W3207" s="13" t="s">
        <v>0</v>
      </c>
      <c r="X3207" s="13" t="s">
        <v>0</v>
      </c>
      <c r="Y3207" s="13" t="s">
        <v>10</v>
      </c>
      <c r="Z3207" s="13" t="s">
        <v>0</v>
      </c>
      <c r="AA3207" s="14"/>
      <c r="AB3207" s="13" t="s">
        <v>0</v>
      </c>
      <c r="AC3207" s="13" t="s">
        <v>0</v>
      </c>
      <c r="AD3207" s="13" t="s">
        <v>0</v>
      </c>
      <c r="AE3207" s="15">
        <v>0</v>
      </c>
    </row>
    <row r="3208" spans="1:31" ht="14.15" customHeight="1" x14ac:dyDescent="0.25">
      <c r="A3208" s="12" t="s">
        <v>0</v>
      </c>
      <c r="B3208" s="13" t="s">
        <v>1</v>
      </c>
      <c r="C3208" s="13" t="s">
        <v>2023</v>
      </c>
      <c r="D3208" s="14">
        <v>44197</v>
      </c>
      <c r="E3208" s="14">
        <v>44197</v>
      </c>
      <c r="F3208" s="14">
        <v>44220</v>
      </c>
      <c r="G3208" s="13" t="s">
        <v>48</v>
      </c>
      <c r="H3208" s="13" t="s">
        <v>4</v>
      </c>
      <c r="I3208" s="15">
        <v>-41</v>
      </c>
      <c r="J3208" s="13" t="s">
        <v>5</v>
      </c>
      <c r="K3208" s="13" t="s">
        <v>6</v>
      </c>
      <c r="L3208" s="15">
        <v>-3441.95</v>
      </c>
      <c r="M3208" s="15">
        <v>-41</v>
      </c>
      <c r="N3208" s="16" t="str">
        <f>IF(M3208="","",IF(M3208&lt;0,-M3208&amp;"_"&amp;COUNTIF(M$2:M3208,M3208),M3208&amp;"_"&amp;COUNTIF(M$2:M3208,M3208)))</f>
        <v>41_2</v>
      </c>
      <c r="O3208" s="17" t="str">
        <f t="shared" si="50"/>
        <v/>
      </c>
      <c r="P3208" s="13" t="s">
        <v>2024</v>
      </c>
      <c r="Q3208" s="13" t="s">
        <v>2024</v>
      </c>
      <c r="R3208" s="13" t="s">
        <v>1656</v>
      </c>
      <c r="S3208" s="13" t="s">
        <v>0</v>
      </c>
      <c r="T3208" s="13" t="s">
        <v>9</v>
      </c>
      <c r="U3208" s="13" t="s">
        <v>1656</v>
      </c>
      <c r="V3208" s="13" t="s">
        <v>0</v>
      </c>
      <c r="W3208" s="13" t="s">
        <v>0</v>
      </c>
      <c r="X3208" s="13" t="s">
        <v>0</v>
      </c>
      <c r="Y3208" s="13" t="s">
        <v>10</v>
      </c>
      <c r="Z3208" s="13" t="s">
        <v>0</v>
      </c>
      <c r="AA3208" s="14"/>
      <c r="AB3208" s="13" t="s">
        <v>0</v>
      </c>
      <c r="AC3208" s="13" t="s">
        <v>0</v>
      </c>
      <c r="AD3208" s="13" t="s">
        <v>0</v>
      </c>
      <c r="AE3208" s="15">
        <v>0</v>
      </c>
    </row>
    <row r="3209" spans="1:31" ht="14.15" customHeight="1" x14ac:dyDescent="0.25">
      <c r="A3209" s="12" t="s">
        <v>0</v>
      </c>
      <c r="B3209" s="13" t="s">
        <v>1</v>
      </c>
      <c r="C3209" s="13" t="s">
        <v>4303</v>
      </c>
      <c r="D3209" s="14">
        <v>44371</v>
      </c>
      <c r="E3209" s="14">
        <v>44371</v>
      </c>
      <c r="F3209" s="14">
        <v>44374</v>
      </c>
      <c r="G3209" s="13" t="s">
        <v>48</v>
      </c>
      <c r="H3209" s="13" t="s">
        <v>4</v>
      </c>
      <c r="I3209" s="15">
        <v>-39.840000000000003</v>
      </c>
      <c r="J3209" s="13" t="s">
        <v>1233</v>
      </c>
      <c r="K3209" s="13" t="s">
        <v>6</v>
      </c>
      <c r="L3209" s="15">
        <v>-3344.57</v>
      </c>
      <c r="M3209" s="15">
        <v>-39.840000000000003</v>
      </c>
      <c r="N3209" s="16" t="str">
        <f>IF(M3209="","",IF(M3209&lt;0,-M3209&amp;"_"&amp;COUNTIF(M$2:M3209,M3209),M3209&amp;"_"&amp;COUNTIF(M$2:M3209,M3209)))</f>
        <v>39.84_1</v>
      </c>
      <c r="O3209" s="17" t="str">
        <f t="shared" si="50"/>
        <v/>
      </c>
      <c r="P3209" s="13" t="s">
        <v>4304</v>
      </c>
      <c r="Q3209" s="13" t="s">
        <v>4304</v>
      </c>
      <c r="R3209" s="13" t="s">
        <v>1656</v>
      </c>
      <c r="S3209" s="13" t="s">
        <v>0</v>
      </c>
      <c r="T3209" s="13" t="s">
        <v>9</v>
      </c>
      <c r="U3209" s="13" t="s">
        <v>1656</v>
      </c>
      <c r="V3209" s="13" t="s">
        <v>0</v>
      </c>
      <c r="W3209" s="13" t="s">
        <v>0</v>
      </c>
      <c r="X3209" s="13" t="s">
        <v>0</v>
      </c>
      <c r="Y3209" s="13" t="s">
        <v>10</v>
      </c>
      <c r="Z3209" s="13" t="s">
        <v>0</v>
      </c>
      <c r="AA3209" s="14"/>
      <c r="AB3209" s="13" t="s">
        <v>0</v>
      </c>
      <c r="AC3209" s="13" t="s">
        <v>0</v>
      </c>
      <c r="AD3209" s="13" t="s">
        <v>0</v>
      </c>
      <c r="AE3209" s="15">
        <v>0</v>
      </c>
    </row>
    <row r="3210" spans="1:31" ht="14.15" customHeight="1" x14ac:dyDescent="0.25">
      <c r="A3210" s="12" t="s">
        <v>0</v>
      </c>
      <c r="B3210" s="13" t="s">
        <v>1</v>
      </c>
      <c r="C3210" s="13" t="s">
        <v>2056</v>
      </c>
      <c r="D3210" s="14">
        <v>44199</v>
      </c>
      <c r="E3210" s="14">
        <v>44199</v>
      </c>
      <c r="F3210" s="14">
        <v>44220</v>
      </c>
      <c r="G3210" s="13" t="s">
        <v>48</v>
      </c>
      <c r="H3210" s="13" t="s">
        <v>4</v>
      </c>
      <c r="I3210" s="15">
        <v>-39.4</v>
      </c>
      <c r="J3210" s="13" t="s">
        <v>5</v>
      </c>
      <c r="K3210" s="13" t="s">
        <v>6</v>
      </c>
      <c r="L3210" s="15">
        <v>-3307.63</v>
      </c>
      <c r="M3210" s="15">
        <v>-39.4</v>
      </c>
      <c r="N3210" s="16" t="str">
        <f>IF(M3210="","",IF(M3210&lt;0,-M3210&amp;"_"&amp;COUNTIF(M$2:M3210,M3210),M3210&amp;"_"&amp;COUNTIF(M$2:M3210,M3210)))</f>
        <v>39.4_1</v>
      </c>
      <c r="O3210" s="17" t="str">
        <f t="shared" si="50"/>
        <v/>
      </c>
      <c r="P3210" s="13" t="s">
        <v>2057</v>
      </c>
      <c r="Q3210" s="13" t="s">
        <v>2057</v>
      </c>
      <c r="R3210" s="13" t="s">
        <v>1656</v>
      </c>
      <c r="S3210" s="13" t="s">
        <v>0</v>
      </c>
      <c r="T3210" s="13" t="s">
        <v>9</v>
      </c>
      <c r="U3210" s="13" t="s">
        <v>1656</v>
      </c>
      <c r="V3210" s="13" t="s">
        <v>0</v>
      </c>
      <c r="W3210" s="13" t="s">
        <v>0</v>
      </c>
      <c r="X3210" s="13" t="s">
        <v>0</v>
      </c>
      <c r="Y3210" s="13" t="s">
        <v>10</v>
      </c>
      <c r="Z3210" s="13" t="s">
        <v>0</v>
      </c>
      <c r="AA3210" s="14"/>
      <c r="AB3210" s="13" t="s">
        <v>0</v>
      </c>
      <c r="AC3210" s="13" t="s">
        <v>0</v>
      </c>
      <c r="AD3210" s="13" t="s">
        <v>0</v>
      </c>
      <c r="AE3210" s="15">
        <v>0</v>
      </c>
    </row>
    <row r="3211" spans="1:31" ht="14.15" customHeight="1" x14ac:dyDescent="0.25">
      <c r="A3211" s="12" t="s">
        <v>0</v>
      </c>
      <c r="B3211" s="13" t="s">
        <v>1</v>
      </c>
      <c r="C3211" s="13" t="s">
        <v>2089</v>
      </c>
      <c r="D3211" s="14">
        <v>44199</v>
      </c>
      <c r="E3211" s="14">
        <v>44199</v>
      </c>
      <c r="F3211" s="14">
        <v>44220</v>
      </c>
      <c r="G3211" s="13" t="s">
        <v>48</v>
      </c>
      <c r="H3211" s="13" t="s">
        <v>4</v>
      </c>
      <c r="I3211" s="15">
        <v>-39.4</v>
      </c>
      <c r="J3211" s="13" t="s">
        <v>5</v>
      </c>
      <c r="K3211" s="13" t="s">
        <v>6</v>
      </c>
      <c r="L3211" s="15">
        <v>-3307.63</v>
      </c>
      <c r="M3211" s="15">
        <v>-39.4</v>
      </c>
      <c r="N3211" s="16" t="str">
        <f>IF(M3211="","",IF(M3211&lt;0,-M3211&amp;"_"&amp;COUNTIF(M$2:M3211,M3211),M3211&amp;"_"&amp;COUNTIF(M$2:M3211,M3211)))</f>
        <v>39.4_2</v>
      </c>
      <c r="O3211" s="17" t="str">
        <f t="shared" si="50"/>
        <v/>
      </c>
      <c r="P3211" s="13" t="s">
        <v>2090</v>
      </c>
      <c r="Q3211" s="13" t="s">
        <v>2090</v>
      </c>
      <c r="R3211" s="13" t="s">
        <v>1656</v>
      </c>
      <c r="S3211" s="13" t="s">
        <v>0</v>
      </c>
      <c r="T3211" s="13" t="s">
        <v>9</v>
      </c>
      <c r="U3211" s="13" t="s">
        <v>1656</v>
      </c>
      <c r="V3211" s="13" t="s">
        <v>0</v>
      </c>
      <c r="W3211" s="13" t="s">
        <v>0</v>
      </c>
      <c r="X3211" s="13" t="s">
        <v>0</v>
      </c>
      <c r="Y3211" s="13" t="s">
        <v>10</v>
      </c>
      <c r="Z3211" s="13" t="s">
        <v>0</v>
      </c>
      <c r="AA3211" s="14"/>
      <c r="AB3211" s="13" t="s">
        <v>0</v>
      </c>
      <c r="AC3211" s="13" t="s">
        <v>0</v>
      </c>
      <c r="AD3211" s="13" t="s">
        <v>0</v>
      </c>
      <c r="AE3211" s="15">
        <v>0</v>
      </c>
    </row>
    <row r="3212" spans="1:31" ht="14.15" customHeight="1" x14ac:dyDescent="0.25">
      <c r="A3212" s="12" t="s">
        <v>0</v>
      </c>
      <c r="B3212" s="13" t="s">
        <v>1</v>
      </c>
      <c r="C3212" s="13" t="s">
        <v>3413</v>
      </c>
      <c r="D3212" s="14">
        <v>44320</v>
      </c>
      <c r="E3212" s="14">
        <v>44320</v>
      </c>
      <c r="F3212" s="14">
        <v>44339</v>
      </c>
      <c r="G3212" s="13" t="s">
        <v>48</v>
      </c>
      <c r="H3212" s="13" t="s">
        <v>4</v>
      </c>
      <c r="I3212" s="15">
        <v>-38.76</v>
      </c>
      <c r="J3212" s="13" t="s">
        <v>3414</v>
      </c>
      <c r="K3212" s="13" t="s">
        <v>6</v>
      </c>
      <c r="L3212" s="15">
        <v>-3253.9</v>
      </c>
      <c r="M3212" s="15">
        <v>-38.76</v>
      </c>
      <c r="N3212" s="16" t="str">
        <f>IF(M3212="","",IF(M3212&lt;0,-M3212&amp;"_"&amp;COUNTIF(M$2:M3212,M3212),M3212&amp;"_"&amp;COUNTIF(M$2:M3212,M3212)))</f>
        <v>38.76_1</v>
      </c>
      <c r="O3212" s="17" t="str">
        <f t="shared" si="50"/>
        <v/>
      </c>
      <c r="P3212" s="13" t="s">
        <v>3415</v>
      </c>
      <c r="Q3212" s="13" t="s">
        <v>3415</v>
      </c>
      <c r="R3212" s="13" t="s">
        <v>1656</v>
      </c>
      <c r="S3212" s="13" t="s">
        <v>0</v>
      </c>
      <c r="T3212" s="13" t="s">
        <v>9</v>
      </c>
      <c r="U3212" s="13" t="s">
        <v>1656</v>
      </c>
      <c r="V3212" s="13" t="s">
        <v>0</v>
      </c>
      <c r="W3212" s="13" t="s">
        <v>0</v>
      </c>
      <c r="X3212" s="13" t="s">
        <v>0</v>
      </c>
      <c r="Y3212" s="13" t="s">
        <v>10</v>
      </c>
      <c r="Z3212" s="13" t="s">
        <v>0</v>
      </c>
      <c r="AA3212" s="14"/>
      <c r="AB3212" s="13" t="s">
        <v>0</v>
      </c>
      <c r="AC3212" s="13" t="s">
        <v>0</v>
      </c>
      <c r="AD3212" s="13" t="s">
        <v>0</v>
      </c>
      <c r="AE3212" s="15">
        <v>0</v>
      </c>
    </row>
    <row r="3213" spans="1:31" ht="14.15" customHeight="1" x14ac:dyDescent="0.25">
      <c r="A3213" s="12" t="s">
        <v>0</v>
      </c>
      <c r="B3213" s="13" t="s">
        <v>1</v>
      </c>
      <c r="C3213" s="13" t="s">
        <v>4284</v>
      </c>
      <c r="D3213" s="14">
        <v>44371</v>
      </c>
      <c r="E3213" s="14">
        <v>44371</v>
      </c>
      <c r="F3213" s="14">
        <v>44374</v>
      </c>
      <c r="G3213" s="13" t="s">
        <v>48</v>
      </c>
      <c r="H3213" s="13" t="s">
        <v>4</v>
      </c>
      <c r="I3213" s="15">
        <v>-38.76</v>
      </c>
      <c r="J3213" s="13" t="s">
        <v>3414</v>
      </c>
      <c r="K3213" s="13" t="s">
        <v>6</v>
      </c>
      <c r="L3213" s="15">
        <v>-3253.9</v>
      </c>
      <c r="M3213" s="15">
        <v>-38.76</v>
      </c>
      <c r="N3213" s="16" t="str">
        <f>IF(M3213="","",IF(M3213&lt;0,-M3213&amp;"_"&amp;COUNTIF(M$2:M3213,M3213),M3213&amp;"_"&amp;COUNTIF(M$2:M3213,M3213)))</f>
        <v>38.76_2</v>
      </c>
      <c r="O3213" s="17" t="str">
        <f t="shared" si="50"/>
        <v/>
      </c>
      <c r="P3213" s="13" t="s">
        <v>4285</v>
      </c>
      <c r="Q3213" s="13" t="s">
        <v>4285</v>
      </c>
      <c r="R3213" s="13" t="s">
        <v>1656</v>
      </c>
      <c r="S3213" s="13" t="s">
        <v>0</v>
      </c>
      <c r="T3213" s="13" t="s">
        <v>9</v>
      </c>
      <c r="U3213" s="13" t="s">
        <v>1656</v>
      </c>
      <c r="V3213" s="13" t="s">
        <v>0</v>
      </c>
      <c r="W3213" s="13" t="s">
        <v>0</v>
      </c>
      <c r="X3213" s="13" t="s">
        <v>0</v>
      </c>
      <c r="Y3213" s="13" t="s">
        <v>10</v>
      </c>
      <c r="Z3213" s="13" t="s">
        <v>0</v>
      </c>
      <c r="AA3213" s="14"/>
      <c r="AB3213" s="13" t="s">
        <v>0</v>
      </c>
      <c r="AC3213" s="13" t="s">
        <v>0</v>
      </c>
      <c r="AD3213" s="13" t="s">
        <v>0</v>
      </c>
      <c r="AE3213" s="15">
        <v>0</v>
      </c>
    </row>
    <row r="3214" spans="1:31" ht="14.15" customHeight="1" x14ac:dyDescent="0.25">
      <c r="A3214" s="12" t="s">
        <v>0</v>
      </c>
      <c r="B3214" s="13" t="s">
        <v>1</v>
      </c>
      <c r="C3214" s="13" t="s">
        <v>1709</v>
      </c>
      <c r="D3214" s="14">
        <v>44175</v>
      </c>
      <c r="E3214" s="14">
        <v>44175</v>
      </c>
      <c r="F3214" s="14">
        <v>44191</v>
      </c>
      <c r="G3214" s="13" t="s">
        <v>48</v>
      </c>
      <c r="H3214" s="13" t="s">
        <v>4</v>
      </c>
      <c r="I3214" s="15">
        <v>-38</v>
      </c>
      <c r="J3214" s="13" t="s">
        <v>5</v>
      </c>
      <c r="K3214" s="13" t="s">
        <v>6</v>
      </c>
      <c r="L3214" s="15">
        <v>-3190.1</v>
      </c>
      <c r="M3214" s="15">
        <v>-38</v>
      </c>
      <c r="N3214" s="16" t="str">
        <f>IF(M3214="","",IF(M3214&lt;0,-M3214&amp;"_"&amp;COUNTIF(M$2:M3214,M3214),M3214&amp;"_"&amp;COUNTIF(M$2:M3214,M3214)))</f>
        <v>38_1</v>
      </c>
      <c r="O3214" s="17" t="str">
        <f t="shared" si="50"/>
        <v/>
      </c>
      <c r="P3214" s="13" t="s">
        <v>1710</v>
      </c>
      <c r="Q3214" s="13" t="s">
        <v>1710</v>
      </c>
      <c r="R3214" s="13" t="s">
        <v>1656</v>
      </c>
      <c r="S3214" s="13" t="s">
        <v>0</v>
      </c>
      <c r="T3214" s="13" t="s">
        <v>9</v>
      </c>
      <c r="U3214" s="13" t="s">
        <v>1656</v>
      </c>
      <c r="V3214" s="13" t="s">
        <v>0</v>
      </c>
      <c r="W3214" s="13" t="s">
        <v>0</v>
      </c>
      <c r="X3214" s="13" t="s">
        <v>0</v>
      </c>
      <c r="Y3214" s="13" t="s">
        <v>10</v>
      </c>
      <c r="Z3214" s="13" t="s">
        <v>0</v>
      </c>
      <c r="AA3214" s="14"/>
      <c r="AB3214" s="13" t="s">
        <v>0</v>
      </c>
      <c r="AC3214" s="13" t="s">
        <v>0</v>
      </c>
      <c r="AD3214" s="13" t="s">
        <v>0</v>
      </c>
      <c r="AE3214" s="15">
        <v>0</v>
      </c>
    </row>
    <row r="3215" spans="1:31" ht="14.15" customHeight="1" x14ac:dyDescent="0.25">
      <c r="A3215" s="12" t="s">
        <v>0</v>
      </c>
      <c r="B3215" s="13" t="s">
        <v>1</v>
      </c>
      <c r="C3215" s="13" t="s">
        <v>460</v>
      </c>
      <c r="D3215" s="14">
        <v>44068</v>
      </c>
      <c r="E3215" s="14">
        <v>44068</v>
      </c>
      <c r="F3215" s="14">
        <v>44072</v>
      </c>
      <c r="G3215" s="13" t="s">
        <v>48</v>
      </c>
      <c r="H3215" s="13" t="s">
        <v>4</v>
      </c>
      <c r="I3215" s="15">
        <v>-37.03</v>
      </c>
      <c r="J3215" s="13" t="s">
        <v>55</v>
      </c>
      <c r="K3215" s="13" t="s">
        <v>6</v>
      </c>
      <c r="L3215" s="15">
        <v>-3108.67</v>
      </c>
      <c r="M3215" s="15">
        <v>-37.03</v>
      </c>
      <c r="N3215" s="16" t="str">
        <f>IF(M3215="","",IF(M3215&lt;0,-M3215&amp;"_"&amp;COUNTIF(M$2:M3215,M3215),M3215&amp;"_"&amp;COUNTIF(M$2:M3215,M3215)))</f>
        <v>37.03_1</v>
      </c>
      <c r="O3215" s="17" t="str">
        <f t="shared" si="50"/>
        <v/>
      </c>
      <c r="P3215" s="13" t="s">
        <v>461</v>
      </c>
      <c r="Q3215" s="13" t="s">
        <v>461</v>
      </c>
      <c r="R3215" s="13" t="s">
        <v>50</v>
      </c>
      <c r="S3215" s="13" t="s">
        <v>0</v>
      </c>
      <c r="T3215" s="13" t="s">
        <v>9</v>
      </c>
      <c r="U3215" s="13" t="s">
        <v>51</v>
      </c>
      <c r="V3215" s="13" t="s">
        <v>0</v>
      </c>
      <c r="W3215" s="13" t="s">
        <v>0</v>
      </c>
      <c r="X3215" s="13" t="s">
        <v>0</v>
      </c>
      <c r="Y3215" s="13" t="s">
        <v>10</v>
      </c>
      <c r="Z3215" s="13" t="s">
        <v>0</v>
      </c>
      <c r="AA3215" s="14"/>
      <c r="AB3215" s="13" t="s">
        <v>0</v>
      </c>
      <c r="AC3215" s="13" t="s">
        <v>0</v>
      </c>
      <c r="AD3215" s="13" t="s">
        <v>0</v>
      </c>
      <c r="AE3215" s="15">
        <v>0</v>
      </c>
    </row>
    <row r="3216" spans="1:31" ht="14.15" customHeight="1" x14ac:dyDescent="0.25">
      <c r="A3216" s="12" t="s">
        <v>0</v>
      </c>
      <c r="B3216" s="13" t="s">
        <v>1</v>
      </c>
      <c r="C3216" s="13" t="s">
        <v>464</v>
      </c>
      <c r="D3216" s="14">
        <v>44068</v>
      </c>
      <c r="E3216" s="14">
        <v>44068</v>
      </c>
      <c r="F3216" s="14">
        <v>44072</v>
      </c>
      <c r="G3216" s="13" t="s">
        <v>48</v>
      </c>
      <c r="H3216" s="13" t="s">
        <v>4</v>
      </c>
      <c r="I3216" s="15">
        <v>-37.03</v>
      </c>
      <c r="J3216" s="13" t="s">
        <v>55</v>
      </c>
      <c r="K3216" s="13" t="s">
        <v>6</v>
      </c>
      <c r="L3216" s="15">
        <v>-3108.67</v>
      </c>
      <c r="M3216" s="15">
        <v>-37.03</v>
      </c>
      <c r="N3216" s="16" t="str">
        <f>IF(M3216="","",IF(M3216&lt;0,-M3216&amp;"_"&amp;COUNTIF(M$2:M3216,M3216),M3216&amp;"_"&amp;COUNTIF(M$2:M3216,M3216)))</f>
        <v>37.03_2</v>
      </c>
      <c r="O3216" s="17" t="str">
        <f t="shared" si="50"/>
        <v/>
      </c>
      <c r="P3216" s="13" t="s">
        <v>465</v>
      </c>
      <c r="Q3216" s="13" t="s">
        <v>465</v>
      </c>
      <c r="R3216" s="13" t="s">
        <v>50</v>
      </c>
      <c r="S3216" s="13" t="s">
        <v>0</v>
      </c>
      <c r="T3216" s="13" t="s">
        <v>9</v>
      </c>
      <c r="U3216" s="13" t="s">
        <v>51</v>
      </c>
      <c r="V3216" s="13" t="s">
        <v>0</v>
      </c>
      <c r="W3216" s="13" t="s">
        <v>0</v>
      </c>
      <c r="X3216" s="13" t="s">
        <v>0</v>
      </c>
      <c r="Y3216" s="13" t="s">
        <v>10</v>
      </c>
      <c r="Z3216" s="13" t="s">
        <v>0</v>
      </c>
      <c r="AA3216" s="14"/>
      <c r="AB3216" s="13" t="s">
        <v>0</v>
      </c>
      <c r="AC3216" s="13" t="s">
        <v>0</v>
      </c>
      <c r="AD3216" s="13" t="s">
        <v>0</v>
      </c>
      <c r="AE3216" s="15">
        <v>0</v>
      </c>
    </row>
    <row r="3217" spans="1:31" ht="14.15" customHeight="1" x14ac:dyDescent="0.25">
      <c r="A3217" s="12" t="s">
        <v>0</v>
      </c>
      <c r="B3217" s="13" t="s">
        <v>1</v>
      </c>
      <c r="C3217" s="13" t="s">
        <v>1929</v>
      </c>
      <c r="D3217" s="14">
        <v>44191</v>
      </c>
      <c r="E3217" s="14">
        <v>44191</v>
      </c>
      <c r="F3217" s="14">
        <v>44196</v>
      </c>
      <c r="G3217" s="13" t="s">
        <v>3</v>
      </c>
      <c r="H3217" s="13" t="s">
        <v>4</v>
      </c>
      <c r="I3217" s="15">
        <v>-32</v>
      </c>
      <c r="J3217" s="13" t="s">
        <v>5</v>
      </c>
      <c r="K3217" s="13" t="s">
        <v>6</v>
      </c>
      <c r="L3217" s="15">
        <v>-2686.4</v>
      </c>
      <c r="M3217" s="15">
        <v>-32</v>
      </c>
      <c r="N3217" s="16" t="str">
        <f>IF(M3217="","",IF(M3217&lt;0,-M3217&amp;"_"&amp;COUNTIF(M$2:M3217,M3217),M3217&amp;"_"&amp;COUNTIF(M$2:M3217,M3217)))</f>
        <v>32_1</v>
      </c>
      <c r="O3217" s="17" t="str">
        <f t="shared" si="50"/>
        <v/>
      </c>
      <c r="P3217" s="13" t="s">
        <v>1907</v>
      </c>
      <c r="Q3217" s="13" t="s">
        <v>1908</v>
      </c>
      <c r="R3217" s="13" t="s">
        <v>0</v>
      </c>
      <c r="S3217" s="13" t="s">
        <v>0</v>
      </c>
      <c r="T3217" s="13" t="s">
        <v>9</v>
      </c>
      <c r="U3217" s="13" t="s">
        <v>0</v>
      </c>
      <c r="V3217" s="13" t="s">
        <v>0</v>
      </c>
      <c r="W3217" s="13" t="s">
        <v>0</v>
      </c>
      <c r="X3217" s="13" t="s">
        <v>0</v>
      </c>
      <c r="Y3217" s="13" t="s">
        <v>10</v>
      </c>
      <c r="Z3217" s="13" t="s">
        <v>0</v>
      </c>
      <c r="AA3217" s="14"/>
      <c r="AB3217" s="13" t="s">
        <v>0</v>
      </c>
      <c r="AC3217" s="13" t="s">
        <v>0</v>
      </c>
      <c r="AD3217" s="13" t="s">
        <v>0</v>
      </c>
      <c r="AE3217" s="15">
        <v>0</v>
      </c>
    </row>
    <row r="3218" spans="1:31" ht="14.15" customHeight="1" x14ac:dyDescent="0.25">
      <c r="A3218" s="12" t="s">
        <v>0</v>
      </c>
      <c r="B3218" s="13" t="s">
        <v>1</v>
      </c>
      <c r="C3218" s="13" t="s">
        <v>2016</v>
      </c>
      <c r="D3218" s="14">
        <v>44197</v>
      </c>
      <c r="E3218" s="14">
        <v>44197</v>
      </c>
      <c r="F3218" s="14">
        <v>44220</v>
      </c>
      <c r="G3218" s="13" t="s">
        <v>48</v>
      </c>
      <c r="H3218" s="13" t="s">
        <v>4</v>
      </c>
      <c r="I3218" s="15">
        <v>-32</v>
      </c>
      <c r="J3218" s="13" t="s">
        <v>5</v>
      </c>
      <c r="K3218" s="13" t="s">
        <v>6</v>
      </c>
      <c r="L3218" s="15">
        <v>-2686.4</v>
      </c>
      <c r="M3218" s="15">
        <v>-32</v>
      </c>
      <c r="N3218" s="16" t="str">
        <f>IF(M3218="","",IF(M3218&lt;0,-M3218&amp;"_"&amp;COUNTIF(M$2:M3218,M3218),M3218&amp;"_"&amp;COUNTIF(M$2:M3218,M3218)))</f>
        <v>32_2</v>
      </c>
      <c r="O3218" s="17" t="str">
        <f t="shared" si="50"/>
        <v/>
      </c>
      <c r="P3218" s="13" t="s">
        <v>2017</v>
      </c>
      <c r="Q3218" s="13" t="s">
        <v>2017</v>
      </c>
      <c r="R3218" s="13" t="s">
        <v>1656</v>
      </c>
      <c r="S3218" s="13" t="s">
        <v>0</v>
      </c>
      <c r="T3218" s="13" t="s">
        <v>9</v>
      </c>
      <c r="U3218" s="13" t="s">
        <v>1656</v>
      </c>
      <c r="V3218" s="13" t="s">
        <v>0</v>
      </c>
      <c r="W3218" s="13" t="s">
        <v>0</v>
      </c>
      <c r="X3218" s="13" t="s">
        <v>0</v>
      </c>
      <c r="Y3218" s="13" t="s">
        <v>10</v>
      </c>
      <c r="Z3218" s="13" t="s">
        <v>0</v>
      </c>
      <c r="AA3218" s="14"/>
      <c r="AB3218" s="13" t="s">
        <v>0</v>
      </c>
      <c r="AC3218" s="13" t="s">
        <v>0</v>
      </c>
      <c r="AD3218" s="13" t="s">
        <v>0</v>
      </c>
      <c r="AE3218" s="15">
        <v>0</v>
      </c>
    </row>
    <row r="3219" spans="1:31" ht="14.15" customHeight="1" x14ac:dyDescent="0.25">
      <c r="A3219" s="12" t="s">
        <v>0</v>
      </c>
      <c r="B3219" s="13" t="s">
        <v>1</v>
      </c>
      <c r="C3219" s="13" t="s">
        <v>4118</v>
      </c>
      <c r="D3219" s="14">
        <v>44364</v>
      </c>
      <c r="E3219" s="14">
        <v>44364</v>
      </c>
      <c r="F3219" s="14">
        <v>44376</v>
      </c>
      <c r="G3219" s="13" t="s">
        <v>48</v>
      </c>
      <c r="H3219" s="13" t="s">
        <v>4</v>
      </c>
      <c r="I3219" s="15">
        <v>-32</v>
      </c>
      <c r="J3219" s="13" t="s">
        <v>5</v>
      </c>
      <c r="K3219" s="13" t="s">
        <v>6</v>
      </c>
      <c r="L3219" s="15">
        <v>-2686.4</v>
      </c>
      <c r="M3219" s="15">
        <v>-32</v>
      </c>
      <c r="N3219" s="16" t="str">
        <f>IF(M3219="","",IF(M3219&lt;0,-M3219&amp;"_"&amp;COUNTIF(M$2:M3219,M3219),M3219&amp;"_"&amp;COUNTIF(M$2:M3219,M3219)))</f>
        <v>32_3</v>
      </c>
      <c r="O3219" s="17" t="str">
        <f t="shared" si="50"/>
        <v/>
      </c>
      <c r="P3219" s="13" t="s">
        <v>4119</v>
      </c>
      <c r="Q3219" s="13" t="s">
        <v>4119</v>
      </c>
      <c r="R3219" s="13" t="s">
        <v>50</v>
      </c>
      <c r="S3219" s="13" t="s">
        <v>0</v>
      </c>
      <c r="T3219" s="13" t="s">
        <v>9</v>
      </c>
      <c r="U3219" s="13" t="s">
        <v>50</v>
      </c>
      <c r="V3219" s="13" t="s">
        <v>0</v>
      </c>
      <c r="W3219" s="13" t="s">
        <v>0</v>
      </c>
      <c r="X3219" s="13" t="s">
        <v>0</v>
      </c>
      <c r="Y3219" s="13" t="s">
        <v>10</v>
      </c>
      <c r="Z3219" s="13" t="s">
        <v>0</v>
      </c>
      <c r="AA3219" s="14"/>
      <c r="AB3219" s="13" t="s">
        <v>0</v>
      </c>
      <c r="AC3219" s="13" t="s">
        <v>0</v>
      </c>
      <c r="AD3219" s="13" t="s">
        <v>0</v>
      </c>
      <c r="AE3219" s="15">
        <v>0</v>
      </c>
    </row>
    <row r="3220" spans="1:31" ht="14.15" customHeight="1" x14ac:dyDescent="0.25">
      <c r="A3220" s="12" t="s">
        <v>0</v>
      </c>
      <c r="B3220" s="13" t="s">
        <v>1</v>
      </c>
      <c r="C3220" s="13" t="s">
        <v>4145</v>
      </c>
      <c r="D3220" s="14">
        <v>44364</v>
      </c>
      <c r="E3220" s="14">
        <v>44364</v>
      </c>
      <c r="F3220" s="14">
        <v>44376</v>
      </c>
      <c r="G3220" s="13" t="s">
        <v>48</v>
      </c>
      <c r="H3220" s="13" t="s">
        <v>4</v>
      </c>
      <c r="I3220" s="15">
        <v>-32</v>
      </c>
      <c r="J3220" s="13" t="s">
        <v>5</v>
      </c>
      <c r="K3220" s="13" t="s">
        <v>6</v>
      </c>
      <c r="L3220" s="15">
        <v>-2686.4</v>
      </c>
      <c r="M3220" s="15">
        <v>-32</v>
      </c>
      <c r="N3220" s="16" t="str">
        <f>IF(M3220="","",IF(M3220&lt;0,-M3220&amp;"_"&amp;COUNTIF(M$2:M3220,M3220),M3220&amp;"_"&amp;COUNTIF(M$2:M3220,M3220)))</f>
        <v>32_4</v>
      </c>
      <c r="O3220" s="17" t="str">
        <f t="shared" si="50"/>
        <v/>
      </c>
      <c r="P3220" s="13" t="s">
        <v>4146</v>
      </c>
      <c r="Q3220" s="13" t="s">
        <v>4146</v>
      </c>
      <c r="R3220" s="13" t="s">
        <v>50</v>
      </c>
      <c r="S3220" s="13" t="s">
        <v>0</v>
      </c>
      <c r="T3220" s="13" t="s">
        <v>9</v>
      </c>
      <c r="U3220" s="13" t="s">
        <v>50</v>
      </c>
      <c r="V3220" s="13" t="s">
        <v>0</v>
      </c>
      <c r="W3220" s="13" t="s">
        <v>0</v>
      </c>
      <c r="X3220" s="13" t="s">
        <v>0</v>
      </c>
      <c r="Y3220" s="13" t="s">
        <v>10</v>
      </c>
      <c r="Z3220" s="13" t="s">
        <v>0</v>
      </c>
      <c r="AA3220" s="14"/>
      <c r="AB3220" s="13" t="s">
        <v>0</v>
      </c>
      <c r="AC3220" s="13" t="s">
        <v>0</v>
      </c>
      <c r="AD3220" s="13" t="s">
        <v>0</v>
      </c>
      <c r="AE3220" s="15">
        <v>0</v>
      </c>
    </row>
    <row r="3221" spans="1:31" ht="14.15" customHeight="1" x14ac:dyDescent="0.25">
      <c r="A3221" s="12" t="s">
        <v>0</v>
      </c>
      <c r="B3221" s="13" t="s">
        <v>1</v>
      </c>
      <c r="C3221" s="13" t="s">
        <v>4177</v>
      </c>
      <c r="D3221" s="14">
        <v>44364</v>
      </c>
      <c r="E3221" s="14">
        <v>44364</v>
      </c>
      <c r="F3221" s="14">
        <v>44384</v>
      </c>
      <c r="G3221" s="13" t="s">
        <v>48</v>
      </c>
      <c r="H3221" s="13" t="s">
        <v>4</v>
      </c>
      <c r="I3221" s="15">
        <v>-32</v>
      </c>
      <c r="J3221" s="13" t="s">
        <v>5</v>
      </c>
      <c r="K3221" s="13" t="s">
        <v>6</v>
      </c>
      <c r="L3221" s="15">
        <v>-2686.4</v>
      </c>
      <c r="M3221" s="15">
        <v>-32</v>
      </c>
      <c r="N3221" s="16" t="str">
        <f>IF(M3221="","",IF(M3221&lt;0,-M3221&amp;"_"&amp;COUNTIF(M$2:M3221,M3221),M3221&amp;"_"&amp;COUNTIF(M$2:M3221,M3221)))</f>
        <v>32_5</v>
      </c>
      <c r="O3221" s="17" t="str">
        <f t="shared" si="50"/>
        <v/>
      </c>
      <c r="P3221" s="13" t="s">
        <v>4117</v>
      </c>
      <c r="Q3221" s="13" t="s">
        <v>4117</v>
      </c>
      <c r="R3221" s="13" t="s">
        <v>1656</v>
      </c>
      <c r="S3221" s="13" t="s">
        <v>0</v>
      </c>
      <c r="T3221" s="13" t="s">
        <v>9</v>
      </c>
      <c r="U3221" s="13" t="s">
        <v>1656</v>
      </c>
      <c r="V3221" s="13" t="s">
        <v>0</v>
      </c>
      <c r="W3221" s="13" t="s">
        <v>0</v>
      </c>
      <c r="X3221" s="13" t="s">
        <v>0</v>
      </c>
      <c r="Y3221" s="13" t="s">
        <v>10</v>
      </c>
      <c r="Z3221" s="13" t="s">
        <v>0</v>
      </c>
      <c r="AA3221" s="14"/>
      <c r="AB3221" s="13" t="s">
        <v>0</v>
      </c>
      <c r="AC3221" s="13" t="s">
        <v>0</v>
      </c>
      <c r="AD3221" s="13" t="s">
        <v>0</v>
      </c>
      <c r="AE3221" s="15">
        <v>0</v>
      </c>
    </row>
    <row r="3222" spans="1:31" ht="14.15" customHeight="1" x14ac:dyDescent="0.25">
      <c r="A3222" s="12" t="s">
        <v>0</v>
      </c>
      <c r="B3222" s="13" t="s">
        <v>1</v>
      </c>
      <c r="C3222" s="13" t="s">
        <v>2965</v>
      </c>
      <c r="D3222" s="14">
        <v>44278</v>
      </c>
      <c r="E3222" s="14">
        <v>44278</v>
      </c>
      <c r="F3222" s="14">
        <v>44283</v>
      </c>
      <c r="G3222" s="13" t="s">
        <v>3</v>
      </c>
      <c r="H3222" s="13" t="s">
        <v>4</v>
      </c>
      <c r="I3222" s="15">
        <v>-31.5</v>
      </c>
      <c r="J3222" s="13" t="s">
        <v>2967</v>
      </c>
      <c r="K3222" s="13" t="s">
        <v>6</v>
      </c>
      <c r="L3222" s="15">
        <v>-2644.43</v>
      </c>
      <c r="M3222" s="15">
        <v>-31.5</v>
      </c>
      <c r="N3222" s="16" t="str">
        <f>IF(M3222="","",IF(M3222&lt;0,-M3222&amp;"_"&amp;COUNTIF(M$2:M3222,M3222),M3222&amp;"_"&amp;COUNTIF(M$2:M3222,M3222)))</f>
        <v>31.5_1</v>
      </c>
      <c r="O3222" s="17" t="str">
        <f t="shared" si="50"/>
        <v/>
      </c>
      <c r="P3222" s="13" t="s">
        <v>2966</v>
      </c>
      <c r="Q3222" s="13" t="s">
        <v>2964</v>
      </c>
      <c r="R3222" s="13" t="s">
        <v>0</v>
      </c>
      <c r="S3222" s="13" t="s">
        <v>0</v>
      </c>
      <c r="T3222" s="13" t="s">
        <v>9</v>
      </c>
      <c r="U3222" s="13" t="s">
        <v>0</v>
      </c>
      <c r="V3222" s="13" t="s">
        <v>0</v>
      </c>
      <c r="W3222" s="13" t="s">
        <v>0</v>
      </c>
      <c r="X3222" s="13" t="s">
        <v>0</v>
      </c>
      <c r="Y3222" s="13" t="s">
        <v>10</v>
      </c>
      <c r="Z3222" s="13" t="s">
        <v>0</v>
      </c>
      <c r="AA3222" s="14"/>
      <c r="AB3222" s="13" t="s">
        <v>0</v>
      </c>
      <c r="AC3222" s="13" t="s">
        <v>0</v>
      </c>
      <c r="AD3222" s="13" t="s">
        <v>0</v>
      </c>
      <c r="AE3222" s="15">
        <v>0</v>
      </c>
    </row>
    <row r="3223" spans="1:31" ht="14.15" customHeight="1" x14ac:dyDescent="0.25">
      <c r="A3223" s="12" t="s">
        <v>0</v>
      </c>
      <c r="B3223" s="13" t="s">
        <v>1</v>
      </c>
      <c r="C3223" s="13" t="s">
        <v>672</v>
      </c>
      <c r="D3223" s="14">
        <v>44089</v>
      </c>
      <c r="E3223" s="14">
        <v>44089</v>
      </c>
      <c r="F3223" s="14">
        <v>44101</v>
      </c>
      <c r="G3223" s="13" t="s">
        <v>48</v>
      </c>
      <c r="H3223" s="13" t="s">
        <v>4</v>
      </c>
      <c r="I3223" s="15">
        <v>-30</v>
      </c>
      <c r="J3223" s="13" t="s">
        <v>5</v>
      </c>
      <c r="K3223" s="13" t="s">
        <v>6</v>
      </c>
      <c r="L3223" s="15">
        <v>-2518.5</v>
      </c>
      <c r="M3223" s="15">
        <v>-30</v>
      </c>
      <c r="N3223" s="16" t="str">
        <f>IF(M3223="","",IF(M3223&lt;0,-M3223&amp;"_"&amp;COUNTIF(M$2:M3223,M3223),M3223&amp;"_"&amp;COUNTIF(M$2:M3223,M3223)))</f>
        <v>30_1</v>
      </c>
      <c r="O3223" s="17" t="str">
        <f t="shared" si="50"/>
        <v/>
      </c>
      <c r="P3223" s="13" t="s">
        <v>673</v>
      </c>
      <c r="Q3223" s="13" t="s">
        <v>673</v>
      </c>
      <c r="R3223" s="13" t="s">
        <v>50</v>
      </c>
      <c r="S3223" s="13" t="s">
        <v>0</v>
      </c>
      <c r="T3223" s="13" t="s">
        <v>9</v>
      </c>
      <c r="U3223" s="13" t="s">
        <v>51</v>
      </c>
      <c r="V3223" s="13" t="s">
        <v>0</v>
      </c>
      <c r="W3223" s="13" t="s">
        <v>0</v>
      </c>
      <c r="X3223" s="13" t="s">
        <v>0</v>
      </c>
      <c r="Y3223" s="13" t="s">
        <v>10</v>
      </c>
      <c r="Z3223" s="13" t="s">
        <v>0</v>
      </c>
      <c r="AA3223" s="14"/>
      <c r="AB3223" s="13" t="s">
        <v>0</v>
      </c>
      <c r="AC3223" s="13" t="s">
        <v>0</v>
      </c>
      <c r="AD3223" s="13" t="s">
        <v>0</v>
      </c>
      <c r="AE3223" s="15">
        <v>0</v>
      </c>
    </row>
    <row r="3224" spans="1:31" ht="14.15" customHeight="1" x14ac:dyDescent="0.25">
      <c r="A3224" s="12" t="s">
        <v>0</v>
      </c>
      <c r="B3224" s="13" t="s">
        <v>1</v>
      </c>
      <c r="C3224" s="13" t="s">
        <v>2726</v>
      </c>
      <c r="D3224" s="14">
        <v>44256</v>
      </c>
      <c r="E3224" s="14">
        <v>44256</v>
      </c>
      <c r="F3224" s="14">
        <v>44291</v>
      </c>
      <c r="G3224" s="13" t="s">
        <v>48</v>
      </c>
      <c r="H3224" s="13" t="s">
        <v>4</v>
      </c>
      <c r="I3224" s="15">
        <v>-30</v>
      </c>
      <c r="J3224" s="13" t="s">
        <v>5</v>
      </c>
      <c r="K3224" s="13" t="s">
        <v>6</v>
      </c>
      <c r="L3224" s="15">
        <v>-2518.5</v>
      </c>
      <c r="M3224" s="15">
        <v>-30</v>
      </c>
      <c r="N3224" s="16" t="str">
        <f>IF(M3224="","",IF(M3224&lt;0,-M3224&amp;"_"&amp;COUNTIF(M$2:M3224,M3224),M3224&amp;"_"&amp;COUNTIF(M$2:M3224,M3224)))</f>
        <v>30_2</v>
      </c>
      <c r="O3224" s="17" t="str">
        <f t="shared" si="50"/>
        <v/>
      </c>
      <c r="P3224" s="13" t="s">
        <v>2727</v>
      </c>
      <c r="Q3224" s="13" t="s">
        <v>2727</v>
      </c>
      <c r="R3224" s="13" t="s">
        <v>1656</v>
      </c>
      <c r="S3224" s="13" t="s">
        <v>0</v>
      </c>
      <c r="T3224" s="13" t="s">
        <v>9</v>
      </c>
      <c r="U3224" s="13" t="s">
        <v>1656</v>
      </c>
      <c r="V3224" s="13" t="s">
        <v>0</v>
      </c>
      <c r="W3224" s="13" t="s">
        <v>0</v>
      </c>
      <c r="X3224" s="13" t="s">
        <v>0</v>
      </c>
      <c r="Y3224" s="13" t="s">
        <v>10</v>
      </c>
      <c r="Z3224" s="13" t="s">
        <v>0</v>
      </c>
      <c r="AA3224" s="14"/>
      <c r="AB3224" s="13" t="s">
        <v>0</v>
      </c>
      <c r="AC3224" s="13" t="s">
        <v>0</v>
      </c>
      <c r="AD3224" s="13" t="s">
        <v>0</v>
      </c>
      <c r="AE3224" s="15">
        <v>0</v>
      </c>
    </row>
    <row r="3225" spans="1:31" ht="14.15" customHeight="1" x14ac:dyDescent="0.25">
      <c r="A3225" s="12" t="s">
        <v>0</v>
      </c>
      <c r="B3225" s="13" t="s">
        <v>1</v>
      </c>
      <c r="C3225" s="13" t="s">
        <v>1914</v>
      </c>
      <c r="D3225" s="14">
        <v>44191</v>
      </c>
      <c r="E3225" s="14">
        <v>44191</v>
      </c>
      <c r="F3225" s="14">
        <v>44196</v>
      </c>
      <c r="G3225" s="13" t="s">
        <v>48</v>
      </c>
      <c r="H3225" s="13" t="s">
        <v>4</v>
      </c>
      <c r="I3225" s="15">
        <v>-28</v>
      </c>
      <c r="J3225" s="13" t="s">
        <v>5</v>
      </c>
      <c r="K3225" s="13" t="s">
        <v>6</v>
      </c>
      <c r="L3225" s="15">
        <v>-2350.6</v>
      </c>
      <c r="M3225" s="15">
        <v>-28</v>
      </c>
      <c r="N3225" s="16" t="str">
        <f>IF(M3225="","",IF(M3225&lt;0,-M3225&amp;"_"&amp;COUNTIF(M$2:M3225,M3225),M3225&amp;"_"&amp;COUNTIF(M$2:M3225,M3225)))</f>
        <v>28_1</v>
      </c>
      <c r="O3225" s="17" t="str">
        <f t="shared" si="50"/>
        <v/>
      </c>
      <c r="P3225" s="13" t="s">
        <v>1915</v>
      </c>
      <c r="Q3225" s="13" t="s">
        <v>1915</v>
      </c>
      <c r="R3225" s="13" t="s">
        <v>1656</v>
      </c>
      <c r="S3225" s="13" t="s">
        <v>0</v>
      </c>
      <c r="T3225" s="13" t="s">
        <v>9</v>
      </c>
      <c r="U3225" s="13" t="s">
        <v>1656</v>
      </c>
      <c r="V3225" s="13" t="s">
        <v>0</v>
      </c>
      <c r="W3225" s="13" t="s">
        <v>0</v>
      </c>
      <c r="X3225" s="13" t="s">
        <v>0</v>
      </c>
      <c r="Y3225" s="13" t="s">
        <v>10</v>
      </c>
      <c r="Z3225" s="13" t="s">
        <v>0</v>
      </c>
      <c r="AA3225" s="14"/>
      <c r="AB3225" s="13" t="s">
        <v>0</v>
      </c>
      <c r="AC3225" s="13" t="s">
        <v>0</v>
      </c>
      <c r="AD3225" s="13" t="s">
        <v>0</v>
      </c>
      <c r="AE3225" s="15">
        <v>0</v>
      </c>
    </row>
    <row r="3226" spans="1:31" ht="14.15" customHeight="1" x14ac:dyDescent="0.25">
      <c r="A3226" s="12" t="s">
        <v>0</v>
      </c>
      <c r="B3226" s="13" t="s">
        <v>1</v>
      </c>
      <c r="C3226" s="13" t="s">
        <v>3733</v>
      </c>
      <c r="D3226" s="14">
        <v>44338</v>
      </c>
      <c r="E3226" s="14">
        <v>44338</v>
      </c>
      <c r="F3226" s="14">
        <v>44346</v>
      </c>
      <c r="G3226" s="13" t="s">
        <v>48</v>
      </c>
      <c r="H3226" s="13" t="s">
        <v>4</v>
      </c>
      <c r="I3226" s="15">
        <v>-28</v>
      </c>
      <c r="J3226" s="13" t="s">
        <v>5</v>
      </c>
      <c r="K3226" s="13" t="s">
        <v>6</v>
      </c>
      <c r="L3226" s="15">
        <v>-2350.6</v>
      </c>
      <c r="M3226" s="15">
        <v>-28</v>
      </c>
      <c r="N3226" s="16" t="str">
        <f>IF(M3226="","",IF(M3226&lt;0,-M3226&amp;"_"&amp;COUNTIF(M$2:M3226,M3226),M3226&amp;"_"&amp;COUNTIF(M$2:M3226,M3226)))</f>
        <v>28_2</v>
      </c>
      <c r="O3226" s="17" t="str">
        <f t="shared" si="50"/>
        <v/>
      </c>
      <c r="P3226" s="13" t="s">
        <v>3734</v>
      </c>
      <c r="Q3226" s="13" t="s">
        <v>3734</v>
      </c>
      <c r="R3226" s="13" t="s">
        <v>1656</v>
      </c>
      <c r="S3226" s="13" t="s">
        <v>0</v>
      </c>
      <c r="T3226" s="13" t="s">
        <v>9</v>
      </c>
      <c r="U3226" s="13" t="s">
        <v>1656</v>
      </c>
      <c r="V3226" s="13" t="s">
        <v>0</v>
      </c>
      <c r="W3226" s="13" t="s">
        <v>0</v>
      </c>
      <c r="X3226" s="13" t="s">
        <v>0</v>
      </c>
      <c r="Y3226" s="13" t="s">
        <v>10</v>
      </c>
      <c r="Z3226" s="13" t="s">
        <v>0</v>
      </c>
      <c r="AA3226" s="14"/>
      <c r="AB3226" s="13" t="s">
        <v>0</v>
      </c>
      <c r="AC3226" s="13" t="s">
        <v>0</v>
      </c>
      <c r="AD3226" s="13" t="s">
        <v>0</v>
      </c>
      <c r="AE3226" s="15">
        <v>0</v>
      </c>
    </row>
    <row r="3227" spans="1:31" ht="14.15" customHeight="1" x14ac:dyDescent="0.25">
      <c r="A3227" s="12" t="s">
        <v>0</v>
      </c>
      <c r="B3227" s="13" t="s">
        <v>1</v>
      </c>
      <c r="C3227" s="13" t="s">
        <v>492</v>
      </c>
      <c r="D3227" s="14">
        <v>44068</v>
      </c>
      <c r="E3227" s="14">
        <v>44068</v>
      </c>
      <c r="F3227" s="14">
        <v>44072</v>
      </c>
      <c r="G3227" s="13" t="s">
        <v>48</v>
      </c>
      <c r="H3227" s="13" t="s">
        <v>4</v>
      </c>
      <c r="I3227" s="15">
        <v>-27.4</v>
      </c>
      <c r="J3227" s="13" t="s">
        <v>5</v>
      </c>
      <c r="K3227" s="13" t="s">
        <v>6</v>
      </c>
      <c r="L3227" s="15">
        <v>-2300.23</v>
      </c>
      <c r="M3227" s="15">
        <v>-27.4</v>
      </c>
      <c r="N3227" s="16" t="str">
        <f>IF(M3227="","",IF(M3227&lt;0,-M3227&amp;"_"&amp;COUNTIF(M$2:M3227,M3227),M3227&amp;"_"&amp;COUNTIF(M$2:M3227,M3227)))</f>
        <v>27.4_1</v>
      </c>
      <c r="O3227" s="17" t="str">
        <f t="shared" si="50"/>
        <v/>
      </c>
      <c r="P3227" s="13" t="s">
        <v>493</v>
      </c>
      <c r="Q3227" s="13" t="s">
        <v>493</v>
      </c>
      <c r="R3227" s="13" t="s">
        <v>50</v>
      </c>
      <c r="S3227" s="13" t="s">
        <v>0</v>
      </c>
      <c r="T3227" s="13" t="s">
        <v>9</v>
      </c>
      <c r="U3227" s="13" t="s">
        <v>51</v>
      </c>
      <c r="V3227" s="13" t="s">
        <v>0</v>
      </c>
      <c r="W3227" s="13" t="s">
        <v>0</v>
      </c>
      <c r="X3227" s="13" t="s">
        <v>0</v>
      </c>
      <c r="Y3227" s="13" t="s">
        <v>10</v>
      </c>
      <c r="Z3227" s="13" t="s">
        <v>0</v>
      </c>
      <c r="AA3227" s="14"/>
      <c r="AB3227" s="13" t="s">
        <v>0</v>
      </c>
      <c r="AC3227" s="13" t="s">
        <v>0</v>
      </c>
      <c r="AD3227" s="13" t="s">
        <v>0</v>
      </c>
      <c r="AE3227" s="15">
        <v>0</v>
      </c>
    </row>
    <row r="3228" spans="1:31" ht="14.15" customHeight="1" x14ac:dyDescent="0.25">
      <c r="A3228" s="12" t="s">
        <v>0</v>
      </c>
      <c r="B3228" s="13" t="s">
        <v>1</v>
      </c>
      <c r="C3228" s="13" t="s">
        <v>494</v>
      </c>
      <c r="D3228" s="14">
        <v>44068</v>
      </c>
      <c r="E3228" s="14">
        <v>44068</v>
      </c>
      <c r="F3228" s="14">
        <v>44072</v>
      </c>
      <c r="G3228" s="13" t="s">
        <v>48</v>
      </c>
      <c r="H3228" s="13" t="s">
        <v>4</v>
      </c>
      <c r="I3228" s="15">
        <v>-26.45</v>
      </c>
      <c r="J3228" s="13" t="s">
        <v>495</v>
      </c>
      <c r="K3228" s="13" t="s">
        <v>6</v>
      </c>
      <c r="L3228" s="15">
        <v>-2220.48</v>
      </c>
      <c r="M3228" s="15">
        <v>-26.45</v>
      </c>
      <c r="N3228" s="16" t="str">
        <f>IF(M3228="","",IF(M3228&lt;0,-M3228&amp;"_"&amp;COUNTIF(M$2:M3228,M3228),M3228&amp;"_"&amp;COUNTIF(M$2:M3228,M3228)))</f>
        <v>26.45_1</v>
      </c>
      <c r="O3228" s="17" t="str">
        <f t="shared" si="50"/>
        <v/>
      </c>
      <c r="P3228" s="13" t="s">
        <v>496</v>
      </c>
      <c r="Q3228" s="13" t="s">
        <v>496</v>
      </c>
      <c r="R3228" s="13" t="s">
        <v>50</v>
      </c>
      <c r="S3228" s="13" t="s">
        <v>0</v>
      </c>
      <c r="T3228" s="13" t="s">
        <v>9</v>
      </c>
      <c r="U3228" s="13" t="s">
        <v>51</v>
      </c>
      <c r="V3228" s="13" t="s">
        <v>0</v>
      </c>
      <c r="W3228" s="13" t="s">
        <v>0</v>
      </c>
      <c r="X3228" s="13" t="s">
        <v>0</v>
      </c>
      <c r="Y3228" s="13" t="s">
        <v>10</v>
      </c>
      <c r="Z3228" s="13" t="s">
        <v>0</v>
      </c>
      <c r="AA3228" s="14"/>
      <c r="AB3228" s="13" t="s">
        <v>0</v>
      </c>
      <c r="AC3228" s="13" t="s">
        <v>0</v>
      </c>
      <c r="AD3228" s="13" t="s">
        <v>0</v>
      </c>
      <c r="AE3228" s="15">
        <v>0</v>
      </c>
    </row>
    <row r="3229" spans="1:31" ht="14.15" customHeight="1" x14ac:dyDescent="0.25">
      <c r="A3229" s="12" t="s">
        <v>0</v>
      </c>
      <c r="B3229" s="13" t="s">
        <v>1</v>
      </c>
      <c r="C3229" s="13" t="s">
        <v>3964</v>
      </c>
      <c r="D3229" s="14">
        <v>44358</v>
      </c>
      <c r="E3229" s="14">
        <v>44358</v>
      </c>
      <c r="F3229" s="14">
        <v>44370</v>
      </c>
      <c r="G3229" s="13" t="s">
        <v>48</v>
      </c>
      <c r="H3229" s="13" t="s">
        <v>4</v>
      </c>
      <c r="I3229" s="15">
        <v>-25</v>
      </c>
      <c r="J3229" s="13" t="s">
        <v>5</v>
      </c>
      <c r="K3229" s="13" t="s">
        <v>6</v>
      </c>
      <c r="L3229" s="15">
        <v>-2098.75</v>
      </c>
      <c r="M3229" s="15">
        <v>-25</v>
      </c>
      <c r="N3229" s="16" t="str">
        <f>IF(M3229="","",IF(M3229&lt;0,-M3229&amp;"_"&amp;COUNTIF(M$2:M3229,M3229),M3229&amp;"_"&amp;COUNTIF(M$2:M3229,M3229)))</f>
        <v>25_1</v>
      </c>
      <c r="O3229" s="17" t="str">
        <f t="shared" si="50"/>
        <v/>
      </c>
      <c r="P3229" s="13" t="s">
        <v>3965</v>
      </c>
      <c r="Q3229" s="13" t="s">
        <v>3965</v>
      </c>
      <c r="R3229" s="13" t="s">
        <v>50</v>
      </c>
      <c r="S3229" s="13" t="s">
        <v>0</v>
      </c>
      <c r="T3229" s="13" t="s">
        <v>9</v>
      </c>
      <c r="U3229" s="13" t="s">
        <v>50</v>
      </c>
      <c r="V3229" s="13" t="s">
        <v>0</v>
      </c>
      <c r="W3229" s="13" t="s">
        <v>0</v>
      </c>
      <c r="X3229" s="13" t="s">
        <v>0</v>
      </c>
      <c r="Y3229" s="13" t="s">
        <v>10</v>
      </c>
      <c r="Z3229" s="13" t="s">
        <v>0</v>
      </c>
      <c r="AA3229" s="14"/>
      <c r="AB3229" s="13" t="s">
        <v>0</v>
      </c>
      <c r="AC3229" s="13" t="s">
        <v>0</v>
      </c>
      <c r="AD3229" s="13" t="s">
        <v>0</v>
      </c>
      <c r="AE3229" s="15">
        <v>0</v>
      </c>
    </row>
    <row r="3230" spans="1:31" ht="14.15" customHeight="1" x14ac:dyDescent="0.25">
      <c r="A3230" s="12" t="s">
        <v>0</v>
      </c>
      <c r="B3230" s="13" t="s">
        <v>1</v>
      </c>
      <c r="C3230" s="13" t="s">
        <v>3966</v>
      </c>
      <c r="D3230" s="14">
        <v>44358</v>
      </c>
      <c r="E3230" s="14">
        <v>44358</v>
      </c>
      <c r="F3230" s="14">
        <v>44370</v>
      </c>
      <c r="G3230" s="13" t="s">
        <v>48</v>
      </c>
      <c r="H3230" s="13" t="s">
        <v>4</v>
      </c>
      <c r="I3230" s="15">
        <v>-25</v>
      </c>
      <c r="J3230" s="13" t="s">
        <v>5</v>
      </c>
      <c r="K3230" s="13" t="s">
        <v>6</v>
      </c>
      <c r="L3230" s="15">
        <v>-2098.75</v>
      </c>
      <c r="M3230" s="15">
        <v>-25</v>
      </c>
      <c r="N3230" s="16" t="str">
        <f>IF(M3230="","",IF(M3230&lt;0,-M3230&amp;"_"&amp;COUNTIF(M$2:M3230,M3230),M3230&amp;"_"&amp;COUNTIF(M$2:M3230,M3230)))</f>
        <v>25_2</v>
      </c>
      <c r="O3230" s="17" t="str">
        <f t="shared" si="50"/>
        <v/>
      </c>
      <c r="P3230" s="13" t="s">
        <v>3967</v>
      </c>
      <c r="Q3230" s="13" t="s">
        <v>3967</v>
      </c>
      <c r="R3230" s="13" t="s">
        <v>50</v>
      </c>
      <c r="S3230" s="13" t="s">
        <v>0</v>
      </c>
      <c r="T3230" s="13" t="s">
        <v>9</v>
      </c>
      <c r="U3230" s="13" t="s">
        <v>50</v>
      </c>
      <c r="V3230" s="13" t="s">
        <v>0</v>
      </c>
      <c r="W3230" s="13" t="s">
        <v>0</v>
      </c>
      <c r="X3230" s="13" t="s">
        <v>0</v>
      </c>
      <c r="Y3230" s="13" t="s">
        <v>10</v>
      </c>
      <c r="Z3230" s="13" t="s">
        <v>0</v>
      </c>
      <c r="AA3230" s="14"/>
      <c r="AB3230" s="13" t="s">
        <v>0</v>
      </c>
      <c r="AC3230" s="13" t="s">
        <v>0</v>
      </c>
      <c r="AD3230" s="13" t="s">
        <v>0</v>
      </c>
      <c r="AE3230" s="15">
        <v>0</v>
      </c>
    </row>
    <row r="3231" spans="1:31" ht="14.15" customHeight="1" x14ac:dyDescent="0.25">
      <c r="A3231" s="12" t="s">
        <v>0</v>
      </c>
      <c r="B3231" s="13" t="s">
        <v>1</v>
      </c>
      <c r="C3231" s="13" t="s">
        <v>3978</v>
      </c>
      <c r="D3231" s="14">
        <v>44358</v>
      </c>
      <c r="E3231" s="14">
        <v>44358</v>
      </c>
      <c r="F3231" s="14">
        <v>44371</v>
      </c>
      <c r="G3231" s="13" t="s">
        <v>48</v>
      </c>
      <c r="H3231" s="13" t="s">
        <v>4</v>
      </c>
      <c r="I3231" s="15">
        <v>-25</v>
      </c>
      <c r="J3231" s="13" t="s">
        <v>5</v>
      </c>
      <c r="K3231" s="13" t="s">
        <v>6</v>
      </c>
      <c r="L3231" s="15">
        <v>-2098.75</v>
      </c>
      <c r="M3231" s="15">
        <v>-25</v>
      </c>
      <c r="N3231" s="16" t="str">
        <f>IF(M3231="","",IF(M3231&lt;0,-M3231&amp;"_"&amp;COUNTIF(M$2:M3231,M3231),M3231&amp;"_"&amp;COUNTIF(M$2:M3231,M3231)))</f>
        <v>25_3</v>
      </c>
      <c r="O3231" s="17" t="str">
        <f t="shared" si="50"/>
        <v/>
      </c>
      <c r="P3231" s="13" t="s">
        <v>3979</v>
      </c>
      <c r="Q3231" s="13" t="s">
        <v>3979</v>
      </c>
      <c r="R3231" s="13" t="s">
        <v>50</v>
      </c>
      <c r="S3231" s="13" t="s">
        <v>0</v>
      </c>
      <c r="T3231" s="13" t="s">
        <v>9</v>
      </c>
      <c r="U3231" s="13" t="s">
        <v>50</v>
      </c>
      <c r="V3231" s="13" t="s">
        <v>0</v>
      </c>
      <c r="W3231" s="13" t="s">
        <v>0</v>
      </c>
      <c r="X3231" s="13" t="s">
        <v>0</v>
      </c>
      <c r="Y3231" s="13" t="s">
        <v>10</v>
      </c>
      <c r="Z3231" s="13" t="s">
        <v>0</v>
      </c>
      <c r="AA3231" s="14"/>
      <c r="AB3231" s="13" t="s">
        <v>0</v>
      </c>
      <c r="AC3231" s="13" t="s">
        <v>0</v>
      </c>
      <c r="AD3231" s="13" t="s">
        <v>0</v>
      </c>
      <c r="AE3231" s="15">
        <v>0</v>
      </c>
    </row>
    <row r="3232" spans="1:31" ht="14.15" customHeight="1" x14ac:dyDescent="0.25">
      <c r="A3232" s="12" t="s">
        <v>0</v>
      </c>
      <c r="B3232" s="13" t="s">
        <v>1</v>
      </c>
      <c r="C3232" s="13" t="s">
        <v>4007</v>
      </c>
      <c r="D3232" s="14">
        <v>44358</v>
      </c>
      <c r="E3232" s="14">
        <v>44358</v>
      </c>
      <c r="F3232" s="14">
        <v>44372</v>
      </c>
      <c r="G3232" s="13" t="s">
        <v>48</v>
      </c>
      <c r="H3232" s="13" t="s">
        <v>4</v>
      </c>
      <c r="I3232" s="15">
        <v>-25</v>
      </c>
      <c r="J3232" s="13" t="s">
        <v>5</v>
      </c>
      <c r="K3232" s="13" t="s">
        <v>6</v>
      </c>
      <c r="L3232" s="15">
        <v>-2098.75</v>
      </c>
      <c r="M3232" s="15">
        <v>-25</v>
      </c>
      <c r="N3232" s="16" t="str">
        <f>IF(M3232="","",IF(M3232&lt;0,-M3232&amp;"_"&amp;COUNTIF(M$2:M3232,M3232),M3232&amp;"_"&amp;COUNTIF(M$2:M3232,M3232)))</f>
        <v>25_4</v>
      </c>
      <c r="O3232" s="17" t="str">
        <f t="shared" si="50"/>
        <v/>
      </c>
      <c r="P3232" s="13" t="s">
        <v>4008</v>
      </c>
      <c r="Q3232" s="13" t="s">
        <v>4008</v>
      </c>
      <c r="R3232" s="13" t="s">
        <v>50</v>
      </c>
      <c r="S3232" s="13" t="s">
        <v>0</v>
      </c>
      <c r="T3232" s="13" t="s">
        <v>9</v>
      </c>
      <c r="U3232" s="13" t="s">
        <v>50</v>
      </c>
      <c r="V3232" s="13" t="s">
        <v>0</v>
      </c>
      <c r="W3232" s="13" t="s">
        <v>0</v>
      </c>
      <c r="X3232" s="13" t="s">
        <v>0</v>
      </c>
      <c r="Y3232" s="13" t="s">
        <v>10</v>
      </c>
      <c r="Z3232" s="13" t="s">
        <v>0</v>
      </c>
      <c r="AA3232" s="14"/>
      <c r="AB3232" s="13" t="s">
        <v>0</v>
      </c>
      <c r="AC3232" s="13" t="s">
        <v>0</v>
      </c>
      <c r="AD3232" s="13" t="s">
        <v>0</v>
      </c>
      <c r="AE3232" s="15">
        <v>0</v>
      </c>
    </row>
    <row r="3233" spans="1:31" ht="14.15" customHeight="1" x14ac:dyDescent="0.25">
      <c r="A3233" s="12" t="s">
        <v>0</v>
      </c>
      <c r="B3233" s="13" t="s">
        <v>1</v>
      </c>
      <c r="C3233" s="13" t="s">
        <v>4135</v>
      </c>
      <c r="D3233" s="14">
        <v>44364</v>
      </c>
      <c r="E3233" s="14">
        <v>44364</v>
      </c>
      <c r="F3233" s="14">
        <v>44376</v>
      </c>
      <c r="G3233" s="13" t="s">
        <v>48</v>
      </c>
      <c r="H3233" s="13" t="s">
        <v>4</v>
      </c>
      <c r="I3233" s="15">
        <v>-25</v>
      </c>
      <c r="J3233" s="13" t="s">
        <v>5</v>
      </c>
      <c r="K3233" s="13" t="s">
        <v>6</v>
      </c>
      <c r="L3233" s="15">
        <v>-2098.75</v>
      </c>
      <c r="M3233" s="15">
        <v>-25</v>
      </c>
      <c r="N3233" s="16" t="str">
        <f>IF(M3233="","",IF(M3233&lt;0,-M3233&amp;"_"&amp;COUNTIF(M$2:M3233,M3233),M3233&amp;"_"&amp;COUNTIF(M$2:M3233,M3233)))</f>
        <v>25_5</v>
      </c>
      <c r="O3233" s="17" t="str">
        <f t="shared" si="50"/>
        <v/>
      </c>
      <c r="P3233" s="13" t="s">
        <v>4136</v>
      </c>
      <c r="Q3233" s="13" t="s">
        <v>4136</v>
      </c>
      <c r="R3233" s="13" t="s">
        <v>50</v>
      </c>
      <c r="S3233" s="13" t="s">
        <v>0</v>
      </c>
      <c r="T3233" s="13" t="s">
        <v>9</v>
      </c>
      <c r="U3233" s="13" t="s">
        <v>50</v>
      </c>
      <c r="V3233" s="13" t="s">
        <v>0</v>
      </c>
      <c r="W3233" s="13" t="s">
        <v>0</v>
      </c>
      <c r="X3233" s="13" t="s">
        <v>0</v>
      </c>
      <c r="Y3233" s="13" t="s">
        <v>10</v>
      </c>
      <c r="Z3233" s="13" t="s">
        <v>0</v>
      </c>
      <c r="AA3233" s="14"/>
      <c r="AB3233" s="13" t="s">
        <v>0</v>
      </c>
      <c r="AC3233" s="13" t="s">
        <v>0</v>
      </c>
      <c r="AD3233" s="13" t="s">
        <v>0</v>
      </c>
      <c r="AE3233" s="15">
        <v>0</v>
      </c>
    </row>
    <row r="3234" spans="1:31" ht="14.15" customHeight="1" x14ac:dyDescent="0.25">
      <c r="A3234" s="12" t="s">
        <v>0</v>
      </c>
      <c r="B3234" s="13" t="s">
        <v>1</v>
      </c>
      <c r="C3234" s="13" t="s">
        <v>4139</v>
      </c>
      <c r="D3234" s="14">
        <v>44364</v>
      </c>
      <c r="E3234" s="14">
        <v>44364</v>
      </c>
      <c r="F3234" s="14">
        <v>44376</v>
      </c>
      <c r="G3234" s="13" t="s">
        <v>48</v>
      </c>
      <c r="H3234" s="13" t="s">
        <v>4</v>
      </c>
      <c r="I3234" s="15">
        <v>-25</v>
      </c>
      <c r="J3234" s="13" t="s">
        <v>5</v>
      </c>
      <c r="K3234" s="13" t="s">
        <v>6</v>
      </c>
      <c r="L3234" s="15">
        <v>-2098.75</v>
      </c>
      <c r="M3234" s="15">
        <v>-25</v>
      </c>
      <c r="N3234" s="16" t="str">
        <f>IF(M3234="","",IF(M3234&lt;0,-M3234&amp;"_"&amp;COUNTIF(M$2:M3234,M3234),M3234&amp;"_"&amp;COUNTIF(M$2:M3234,M3234)))</f>
        <v>25_6</v>
      </c>
      <c r="O3234" s="17" t="str">
        <f t="shared" si="50"/>
        <v/>
      </c>
      <c r="P3234" s="13" t="s">
        <v>4140</v>
      </c>
      <c r="Q3234" s="13" t="s">
        <v>4140</v>
      </c>
      <c r="R3234" s="13" t="s">
        <v>50</v>
      </c>
      <c r="S3234" s="13" t="s">
        <v>0</v>
      </c>
      <c r="T3234" s="13" t="s">
        <v>9</v>
      </c>
      <c r="U3234" s="13" t="s">
        <v>50</v>
      </c>
      <c r="V3234" s="13" t="s">
        <v>0</v>
      </c>
      <c r="W3234" s="13" t="s">
        <v>0</v>
      </c>
      <c r="X3234" s="13" t="s">
        <v>0</v>
      </c>
      <c r="Y3234" s="13" t="s">
        <v>10</v>
      </c>
      <c r="Z3234" s="13" t="s">
        <v>0</v>
      </c>
      <c r="AA3234" s="14"/>
      <c r="AB3234" s="13" t="s">
        <v>0</v>
      </c>
      <c r="AC3234" s="13" t="s">
        <v>0</v>
      </c>
      <c r="AD3234" s="13" t="s">
        <v>0</v>
      </c>
      <c r="AE3234" s="15">
        <v>0</v>
      </c>
    </row>
    <row r="3235" spans="1:31" ht="14.15" customHeight="1" x14ac:dyDescent="0.25">
      <c r="A3235" s="12" t="s">
        <v>0</v>
      </c>
      <c r="B3235" s="13" t="s">
        <v>1</v>
      </c>
      <c r="C3235" s="13" t="s">
        <v>4147</v>
      </c>
      <c r="D3235" s="14">
        <v>44364</v>
      </c>
      <c r="E3235" s="14">
        <v>44364</v>
      </c>
      <c r="F3235" s="14">
        <v>44376</v>
      </c>
      <c r="G3235" s="13" t="s">
        <v>48</v>
      </c>
      <c r="H3235" s="13" t="s">
        <v>4</v>
      </c>
      <c r="I3235" s="15">
        <v>-25</v>
      </c>
      <c r="J3235" s="13" t="s">
        <v>5</v>
      </c>
      <c r="K3235" s="13" t="s">
        <v>6</v>
      </c>
      <c r="L3235" s="15">
        <v>-2098.75</v>
      </c>
      <c r="M3235" s="15">
        <v>-25</v>
      </c>
      <c r="N3235" s="16" t="str">
        <f>IF(M3235="","",IF(M3235&lt;0,-M3235&amp;"_"&amp;COUNTIF(M$2:M3235,M3235),M3235&amp;"_"&amp;COUNTIF(M$2:M3235,M3235)))</f>
        <v>25_7</v>
      </c>
      <c r="O3235" s="17" t="str">
        <f t="shared" si="50"/>
        <v/>
      </c>
      <c r="P3235" s="13" t="s">
        <v>4148</v>
      </c>
      <c r="Q3235" s="13" t="s">
        <v>4148</v>
      </c>
      <c r="R3235" s="13" t="s">
        <v>50</v>
      </c>
      <c r="S3235" s="13" t="s">
        <v>0</v>
      </c>
      <c r="T3235" s="13" t="s">
        <v>9</v>
      </c>
      <c r="U3235" s="13" t="s">
        <v>50</v>
      </c>
      <c r="V3235" s="13" t="s">
        <v>0</v>
      </c>
      <c r="W3235" s="13" t="s">
        <v>0</v>
      </c>
      <c r="X3235" s="13" t="s">
        <v>0</v>
      </c>
      <c r="Y3235" s="13" t="s">
        <v>10</v>
      </c>
      <c r="Z3235" s="13" t="s">
        <v>0</v>
      </c>
      <c r="AA3235" s="14"/>
      <c r="AB3235" s="13" t="s">
        <v>0</v>
      </c>
      <c r="AC3235" s="13" t="s">
        <v>0</v>
      </c>
      <c r="AD3235" s="13" t="s">
        <v>0</v>
      </c>
      <c r="AE3235" s="15">
        <v>0</v>
      </c>
    </row>
    <row r="3236" spans="1:31" ht="14.15" customHeight="1" x14ac:dyDescent="0.25">
      <c r="A3236" s="12" t="s">
        <v>0</v>
      </c>
      <c r="B3236" s="13" t="s">
        <v>1</v>
      </c>
      <c r="C3236" s="13" t="s">
        <v>4149</v>
      </c>
      <c r="D3236" s="14">
        <v>44364</v>
      </c>
      <c r="E3236" s="14">
        <v>44364</v>
      </c>
      <c r="F3236" s="14">
        <v>44376</v>
      </c>
      <c r="G3236" s="13" t="s">
        <v>48</v>
      </c>
      <c r="H3236" s="13" t="s">
        <v>4</v>
      </c>
      <c r="I3236" s="15">
        <v>-25</v>
      </c>
      <c r="J3236" s="13" t="s">
        <v>5</v>
      </c>
      <c r="K3236" s="13" t="s">
        <v>6</v>
      </c>
      <c r="L3236" s="15">
        <v>-2098.75</v>
      </c>
      <c r="M3236" s="15">
        <v>-25</v>
      </c>
      <c r="N3236" s="16" t="str">
        <f>IF(M3236="","",IF(M3236&lt;0,-M3236&amp;"_"&amp;COUNTIF(M$2:M3236,M3236),M3236&amp;"_"&amp;COUNTIF(M$2:M3236,M3236)))</f>
        <v>25_8</v>
      </c>
      <c r="O3236" s="17" t="str">
        <f t="shared" si="50"/>
        <v/>
      </c>
      <c r="P3236" s="13" t="s">
        <v>4150</v>
      </c>
      <c r="Q3236" s="13" t="s">
        <v>4150</v>
      </c>
      <c r="R3236" s="13" t="s">
        <v>50</v>
      </c>
      <c r="S3236" s="13" t="s">
        <v>0</v>
      </c>
      <c r="T3236" s="13" t="s">
        <v>9</v>
      </c>
      <c r="U3236" s="13" t="s">
        <v>50</v>
      </c>
      <c r="V3236" s="13" t="s">
        <v>0</v>
      </c>
      <c r="W3236" s="13" t="s">
        <v>0</v>
      </c>
      <c r="X3236" s="13" t="s">
        <v>0</v>
      </c>
      <c r="Y3236" s="13" t="s">
        <v>10</v>
      </c>
      <c r="Z3236" s="13" t="s">
        <v>0</v>
      </c>
      <c r="AA3236" s="14"/>
      <c r="AB3236" s="13" t="s">
        <v>0</v>
      </c>
      <c r="AC3236" s="13" t="s">
        <v>0</v>
      </c>
      <c r="AD3236" s="13" t="s">
        <v>0</v>
      </c>
      <c r="AE3236" s="15">
        <v>0</v>
      </c>
    </row>
    <row r="3237" spans="1:31" ht="14.15" customHeight="1" x14ac:dyDescent="0.25">
      <c r="A3237" s="12" t="s">
        <v>0</v>
      </c>
      <c r="B3237" s="13" t="s">
        <v>1</v>
      </c>
      <c r="C3237" s="13" t="s">
        <v>4151</v>
      </c>
      <c r="D3237" s="14">
        <v>44364</v>
      </c>
      <c r="E3237" s="14">
        <v>44364</v>
      </c>
      <c r="F3237" s="14">
        <v>44376</v>
      </c>
      <c r="G3237" s="13" t="s">
        <v>48</v>
      </c>
      <c r="H3237" s="13" t="s">
        <v>4</v>
      </c>
      <c r="I3237" s="15">
        <v>-25</v>
      </c>
      <c r="J3237" s="13" t="s">
        <v>5</v>
      </c>
      <c r="K3237" s="13" t="s">
        <v>6</v>
      </c>
      <c r="L3237" s="15">
        <v>-2098.75</v>
      </c>
      <c r="M3237" s="15">
        <v>-25</v>
      </c>
      <c r="N3237" s="16" t="str">
        <f>IF(M3237="","",IF(M3237&lt;0,-M3237&amp;"_"&amp;COUNTIF(M$2:M3237,M3237),M3237&amp;"_"&amp;COUNTIF(M$2:M3237,M3237)))</f>
        <v>25_9</v>
      </c>
      <c r="O3237" s="17" t="str">
        <f t="shared" si="50"/>
        <v/>
      </c>
      <c r="P3237" s="13" t="s">
        <v>4152</v>
      </c>
      <c r="Q3237" s="13" t="s">
        <v>4152</v>
      </c>
      <c r="R3237" s="13" t="s">
        <v>50</v>
      </c>
      <c r="S3237" s="13" t="s">
        <v>0</v>
      </c>
      <c r="T3237" s="13" t="s">
        <v>9</v>
      </c>
      <c r="U3237" s="13" t="s">
        <v>50</v>
      </c>
      <c r="V3237" s="13" t="s">
        <v>0</v>
      </c>
      <c r="W3237" s="13" t="s">
        <v>0</v>
      </c>
      <c r="X3237" s="13" t="s">
        <v>0</v>
      </c>
      <c r="Y3237" s="13" t="s">
        <v>10</v>
      </c>
      <c r="Z3237" s="13" t="s">
        <v>0</v>
      </c>
      <c r="AA3237" s="14"/>
      <c r="AB3237" s="13" t="s">
        <v>0</v>
      </c>
      <c r="AC3237" s="13" t="s">
        <v>0</v>
      </c>
      <c r="AD3237" s="13" t="s">
        <v>0</v>
      </c>
      <c r="AE3237" s="15">
        <v>0</v>
      </c>
    </row>
    <row r="3238" spans="1:31" ht="14.15" customHeight="1" x14ac:dyDescent="0.25">
      <c r="A3238" s="12" t="s">
        <v>0</v>
      </c>
      <c r="B3238" s="13" t="s">
        <v>1</v>
      </c>
      <c r="C3238" s="13" t="s">
        <v>4161</v>
      </c>
      <c r="D3238" s="14">
        <v>44364</v>
      </c>
      <c r="E3238" s="14">
        <v>44364</v>
      </c>
      <c r="F3238" s="14">
        <v>44376</v>
      </c>
      <c r="G3238" s="13" t="s">
        <v>48</v>
      </c>
      <c r="H3238" s="13" t="s">
        <v>4</v>
      </c>
      <c r="I3238" s="15">
        <v>-25</v>
      </c>
      <c r="J3238" s="13" t="s">
        <v>5</v>
      </c>
      <c r="K3238" s="13" t="s">
        <v>6</v>
      </c>
      <c r="L3238" s="15">
        <v>-2098.75</v>
      </c>
      <c r="M3238" s="15">
        <v>-25</v>
      </c>
      <c r="N3238" s="16" t="str">
        <f>IF(M3238="","",IF(M3238&lt;0,-M3238&amp;"_"&amp;COUNTIF(M$2:M3238,M3238),M3238&amp;"_"&amp;COUNTIF(M$2:M3238,M3238)))</f>
        <v>25_10</v>
      </c>
      <c r="O3238" s="17" t="str">
        <f t="shared" si="50"/>
        <v/>
      </c>
      <c r="P3238" s="13" t="s">
        <v>4162</v>
      </c>
      <c r="Q3238" s="13" t="s">
        <v>4162</v>
      </c>
      <c r="R3238" s="13" t="s">
        <v>50</v>
      </c>
      <c r="S3238" s="13" t="s">
        <v>0</v>
      </c>
      <c r="T3238" s="13" t="s">
        <v>9</v>
      </c>
      <c r="U3238" s="13" t="s">
        <v>50</v>
      </c>
      <c r="V3238" s="13" t="s">
        <v>0</v>
      </c>
      <c r="W3238" s="13" t="s">
        <v>0</v>
      </c>
      <c r="X3238" s="13" t="s">
        <v>0</v>
      </c>
      <c r="Y3238" s="13" t="s">
        <v>10</v>
      </c>
      <c r="Z3238" s="13" t="s">
        <v>0</v>
      </c>
      <c r="AA3238" s="14"/>
      <c r="AB3238" s="13" t="s">
        <v>0</v>
      </c>
      <c r="AC3238" s="13" t="s">
        <v>0</v>
      </c>
      <c r="AD3238" s="13" t="s">
        <v>0</v>
      </c>
      <c r="AE3238" s="15">
        <v>0</v>
      </c>
    </row>
    <row r="3239" spans="1:31" ht="14.15" customHeight="1" x14ac:dyDescent="0.25">
      <c r="A3239" s="12" t="s">
        <v>0</v>
      </c>
      <c r="B3239" s="13" t="s">
        <v>1</v>
      </c>
      <c r="C3239" s="13" t="s">
        <v>4167</v>
      </c>
      <c r="D3239" s="14">
        <v>44364</v>
      </c>
      <c r="E3239" s="14">
        <v>44364</v>
      </c>
      <c r="F3239" s="14">
        <v>44376</v>
      </c>
      <c r="G3239" s="13" t="s">
        <v>48</v>
      </c>
      <c r="H3239" s="13" t="s">
        <v>4</v>
      </c>
      <c r="I3239" s="15">
        <v>-25</v>
      </c>
      <c r="J3239" s="13" t="s">
        <v>5</v>
      </c>
      <c r="K3239" s="13" t="s">
        <v>6</v>
      </c>
      <c r="L3239" s="15">
        <v>-2098.75</v>
      </c>
      <c r="M3239" s="15">
        <v>-25</v>
      </c>
      <c r="N3239" s="16" t="str">
        <f>IF(M3239="","",IF(M3239&lt;0,-M3239&amp;"_"&amp;COUNTIF(M$2:M3239,M3239),M3239&amp;"_"&amp;COUNTIF(M$2:M3239,M3239)))</f>
        <v>25_11</v>
      </c>
      <c r="O3239" s="17" t="str">
        <f t="shared" si="50"/>
        <v/>
      </c>
      <c r="P3239" s="13" t="s">
        <v>4168</v>
      </c>
      <c r="Q3239" s="13" t="s">
        <v>4168</v>
      </c>
      <c r="R3239" s="13" t="s">
        <v>50</v>
      </c>
      <c r="S3239" s="13" t="s">
        <v>0</v>
      </c>
      <c r="T3239" s="13" t="s">
        <v>9</v>
      </c>
      <c r="U3239" s="13" t="s">
        <v>50</v>
      </c>
      <c r="V3239" s="13" t="s">
        <v>0</v>
      </c>
      <c r="W3239" s="13" t="s">
        <v>0</v>
      </c>
      <c r="X3239" s="13" t="s">
        <v>0</v>
      </c>
      <c r="Y3239" s="13" t="s">
        <v>10</v>
      </c>
      <c r="Z3239" s="13" t="s">
        <v>0</v>
      </c>
      <c r="AA3239" s="14"/>
      <c r="AB3239" s="13" t="s">
        <v>0</v>
      </c>
      <c r="AC3239" s="13" t="s">
        <v>0</v>
      </c>
      <c r="AD3239" s="13" t="s">
        <v>0</v>
      </c>
      <c r="AE3239" s="15">
        <v>0</v>
      </c>
    </row>
    <row r="3240" spans="1:31" ht="14.15" customHeight="1" x14ac:dyDescent="0.25">
      <c r="A3240" s="12" t="s">
        <v>0</v>
      </c>
      <c r="B3240" s="13" t="s">
        <v>1</v>
      </c>
      <c r="C3240" s="13" t="s">
        <v>4169</v>
      </c>
      <c r="D3240" s="14">
        <v>44364</v>
      </c>
      <c r="E3240" s="14">
        <v>44364</v>
      </c>
      <c r="F3240" s="14">
        <v>44376</v>
      </c>
      <c r="G3240" s="13" t="s">
        <v>48</v>
      </c>
      <c r="H3240" s="13" t="s">
        <v>4</v>
      </c>
      <c r="I3240" s="15">
        <v>-25</v>
      </c>
      <c r="J3240" s="13" t="s">
        <v>5</v>
      </c>
      <c r="K3240" s="13" t="s">
        <v>6</v>
      </c>
      <c r="L3240" s="15">
        <v>-2098.75</v>
      </c>
      <c r="M3240" s="15">
        <v>-25</v>
      </c>
      <c r="N3240" s="16" t="str">
        <f>IF(M3240="","",IF(M3240&lt;0,-M3240&amp;"_"&amp;COUNTIF(M$2:M3240,M3240),M3240&amp;"_"&amp;COUNTIF(M$2:M3240,M3240)))</f>
        <v>25_12</v>
      </c>
      <c r="O3240" s="17" t="str">
        <f t="shared" si="50"/>
        <v/>
      </c>
      <c r="P3240" s="13" t="s">
        <v>4170</v>
      </c>
      <c r="Q3240" s="13" t="s">
        <v>4170</v>
      </c>
      <c r="R3240" s="13" t="s">
        <v>50</v>
      </c>
      <c r="S3240" s="13" t="s">
        <v>0</v>
      </c>
      <c r="T3240" s="13" t="s">
        <v>9</v>
      </c>
      <c r="U3240" s="13" t="s">
        <v>50</v>
      </c>
      <c r="V3240" s="13" t="s">
        <v>0</v>
      </c>
      <c r="W3240" s="13" t="s">
        <v>0</v>
      </c>
      <c r="X3240" s="13" t="s">
        <v>0</v>
      </c>
      <c r="Y3240" s="13" t="s">
        <v>10</v>
      </c>
      <c r="Z3240" s="13" t="s">
        <v>0</v>
      </c>
      <c r="AA3240" s="14"/>
      <c r="AB3240" s="13" t="s">
        <v>0</v>
      </c>
      <c r="AC3240" s="13" t="s">
        <v>0</v>
      </c>
      <c r="AD3240" s="13" t="s">
        <v>0</v>
      </c>
      <c r="AE3240" s="15">
        <v>0</v>
      </c>
    </row>
    <row r="3241" spans="1:31" ht="14.15" customHeight="1" x14ac:dyDescent="0.25">
      <c r="A3241" s="12" t="s">
        <v>0</v>
      </c>
      <c r="B3241" s="13" t="s">
        <v>1</v>
      </c>
      <c r="C3241" s="13" t="s">
        <v>4171</v>
      </c>
      <c r="D3241" s="14">
        <v>44364</v>
      </c>
      <c r="E3241" s="14">
        <v>44364</v>
      </c>
      <c r="F3241" s="14">
        <v>44376</v>
      </c>
      <c r="G3241" s="13" t="s">
        <v>48</v>
      </c>
      <c r="H3241" s="13" t="s">
        <v>4</v>
      </c>
      <c r="I3241" s="15">
        <v>-25</v>
      </c>
      <c r="J3241" s="13" t="s">
        <v>5</v>
      </c>
      <c r="K3241" s="13" t="s">
        <v>6</v>
      </c>
      <c r="L3241" s="15">
        <v>-2098.75</v>
      </c>
      <c r="M3241" s="15">
        <v>-25</v>
      </c>
      <c r="N3241" s="16" t="str">
        <f>IF(M3241="","",IF(M3241&lt;0,-M3241&amp;"_"&amp;COUNTIF(M$2:M3241,M3241),M3241&amp;"_"&amp;COUNTIF(M$2:M3241,M3241)))</f>
        <v>25_13</v>
      </c>
      <c r="O3241" s="17" t="str">
        <f t="shared" si="50"/>
        <v/>
      </c>
      <c r="P3241" s="13" t="s">
        <v>4172</v>
      </c>
      <c r="Q3241" s="13" t="s">
        <v>4172</v>
      </c>
      <c r="R3241" s="13" t="s">
        <v>50</v>
      </c>
      <c r="S3241" s="13" t="s">
        <v>0</v>
      </c>
      <c r="T3241" s="13" t="s">
        <v>9</v>
      </c>
      <c r="U3241" s="13" t="s">
        <v>50</v>
      </c>
      <c r="V3241" s="13" t="s">
        <v>0</v>
      </c>
      <c r="W3241" s="13" t="s">
        <v>0</v>
      </c>
      <c r="X3241" s="13" t="s">
        <v>0</v>
      </c>
      <c r="Y3241" s="13" t="s">
        <v>10</v>
      </c>
      <c r="Z3241" s="13" t="s">
        <v>0</v>
      </c>
      <c r="AA3241" s="14"/>
      <c r="AB3241" s="13" t="s">
        <v>0</v>
      </c>
      <c r="AC3241" s="13" t="s">
        <v>0</v>
      </c>
      <c r="AD3241" s="13" t="s">
        <v>0</v>
      </c>
      <c r="AE3241" s="15">
        <v>0</v>
      </c>
    </row>
    <row r="3242" spans="1:31" ht="14.15" customHeight="1" x14ac:dyDescent="0.25">
      <c r="A3242" s="12" t="s">
        <v>0</v>
      </c>
      <c r="B3242" s="13" t="s">
        <v>1</v>
      </c>
      <c r="C3242" s="13" t="s">
        <v>4173</v>
      </c>
      <c r="D3242" s="14">
        <v>44364</v>
      </c>
      <c r="E3242" s="14">
        <v>44364</v>
      </c>
      <c r="F3242" s="14">
        <v>44376</v>
      </c>
      <c r="G3242" s="13" t="s">
        <v>48</v>
      </c>
      <c r="H3242" s="13" t="s">
        <v>4</v>
      </c>
      <c r="I3242" s="15">
        <v>-25</v>
      </c>
      <c r="J3242" s="13" t="s">
        <v>5</v>
      </c>
      <c r="K3242" s="13" t="s">
        <v>6</v>
      </c>
      <c r="L3242" s="15">
        <v>-2098.75</v>
      </c>
      <c r="M3242" s="15">
        <v>-25</v>
      </c>
      <c r="N3242" s="16" t="str">
        <f>IF(M3242="","",IF(M3242&lt;0,-M3242&amp;"_"&amp;COUNTIF(M$2:M3242,M3242),M3242&amp;"_"&amp;COUNTIF(M$2:M3242,M3242)))</f>
        <v>25_14</v>
      </c>
      <c r="O3242" s="17" t="str">
        <f t="shared" si="50"/>
        <v/>
      </c>
      <c r="P3242" s="13" t="s">
        <v>4174</v>
      </c>
      <c r="Q3242" s="13" t="s">
        <v>4174</v>
      </c>
      <c r="R3242" s="13" t="s">
        <v>50</v>
      </c>
      <c r="S3242" s="13" t="s">
        <v>0</v>
      </c>
      <c r="T3242" s="13" t="s">
        <v>9</v>
      </c>
      <c r="U3242" s="13" t="s">
        <v>50</v>
      </c>
      <c r="V3242" s="13" t="s">
        <v>0</v>
      </c>
      <c r="W3242" s="13" t="s">
        <v>0</v>
      </c>
      <c r="X3242" s="13" t="s">
        <v>0</v>
      </c>
      <c r="Y3242" s="13" t="s">
        <v>10</v>
      </c>
      <c r="Z3242" s="13" t="s">
        <v>0</v>
      </c>
      <c r="AA3242" s="14"/>
      <c r="AB3242" s="13" t="s">
        <v>0</v>
      </c>
      <c r="AC3242" s="13" t="s">
        <v>0</v>
      </c>
      <c r="AD3242" s="13" t="s">
        <v>0</v>
      </c>
      <c r="AE3242" s="15">
        <v>0</v>
      </c>
    </row>
    <row r="3243" spans="1:31" ht="14.15" customHeight="1" x14ac:dyDescent="0.25">
      <c r="A3243" s="12" t="s">
        <v>0</v>
      </c>
      <c r="B3243" s="13" t="s">
        <v>1</v>
      </c>
      <c r="C3243" s="13" t="s">
        <v>2222</v>
      </c>
      <c r="D3243" s="14">
        <v>44214</v>
      </c>
      <c r="E3243" s="14">
        <v>44214</v>
      </c>
      <c r="F3243" s="14">
        <v>44220</v>
      </c>
      <c r="G3243" s="13" t="s">
        <v>48</v>
      </c>
      <c r="H3243" s="13" t="s">
        <v>4</v>
      </c>
      <c r="I3243" s="15">
        <v>-22</v>
      </c>
      <c r="J3243" s="13" t="s">
        <v>5</v>
      </c>
      <c r="K3243" s="13" t="s">
        <v>6</v>
      </c>
      <c r="L3243" s="15">
        <v>-1846.9</v>
      </c>
      <c r="M3243" s="15">
        <v>-22</v>
      </c>
      <c r="N3243" s="16" t="str">
        <f>IF(M3243="","",IF(M3243&lt;0,-M3243&amp;"_"&amp;COUNTIF(M$2:M3243,M3243),M3243&amp;"_"&amp;COUNTIF(M$2:M3243,M3243)))</f>
        <v>22_1</v>
      </c>
      <c r="O3243" s="17" t="str">
        <f t="shared" si="50"/>
        <v/>
      </c>
      <c r="P3243" s="13" t="s">
        <v>2223</v>
      </c>
      <c r="Q3243" s="13" t="s">
        <v>2223</v>
      </c>
      <c r="R3243" s="13" t="s">
        <v>1656</v>
      </c>
      <c r="S3243" s="13" t="s">
        <v>0</v>
      </c>
      <c r="T3243" s="13" t="s">
        <v>9</v>
      </c>
      <c r="U3243" s="13" t="s">
        <v>1656</v>
      </c>
      <c r="V3243" s="13" t="s">
        <v>0</v>
      </c>
      <c r="W3243" s="13" t="s">
        <v>0</v>
      </c>
      <c r="X3243" s="13" t="s">
        <v>0</v>
      </c>
      <c r="Y3243" s="13" t="s">
        <v>10</v>
      </c>
      <c r="Z3243" s="13" t="s">
        <v>0</v>
      </c>
      <c r="AA3243" s="14"/>
      <c r="AB3243" s="13" t="s">
        <v>0</v>
      </c>
      <c r="AC3243" s="13" t="s">
        <v>0</v>
      </c>
      <c r="AD3243" s="13" t="s">
        <v>0</v>
      </c>
      <c r="AE3243" s="15">
        <v>0</v>
      </c>
    </row>
    <row r="3244" spans="1:31" ht="14.15" customHeight="1" x14ac:dyDescent="0.25">
      <c r="A3244" s="12" t="s">
        <v>0</v>
      </c>
      <c r="B3244" s="13" t="s">
        <v>1</v>
      </c>
      <c r="C3244" s="13" t="s">
        <v>2458</v>
      </c>
      <c r="D3244" s="14">
        <v>44233</v>
      </c>
      <c r="E3244" s="14">
        <v>44233</v>
      </c>
      <c r="F3244" s="14">
        <v>44252</v>
      </c>
      <c r="G3244" s="13" t="s">
        <v>48</v>
      </c>
      <c r="H3244" s="13" t="s">
        <v>4</v>
      </c>
      <c r="I3244" s="15">
        <v>-21.99</v>
      </c>
      <c r="J3244" s="13" t="s">
        <v>488</v>
      </c>
      <c r="K3244" s="13" t="s">
        <v>6</v>
      </c>
      <c r="L3244" s="15">
        <v>-1846.06</v>
      </c>
      <c r="M3244" s="15">
        <v>-21.99</v>
      </c>
      <c r="N3244" s="16" t="str">
        <f>IF(M3244="","",IF(M3244&lt;0,-M3244&amp;"_"&amp;COUNTIF(M$2:M3244,M3244),M3244&amp;"_"&amp;COUNTIF(M$2:M3244,M3244)))</f>
        <v>21.99_1</v>
      </c>
      <c r="O3244" s="17" t="str">
        <f t="shared" si="50"/>
        <v/>
      </c>
      <c r="P3244" s="13" t="s">
        <v>2459</v>
      </c>
      <c r="Q3244" s="13" t="s">
        <v>2459</v>
      </c>
      <c r="R3244" s="13" t="s">
        <v>1656</v>
      </c>
      <c r="S3244" s="13" t="s">
        <v>0</v>
      </c>
      <c r="T3244" s="13" t="s">
        <v>9</v>
      </c>
      <c r="U3244" s="13" t="s">
        <v>1656</v>
      </c>
      <c r="V3244" s="13" t="s">
        <v>0</v>
      </c>
      <c r="W3244" s="13" t="s">
        <v>0</v>
      </c>
      <c r="X3244" s="13" t="s">
        <v>0</v>
      </c>
      <c r="Y3244" s="13" t="s">
        <v>10</v>
      </c>
      <c r="Z3244" s="13" t="s">
        <v>0</v>
      </c>
      <c r="AA3244" s="14"/>
      <c r="AB3244" s="13" t="s">
        <v>0</v>
      </c>
      <c r="AC3244" s="13" t="s">
        <v>0</v>
      </c>
      <c r="AD3244" s="13" t="s">
        <v>0</v>
      </c>
      <c r="AE3244" s="15">
        <v>0</v>
      </c>
    </row>
    <row r="3245" spans="1:31" ht="14.15" customHeight="1" x14ac:dyDescent="0.25">
      <c r="A3245" s="12" t="s">
        <v>0</v>
      </c>
      <c r="B3245" s="13" t="s">
        <v>1</v>
      </c>
      <c r="C3245" s="13" t="s">
        <v>3406</v>
      </c>
      <c r="D3245" s="14">
        <v>44320</v>
      </c>
      <c r="E3245" s="14">
        <v>44320</v>
      </c>
      <c r="F3245" s="14">
        <v>44339</v>
      </c>
      <c r="G3245" s="13" t="s">
        <v>48</v>
      </c>
      <c r="H3245" s="13" t="s">
        <v>4</v>
      </c>
      <c r="I3245" s="15">
        <v>-20.62</v>
      </c>
      <c r="J3245" s="13" t="s">
        <v>1233</v>
      </c>
      <c r="K3245" s="13" t="s">
        <v>6</v>
      </c>
      <c r="L3245" s="15">
        <v>-1731.05</v>
      </c>
      <c r="M3245" s="15">
        <v>-20.62</v>
      </c>
      <c r="N3245" s="16" t="str">
        <f>IF(M3245="","",IF(M3245&lt;0,-M3245&amp;"_"&amp;COUNTIF(M$2:M3245,M3245),M3245&amp;"_"&amp;COUNTIF(M$2:M3245,M3245)))</f>
        <v>20.62_1</v>
      </c>
      <c r="O3245" s="17" t="str">
        <f t="shared" si="50"/>
        <v/>
      </c>
      <c r="P3245" s="13" t="s">
        <v>3407</v>
      </c>
      <c r="Q3245" s="13" t="s">
        <v>3407</v>
      </c>
      <c r="R3245" s="13" t="s">
        <v>1656</v>
      </c>
      <c r="S3245" s="13" t="s">
        <v>0</v>
      </c>
      <c r="T3245" s="13" t="s">
        <v>9</v>
      </c>
      <c r="U3245" s="13" t="s">
        <v>1656</v>
      </c>
      <c r="V3245" s="13" t="s">
        <v>0</v>
      </c>
      <c r="W3245" s="13" t="s">
        <v>0</v>
      </c>
      <c r="X3245" s="13" t="s">
        <v>0</v>
      </c>
      <c r="Y3245" s="13" t="s">
        <v>10</v>
      </c>
      <c r="Z3245" s="13" t="s">
        <v>0</v>
      </c>
      <c r="AA3245" s="14"/>
      <c r="AB3245" s="13" t="s">
        <v>0</v>
      </c>
      <c r="AC3245" s="13" t="s">
        <v>0</v>
      </c>
      <c r="AD3245" s="13" t="s">
        <v>0</v>
      </c>
      <c r="AE3245" s="15">
        <v>0</v>
      </c>
    </row>
    <row r="3246" spans="1:31" ht="14.15" customHeight="1" x14ac:dyDescent="0.25">
      <c r="A3246" s="12" t="s">
        <v>0</v>
      </c>
      <c r="B3246" s="13" t="s">
        <v>1</v>
      </c>
      <c r="C3246" s="13" t="s">
        <v>3436</v>
      </c>
      <c r="D3246" s="14">
        <v>44320</v>
      </c>
      <c r="E3246" s="14">
        <v>44320</v>
      </c>
      <c r="F3246" s="14">
        <v>44339</v>
      </c>
      <c r="G3246" s="13" t="s">
        <v>48</v>
      </c>
      <c r="H3246" s="13" t="s">
        <v>4</v>
      </c>
      <c r="I3246" s="15">
        <v>-19.920000000000002</v>
      </c>
      <c r="J3246" s="13" t="s">
        <v>3437</v>
      </c>
      <c r="K3246" s="13" t="s">
        <v>6</v>
      </c>
      <c r="L3246" s="15">
        <v>-1672.28</v>
      </c>
      <c r="M3246" s="15">
        <v>-19.920000000000002</v>
      </c>
      <c r="N3246" s="16" t="str">
        <f>IF(M3246="","",IF(M3246&lt;0,-M3246&amp;"_"&amp;COUNTIF(M$2:M3246,M3246),M3246&amp;"_"&amp;COUNTIF(M$2:M3246,M3246)))</f>
        <v>19.92_1</v>
      </c>
      <c r="O3246" s="17" t="str">
        <f t="shared" si="50"/>
        <v/>
      </c>
      <c r="P3246" s="13" t="s">
        <v>3438</v>
      </c>
      <c r="Q3246" s="13" t="s">
        <v>3438</v>
      </c>
      <c r="R3246" s="13" t="s">
        <v>1656</v>
      </c>
      <c r="S3246" s="13" t="s">
        <v>0</v>
      </c>
      <c r="T3246" s="13" t="s">
        <v>9</v>
      </c>
      <c r="U3246" s="13" t="s">
        <v>1656</v>
      </c>
      <c r="V3246" s="13" t="s">
        <v>0</v>
      </c>
      <c r="W3246" s="13" t="s">
        <v>0</v>
      </c>
      <c r="X3246" s="13" t="s">
        <v>0</v>
      </c>
      <c r="Y3246" s="13" t="s">
        <v>10</v>
      </c>
      <c r="Z3246" s="13" t="s">
        <v>0</v>
      </c>
      <c r="AA3246" s="14"/>
      <c r="AB3246" s="13" t="s">
        <v>0</v>
      </c>
      <c r="AC3246" s="13" t="s">
        <v>0</v>
      </c>
      <c r="AD3246" s="13" t="s">
        <v>0</v>
      </c>
      <c r="AE3246" s="15">
        <v>0</v>
      </c>
    </row>
    <row r="3247" spans="1:31" ht="14.15" customHeight="1" x14ac:dyDescent="0.25">
      <c r="A3247" s="12" t="s">
        <v>0</v>
      </c>
      <c r="B3247" s="13" t="s">
        <v>1</v>
      </c>
      <c r="C3247" s="13" t="s">
        <v>4305</v>
      </c>
      <c r="D3247" s="14">
        <v>44371</v>
      </c>
      <c r="E3247" s="14">
        <v>44371</v>
      </c>
      <c r="F3247" s="14">
        <v>44382</v>
      </c>
      <c r="G3247" s="13" t="s">
        <v>48</v>
      </c>
      <c r="H3247" s="13" t="s">
        <v>4</v>
      </c>
      <c r="I3247" s="15">
        <v>-19.920000000000002</v>
      </c>
      <c r="J3247" s="13" t="s">
        <v>3437</v>
      </c>
      <c r="K3247" s="13" t="s">
        <v>6</v>
      </c>
      <c r="L3247" s="15">
        <v>-1672.28</v>
      </c>
      <c r="M3247" s="15">
        <v>-19.920000000000002</v>
      </c>
      <c r="N3247" s="16" t="str">
        <f>IF(M3247="","",IF(M3247&lt;0,-M3247&amp;"_"&amp;COUNTIF(M$2:M3247,M3247),M3247&amp;"_"&amp;COUNTIF(M$2:M3247,M3247)))</f>
        <v>19.92_2</v>
      </c>
      <c r="O3247" s="17" t="str">
        <f t="shared" si="50"/>
        <v/>
      </c>
      <c r="P3247" s="13" t="s">
        <v>4283</v>
      </c>
      <c r="Q3247" s="13" t="s">
        <v>4283</v>
      </c>
      <c r="R3247" s="13" t="s">
        <v>50</v>
      </c>
      <c r="S3247" s="13" t="s">
        <v>0</v>
      </c>
      <c r="T3247" s="13" t="s">
        <v>9</v>
      </c>
      <c r="U3247" s="13" t="s">
        <v>50</v>
      </c>
      <c r="V3247" s="13" t="s">
        <v>0</v>
      </c>
      <c r="W3247" s="13" t="s">
        <v>0</v>
      </c>
      <c r="X3247" s="13" t="s">
        <v>0</v>
      </c>
      <c r="Y3247" s="13" t="s">
        <v>10</v>
      </c>
      <c r="Z3247" s="13" t="s">
        <v>0</v>
      </c>
      <c r="AA3247" s="14"/>
      <c r="AB3247" s="13" t="s">
        <v>0</v>
      </c>
      <c r="AC3247" s="13" t="s">
        <v>0</v>
      </c>
      <c r="AD3247" s="13" t="s">
        <v>0</v>
      </c>
      <c r="AE3247" s="15">
        <v>0</v>
      </c>
    </row>
    <row r="3248" spans="1:31" ht="14.15" customHeight="1" x14ac:dyDescent="0.25">
      <c r="A3248" s="12" t="s">
        <v>0</v>
      </c>
      <c r="B3248" s="13" t="s">
        <v>1</v>
      </c>
      <c r="C3248" s="13" t="s">
        <v>3709</v>
      </c>
      <c r="D3248" s="14">
        <v>44337</v>
      </c>
      <c r="E3248" s="14">
        <v>44337</v>
      </c>
      <c r="F3248" s="14">
        <v>44346</v>
      </c>
      <c r="G3248" s="13" t="s">
        <v>48</v>
      </c>
      <c r="H3248" s="13" t="s">
        <v>4</v>
      </c>
      <c r="I3248" s="15">
        <v>-19.86</v>
      </c>
      <c r="J3248" s="13" t="s">
        <v>3688</v>
      </c>
      <c r="K3248" s="13" t="s">
        <v>6</v>
      </c>
      <c r="L3248" s="15">
        <v>-1667.25</v>
      </c>
      <c r="M3248" s="15">
        <v>-19.86</v>
      </c>
      <c r="N3248" s="16" t="str">
        <f>IF(M3248="","",IF(M3248&lt;0,-M3248&amp;"_"&amp;COUNTIF(M$2:M3248,M3248),M3248&amp;"_"&amp;COUNTIF(M$2:M3248,M3248)))</f>
        <v>19.86_1</v>
      </c>
      <c r="O3248" s="17" t="str">
        <f t="shared" si="50"/>
        <v/>
      </c>
      <c r="P3248" s="13" t="s">
        <v>3710</v>
      </c>
      <c r="Q3248" s="13" t="s">
        <v>3710</v>
      </c>
      <c r="R3248" s="13" t="s">
        <v>1656</v>
      </c>
      <c r="S3248" s="13" t="s">
        <v>0</v>
      </c>
      <c r="T3248" s="13" t="s">
        <v>9</v>
      </c>
      <c r="U3248" s="13" t="s">
        <v>1656</v>
      </c>
      <c r="V3248" s="13" t="s">
        <v>0</v>
      </c>
      <c r="W3248" s="13" t="s">
        <v>0</v>
      </c>
      <c r="X3248" s="13" t="s">
        <v>0</v>
      </c>
      <c r="Y3248" s="13" t="s">
        <v>10</v>
      </c>
      <c r="Z3248" s="13" t="s">
        <v>0</v>
      </c>
      <c r="AA3248" s="14"/>
      <c r="AB3248" s="13" t="s">
        <v>0</v>
      </c>
      <c r="AC3248" s="13" t="s">
        <v>0</v>
      </c>
      <c r="AD3248" s="13" t="s">
        <v>0</v>
      </c>
      <c r="AE3248" s="15">
        <v>0</v>
      </c>
    </row>
    <row r="3249" spans="1:31" ht="14.15" customHeight="1" x14ac:dyDescent="0.25">
      <c r="A3249" s="12" t="s">
        <v>0</v>
      </c>
      <c r="B3249" s="13" t="s">
        <v>1</v>
      </c>
      <c r="C3249" s="13" t="s">
        <v>3723</v>
      </c>
      <c r="D3249" s="14">
        <v>44337</v>
      </c>
      <c r="E3249" s="14">
        <v>44337</v>
      </c>
      <c r="F3249" s="14">
        <v>44356</v>
      </c>
      <c r="G3249" s="13" t="s">
        <v>48</v>
      </c>
      <c r="H3249" s="13" t="s">
        <v>4</v>
      </c>
      <c r="I3249" s="15">
        <v>-19.86</v>
      </c>
      <c r="J3249" s="13" t="s">
        <v>3688</v>
      </c>
      <c r="K3249" s="13" t="s">
        <v>6</v>
      </c>
      <c r="L3249" s="15">
        <v>-1667.25</v>
      </c>
      <c r="M3249" s="15">
        <v>-19.86</v>
      </c>
      <c r="N3249" s="16" t="str">
        <f>IF(M3249="","",IF(M3249&lt;0,-M3249&amp;"_"&amp;COUNTIF(M$2:M3249,M3249),M3249&amp;"_"&amp;COUNTIF(M$2:M3249,M3249)))</f>
        <v>19.86_2</v>
      </c>
      <c r="O3249" s="17" t="str">
        <f t="shared" si="50"/>
        <v/>
      </c>
      <c r="P3249" s="13" t="s">
        <v>3689</v>
      </c>
      <c r="Q3249" s="13" t="s">
        <v>3689</v>
      </c>
      <c r="R3249" s="13" t="s">
        <v>1656</v>
      </c>
      <c r="S3249" s="13" t="s">
        <v>0</v>
      </c>
      <c r="T3249" s="13" t="s">
        <v>9</v>
      </c>
      <c r="U3249" s="13" t="s">
        <v>1656</v>
      </c>
      <c r="V3249" s="13" t="s">
        <v>0</v>
      </c>
      <c r="W3249" s="13" t="s">
        <v>0</v>
      </c>
      <c r="X3249" s="13" t="s">
        <v>0</v>
      </c>
      <c r="Y3249" s="13" t="s">
        <v>10</v>
      </c>
      <c r="Z3249" s="13" t="s">
        <v>0</v>
      </c>
      <c r="AA3249" s="14"/>
      <c r="AB3249" s="13" t="s">
        <v>0</v>
      </c>
      <c r="AC3249" s="13" t="s">
        <v>0</v>
      </c>
      <c r="AD3249" s="13" t="s">
        <v>0</v>
      </c>
      <c r="AE3249" s="15">
        <v>0</v>
      </c>
    </row>
    <row r="3250" spans="1:31" ht="14.15" customHeight="1" x14ac:dyDescent="0.25">
      <c r="A3250" s="12" t="s">
        <v>0</v>
      </c>
      <c r="B3250" s="13" t="s">
        <v>1</v>
      </c>
      <c r="C3250" s="13" t="s">
        <v>1235</v>
      </c>
      <c r="D3250" s="14">
        <v>44143</v>
      </c>
      <c r="E3250" s="14">
        <v>44143</v>
      </c>
      <c r="F3250" s="14">
        <v>44163</v>
      </c>
      <c r="G3250" s="13" t="s">
        <v>48</v>
      </c>
      <c r="H3250" s="13" t="s">
        <v>4</v>
      </c>
      <c r="I3250" s="15">
        <v>-19.600000000000001</v>
      </c>
      <c r="J3250" s="13" t="s">
        <v>5</v>
      </c>
      <c r="K3250" s="13" t="s">
        <v>6</v>
      </c>
      <c r="L3250" s="15">
        <v>-1645.42</v>
      </c>
      <c r="M3250" s="15">
        <v>-19.600000000000001</v>
      </c>
      <c r="N3250" s="16" t="str">
        <f>IF(M3250="","",IF(M3250&lt;0,-M3250&amp;"_"&amp;COUNTIF(M$2:M3250,M3250),M3250&amp;"_"&amp;COUNTIF(M$2:M3250,M3250)))</f>
        <v>19.6_1</v>
      </c>
      <c r="O3250" s="17" t="str">
        <f t="shared" si="50"/>
        <v/>
      </c>
      <c r="P3250" s="13" t="s">
        <v>1236</v>
      </c>
      <c r="Q3250" s="13" t="s">
        <v>1236</v>
      </c>
      <c r="R3250" s="13" t="s">
        <v>50</v>
      </c>
      <c r="S3250" s="13" t="s">
        <v>0</v>
      </c>
      <c r="T3250" s="13" t="s">
        <v>9</v>
      </c>
      <c r="U3250" s="13" t="s">
        <v>50</v>
      </c>
      <c r="V3250" s="13" t="s">
        <v>0</v>
      </c>
      <c r="W3250" s="13" t="s">
        <v>0</v>
      </c>
      <c r="X3250" s="13" t="s">
        <v>0</v>
      </c>
      <c r="Y3250" s="13" t="s">
        <v>10</v>
      </c>
      <c r="Z3250" s="13" t="s">
        <v>0</v>
      </c>
      <c r="AA3250" s="14"/>
      <c r="AB3250" s="13" t="s">
        <v>0</v>
      </c>
      <c r="AC3250" s="13" t="s">
        <v>0</v>
      </c>
      <c r="AD3250" s="13" t="s">
        <v>0</v>
      </c>
      <c r="AE3250" s="15">
        <v>0</v>
      </c>
    </row>
    <row r="3251" spans="1:31" ht="14.15" customHeight="1" x14ac:dyDescent="0.25">
      <c r="A3251" s="12" t="s">
        <v>0</v>
      </c>
      <c r="B3251" s="13" t="s">
        <v>1</v>
      </c>
      <c r="C3251" s="13" t="s">
        <v>1239</v>
      </c>
      <c r="D3251" s="14">
        <v>44143</v>
      </c>
      <c r="E3251" s="14">
        <v>44143</v>
      </c>
      <c r="F3251" s="14">
        <v>44163</v>
      </c>
      <c r="G3251" s="13" t="s">
        <v>48</v>
      </c>
      <c r="H3251" s="13" t="s">
        <v>4</v>
      </c>
      <c r="I3251" s="15">
        <v>-19.600000000000001</v>
      </c>
      <c r="J3251" s="13" t="s">
        <v>5</v>
      </c>
      <c r="K3251" s="13" t="s">
        <v>6</v>
      </c>
      <c r="L3251" s="15">
        <v>-1645.42</v>
      </c>
      <c r="M3251" s="15">
        <v>-19.600000000000001</v>
      </c>
      <c r="N3251" s="16" t="str">
        <f>IF(M3251="","",IF(M3251&lt;0,-M3251&amp;"_"&amp;COUNTIF(M$2:M3251,M3251),M3251&amp;"_"&amp;COUNTIF(M$2:M3251,M3251)))</f>
        <v>19.6_2</v>
      </c>
      <c r="O3251" s="17" t="str">
        <f t="shared" si="50"/>
        <v/>
      </c>
      <c r="P3251" s="13" t="s">
        <v>1240</v>
      </c>
      <c r="Q3251" s="13" t="s">
        <v>1240</v>
      </c>
      <c r="R3251" s="13" t="s">
        <v>50</v>
      </c>
      <c r="S3251" s="13" t="s">
        <v>0</v>
      </c>
      <c r="T3251" s="13" t="s">
        <v>9</v>
      </c>
      <c r="U3251" s="13" t="s">
        <v>50</v>
      </c>
      <c r="V3251" s="13" t="s">
        <v>0</v>
      </c>
      <c r="W3251" s="13" t="s">
        <v>0</v>
      </c>
      <c r="X3251" s="13" t="s">
        <v>0</v>
      </c>
      <c r="Y3251" s="13" t="s">
        <v>10</v>
      </c>
      <c r="Z3251" s="13" t="s">
        <v>0</v>
      </c>
      <c r="AA3251" s="14"/>
      <c r="AB3251" s="13" t="s">
        <v>0</v>
      </c>
      <c r="AC3251" s="13" t="s">
        <v>0</v>
      </c>
      <c r="AD3251" s="13" t="s">
        <v>0</v>
      </c>
      <c r="AE3251" s="15">
        <v>0</v>
      </c>
    </row>
    <row r="3252" spans="1:31" ht="14.15" customHeight="1" x14ac:dyDescent="0.25">
      <c r="A3252" s="12" t="s">
        <v>0</v>
      </c>
      <c r="B3252" s="13" t="s">
        <v>1</v>
      </c>
      <c r="C3252" s="13" t="s">
        <v>1241</v>
      </c>
      <c r="D3252" s="14">
        <v>44143</v>
      </c>
      <c r="E3252" s="14">
        <v>44143</v>
      </c>
      <c r="F3252" s="14">
        <v>44163</v>
      </c>
      <c r="G3252" s="13" t="s">
        <v>48</v>
      </c>
      <c r="H3252" s="13" t="s">
        <v>4</v>
      </c>
      <c r="I3252" s="15">
        <v>-19.600000000000001</v>
      </c>
      <c r="J3252" s="13" t="s">
        <v>5</v>
      </c>
      <c r="K3252" s="13" t="s">
        <v>6</v>
      </c>
      <c r="L3252" s="15">
        <v>-1645.42</v>
      </c>
      <c r="M3252" s="15">
        <v>-19.600000000000001</v>
      </c>
      <c r="N3252" s="16" t="str">
        <f>IF(M3252="","",IF(M3252&lt;0,-M3252&amp;"_"&amp;COUNTIF(M$2:M3252,M3252),M3252&amp;"_"&amp;COUNTIF(M$2:M3252,M3252)))</f>
        <v>19.6_3</v>
      </c>
      <c r="O3252" s="17" t="str">
        <f t="shared" si="50"/>
        <v/>
      </c>
      <c r="P3252" s="13" t="s">
        <v>1242</v>
      </c>
      <c r="Q3252" s="13" t="s">
        <v>1242</v>
      </c>
      <c r="R3252" s="13" t="s">
        <v>50</v>
      </c>
      <c r="S3252" s="13" t="s">
        <v>0</v>
      </c>
      <c r="T3252" s="13" t="s">
        <v>9</v>
      </c>
      <c r="U3252" s="13" t="s">
        <v>50</v>
      </c>
      <c r="V3252" s="13" t="s">
        <v>0</v>
      </c>
      <c r="W3252" s="13" t="s">
        <v>0</v>
      </c>
      <c r="X3252" s="13" t="s">
        <v>0</v>
      </c>
      <c r="Y3252" s="13" t="s">
        <v>10</v>
      </c>
      <c r="Z3252" s="13" t="s">
        <v>0</v>
      </c>
      <c r="AA3252" s="14"/>
      <c r="AB3252" s="13" t="s">
        <v>0</v>
      </c>
      <c r="AC3252" s="13" t="s">
        <v>0</v>
      </c>
      <c r="AD3252" s="13" t="s">
        <v>0</v>
      </c>
      <c r="AE3252" s="15">
        <v>0</v>
      </c>
    </row>
    <row r="3253" spans="1:31" ht="14.15" customHeight="1" x14ac:dyDescent="0.25">
      <c r="A3253" s="12" t="s">
        <v>0</v>
      </c>
      <c r="B3253" s="13" t="s">
        <v>1</v>
      </c>
      <c r="C3253" s="13" t="s">
        <v>3424</v>
      </c>
      <c r="D3253" s="14">
        <v>44320</v>
      </c>
      <c r="E3253" s="14">
        <v>44320</v>
      </c>
      <c r="F3253" s="14">
        <v>44339</v>
      </c>
      <c r="G3253" s="13" t="s">
        <v>48</v>
      </c>
      <c r="H3253" s="13" t="s">
        <v>4</v>
      </c>
      <c r="I3253" s="15">
        <v>-19.38</v>
      </c>
      <c r="J3253" s="13" t="s">
        <v>3414</v>
      </c>
      <c r="K3253" s="13" t="s">
        <v>6</v>
      </c>
      <c r="L3253" s="15">
        <v>-1626.95</v>
      </c>
      <c r="M3253" s="15">
        <v>-19.38</v>
      </c>
      <c r="N3253" s="16" t="str">
        <f>IF(M3253="","",IF(M3253&lt;0,-M3253&amp;"_"&amp;COUNTIF(M$2:M3253,M3253),M3253&amp;"_"&amp;COUNTIF(M$2:M3253,M3253)))</f>
        <v>19.38_1</v>
      </c>
      <c r="O3253" s="17" t="str">
        <f t="shared" si="50"/>
        <v/>
      </c>
      <c r="P3253" s="13" t="s">
        <v>3425</v>
      </c>
      <c r="Q3253" s="13" t="s">
        <v>3425</v>
      </c>
      <c r="R3253" s="13" t="s">
        <v>1656</v>
      </c>
      <c r="S3253" s="13" t="s">
        <v>0</v>
      </c>
      <c r="T3253" s="13" t="s">
        <v>9</v>
      </c>
      <c r="U3253" s="13" t="s">
        <v>1656</v>
      </c>
      <c r="V3253" s="13" t="s">
        <v>0</v>
      </c>
      <c r="W3253" s="13" t="s">
        <v>0</v>
      </c>
      <c r="X3253" s="13" t="s">
        <v>0</v>
      </c>
      <c r="Y3253" s="13" t="s">
        <v>10</v>
      </c>
      <c r="Z3253" s="13" t="s">
        <v>0</v>
      </c>
      <c r="AA3253" s="14"/>
      <c r="AB3253" s="13" t="s">
        <v>0</v>
      </c>
      <c r="AC3253" s="13" t="s">
        <v>0</v>
      </c>
      <c r="AD3253" s="13" t="s">
        <v>0</v>
      </c>
      <c r="AE3253" s="15">
        <v>0</v>
      </c>
    </row>
    <row r="3254" spans="1:31" ht="14.15" customHeight="1" x14ac:dyDescent="0.25">
      <c r="A3254" s="12" t="s">
        <v>0</v>
      </c>
      <c r="B3254" s="13" t="s">
        <v>1</v>
      </c>
      <c r="C3254" s="13" t="s">
        <v>2234</v>
      </c>
      <c r="D3254" s="14">
        <v>44214</v>
      </c>
      <c r="E3254" s="14">
        <v>44214</v>
      </c>
      <c r="F3254" s="14">
        <v>44220</v>
      </c>
      <c r="G3254" s="13" t="s">
        <v>48</v>
      </c>
      <c r="H3254" s="13" t="s">
        <v>4</v>
      </c>
      <c r="I3254" s="15">
        <v>-19</v>
      </c>
      <c r="J3254" s="13" t="s">
        <v>5</v>
      </c>
      <c r="K3254" s="13" t="s">
        <v>6</v>
      </c>
      <c r="L3254" s="15">
        <v>-1595.05</v>
      </c>
      <c r="M3254" s="15">
        <v>-19</v>
      </c>
      <c r="N3254" s="16" t="str">
        <f>IF(M3254="","",IF(M3254&lt;0,-M3254&amp;"_"&amp;COUNTIF(M$2:M3254,M3254),M3254&amp;"_"&amp;COUNTIF(M$2:M3254,M3254)))</f>
        <v>19_1</v>
      </c>
      <c r="O3254" s="17" t="str">
        <f t="shared" si="50"/>
        <v/>
      </c>
      <c r="P3254" s="13" t="s">
        <v>2235</v>
      </c>
      <c r="Q3254" s="13" t="s">
        <v>2235</v>
      </c>
      <c r="R3254" s="13" t="s">
        <v>1656</v>
      </c>
      <c r="S3254" s="13" t="s">
        <v>0</v>
      </c>
      <c r="T3254" s="13" t="s">
        <v>9</v>
      </c>
      <c r="U3254" s="13" t="s">
        <v>1656</v>
      </c>
      <c r="V3254" s="13" t="s">
        <v>0</v>
      </c>
      <c r="W3254" s="13" t="s">
        <v>0</v>
      </c>
      <c r="X3254" s="13" t="s">
        <v>0</v>
      </c>
      <c r="Y3254" s="13" t="s">
        <v>10</v>
      </c>
      <c r="Z3254" s="13" t="s">
        <v>0</v>
      </c>
      <c r="AA3254" s="14"/>
      <c r="AB3254" s="13" t="s">
        <v>0</v>
      </c>
      <c r="AC3254" s="13" t="s">
        <v>0</v>
      </c>
      <c r="AD3254" s="13" t="s">
        <v>0</v>
      </c>
      <c r="AE3254" s="15">
        <v>0</v>
      </c>
    </row>
    <row r="3255" spans="1:31" ht="14.15" customHeight="1" x14ac:dyDescent="0.25">
      <c r="A3255" s="12" t="s">
        <v>0</v>
      </c>
      <c r="B3255" s="13" t="s">
        <v>1</v>
      </c>
      <c r="C3255" s="13" t="s">
        <v>1147</v>
      </c>
      <c r="D3255" s="14">
        <v>44140</v>
      </c>
      <c r="E3255" s="14">
        <v>44140</v>
      </c>
      <c r="F3255" s="14">
        <v>44163</v>
      </c>
      <c r="G3255" s="13" t="s">
        <v>48</v>
      </c>
      <c r="H3255" s="13" t="s">
        <v>4</v>
      </c>
      <c r="I3255" s="15">
        <v>-16</v>
      </c>
      <c r="J3255" s="13" t="s">
        <v>5</v>
      </c>
      <c r="K3255" s="13" t="s">
        <v>6</v>
      </c>
      <c r="L3255" s="15">
        <v>-1343.2</v>
      </c>
      <c r="M3255" s="15">
        <v>-16</v>
      </c>
      <c r="N3255" s="16" t="str">
        <f>IF(M3255="","",IF(M3255&lt;0,-M3255&amp;"_"&amp;COUNTIF(M$2:M3255,M3255),M3255&amp;"_"&amp;COUNTIF(M$2:M3255,M3255)))</f>
        <v>16_1</v>
      </c>
      <c r="O3255" s="17" t="str">
        <f t="shared" si="50"/>
        <v/>
      </c>
      <c r="P3255" s="13" t="s">
        <v>1148</v>
      </c>
      <c r="Q3255" s="13" t="s">
        <v>1148</v>
      </c>
      <c r="R3255" s="13" t="s">
        <v>50</v>
      </c>
      <c r="S3255" s="13" t="s">
        <v>0</v>
      </c>
      <c r="T3255" s="13" t="s">
        <v>9</v>
      </c>
      <c r="U3255" s="13" t="s">
        <v>50</v>
      </c>
      <c r="V3255" s="13" t="s">
        <v>0</v>
      </c>
      <c r="W3255" s="13" t="s">
        <v>0</v>
      </c>
      <c r="X3255" s="13" t="s">
        <v>0</v>
      </c>
      <c r="Y3255" s="13" t="s">
        <v>10</v>
      </c>
      <c r="Z3255" s="13" t="s">
        <v>0</v>
      </c>
      <c r="AA3255" s="14"/>
      <c r="AB3255" s="13" t="s">
        <v>0</v>
      </c>
      <c r="AC3255" s="13" t="s">
        <v>0</v>
      </c>
      <c r="AD3255" s="13" t="s">
        <v>0</v>
      </c>
      <c r="AE3255" s="15">
        <v>0</v>
      </c>
    </row>
    <row r="3256" spans="1:31" ht="14.15" customHeight="1" x14ac:dyDescent="0.25">
      <c r="A3256" s="12" t="s">
        <v>0</v>
      </c>
      <c r="B3256" s="13" t="s">
        <v>1</v>
      </c>
      <c r="C3256" s="13" t="s">
        <v>1922</v>
      </c>
      <c r="D3256" s="14">
        <v>44191</v>
      </c>
      <c r="E3256" s="14">
        <v>44191</v>
      </c>
      <c r="F3256" s="14">
        <v>44207</v>
      </c>
      <c r="G3256" s="13" t="s">
        <v>48</v>
      </c>
      <c r="H3256" s="13" t="s">
        <v>4</v>
      </c>
      <c r="I3256" s="15">
        <v>-16</v>
      </c>
      <c r="J3256" s="13" t="s">
        <v>5</v>
      </c>
      <c r="K3256" s="13" t="s">
        <v>6</v>
      </c>
      <c r="L3256" s="15">
        <v>-1343.2</v>
      </c>
      <c r="M3256" s="15">
        <v>-16</v>
      </c>
      <c r="N3256" s="16" t="str">
        <f>IF(M3256="","",IF(M3256&lt;0,-M3256&amp;"_"&amp;COUNTIF(M$2:M3256,M3256),M3256&amp;"_"&amp;COUNTIF(M$2:M3256,M3256)))</f>
        <v>16_2</v>
      </c>
      <c r="O3256" s="17" t="str">
        <f t="shared" si="50"/>
        <v/>
      </c>
      <c r="P3256" s="13" t="s">
        <v>1910</v>
      </c>
      <c r="Q3256" s="13" t="s">
        <v>1910</v>
      </c>
      <c r="R3256" s="13" t="s">
        <v>1656</v>
      </c>
      <c r="S3256" s="13" t="s">
        <v>0</v>
      </c>
      <c r="T3256" s="13" t="s">
        <v>9</v>
      </c>
      <c r="U3256" s="13" t="s">
        <v>1656</v>
      </c>
      <c r="V3256" s="13" t="s">
        <v>0</v>
      </c>
      <c r="W3256" s="13" t="s">
        <v>0</v>
      </c>
      <c r="X3256" s="13" t="s">
        <v>0</v>
      </c>
      <c r="Y3256" s="13" t="s">
        <v>10</v>
      </c>
      <c r="Z3256" s="13" t="s">
        <v>0</v>
      </c>
      <c r="AA3256" s="14"/>
      <c r="AB3256" s="13" t="s">
        <v>0</v>
      </c>
      <c r="AC3256" s="13" t="s">
        <v>0</v>
      </c>
      <c r="AD3256" s="13" t="s">
        <v>0</v>
      </c>
      <c r="AE3256" s="15">
        <v>0</v>
      </c>
    </row>
    <row r="3257" spans="1:31" ht="14.15" customHeight="1" x14ac:dyDescent="0.25">
      <c r="A3257" s="12" t="s">
        <v>0</v>
      </c>
      <c r="B3257" s="13" t="s">
        <v>1</v>
      </c>
      <c r="C3257" s="13" t="s">
        <v>1923</v>
      </c>
      <c r="D3257" s="14">
        <v>44191</v>
      </c>
      <c r="E3257" s="14">
        <v>44191</v>
      </c>
      <c r="F3257" s="14">
        <v>44207</v>
      </c>
      <c r="G3257" s="13" t="s">
        <v>48</v>
      </c>
      <c r="H3257" s="13" t="s">
        <v>4</v>
      </c>
      <c r="I3257" s="15">
        <v>-16</v>
      </c>
      <c r="J3257" s="13" t="s">
        <v>5</v>
      </c>
      <c r="K3257" s="13" t="s">
        <v>6</v>
      </c>
      <c r="L3257" s="15">
        <v>-1343.2</v>
      </c>
      <c r="M3257" s="15">
        <v>-16</v>
      </c>
      <c r="N3257" s="16" t="str">
        <f>IF(M3257="","",IF(M3257&lt;0,-M3257&amp;"_"&amp;COUNTIF(M$2:M3257,M3257),M3257&amp;"_"&amp;COUNTIF(M$2:M3257,M3257)))</f>
        <v>16_3</v>
      </c>
      <c r="O3257" s="17" t="str">
        <f t="shared" si="50"/>
        <v/>
      </c>
      <c r="P3257" s="13" t="s">
        <v>1907</v>
      </c>
      <c r="Q3257" s="13" t="s">
        <v>1907</v>
      </c>
      <c r="R3257" s="13" t="s">
        <v>1656</v>
      </c>
      <c r="S3257" s="13" t="s">
        <v>0</v>
      </c>
      <c r="T3257" s="13" t="s">
        <v>9</v>
      </c>
      <c r="U3257" s="13" t="s">
        <v>1656</v>
      </c>
      <c r="V3257" s="13" t="s">
        <v>0</v>
      </c>
      <c r="W3257" s="13" t="s">
        <v>0</v>
      </c>
      <c r="X3257" s="13" t="s">
        <v>0</v>
      </c>
      <c r="Y3257" s="13" t="s">
        <v>10</v>
      </c>
      <c r="Z3257" s="13" t="s">
        <v>0</v>
      </c>
      <c r="AA3257" s="14"/>
      <c r="AB3257" s="13" t="s">
        <v>0</v>
      </c>
      <c r="AC3257" s="13" t="s">
        <v>0</v>
      </c>
      <c r="AD3257" s="13" t="s">
        <v>0</v>
      </c>
      <c r="AE3257" s="15">
        <v>0</v>
      </c>
    </row>
    <row r="3258" spans="1:31" ht="14.15" customHeight="1" x14ac:dyDescent="0.25">
      <c r="A3258" s="12" t="s">
        <v>0</v>
      </c>
      <c r="B3258" s="13" t="s">
        <v>1</v>
      </c>
      <c r="C3258" s="13" t="s">
        <v>2220</v>
      </c>
      <c r="D3258" s="14">
        <v>44214</v>
      </c>
      <c r="E3258" s="14">
        <v>44214</v>
      </c>
      <c r="F3258" s="14">
        <v>44220</v>
      </c>
      <c r="G3258" s="13" t="s">
        <v>48</v>
      </c>
      <c r="H3258" s="13" t="s">
        <v>4</v>
      </c>
      <c r="I3258" s="15">
        <v>-16</v>
      </c>
      <c r="J3258" s="13" t="s">
        <v>5</v>
      </c>
      <c r="K3258" s="13" t="s">
        <v>6</v>
      </c>
      <c r="L3258" s="15">
        <v>-1343.2</v>
      </c>
      <c r="M3258" s="15">
        <v>-16</v>
      </c>
      <c r="N3258" s="16" t="str">
        <f>IF(M3258="","",IF(M3258&lt;0,-M3258&amp;"_"&amp;COUNTIF(M$2:M3258,M3258),M3258&amp;"_"&amp;COUNTIF(M$2:M3258,M3258)))</f>
        <v>16_4</v>
      </c>
      <c r="O3258" s="17" t="str">
        <f t="shared" si="50"/>
        <v/>
      </c>
      <c r="P3258" s="13" t="s">
        <v>2221</v>
      </c>
      <c r="Q3258" s="13" t="s">
        <v>2221</v>
      </c>
      <c r="R3258" s="13" t="s">
        <v>1656</v>
      </c>
      <c r="S3258" s="13" t="s">
        <v>0</v>
      </c>
      <c r="T3258" s="13" t="s">
        <v>9</v>
      </c>
      <c r="U3258" s="13" t="s">
        <v>1656</v>
      </c>
      <c r="V3258" s="13" t="s">
        <v>0</v>
      </c>
      <c r="W3258" s="13" t="s">
        <v>0</v>
      </c>
      <c r="X3258" s="13" t="s">
        <v>0</v>
      </c>
      <c r="Y3258" s="13" t="s">
        <v>10</v>
      </c>
      <c r="Z3258" s="13" t="s">
        <v>0</v>
      </c>
      <c r="AA3258" s="14"/>
      <c r="AB3258" s="13" t="s">
        <v>0</v>
      </c>
      <c r="AC3258" s="13" t="s">
        <v>0</v>
      </c>
      <c r="AD3258" s="13" t="s">
        <v>0</v>
      </c>
      <c r="AE3258" s="15">
        <v>0</v>
      </c>
    </row>
    <row r="3259" spans="1:31" ht="14.15" customHeight="1" x14ac:dyDescent="0.25">
      <c r="A3259" s="12" t="s">
        <v>0</v>
      </c>
      <c r="B3259" s="13" t="s">
        <v>1</v>
      </c>
      <c r="C3259" s="13" t="s">
        <v>4126</v>
      </c>
      <c r="D3259" s="14">
        <v>44364</v>
      </c>
      <c r="E3259" s="14">
        <v>44364</v>
      </c>
      <c r="F3259" s="14">
        <v>44376</v>
      </c>
      <c r="G3259" s="13" t="s">
        <v>48</v>
      </c>
      <c r="H3259" s="13" t="s">
        <v>4</v>
      </c>
      <c r="I3259" s="15">
        <v>-16</v>
      </c>
      <c r="J3259" s="13" t="s">
        <v>5</v>
      </c>
      <c r="K3259" s="13" t="s">
        <v>6</v>
      </c>
      <c r="L3259" s="15">
        <v>-1343.2</v>
      </c>
      <c r="M3259" s="15">
        <v>-16</v>
      </c>
      <c r="N3259" s="16" t="str">
        <f>IF(M3259="","",IF(M3259&lt;0,-M3259&amp;"_"&amp;COUNTIF(M$2:M3259,M3259),M3259&amp;"_"&amp;COUNTIF(M$2:M3259,M3259)))</f>
        <v>16_5</v>
      </c>
      <c r="O3259" s="17" t="str">
        <f t="shared" si="50"/>
        <v/>
      </c>
      <c r="P3259" s="13" t="s">
        <v>4127</v>
      </c>
      <c r="Q3259" s="13" t="s">
        <v>4127</v>
      </c>
      <c r="R3259" s="13" t="s">
        <v>50</v>
      </c>
      <c r="S3259" s="13" t="s">
        <v>0</v>
      </c>
      <c r="T3259" s="13" t="s">
        <v>9</v>
      </c>
      <c r="U3259" s="13" t="s">
        <v>50</v>
      </c>
      <c r="V3259" s="13" t="s">
        <v>0</v>
      </c>
      <c r="W3259" s="13" t="s">
        <v>0</v>
      </c>
      <c r="X3259" s="13" t="s">
        <v>0</v>
      </c>
      <c r="Y3259" s="13" t="s">
        <v>10</v>
      </c>
      <c r="Z3259" s="13" t="s">
        <v>0</v>
      </c>
      <c r="AA3259" s="14"/>
      <c r="AB3259" s="13" t="s">
        <v>0</v>
      </c>
      <c r="AC3259" s="13" t="s">
        <v>0</v>
      </c>
      <c r="AD3259" s="13" t="s">
        <v>0</v>
      </c>
      <c r="AE3259" s="15">
        <v>0</v>
      </c>
    </row>
    <row r="3260" spans="1:31" ht="14.15" customHeight="1" x14ac:dyDescent="0.25">
      <c r="A3260" s="12" t="s">
        <v>0</v>
      </c>
      <c r="B3260" s="13" t="s">
        <v>1</v>
      </c>
      <c r="C3260" s="13" t="s">
        <v>1911</v>
      </c>
      <c r="D3260" s="14">
        <v>44191</v>
      </c>
      <c r="E3260" s="14">
        <v>44191</v>
      </c>
      <c r="F3260" s="14">
        <v>44196</v>
      </c>
      <c r="G3260" s="13" t="s">
        <v>48</v>
      </c>
      <c r="H3260" s="13" t="s">
        <v>4</v>
      </c>
      <c r="I3260" s="15">
        <v>-14</v>
      </c>
      <c r="J3260" s="13" t="s">
        <v>5</v>
      </c>
      <c r="K3260" s="13" t="s">
        <v>6</v>
      </c>
      <c r="L3260" s="15">
        <v>-1175.3</v>
      </c>
      <c r="M3260" s="15">
        <v>-14</v>
      </c>
      <c r="N3260" s="16" t="str">
        <f>IF(M3260="","",IF(M3260&lt;0,-M3260&amp;"_"&amp;COUNTIF(M$2:M3260,M3260),M3260&amp;"_"&amp;COUNTIF(M$2:M3260,M3260)))</f>
        <v>14_1</v>
      </c>
      <c r="O3260" s="17" t="str">
        <f t="shared" si="50"/>
        <v/>
      </c>
      <c r="P3260" s="13" t="s">
        <v>1912</v>
      </c>
      <c r="Q3260" s="13" t="s">
        <v>1912</v>
      </c>
      <c r="R3260" s="13" t="s">
        <v>1913</v>
      </c>
      <c r="S3260" s="13" t="s">
        <v>0</v>
      </c>
      <c r="T3260" s="13" t="s">
        <v>9</v>
      </c>
      <c r="U3260" s="13" t="s">
        <v>1656</v>
      </c>
      <c r="V3260" s="13" t="s">
        <v>0</v>
      </c>
      <c r="W3260" s="13" t="s">
        <v>0</v>
      </c>
      <c r="X3260" s="13" t="s">
        <v>0</v>
      </c>
      <c r="Y3260" s="13" t="s">
        <v>10</v>
      </c>
      <c r="Z3260" s="13" t="s">
        <v>0</v>
      </c>
      <c r="AA3260" s="14"/>
      <c r="AB3260" s="13" t="s">
        <v>0</v>
      </c>
      <c r="AC3260" s="13" t="s">
        <v>0</v>
      </c>
      <c r="AD3260" s="13" t="s">
        <v>0</v>
      </c>
      <c r="AE3260" s="15">
        <v>0</v>
      </c>
    </row>
    <row r="3261" spans="1:31" ht="14.15" customHeight="1" x14ac:dyDescent="0.25">
      <c r="A3261" s="12" t="s">
        <v>0</v>
      </c>
      <c r="B3261" s="13" t="s">
        <v>1</v>
      </c>
      <c r="C3261" s="13" t="s">
        <v>1918</v>
      </c>
      <c r="D3261" s="14">
        <v>44191</v>
      </c>
      <c r="E3261" s="14">
        <v>44191</v>
      </c>
      <c r="F3261" s="14">
        <v>44196</v>
      </c>
      <c r="G3261" s="13" t="s">
        <v>48</v>
      </c>
      <c r="H3261" s="13" t="s">
        <v>4</v>
      </c>
      <c r="I3261" s="15">
        <v>-14</v>
      </c>
      <c r="J3261" s="13" t="s">
        <v>5</v>
      </c>
      <c r="K3261" s="13" t="s">
        <v>6</v>
      </c>
      <c r="L3261" s="15">
        <v>-1175.3</v>
      </c>
      <c r="M3261" s="15">
        <v>-14</v>
      </c>
      <c r="N3261" s="16" t="str">
        <f>IF(M3261="","",IF(M3261&lt;0,-M3261&amp;"_"&amp;COUNTIF(M$2:M3261,M3261),M3261&amp;"_"&amp;COUNTIF(M$2:M3261,M3261)))</f>
        <v>14_2</v>
      </c>
      <c r="O3261" s="17" t="str">
        <f t="shared" si="50"/>
        <v/>
      </c>
      <c r="P3261" s="13" t="s">
        <v>1919</v>
      </c>
      <c r="Q3261" s="13" t="s">
        <v>1919</v>
      </c>
      <c r="R3261" s="13" t="s">
        <v>1656</v>
      </c>
      <c r="S3261" s="13" t="s">
        <v>0</v>
      </c>
      <c r="T3261" s="13" t="s">
        <v>9</v>
      </c>
      <c r="U3261" s="13" t="s">
        <v>1656</v>
      </c>
      <c r="V3261" s="13" t="s">
        <v>0</v>
      </c>
      <c r="W3261" s="13" t="s">
        <v>0</v>
      </c>
      <c r="X3261" s="13" t="s">
        <v>0</v>
      </c>
      <c r="Y3261" s="13" t="s">
        <v>10</v>
      </c>
      <c r="Z3261" s="13" t="s">
        <v>0</v>
      </c>
      <c r="AA3261" s="14"/>
      <c r="AB3261" s="13" t="s">
        <v>0</v>
      </c>
      <c r="AC3261" s="13" t="s">
        <v>0</v>
      </c>
      <c r="AD3261" s="13" t="s">
        <v>0</v>
      </c>
      <c r="AE3261" s="15">
        <v>0</v>
      </c>
    </row>
    <row r="3262" spans="1:31" ht="14.15" customHeight="1" x14ac:dyDescent="0.25">
      <c r="A3262" s="12" t="s">
        <v>0</v>
      </c>
      <c r="B3262" s="13" t="s">
        <v>1</v>
      </c>
      <c r="C3262" s="13" t="s">
        <v>473</v>
      </c>
      <c r="D3262" s="14">
        <v>44068</v>
      </c>
      <c r="E3262" s="14">
        <v>44068</v>
      </c>
      <c r="F3262" s="14">
        <v>44072</v>
      </c>
      <c r="G3262" s="13" t="s">
        <v>48</v>
      </c>
      <c r="H3262" s="13" t="s">
        <v>4</v>
      </c>
      <c r="I3262" s="15">
        <v>-13.7</v>
      </c>
      <c r="J3262" s="13" t="s">
        <v>474</v>
      </c>
      <c r="K3262" s="13" t="s">
        <v>6</v>
      </c>
      <c r="L3262" s="15">
        <v>-1150.1199999999999</v>
      </c>
      <c r="M3262" s="15">
        <v>-13.7</v>
      </c>
      <c r="N3262" s="16" t="str">
        <f>IF(M3262="","",IF(M3262&lt;0,-M3262&amp;"_"&amp;COUNTIF(M$2:M3262,M3262),M3262&amp;"_"&amp;COUNTIF(M$2:M3262,M3262)))</f>
        <v>13.7_1</v>
      </c>
      <c r="O3262" s="17" t="str">
        <f t="shared" si="50"/>
        <v/>
      </c>
      <c r="P3262" s="13" t="s">
        <v>475</v>
      </c>
      <c r="Q3262" s="13" t="s">
        <v>475</v>
      </c>
      <c r="R3262" s="13" t="s">
        <v>50</v>
      </c>
      <c r="S3262" s="13" t="s">
        <v>0</v>
      </c>
      <c r="T3262" s="13" t="s">
        <v>9</v>
      </c>
      <c r="U3262" s="13" t="s">
        <v>51</v>
      </c>
      <c r="V3262" s="13" t="s">
        <v>0</v>
      </c>
      <c r="W3262" s="13" t="s">
        <v>0</v>
      </c>
      <c r="X3262" s="13" t="s">
        <v>0</v>
      </c>
      <c r="Y3262" s="13" t="s">
        <v>10</v>
      </c>
      <c r="Z3262" s="13" t="s">
        <v>0</v>
      </c>
      <c r="AA3262" s="14"/>
      <c r="AB3262" s="13" t="s">
        <v>0</v>
      </c>
      <c r="AC3262" s="13" t="s">
        <v>0</v>
      </c>
      <c r="AD3262" s="13" t="s">
        <v>0</v>
      </c>
      <c r="AE3262" s="15">
        <v>0</v>
      </c>
    </row>
    <row r="3263" spans="1:31" ht="14.15" customHeight="1" x14ac:dyDescent="0.25">
      <c r="A3263" s="12" t="s">
        <v>0</v>
      </c>
      <c r="B3263" s="13" t="s">
        <v>1</v>
      </c>
      <c r="C3263" s="13" t="s">
        <v>2070</v>
      </c>
      <c r="D3263" s="14">
        <v>44199</v>
      </c>
      <c r="E3263" s="14">
        <v>44199</v>
      </c>
      <c r="F3263" s="14">
        <v>44220</v>
      </c>
      <c r="G3263" s="13" t="s">
        <v>48</v>
      </c>
      <c r="H3263" s="13" t="s">
        <v>4</v>
      </c>
      <c r="I3263" s="15">
        <v>-13.56</v>
      </c>
      <c r="J3263" s="13" t="s">
        <v>2071</v>
      </c>
      <c r="K3263" s="13" t="s">
        <v>6</v>
      </c>
      <c r="L3263" s="15">
        <v>-1138.3599999999999</v>
      </c>
      <c r="M3263" s="15">
        <v>-13.56</v>
      </c>
      <c r="N3263" s="16" t="str">
        <f>IF(M3263="","",IF(M3263&lt;0,-M3263&amp;"_"&amp;COUNTIF(M$2:M3263,M3263),M3263&amp;"_"&amp;COUNTIF(M$2:M3263,M3263)))</f>
        <v>13.56_1</v>
      </c>
      <c r="O3263" s="17" t="str">
        <f t="shared" si="50"/>
        <v/>
      </c>
      <c r="P3263" s="13" t="s">
        <v>2072</v>
      </c>
      <c r="Q3263" s="13" t="s">
        <v>2072</v>
      </c>
      <c r="R3263" s="13" t="s">
        <v>1656</v>
      </c>
      <c r="S3263" s="13" t="s">
        <v>0</v>
      </c>
      <c r="T3263" s="13" t="s">
        <v>9</v>
      </c>
      <c r="U3263" s="13" t="s">
        <v>1656</v>
      </c>
      <c r="V3263" s="13" t="s">
        <v>0</v>
      </c>
      <c r="W3263" s="13" t="s">
        <v>0</v>
      </c>
      <c r="X3263" s="13" t="s">
        <v>0</v>
      </c>
      <c r="Y3263" s="13" t="s">
        <v>10</v>
      </c>
      <c r="Z3263" s="13" t="s">
        <v>0</v>
      </c>
      <c r="AA3263" s="14"/>
      <c r="AB3263" s="13" t="s">
        <v>0</v>
      </c>
      <c r="AC3263" s="13" t="s">
        <v>0</v>
      </c>
      <c r="AD3263" s="13" t="s">
        <v>0</v>
      </c>
      <c r="AE3263" s="15">
        <v>0</v>
      </c>
    </row>
    <row r="3264" spans="1:31" ht="14.15" customHeight="1" x14ac:dyDescent="0.25">
      <c r="A3264" s="12" t="s">
        <v>0</v>
      </c>
      <c r="B3264" s="13" t="s">
        <v>1</v>
      </c>
      <c r="C3264" s="13" t="s">
        <v>2081</v>
      </c>
      <c r="D3264" s="14">
        <v>44199</v>
      </c>
      <c r="E3264" s="14">
        <v>44199</v>
      </c>
      <c r="F3264" s="14">
        <v>44220</v>
      </c>
      <c r="G3264" s="13" t="s">
        <v>48</v>
      </c>
      <c r="H3264" s="13" t="s">
        <v>4</v>
      </c>
      <c r="I3264" s="15">
        <v>-13.56</v>
      </c>
      <c r="J3264" s="13" t="s">
        <v>2071</v>
      </c>
      <c r="K3264" s="13" t="s">
        <v>6</v>
      </c>
      <c r="L3264" s="15">
        <v>-1138.3599999999999</v>
      </c>
      <c r="M3264" s="15">
        <v>-13.56</v>
      </c>
      <c r="N3264" s="16" t="str">
        <f>IF(M3264="","",IF(M3264&lt;0,-M3264&amp;"_"&amp;COUNTIF(M$2:M3264,M3264),M3264&amp;"_"&amp;COUNTIF(M$2:M3264,M3264)))</f>
        <v>13.56_2</v>
      </c>
      <c r="O3264" s="17" t="str">
        <f t="shared" si="50"/>
        <v/>
      </c>
      <c r="P3264" s="13" t="s">
        <v>2082</v>
      </c>
      <c r="Q3264" s="13" t="s">
        <v>2082</v>
      </c>
      <c r="R3264" s="13" t="s">
        <v>1656</v>
      </c>
      <c r="S3264" s="13" t="s">
        <v>0</v>
      </c>
      <c r="T3264" s="13" t="s">
        <v>9</v>
      </c>
      <c r="U3264" s="13" t="s">
        <v>1656</v>
      </c>
      <c r="V3264" s="13" t="s">
        <v>0</v>
      </c>
      <c r="W3264" s="13" t="s">
        <v>0</v>
      </c>
      <c r="X3264" s="13" t="s">
        <v>0</v>
      </c>
      <c r="Y3264" s="13" t="s">
        <v>10</v>
      </c>
      <c r="Z3264" s="13" t="s">
        <v>0</v>
      </c>
      <c r="AA3264" s="14"/>
      <c r="AB3264" s="13" t="s">
        <v>0</v>
      </c>
      <c r="AC3264" s="13" t="s">
        <v>0</v>
      </c>
      <c r="AD3264" s="13" t="s">
        <v>0</v>
      </c>
      <c r="AE3264" s="15">
        <v>0</v>
      </c>
    </row>
    <row r="3265" spans="1:31" ht="14.15" customHeight="1" x14ac:dyDescent="0.25">
      <c r="A3265" s="12" t="s">
        <v>0</v>
      </c>
      <c r="B3265" s="13" t="s">
        <v>1</v>
      </c>
      <c r="C3265" s="13" t="s">
        <v>2027</v>
      </c>
      <c r="D3265" s="14">
        <v>44197</v>
      </c>
      <c r="E3265" s="14">
        <v>44197</v>
      </c>
      <c r="F3265" s="14">
        <v>44220</v>
      </c>
      <c r="G3265" s="13" t="s">
        <v>48</v>
      </c>
      <c r="H3265" s="13" t="s">
        <v>4</v>
      </c>
      <c r="I3265" s="15">
        <v>-13</v>
      </c>
      <c r="J3265" s="13" t="s">
        <v>5</v>
      </c>
      <c r="K3265" s="13" t="s">
        <v>6</v>
      </c>
      <c r="L3265" s="15">
        <v>-1091.3499999999999</v>
      </c>
      <c r="M3265" s="15">
        <v>-13</v>
      </c>
      <c r="N3265" s="16" t="str">
        <f>IF(M3265="","",IF(M3265&lt;0,-M3265&amp;"_"&amp;COUNTIF(M$2:M3265,M3265),M3265&amp;"_"&amp;COUNTIF(M$2:M3265,M3265)))</f>
        <v>13_1</v>
      </c>
      <c r="O3265" s="17" t="str">
        <f t="shared" si="50"/>
        <v/>
      </c>
      <c r="P3265" s="13" t="s">
        <v>2028</v>
      </c>
      <c r="Q3265" s="13" t="s">
        <v>2028</v>
      </c>
      <c r="R3265" s="13" t="s">
        <v>1656</v>
      </c>
      <c r="S3265" s="13" t="s">
        <v>0</v>
      </c>
      <c r="T3265" s="13" t="s">
        <v>9</v>
      </c>
      <c r="U3265" s="13" t="s">
        <v>1656</v>
      </c>
      <c r="V3265" s="13" t="s">
        <v>0</v>
      </c>
      <c r="W3265" s="13" t="s">
        <v>0</v>
      </c>
      <c r="X3265" s="13" t="s">
        <v>0</v>
      </c>
      <c r="Y3265" s="13" t="s">
        <v>10</v>
      </c>
      <c r="Z3265" s="13" t="s">
        <v>0</v>
      </c>
      <c r="AA3265" s="14"/>
      <c r="AB3265" s="13" t="s">
        <v>0</v>
      </c>
      <c r="AC3265" s="13" t="s">
        <v>0</v>
      </c>
      <c r="AD3265" s="13" t="s">
        <v>0</v>
      </c>
      <c r="AE3265" s="15">
        <v>0</v>
      </c>
    </row>
    <row r="3266" spans="1:31" ht="14.15" customHeight="1" x14ac:dyDescent="0.25">
      <c r="A3266" s="12" t="s">
        <v>0</v>
      </c>
      <c r="B3266" s="13" t="s">
        <v>1</v>
      </c>
      <c r="C3266" s="13" t="s">
        <v>3408</v>
      </c>
      <c r="D3266" s="14">
        <v>44320</v>
      </c>
      <c r="E3266" s="14">
        <v>44320</v>
      </c>
      <c r="F3266" s="14">
        <v>44339</v>
      </c>
      <c r="G3266" s="13" t="s">
        <v>48</v>
      </c>
      <c r="H3266" s="13" t="s">
        <v>4</v>
      </c>
      <c r="I3266" s="15">
        <v>-10.31</v>
      </c>
      <c r="J3266" s="13" t="s">
        <v>3409</v>
      </c>
      <c r="K3266" s="13" t="s">
        <v>6</v>
      </c>
      <c r="L3266" s="15">
        <v>-865.52</v>
      </c>
      <c r="M3266" s="15">
        <v>-10.31</v>
      </c>
      <c r="N3266" s="16" t="str">
        <f>IF(M3266="","",IF(M3266&lt;0,-M3266&amp;"_"&amp;COUNTIF(M$2:M3266,M3266),M3266&amp;"_"&amp;COUNTIF(M$2:M3266,M3266)))</f>
        <v>10.31_1</v>
      </c>
      <c r="O3266" s="17" t="str">
        <f t="shared" ref="O3266:O3294" si="51">IF(COUNTIF(N:N,N3266)=2,"x","")</f>
        <v/>
      </c>
      <c r="P3266" s="13" t="s">
        <v>3410</v>
      </c>
      <c r="Q3266" s="13" t="s">
        <v>3410</v>
      </c>
      <c r="R3266" s="13" t="s">
        <v>1656</v>
      </c>
      <c r="S3266" s="13" t="s">
        <v>0</v>
      </c>
      <c r="T3266" s="13" t="s">
        <v>9</v>
      </c>
      <c r="U3266" s="13" t="s">
        <v>1656</v>
      </c>
      <c r="V3266" s="13" t="s">
        <v>0</v>
      </c>
      <c r="W3266" s="13" t="s">
        <v>0</v>
      </c>
      <c r="X3266" s="13" t="s">
        <v>0</v>
      </c>
      <c r="Y3266" s="13" t="s">
        <v>10</v>
      </c>
      <c r="Z3266" s="13" t="s">
        <v>0</v>
      </c>
      <c r="AA3266" s="14"/>
      <c r="AB3266" s="13" t="s">
        <v>0</v>
      </c>
      <c r="AC3266" s="13" t="s">
        <v>0</v>
      </c>
      <c r="AD3266" s="13" t="s">
        <v>0</v>
      </c>
      <c r="AE3266" s="15">
        <v>0</v>
      </c>
    </row>
    <row r="3267" spans="1:31" ht="14.15" customHeight="1" x14ac:dyDescent="0.25">
      <c r="A3267" s="12" t="s">
        <v>0</v>
      </c>
      <c r="B3267" s="13" t="s">
        <v>1</v>
      </c>
      <c r="C3267" s="13" t="s">
        <v>3416</v>
      </c>
      <c r="D3267" s="14">
        <v>44320</v>
      </c>
      <c r="E3267" s="14">
        <v>44320</v>
      </c>
      <c r="F3267" s="14">
        <v>44339</v>
      </c>
      <c r="G3267" s="13" t="s">
        <v>48</v>
      </c>
      <c r="H3267" s="13" t="s">
        <v>4</v>
      </c>
      <c r="I3267" s="15">
        <v>-10.31</v>
      </c>
      <c r="J3267" s="13" t="s">
        <v>3409</v>
      </c>
      <c r="K3267" s="13" t="s">
        <v>6</v>
      </c>
      <c r="L3267" s="15">
        <v>-865.52</v>
      </c>
      <c r="M3267" s="15">
        <v>-10.31</v>
      </c>
      <c r="N3267" s="16" t="str">
        <f>IF(M3267="","",IF(M3267&lt;0,-M3267&amp;"_"&amp;COUNTIF(M$2:M3267,M3267),M3267&amp;"_"&amp;COUNTIF(M$2:M3267,M3267)))</f>
        <v>10.31_2</v>
      </c>
      <c r="O3267" s="17" t="str">
        <f t="shared" si="51"/>
        <v/>
      </c>
      <c r="P3267" s="13" t="s">
        <v>3417</v>
      </c>
      <c r="Q3267" s="13" t="s">
        <v>3417</v>
      </c>
      <c r="R3267" s="13" t="s">
        <v>1656</v>
      </c>
      <c r="S3267" s="13" t="s">
        <v>0</v>
      </c>
      <c r="T3267" s="13" t="s">
        <v>9</v>
      </c>
      <c r="U3267" s="13" t="s">
        <v>1656</v>
      </c>
      <c r="V3267" s="13" t="s">
        <v>0</v>
      </c>
      <c r="W3267" s="13" t="s">
        <v>0</v>
      </c>
      <c r="X3267" s="13" t="s">
        <v>0</v>
      </c>
      <c r="Y3267" s="13" t="s">
        <v>10</v>
      </c>
      <c r="Z3267" s="13" t="s">
        <v>0</v>
      </c>
      <c r="AA3267" s="14"/>
      <c r="AB3267" s="13" t="s">
        <v>0</v>
      </c>
      <c r="AC3267" s="13" t="s">
        <v>0</v>
      </c>
      <c r="AD3267" s="13" t="s">
        <v>0</v>
      </c>
      <c r="AE3267" s="15">
        <v>0</v>
      </c>
    </row>
    <row r="3268" spans="1:31" ht="14.15" customHeight="1" x14ac:dyDescent="0.25">
      <c r="A3268" s="12" t="s">
        <v>0</v>
      </c>
      <c r="B3268" s="13" t="s">
        <v>1</v>
      </c>
      <c r="C3268" s="13" t="s">
        <v>3418</v>
      </c>
      <c r="D3268" s="14">
        <v>44320</v>
      </c>
      <c r="E3268" s="14">
        <v>44320</v>
      </c>
      <c r="F3268" s="14">
        <v>44339</v>
      </c>
      <c r="G3268" s="13" t="s">
        <v>48</v>
      </c>
      <c r="H3268" s="13" t="s">
        <v>4</v>
      </c>
      <c r="I3268" s="15">
        <v>-10.31</v>
      </c>
      <c r="J3268" s="13" t="s">
        <v>3409</v>
      </c>
      <c r="K3268" s="13" t="s">
        <v>6</v>
      </c>
      <c r="L3268" s="15">
        <v>-865.52</v>
      </c>
      <c r="M3268" s="15">
        <v>-10.31</v>
      </c>
      <c r="N3268" s="16" t="str">
        <f>IF(M3268="","",IF(M3268&lt;0,-M3268&amp;"_"&amp;COUNTIF(M$2:M3268,M3268),M3268&amp;"_"&amp;COUNTIF(M$2:M3268,M3268)))</f>
        <v>10.31_3</v>
      </c>
      <c r="O3268" s="17" t="str">
        <f t="shared" si="51"/>
        <v/>
      </c>
      <c r="P3268" s="13" t="s">
        <v>3419</v>
      </c>
      <c r="Q3268" s="13" t="s">
        <v>3419</v>
      </c>
      <c r="R3268" s="13" t="s">
        <v>1656</v>
      </c>
      <c r="S3268" s="13" t="s">
        <v>0</v>
      </c>
      <c r="T3268" s="13" t="s">
        <v>9</v>
      </c>
      <c r="U3268" s="13" t="s">
        <v>1656</v>
      </c>
      <c r="V3268" s="13" t="s">
        <v>0</v>
      </c>
      <c r="W3268" s="13" t="s">
        <v>0</v>
      </c>
      <c r="X3268" s="13" t="s">
        <v>0</v>
      </c>
      <c r="Y3268" s="13" t="s">
        <v>10</v>
      </c>
      <c r="Z3268" s="13" t="s">
        <v>0</v>
      </c>
      <c r="AA3268" s="14"/>
      <c r="AB3268" s="13" t="s">
        <v>0</v>
      </c>
      <c r="AC3268" s="13" t="s">
        <v>0</v>
      </c>
      <c r="AD3268" s="13" t="s">
        <v>0</v>
      </c>
      <c r="AE3268" s="15">
        <v>0</v>
      </c>
    </row>
    <row r="3269" spans="1:31" ht="14.15" customHeight="1" x14ac:dyDescent="0.25">
      <c r="A3269" s="12" t="s">
        <v>0</v>
      </c>
      <c r="B3269" s="13" t="s">
        <v>1</v>
      </c>
      <c r="C3269" s="13" t="s">
        <v>3420</v>
      </c>
      <c r="D3269" s="14">
        <v>44320</v>
      </c>
      <c r="E3269" s="14">
        <v>44320</v>
      </c>
      <c r="F3269" s="14">
        <v>44339</v>
      </c>
      <c r="G3269" s="13" t="s">
        <v>48</v>
      </c>
      <c r="H3269" s="13" t="s">
        <v>4</v>
      </c>
      <c r="I3269" s="15">
        <v>-10.31</v>
      </c>
      <c r="J3269" s="13" t="s">
        <v>3409</v>
      </c>
      <c r="K3269" s="13" t="s">
        <v>6</v>
      </c>
      <c r="L3269" s="15">
        <v>-865.52</v>
      </c>
      <c r="M3269" s="15">
        <v>-10.31</v>
      </c>
      <c r="N3269" s="16" t="str">
        <f>IF(M3269="","",IF(M3269&lt;0,-M3269&amp;"_"&amp;COUNTIF(M$2:M3269,M3269),M3269&amp;"_"&amp;COUNTIF(M$2:M3269,M3269)))</f>
        <v>10.31_4</v>
      </c>
      <c r="O3269" s="17" t="str">
        <f t="shared" si="51"/>
        <v/>
      </c>
      <c r="P3269" s="13" t="s">
        <v>3421</v>
      </c>
      <c r="Q3269" s="13" t="s">
        <v>3421</v>
      </c>
      <c r="R3269" s="13" t="s">
        <v>1656</v>
      </c>
      <c r="S3269" s="13" t="s">
        <v>0</v>
      </c>
      <c r="T3269" s="13" t="s">
        <v>9</v>
      </c>
      <c r="U3269" s="13" t="s">
        <v>1656</v>
      </c>
      <c r="V3269" s="13" t="s">
        <v>0</v>
      </c>
      <c r="W3269" s="13" t="s">
        <v>0</v>
      </c>
      <c r="X3269" s="13" t="s">
        <v>0</v>
      </c>
      <c r="Y3269" s="13" t="s">
        <v>10</v>
      </c>
      <c r="Z3269" s="13" t="s">
        <v>0</v>
      </c>
      <c r="AA3269" s="14"/>
      <c r="AB3269" s="13" t="s">
        <v>0</v>
      </c>
      <c r="AC3269" s="13" t="s">
        <v>0</v>
      </c>
      <c r="AD3269" s="13" t="s">
        <v>0</v>
      </c>
      <c r="AE3269" s="15">
        <v>0</v>
      </c>
    </row>
    <row r="3270" spans="1:31" ht="14.15" customHeight="1" x14ac:dyDescent="0.25">
      <c r="A3270" s="12" t="s">
        <v>0</v>
      </c>
      <c r="B3270" s="13" t="s">
        <v>1</v>
      </c>
      <c r="C3270" s="13" t="s">
        <v>3422</v>
      </c>
      <c r="D3270" s="14">
        <v>44320</v>
      </c>
      <c r="E3270" s="14">
        <v>44320</v>
      </c>
      <c r="F3270" s="14">
        <v>44339</v>
      </c>
      <c r="G3270" s="13" t="s">
        <v>48</v>
      </c>
      <c r="H3270" s="13" t="s">
        <v>4</v>
      </c>
      <c r="I3270" s="15">
        <v>-10.31</v>
      </c>
      <c r="J3270" s="13" t="s">
        <v>3409</v>
      </c>
      <c r="K3270" s="13" t="s">
        <v>6</v>
      </c>
      <c r="L3270" s="15">
        <v>-865.52</v>
      </c>
      <c r="M3270" s="15">
        <v>-10.31</v>
      </c>
      <c r="N3270" s="16" t="str">
        <f>IF(M3270="","",IF(M3270&lt;0,-M3270&amp;"_"&amp;COUNTIF(M$2:M3270,M3270),M3270&amp;"_"&amp;COUNTIF(M$2:M3270,M3270)))</f>
        <v>10.31_5</v>
      </c>
      <c r="O3270" s="17" t="str">
        <f t="shared" si="51"/>
        <v/>
      </c>
      <c r="P3270" s="13" t="s">
        <v>3423</v>
      </c>
      <c r="Q3270" s="13" t="s">
        <v>3423</v>
      </c>
      <c r="R3270" s="13" t="s">
        <v>1656</v>
      </c>
      <c r="S3270" s="13" t="s">
        <v>0</v>
      </c>
      <c r="T3270" s="13" t="s">
        <v>9</v>
      </c>
      <c r="U3270" s="13" t="s">
        <v>1656</v>
      </c>
      <c r="V3270" s="13" t="s">
        <v>0</v>
      </c>
      <c r="W3270" s="13" t="s">
        <v>0</v>
      </c>
      <c r="X3270" s="13" t="s">
        <v>0</v>
      </c>
      <c r="Y3270" s="13" t="s">
        <v>10</v>
      </c>
      <c r="Z3270" s="13" t="s">
        <v>0</v>
      </c>
      <c r="AA3270" s="14"/>
      <c r="AB3270" s="13" t="s">
        <v>0</v>
      </c>
      <c r="AC3270" s="13" t="s">
        <v>0</v>
      </c>
      <c r="AD3270" s="13" t="s">
        <v>0</v>
      </c>
      <c r="AE3270" s="15">
        <v>0</v>
      </c>
    </row>
    <row r="3271" spans="1:31" ht="14.15" customHeight="1" x14ac:dyDescent="0.25">
      <c r="A3271" s="12" t="s">
        <v>0</v>
      </c>
      <c r="B3271" s="13" t="s">
        <v>1</v>
      </c>
      <c r="C3271" s="13" t="s">
        <v>3428</v>
      </c>
      <c r="D3271" s="14">
        <v>44320</v>
      </c>
      <c r="E3271" s="14">
        <v>44320</v>
      </c>
      <c r="F3271" s="14">
        <v>44339</v>
      </c>
      <c r="G3271" s="13" t="s">
        <v>48</v>
      </c>
      <c r="H3271" s="13" t="s">
        <v>4</v>
      </c>
      <c r="I3271" s="15">
        <v>-10.31</v>
      </c>
      <c r="J3271" s="13" t="s">
        <v>3409</v>
      </c>
      <c r="K3271" s="13" t="s">
        <v>6</v>
      </c>
      <c r="L3271" s="15">
        <v>-865.52</v>
      </c>
      <c r="M3271" s="15">
        <v>-10.31</v>
      </c>
      <c r="N3271" s="16" t="str">
        <f>IF(M3271="","",IF(M3271&lt;0,-M3271&amp;"_"&amp;COUNTIF(M$2:M3271,M3271),M3271&amp;"_"&amp;COUNTIF(M$2:M3271,M3271)))</f>
        <v>10.31_6</v>
      </c>
      <c r="O3271" s="17" t="str">
        <f t="shared" si="51"/>
        <v/>
      </c>
      <c r="P3271" s="13" t="s">
        <v>3429</v>
      </c>
      <c r="Q3271" s="13" t="s">
        <v>3429</v>
      </c>
      <c r="R3271" s="13" t="s">
        <v>1656</v>
      </c>
      <c r="S3271" s="13" t="s">
        <v>0</v>
      </c>
      <c r="T3271" s="13" t="s">
        <v>9</v>
      </c>
      <c r="U3271" s="13" t="s">
        <v>1656</v>
      </c>
      <c r="V3271" s="13" t="s">
        <v>0</v>
      </c>
      <c r="W3271" s="13" t="s">
        <v>0</v>
      </c>
      <c r="X3271" s="13" t="s">
        <v>0</v>
      </c>
      <c r="Y3271" s="13" t="s">
        <v>10</v>
      </c>
      <c r="Z3271" s="13" t="s">
        <v>0</v>
      </c>
      <c r="AA3271" s="14"/>
      <c r="AB3271" s="13" t="s">
        <v>0</v>
      </c>
      <c r="AC3271" s="13" t="s">
        <v>0</v>
      </c>
      <c r="AD3271" s="13" t="s">
        <v>0</v>
      </c>
      <c r="AE3271" s="15">
        <v>0</v>
      </c>
    </row>
    <row r="3272" spans="1:31" ht="14.15" customHeight="1" x14ac:dyDescent="0.25">
      <c r="A3272" s="12" t="s">
        <v>0</v>
      </c>
      <c r="B3272" s="13" t="s">
        <v>1</v>
      </c>
      <c r="C3272" s="13" t="s">
        <v>3439</v>
      </c>
      <c r="D3272" s="14">
        <v>44320</v>
      </c>
      <c r="E3272" s="14">
        <v>44320</v>
      </c>
      <c r="F3272" s="14">
        <v>44339</v>
      </c>
      <c r="G3272" s="13" t="s">
        <v>48</v>
      </c>
      <c r="H3272" s="13" t="s">
        <v>4</v>
      </c>
      <c r="I3272" s="15">
        <v>-10.31</v>
      </c>
      <c r="J3272" s="13" t="s">
        <v>3409</v>
      </c>
      <c r="K3272" s="13" t="s">
        <v>6</v>
      </c>
      <c r="L3272" s="15">
        <v>-865.52</v>
      </c>
      <c r="M3272" s="15">
        <v>-10.31</v>
      </c>
      <c r="N3272" s="16" t="str">
        <f>IF(M3272="","",IF(M3272&lt;0,-M3272&amp;"_"&amp;COUNTIF(M$2:M3272,M3272),M3272&amp;"_"&amp;COUNTIF(M$2:M3272,M3272)))</f>
        <v>10.31_7</v>
      </c>
      <c r="O3272" s="17" t="str">
        <f t="shared" si="51"/>
        <v/>
      </c>
      <c r="P3272" s="13" t="s">
        <v>3440</v>
      </c>
      <c r="Q3272" s="13" t="s">
        <v>3440</v>
      </c>
      <c r="R3272" s="13" t="s">
        <v>1656</v>
      </c>
      <c r="S3272" s="13" t="s">
        <v>0</v>
      </c>
      <c r="T3272" s="13" t="s">
        <v>9</v>
      </c>
      <c r="U3272" s="13" t="s">
        <v>1656</v>
      </c>
      <c r="V3272" s="13" t="s">
        <v>0</v>
      </c>
      <c r="W3272" s="13" t="s">
        <v>0</v>
      </c>
      <c r="X3272" s="13" t="s">
        <v>0</v>
      </c>
      <c r="Y3272" s="13" t="s">
        <v>10</v>
      </c>
      <c r="Z3272" s="13" t="s">
        <v>0</v>
      </c>
      <c r="AA3272" s="14"/>
      <c r="AB3272" s="13" t="s">
        <v>0</v>
      </c>
      <c r="AC3272" s="13" t="s">
        <v>0</v>
      </c>
      <c r="AD3272" s="13" t="s">
        <v>0</v>
      </c>
      <c r="AE3272" s="15">
        <v>0</v>
      </c>
    </row>
    <row r="3273" spans="1:31" ht="14.15" customHeight="1" x14ac:dyDescent="0.25">
      <c r="A3273" s="12" t="s">
        <v>0</v>
      </c>
      <c r="B3273" s="13" t="s">
        <v>1</v>
      </c>
      <c r="C3273" s="13" t="s">
        <v>3441</v>
      </c>
      <c r="D3273" s="14">
        <v>44320</v>
      </c>
      <c r="E3273" s="14">
        <v>44320</v>
      </c>
      <c r="F3273" s="14">
        <v>44339</v>
      </c>
      <c r="G3273" s="13" t="s">
        <v>48</v>
      </c>
      <c r="H3273" s="13" t="s">
        <v>4</v>
      </c>
      <c r="I3273" s="15">
        <v>-10.31</v>
      </c>
      <c r="J3273" s="13" t="s">
        <v>3409</v>
      </c>
      <c r="K3273" s="13" t="s">
        <v>6</v>
      </c>
      <c r="L3273" s="15">
        <v>-865.52</v>
      </c>
      <c r="M3273" s="15">
        <v>-10.31</v>
      </c>
      <c r="N3273" s="16" t="str">
        <f>IF(M3273="","",IF(M3273&lt;0,-M3273&amp;"_"&amp;COUNTIF(M$2:M3273,M3273),M3273&amp;"_"&amp;COUNTIF(M$2:M3273,M3273)))</f>
        <v>10.31_8</v>
      </c>
      <c r="O3273" s="17" t="str">
        <f t="shared" si="51"/>
        <v/>
      </c>
      <c r="P3273" s="13" t="s">
        <v>3442</v>
      </c>
      <c r="Q3273" s="13" t="s">
        <v>3442</v>
      </c>
      <c r="R3273" s="13" t="s">
        <v>1656</v>
      </c>
      <c r="S3273" s="13" t="s">
        <v>0</v>
      </c>
      <c r="T3273" s="13" t="s">
        <v>9</v>
      </c>
      <c r="U3273" s="13" t="s">
        <v>1656</v>
      </c>
      <c r="V3273" s="13" t="s">
        <v>0</v>
      </c>
      <c r="W3273" s="13" t="s">
        <v>0</v>
      </c>
      <c r="X3273" s="13" t="s">
        <v>0</v>
      </c>
      <c r="Y3273" s="13" t="s">
        <v>10</v>
      </c>
      <c r="Z3273" s="13" t="s">
        <v>0</v>
      </c>
      <c r="AA3273" s="14"/>
      <c r="AB3273" s="13" t="s">
        <v>0</v>
      </c>
      <c r="AC3273" s="13" t="s">
        <v>0</v>
      </c>
      <c r="AD3273" s="13" t="s">
        <v>0</v>
      </c>
      <c r="AE3273" s="15">
        <v>0</v>
      </c>
    </row>
    <row r="3274" spans="1:31" ht="14.15" customHeight="1" x14ac:dyDescent="0.25">
      <c r="A3274" s="12" t="s">
        <v>0</v>
      </c>
      <c r="B3274" s="13" t="s">
        <v>1</v>
      </c>
      <c r="C3274" s="13" t="s">
        <v>3443</v>
      </c>
      <c r="D3274" s="14">
        <v>44320</v>
      </c>
      <c r="E3274" s="14">
        <v>44320</v>
      </c>
      <c r="F3274" s="14">
        <v>44339</v>
      </c>
      <c r="G3274" s="13" t="s">
        <v>48</v>
      </c>
      <c r="H3274" s="13" t="s">
        <v>4</v>
      </c>
      <c r="I3274" s="15">
        <v>-10.31</v>
      </c>
      <c r="J3274" s="13" t="s">
        <v>3409</v>
      </c>
      <c r="K3274" s="13" t="s">
        <v>6</v>
      </c>
      <c r="L3274" s="15">
        <v>-865.52</v>
      </c>
      <c r="M3274" s="15">
        <v>-10.31</v>
      </c>
      <c r="N3274" s="16" t="str">
        <f>IF(M3274="","",IF(M3274&lt;0,-M3274&amp;"_"&amp;COUNTIF(M$2:M3274,M3274),M3274&amp;"_"&amp;COUNTIF(M$2:M3274,M3274)))</f>
        <v>10.31_9</v>
      </c>
      <c r="O3274" s="17" t="str">
        <f t="shared" si="51"/>
        <v/>
      </c>
      <c r="P3274" s="13" t="s">
        <v>3444</v>
      </c>
      <c r="Q3274" s="13" t="s">
        <v>3444</v>
      </c>
      <c r="R3274" s="13" t="s">
        <v>1656</v>
      </c>
      <c r="S3274" s="13" t="s">
        <v>0</v>
      </c>
      <c r="T3274" s="13" t="s">
        <v>9</v>
      </c>
      <c r="U3274" s="13" t="s">
        <v>1656</v>
      </c>
      <c r="V3274" s="13" t="s">
        <v>0</v>
      </c>
      <c r="W3274" s="13" t="s">
        <v>0</v>
      </c>
      <c r="X3274" s="13" t="s">
        <v>0</v>
      </c>
      <c r="Y3274" s="13" t="s">
        <v>10</v>
      </c>
      <c r="Z3274" s="13" t="s">
        <v>0</v>
      </c>
      <c r="AA3274" s="14"/>
      <c r="AB3274" s="13" t="s">
        <v>0</v>
      </c>
      <c r="AC3274" s="13" t="s">
        <v>0</v>
      </c>
      <c r="AD3274" s="13" t="s">
        <v>0</v>
      </c>
      <c r="AE3274" s="15">
        <v>0</v>
      </c>
    </row>
    <row r="3275" spans="1:31" ht="14.15" customHeight="1" x14ac:dyDescent="0.25">
      <c r="A3275" s="12" t="s">
        <v>0</v>
      </c>
      <c r="B3275" s="13" t="s">
        <v>1</v>
      </c>
      <c r="C3275" s="13" t="s">
        <v>3717</v>
      </c>
      <c r="D3275" s="14">
        <v>44337</v>
      </c>
      <c r="E3275" s="14">
        <v>44337</v>
      </c>
      <c r="F3275" s="14">
        <v>44346</v>
      </c>
      <c r="G3275" s="13" t="s">
        <v>48</v>
      </c>
      <c r="H3275" s="13" t="s">
        <v>4</v>
      </c>
      <c r="I3275" s="15">
        <v>-9.9600000000000009</v>
      </c>
      <c r="J3275" s="13" t="s">
        <v>3437</v>
      </c>
      <c r="K3275" s="13" t="s">
        <v>6</v>
      </c>
      <c r="L3275" s="15">
        <v>-836.14</v>
      </c>
      <c r="M3275" s="15">
        <v>-9.9600000000000009</v>
      </c>
      <c r="N3275" s="16" t="str">
        <f>IF(M3275="","",IF(M3275&lt;0,-M3275&amp;"_"&amp;COUNTIF(M$2:M3275,M3275),M3275&amp;"_"&amp;COUNTIF(M$2:M3275,M3275)))</f>
        <v>9.96_1</v>
      </c>
      <c r="O3275" s="17" t="str">
        <f t="shared" si="51"/>
        <v/>
      </c>
      <c r="P3275" s="13" t="s">
        <v>3718</v>
      </c>
      <c r="Q3275" s="13" t="s">
        <v>3718</v>
      </c>
      <c r="R3275" s="13" t="s">
        <v>1656</v>
      </c>
      <c r="S3275" s="13" t="s">
        <v>0</v>
      </c>
      <c r="T3275" s="13" t="s">
        <v>9</v>
      </c>
      <c r="U3275" s="13" t="s">
        <v>1656</v>
      </c>
      <c r="V3275" s="13" t="s">
        <v>0</v>
      </c>
      <c r="W3275" s="13" t="s">
        <v>0</v>
      </c>
      <c r="X3275" s="13" t="s">
        <v>0</v>
      </c>
      <c r="Y3275" s="13" t="s">
        <v>10</v>
      </c>
      <c r="Z3275" s="13" t="s">
        <v>0</v>
      </c>
      <c r="AA3275" s="14"/>
      <c r="AB3275" s="13" t="s">
        <v>0</v>
      </c>
      <c r="AC3275" s="13" t="s">
        <v>0</v>
      </c>
      <c r="AD3275" s="13" t="s">
        <v>0</v>
      </c>
      <c r="AE3275" s="15">
        <v>0</v>
      </c>
    </row>
    <row r="3276" spans="1:31" ht="14.15" customHeight="1" x14ac:dyDescent="0.25">
      <c r="A3276" s="12" t="s">
        <v>0</v>
      </c>
      <c r="B3276" s="13" t="s">
        <v>1</v>
      </c>
      <c r="C3276" s="13" t="s">
        <v>3721</v>
      </c>
      <c r="D3276" s="14">
        <v>44337</v>
      </c>
      <c r="E3276" s="14">
        <v>44337</v>
      </c>
      <c r="F3276" s="14">
        <v>44346</v>
      </c>
      <c r="G3276" s="13" t="s">
        <v>48</v>
      </c>
      <c r="H3276" s="13" t="s">
        <v>4</v>
      </c>
      <c r="I3276" s="15">
        <v>-9.9600000000000009</v>
      </c>
      <c r="J3276" s="13" t="s">
        <v>3437</v>
      </c>
      <c r="K3276" s="13" t="s">
        <v>6</v>
      </c>
      <c r="L3276" s="15">
        <v>-836.14</v>
      </c>
      <c r="M3276" s="15">
        <v>-9.9600000000000009</v>
      </c>
      <c r="N3276" s="16" t="str">
        <f>IF(M3276="","",IF(M3276&lt;0,-M3276&amp;"_"&amp;COUNTIF(M$2:M3276,M3276),M3276&amp;"_"&amp;COUNTIF(M$2:M3276,M3276)))</f>
        <v>9.96_2</v>
      </c>
      <c r="O3276" s="17" t="str">
        <f t="shared" si="51"/>
        <v/>
      </c>
      <c r="P3276" s="13" t="s">
        <v>3722</v>
      </c>
      <c r="Q3276" s="13" t="s">
        <v>3722</v>
      </c>
      <c r="R3276" s="13" t="s">
        <v>1656</v>
      </c>
      <c r="S3276" s="13" t="s">
        <v>0</v>
      </c>
      <c r="T3276" s="13" t="s">
        <v>9</v>
      </c>
      <c r="U3276" s="13" t="s">
        <v>1656</v>
      </c>
      <c r="V3276" s="13" t="s">
        <v>0</v>
      </c>
      <c r="W3276" s="13" t="s">
        <v>0</v>
      </c>
      <c r="X3276" s="13" t="s">
        <v>0</v>
      </c>
      <c r="Y3276" s="13" t="s">
        <v>10</v>
      </c>
      <c r="Z3276" s="13" t="s">
        <v>0</v>
      </c>
      <c r="AA3276" s="14"/>
      <c r="AB3276" s="13" t="s">
        <v>0</v>
      </c>
      <c r="AC3276" s="13" t="s">
        <v>0</v>
      </c>
      <c r="AD3276" s="13" t="s">
        <v>0</v>
      </c>
      <c r="AE3276" s="15">
        <v>0</v>
      </c>
    </row>
    <row r="3277" spans="1:31" ht="14.15" customHeight="1" x14ac:dyDescent="0.25">
      <c r="A3277" s="12" t="s">
        <v>0</v>
      </c>
      <c r="B3277" s="13" t="s">
        <v>1</v>
      </c>
      <c r="C3277" s="13" t="s">
        <v>4286</v>
      </c>
      <c r="D3277" s="14">
        <v>44371</v>
      </c>
      <c r="E3277" s="14">
        <v>44371</v>
      </c>
      <c r="F3277" s="14">
        <v>44374</v>
      </c>
      <c r="G3277" s="13" t="s">
        <v>48</v>
      </c>
      <c r="H3277" s="13" t="s">
        <v>4</v>
      </c>
      <c r="I3277" s="15">
        <v>-9.9600000000000009</v>
      </c>
      <c r="J3277" s="13" t="s">
        <v>3437</v>
      </c>
      <c r="K3277" s="13" t="s">
        <v>6</v>
      </c>
      <c r="L3277" s="15">
        <v>-836.14</v>
      </c>
      <c r="M3277" s="15">
        <v>-9.9600000000000009</v>
      </c>
      <c r="N3277" s="16" t="str">
        <f>IF(M3277="","",IF(M3277&lt;0,-M3277&amp;"_"&amp;COUNTIF(M$2:M3277,M3277),M3277&amp;"_"&amp;COUNTIF(M$2:M3277,M3277)))</f>
        <v>9.96_3</v>
      </c>
      <c r="O3277" s="17" t="str">
        <f t="shared" si="51"/>
        <v/>
      </c>
      <c r="P3277" s="13" t="s">
        <v>4283</v>
      </c>
      <c r="Q3277" s="13" t="s">
        <v>4283</v>
      </c>
      <c r="R3277" s="13" t="s">
        <v>1656</v>
      </c>
      <c r="S3277" s="13" t="s">
        <v>0</v>
      </c>
      <c r="T3277" s="13" t="s">
        <v>9</v>
      </c>
      <c r="U3277" s="13" t="s">
        <v>1656</v>
      </c>
      <c r="V3277" s="13" t="s">
        <v>0</v>
      </c>
      <c r="W3277" s="13" t="s">
        <v>0</v>
      </c>
      <c r="X3277" s="13" t="s">
        <v>0</v>
      </c>
      <c r="Y3277" s="13" t="s">
        <v>10</v>
      </c>
      <c r="Z3277" s="13" t="s">
        <v>0</v>
      </c>
      <c r="AA3277" s="14"/>
      <c r="AB3277" s="13" t="s">
        <v>0</v>
      </c>
      <c r="AC3277" s="13" t="s">
        <v>0</v>
      </c>
      <c r="AD3277" s="13" t="s">
        <v>0</v>
      </c>
      <c r="AE3277" s="15">
        <v>0</v>
      </c>
    </row>
    <row r="3278" spans="1:31" ht="14.15" customHeight="1" x14ac:dyDescent="0.25">
      <c r="A3278" s="12" t="s">
        <v>0</v>
      </c>
      <c r="B3278" s="13" t="s">
        <v>1</v>
      </c>
      <c r="C3278" s="13" t="s">
        <v>4287</v>
      </c>
      <c r="D3278" s="14">
        <v>44371</v>
      </c>
      <c r="E3278" s="14">
        <v>44371</v>
      </c>
      <c r="F3278" s="14">
        <v>44374</v>
      </c>
      <c r="G3278" s="13" t="s">
        <v>48</v>
      </c>
      <c r="H3278" s="13" t="s">
        <v>4</v>
      </c>
      <c r="I3278" s="15">
        <v>-9.9600000000000009</v>
      </c>
      <c r="J3278" s="13" t="s">
        <v>3437</v>
      </c>
      <c r="K3278" s="13" t="s">
        <v>6</v>
      </c>
      <c r="L3278" s="15">
        <v>-836.14</v>
      </c>
      <c r="M3278" s="15">
        <v>-9.9600000000000009</v>
      </c>
      <c r="N3278" s="16" t="str">
        <f>IF(M3278="","",IF(M3278&lt;0,-M3278&amp;"_"&amp;COUNTIF(M$2:M3278,M3278),M3278&amp;"_"&amp;COUNTIF(M$2:M3278,M3278)))</f>
        <v>9.96_4</v>
      </c>
      <c r="O3278" s="17" t="str">
        <f t="shared" si="51"/>
        <v/>
      </c>
      <c r="P3278" s="13" t="s">
        <v>4288</v>
      </c>
      <c r="Q3278" s="13" t="s">
        <v>4288</v>
      </c>
      <c r="R3278" s="13" t="s">
        <v>1656</v>
      </c>
      <c r="S3278" s="13" t="s">
        <v>0</v>
      </c>
      <c r="T3278" s="13" t="s">
        <v>9</v>
      </c>
      <c r="U3278" s="13" t="s">
        <v>1656</v>
      </c>
      <c r="V3278" s="13" t="s">
        <v>0</v>
      </c>
      <c r="W3278" s="13" t="s">
        <v>0</v>
      </c>
      <c r="X3278" s="13" t="s">
        <v>0</v>
      </c>
      <c r="Y3278" s="13" t="s">
        <v>10</v>
      </c>
      <c r="Z3278" s="13" t="s">
        <v>0</v>
      </c>
      <c r="AA3278" s="14"/>
      <c r="AB3278" s="13" t="s">
        <v>0</v>
      </c>
      <c r="AC3278" s="13" t="s">
        <v>0</v>
      </c>
      <c r="AD3278" s="13" t="s">
        <v>0</v>
      </c>
      <c r="AE3278" s="15">
        <v>0</v>
      </c>
    </row>
    <row r="3279" spans="1:31" ht="14.15" customHeight="1" x14ac:dyDescent="0.25">
      <c r="A3279" s="12" t="s">
        <v>0</v>
      </c>
      <c r="B3279" s="13" t="s">
        <v>1</v>
      </c>
      <c r="C3279" s="13" t="s">
        <v>4289</v>
      </c>
      <c r="D3279" s="14">
        <v>44371</v>
      </c>
      <c r="E3279" s="14">
        <v>44371</v>
      </c>
      <c r="F3279" s="14">
        <v>44374</v>
      </c>
      <c r="G3279" s="13" t="s">
        <v>48</v>
      </c>
      <c r="H3279" s="13" t="s">
        <v>4</v>
      </c>
      <c r="I3279" s="15">
        <v>-9.9600000000000009</v>
      </c>
      <c r="J3279" s="13" t="s">
        <v>3437</v>
      </c>
      <c r="K3279" s="13" t="s">
        <v>6</v>
      </c>
      <c r="L3279" s="15">
        <v>-836.14</v>
      </c>
      <c r="M3279" s="15">
        <v>-9.9600000000000009</v>
      </c>
      <c r="N3279" s="16" t="str">
        <f>IF(M3279="","",IF(M3279&lt;0,-M3279&amp;"_"&amp;COUNTIF(M$2:M3279,M3279),M3279&amp;"_"&amp;COUNTIF(M$2:M3279,M3279)))</f>
        <v>9.96_5</v>
      </c>
      <c r="O3279" s="17" t="str">
        <f t="shared" si="51"/>
        <v/>
      </c>
      <c r="P3279" s="13" t="s">
        <v>4290</v>
      </c>
      <c r="Q3279" s="13" t="s">
        <v>4290</v>
      </c>
      <c r="R3279" s="13" t="s">
        <v>1656</v>
      </c>
      <c r="S3279" s="13" t="s">
        <v>0</v>
      </c>
      <c r="T3279" s="13" t="s">
        <v>9</v>
      </c>
      <c r="U3279" s="13" t="s">
        <v>1656</v>
      </c>
      <c r="V3279" s="13" t="s">
        <v>0</v>
      </c>
      <c r="W3279" s="13" t="s">
        <v>0</v>
      </c>
      <c r="X3279" s="13" t="s">
        <v>0</v>
      </c>
      <c r="Y3279" s="13" t="s">
        <v>10</v>
      </c>
      <c r="Z3279" s="13" t="s">
        <v>0</v>
      </c>
      <c r="AA3279" s="14"/>
      <c r="AB3279" s="13" t="s">
        <v>0</v>
      </c>
      <c r="AC3279" s="13" t="s">
        <v>0</v>
      </c>
      <c r="AD3279" s="13" t="s">
        <v>0</v>
      </c>
      <c r="AE3279" s="15">
        <v>0</v>
      </c>
    </row>
    <row r="3280" spans="1:31" ht="14.15" customHeight="1" x14ac:dyDescent="0.25">
      <c r="A3280" s="12" t="s">
        <v>0</v>
      </c>
      <c r="B3280" s="13" t="s">
        <v>1</v>
      </c>
      <c r="C3280" s="13" t="s">
        <v>4291</v>
      </c>
      <c r="D3280" s="14">
        <v>44371</v>
      </c>
      <c r="E3280" s="14">
        <v>44371</v>
      </c>
      <c r="F3280" s="14">
        <v>44374</v>
      </c>
      <c r="G3280" s="13" t="s">
        <v>48</v>
      </c>
      <c r="H3280" s="13" t="s">
        <v>4</v>
      </c>
      <c r="I3280" s="15">
        <v>-9.9600000000000009</v>
      </c>
      <c r="J3280" s="13" t="s">
        <v>3437</v>
      </c>
      <c r="K3280" s="13" t="s">
        <v>6</v>
      </c>
      <c r="L3280" s="15">
        <v>-836.14</v>
      </c>
      <c r="M3280" s="15">
        <v>-9.9600000000000009</v>
      </c>
      <c r="N3280" s="16" t="str">
        <f>IF(M3280="","",IF(M3280&lt;0,-M3280&amp;"_"&amp;COUNTIF(M$2:M3280,M3280),M3280&amp;"_"&amp;COUNTIF(M$2:M3280,M3280)))</f>
        <v>9.96_6</v>
      </c>
      <c r="O3280" s="17" t="str">
        <f t="shared" si="51"/>
        <v/>
      </c>
      <c r="P3280" s="13" t="s">
        <v>4292</v>
      </c>
      <c r="Q3280" s="13" t="s">
        <v>4292</v>
      </c>
      <c r="R3280" s="13" t="s">
        <v>1656</v>
      </c>
      <c r="S3280" s="13" t="s">
        <v>0</v>
      </c>
      <c r="T3280" s="13" t="s">
        <v>9</v>
      </c>
      <c r="U3280" s="13" t="s">
        <v>1656</v>
      </c>
      <c r="V3280" s="13" t="s">
        <v>0</v>
      </c>
      <c r="W3280" s="13" t="s">
        <v>0</v>
      </c>
      <c r="X3280" s="13" t="s">
        <v>0</v>
      </c>
      <c r="Y3280" s="13" t="s">
        <v>10</v>
      </c>
      <c r="Z3280" s="13" t="s">
        <v>0</v>
      </c>
      <c r="AA3280" s="14"/>
      <c r="AB3280" s="13" t="s">
        <v>0</v>
      </c>
      <c r="AC3280" s="13" t="s">
        <v>0</v>
      </c>
      <c r="AD3280" s="13" t="s">
        <v>0</v>
      </c>
      <c r="AE3280" s="15">
        <v>0</v>
      </c>
    </row>
    <row r="3281" spans="1:31" ht="14.15" customHeight="1" x14ac:dyDescent="0.25">
      <c r="A3281" s="12" t="s">
        <v>0</v>
      </c>
      <c r="B3281" s="13" t="s">
        <v>1</v>
      </c>
      <c r="C3281" s="13" t="s">
        <v>4293</v>
      </c>
      <c r="D3281" s="14">
        <v>44371</v>
      </c>
      <c r="E3281" s="14">
        <v>44371</v>
      </c>
      <c r="F3281" s="14">
        <v>44374</v>
      </c>
      <c r="G3281" s="13" t="s">
        <v>48</v>
      </c>
      <c r="H3281" s="13" t="s">
        <v>4</v>
      </c>
      <c r="I3281" s="15">
        <v>-9.9600000000000009</v>
      </c>
      <c r="J3281" s="13" t="s">
        <v>3437</v>
      </c>
      <c r="K3281" s="13" t="s">
        <v>6</v>
      </c>
      <c r="L3281" s="15">
        <v>-836.14</v>
      </c>
      <c r="M3281" s="15">
        <v>-9.9600000000000009</v>
      </c>
      <c r="N3281" s="16" t="str">
        <f>IF(M3281="","",IF(M3281&lt;0,-M3281&amp;"_"&amp;COUNTIF(M$2:M3281,M3281),M3281&amp;"_"&amp;COUNTIF(M$2:M3281,M3281)))</f>
        <v>9.96_7</v>
      </c>
      <c r="O3281" s="17" t="str">
        <f t="shared" si="51"/>
        <v/>
      </c>
      <c r="P3281" s="13" t="s">
        <v>4294</v>
      </c>
      <c r="Q3281" s="13" t="s">
        <v>4294</v>
      </c>
      <c r="R3281" s="13" t="s">
        <v>1656</v>
      </c>
      <c r="S3281" s="13" t="s">
        <v>0</v>
      </c>
      <c r="T3281" s="13" t="s">
        <v>9</v>
      </c>
      <c r="U3281" s="13" t="s">
        <v>1656</v>
      </c>
      <c r="V3281" s="13" t="s">
        <v>0</v>
      </c>
      <c r="W3281" s="13" t="s">
        <v>0</v>
      </c>
      <c r="X3281" s="13" t="s">
        <v>0</v>
      </c>
      <c r="Y3281" s="13" t="s">
        <v>10</v>
      </c>
      <c r="Z3281" s="13" t="s">
        <v>0</v>
      </c>
      <c r="AA3281" s="14"/>
      <c r="AB3281" s="13" t="s">
        <v>0</v>
      </c>
      <c r="AC3281" s="13" t="s">
        <v>0</v>
      </c>
      <c r="AD3281" s="13" t="s">
        <v>0</v>
      </c>
      <c r="AE3281" s="15">
        <v>0</v>
      </c>
    </row>
    <row r="3282" spans="1:31" ht="14.15" customHeight="1" x14ac:dyDescent="0.25">
      <c r="A3282" s="12" t="s">
        <v>0</v>
      </c>
      <c r="B3282" s="13" t="s">
        <v>1</v>
      </c>
      <c r="C3282" s="13" t="s">
        <v>4295</v>
      </c>
      <c r="D3282" s="14">
        <v>44371</v>
      </c>
      <c r="E3282" s="14">
        <v>44371</v>
      </c>
      <c r="F3282" s="14">
        <v>44374</v>
      </c>
      <c r="G3282" s="13" t="s">
        <v>48</v>
      </c>
      <c r="H3282" s="13" t="s">
        <v>4</v>
      </c>
      <c r="I3282" s="15">
        <v>-9.9600000000000009</v>
      </c>
      <c r="J3282" s="13" t="s">
        <v>3437</v>
      </c>
      <c r="K3282" s="13" t="s">
        <v>6</v>
      </c>
      <c r="L3282" s="15">
        <v>-836.14</v>
      </c>
      <c r="M3282" s="15">
        <v>-9.9600000000000009</v>
      </c>
      <c r="N3282" s="16" t="str">
        <f>IF(M3282="","",IF(M3282&lt;0,-M3282&amp;"_"&amp;COUNTIF(M$2:M3282,M3282),M3282&amp;"_"&amp;COUNTIF(M$2:M3282,M3282)))</f>
        <v>9.96_8</v>
      </c>
      <c r="O3282" s="17" t="str">
        <f t="shared" si="51"/>
        <v/>
      </c>
      <c r="P3282" s="13" t="s">
        <v>4296</v>
      </c>
      <c r="Q3282" s="13" t="s">
        <v>4296</v>
      </c>
      <c r="R3282" s="13" t="s">
        <v>1656</v>
      </c>
      <c r="S3282" s="13" t="s">
        <v>0</v>
      </c>
      <c r="T3282" s="13" t="s">
        <v>9</v>
      </c>
      <c r="U3282" s="13" t="s">
        <v>1656</v>
      </c>
      <c r="V3282" s="13" t="s">
        <v>0</v>
      </c>
      <c r="W3282" s="13" t="s">
        <v>0</v>
      </c>
      <c r="X3282" s="13" t="s">
        <v>0</v>
      </c>
      <c r="Y3282" s="13" t="s">
        <v>10</v>
      </c>
      <c r="Z3282" s="13" t="s">
        <v>0</v>
      </c>
      <c r="AA3282" s="14"/>
      <c r="AB3282" s="13" t="s">
        <v>0</v>
      </c>
      <c r="AC3282" s="13" t="s">
        <v>0</v>
      </c>
      <c r="AD3282" s="13" t="s">
        <v>0</v>
      </c>
      <c r="AE3282" s="15">
        <v>0</v>
      </c>
    </row>
    <row r="3283" spans="1:31" ht="14.15" customHeight="1" x14ac:dyDescent="0.25">
      <c r="A3283" s="12" t="s">
        <v>0</v>
      </c>
      <c r="B3283" s="13" t="s">
        <v>1</v>
      </c>
      <c r="C3283" s="13" t="s">
        <v>4297</v>
      </c>
      <c r="D3283" s="14">
        <v>44371</v>
      </c>
      <c r="E3283" s="14">
        <v>44371</v>
      </c>
      <c r="F3283" s="14">
        <v>44374</v>
      </c>
      <c r="G3283" s="13" t="s">
        <v>48</v>
      </c>
      <c r="H3283" s="13" t="s">
        <v>4</v>
      </c>
      <c r="I3283" s="15">
        <v>-9.9600000000000009</v>
      </c>
      <c r="J3283" s="13" t="s">
        <v>3437</v>
      </c>
      <c r="K3283" s="13" t="s">
        <v>6</v>
      </c>
      <c r="L3283" s="15">
        <v>-836.14</v>
      </c>
      <c r="M3283" s="15">
        <v>-9.9600000000000009</v>
      </c>
      <c r="N3283" s="16" t="str">
        <f>IF(M3283="","",IF(M3283&lt;0,-M3283&amp;"_"&amp;COUNTIF(M$2:M3283,M3283),M3283&amp;"_"&amp;COUNTIF(M$2:M3283,M3283)))</f>
        <v>9.96_9</v>
      </c>
      <c r="O3283" s="17" t="str">
        <f t="shared" si="51"/>
        <v/>
      </c>
      <c r="P3283" s="13" t="s">
        <v>4298</v>
      </c>
      <c r="Q3283" s="13" t="s">
        <v>4298</v>
      </c>
      <c r="R3283" s="13" t="s">
        <v>1656</v>
      </c>
      <c r="S3283" s="13" t="s">
        <v>0</v>
      </c>
      <c r="T3283" s="13" t="s">
        <v>9</v>
      </c>
      <c r="U3283" s="13" t="s">
        <v>1656</v>
      </c>
      <c r="V3283" s="13" t="s">
        <v>0</v>
      </c>
      <c r="W3283" s="13" t="s">
        <v>0</v>
      </c>
      <c r="X3283" s="13" t="s">
        <v>0</v>
      </c>
      <c r="Y3283" s="13" t="s">
        <v>10</v>
      </c>
      <c r="Z3283" s="13" t="s">
        <v>0</v>
      </c>
      <c r="AA3283" s="14"/>
      <c r="AB3283" s="13" t="s">
        <v>0</v>
      </c>
      <c r="AC3283" s="13" t="s">
        <v>0</v>
      </c>
      <c r="AD3283" s="13" t="s">
        <v>0</v>
      </c>
      <c r="AE3283" s="15">
        <v>0</v>
      </c>
    </row>
    <row r="3284" spans="1:31" ht="14.15" customHeight="1" x14ac:dyDescent="0.25">
      <c r="A3284" s="12" t="s">
        <v>0</v>
      </c>
      <c r="B3284" s="13" t="s">
        <v>1</v>
      </c>
      <c r="C3284" s="13" t="s">
        <v>4299</v>
      </c>
      <c r="D3284" s="14">
        <v>44371</v>
      </c>
      <c r="E3284" s="14">
        <v>44371</v>
      </c>
      <c r="F3284" s="14">
        <v>44374</v>
      </c>
      <c r="G3284" s="13" t="s">
        <v>48</v>
      </c>
      <c r="H3284" s="13" t="s">
        <v>4</v>
      </c>
      <c r="I3284" s="15">
        <v>-9.9600000000000009</v>
      </c>
      <c r="J3284" s="13" t="s">
        <v>3437</v>
      </c>
      <c r="K3284" s="13" t="s">
        <v>6</v>
      </c>
      <c r="L3284" s="15">
        <v>-836.14</v>
      </c>
      <c r="M3284" s="15">
        <v>-9.9600000000000009</v>
      </c>
      <c r="N3284" s="16" t="str">
        <f>IF(M3284="","",IF(M3284&lt;0,-M3284&amp;"_"&amp;COUNTIF(M$2:M3284,M3284),M3284&amp;"_"&amp;COUNTIF(M$2:M3284,M3284)))</f>
        <v>9.96_10</v>
      </c>
      <c r="O3284" s="17" t="str">
        <f t="shared" si="51"/>
        <v/>
      </c>
      <c r="P3284" s="13" t="s">
        <v>4300</v>
      </c>
      <c r="Q3284" s="13" t="s">
        <v>4300</v>
      </c>
      <c r="R3284" s="13" t="s">
        <v>1656</v>
      </c>
      <c r="S3284" s="13" t="s">
        <v>0</v>
      </c>
      <c r="T3284" s="13" t="s">
        <v>9</v>
      </c>
      <c r="U3284" s="13" t="s">
        <v>1656</v>
      </c>
      <c r="V3284" s="13" t="s">
        <v>0</v>
      </c>
      <c r="W3284" s="13" t="s">
        <v>0</v>
      </c>
      <c r="X3284" s="13" t="s">
        <v>0</v>
      </c>
      <c r="Y3284" s="13" t="s">
        <v>10</v>
      </c>
      <c r="Z3284" s="13" t="s">
        <v>0</v>
      </c>
      <c r="AA3284" s="14"/>
      <c r="AB3284" s="13" t="s">
        <v>0</v>
      </c>
      <c r="AC3284" s="13" t="s">
        <v>0</v>
      </c>
      <c r="AD3284" s="13" t="s">
        <v>0</v>
      </c>
      <c r="AE3284" s="15">
        <v>0</v>
      </c>
    </row>
    <row r="3285" spans="1:31" ht="14.15" customHeight="1" x14ac:dyDescent="0.25">
      <c r="A3285" s="12" t="s">
        <v>0</v>
      </c>
      <c r="B3285" s="13" t="s">
        <v>1</v>
      </c>
      <c r="C3285" s="13" t="s">
        <v>4301</v>
      </c>
      <c r="D3285" s="14">
        <v>44371</v>
      </c>
      <c r="E3285" s="14">
        <v>44371</v>
      </c>
      <c r="F3285" s="14">
        <v>44374</v>
      </c>
      <c r="G3285" s="13" t="s">
        <v>48</v>
      </c>
      <c r="H3285" s="13" t="s">
        <v>4</v>
      </c>
      <c r="I3285" s="15">
        <v>-9.9600000000000009</v>
      </c>
      <c r="J3285" s="13" t="s">
        <v>3437</v>
      </c>
      <c r="K3285" s="13" t="s">
        <v>6</v>
      </c>
      <c r="L3285" s="15">
        <v>-836.14</v>
      </c>
      <c r="M3285" s="15">
        <v>-9.9600000000000009</v>
      </c>
      <c r="N3285" s="16" t="str">
        <f>IF(M3285="","",IF(M3285&lt;0,-M3285&amp;"_"&amp;COUNTIF(M$2:M3285,M3285),M3285&amp;"_"&amp;COUNTIF(M$2:M3285,M3285)))</f>
        <v>9.96_11</v>
      </c>
      <c r="O3285" s="17" t="str">
        <f t="shared" si="51"/>
        <v/>
      </c>
      <c r="P3285" s="13" t="s">
        <v>4302</v>
      </c>
      <c r="Q3285" s="13" t="s">
        <v>4302</v>
      </c>
      <c r="R3285" s="13" t="s">
        <v>1656</v>
      </c>
      <c r="S3285" s="13" t="s">
        <v>0</v>
      </c>
      <c r="T3285" s="13" t="s">
        <v>9</v>
      </c>
      <c r="U3285" s="13" t="s">
        <v>1656</v>
      </c>
      <c r="V3285" s="13" t="s">
        <v>0</v>
      </c>
      <c r="W3285" s="13" t="s">
        <v>0</v>
      </c>
      <c r="X3285" s="13" t="s">
        <v>0</v>
      </c>
      <c r="Y3285" s="13" t="s">
        <v>10</v>
      </c>
      <c r="Z3285" s="13" t="s">
        <v>0</v>
      </c>
      <c r="AA3285" s="14"/>
      <c r="AB3285" s="13" t="s">
        <v>0</v>
      </c>
      <c r="AC3285" s="13" t="s">
        <v>0</v>
      </c>
      <c r="AD3285" s="13" t="s">
        <v>0</v>
      </c>
      <c r="AE3285" s="15">
        <v>0</v>
      </c>
    </row>
    <row r="3286" spans="1:31" ht="14.15" customHeight="1" x14ac:dyDescent="0.25">
      <c r="A3286" s="12" t="s">
        <v>0</v>
      </c>
      <c r="B3286" s="13" t="s">
        <v>1</v>
      </c>
      <c r="C3286" s="13" t="s">
        <v>1153</v>
      </c>
      <c r="D3286" s="14">
        <v>44140</v>
      </c>
      <c r="E3286" s="14">
        <v>44140</v>
      </c>
      <c r="F3286" s="14">
        <v>44163</v>
      </c>
      <c r="G3286" s="13" t="s">
        <v>48</v>
      </c>
      <c r="H3286" s="13" t="s">
        <v>4</v>
      </c>
      <c r="I3286" s="15">
        <v>-3</v>
      </c>
      <c r="J3286" s="13" t="s">
        <v>5</v>
      </c>
      <c r="K3286" s="13" t="s">
        <v>6</v>
      </c>
      <c r="L3286" s="15">
        <v>-251.85</v>
      </c>
      <c r="M3286" s="15">
        <v>-3</v>
      </c>
      <c r="N3286" s="16" t="str">
        <f>IF(M3286="","",IF(M3286&lt;0,-M3286&amp;"_"&amp;COUNTIF(M$2:M3286,M3286),M3286&amp;"_"&amp;COUNTIF(M$2:M3286,M3286)))</f>
        <v>3_1</v>
      </c>
      <c r="O3286" s="17" t="str">
        <f t="shared" si="51"/>
        <v/>
      </c>
      <c r="P3286" s="13" t="s">
        <v>1154</v>
      </c>
      <c r="Q3286" s="13" t="s">
        <v>1154</v>
      </c>
      <c r="R3286" s="13" t="s">
        <v>50</v>
      </c>
      <c r="S3286" s="13" t="s">
        <v>0</v>
      </c>
      <c r="T3286" s="13" t="s">
        <v>9</v>
      </c>
      <c r="U3286" s="13" t="s">
        <v>50</v>
      </c>
      <c r="V3286" s="13" t="s">
        <v>0</v>
      </c>
      <c r="W3286" s="13" t="s">
        <v>0</v>
      </c>
      <c r="X3286" s="13" t="s">
        <v>0</v>
      </c>
      <c r="Y3286" s="13" t="s">
        <v>10</v>
      </c>
      <c r="Z3286" s="13" t="s">
        <v>0</v>
      </c>
      <c r="AA3286" s="14"/>
      <c r="AB3286" s="13" t="s">
        <v>0</v>
      </c>
      <c r="AC3286" s="13" t="s">
        <v>0</v>
      </c>
      <c r="AD3286" s="13" t="s">
        <v>0</v>
      </c>
      <c r="AE3286" s="15">
        <v>0</v>
      </c>
    </row>
    <row r="3287" spans="1:31" ht="14.15" customHeight="1" x14ac:dyDescent="0.25">
      <c r="A3287" s="12" t="s">
        <v>0</v>
      </c>
      <c r="B3287" s="13" t="s">
        <v>1</v>
      </c>
      <c r="C3287" s="13" t="s">
        <v>1646</v>
      </c>
      <c r="D3287" s="14">
        <v>44171</v>
      </c>
      <c r="E3287" s="14">
        <v>44171</v>
      </c>
      <c r="F3287" s="14">
        <v>44189</v>
      </c>
      <c r="G3287" s="13" t="s">
        <v>48</v>
      </c>
      <c r="H3287" s="13" t="s">
        <v>4</v>
      </c>
      <c r="I3287" s="15">
        <v>-3</v>
      </c>
      <c r="J3287" s="13" t="s">
        <v>5</v>
      </c>
      <c r="K3287" s="13" t="s">
        <v>6</v>
      </c>
      <c r="L3287" s="15">
        <v>-251.85</v>
      </c>
      <c r="M3287" s="15">
        <v>-3</v>
      </c>
      <c r="N3287" s="16" t="str">
        <f>IF(M3287="","",IF(M3287&lt;0,-M3287&amp;"_"&amp;COUNTIF(M$2:M3287,M3287),M3287&amp;"_"&amp;COUNTIF(M$2:M3287,M3287)))</f>
        <v>3_2</v>
      </c>
      <c r="O3287" s="17" t="str">
        <f t="shared" si="51"/>
        <v/>
      </c>
      <c r="P3287" s="13" t="s">
        <v>1647</v>
      </c>
      <c r="Q3287" s="13" t="s">
        <v>1647</v>
      </c>
      <c r="R3287" s="13" t="s">
        <v>50</v>
      </c>
      <c r="S3287" s="13" t="s">
        <v>0</v>
      </c>
      <c r="T3287" s="13" t="s">
        <v>9</v>
      </c>
      <c r="U3287" s="13" t="s">
        <v>50</v>
      </c>
      <c r="V3287" s="13" t="s">
        <v>0</v>
      </c>
      <c r="W3287" s="13" t="s">
        <v>0</v>
      </c>
      <c r="X3287" s="13" t="s">
        <v>0</v>
      </c>
      <c r="Y3287" s="13" t="s">
        <v>10</v>
      </c>
      <c r="Z3287" s="13" t="s">
        <v>0</v>
      </c>
      <c r="AA3287" s="14"/>
      <c r="AB3287" s="13" t="s">
        <v>0</v>
      </c>
      <c r="AC3287" s="13" t="s">
        <v>0</v>
      </c>
      <c r="AD3287" s="13" t="s">
        <v>0</v>
      </c>
      <c r="AE3287" s="15">
        <v>0</v>
      </c>
    </row>
    <row r="3288" spans="1:31" ht="14.15" customHeight="1" x14ac:dyDescent="0.25">
      <c r="A3288" s="12" t="s">
        <v>0</v>
      </c>
      <c r="B3288" s="13" t="s">
        <v>1</v>
      </c>
      <c r="C3288" s="13" t="s">
        <v>2012</v>
      </c>
      <c r="D3288" s="14">
        <v>44197</v>
      </c>
      <c r="E3288" s="14">
        <v>44197</v>
      </c>
      <c r="F3288" s="14">
        <v>44220</v>
      </c>
      <c r="G3288" s="13" t="s">
        <v>48</v>
      </c>
      <c r="H3288" s="13" t="s">
        <v>4</v>
      </c>
      <c r="I3288" s="15">
        <v>-3</v>
      </c>
      <c r="J3288" s="13" t="s">
        <v>5</v>
      </c>
      <c r="K3288" s="13" t="s">
        <v>6</v>
      </c>
      <c r="L3288" s="15">
        <v>-251.85</v>
      </c>
      <c r="M3288" s="15">
        <v>-3</v>
      </c>
      <c r="N3288" s="16" t="str">
        <f>IF(M3288="","",IF(M3288&lt;0,-M3288&amp;"_"&amp;COUNTIF(M$2:M3288,M3288),M3288&amp;"_"&amp;COUNTIF(M$2:M3288,M3288)))</f>
        <v>3_3</v>
      </c>
      <c r="O3288" s="17" t="str">
        <f t="shared" si="51"/>
        <v/>
      </c>
      <c r="P3288" s="13" t="s">
        <v>2013</v>
      </c>
      <c r="Q3288" s="13" t="s">
        <v>2013</v>
      </c>
      <c r="R3288" s="13" t="s">
        <v>1656</v>
      </c>
      <c r="S3288" s="13" t="s">
        <v>0</v>
      </c>
      <c r="T3288" s="13" t="s">
        <v>9</v>
      </c>
      <c r="U3288" s="13" t="s">
        <v>1656</v>
      </c>
      <c r="V3288" s="13" t="s">
        <v>0</v>
      </c>
      <c r="W3288" s="13" t="s">
        <v>0</v>
      </c>
      <c r="X3288" s="13" t="s">
        <v>0</v>
      </c>
      <c r="Y3288" s="13" t="s">
        <v>10</v>
      </c>
      <c r="Z3288" s="13" t="s">
        <v>0</v>
      </c>
      <c r="AA3288" s="14"/>
      <c r="AB3288" s="13" t="s">
        <v>0</v>
      </c>
      <c r="AC3288" s="13" t="s">
        <v>0</v>
      </c>
      <c r="AD3288" s="13" t="s">
        <v>0</v>
      </c>
      <c r="AE3288" s="15">
        <v>0</v>
      </c>
    </row>
    <row r="3289" spans="1:31" ht="14.15" customHeight="1" x14ac:dyDescent="0.25">
      <c r="A3289" s="12" t="s">
        <v>0</v>
      </c>
      <c r="B3289" s="13" t="s">
        <v>1</v>
      </c>
      <c r="C3289" s="13" t="s">
        <v>2014</v>
      </c>
      <c r="D3289" s="14">
        <v>44197</v>
      </c>
      <c r="E3289" s="14">
        <v>44197</v>
      </c>
      <c r="F3289" s="14">
        <v>44220</v>
      </c>
      <c r="G3289" s="13" t="s">
        <v>48</v>
      </c>
      <c r="H3289" s="13" t="s">
        <v>4</v>
      </c>
      <c r="I3289" s="15">
        <v>-3</v>
      </c>
      <c r="J3289" s="13" t="s">
        <v>5</v>
      </c>
      <c r="K3289" s="13" t="s">
        <v>6</v>
      </c>
      <c r="L3289" s="15">
        <v>-251.85</v>
      </c>
      <c r="M3289" s="15">
        <v>-3</v>
      </c>
      <c r="N3289" s="16" t="str">
        <f>IF(M3289="","",IF(M3289&lt;0,-M3289&amp;"_"&amp;COUNTIF(M$2:M3289,M3289),M3289&amp;"_"&amp;COUNTIF(M$2:M3289,M3289)))</f>
        <v>3_4</v>
      </c>
      <c r="O3289" s="17" t="str">
        <f t="shared" si="51"/>
        <v/>
      </c>
      <c r="P3289" s="13" t="s">
        <v>2015</v>
      </c>
      <c r="Q3289" s="13" t="s">
        <v>2015</v>
      </c>
      <c r="R3289" s="13" t="s">
        <v>1656</v>
      </c>
      <c r="S3289" s="13" t="s">
        <v>0</v>
      </c>
      <c r="T3289" s="13" t="s">
        <v>9</v>
      </c>
      <c r="U3289" s="13" t="s">
        <v>1656</v>
      </c>
      <c r="V3289" s="13" t="s">
        <v>0</v>
      </c>
      <c r="W3289" s="13" t="s">
        <v>0</v>
      </c>
      <c r="X3289" s="13" t="s">
        <v>0</v>
      </c>
      <c r="Y3289" s="13" t="s">
        <v>10</v>
      </c>
      <c r="Z3289" s="13" t="s">
        <v>0</v>
      </c>
      <c r="AA3289" s="14"/>
      <c r="AB3289" s="13" t="s">
        <v>0</v>
      </c>
      <c r="AC3289" s="13" t="s">
        <v>0</v>
      </c>
      <c r="AD3289" s="13" t="s">
        <v>0</v>
      </c>
      <c r="AE3289" s="15">
        <v>0</v>
      </c>
    </row>
    <row r="3290" spans="1:31" ht="14.15" customHeight="1" x14ac:dyDescent="0.25">
      <c r="A3290" s="12" t="s">
        <v>0</v>
      </c>
      <c r="B3290" s="13" t="s">
        <v>1</v>
      </c>
      <c r="C3290" s="13" t="s">
        <v>2018</v>
      </c>
      <c r="D3290" s="14">
        <v>44197</v>
      </c>
      <c r="E3290" s="14">
        <v>44197</v>
      </c>
      <c r="F3290" s="14">
        <v>44220</v>
      </c>
      <c r="G3290" s="13" t="s">
        <v>48</v>
      </c>
      <c r="H3290" s="13" t="s">
        <v>4</v>
      </c>
      <c r="I3290" s="15">
        <v>-3</v>
      </c>
      <c r="J3290" s="13" t="s">
        <v>5</v>
      </c>
      <c r="K3290" s="13" t="s">
        <v>6</v>
      </c>
      <c r="L3290" s="15">
        <v>-251.85</v>
      </c>
      <c r="M3290" s="15">
        <v>-3</v>
      </c>
      <c r="N3290" s="16" t="str">
        <f>IF(M3290="","",IF(M3290&lt;0,-M3290&amp;"_"&amp;COUNTIF(M$2:M3290,M3290),M3290&amp;"_"&amp;COUNTIF(M$2:M3290,M3290)))</f>
        <v>3_5</v>
      </c>
      <c r="O3290" s="17" t="str">
        <f t="shared" si="51"/>
        <v/>
      </c>
      <c r="P3290" s="13" t="s">
        <v>2019</v>
      </c>
      <c r="Q3290" s="13" t="s">
        <v>2019</v>
      </c>
      <c r="R3290" s="13" t="s">
        <v>1656</v>
      </c>
      <c r="S3290" s="13" t="s">
        <v>0</v>
      </c>
      <c r="T3290" s="13" t="s">
        <v>9</v>
      </c>
      <c r="U3290" s="13" t="s">
        <v>1656</v>
      </c>
      <c r="V3290" s="13" t="s">
        <v>0</v>
      </c>
      <c r="W3290" s="13" t="s">
        <v>0</v>
      </c>
      <c r="X3290" s="13" t="s">
        <v>0</v>
      </c>
      <c r="Y3290" s="13" t="s">
        <v>10</v>
      </c>
      <c r="Z3290" s="13" t="s">
        <v>0</v>
      </c>
      <c r="AA3290" s="14"/>
      <c r="AB3290" s="13" t="s">
        <v>0</v>
      </c>
      <c r="AC3290" s="13" t="s">
        <v>0</v>
      </c>
      <c r="AD3290" s="13" t="s">
        <v>0</v>
      </c>
      <c r="AE3290" s="15">
        <v>0</v>
      </c>
    </row>
    <row r="3291" spans="1:31" ht="14.15" customHeight="1" x14ac:dyDescent="0.25">
      <c r="A3291" s="12" t="s">
        <v>0</v>
      </c>
      <c r="B3291" s="13" t="s">
        <v>1</v>
      </c>
      <c r="C3291" s="13" t="s">
        <v>2021</v>
      </c>
      <c r="D3291" s="14">
        <v>44197</v>
      </c>
      <c r="E3291" s="14">
        <v>44197</v>
      </c>
      <c r="F3291" s="14">
        <v>44220</v>
      </c>
      <c r="G3291" s="13" t="s">
        <v>48</v>
      </c>
      <c r="H3291" s="13" t="s">
        <v>4</v>
      </c>
      <c r="I3291" s="15">
        <v>-3</v>
      </c>
      <c r="J3291" s="13" t="s">
        <v>5</v>
      </c>
      <c r="K3291" s="13" t="s">
        <v>6</v>
      </c>
      <c r="L3291" s="15">
        <v>-251.85</v>
      </c>
      <c r="M3291" s="15">
        <v>-3</v>
      </c>
      <c r="N3291" s="16" t="str">
        <f>IF(M3291="","",IF(M3291&lt;0,-M3291&amp;"_"&amp;COUNTIF(M$2:M3291,M3291),M3291&amp;"_"&amp;COUNTIF(M$2:M3291,M3291)))</f>
        <v>3_6</v>
      </c>
      <c r="O3291" s="17" t="str">
        <f t="shared" si="51"/>
        <v/>
      </c>
      <c r="P3291" s="13" t="s">
        <v>2022</v>
      </c>
      <c r="Q3291" s="13" t="s">
        <v>2022</v>
      </c>
      <c r="R3291" s="13" t="s">
        <v>1656</v>
      </c>
      <c r="S3291" s="13" t="s">
        <v>0</v>
      </c>
      <c r="T3291" s="13" t="s">
        <v>9</v>
      </c>
      <c r="U3291" s="13" t="s">
        <v>1656</v>
      </c>
      <c r="V3291" s="13" t="s">
        <v>0</v>
      </c>
      <c r="W3291" s="13" t="s">
        <v>0</v>
      </c>
      <c r="X3291" s="13" t="s">
        <v>0</v>
      </c>
      <c r="Y3291" s="13" t="s">
        <v>10</v>
      </c>
      <c r="Z3291" s="13" t="s">
        <v>0</v>
      </c>
      <c r="AA3291" s="14"/>
      <c r="AB3291" s="13" t="s">
        <v>0</v>
      </c>
      <c r="AC3291" s="13" t="s">
        <v>0</v>
      </c>
      <c r="AD3291" s="13" t="s">
        <v>0</v>
      </c>
      <c r="AE3291" s="15">
        <v>0</v>
      </c>
    </row>
    <row r="3292" spans="1:31" ht="14.15" customHeight="1" x14ac:dyDescent="0.25">
      <c r="A3292" s="12" t="s">
        <v>0</v>
      </c>
      <c r="B3292" s="13" t="s">
        <v>1</v>
      </c>
      <c r="C3292" s="13" t="s">
        <v>2029</v>
      </c>
      <c r="D3292" s="14">
        <v>44197</v>
      </c>
      <c r="E3292" s="14">
        <v>44197</v>
      </c>
      <c r="F3292" s="14">
        <v>44224</v>
      </c>
      <c r="G3292" s="13" t="s">
        <v>48</v>
      </c>
      <c r="H3292" s="13" t="s">
        <v>4</v>
      </c>
      <c r="I3292" s="15">
        <v>-3</v>
      </c>
      <c r="J3292" s="13" t="s">
        <v>5</v>
      </c>
      <c r="K3292" s="13" t="s">
        <v>6</v>
      </c>
      <c r="L3292" s="15">
        <v>-251.85</v>
      </c>
      <c r="M3292" s="15">
        <v>-3</v>
      </c>
      <c r="N3292" s="16" t="str">
        <f>IF(M3292="","",IF(M3292&lt;0,-M3292&amp;"_"&amp;COUNTIF(M$2:M3292,M3292),M3292&amp;"_"&amp;COUNTIF(M$2:M3292,M3292)))</f>
        <v>3_7</v>
      </c>
      <c r="O3292" s="17" t="str">
        <f t="shared" si="51"/>
        <v/>
      </c>
      <c r="P3292" s="13" t="s">
        <v>2030</v>
      </c>
      <c r="Q3292" s="13" t="s">
        <v>2030</v>
      </c>
      <c r="R3292" s="13" t="s">
        <v>1656</v>
      </c>
      <c r="S3292" s="13" t="s">
        <v>0</v>
      </c>
      <c r="T3292" s="13" t="s">
        <v>9</v>
      </c>
      <c r="U3292" s="13" t="s">
        <v>1656</v>
      </c>
      <c r="V3292" s="13" t="s">
        <v>0</v>
      </c>
      <c r="W3292" s="13" t="s">
        <v>0</v>
      </c>
      <c r="X3292" s="13" t="s">
        <v>0</v>
      </c>
      <c r="Y3292" s="13" t="s">
        <v>10</v>
      </c>
      <c r="Z3292" s="13" t="s">
        <v>0</v>
      </c>
      <c r="AA3292" s="14"/>
      <c r="AB3292" s="13" t="s">
        <v>0</v>
      </c>
      <c r="AC3292" s="13" t="s">
        <v>0</v>
      </c>
      <c r="AD3292" s="13" t="s">
        <v>0</v>
      </c>
      <c r="AE3292" s="15">
        <v>0</v>
      </c>
    </row>
    <row r="3293" spans="1:31" ht="14.15" customHeight="1" x14ac:dyDescent="0.25">
      <c r="A3293" s="12" t="s">
        <v>0</v>
      </c>
      <c r="B3293" s="13" t="s">
        <v>1</v>
      </c>
      <c r="C3293" s="13" t="s">
        <v>2228</v>
      </c>
      <c r="D3293" s="14">
        <v>44214</v>
      </c>
      <c r="E3293" s="14">
        <v>44214</v>
      </c>
      <c r="F3293" s="14">
        <v>44220</v>
      </c>
      <c r="G3293" s="13" t="s">
        <v>48</v>
      </c>
      <c r="H3293" s="13" t="s">
        <v>4</v>
      </c>
      <c r="I3293" s="15">
        <v>-3</v>
      </c>
      <c r="J3293" s="13" t="s">
        <v>5</v>
      </c>
      <c r="K3293" s="13" t="s">
        <v>6</v>
      </c>
      <c r="L3293" s="15">
        <v>-251.85</v>
      </c>
      <c r="M3293" s="15">
        <v>-3</v>
      </c>
      <c r="N3293" s="16" t="str">
        <f>IF(M3293="","",IF(M3293&lt;0,-M3293&amp;"_"&amp;COUNTIF(M$2:M3293,M3293),M3293&amp;"_"&amp;COUNTIF(M$2:M3293,M3293)))</f>
        <v>3_8</v>
      </c>
      <c r="O3293" s="17" t="str">
        <f t="shared" si="51"/>
        <v/>
      </c>
      <c r="P3293" s="13" t="s">
        <v>2229</v>
      </c>
      <c r="Q3293" s="13" t="s">
        <v>2229</v>
      </c>
      <c r="R3293" s="13" t="s">
        <v>1656</v>
      </c>
      <c r="S3293" s="13" t="s">
        <v>0</v>
      </c>
      <c r="T3293" s="13" t="s">
        <v>9</v>
      </c>
      <c r="U3293" s="13" t="s">
        <v>1656</v>
      </c>
      <c r="V3293" s="13" t="s">
        <v>0</v>
      </c>
      <c r="W3293" s="13" t="s">
        <v>0</v>
      </c>
      <c r="X3293" s="13" t="s">
        <v>0</v>
      </c>
      <c r="Y3293" s="13" t="s">
        <v>10</v>
      </c>
      <c r="Z3293" s="13" t="s">
        <v>0</v>
      </c>
      <c r="AA3293" s="14"/>
      <c r="AB3293" s="13" t="s">
        <v>0</v>
      </c>
      <c r="AC3293" s="13" t="s">
        <v>0</v>
      </c>
      <c r="AD3293" s="13" t="s">
        <v>0</v>
      </c>
      <c r="AE3293" s="15">
        <v>0</v>
      </c>
    </row>
    <row r="3294" spans="1:31" ht="14.15" customHeight="1" x14ac:dyDescent="0.25">
      <c r="A3294" s="12" t="s">
        <v>0</v>
      </c>
      <c r="B3294" s="13" t="s">
        <v>1</v>
      </c>
      <c r="C3294" s="13" t="s">
        <v>2270</v>
      </c>
      <c r="D3294" s="14">
        <v>44218</v>
      </c>
      <c r="E3294" s="14">
        <v>44218</v>
      </c>
      <c r="F3294" s="14">
        <v>44224</v>
      </c>
      <c r="G3294" s="13" t="s">
        <v>48</v>
      </c>
      <c r="H3294" s="13" t="s">
        <v>4</v>
      </c>
      <c r="I3294" s="15">
        <v>-3</v>
      </c>
      <c r="J3294" s="13" t="s">
        <v>5</v>
      </c>
      <c r="K3294" s="13" t="s">
        <v>6</v>
      </c>
      <c r="L3294" s="15">
        <v>-251.85</v>
      </c>
      <c r="M3294" s="15">
        <v>-3</v>
      </c>
      <c r="N3294" s="16" t="str">
        <f>IF(M3294="","",IF(M3294&lt;0,-M3294&amp;"_"&amp;COUNTIF(M$2:M3294,M3294),M3294&amp;"_"&amp;COUNTIF(M$2:M3294,M3294)))</f>
        <v>3_9</v>
      </c>
      <c r="O3294" s="17" t="str">
        <f t="shared" si="51"/>
        <v/>
      </c>
      <c r="P3294" s="13" t="s">
        <v>2271</v>
      </c>
      <c r="Q3294" s="13" t="s">
        <v>2271</v>
      </c>
      <c r="R3294" s="13" t="s">
        <v>1656</v>
      </c>
      <c r="S3294" s="13" t="s">
        <v>0</v>
      </c>
      <c r="T3294" s="13" t="s">
        <v>9</v>
      </c>
      <c r="U3294" s="13" t="s">
        <v>1656</v>
      </c>
      <c r="V3294" s="13" t="s">
        <v>0</v>
      </c>
      <c r="W3294" s="13" t="s">
        <v>0</v>
      </c>
      <c r="X3294" s="13" t="s">
        <v>0</v>
      </c>
      <c r="Y3294" s="13" t="s">
        <v>10</v>
      </c>
      <c r="Z3294" s="13" t="s">
        <v>0</v>
      </c>
      <c r="AA3294" s="14"/>
      <c r="AB3294" s="13" t="s">
        <v>0</v>
      </c>
      <c r="AC3294" s="13" t="s">
        <v>0</v>
      </c>
      <c r="AD3294" s="13" t="s">
        <v>0</v>
      </c>
      <c r="AE3294" s="15">
        <v>0</v>
      </c>
    </row>
    <row r="3296" spans="1:31" ht="13" x14ac:dyDescent="0.25">
      <c r="M3296" s="10">
        <f>SUM(M2:M3294)</f>
        <v>-63313374.23000019</v>
      </c>
      <c r="N3296" s="11" t="s">
        <v>4502</v>
      </c>
    </row>
  </sheetData>
  <autoFilter ref="A1:AE3294" xr:uid="{00000000-0009-0000-0000-000000000000}">
    <sortState xmlns:xlrd2="http://schemas.microsoft.com/office/spreadsheetml/2017/richdata2" ref="A2:AE3294">
      <sortCondition descending="1" ref="M1"/>
    </sortState>
  </autoFilter>
  <sortState xmlns:xlrd2="http://schemas.microsoft.com/office/spreadsheetml/2017/richdata2" ref="A2:AE3294">
    <sortCondition ref="M1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545F-C2D2-46F7-AD7C-B9A508E89E0D}">
  <dimension ref="A1:AC76"/>
  <sheetViews>
    <sheetView zoomScale="70" zoomScaleNormal="70" workbookViewId="0">
      <selection activeCell="H84" sqref="H84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5" width="18" bestFit="1" customWidth="1"/>
    <col min="16" max="16" width="24" bestFit="1" customWidth="1"/>
    <col min="17" max="17" width="21" bestFit="1" customWidth="1"/>
    <col min="18" max="18" width="6" bestFit="1" customWidth="1"/>
    <col min="19" max="19" width="24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5" t="s">
        <v>3361</v>
      </c>
      <c r="B1" s="1" t="s">
        <v>3362</v>
      </c>
      <c r="C1" s="1" t="s">
        <v>3363</v>
      </c>
      <c r="D1" s="1" t="s">
        <v>3364</v>
      </c>
      <c r="E1" s="1" t="s">
        <v>3365</v>
      </c>
      <c r="F1" s="1" t="s">
        <v>3366</v>
      </c>
      <c r="G1" s="5" t="s">
        <v>3367</v>
      </c>
      <c r="H1" s="5" t="s">
        <v>3368</v>
      </c>
      <c r="I1" s="1" t="s">
        <v>3369</v>
      </c>
      <c r="J1" s="1" t="s">
        <v>3370</v>
      </c>
      <c r="K1" s="5" t="s">
        <v>3371</v>
      </c>
      <c r="L1" s="5" t="s">
        <v>3372</v>
      </c>
      <c r="M1" s="1" t="s">
        <v>3373</v>
      </c>
      <c r="N1" s="1" t="s">
        <v>3374</v>
      </c>
      <c r="O1" s="1" t="s">
        <v>3375</v>
      </c>
      <c r="P1" s="1" t="s">
        <v>3376</v>
      </c>
      <c r="Q1" s="1" t="s">
        <v>3377</v>
      </c>
      <c r="R1" s="1" t="s">
        <v>3378</v>
      </c>
      <c r="S1" s="1" t="s">
        <v>3379</v>
      </c>
      <c r="T1" s="1" t="s">
        <v>3380</v>
      </c>
      <c r="U1" s="1" t="s">
        <v>3381</v>
      </c>
      <c r="V1" s="1" t="s">
        <v>3382</v>
      </c>
      <c r="W1" s="1" t="s">
        <v>3383</v>
      </c>
      <c r="X1" s="1" t="s">
        <v>3384</v>
      </c>
      <c r="Y1" s="1" t="s">
        <v>3385</v>
      </c>
      <c r="Z1" s="1" t="s">
        <v>3386</v>
      </c>
      <c r="AA1" s="1" t="s">
        <v>3387</v>
      </c>
      <c r="AB1" s="1" t="s">
        <v>3388</v>
      </c>
      <c r="AC1" s="5" t="s">
        <v>3389</v>
      </c>
    </row>
    <row r="2" spans="1:29" ht="14" customHeight="1" x14ac:dyDescent="0.25">
      <c r="A2" s="12" t="s">
        <v>0</v>
      </c>
      <c r="B2" s="13" t="s">
        <v>1</v>
      </c>
      <c r="C2" s="13" t="s">
        <v>4418</v>
      </c>
      <c r="D2" s="14">
        <v>44378</v>
      </c>
      <c r="E2" s="14">
        <v>44378</v>
      </c>
      <c r="F2" s="14">
        <v>44381</v>
      </c>
      <c r="G2" s="13" t="s">
        <v>3</v>
      </c>
      <c r="H2" s="13" t="s">
        <v>4</v>
      </c>
      <c r="I2" s="15">
        <v>-25397.96</v>
      </c>
      <c r="J2" s="13" t="s">
        <v>5</v>
      </c>
      <c r="K2" s="13" t="s">
        <v>6</v>
      </c>
      <c r="L2" s="15">
        <v>-2132158.7400000002</v>
      </c>
      <c r="M2" s="15">
        <v>-25397.96</v>
      </c>
      <c r="N2" s="13" t="s">
        <v>4419</v>
      </c>
      <c r="O2" s="13" t="s">
        <v>4420</v>
      </c>
      <c r="P2" s="13" t="s">
        <v>0</v>
      </c>
      <c r="Q2" s="13" t="s">
        <v>0</v>
      </c>
      <c r="R2" s="13" t="s">
        <v>9</v>
      </c>
      <c r="S2" s="13" t="s">
        <v>0</v>
      </c>
      <c r="T2" s="13" t="s">
        <v>0</v>
      </c>
      <c r="U2" s="13" t="s">
        <v>0</v>
      </c>
      <c r="V2" s="13" t="s">
        <v>0</v>
      </c>
      <c r="W2" s="13" t="s">
        <v>10</v>
      </c>
      <c r="X2" s="13" t="s">
        <v>0</v>
      </c>
      <c r="Y2" s="14"/>
      <c r="Z2" s="13" t="s">
        <v>0</v>
      </c>
      <c r="AA2" s="13" t="s">
        <v>0</v>
      </c>
      <c r="AB2" s="13" t="s">
        <v>0</v>
      </c>
      <c r="AC2" s="15">
        <v>0</v>
      </c>
    </row>
    <row r="3" spans="1:29" ht="14" customHeight="1" x14ac:dyDescent="0.25">
      <c r="A3" s="12" t="s">
        <v>0</v>
      </c>
      <c r="B3" s="13" t="s">
        <v>1</v>
      </c>
      <c r="C3" s="13" t="s">
        <v>4418</v>
      </c>
      <c r="D3" s="14">
        <v>44378</v>
      </c>
      <c r="E3" s="14">
        <v>44378</v>
      </c>
      <c r="F3" s="14">
        <v>44381</v>
      </c>
      <c r="G3" s="13" t="s">
        <v>3</v>
      </c>
      <c r="H3" s="13" t="s">
        <v>4</v>
      </c>
      <c r="I3" s="15">
        <v>-15375.87</v>
      </c>
      <c r="J3" s="13" t="s">
        <v>5</v>
      </c>
      <c r="K3" s="13" t="s">
        <v>6</v>
      </c>
      <c r="L3" s="15">
        <v>-1290804.29</v>
      </c>
      <c r="M3" s="15">
        <v>-15375.87</v>
      </c>
      <c r="N3" s="13" t="s">
        <v>4419</v>
      </c>
      <c r="O3" s="13" t="s">
        <v>4420</v>
      </c>
      <c r="P3" s="13" t="s">
        <v>0</v>
      </c>
      <c r="Q3" s="13" t="s">
        <v>0</v>
      </c>
      <c r="R3" s="13" t="s">
        <v>9</v>
      </c>
      <c r="S3" s="13" t="s">
        <v>0</v>
      </c>
      <c r="T3" s="13" t="s">
        <v>0</v>
      </c>
      <c r="U3" s="13" t="s">
        <v>0</v>
      </c>
      <c r="V3" s="13" t="s">
        <v>0</v>
      </c>
      <c r="W3" s="13" t="s">
        <v>10</v>
      </c>
      <c r="X3" s="13" t="s">
        <v>0</v>
      </c>
      <c r="Y3" s="14"/>
      <c r="Z3" s="13" t="s">
        <v>0</v>
      </c>
      <c r="AA3" s="13" t="s">
        <v>0</v>
      </c>
      <c r="AB3" s="13" t="s">
        <v>0</v>
      </c>
      <c r="AC3" s="15">
        <v>0</v>
      </c>
    </row>
    <row r="4" spans="1:29" ht="14" customHeight="1" x14ac:dyDescent="0.25">
      <c r="A4" s="12" t="s">
        <v>0</v>
      </c>
      <c r="B4" s="13" t="s">
        <v>1</v>
      </c>
      <c r="C4" s="13" t="s">
        <v>4421</v>
      </c>
      <c r="D4" s="14">
        <v>44378</v>
      </c>
      <c r="E4" s="14">
        <v>44378</v>
      </c>
      <c r="F4" s="14">
        <v>44381</v>
      </c>
      <c r="G4" s="13" t="s">
        <v>3</v>
      </c>
      <c r="H4" s="13" t="s">
        <v>4</v>
      </c>
      <c r="I4" s="15">
        <v>-2335.09</v>
      </c>
      <c r="J4" s="13" t="s">
        <v>5</v>
      </c>
      <c r="K4" s="13" t="s">
        <v>6</v>
      </c>
      <c r="L4" s="15">
        <v>-196030.81</v>
      </c>
      <c r="M4" s="15">
        <v>-2335.09</v>
      </c>
      <c r="N4" s="13" t="s">
        <v>4422</v>
      </c>
      <c r="O4" s="13" t="s">
        <v>4420</v>
      </c>
      <c r="P4" s="13" t="s">
        <v>0</v>
      </c>
      <c r="Q4" s="13" t="s">
        <v>0</v>
      </c>
      <c r="R4" s="13" t="s">
        <v>9</v>
      </c>
      <c r="S4" s="13" t="s">
        <v>0</v>
      </c>
      <c r="T4" s="13" t="s">
        <v>0</v>
      </c>
      <c r="U4" s="13" t="s">
        <v>0</v>
      </c>
      <c r="V4" s="13" t="s">
        <v>0</v>
      </c>
      <c r="W4" s="13" t="s">
        <v>10</v>
      </c>
      <c r="X4" s="13" t="s">
        <v>0</v>
      </c>
      <c r="Y4" s="14"/>
      <c r="Z4" s="13" t="s">
        <v>0</v>
      </c>
      <c r="AA4" s="13" t="s">
        <v>0</v>
      </c>
      <c r="AB4" s="13" t="s">
        <v>0</v>
      </c>
      <c r="AC4" s="15">
        <v>0</v>
      </c>
    </row>
    <row r="5" spans="1:29" ht="14" customHeight="1" x14ac:dyDescent="0.25">
      <c r="A5" s="12" t="s">
        <v>0</v>
      </c>
      <c r="B5" s="13" t="s">
        <v>1</v>
      </c>
      <c r="C5" s="13" t="s">
        <v>4423</v>
      </c>
      <c r="D5" s="14">
        <v>44378</v>
      </c>
      <c r="E5" s="14">
        <v>44378</v>
      </c>
      <c r="F5" s="14">
        <v>44384</v>
      </c>
      <c r="G5" s="13" t="s">
        <v>3</v>
      </c>
      <c r="H5" s="13" t="s">
        <v>4</v>
      </c>
      <c r="I5" s="15">
        <v>-61393.84</v>
      </c>
      <c r="J5" s="13" t="s">
        <v>5</v>
      </c>
      <c r="K5" s="13" t="s">
        <v>6</v>
      </c>
      <c r="L5" s="15">
        <v>-5154012.87</v>
      </c>
      <c r="M5" s="15">
        <v>-61393.84</v>
      </c>
      <c r="N5" s="13" t="s">
        <v>4424</v>
      </c>
      <c r="O5" s="13" t="s">
        <v>4420</v>
      </c>
      <c r="P5" s="13" t="s">
        <v>0</v>
      </c>
      <c r="Q5" s="13" t="s">
        <v>0</v>
      </c>
      <c r="R5" s="13" t="s">
        <v>9</v>
      </c>
      <c r="S5" s="13" t="s">
        <v>0</v>
      </c>
      <c r="T5" s="13" t="s">
        <v>0</v>
      </c>
      <c r="U5" s="13" t="s">
        <v>0</v>
      </c>
      <c r="V5" s="13" t="s">
        <v>0</v>
      </c>
      <c r="W5" s="13" t="s">
        <v>10</v>
      </c>
      <c r="X5" s="13" t="s">
        <v>0</v>
      </c>
      <c r="Y5" s="14"/>
      <c r="Z5" s="13" t="s">
        <v>0</v>
      </c>
      <c r="AA5" s="13" t="s">
        <v>0</v>
      </c>
      <c r="AB5" s="13" t="s">
        <v>0</v>
      </c>
      <c r="AC5" s="15">
        <v>0</v>
      </c>
    </row>
    <row r="6" spans="1:29" ht="14" customHeight="1" x14ac:dyDescent="0.25">
      <c r="A6" s="12" t="s">
        <v>0</v>
      </c>
      <c r="B6" s="13" t="s">
        <v>1</v>
      </c>
      <c r="C6" s="13" t="s">
        <v>4425</v>
      </c>
      <c r="D6" s="14">
        <v>44378</v>
      </c>
      <c r="E6" s="14">
        <v>44378</v>
      </c>
      <c r="F6" s="14">
        <v>44384</v>
      </c>
      <c r="G6" s="13" t="s">
        <v>3</v>
      </c>
      <c r="H6" s="13" t="s">
        <v>4</v>
      </c>
      <c r="I6" s="15">
        <v>-42833.9</v>
      </c>
      <c r="J6" s="13" t="s">
        <v>5</v>
      </c>
      <c r="K6" s="13" t="s">
        <v>6</v>
      </c>
      <c r="L6" s="15">
        <v>-3595905.91</v>
      </c>
      <c r="M6" s="15">
        <v>-42833.9</v>
      </c>
      <c r="N6" s="13" t="s">
        <v>4426</v>
      </c>
      <c r="O6" s="13" t="s">
        <v>4420</v>
      </c>
      <c r="P6" s="13" t="s">
        <v>0</v>
      </c>
      <c r="Q6" s="13" t="s">
        <v>0</v>
      </c>
      <c r="R6" s="13" t="s">
        <v>9</v>
      </c>
      <c r="S6" s="13" t="s">
        <v>0</v>
      </c>
      <c r="T6" s="13" t="s">
        <v>0</v>
      </c>
      <c r="U6" s="13" t="s">
        <v>0</v>
      </c>
      <c r="V6" s="13" t="s">
        <v>0</v>
      </c>
      <c r="W6" s="13" t="s">
        <v>10</v>
      </c>
      <c r="X6" s="13" t="s">
        <v>0</v>
      </c>
      <c r="Y6" s="14"/>
      <c r="Z6" s="13" t="s">
        <v>0</v>
      </c>
      <c r="AA6" s="13" t="s">
        <v>0</v>
      </c>
      <c r="AB6" s="13" t="s">
        <v>0</v>
      </c>
      <c r="AC6" s="15">
        <v>0</v>
      </c>
    </row>
    <row r="7" spans="1:29" ht="14" customHeight="1" x14ac:dyDescent="0.25">
      <c r="A7" s="12" t="s">
        <v>0</v>
      </c>
      <c r="B7" s="13" t="s">
        <v>1</v>
      </c>
      <c r="C7" s="13" t="s">
        <v>4427</v>
      </c>
      <c r="D7" s="14">
        <v>44378</v>
      </c>
      <c r="E7" s="14">
        <v>44378</v>
      </c>
      <c r="F7" s="14">
        <v>44384</v>
      </c>
      <c r="G7" s="13" t="s">
        <v>3</v>
      </c>
      <c r="H7" s="13" t="s">
        <v>4</v>
      </c>
      <c r="I7" s="15">
        <v>-10164.459999999999</v>
      </c>
      <c r="J7" s="13" t="s">
        <v>5</v>
      </c>
      <c r="K7" s="13" t="s">
        <v>6</v>
      </c>
      <c r="L7" s="15">
        <v>-853306.42</v>
      </c>
      <c r="M7" s="15">
        <v>-10164.459999999999</v>
      </c>
      <c r="N7" s="13" t="s">
        <v>4428</v>
      </c>
      <c r="O7" s="13" t="s">
        <v>4420</v>
      </c>
      <c r="P7" s="13" t="s">
        <v>0</v>
      </c>
      <c r="Q7" s="13" t="s">
        <v>0</v>
      </c>
      <c r="R7" s="13" t="s">
        <v>9</v>
      </c>
      <c r="S7" s="13" t="s">
        <v>0</v>
      </c>
      <c r="T7" s="13" t="s">
        <v>0</v>
      </c>
      <c r="U7" s="13" t="s">
        <v>0</v>
      </c>
      <c r="V7" s="13" t="s">
        <v>0</v>
      </c>
      <c r="W7" s="13" t="s">
        <v>10</v>
      </c>
      <c r="X7" s="13" t="s">
        <v>0</v>
      </c>
      <c r="Y7" s="14"/>
      <c r="Z7" s="13" t="s">
        <v>0</v>
      </c>
      <c r="AA7" s="13" t="s">
        <v>0</v>
      </c>
      <c r="AB7" s="13" t="s">
        <v>0</v>
      </c>
      <c r="AC7" s="15">
        <v>0</v>
      </c>
    </row>
    <row r="8" spans="1:29" ht="14" customHeight="1" x14ac:dyDescent="0.25">
      <c r="A8" s="12" t="s">
        <v>0</v>
      </c>
      <c r="B8" s="13" t="s">
        <v>1</v>
      </c>
      <c r="C8" s="13" t="s">
        <v>4429</v>
      </c>
      <c r="D8" s="14">
        <v>44378</v>
      </c>
      <c r="E8" s="14">
        <v>44378</v>
      </c>
      <c r="F8" s="14">
        <v>44384</v>
      </c>
      <c r="G8" s="13" t="s">
        <v>3</v>
      </c>
      <c r="H8" s="13" t="s">
        <v>4</v>
      </c>
      <c r="I8" s="15">
        <v>-26849.48</v>
      </c>
      <c r="J8" s="13" t="s">
        <v>5</v>
      </c>
      <c r="K8" s="13" t="s">
        <v>6</v>
      </c>
      <c r="L8" s="15">
        <v>-2254013.84</v>
      </c>
      <c r="M8" s="15">
        <v>-26849.48</v>
      </c>
      <c r="N8" s="13" t="s">
        <v>4430</v>
      </c>
      <c r="O8" s="13" t="s">
        <v>4420</v>
      </c>
      <c r="P8" s="13" t="s">
        <v>0</v>
      </c>
      <c r="Q8" s="13" t="s">
        <v>0</v>
      </c>
      <c r="R8" s="13" t="s">
        <v>9</v>
      </c>
      <c r="S8" s="13" t="s">
        <v>0</v>
      </c>
      <c r="T8" s="13" t="s">
        <v>0</v>
      </c>
      <c r="U8" s="13" t="s">
        <v>0</v>
      </c>
      <c r="V8" s="13" t="s">
        <v>0</v>
      </c>
      <c r="W8" s="13" t="s">
        <v>10</v>
      </c>
      <c r="X8" s="13" t="s">
        <v>0</v>
      </c>
      <c r="Y8" s="14"/>
      <c r="Z8" s="13" t="s">
        <v>0</v>
      </c>
      <c r="AA8" s="13" t="s">
        <v>0</v>
      </c>
      <c r="AB8" s="13" t="s">
        <v>0</v>
      </c>
      <c r="AC8" s="15">
        <v>0</v>
      </c>
    </row>
    <row r="9" spans="1:29" ht="14" customHeight="1" x14ac:dyDescent="0.25">
      <c r="A9" s="12" t="s">
        <v>0</v>
      </c>
      <c r="B9" s="13" t="s">
        <v>1</v>
      </c>
      <c r="C9" s="13" t="s">
        <v>4429</v>
      </c>
      <c r="D9" s="14">
        <v>44378</v>
      </c>
      <c r="E9" s="14">
        <v>44378</v>
      </c>
      <c r="F9" s="14">
        <v>44384</v>
      </c>
      <c r="G9" s="13" t="s">
        <v>3</v>
      </c>
      <c r="H9" s="13" t="s">
        <v>4</v>
      </c>
      <c r="I9" s="15">
        <v>-29582.23</v>
      </c>
      <c r="J9" s="13" t="s">
        <v>5</v>
      </c>
      <c r="K9" s="13" t="s">
        <v>6</v>
      </c>
      <c r="L9" s="15">
        <v>-2483428.21</v>
      </c>
      <c r="M9" s="15">
        <v>-29582.23</v>
      </c>
      <c r="N9" s="13" t="s">
        <v>4430</v>
      </c>
      <c r="O9" s="13" t="s">
        <v>4420</v>
      </c>
      <c r="P9" s="13" t="s">
        <v>0</v>
      </c>
      <c r="Q9" s="13" t="s">
        <v>0</v>
      </c>
      <c r="R9" s="13" t="s">
        <v>9</v>
      </c>
      <c r="S9" s="13" t="s">
        <v>0</v>
      </c>
      <c r="T9" s="13" t="s">
        <v>0</v>
      </c>
      <c r="U9" s="13" t="s">
        <v>0</v>
      </c>
      <c r="V9" s="13" t="s">
        <v>0</v>
      </c>
      <c r="W9" s="13" t="s">
        <v>10</v>
      </c>
      <c r="X9" s="13" t="s">
        <v>0</v>
      </c>
      <c r="Y9" s="14"/>
      <c r="Z9" s="13" t="s">
        <v>0</v>
      </c>
      <c r="AA9" s="13" t="s">
        <v>0</v>
      </c>
      <c r="AB9" s="13" t="s">
        <v>0</v>
      </c>
      <c r="AC9" s="15">
        <v>0</v>
      </c>
    </row>
    <row r="10" spans="1:29" ht="14" customHeight="1" x14ac:dyDescent="0.25">
      <c r="A10" s="12" t="s">
        <v>0</v>
      </c>
      <c r="B10" s="13" t="s">
        <v>1</v>
      </c>
      <c r="C10" s="13" t="s">
        <v>4429</v>
      </c>
      <c r="D10" s="14">
        <v>44378</v>
      </c>
      <c r="E10" s="14">
        <v>44378</v>
      </c>
      <c r="F10" s="14">
        <v>44384</v>
      </c>
      <c r="G10" s="13" t="s">
        <v>3</v>
      </c>
      <c r="H10" s="13" t="s">
        <v>4</v>
      </c>
      <c r="I10" s="15">
        <v>-18219.669999999998</v>
      </c>
      <c r="J10" s="13" t="s">
        <v>5</v>
      </c>
      <c r="K10" s="13" t="s">
        <v>6</v>
      </c>
      <c r="L10" s="15">
        <v>-1529541.3</v>
      </c>
      <c r="M10" s="15">
        <v>-18219.669999999998</v>
      </c>
      <c r="N10" s="13" t="s">
        <v>4430</v>
      </c>
      <c r="O10" s="13" t="s">
        <v>4420</v>
      </c>
      <c r="P10" s="13" t="s">
        <v>0</v>
      </c>
      <c r="Q10" s="13" t="s">
        <v>0</v>
      </c>
      <c r="R10" s="13" t="s">
        <v>9</v>
      </c>
      <c r="S10" s="13" t="s">
        <v>0</v>
      </c>
      <c r="T10" s="13" t="s">
        <v>0</v>
      </c>
      <c r="U10" s="13" t="s">
        <v>0</v>
      </c>
      <c r="V10" s="13" t="s">
        <v>0</v>
      </c>
      <c r="W10" s="13" t="s">
        <v>10</v>
      </c>
      <c r="X10" s="13" t="s">
        <v>0</v>
      </c>
      <c r="Y10" s="14"/>
      <c r="Z10" s="13" t="s">
        <v>0</v>
      </c>
      <c r="AA10" s="13" t="s">
        <v>0</v>
      </c>
      <c r="AB10" s="13" t="s">
        <v>0</v>
      </c>
      <c r="AC10" s="15">
        <v>0</v>
      </c>
    </row>
    <row r="11" spans="1:29" ht="14" customHeight="1" x14ac:dyDescent="0.25">
      <c r="A11" s="12" t="s">
        <v>0</v>
      </c>
      <c r="B11" s="13" t="s">
        <v>1</v>
      </c>
      <c r="C11" s="13" t="s">
        <v>4431</v>
      </c>
      <c r="D11" s="14">
        <v>44378</v>
      </c>
      <c r="E11" s="14">
        <v>44378</v>
      </c>
      <c r="F11" s="14">
        <v>44384</v>
      </c>
      <c r="G11" s="13" t="s">
        <v>3</v>
      </c>
      <c r="H11" s="13" t="s">
        <v>4</v>
      </c>
      <c r="I11" s="15">
        <v>-9024.98</v>
      </c>
      <c r="J11" s="13" t="s">
        <v>5</v>
      </c>
      <c r="K11" s="13" t="s">
        <v>6</v>
      </c>
      <c r="L11" s="15">
        <v>-757647.07</v>
      </c>
      <c r="M11" s="15">
        <v>-9024.98</v>
      </c>
      <c r="N11" s="13" t="s">
        <v>4432</v>
      </c>
      <c r="O11" s="13" t="s">
        <v>4420</v>
      </c>
      <c r="P11" s="13" t="s">
        <v>0</v>
      </c>
      <c r="Q11" s="13" t="s">
        <v>0</v>
      </c>
      <c r="R11" s="13" t="s">
        <v>9</v>
      </c>
      <c r="S11" s="13" t="s">
        <v>0</v>
      </c>
      <c r="T11" s="13" t="s">
        <v>0</v>
      </c>
      <c r="U11" s="13" t="s">
        <v>0</v>
      </c>
      <c r="V11" s="13" t="s">
        <v>0</v>
      </c>
      <c r="W11" s="13" t="s">
        <v>10</v>
      </c>
      <c r="X11" s="13" t="s">
        <v>0</v>
      </c>
      <c r="Y11" s="14"/>
      <c r="Z11" s="13" t="s">
        <v>0</v>
      </c>
      <c r="AA11" s="13" t="s">
        <v>0</v>
      </c>
      <c r="AB11" s="13" t="s">
        <v>0</v>
      </c>
      <c r="AC11" s="15">
        <v>0</v>
      </c>
    </row>
    <row r="12" spans="1:29" ht="14" customHeight="1" x14ac:dyDescent="0.25">
      <c r="A12" s="12" t="s">
        <v>0</v>
      </c>
      <c r="B12" s="13" t="s">
        <v>1</v>
      </c>
      <c r="C12" s="13" t="s">
        <v>4431</v>
      </c>
      <c r="D12" s="14">
        <v>44378</v>
      </c>
      <c r="E12" s="14">
        <v>44378</v>
      </c>
      <c r="F12" s="14">
        <v>44384</v>
      </c>
      <c r="G12" s="13" t="s">
        <v>3</v>
      </c>
      <c r="H12" s="13" t="s">
        <v>4</v>
      </c>
      <c r="I12" s="15">
        <v>-9492.2000000000007</v>
      </c>
      <c r="J12" s="13" t="s">
        <v>5</v>
      </c>
      <c r="K12" s="13" t="s">
        <v>6</v>
      </c>
      <c r="L12" s="15">
        <v>-796870.19</v>
      </c>
      <c r="M12" s="15">
        <v>-9492.2000000000007</v>
      </c>
      <c r="N12" s="13" t="s">
        <v>4432</v>
      </c>
      <c r="O12" s="13" t="s">
        <v>4420</v>
      </c>
      <c r="P12" s="13" t="s">
        <v>0</v>
      </c>
      <c r="Q12" s="13" t="s">
        <v>0</v>
      </c>
      <c r="R12" s="13" t="s">
        <v>9</v>
      </c>
      <c r="S12" s="13" t="s">
        <v>0</v>
      </c>
      <c r="T12" s="13" t="s">
        <v>0</v>
      </c>
      <c r="U12" s="13" t="s">
        <v>0</v>
      </c>
      <c r="V12" s="13" t="s">
        <v>0</v>
      </c>
      <c r="W12" s="13" t="s">
        <v>10</v>
      </c>
      <c r="X12" s="13" t="s">
        <v>0</v>
      </c>
      <c r="Y12" s="14"/>
      <c r="Z12" s="13" t="s">
        <v>0</v>
      </c>
      <c r="AA12" s="13" t="s">
        <v>0</v>
      </c>
      <c r="AB12" s="13" t="s">
        <v>0</v>
      </c>
      <c r="AC12" s="15">
        <v>0</v>
      </c>
    </row>
    <row r="13" spans="1:29" ht="14" customHeight="1" x14ac:dyDescent="0.25">
      <c r="A13" s="12" t="s">
        <v>0</v>
      </c>
      <c r="B13" s="13" t="s">
        <v>1</v>
      </c>
      <c r="C13" s="13" t="s">
        <v>4431</v>
      </c>
      <c r="D13" s="14">
        <v>44378</v>
      </c>
      <c r="E13" s="14">
        <v>44378</v>
      </c>
      <c r="F13" s="14">
        <v>44384</v>
      </c>
      <c r="G13" s="13" t="s">
        <v>3</v>
      </c>
      <c r="H13" s="13" t="s">
        <v>4</v>
      </c>
      <c r="I13" s="15">
        <v>-47707.23</v>
      </c>
      <c r="J13" s="13" t="s">
        <v>5</v>
      </c>
      <c r="K13" s="13" t="s">
        <v>6</v>
      </c>
      <c r="L13" s="15">
        <v>-4005021.96</v>
      </c>
      <c r="M13" s="15">
        <v>-47707.23</v>
      </c>
      <c r="N13" s="13" t="s">
        <v>4432</v>
      </c>
      <c r="O13" s="13" t="s">
        <v>4420</v>
      </c>
      <c r="P13" s="13" t="s">
        <v>0</v>
      </c>
      <c r="Q13" s="13" t="s">
        <v>0</v>
      </c>
      <c r="R13" s="13" t="s">
        <v>9</v>
      </c>
      <c r="S13" s="13" t="s">
        <v>0</v>
      </c>
      <c r="T13" s="13" t="s">
        <v>0</v>
      </c>
      <c r="U13" s="13" t="s">
        <v>0</v>
      </c>
      <c r="V13" s="13" t="s">
        <v>0</v>
      </c>
      <c r="W13" s="13" t="s">
        <v>10</v>
      </c>
      <c r="X13" s="13" t="s">
        <v>0</v>
      </c>
      <c r="Y13" s="14"/>
      <c r="Z13" s="13" t="s">
        <v>0</v>
      </c>
      <c r="AA13" s="13" t="s">
        <v>0</v>
      </c>
      <c r="AB13" s="13" t="s">
        <v>0</v>
      </c>
      <c r="AC13" s="15">
        <v>0</v>
      </c>
    </row>
    <row r="14" spans="1:29" ht="14" customHeight="1" x14ac:dyDescent="0.25">
      <c r="A14" s="12" t="s">
        <v>0</v>
      </c>
      <c r="B14" s="13" t="s">
        <v>1</v>
      </c>
      <c r="C14" s="13" t="s">
        <v>4433</v>
      </c>
      <c r="D14" s="14">
        <v>44378</v>
      </c>
      <c r="E14" s="14">
        <v>44378</v>
      </c>
      <c r="F14" s="14">
        <v>44391</v>
      </c>
      <c r="G14" s="13" t="s">
        <v>3</v>
      </c>
      <c r="H14" s="13" t="s">
        <v>4</v>
      </c>
      <c r="I14" s="15">
        <v>-8930.39</v>
      </c>
      <c r="J14" s="13" t="s">
        <v>5</v>
      </c>
      <c r="K14" s="13" t="s">
        <v>6</v>
      </c>
      <c r="L14" s="15">
        <v>-749706.23999999999</v>
      </c>
      <c r="M14" s="15">
        <v>-8930.39</v>
      </c>
      <c r="N14" s="13" t="s">
        <v>4434</v>
      </c>
      <c r="O14" s="13" t="s">
        <v>4420</v>
      </c>
      <c r="P14" s="13" t="s">
        <v>0</v>
      </c>
      <c r="Q14" s="13" t="s">
        <v>0</v>
      </c>
      <c r="R14" s="13" t="s">
        <v>9</v>
      </c>
      <c r="S14" s="13" t="s">
        <v>0</v>
      </c>
      <c r="T14" s="13" t="s">
        <v>0</v>
      </c>
      <c r="U14" s="13" t="s">
        <v>0</v>
      </c>
      <c r="V14" s="13" t="s">
        <v>0</v>
      </c>
      <c r="W14" s="13" t="s">
        <v>10</v>
      </c>
      <c r="X14" s="13" t="s">
        <v>0</v>
      </c>
      <c r="Y14" s="14"/>
      <c r="Z14" s="13" t="s">
        <v>0</v>
      </c>
      <c r="AA14" s="13" t="s">
        <v>0</v>
      </c>
      <c r="AB14" s="13" t="s">
        <v>0</v>
      </c>
      <c r="AC14" s="15">
        <v>0</v>
      </c>
    </row>
    <row r="15" spans="1:29" ht="14" customHeight="1" x14ac:dyDescent="0.25">
      <c r="A15" s="12" t="s">
        <v>0</v>
      </c>
      <c r="B15" s="13" t="s">
        <v>1</v>
      </c>
      <c r="C15" s="13" t="s">
        <v>4435</v>
      </c>
      <c r="D15" s="14">
        <v>44378</v>
      </c>
      <c r="E15" s="14">
        <v>44378</v>
      </c>
      <c r="F15" s="14">
        <v>44391</v>
      </c>
      <c r="G15" s="13" t="s">
        <v>3</v>
      </c>
      <c r="H15" s="13" t="s">
        <v>4</v>
      </c>
      <c r="I15" s="15">
        <v>-19554.759999999998</v>
      </c>
      <c r="J15" s="13" t="s">
        <v>5</v>
      </c>
      <c r="K15" s="13" t="s">
        <v>6</v>
      </c>
      <c r="L15" s="15">
        <v>-1641622.1</v>
      </c>
      <c r="M15" s="15">
        <v>-19554.759999999998</v>
      </c>
      <c r="N15" s="13" t="s">
        <v>4436</v>
      </c>
      <c r="O15" s="13" t="s">
        <v>4420</v>
      </c>
      <c r="P15" s="13" t="s">
        <v>0</v>
      </c>
      <c r="Q15" s="13" t="s">
        <v>0</v>
      </c>
      <c r="R15" s="13" t="s">
        <v>9</v>
      </c>
      <c r="S15" s="13" t="s">
        <v>0</v>
      </c>
      <c r="T15" s="13" t="s">
        <v>0</v>
      </c>
      <c r="U15" s="13" t="s">
        <v>0</v>
      </c>
      <c r="V15" s="13" t="s">
        <v>0</v>
      </c>
      <c r="W15" s="13" t="s">
        <v>10</v>
      </c>
      <c r="X15" s="13" t="s">
        <v>0</v>
      </c>
      <c r="Y15" s="14"/>
      <c r="Z15" s="13" t="s">
        <v>0</v>
      </c>
      <c r="AA15" s="13" t="s">
        <v>0</v>
      </c>
      <c r="AB15" s="13" t="s">
        <v>0</v>
      </c>
      <c r="AC15" s="15">
        <v>0</v>
      </c>
    </row>
    <row r="16" spans="1:29" ht="14" customHeight="1" x14ac:dyDescent="0.25">
      <c r="A16" s="12" t="s">
        <v>0</v>
      </c>
      <c r="B16" s="13" t="s">
        <v>1</v>
      </c>
      <c r="C16" s="13" t="s">
        <v>4437</v>
      </c>
      <c r="D16" s="14">
        <v>44379</v>
      </c>
      <c r="E16" s="14">
        <v>44379</v>
      </c>
      <c r="F16" s="14">
        <v>44384</v>
      </c>
      <c r="G16" s="13" t="s">
        <v>3</v>
      </c>
      <c r="H16" s="13" t="s">
        <v>4</v>
      </c>
      <c r="I16" s="15">
        <v>-43227.15</v>
      </c>
      <c r="J16" s="13" t="s">
        <v>5</v>
      </c>
      <c r="K16" s="13" t="s">
        <v>6</v>
      </c>
      <c r="L16" s="15">
        <v>-3628919.24</v>
      </c>
      <c r="M16" s="15">
        <v>-43227.15</v>
      </c>
      <c r="N16" s="13" t="s">
        <v>4428</v>
      </c>
      <c r="O16" s="13" t="s">
        <v>4438</v>
      </c>
      <c r="P16" s="13" t="s">
        <v>0</v>
      </c>
      <c r="Q16" s="13" t="s">
        <v>0</v>
      </c>
      <c r="R16" s="13" t="s">
        <v>9</v>
      </c>
      <c r="S16" s="13" t="s">
        <v>0</v>
      </c>
      <c r="T16" s="13" t="s">
        <v>0</v>
      </c>
      <c r="U16" s="13" t="s">
        <v>0</v>
      </c>
      <c r="V16" s="13" t="s">
        <v>0</v>
      </c>
      <c r="W16" s="13" t="s">
        <v>10</v>
      </c>
      <c r="X16" s="13" t="s">
        <v>0</v>
      </c>
      <c r="Y16" s="14"/>
      <c r="Z16" s="13" t="s">
        <v>0</v>
      </c>
      <c r="AA16" s="13" t="s">
        <v>0</v>
      </c>
      <c r="AB16" s="13" t="s">
        <v>0</v>
      </c>
      <c r="AC16" s="15">
        <v>0</v>
      </c>
    </row>
    <row r="17" spans="1:29" ht="14" customHeight="1" x14ac:dyDescent="0.25">
      <c r="A17" s="12" t="s">
        <v>0</v>
      </c>
      <c r="B17" s="13" t="s">
        <v>1</v>
      </c>
      <c r="C17" s="13" t="s">
        <v>4439</v>
      </c>
      <c r="D17" s="14">
        <v>44379</v>
      </c>
      <c r="E17" s="14">
        <v>44379</v>
      </c>
      <c r="F17" s="14">
        <v>44384</v>
      </c>
      <c r="G17" s="13" t="s">
        <v>3</v>
      </c>
      <c r="H17" s="13" t="s">
        <v>4</v>
      </c>
      <c r="I17" s="15">
        <v>-40174.06</v>
      </c>
      <c r="J17" s="13" t="s">
        <v>5</v>
      </c>
      <c r="K17" s="13" t="s">
        <v>6</v>
      </c>
      <c r="L17" s="15">
        <v>-3372612.34</v>
      </c>
      <c r="M17" s="15">
        <v>-40174.06</v>
      </c>
      <c r="N17" s="13" t="s">
        <v>4440</v>
      </c>
      <c r="O17" s="13" t="s">
        <v>4438</v>
      </c>
      <c r="P17" s="13" t="s">
        <v>0</v>
      </c>
      <c r="Q17" s="13" t="s">
        <v>0</v>
      </c>
      <c r="R17" s="13" t="s">
        <v>9</v>
      </c>
      <c r="S17" s="13" t="s">
        <v>0</v>
      </c>
      <c r="T17" s="13" t="s">
        <v>0</v>
      </c>
      <c r="U17" s="13" t="s">
        <v>0</v>
      </c>
      <c r="V17" s="13" t="s">
        <v>0</v>
      </c>
      <c r="W17" s="13" t="s">
        <v>10</v>
      </c>
      <c r="X17" s="13" t="s">
        <v>0</v>
      </c>
      <c r="Y17" s="14"/>
      <c r="Z17" s="13" t="s">
        <v>0</v>
      </c>
      <c r="AA17" s="13" t="s">
        <v>0</v>
      </c>
      <c r="AB17" s="13" t="s">
        <v>0</v>
      </c>
      <c r="AC17" s="15">
        <v>0</v>
      </c>
    </row>
    <row r="18" spans="1:29" ht="14" customHeight="1" x14ac:dyDescent="0.25">
      <c r="A18" s="12" t="s">
        <v>0</v>
      </c>
      <c r="B18" s="13" t="s">
        <v>1</v>
      </c>
      <c r="C18" s="13" t="s">
        <v>4439</v>
      </c>
      <c r="D18" s="14">
        <v>44379</v>
      </c>
      <c r="E18" s="14">
        <v>44379</v>
      </c>
      <c r="F18" s="14">
        <v>44384</v>
      </c>
      <c r="G18" s="13" t="s">
        <v>3</v>
      </c>
      <c r="H18" s="13" t="s">
        <v>4</v>
      </c>
      <c r="I18" s="15">
        <v>-15124.17</v>
      </c>
      <c r="J18" s="13" t="s">
        <v>5</v>
      </c>
      <c r="K18" s="13" t="s">
        <v>6</v>
      </c>
      <c r="L18" s="15">
        <v>-1269674.07</v>
      </c>
      <c r="M18" s="15">
        <v>-15124.17</v>
      </c>
      <c r="N18" s="13" t="s">
        <v>4440</v>
      </c>
      <c r="O18" s="13" t="s">
        <v>4438</v>
      </c>
      <c r="P18" s="13" t="s">
        <v>0</v>
      </c>
      <c r="Q18" s="13" t="s">
        <v>0</v>
      </c>
      <c r="R18" s="13" t="s">
        <v>9</v>
      </c>
      <c r="S18" s="13" t="s">
        <v>0</v>
      </c>
      <c r="T18" s="13" t="s">
        <v>0</v>
      </c>
      <c r="U18" s="13" t="s">
        <v>0</v>
      </c>
      <c r="V18" s="13" t="s">
        <v>0</v>
      </c>
      <c r="W18" s="13" t="s">
        <v>10</v>
      </c>
      <c r="X18" s="13" t="s">
        <v>0</v>
      </c>
      <c r="Y18" s="14"/>
      <c r="Z18" s="13" t="s">
        <v>0</v>
      </c>
      <c r="AA18" s="13" t="s">
        <v>0</v>
      </c>
      <c r="AB18" s="13" t="s">
        <v>0</v>
      </c>
      <c r="AC18" s="15">
        <v>0</v>
      </c>
    </row>
    <row r="19" spans="1:29" ht="14" customHeight="1" x14ac:dyDescent="0.25">
      <c r="A19" s="12" t="s">
        <v>0</v>
      </c>
      <c r="B19" s="13" t="s">
        <v>1</v>
      </c>
      <c r="C19" s="13" t="s">
        <v>4439</v>
      </c>
      <c r="D19" s="14">
        <v>44379</v>
      </c>
      <c r="E19" s="14">
        <v>44379</v>
      </c>
      <c r="F19" s="14">
        <v>44384</v>
      </c>
      <c r="G19" s="13" t="s">
        <v>3</v>
      </c>
      <c r="H19" s="13" t="s">
        <v>4</v>
      </c>
      <c r="I19" s="15">
        <v>-18931.98</v>
      </c>
      <c r="J19" s="13" t="s">
        <v>5</v>
      </c>
      <c r="K19" s="13" t="s">
        <v>6</v>
      </c>
      <c r="L19" s="15">
        <v>-1589339.72</v>
      </c>
      <c r="M19" s="15">
        <v>-18931.98</v>
      </c>
      <c r="N19" s="13" t="s">
        <v>4440</v>
      </c>
      <c r="O19" s="13" t="s">
        <v>4438</v>
      </c>
      <c r="P19" s="13" t="s">
        <v>0</v>
      </c>
      <c r="Q19" s="13" t="s">
        <v>0</v>
      </c>
      <c r="R19" s="13" t="s">
        <v>9</v>
      </c>
      <c r="S19" s="13" t="s">
        <v>0</v>
      </c>
      <c r="T19" s="13" t="s">
        <v>0</v>
      </c>
      <c r="U19" s="13" t="s">
        <v>0</v>
      </c>
      <c r="V19" s="13" t="s">
        <v>0</v>
      </c>
      <c r="W19" s="13" t="s">
        <v>10</v>
      </c>
      <c r="X19" s="13" t="s">
        <v>0</v>
      </c>
      <c r="Y19" s="14"/>
      <c r="Z19" s="13" t="s">
        <v>0</v>
      </c>
      <c r="AA19" s="13" t="s">
        <v>0</v>
      </c>
      <c r="AB19" s="13" t="s">
        <v>0</v>
      </c>
      <c r="AC19" s="15">
        <v>0</v>
      </c>
    </row>
    <row r="20" spans="1:29" ht="14" customHeight="1" x14ac:dyDescent="0.25">
      <c r="A20" s="12" t="s">
        <v>0</v>
      </c>
      <c r="B20" s="13" t="s">
        <v>1</v>
      </c>
      <c r="C20" s="13" t="s">
        <v>4439</v>
      </c>
      <c r="D20" s="14">
        <v>44379</v>
      </c>
      <c r="E20" s="14">
        <v>44379</v>
      </c>
      <c r="F20" s="14">
        <v>44384</v>
      </c>
      <c r="G20" s="13" t="s">
        <v>3</v>
      </c>
      <c r="H20" s="13" t="s">
        <v>4</v>
      </c>
      <c r="I20" s="15">
        <v>-4024.49</v>
      </c>
      <c r="J20" s="13" t="s">
        <v>5</v>
      </c>
      <c r="K20" s="13" t="s">
        <v>6</v>
      </c>
      <c r="L20" s="15">
        <v>-337855.94</v>
      </c>
      <c r="M20" s="15">
        <v>-4024.49</v>
      </c>
      <c r="N20" s="13" t="s">
        <v>4440</v>
      </c>
      <c r="O20" s="13" t="s">
        <v>4438</v>
      </c>
      <c r="P20" s="13" t="s">
        <v>0</v>
      </c>
      <c r="Q20" s="13" t="s">
        <v>0</v>
      </c>
      <c r="R20" s="13" t="s">
        <v>9</v>
      </c>
      <c r="S20" s="13" t="s">
        <v>0</v>
      </c>
      <c r="T20" s="13" t="s">
        <v>0</v>
      </c>
      <c r="U20" s="13" t="s">
        <v>0</v>
      </c>
      <c r="V20" s="13" t="s">
        <v>0</v>
      </c>
      <c r="W20" s="13" t="s">
        <v>10</v>
      </c>
      <c r="X20" s="13" t="s">
        <v>0</v>
      </c>
      <c r="Y20" s="14"/>
      <c r="Z20" s="13" t="s">
        <v>0</v>
      </c>
      <c r="AA20" s="13" t="s">
        <v>0</v>
      </c>
      <c r="AB20" s="13" t="s">
        <v>0</v>
      </c>
      <c r="AC20" s="15">
        <v>0</v>
      </c>
    </row>
    <row r="21" spans="1:29" ht="14" customHeight="1" x14ac:dyDescent="0.25">
      <c r="A21" s="12" t="s">
        <v>0</v>
      </c>
      <c r="B21" s="13" t="s">
        <v>1</v>
      </c>
      <c r="C21" s="13" t="s">
        <v>4439</v>
      </c>
      <c r="D21" s="14">
        <v>44379</v>
      </c>
      <c r="E21" s="14">
        <v>44379</v>
      </c>
      <c r="F21" s="14">
        <v>44384</v>
      </c>
      <c r="G21" s="13" t="s">
        <v>3</v>
      </c>
      <c r="H21" s="13" t="s">
        <v>4</v>
      </c>
      <c r="I21" s="15">
        <v>-9937.83</v>
      </c>
      <c r="J21" s="13" t="s">
        <v>5</v>
      </c>
      <c r="K21" s="13" t="s">
        <v>6</v>
      </c>
      <c r="L21" s="15">
        <v>-834280.83</v>
      </c>
      <c r="M21" s="15">
        <v>-9937.83</v>
      </c>
      <c r="N21" s="13" t="s">
        <v>4440</v>
      </c>
      <c r="O21" s="13" t="s">
        <v>4438</v>
      </c>
      <c r="P21" s="13" t="s">
        <v>0</v>
      </c>
      <c r="Q21" s="13" t="s">
        <v>0</v>
      </c>
      <c r="R21" s="13" t="s">
        <v>9</v>
      </c>
      <c r="S21" s="13" t="s">
        <v>0</v>
      </c>
      <c r="T21" s="13" t="s">
        <v>0</v>
      </c>
      <c r="U21" s="13" t="s">
        <v>0</v>
      </c>
      <c r="V21" s="13" t="s">
        <v>0</v>
      </c>
      <c r="W21" s="13" t="s">
        <v>10</v>
      </c>
      <c r="X21" s="13" t="s">
        <v>0</v>
      </c>
      <c r="Y21" s="14"/>
      <c r="Z21" s="13" t="s">
        <v>0</v>
      </c>
      <c r="AA21" s="13" t="s">
        <v>0</v>
      </c>
      <c r="AB21" s="13" t="s">
        <v>0</v>
      </c>
      <c r="AC21" s="15">
        <v>0</v>
      </c>
    </row>
    <row r="22" spans="1:29" ht="14" customHeight="1" x14ac:dyDescent="0.25">
      <c r="A22" s="12" t="s">
        <v>0</v>
      </c>
      <c r="B22" s="13" t="s">
        <v>1</v>
      </c>
      <c r="C22" s="13" t="s">
        <v>4439</v>
      </c>
      <c r="D22" s="14">
        <v>44379</v>
      </c>
      <c r="E22" s="14">
        <v>44379</v>
      </c>
      <c r="F22" s="14">
        <v>44384</v>
      </c>
      <c r="G22" s="13" t="s">
        <v>3</v>
      </c>
      <c r="H22" s="13" t="s">
        <v>4</v>
      </c>
      <c r="I22" s="15">
        <v>-3053.72</v>
      </c>
      <c r="J22" s="13" t="s">
        <v>5</v>
      </c>
      <c r="K22" s="13" t="s">
        <v>6</v>
      </c>
      <c r="L22" s="15">
        <v>-256359.79</v>
      </c>
      <c r="M22" s="15">
        <v>-3053.72</v>
      </c>
      <c r="N22" s="13" t="s">
        <v>4440</v>
      </c>
      <c r="O22" s="13" t="s">
        <v>4438</v>
      </c>
      <c r="P22" s="13" t="s">
        <v>0</v>
      </c>
      <c r="Q22" s="13" t="s">
        <v>0</v>
      </c>
      <c r="R22" s="13" t="s">
        <v>9</v>
      </c>
      <c r="S22" s="13" t="s">
        <v>0</v>
      </c>
      <c r="T22" s="13" t="s">
        <v>0</v>
      </c>
      <c r="U22" s="13" t="s">
        <v>0</v>
      </c>
      <c r="V22" s="13" t="s">
        <v>0</v>
      </c>
      <c r="W22" s="13" t="s">
        <v>10</v>
      </c>
      <c r="X22" s="13" t="s">
        <v>0</v>
      </c>
      <c r="Y22" s="14"/>
      <c r="Z22" s="13" t="s">
        <v>0</v>
      </c>
      <c r="AA22" s="13" t="s">
        <v>0</v>
      </c>
      <c r="AB22" s="13" t="s">
        <v>0</v>
      </c>
      <c r="AC22" s="15">
        <v>0</v>
      </c>
    </row>
    <row r="23" spans="1:29" ht="14" customHeight="1" x14ac:dyDescent="0.25">
      <c r="A23" s="12" t="s">
        <v>0</v>
      </c>
      <c r="B23" s="13" t="s">
        <v>1</v>
      </c>
      <c r="C23" s="13" t="s">
        <v>4439</v>
      </c>
      <c r="D23" s="14">
        <v>44379</v>
      </c>
      <c r="E23" s="14">
        <v>44379</v>
      </c>
      <c r="F23" s="14">
        <v>44384</v>
      </c>
      <c r="G23" s="13" t="s">
        <v>3</v>
      </c>
      <c r="H23" s="13" t="s">
        <v>4</v>
      </c>
      <c r="I23" s="15">
        <v>-15722.95</v>
      </c>
      <c r="J23" s="13" t="s">
        <v>5</v>
      </c>
      <c r="K23" s="13" t="s">
        <v>6</v>
      </c>
      <c r="L23" s="15">
        <v>-1319941.6499999999</v>
      </c>
      <c r="M23" s="15">
        <v>-15722.95</v>
      </c>
      <c r="N23" s="13" t="s">
        <v>4440</v>
      </c>
      <c r="O23" s="13" t="s">
        <v>4438</v>
      </c>
      <c r="P23" s="13" t="s">
        <v>0</v>
      </c>
      <c r="Q23" s="13" t="s">
        <v>0</v>
      </c>
      <c r="R23" s="13" t="s">
        <v>9</v>
      </c>
      <c r="S23" s="13" t="s">
        <v>0</v>
      </c>
      <c r="T23" s="13" t="s">
        <v>0</v>
      </c>
      <c r="U23" s="13" t="s">
        <v>0</v>
      </c>
      <c r="V23" s="13" t="s">
        <v>0</v>
      </c>
      <c r="W23" s="13" t="s">
        <v>10</v>
      </c>
      <c r="X23" s="13" t="s">
        <v>0</v>
      </c>
      <c r="Y23" s="14"/>
      <c r="Z23" s="13" t="s">
        <v>0</v>
      </c>
      <c r="AA23" s="13" t="s">
        <v>0</v>
      </c>
      <c r="AB23" s="13" t="s">
        <v>0</v>
      </c>
      <c r="AC23" s="15">
        <v>0</v>
      </c>
    </row>
    <row r="24" spans="1:29" ht="14" customHeight="1" x14ac:dyDescent="0.25">
      <c r="A24" s="12" t="s">
        <v>0</v>
      </c>
      <c r="B24" s="13" t="s">
        <v>1</v>
      </c>
      <c r="C24" s="13" t="s">
        <v>4439</v>
      </c>
      <c r="D24" s="14">
        <v>44379</v>
      </c>
      <c r="E24" s="14">
        <v>44379</v>
      </c>
      <c r="F24" s="14">
        <v>44384</v>
      </c>
      <c r="G24" s="13" t="s">
        <v>3</v>
      </c>
      <c r="H24" s="13" t="s">
        <v>4</v>
      </c>
      <c r="I24" s="15">
        <v>-15726.18</v>
      </c>
      <c r="J24" s="13" t="s">
        <v>5</v>
      </c>
      <c r="K24" s="13" t="s">
        <v>6</v>
      </c>
      <c r="L24" s="15">
        <v>-1320212.81</v>
      </c>
      <c r="M24" s="15">
        <v>-15726.18</v>
      </c>
      <c r="N24" s="13" t="s">
        <v>4440</v>
      </c>
      <c r="O24" s="13" t="s">
        <v>4438</v>
      </c>
      <c r="P24" s="13" t="s">
        <v>0</v>
      </c>
      <c r="Q24" s="13" t="s">
        <v>0</v>
      </c>
      <c r="R24" s="13" t="s">
        <v>9</v>
      </c>
      <c r="S24" s="13" t="s">
        <v>0</v>
      </c>
      <c r="T24" s="13" t="s">
        <v>0</v>
      </c>
      <c r="U24" s="13" t="s">
        <v>0</v>
      </c>
      <c r="V24" s="13" t="s">
        <v>0</v>
      </c>
      <c r="W24" s="13" t="s">
        <v>10</v>
      </c>
      <c r="X24" s="13" t="s">
        <v>0</v>
      </c>
      <c r="Y24" s="14"/>
      <c r="Z24" s="13" t="s">
        <v>0</v>
      </c>
      <c r="AA24" s="13" t="s">
        <v>0</v>
      </c>
      <c r="AB24" s="13" t="s">
        <v>0</v>
      </c>
      <c r="AC24" s="15">
        <v>0</v>
      </c>
    </row>
    <row r="25" spans="1:29" ht="14" customHeight="1" x14ac:dyDescent="0.25">
      <c r="A25" s="12" t="s">
        <v>0</v>
      </c>
      <c r="B25" s="13" t="s">
        <v>1</v>
      </c>
      <c r="C25" s="13" t="s">
        <v>4441</v>
      </c>
      <c r="D25" s="14">
        <v>44380</v>
      </c>
      <c r="E25" s="14">
        <v>44380</v>
      </c>
      <c r="F25" s="14">
        <v>44384</v>
      </c>
      <c r="G25" s="13" t="s">
        <v>3</v>
      </c>
      <c r="H25" s="13" t="s">
        <v>4</v>
      </c>
      <c r="I25" s="15">
        <v>-13164.34</v>
      </c>
      <c r="J25" s="13" t="s">
        <v>5</v>
      </c>
      <c r="K25" s="13" t="s">
        <v>6</v>
      </c>
      <c r="L25" s="15">
        <v>-1105146.3400000001</v>
      </c>
      <c r="M25" s="15">
        <v>-13164.34</v>
      </c>
      <c r="N25" s="13" t="s">
        <v>4442</v>
      </c>
      <c r="O25" s="13" t="s">
        <v>4443</v>
      </c>
      <c r="P25" s="13" t="s">
        <v>0</v>
      </c>
      <c r="Q25" s="13" t="s">
        <v>0</v>
      </c>
      <c r="R25" s="13" t="s">
        <v>9</v>
      </c>
      <c r="S25" s="13" t="s">
        <v>0</v>
      </c>
      <c r="T25" s="13" t="s">
        <v>0</v>
      </c>
      <c r="U25" s="13" t="s">
        <v>0</v>
      </c>
      <c r="V25" s="13" t="s">
        <v>0</v>
      </c>
      <c r="W25" s="13" t="s">
        <v>10</v>
      </c>
      <c r="X25" s="13" t="s">
        <v>0</v>
      </c>
      <c r="Y25" s="14"/>
      <c r="Z25" s="13" t="s">
        <v>0</v>
      </c>
      <c r="AA25" s="13" t="s">
        <v>0</v>
      </c>
      <c r="AB25" s="13" t="s">
        <v>0</v>
      </c>
      <c r="AC25" s="15">
        <v>0</v>
      </c>
    </row>
    <row r="26" spans="1:29" ht="14" customHeight="1" x14ac:dyDescent="0.25">
      <c r="A26" s="12" t="s">
        <v>0</v>
      </c>
      <c r="B26" s="13" t="s">
        <v>1</v>
      </c>
      <c r="C26" s="13" t="s">
        <v>4444</v>
      </c>
      <c r="D26" s="14">
        <v>44382</v>
      </c>
      <c r="E26" s="14">
        <v>44382</v>
      </c>
      <c r="F26" s="14">
        <v>44381</v>
      </c>
      <c r="G26" s="13" t="s">
        <v>3</v>
      </c>
      <c r="H26" s="13" t="s">
        <v>4</v>
      </c>
      <c r="I26" s="15">
        <v>-3471.05</v>
      </c>
      <c r="J26" s="13" t="s">
        <v>5</v>
      </c>
      <c r="K26" s="13" t="s">
        <v>6</v>
      </c>
      <c r="L26" s="15">
        <v>-291394.65000000002</v>
      </c>
      <c r="M26" s="15">
        <v>-3471.05</v>
      </c>
      <c r="N26" s="13" t="s">
        <v>4445</v>
      </c>
      <c r="O26" s="13" t="s">
        <v>4446</v>
      </c>
      <c r="P26" s="13" t="s">
        <v>0</v>
      </c>
      <c r="Q26" s="13" t="s">
        <v>0</v>
      </c>
      <c r="R26" s="13" t="s">
        <v>9</v>
      </c>
      <c r="S26" s="13" t="s">
        <v>0</v>
      </c>
      <c r="T26" s="13" t="s">
        <v>0</v>
      </c>
      <c r="U26" s="13" t="s">
        <v>0</v>
      </c>
      <c r="V26" s="13" t="s">
        <v>0</v>
      </c>
      <c r="W26" s="13" t="s">
        <v>10</v>
      </c>
      <c r="X26" s="13" t="s">
        <v>0</v>
      </c>
      <c r="Y26" s="14"/>
      <c r="Z26" s="13" t="s">
        <v>0</v>
      </c>
      <c r="AA26" s="13" t="s">
        <v>0</v>
      </c>
      <c r="AB26" s="13" t="s">
        <v>0</v>
      </c>
      <c r="AC26" s="15">
        <v>0</v>
      </c>
    </row>
    <row r="27" spans="1:29" ht="14" customHeight="1" x14ac:dyDescent="0.25">
      <c r="A27" s="12" t="s">
        <v>0</v>
      </c>
      <c r="B27" s="13" t="s">
        <v>1</v>
      </c>
      <c r="C27" s="13" t="s">
        <v>4447</v>
      </c>
      <c r="D27" s="14">
        <v>44382</v>
      </c>
      <c r="E27" s="14">
        <v>44382</v>
      </c>
      <c r="F27" s="14">
        <v>44381</v>
      </c>
      <c r="G27" s="13" t="s">
        <v>3</v>
      </c>
      <c r="H27" s="13" t="s">
        <v>4</v>
      </c>
      <c r="I27" s="15">
        <v>-1779.9</v>
      </c>
      <c r="J27" s="13" t="s">
        <v>5</v>
      </c>
      <c r="K27" s="13" t="s">
        <v>6</v>
      </c>
      <c r="L27" s="15">
        <v>-149422.60999999999</v>
      </c>
      <c r="M27" s="15">
        <v>-1779.9</v>
      </c>
      <c r="N27" s="13" t="s">
        <v>4448</v>
      </c>
      <c r="O27" s="13" t="s">
        <v>4446</v>
      </c>
      <c r="P27" s="13" t="s">
        <v>0</v>
      </c>
      <c r="Q27" s="13" t="s">
        <v>0</v>
      </c>
      <c r="R27" s="13" t="s">
        <v>9</v>
      </c>
      <c r="S27" s="13" t="s">
        <v>0</v>
      </c>
      <c r="T27" s="13" t="s">
        <v>0</v>
      </c>
      <c r="U27" s="13" t="s">
        <v>0</v>
      </c>
      <c r="V27" s="13" t="s">
        <v>0</v>
      </c>
      <c r="W27" s="13" t="s">
        <v>10</v>
      </c>
      <c r="X27" s="13" t="s">
        <v>0</v>
      </c>
      <c r="Y27" s="14"/>
      <c r="Z27" s="13" t="s">
        <v>0</v>
      </c>
      <c r="AA27" s="13" t="s">
        <v>0</v>
      </c>
      <c r="AB27" s="13" t="s">
        <v>0</v>
      </c>
      <c r="AC27" s="15">
        <v>0</v>
      </c>
    </row>
    <row r="28" spans="1:29" ht="14" customHeight="1" x14ac:dyDescent="0.25">
      <c r="A28" s="12" t="s">
        <v>0</v>
      </c>
      <c r="B28" s="13" t="s">
        <v>1</v>
      </c>
      <c r="C28" s="13" t="s">
        <v>4449</v>
      </c>
      <c r="D28" s="14">
        <v>44382</v>
      </c>
      <c r="E28" s="14">
        <v>44382</v>
      </c>
      <c r="F28" s="14">
        <v>44381</v>
      </c>
      <c r="G28" s="13" t="s">
        <v>3</v>
      </c>
      <c r="H28" s="13" t="s">
        <v>4</v>
      </c>
      <c r="I28" s="15">
        <v>-2656.56</v>
      </c>
      <c r="J28" s="13" t="s">
        <v>5</v>
      </c>
      <c r="K28" s="13" t="s">
        <v>6</v>
      </c>
      <c r="L28" s="15">
        <v>-223018.21</v>
      </c>
      <c r="M28" s="15">
        <v>-2656.56</v>
      </c>
      <c r="N28" s="13" t="s">
        <v>4450</v>
      </c>
      <c r="O28" s="13" t="s">
        <v>4446</v>
      </c>
      <c r="P28" s="13" t="s">
        <v>0</v>
      </c>
      <c r="Q28" s="13" t="s">
        <v>0</v>
      </c>
      <c r="R28" s="13" t="s">
        <v>9</v>
      </c>
      <c r="S28" s="13" t="s">
        <v>0</v>
      </c>
      <c r="T28" s="13" t="s">
        <v>0</v>
      </c>
      <c r="U28" s="13" t="s">
        <v>0</v>
      </c>
      <c r="V28" s="13" t="s">
        <v>0</v>
      </c>
      <c r="W28" s="13" t="s">
        <v>10</v>
      </c>
      <c r="X28" s="13" t="s">
        <v>0</v>
      </c>
      <c r="Y28" s="14"/>
      <c r="Z28" s="13" t="s">
        <v>0</v>
      </c>
      <c r="AA28" s="13" t="s">
        <v>0</v>
      </c>
      <c r="AB28" s="13" t="s">
        <v>0</v>
      </c>
      <c r="AC28" s="15">
        <v>0</v>
      </c>
    </row>
    <row r="29" spans="1:29" ht="14" customHeight="1" x14ac:dyDescent="0.25">
      <c r="A29" s="12" t="s">
        <v>0</v>
      </c>
      <c r="B29" s="13" t="s">
        <v>1</v>
      </c>
      <c r="C29" s="13" t="s">
        <v>4451</v>
      </c>
      <c r="D29" s="14">
        <v>44382</v>
      </c>
      <c r="E29" s="14">
        <v>44382</v>
      </c>
      <c r="F29" s="14">
        <v>44385</v>
      </c>
      <c r="G29" s="13" t="s">
        <v>3</v>
      </c>
      <c r="H29" s="13" t="s">
        <v>4</v>
      </c>
      <c r="I29" s="15">
        <v>-4424.83</v>
      </c>
      <c r="J29" s="13" t="s">
        <v>5</v>
      </c>
      <c r="K29" s="13" t="s">
        <v>6</v>
      </c>
      <c r="L29" s="15">
        <v>-371464.48</v>
      </c>
      <c r="M29" s="15">
        <v>-4424.83</v>
      </c>
      <c r="N29" s="13" t="s">
        <v>4452</v>
      </c>
      <c r="O29" s="13" t="s">
        <v>4446</v>
      </c>
      <c r="P29" s="13" t="s">
        <v>0</v>
      </c>
      <c r="Q29" s="13" t="s">
        <v>0</v>
      </c>
      <c r="R29" s="13" t="s">
        <v>9</v>
      </c>
      <c r="S29" s="13" t="s">
        <v>0</v>
      </c>
      <c r="T29" s="13" t="s">
        <v>0</v>
      </c>
      <c r="U29" s="13" t="s">
        <v>0</v>
      </c>
      <c r="V29" s="13" t="s">
        <v>0</v>
      </c>
      <c r="W29" s="13" t="s">
        <v>10</v>
      </c>
      <c r="X29" s="13" t="s">
        <v>0</v>
      </c>
      <c r="Y29" s="14"/>
      <c r="Z29" s="13" t="s">
        <v>0</v>
      </c>
      <c r="AA29" s="13" t="s">
        <v>0</v>
      </c>
      <c r="AB29" s="13" t="s">
        <v>0</v>
      </c>
      <c r="AC29" s="15">
        <v>0</v>
      </c>
    </row>
    <row r="30" spans="1:29" ht="14" customHeight="1" x14ac:dyDescent="0.25">
      <c r="A30" s="12" t="s">
        <v>0</v>
      </c>
      <c r="B30" s="13" t="s">
        <v>1</v>
      </c>
      <c r="C30" s="13" t="s">
        <v>4453</v>
      </c>
      <c r="D30" s="14">
        <v>44382</v>
      </c>
      <c r="E30" s="14">
        <v>44382</v>
      </c>
      <c r="F30" s="14">
        <v>44386</v>
      </c>
      <c r="G30" s="13" t="s">
        <v>3</v>
      </c>
      <c r="H30" s="13" t="s">
        <v>4</v>
      </c>
      <c r="I30" s="15">
        <v>-18368.46</v>
      </c>
      <c r="J30" s="13" t="s">
        <v>5</v>
      </c>
      <c r="K30" s="13" t="s">
        <v>6</v>
      </c>
      <c r="L30" s="15">
        <v>-1542032.22</v>
      </c>
      <c r="M30" s="15">
        <v>-18368.46</v>
      </c>
      <c r="N30" s="13" t="s">
        <v>4454</v>
      </c>
      <c r="O30" s="13" t="s">
        <v>4446</v>
      </c>
      <c r="P30" s="13" t="s">
        <v>0</v>
      </c>
      <c r="Q30" s="13" t="s">
        <v>0</v>
      </c>
      <c r="R30" s="13" t="s">
        <v>9</v>
      </c>
      <c r="S30" s="13" t="s">
        <v>0</v>
      </c>
      <c r="T30" s="13" t="s">
        <v>0</v>
      </c>
      <c r="U30" s="13" t="s">
        <v>0</v>
      </c>
      <c r="V30" s="13" t="s">
        <v>0</v>
      </c>
      <c r="W30" s="13" t="s">
        <v>10</v>
      </c>
      <c r="X30" s="13" t="s">
        <v>0</v>
      </c>
      <c r="Y30" s="14"/>
      <c r="Z30" s="13" t="s">
        <v>0</v>
      </c>
      <c r="AA30" s="13" t="s">
        <v>0</v>
      </c>
      <c r="AB30" s="13" t="s">
        <v>0</v>
      </c>
      <c r="AC30" s="15">
        <v>0</v>
      </c>
    </row>
    <row r="31" spans="1:29" ht="14" customHeight="1" x14ac:dyDescent="0.25">
      <c r="A31" s="12" t="s">
        <v>0</v>
      </c>
      <c r="B31" s="13" t="s">
        <v>1</v>
      </c>
      <c r="C31" s="13" t="s">
        <v>4455</v>
      </c>
      <c r="D31" s="14">
        <v>44382</v>
      </c>
      <c r="E31" s="14">
        <v>44382</v>
      </c>
      <c r="F31" s="14">
        <v>44386</v>
      </c>
      <c r="G31" s="13" t="s">
        <v>3</v>
      </c>
      <c r="H31" s="13" t="s">
        <v>4</v>
      </c>
      <c r="I31" s="15">
        <v>-9715.1</v>
      </c>
      <c r="J31" s="13" t="s">
        <v>5</v>
      </c>
      <c r="K31" s="13" t="s">
        <v>6</v>
      </c>
      <c r="L31" s="15">
        <v>-815582.65</v>
      </c>
      <c r="M31" s="15">
        <v>-9715.1</v>
      </c>
      <c r="N31" s="13" t="s">
        <v>4456</v>
      </c>
      <c r="O31" s="13" t="s">
        <v>4446</v>
      </c>
      <c r="P31" s="13" t="s">
        <v>0</v>
      </c>
      <c r="Q31" s="13" t="s">
        <v>0</v>
      </c>
      <c r="R31" s="13" t="s">
        <v>9</v>
      </c>
      <c r="S31" s="13" t="s">
        <v>0</v>
      </c>
      <c r="T31" s="13" t="s">
        <v>0</v>
      </c>
      <c r="U31" s="13" t="s">
        <v>0</v>
      </c>
      <c r="V31" s="13" t="s">
        <v>0</v>
      </c>
      <c r="W31" s="13" t="s">
        <v>10</v>
      </c>
      <c r="X31" s="13" t="s">
        <v>0</v>
      </c>
      <c r="Y31" s="14"/>
      <c r="Z31" s="13" t="s">
        <v>0</v>
      </c>
      <c r="AA31" s="13" t="s">
        <v>0</v>
      </c>
      <c r="AB31" s="13" t="s">
        <v>0</v>
      </c>
      <c r="AC31" s="15">
        <v>0</v>
      </c>
    </row>
    <row r="32" spans="1:29" ht="14" customHeight="1" x14ac:dyDescent="0.25">
      <c r="A32" s="12" t="s">
        <v>0</v>
      </c>
      <c r="B32" s="13" t="s">
        <v>1</v>
      </c>
      <c r="C32" s="13" t="s">
        <v>4455</v>
      </c>
      <c r="D32" s="14">
        <v>44382</v>
      </c>
      <c r="E32" s="14">
        <v>44382</v>
      </c>
      <c r="F32" s="14">
        <v>44386</v>
      </c>
      <c r="G32" s="13" t="s">
        <v>3</v>
      </c>
      <c r="H32" s="13" t="s">
        <v>4</v>
      </c>
      <c r="I32" s="15">
        <v>-19729.12</v>
      </c>
      <c r="J32" s="13" t="s">
        <v>5</v>
      </c>
      <c r="K32" s="13" t="s">
        <v>6</v>
      </c>
      <c r="L32" s="15">
        <v>-1656259.62</v>
      </c>
      <c r="M32" s="15">
        <v>-19729.12</v>
      </c>
      <c r="N32" s="13" t="s">
        <v>4456</v>
      </c>
      <c r="O32" s="13" t="s">
        <v>4446</v>
      </c>
      <c r="P32" s="13" t="s">
        <v>0</v>
      </c>
      <c r="Q32" s="13" t="s">
        <v>0</v>
      </c>
      <c r="R32" s="13" t="s">
        <v>9</v>
      </c>
      <c r="S32" s="13" t="s">
        <v>0</v>
      </c>
      <c r="T32" s="13" t="s">
        <v>0</v>
      </c>
      <c r="U32" s="13" t="s">
        <v>0</v>
      </c>
      <c r="V32" s="13" t="s">
        <v>0</v>
      </c>
      <c r="W32" s="13" t="s">
        <v>10</v>
      </c>
      <c r="X32" s="13" t="s">
        <v>0</v>
      </c>
      <c r="Y32" s="14"/>
      <c r="Z32" s="13" t="s">
        <v>0</v>
      </c>
      <c r="AA32" s="13" t="s">
        <v>0</v>
      </c>
      <c r="AB32" s="13" t="s">
        <v>0</v>
      </c>
      <c r="AC32" s="15">
        <v>0</v>
      </c>
    </row>
    <row r="33" spans="1:29" ht="14" customHeight="1" x14ac:dyDescent="0.25">
      <c r="A33" s="12" t="s">
        <v>0</v>
      </c>
      <c r="B33" s="13" t="s">
        <v>1</v>
      </c>
      <c r="C33" s="13" t="s">
        <v>4457</v>
      </c>
      <c r="D33" s="14">
        <v>44382</v>
      </c>
      <c r="E33" s="14">
        <v>44382</v>
      </c>
      <c r="F33" s="14">
        <v>44386</v>
      </c>
      <c r="G33" s="13" t="s">
        <v>3</v>
      </c>
      <c r="H33" s="13" t="s">
        <v>4</v>
      </c>
      <c r="I33" s="15">
        <v>-14567.66</v>
      </c>
      <c r="J33" s="13" t="s">
        <v>5</v>
      </c>
      <c r="K33" s="13" t="s">
        <v>6</v>
      </c>
      <c r="L33" s="15">
        <v>-1222955.06</v>
      </c>
      <c r="M33" s="15">
        <v>-14567.66</v>
      </c>
      <c r="N33" s="13" t="s">
        <v>4458</v>
      </c>
      <c r="O33" s="13" t="s">
        <v>4446</v>
      </c>
      <c r="P33" s="13" t="s">
        <v>0</v>
      </c>
      <c r="Q33" s="13" t="s">
        <v>0</v>
      </c>
      <c r="R33" s="13" t="s">
        <v>9</v>
      </c>
      <c r="S33" s="13" t="s">
        <v>0</v>
      </c>
      <c r="T33" s="13" t="s">
        <v>0</v>
      </c>
      <c r="U33" s="13" t="s">
        <v>0</v>
      </c>
      <c r="V33" s="13" t="s">
        <v>0</v>
      </c>
      <c r="W33" s="13" t="s">
        <v>10</v>
      </c>
      <c r="X33" s="13" t="s">
        <v>0</v>
      </c>
      <c r="Y33" s="14"/>
      <c r="Z33" s="13" t="s">
        <v>0</v>
      </c>
      <c r="AA33" s="13" t="s">
        <v>0</v>
      </c>
      <c r="AB33" s="13" t="s">
        <v>0</v>
      </c>
      <c r="AC33" s="15">
        <v>0</v>
      </c>
    </row>
    <row r="34" spans="1:29" ht="14" customHeight="1" x14ac:dyDescent="0.25">
      <c r="A34" s="12" t="s">
        <v>0</v>
      </c>
      <c r="B34" s="13" t="s">
        <v>1</v>
      </c>
      <c r="C34" s="13" t="s">
        <v>4457</v>
      </c>
      <c r="D34" s="14">
        <v>44382</v>
      </c>
      <c r="E34" s="14">
        <v>44382</v>
      </c>
      <c r="F34" s="14">
        <v>44386</v>
      </c>
      <c r="G34" s="13" t="s">
        <v>3</v>
      </c>
      <c r="H34" s="13" t="s">
        <v>4</v>
      </c>
      <c r="I34" s="15">
        <v>-1972.71</v>
      </c>
      <c r="J34" s="13" t="s">
        <v>5</v>
      </c>
      <c r="K34" s="13" t="s">
        <v>6</v>
      </c>
      <c r="L34" s="15">
        <v>-165609</v>
      </c>
      <c r="M34" s="15">
        <v>-1972.71</v>
      </c>
      <c r="N34" s="13" t="s">
        <v>4458</v>
      </c>
      <c r="O34" s="13" t="s">
        <v>4446</v>
      </c>
      <c r="P34" s="13" t="s">
        <v>0</v>
      </c>
      <c r="Q34" s="13" t="s">
        <v>0</v>
      </c>
      <c r="R34" s="13" t="s">
        <v>9</v>
      </c>
      <c r="S34" s="13" t="s">
        <v>0</v>
      </c>
      <c r="T34" s="13" t="s">
        <v>0</v>
      </c>
      <c r="U34" s="13" t="s">
        <v>0</v>
      </c>
      <c r="V34" s="13" t="s">
        <v>0</v>
      </c>
      <c r="W34" s="13" t="s">
        <v>10</v>
      </c>
      <c r="X34" s="13" t="s">
        <v>0</v>
      </c>
      <c r="Y34" s="14"/>
      <c r="Z34" s="13" t="s">
        <v>0</v>
      </c>
      <c r="AA34" s="13" t="s">
        <v>0</v>
      </c>
      <c r="AB34" s="13" t="s">
        <v>0</v>
      </c>
      <c r="AC34" s="15">
        <v>0</v>
      </c>
    </row>
    <row r="35" spans="1:29" ht="14" customHeight="1" x14ac:dyDescent="0.25">
      <c r="A35" s="12" t="s">
        <v>0</v>
      </c>
      <c r="B35" s="13" t="s">
        <v>1</v>
      </c>
      <c r="C35" s="13" t="s">
        <v>4457</v>
      </c>
      <c r="D35" s="14">
        <v>44382</v>
      </c>
      <c r="E35" s="14">
        <v>44382</v>
      </c>
      <c r="F35" s="14">
        <v>44386</v>
      </c>
      <c r="G35" s="13" t="s">
        <v>3</v>
      </c>
      <c r="H35" s="13" t="s">
        <v>4</v>
      </c>
      <c r="I35" s="15">
        <v>-2012.57</v>
      </c>
      <c r="J35" s="13" t="s">
        <v>5</v>
      </c>
      <c r="K35" s="13" t="s">
        <v>6</v>
      </c>
      <c r="L35" s="15">
        <v>-168955.25</v>
      </c>
      <c r="M35" s="15">
        <v>-2012.57</v>
      </c>
      <c r="N35" s="13" t="s">
        <v>4458</v>
      </c>
      <c r="O35" s="13" t="s">
        <v>4446</v>
      </c>
      <c r="P35" s="13" t="s">
        <v>0</v>
      </c>
      <c r="Q35" s="13" t="s">
        <v>0</v>
      </c>
      <c r="R35" s="13" t="s">
        <v>9</v>
      </c>
      <c r="S35" s="13" t="s">
        <v>0</v>
      </c>
      <c r="T35" s="13" t="s">
        <v>0</v>
      </c>
      <c r="U35" s="13" t="s">
        <v>0</v>
      </c>
      <c r="V35" s="13" t="s">
        <v>0</v>
      </c>
      <c r="W35" s="13" t="s">
        <v>10</v>
      </c>
      <c r="X35" s="13" t="s">
        <v>0</v>
      </c>
      <c r="Y35" s="14"/>
      <c r="Z35" s="13" t="s">
        <v>0</v>
      </c>
      <c r="AA35" s="13" t="s">
        <v>0</v>
      </c>
      <c r="AB35" s="13" t="s">
        <v>0</v>
      </c>
      <c r="AC35" s="15">
        <v>0</v>
      </c>
    </row>
    <row r="36" spans="1:29" ht="14" customHeight="1" x14ac:dyDescent="0.25">
      <c r="A36" s="12" t="s">
        <v>0</v>
      </c>
      <c r="B36" s="13" t="s">
        <v>1</v>
      </c>
      <c r="C36" s="13" t="s">
        <v>4457</v>
      </c>
      <c r="D36" s="14">
        <v>44382</v>
      </c>
      <c r="E36" s="14">
        <v>44382</v>
      </c>
      <c r="F36" s="14">
        <v>44386</v>
      </c>
      <c r="G36" s="13" t="s">
        <v>3</v>
      </c>
      <c r="H36" s="13" t="s">
        <v>4</v>
      </c>
      <c r="I36" s="15">
        <v>-1912.93</v>
      </c>
      <c r="J36" s="13" t="s">
        <v>5</v>
      </c>
      <c r="K36" s="13" t="s">
        <v>6</v>
      </c>
      <c r="L36" s="15">
        <v>-160590.47</v>
      </c>
      <c r="M36" s="15">
        <v>-1912.93</v>
      </c>
      <c r="N36" s="13" t="s">
        <v>4458</v>
      </c>
      <c r="O36" s="13" t="s">
        <v>4446</v>
      </c>
      <c r="P36" s="13" t="s">
        <v>0</v>
      </c>
      <c r="Q36" s="13" t="s">
        <v>0</v>
      </c>
      <c r="R36" s="13" t="s">
        <v>9</v>
      </c>
      <c r="S36" s="13" t="s">
        <v>0</v>
      </c>
      <c r="T36" s="13" t="s">
        <v>0</v>
      </c>
      <c r="U36" s="13" t="s">
        <v>0</v>
      </c>
      <c r="V36" s="13" t="s">
        <v>0</v>
      </c>
      <c r="W36" s="13" t="s">
        <v>10</v>
      </c>
      <c r="X36" s="13" t="s">
        <v>0</v>
      </c>
      <c r="Y36" s="14"/>
      <c r="Z36" s="13" t="s">
        <v>0</v>
      </c>
      <c r="AA36" s="13" t="s">
        <v>0</v>
      </c>
      <c r="AB36" s="13" t="s">
        <v>0</v>
      </c>
      <c r="AC36" s="15">
        <v>0</v>
      </c>
    </row>
    <row r="37" spans="1:29" ht="14" customHeight="1" x14ac:dyDescent="0.25">
      <c r="A37" s="12" t="s">
        <v>0</v>
      </c>
      <c r="B37" s="13" t="s">
        <v>1</v>
      </c>
      <c r="C37" s="13" t="s">
        <v>4457</v>
      </c>
      <c r="D37" s="14">
        <v>44382</v>
      </c>
      <c r="E37" s="14">
        <v>44382</v>
      </c>
      <c r="F37" s="14">
        <v>44386</v>
      </c>
      <c r="G37" s="13" t="s">
        <v>3</v>
      </c>
      <c r="H37" s="13" t="s">
        <v>4</v>
      </c>
      <c r="I37" s="15">
        <v>-1922.9</v>
      </c>
      <c r="J37" s="13" t="s">
        <v>5</v>
      </c>
      <c r="K37" s="13" t="s">
        <v>6</v>
      </c>
      <c r="L37" s="15">
        <v>-161427.46</v>
      </c>
      <c r="M37" s="15">
        <v>-1922.9</v>
      </c>
      <c r="N37" s="13" t="s">
        <v>4458</v>
      </c>
      <c r="O37" s="13" t="s">
        <v>4446</v>
      </c>
      <c r="P37" s="13" t="s">
        <v>0</v>
      </c>
      <c r="Q37" s="13" t="s">
        <v>0</v>
      </c>
      <c r="R37" s="13" t="s">
        <v>9</v>
      </c>
      <c r="S37" s="13" t="s">
        <v>0</v>
      </c>
      <c r="T37" s="13" t="s">
        <v>0</v>
      </c>
      <c r="U37" s="13" t="s">
        <v>0</v>
      </c>
      <c r="V37" s="13" t="s">
        <v>0</v>
      </c>
      <c r="W37" s="13" t="s">
        <v>10</v>
      </c>
      <c r="X37" s="13" t="s">
        <v>0</v>
      </c>
      <c r="Y37" s="14"/>
      <c r="Z37" s="13" t="s">
        <v>0</v>
      </c>
      <c r="AA37" s="13" t="s">
        <v>0</v>
      </c>
      <c r="AB37" s="13" t="s">
        <v>0</v>
      </c>
      <c r="AC37" s="15">
        <v>0</v>
      </c>
    </row>
    <row r="38" spans="1:29" ht="14" customHeight="1" x14ac:dyDescent="0.25">
      <c r="A38" s="12" t="s">
        <v>0</v>
      </c>
      <c r="B38" s="13" t="s">
        <v>1</v>
      </c>
      <c r="C38" s="13" t="s">
        <v>4457</v>
      </c>
      <c r="D38" s="14">
        <v>44382</v>
      </c>
      <c r="E38" s="14">
        <v>44382</v>
      </c>
      <c r="F38" s="14">
        <v>44386</v>
      </c>
      <c r="G38" s="13" t="s">
        <v>3</v>
      </c>
      <c r="H38" s="13" t="s">
        <v>4</v>
      </c>
      <c r="I38" s="15">
        <v>-1536.36</v>
      </c>
      <c r="J38" s="13" t="s">
        <v>5</v>
      </c>
      <c r="K38" s="13" t="s">
        <v>6</v>
      </c>
      <c r="L38" s="15">
        <v>-128977.42</v>
      </c>
      <c r="M38" s="15">
        <v>-1536.36</v>
      </c>
      <c r="N38" s="13" t="s">
        <v>4458</v>
      </c>
      <c r="O38" s="13" t="s">
        <v>4446</v>
      </c>
      <c r="P38" s="13" t="s">
        <v>0</v>
      </c>
      <c r="Q38" s="13" t="s">
        <v>0</v>
      </c>
      <c r="R38" s="13" t="s">
        <v>9</v>
      </c>
      <c r="S38" s="13" t="s">
        <v>0</v>
      </c>
      <c r="T38" s="13" t="s">
        <v>0</v>
      </c>
      <c r="U38" s="13" t="s">
        <v>0</v>
      </c>
      <c r="V38" s="13" t="s">
        <v>0</v>
      </c>
      <c r="W38" s="13" t="s">
        <v>10</v>
      </c>
      <c r="X38" s="13" t="s">
        <v>0</v>
      </c>
      <c r="Y38" s="14"/>
      <c r="Z38" s="13" t="s">
        <v>0</v>
      </c>
      <c r="AA38" s="13" t="s">
        <v>0</v>
      </c>
      <c r="AB38" s="13" t="s">
        <v>0</v>
      </c>
      <c r="AC38" s="15">
        <v>0</v>
      </c>
    </row>
    <row r="39" spans="1:29" ht="14" customHeight="1" x14ac:dyDescent="0.25">
      <c r="A39" s="12" t="s">
        <v>0</v>
      </c>
      <c r="B39" s="13" t="s">
        <v>1</v>
      </c>
      <c r="C39" s="13" t="s">
        <v>4459</v>
      </c>
      <c r="D39" s="14">
        <v>44382</v>
      </c>
      <c r="E39" s="14">
        <v>44382</v>
      </c>
      <c r="F39" s="14">
        <v>44386</v>
      </c>
      <c r="G39" s="13" t="s">
        <v>3</v>
      </c>
      <c r="H39" s="13" t="s">
        <v>4</v>
      </c>
      <c r="I39" s="15">
        <v>-24368.77</v>
      </c>
      <c r="J39" s="13" t="s">
        <v>5</v>
      </c>
      <c r="K39" s="13" t="s">
        <v>6</v>
      </c>
      <c r="L39" s="15">
        <v>-2045758.24</v>
      </c>
      <c r="M39" s="15">
        <v>-24368.77</v>
      </c>
      <c r="N39" s="13" t="s">
        <v>4460</v>
      </c>
      <c r="O39" s="13" t="s">
        <v>4446</v>
      </c>
      <c r="P39" s="13" t="s">
        <v>0</v>
      </c>
      <c r="Q39" s="13" t="s">
        <v>0</v>
      </c>
      <c r="R39" s="13" t="s">
        <v>9</v>
      </c>
      <c r="S39" s="13" t="s">
        <v>0</v>
      </c>
      <c r="T39" s="13" t="s">
        <v>0</v>
      </c>
      <c r="U39" s="13" t="s">
        <v>0</v>
      </c>
      <c r="V39" s="13" t="s">
        <v>0</v>
      </c>
      <c r="W39" s="13" t="s">
        <v>10</v>
      </c>
      <c r="X39" s="13" t="s">
        <v>0</v>
      </c>
      <c r="Y39" s="14"/>
      <c r="Z39" s="13" t="s">
        <v>0</v>
      </c>
      <c r="AA39" s="13" t="s">
        <v>0</v>
      </c>
      <c r="AB39" s="13" t="s">
        <v>0</v>
      </c>
      <c r="AC39" s="15">
        <v>0</v>
      </c>
    </row>
    <row r="40" spans="1:29" ht="14" customHeight="1" x14ac:dyDescent="0.25">
      <c r="A40" s="12" t="s">
        <v>0</v>
      </c>
      <c r="B40" s="13" t="s">
        <v>1</v>
      </c>
      <c r="C40" s="13" t="s">
        <v>4461</v>
      </c>
      <c r="D40" s="14">
        <v>44382</v>
      </c>
      <c r="E40" s="14">
        <v>44382</v>
      </c>
      <c r="F40" s="14">
        <v>44386</v>
      </c>
      <c r="G40" s="13" t="s">
        <v>3</v>
      </c>
      <c r="H40" s="13" t="s">
        <v>4</v>
      </c>
      <c r="I40" s="15">
        <v>-27114.41</v>
      </c>
      <c r="J40" s="13" t="s">
        <v>5</v>
      </c>
      <c r="K40" s="13" t="s">
        <v>6</v>
      </c>
      <c r="L40" s="15">
        <v>-2276254.7200000002</v>
      </c>
      <c r="M40" s="15">
        <v>-27114.41</v>
      </c>
      <c r="N40" s="13" t="s">
        <v>4462</v>
      </c>
      <c r="O40" s="13" t="s">
        <v>4446</v>
      </c>
      <c r="P40" s="13" t="s">
        <v>0</v>
      </c>
      <c r="Q40" s="13" t="s">
        <v>0</v>
      </c>
      <c r="R40" s="13" t="s">
        <v>9</v>
      </c>
      <c r="S40" s="13" t="s">
        <v>0</v>
      </c>
      <c r="T40" s="13" t="s">
        <v>0</v>
      </c>
      <c r="U40" s="13" t="s">
        <v>0</v>
      </c>
      <c r="V40" s="13" t="s">
        <v>0</v>
      </c>
      <c r="W40" s="13" t="s">
        <v>10</v>
      </c>
      <c r="X40" s="13" t="s">
        <v>0</v>
      </c>
      <c r="Y40" s="14"/>
      <c r="Z40" s="13" t="s">
        <v>0</v>
      </c>
      <c r="AA40" s="13" t="s">
        <v>0</v>
      </c>
      <c r="AB40" s="13" t="s">
        <v>0</v>
      </c>
      <c r="AC40" s="15">
        <v>0</v>
      </c>
    </row>
    <row r="41" spans="1:29" ht="14" customHeight="1" x14ac:dyDescent="0.25">
      <c r="A41" s="12" t="s">
        <v>0</v>
      </c>
      <c r="B41" s="13" t="s">
        <v>1</v>
      </c>
      <c r="C41" s="13" t="s">
        <v>4463</v>
      </c>
      <c r="D41" s="14">
        <v>44382</v>
      </c>
      <c r="E41" s="14">
        <v>44382</v>
      </c>
      <c r="F41" s="14">
        <v>44386</v>
      </c>
      <c r="G41" s="13" t="s">
        <v>3</v>
      </c>
      <c r="H41" s="13" t="s">
        <v>4</v>
      </c>
      <c r="I41" s="15">
        <v>-21262.58</v>
      </c>
      <c r="J41" s="13" t="s">
        <v>5</v>
      </c>
      <c r="K41" s="13" t="s">
        <v>6</v>
      </c>
      <c r="L41" s="15">
        <v>-1784993.59</v>
      </c>
      <c r="M41" s="15">
        <v>-21262.58</v>
      </c>
      <c r="N41" s="13" t="s">
        <v>4464</v>
      </c>
      <c r="O41" s="13" t="s">
        <v>4446</v>
      </c>
      <c r="P41" s="13" t="s">
        <v>0</v>
      </c>
      <c r="Q41" s="13" t="s">
        <v>0</v>
      </c>
      <c r="R41" s="13" t="s">
        <v>9</v>
      </c>
      <c r="S41" s="13" t="s">
        <v>0</v>
      </c>
      <c r="T41" s="13" t="s">
        <v>0</v>
      </c>
      <c r="U41" s="13" t="s">
        <v>0</v>
      </c>
      <c r="V41" s="13" t="s">
        <v>0</v>
      </c>
      <c r="W41" s="13" t="s">
        <v>10</v>
      </c>
      <c r="X41" s="13" t="s">
        <v>0</v>
      </c>
      <c r="Y41" s="14"/>
      <c r="Z41" s="13" t="s">
        <v>0</v>
      </c>
      <c r="AA41" s="13" t="s">
        <v>0</v>
      </c>
      <c r="AB41" s="13" t="s">
        <v>0</v>
      </c>
      <c r="AC41" s="15">
        <v>0</v>
      </c>
    </row>
    <row r="42" spans="1:29" ht="14" customHeight="1" x14ac:dyDescent="0.25">
      <c r="A42" s="12" t="s">
        <v>0</v>
      </c>
      <c r="B42" s="13" t="s">
        <v>1</v>
      </c>
      <c r="C42" s="13" t="s">
        <v>4465</v>
      </c>
      <c r="D42" s="14">
        <v>44382</v>
      </c>
      <c r="E42" s="14">
        <v>44382</v>
      </c>
      <c r="F42" s="14">
        <v>44386</v>
      </c>
      <c r="G42" s="13" t="s">
        <v>3</v>
      </c>
      <c r="H42" s="13" t="s">
        <v>4</v>
      </c>
      <c r="I42" s="15">
        <v>-1895.3</v>
      </c>
      <c r="J42" s="13" t="s">
        <v>5</v>
      </c>
      <c r="K42" s="13" t="s">
        <v>6</v>
      </c>
      <c r="L42" s="15">
        <v>-159110.43</v>
      </c>
      <c r="M42" s="15">
        <v>-1895.3</v>
      </c>
      <c r="N42" s="13" t="s">
        <v>4466</v>
      </c>
      <c r="O42" s="13" t="s">
        <v>4446</v>
      </c>
      <c r="P42" s="13" t="s">
        <v>0</v>
      </c>
      <c r="Q42" s="13" t="s">
        <v>0</v>
      </c>
      <c r="R42" s="13" t="s">
        <v>9</v>
      </c>
      <c r="S42" s="13" t="s">
        <v>0</v>
      </c>
      <c r="T42" s="13" t="s">
        <v>0</v>
      </c>
      <c r="U42" s="13" t="s">
        <v>0</v>
      </c>
      <c r="V42" s="13" t="s">
        <v>0</v>
      </c>
      <c r="W42" s="13" t="s">
        <v>10</v>
      </c>
      <c r="X42" s="13" t="s">
        <v>0</v>
      </c>
      <c r="Y42" s="14"/>
      <c r="Z42" s="13" t="s">
        <v>0</v>
      </c>
      <c r="AA42" s="13" t="s">
        <v>0</v>
      </c>
      <c r="AB42" s="13" t="s">
        <v>0</v>
      </c>
      <c r="AC42" s="15">
        <v>0</v>
      </c>
    </row>
    <row r="43" spans="1:29" ht="14" customHeight="1" x14ac:dyDescent="0.25">
      <c r="A43" s="12" t="s">
        <v>0</v>
      </c>
      <c r="B43" s="13" t="s">
        <v>1</v>
      </c>
      <c r="C43" s="13" t="s">
        <v>4465</v>
      </c>
      <c r="D43" s="14">
        <v>44382</v>
      </c>
      <c r="E43" s="14">
        <v>44382</v>
      </c>
      <c r="F43" s="14">
        <v>44386</v>
      </c>
      <c r="G43" s="13" t="s">
        <v>3</v>
      </c>
      <c r="H43" s="13" t="s">
        <v>4</v>
      </c>
      <c r="I43" s="15">
        <v>-7281.9</v>
      </c>
      <c r="J43" s="13" t="s">
        <v>5</v>
      </c>
      <c r="K43" s="13" t="s">
        <v>6</v>
      </c>
      <c r="L43" s="15">
        <v>-611315.51</v>
      </c>
      <c r="M43" s="15">
        <v>-7281.9</v>
      </c>
      <c r="N43" s="13" t="s">
        <v>4466</v>
      </c>
      <c r="O43" s="13" t="s">
        <v>4446</v>
      </c>
      <c r="P43" s="13" t="s">
        <v>0</v>
      </c>
      <c r="Q43" s="13" t="s">
        <v>0</v>
      </c>
      <c r="R43" s="13" t="s">
        <v>9</v>
      </c>
      <c r="S43" s="13" t="s">
        <v>0</v>
      </c>
      <c r="T43" s="13" t="s">
        <v>0</v>
      </c>
      <c r="U43" s="13" t="s">
        <v>0</v>
      </c>
      <c r="V43" s="13" t="s">
        <v>0</v>
      </c>
      <c r="W43" s="13" t="s">
        <v>10</v>
      </c>
      <c r="X43" s="13" t="s">
        <v>0</v>
      </c>
      <c r="Y43" s="14"/>
      <c r="Z43" s="13" t="s">
        <v>0</v>
      </c>
      <c r="AA43" s="13" t="s">
        <v>0</v>
      </c>
      <c r="AB43" s="13" t="s">
        <v>0</v>
      </c>
      <c r="AC43" s="15">
        <v>0</v>
      </c>
    </row>
    <row r="44" spans="1:29" ht="14" customHeight="1" x14ac:dyDescent="0.25">
      <c r="A44" s="12" t="s">
        <v>0</v>
      </c>
      <c r="B44" s="13" t="s">
        <v>1</v>
      </c>
      <c r="C44" s="13" t="s">
        <v>4465</v>
      </c>
      <c r="D44" s="14">
        <v>44382</v>
      </c>
      <c r="E44" s="14">
        <v>44382</v>
      </c>
      <c r="F44" s="14">
        <v>44386</v>
      </c>
      <c r="G44" s="13" t="s">
        <v>3</v>
      </c>
      <c r="H44" s="13" t="s">
        <v>4</v>
      </c>
      <c r="I44" s="15">
        <v>-8150.1</v>
      </c>
      <c r="J44" s="13" t="s">
        <v>5</v>
      </c>
      <c r="K44" s="13" t="s">
        <v>6</v>
      </c>
      <c r="L44" s="15">
        <v>-684200.9</v>
      </c>
      <c r="M44" s="15">
        <v>-8150.1</v>
      </c>
      <c r="N44" s="13" t="s">
        <v>4466</v>
      </c>
      <c r="O44" s="13" t="s">
        <v>4446</v>
      </c>
      <c r="P44" s="13" t="s">
        <v>0</v>
      </c>
      <c r="Q44" s="13" t="s">
        <v>0</v>
      </c>
      <c r="R44" s="13" t="s">
        <v>9</v>
      </c>
      <c r="S44" s="13" t="s">
        <v>0</v>
      </c>
      <c r="T44" s="13" t="s">
        <v>0</v>
      </c>
      <c r="U44" s="13" t="s">
        <v>0</v>
      </c>
      <c r="V44" s="13" t="s">
        <v>0</v>
      </c>
      <c r="W44" s="13" t="s">
        <v>10</v>
      </c>
      <c r="X44" s="13" t="s">
        <v>0</v>
      </c>
      <c r="Y44" s="14"/>
      <c r="Z44" s="13" t="s">
        <v>0</v>
      </c>
      <c r="AA44" s="13" t="s">
        <v>0</v>
      </c>
      <c r="AB44" s="13" t="s">
        <v>0</v>
      </c>
      <c r="AC44" s="15">
        <v>0</v>
      </c>
    </row>
    <row r="45" spans="1:29" ht="14" customHeight="1" x14ac:dyDescent="0.25">
      <c r="A45" s="12" t="s">
        <v>0</v>
      </c>
      <c r="B45" s="13" t="s">
        <v>1</v>
      </c>
      <c r="C45" s="13" t="s">
        <v>4467</v>
      </c>
      <c r="D45" s="14">
        <v>44382</v>
      </c>
      <c r="E45" s="14">
        <v>44382</v>
      </c>
      <c r="F45" s="14">
        <v>44387</v>
      </c>
      <c r="G45" s="13" t="s">
        <v>3</v>
      </c>
      <c r="H45" s="13" t="s">
        <v>4</v>
      </c>
      <c r="I45" s="15">
        <v>-2396.7800000000002</v>
      </c>
      <c r="J45" s="13" t="s">
        <v>5</v>
      </c>
      <c r="K45" s="13" t="s">
        <v>6</v>
      </c>
      <c r="L45" s="15">
        <v>-201209.68</v>
      </c>
      <c r="M45" s="15">
        <v>-2396.7800000000002</v>
      </c>
      <c r="N45" s="13" t="s">
        <v>4468</v>
      </c>
      <c r="O45" s="13" t="s">
        <v>4446</v>
      </c>
      <c r="P45" s="13" t="s">
        <v>0</v>
      </c>
      <c r="Q45" s="13" t="s">
        <v>0</v>
      </c>
      <c r="R45" s="13" t="s">
        <v>9</v>
      </c>
      <c r="S45" s="13" t="s">
        <v>0</v>
      </c>
      <c r="T45" s="13" t="s">
        <v>0</v>
      </c>
      <c r="U45" s="13" t="s">
        <v>0</v>
      </c>
      <c r="V45" s="13" t="s">
        <v>0</v>
      </c>
      <c r="W45" s="13" t="s">
        <v>10</v>
      </c>
      <c r="X45" s="13" t="s">
        <v>0</v>
      </c>
      <c r="Y45" s="14"/>
      <c r="Z45" s="13" t="s">
        <v>0</v>
      </c>
      <c r="AA45" s="13" t="s">
        <v>0</v>
      </c>
      <c r="AB45" s="13" t="s">
        <v>0</v>
      </c>
      <c r="AC45" s="15">
        <v>0</v>
      </c>
    </row>
    <row r="46" spans="1:29" ht="14" customHeight="1" x14ac:dyDescent="0.25">
      <c r="A46" s="12" t="s">
        <v>0</v>
      </c>
      <c r="B46" s="13" t="s">
        <v>1</v>
      </c>
      <c r="C46" s="13" t="s">
        <v>4469</v>
      </c>
      <c r="D46" s="14">
        <v>44383</v>
      </c>
      <c r="E46" s="14">
        <v>44383</v>
      </c>
      <c r="F46" s="14">
        <v>44386</v>
      </c>
      <c r="G46" s="13" t="s">
        <v>3</v>
      </c>
      <c r="H46" s="13" t="s">
        <v>4</v>
      </c>
      <c r="I46" s="15">
        <v>-26229.05</v>
      </c>
      <c r="J46" s="13" t="s">
        <v>5</v>
      </c>
      <c r="K46" s="13" t="s">
        <v>6</v>
      </c>
      <c r="L46" s="15">
        <v>-2201928.75</v>
      </c>
      <c r="M46" s="15">
        <v>-26229.05</v>
      </c>
      <c r="N46" s="13" t="s">
        <v>4470</v>
      </c>
      <c r="O46" s="13" t="s">
        <v>4471</v>
      </c>
      <c r="P46" s="13" t="s">
        <v>0</v>
      </c>
      <c r="Q46" s="13" t="s">
        <v>0</v>
      </c>
      <c r="R46" s="13" t="s">
        <v>9</v>
      </c>
      <c r="S46" s="13" t="s">
        <v>0</v>
      </c>
      <c r="T46" s="13" t="s">
        <v>0</v>
      </c>
      <c r="U46" s="13" t="s">
        <v>0</v>
      </c>
      <c r="V46" s="13" t="s">
        <v>0</v>
      </c>
      <c r="W46" s="13" t="s">
        <v>10</v>
      </c>
      <c r="X46" s="13" t="s">
        <v>0</v>
      </c>
      <c r="Y46" s="14"/>
      <c r="Z46" s="13" t="s">
        <v>0</v>
      </c>
      <c r="AA46" s="13" t="s">
        <v>0</v>
      </c>
      <c r="AB46" s="13" t="s">
        <v>0</v>
      </c>
      <c r="AC46" s="15">
        <v>0</v>
      </c>
    </row>
    <row r="47" spans="1:29" ht="14" customHeight="1" x14ac:dyDescent="0.25">
      <c r="A47" s="12" t="s">
        <v>0</v>
      </c>
      <c r="B47" s="13" t="s">
        <v>1</v>
      </c>
      <c r="C47" s="13" t="s">
        <v>4472</v>
      </c>
      <c r="D47" s="14">
        <v>44383</v>
      </c>
      <c r="E47" s="14">
        <v>44383</v>
      </c>
      <c r="F47" s="14">
        <v>44386</v>
      </c>
      <c r="G47" s="13" t="s">
        <v>3</v>
      </c>
      <c r="H47" s="13" t="s">
        <v>4</v>
      </c>
      <c r="I47" s="15">
        <v>-3552.2</v>
      </c>
      <c r="J47" s="13" t="s">
        <v>5</v>
      </c>
      <c r="K47" s="13" t="s">
        <v>6</v>
      </c>
      <c r="L47" s="15">
        <v>-298207.19</v>
      </c>
      <c r="M47" s="15">
        <v>-3552.2</v>
      </c>
      <c r="N47" s="13" t="s">
        <v>4473</v>
      </c>
      <c r="O47" s="13" t="s">
        <v>4471</v>
      </c>
      <c r="P47" s="13" t="s">
        <v>0</v>
      </c>
      <c r="Q47" s="13" t="s">
        <v>0</v>
      </c>
      <c r="R47" s="13" t="s">
        <v>9</v>
      </c>
      <c r="S47" s="13" t="s">
        <v>0</v>
      </c>
      <c r="T47" s="13" t="s">
        <v>0</v>
      </c>
      <c r="U47" s="13" t="s">
        <v>0</v>
      </c>
      <c r="V47" s="13" t="s">
        <v>0</v>
      </c>
      <c r="W47" s="13" t="s">
        <v>10</v>
      </c>
      <c r="X47" s="13" t="s">
        <v>0</v>
      </c>
      <c r="Y47" s="14"/>
      <c r="Z47" s="13" t="s">
        <v>0</v>
      </c>
      <c r="AA47" s="13" t="s">
        <v>0</v>
      </c>
      <c r="AB47" s="13" t="s">
        <v>0</v>
      </c>
      <c r="AC47" s="15">
        <v>0</v>
      </c>
    </row>
    <row r="48" spans="1:29" ht="14" customHeight="1" x14ac:dyDescent="0.25">
      <c r="A48" s="12" t="s">
        <v>0</v>
      </c>
      <c r="B48" s="13" t="s">
        <v>1</v>
      </c>
      <c r="C48" s="13" t="s">
        <v>4474</v>
      </c>
      <c r="D48" s="14">
        <v>44383</v>
      </c>
      <c r="E48" s="14">
        <v>44383</v>
      </c>
      <c r="F48" s="14">
        <v>44386</v>
      </c>
      <c r="G48" s="13" t="s">
        <v>3</v>
      </c>
      <c r="H48" s="13" t="s">
        <v>4</v>
      </c>
      <c r="I48" s="15">
        <v>-7360.26</v>
      </c>
      <c r="J48" s="13" t="s">
        <v>5</v>
      </c>
      <c r="K48" s="13" t="s">
        <v>6</v>
      </c>
      <c r="L48" s="15">
        <v>-617893.82999999996</v>
      </c>
      <c r="M48" s="15">
        <v>-7360.26</v>
      </c>
      <c r="N48" s="13" t="s">
        <v>4475</v>
      </c>
      <c r="O48" s="13" t="s">
        <v>4471</v>
      </c>
      <c r="P48" s="13" t="s">
        <v>0</v>
      </c>
      <c r="Q48" s="13" t="s">
        <v>0</v>
      </c>
      <c r="R48" s="13" t="s">
        <v>9</v>
      </c>
      <c r="S48" s="13" t="s">
        <v>0</v>
      </c>
      <c r="T48" s="13" t="s">
        <v>0</v>
      </c>
      <c r="U48" s="13" t="s">
        <v>0</v>
      </c>
      <c r="V48" s="13" t="s">
        <v>0</v>
      </c>
      <c r="W48" s="13" t="s">
        <v>10</v>
      </c>
      <c r="X48" s="13" t="s">
        <v>0</v>
      </c>
      <c r="Y48" s="14"/>
      <c r="Z48" s="13" t="s">
        <v>0</v>
      </c>
      <c r="AA48" s="13" t="s">
        <v>0</v>
      </c>
      <c r="AB48" s="13" t="s">
        <v>0</v>
      </c>
      <c r="AC48" s="15">
        <v>0</v>
      </c>
    </row>
    <row r="49" spans="1:29" ht="14" customHeight="1" x14ac:dyDescent="0.25">
      <c r="A49" s="12" t="s">
        <v>0</v>
      </c>
      <c r="B49" s="13" t="s">
        <v>1</v>
      </c>
      <c r="C49" s="13" t="s">
        <v>4476</v>
      </c>
      <c r="D49" s="14">
        <v>44383</v>
      </c>
      <c r="E49" s="14">
        <v>44383</v>
      </c>
      <c r="F49" s="14">
        <v>44386</v>
      </c>
      <c r="G49" s="13" t="s">
        <v>3</v>
      </c>
      <c r="H49" s="13" t="s">
        <v>4</v>
      </c>
      <c r="I49" s="15">
        <v>-996.32</v>
      </c>
      <c r="J49" s="13" t="s">
        <v>5</v>
      </c>
      <c r="K49" s="13" t="s">
        <v>6</v>
      </c>
      <c r="L49" s="15">
        <v>-83641.06</v>
      </c>
      <c r="M49" s="15">
        <v>-996.32</v>
      </c>
      <c r="N49" s="13" t="s">
        <v>4477</v>
      </c>
      <c r="O49" s="13" t="s">
        <v>4471</v>
      </c>
      <c r="P49" s="13" t="s">
        <v>0</v>
      </c>
      <c r="Q49" s="13" t="s">
        <v>0</v>
      </c>
      <c r="R49" s="13" t="s">
        <v>9</v>
      </c>
      <c r="S49" s="13" t="s">
        <v>0</v>
      </c>
      <c r="T49" s="13" t="s">
        <v>0</v>
      </c>
      <c r="U49" s="13" t="s">
        <v>0</v>
      </c>
      <c r="V49" s="13" t="s">
        <v>0</v>
      </c>
      <c r="W49" s="13" t="s">
        <v>10</v>
      </c>
      <c r="X49" s="13" t="s">
        <v>0</v>
      </c>
      <c r="Y49" s="14"/>
      <c r="Z49" s="13" t="s">
        <v>0</v>
      </c>
      <c r="AA49" s="13" t="s">
        <v>0</v>
      </c>
      <c r="AB49" s="13" t="s">
        <v>0</v>
      </c>
      <c r="AC49" s="15">
        <v>0</v>
      </c>
    </row>
    <row r="50" spans="1:29" ht="14" customHeight="1" x14ac:dyDescent="0.25">
      <c r="A50" s="12" t="s">
        <v>0</v>
      </c>
      <c r="B50" s="13" t="s">
        <v>1</v>
      </c>
      <c r="C50" s="13" t="s">
        <v>4478</v>
      </c>
      <c r="D50" s="14">
        <v>44383</v>
      </c>
      <c r="E50" s="14">
        <v>44383</v>
      </c>
      <c r="F50" s="14">
        <v>44386</v>
      </c>
      <c r="G50" s="13" t="s">
        <v>3</v>
      </c>
      <c r="H50" s="13" t="s">
        <v>4</v>
      </c>
      <c r="I50" s="15">
        <v>-19331.259999999998</v>
      </c>
      <c r="J50" s="13" t="s">
        <v>5</v>
      </c>
      <c r="K50" s="13" t="s">
        <v>6</v>
      </c>
      <c r="L50" s="15">
        <v>-1622859.28</v>
      </c>
      <c r="M50" s="15">
        <v>-19331.259999999998</v>
      </c>
      <c r="N50" s="13" t="s">
        <v>4479</v>
      </c>
      <c r="O50" s="13" t="s">
        <v>4471</v>
      </c>
      <c r="P50" s="13" t="s">
        <v>0</v>
      </c>
      <c r="Q50" s="13" t="s">
        <v>0</v>
      </c>
      <c r="R50" s="13" t="s">
        <v>9</v>
      </c>
      <c r="S50" s="13" t="s">
        <v>0</v>
      </c>
      <c r="T50" s="13" t="s">
        <v>0</v>
      </c>
      <c r="U50" s="13" t="s">
        <v>0</v>
      </c>
      <c r="V50" s="13" t="s">
        <v>0</v>
      </c>
      <c r="W50" s="13" t="s">
        <v>10</v>
      </c>
      <c r="X50" s="13" t="s">
        <v>0</v>
      </c>
      <c r="Y50" s="14"/>
      <c r="Z50" s="13" t="s">
        <v>0</v>
      </c>
      <c r="AA50" s="13" t="s">
        <v>0</v>
      </c>
      <c r="AB50" s="13" t="s">
        <v>0</v>
      </c>
      <c r="AC50" s="15">
        <v>0</v>
      </c>
    </row>
    <row r="51" spans="1:29" ht="14" customHeight="1" x14ac:dyDescent="0.25">
      <c r="A51" s="12" t="s">
        <v>0</v>
      </c>
      <c r="B51" s="13" t="s">
        <v>1</v>
      </c>
      <c r="C51" s="13" t="s">
        <v>4480</v>
      </c>
      <c r="D51" s="14">
        <v>44383</v>
      </c>
      <c r="E51" s="14">
        <v>44383</v>
      </c>
      <c r="F51" s="14">
        <v>44389</v>
      </c>
      <c r="G51" s="13" t="s">
        <v>3</v>
      </c>
      <c r="H51" s="13" t="s">
        <v>4</v>
      </c>
      <c r="I51" s="15">
        <v>-60848.49</v>
      </c>
      <c r="J51" s="13" t="s">
        <v>5</v>
      </c>
      <c r="K51" s="13" t="s">
        <v>6</v>
      </c>
      <c r="L51" s="15">
        <v>-5108230.7300000004</v>
      </c>
      <c r="M51" s="15">
        <v>-60848.49</v>
      </c>
      <c r="N51" s="13" t="s">
        <v>4481</v>
      </c>
      <c r="O51" s="13" t="s">
        <v>4471</v>
      </c>
      <c r="P51" s="13" t="s">
        <v>0</v>
      </c>
      <c r="Q51" s="13" t="s">
        <v>0</v>
      </c>
      <c r="R51" s="13" t="s">
        <v>9</v>
      </c>
      <c r="S51" s="13" t="s">
        <v>0</v>
      </c>
      <c r="T51" s="13" t="s">
        <v>0</v>
      </c>
      <c r="U51" s="13" t="s">
        <v>0</v>
      </c>
      <c r="V51" s="13" t="s">
        <v>0</v>
      </c>
      <c r="W51" s="13" t="s">
        <v>10</v>
      </c>
      <c r="X51" s="13" t="s">
        <v>0</v>
      </c>
      <c r="Y51" s="14"/>
      <c r="Z51" s="13" t="s">
        <v>0</v>
      </c>
      <c r="AA51" s="13" t="s">
        <v>0</v>
      </c>
      <c r="AB51" s="13" t="s">
        <v>0</v>
      </c>
      <c r="AC51" s="15">
        <v>0</v>
      </c>
    </row>
    <row r="52" spans="1:29" ht="14" customHeight="1" x14ac:dyDescent="0.25">
      <c r="A52" s="12" t="s">
        <v>0</v>
      </c>
      <c r="B52" s="13" t="s">
        <v>1</v>
      </c>
      <c r="C52" s="13" t="s">
        <v>4480</v>
      </c>
      <c r="D52" s="14">
        <v>44383</v>
      </c>
      <c r="E52" s="14">
        <v>44383</v>
      </c>
      <c r="F52" s="14">
        <v>44389</v>
      </c>
      <c r="G52" s="13" t="s">
        <v>3</v>
      </c>
      <c r="H52" s="13" t="s">
        <v>4</v>
      </c>
      <c r="I52" s="15">
        <v>-74021.63</v>
      </c>
      <c r="J52" s="13" t="s">
        <v>5</v>
      </c>
      <c r="K52" s="13" t="s">
        <v>6</v>
      </c>
      <c r="L52" s="15">
        <v>-6214115.8399999999</v>
      </c>
      <c r="M52" s="15">
        <v>-74021.63</v>
      </c>
      <c r="N52" s="13" t="s">
        <v>4481</v>
      </c>
      <c r="O52" s="13" t="s">
        <v>4471</v>
      </c>
      <c r="P52" s="13" t="s">
        <v>0</v>
      </c>
      <c r="Q52" s="13" t="s">
        <v>0</v>
      </c>
      <c r="R52" s="13" t="s">
        <v>9</v>
      </c>
      <c r="S52" s="13" t="s">
        <v>0</v>
      </c>
      <c r="T52" s="13" t="s">
        <v>0</v>
      </c>
      <c r="U52" s="13" t="s">
        <v>0</v>
      </c>
      <c r="V52" s="13" t="s">
        <v>0</v>
      </c>
      <c r="W52" s="13" t="s">
        <v>10</v>
      </c>
      <c r="X52" s="13" t="s">
        <v>0</v>
      </c>
      <c r="Y52" s="14"/>
      <c r="Z52" s="13" t="s">
        <v>0</v>
      </c>
      <c r="AA52" s="13" t="s">
        <v>0</v>
      </c>
      <c r="AB52" s="13" t="s">
        <v>0</v>
      </c>
      <c r="AC52" s="15">
        <v>0</v>
      </c>
    </row>
    <row r="53" spans="1:29" ht="14" customHeight="1" x14ac:dyDescent="0.25">
      <c r="A53" s="12" t="s">
        <v>0</v>
      </c>
      <c r="B53" s="13" t="s">
        <v>1</v>
      </c>
      <c r="C53" s="13" t="s">
        <v>4482</v>
      </c>
      <c r="D53" s="14">
        <v>44383</v>
      </c>
      <c r="E53" s="14">
        <v>44383</v>
      </c>
      <c r="F53" s="14">
        <v>44389</v>
      </c>
      <c r="G53" s="13" t="s">
        <v>3</v>
      </c>
      <c r="H53" s="13" t="s">
        <v>4</v>
      </c>
      <c r="I53" s="15">
        <v>-9276.2000000000007</v>
      </c>
      <c r="J53" s="13" t="s">
        <v>5</v>
      </c>
      <c r="K53" s="13" t="s">
        <v>6</v>
      </c>
      <c r="L53" s="15">
        <v>-778736.99</v>
      </c>
      <c r="M53" s="15">
        <v>-9276.2000000000007</v>
      </c>
      <c r="N53" s="13" t="s">
        <v>4483</v>
      </c>
      <c r="O53" s="13" t="s">
        <v>4471</v>
      </c>
      <c r="P53" s="13" t="s">
        <v>0</v>
      </c>
      <c r="Q53" s="13" t="s">
        <v>0</v>
      </c>
      <c r="R53" s="13" t="s">
        <v>9</v>
      </c>
      <c r="S53" s="13" t="s">
        <v>0</v>
      </c>
      <c r="T53" s="13" t="s">
        <v>0</v>
      </c>
      <c r="U53" s="13" t="s">
        <v>0</v>
      </c>
      <c r="V53" s="13" t="s">
        <v>0</v>
      </c>
      <c r="W53" s="13" t="s">
        <v>10</v>
      </c>
      <c r="X53" s="13" t="s">
        <v>0</v>
      </c>
      <c r="Y53" s="14"/>
      <c r="Z53" s="13" t="s">
        <v>0</v>
      </c>
      <c r="AA53" s="13" t="s">
        <v>0</v>
      </c>
      <c r="AB53" s="13" t="s">
        <v>0</v>
      </c>
      <c r="AC53" s="15">
        <v>0</v>
      </c>
    </row>
    <row r="54" spans="1:29" ht="14" customHeight="1" x14ac:dyDescent="0.25">
      <c r="A54" s="12" t="s">
        <v>0</v>
      </c>
      <c r="B54" s="13" t="s">
        <v>1</v>
      </c>
      <c r="C54" s="13" t="s">
        <v>4482</v>
      </c>
      <c r="D54" s="14">
        <v>44383</v>
      </c>
      <c r="E54" s="14">
        <v>44383</v>
      </c>
      <c r="F54" s="14">
        <v>44389</v>
      </c>
      <c r="G54" s="13" t="s">
        <v>3</v>
      </c>
      <c r="H54" s="13" t="s">
        <v>4</v>
      </c>
      <c r="I54" s="15">
        <v>-15353.12</v>
      </c>
      <c r="J54" s="13" t="s">
        <v>5</v>
      </c>
      <c r="K54" s="13" t="s">
        <v>6</v>
      </c>
      <c r="L54" s="15">
        <v>-1288894.42</v>
      </c>
      <c r="M54" s="15">
        <v>-15353.12</v>
      </c>
      <c r="N54" s="13" t="s">
        <v>4483</v>
      </c>
      <c r="O54" s="13" t="s">
        <v>4471</v>
      </c>
      <c r="P54" s="13" t="s">
        <v>0</v>
      </c>
      <c r="Q54" s="13" t="s">
        <v>0</v>
      </c>
      <c r="R54" s="13" t="s">
        <v>9</v>
      </c>
      <c r="S54" s="13" t="s">
        <v>0</v>
      </c>
      <c r="T54" s="13" t="s">
        <v>0</v>
      </c>
      <c r="U54" s="13" t="s">
        <v>0</v>
      </c>
      <c r="V54" s="13" t="s">
        <v>0</v>
      </c>
      <c r="W54" s="13" t="s">
        <v>10</v>
      </c>
      <c r="X54" s="13" t="s">
        <v>0</v>
      </c>
      <c r="Y54" s="14"/>
      <c r="Z54" s="13" t="s">
        <v>0</v>
      </c>
      <c r="AA54" s="13" t="s">
        <v>0</v>
      </c>
      <c r="AB54" s="13" t="s">
        <v>0</v>
      </c>
      <c r="AC54" s="15">
        <v>0</v>
      </c>
    </row>
    <row r="55" spans="1:29" ht="14" customHeight="1" x14ac:dyDescent="0.25">
      <c r="A55" s="12" t="s">
        <v>0</v>
      </c>
      <c r="B55" s="13" t="s">
        <v>1</v>
      </c>
      <c r="C55" s="13" t="s">
        <v>4484</v>
      </c>
      <c r="D55" s="14">
        <v>44383</v>
      </c>
      <c r="E55" s="14">
        <v>44383</v>
      </c>
      <c r="F55" s="14">
        <v>44389</v>
      </c>
      <c r="G55" s="13" t="s">
        <v>3</v>
      </c>
      <c r="H55" s="13" t="s">
        <v>4</v>
      </c>
      <c r="I55" s="15">
        <v>-7005.98</v>
      </c>
      <c r="J55" s="13" t="s">
        <v>5</v>
      </c>
      <c r="K55" s="13" t="s">
        <v>6</v>
      </c>
      <c r="L55" s="15">
        <v>-588152.02</v>
      </c>
      <c r="M55" s="15">
        <v>-7005.98</v>
      </c>
      <c r="N55" s="13" t="s">
        <v>4485</v>
      </c>
      <c r="O55" s="13" t="s">
        <v>4471</v>
      </c>
      <c r="P55" s="13" t="s">
        <v>0</v>
      </c>
      <c r="Q55" s="13" t="s">
        <v>0</v>
      </c>
      <c r="R55" s="13" t="s">
        <v>9</v>
      </c>
      <c r="S55" s="13" t="s">
        <v>0</v>
      </c>
      <c r="T55" s="13" t="s">
        <v>0</v>
      </c>
      <c r="U55" s="13" t="s">
        <v>0</v>
      </c>
      <c r="V55" s="13" t="s">
        <v>0</v>
      </c>
      <c r="W55" s="13" t="s">
        <v>10</v>
      </c>
      <c r="X55" s="13" t="s">
        <v>0</v>
      </c>
      <c r="Y55" s="14"/>
      <c r="Z55" s="13" t="s">
        <v>0</v>
      </c>
      <c r="AA55" s="13" t="s">
        <v>0</v>
      </c>
      <c r="AB55" s="13" t="s">
        <v>0</v>
      </c>
      <c r="AC55" s="15">
        <v>0</v>
      </c>
    </row>
    <row r="56" spans="1:29" ht="14" customHeight="1" x14ac:dyDescent="0.25">
      <c r="A56" s="12" t="s">
        <v>0</v>
      </c>
      <c r="B56" s="13" t="s">
        <v>1</v>
      </c>
      <c r="C56" s="13" t="s">
        <v>4486</v>
      </c>
      <c r="D56" s="14">
        <v>44383</v>
      </c>
      <c r="E56" s="14">
        <v>44383</v>
      </c>
      <c r="F56" s="14">
        <v>44389</v>
      </c>
      <c r="G56" s="13" t="s">
        <v>3</v>
      </c>
      <c r="H56" s="13" t="s">
        <v>4</v>
      </c>
      <c r="I56" s="15">
        <v>-59700.480000000003</v>
      </c>
      <c r="J56" s="13" t="s">
        <v>5</v>
      </c>
      <c r="K56" s="13" t="s">
        <v>6</v>
      </c>
      <c r="L56" s="15">
        <v>-5011855.29</v>
      </c>
      <c r="M56" s="15">
        <v>-59700.480000000003</v>
      </c>
      <c r="N56" s="13" t="s">
        <v>4487</v>
      </c>
      <c r="O56" s="13" t="s">
        <v>4471</v>
      </c>
      <c r="P56" s="13" t="s">
        <v>0</v>
      </c>
      <c r="Q56" s="13" t="s">
        <v>0</v>
      </c>
      <c r="R56" s="13" t="s">
        <v>9</v>
      </c>
      <c r="S56" s="13" t="s">
        <v>0</v>
      </c>
      <c r="T56" s="13" t="s">
        <v>0</v>
      </c>
      <c r="U56" s="13" t="s">
        <v>0</v>
      </c>
      <c r="V56" s="13" t="s">
        <v>0</v>
      </c>
      <c r="W56" s="13" t="s">
        <v>10</v>
      </c>
      <c r="X56" s="13" t="s">
        <v>0</v>
      </c>
      <c r="Y56" s="14"/>
      <c r="Z56" s="13" t="s">
        <v>0</v>
      </c>
      <c r="AA56" s="13" t="s">
        <v>0</v>
      </c>
      <c r="AB56" s="13" t="s">
        <v>0</v>
      </c>
      <c r="AC56" s="15">
        <v>0</v>
      </c>
    </row>
    <row r="57" spans="1:29" ht="14" customHeight="1" x14ac:dyDescent="0.25">
      <c r="A57" s="12" t="s">
        <v>0</v>
      </c>
      <c r="B57" s="13" t="s">
        <v>1</v>
      </c>
      <c r="C57" s="13" t="s">
        <v>4486</v>
      </c>
      <c r="D57" s="14">
        <v>44383</v>
      </c>
      <c r="E57" s="14">
        <v>44383</v>
      </c>
      <c r="F57" s="14">
        <v>44389</v>
      </c>
      <c r="G57" s="13" t="s">
        <v>3</v>
      </c>
      <c r="H57" s="13" t="s">
        <v>4</v>
      </c>
      <c r="I57" s="15">
        <v>-32662.639999999999</v>
      </c>
      <c r="J57" s="13" t="s">
        <v>5</v>
      </c>
      <c r="K57" s="13" t="s">
        <v>6</v>
      </c>
      <c r="L57" s="15">
        <v>-2742028.63</v>
      </c>
      <c r="M57" s="15">
        <v>-32662.639999999999</v>
      </c>
      <c r="N57" s="13" t="s">
        <v>4487</v>
      </c>
      <c r="O57" s="13" t="s">
        <v>4471</v>
      </c>
      <c r="P57" s="13" t="s">
        <v>0</v>
      </c>
      <c r="Q57" s="13" t="s">
        <v>0</v>
      </c>
      <c r="R57" s="13" t="s">
        <v>9</v>
      </c>
      <c r="S57" s="13" t="s">
        <v>0</v>
      </c>
      <c r="T57" s="13" t="s">
        <v>0</v>
      </c>
      <c r="U57" s="13" t="s">
        <v>0</v>
      </c>
      <c r="V57" s="13" t="s">
        <v>0</v>
      </c>
      <c r="W57" s="13" t="s">
        <v>10</v>
      </c>
      <c r="X57" s="13" t="s">
        <v>0</v>
      </c>
      <c r="Y57" s="14"/>
      <c r="Z57" s="13" t="s">
        <v>0</v>
      </c>
      <c r="AA57" s="13" t="s">
        <v>0</v>
      </c>
      <c r="AB57" s="13" t="s">
        <v>0</v>
      </c>
      <c r="AC57" s="15">
        <v>0</v>
      </c>
    </row>
    <row r="58" spans="1:29" ht="14" customHeight="1" x14ac:dyDescent="0.25">
      <c r="A58" s="12" t="s">
        <v>0</v>
      </c>
      <c r="B58" s="13" t="s">
        <v>1</v>
      </c>
      <c r="C58" s="13" t="s">
        <v>4488</v>
      </c>
      <c r="D58" s="14">
        <v>44383</v>
      </c>
      <c r="E58" s="14">
        <v>44383</v>
      </c>
      <c r="F58" s="14">
        <v>44389</v>
      </c>
      <c r="G58" s="13" t="s">
        <v>3</v>
      </c>
      <c r="H58" s="13" t="s">
        <v>4</v>
      </c>
      <c r="I58" s="15">
        <v>-16911.05</v>
      </c>
      <c r="J58" s="13" t="s">
        <v>5</v>
      </c>
      <c r="K58" s="13" t="s">
        <v>6</v>
      </c>
      <c r="L58" s="15">
        <v>-1419682.65</v>
      </c>
      <c r="M58" s="15">
        <v>-16911.05</v>
      </c>
      <c r="N58" s="13" t="s">
        <v>4489</v>
      </c>
      <c r="O58" s="13" t="s">
        <v>4471</v>
      </c>
      <c r="P58" s="13" t="s">
        <v>0</v>
      </c>
      <c r="Q58" s="13" t="s">
        <v>0</v>
      </c>
      <c r="R58" s="13" t="s">
        <v>9</v>
      </c>
      <c r="S58" s="13" t="s">
        <v>0</v>
      </c>
      <c r="T58" s="13" t="s">
        <v>0</v>
      </c>
      <c r="U58" s="13" t="s">
        <v>0</v>
      </c>
      <c r="V58" s="13" t="s">
        <v>0</v>
      </c>
      <c r="W58" s="13" t="s">
        <v>10</v>
      </c>
      <c r="X58" s="13" t="s">
        <v>0</v>
      </c>
      <c r="Y58" s="14"/>
      <c r="Z58" s="13" t="s">
        <v>0</v>
      </c>
      <c r="AA58" s="13" t="s">
        <v>0</v>
      </c>
      <c r="AB58" s="13" t="s">
        <v>0</v>
      </c>
      <c r="AC58" s="15">
        <v>0</v>
      </c>
    </row>
    <row r="59" spans="1:29" ht="14" customHeight="1" x14ac:dyDescent="0.25">
      <c r="A59" s="12" t="s">
        <v>0</v>
      </c>
      <c r="B59" s="13" t="s">
        <v>1</v>
      </c>
      <c r="C59" s="13" t="s">
        <v>4490</v>
      </c>
      <c r="D59" s="14">
        <v>44383</v>
      </c>
      <c r="E59" s="14">
        <v>44383</v>
      </c>
      <c r="F59" s="14">
        <v>44389</v>
      </c>
      <c r="G59" s="13" t="s">
        <v>3</v>
      </c>
      <c r="H59" s="13" t="s">
        <v>4</v>
      </c>
      <c r="I59" s="15">
        <v>-7190.35</v>
      </c>
      <c r="J59" s="13" t="s">
        <v>5</v>
      </c>
      <c r="K59" s="13" t="s">
        <v>6</v>
      </c>
      <c r="L59" s="15">
        <v>-603629.88</v>
      </c>
      <c r="M59" s="15">
        <v>-7190.35</v>
      </c>
      <c r="N59" s="13" t="s">
        <v>4491</v>
      </c>
      <c r="O59" s="13" t="s">
        <v>4471</v>
      </c>
      <c r="P59" s="13" t="s">
        <v>0</v>
      </c>
      <c r="Q59" s="13" t="s">
        <v>0</v>
      </c>
      <c r="R59" s="13" t="s">
        <v>9</v>
      </c>
      <c r="S59" s="13" t="s">
        <v>0</v>
      </c>
      <c r="T59" s="13" t="s">
        <v>0</v>
      </c>
      <c r="U59" s="13" t="s">
        <v>0</v>
      </c>
      <c r="V59" s="13" t="s">
        <v>0</v>
      </c>
      <c r="W59" s="13" t="s">
        <v>10</v>
      </c>
      <c r="X59" s="13" t="s">
        <v>0</v>
      </c>
      <c r="Y59" s="14"/>
      <c r="Z59" s="13" t="s">
        <v>0</v>
      </c>
      <c r="AA59" s="13" t="s">
        <v>0</v>
      </c>
      <c r="AB59" s="13" t="s">
        <v>0</v>
      </c>
      <c r="AC59" s="15">
        <v>0</v>
      </c>
    </row>
    <row r="60" spans="1:29" ht="14" customHeight="1" x14ac:dyDescent="0.25">
      <c r="A60" s="12" t="s">
        <v>0</v>
      </c>
      <c r="B60" s="13" t="s">
        <v>1</v>
      </c>
      <c r="C60" s="13" t="s">
        <v>4492</v>
      </c>
      <c r="D60" s="14">
        <v>44383</v>
      </c>
      <c r="E60" s="14">
        <v>44383</v>
      </c>
      <c r="F60" s="14">
        <v>44397</v>
      </c>
      <c r="G60" s="13" t="s">
        <v>3</v>
      </c>
      <c r="H60" s="13" t="s">
        <v>4</v>
      </c>
      <c r="I60" s="15">
        <v>-13643.16</v>
      </c>
      <c r="J60" s="13" t="s">
        <v>5</v>
      </c>
      <c r="K60" s="13" t="s">
        <v>6</v>
      </c>
      <c r="L60" s="15">
        <v>-1145343.29</v>
      </c>
      <c r="M60" s="15">
        <v>-13643.16</v>
      </c>
      <c r="N60" s="13" t="s">
        <v>4493</v>
      </c>
      <c r="O60" s="13" t="s">
        <v>4471</v>
      </c>
      <c r="P60" s="13" t="s">
        <v>0</v>
      </c>
      <c r="Q60" s="13" t="s">
        <v>0</v>
      </c>
      <c r="R60" s="13" t="s">
        <v>9</v>
      </c>
      <c r="S60" s="13" t="s">
        <v>0</v>
      </c>
      <c r="T60" s="13" t="s">
        <v>0</v>
      </c>
      <c r="U60" s="13" t="s">
        <v>0</v>
      </c>
      <c r="V60" s="13" t="s">
        <v>0</v>
      </c>
      <c r="W60" s="13" t="s">
        <v>10</v>
      </c>
      <c r="X60" s="13" t="s">
        <v>0</v>
      </c>
      <c r="Y60" s="14"/>
      <c r="Z60" s="13" t="s">
        <v>0</v>
      </c>
      <c r="AA60" s="13" t="s">
        <v>0</v>
      </c>
      <c r="AB60" s="13" t="s">
        <v>0</v>
      </c>
      <c r="AC60" s="15">
        <v>0</v>
      </c>
    </row>
    <row r="61" spans="1:29" ht="14" customHeight="1" x14ac:dyDescent="0.25">
      <c r="A61" s="12" t="s">
        <v>0</v>
      </c>
      <c r="B61" s="13" t="s">
        <v>1</v>
      </c>
      <c r="C61" s="13" t="s">
        <v>4492</v>
      </c>
      <c r="D61" s="14">
        <v>44383</v>
      </c>
      <c r="E61" s="14">
        <v>44383</v>
      </c>
      <c r="F61" s="14">
        <v>44397</v>
      </c>
      <c r="G61" s="13" t="s">
        <v>3</v>
      </c>
      <c r="H61" s="13" t="s">
        <v>4</v>
      </c>
      <c r="I61" s="15">
        <v>-14814.6</v>
      </c>
      <c r="J61" s="13" t="s">
        <v>5</v>
      </c>
      <c r="K61" s="13" t="s">
        <v>6</v>
      </c>
      <c r="L61" s="15">
        <v>-1243685.67</v>
      </c>
      <c r="M61" s="15">
        <v>-14814.6</v>
      </c>
      <c r="N61" s="13" t="s">
        <v>4493</v>
      </c>
      <c r="O61" s="13" t="s">
        <v>4471</v>
      </c>
      <c r="P61" s="13" t="s">
        <v>0</v>
      </c>
      <c r="Q61" s="13" t="s">
        <v>0</v>
      </c>
      <c r="R61" s="13" t="s">
        <v>9</v>
      </c>
      <c r="S61" s="13" t="s">
        <v>0</v>
      </c>
      <c r="T61" s="13" t="s">
        <v>0</v>
      </c>
      <c r="U61" s="13" t="s">
        <v>0</v>
      </c>
      <c r="V61" s="13" t="s">
        <v>0</v>
      </c>
      <c r="W61" s="13" t="s">
        <v>10</v>
      </c>
      <c r="X61" s="13" t="s">
        <v>0</v>
      </c>
      <c r="Y61" s="14"/>
      <c r="Z61" s="13" t="s">
        <v>0</v>
      </c>
      <c r="AA61" s="13" t="s">
        <v>0</v>
      </c>
      <c r="AB61" s="13" t="s">
        <v>0</v>
      </c>
      <c r="AC61" s="15">
        <v>0</v>
      </c>
    </row>
    <row r="62" spans="1:29" ht="14" customHeight="1" x14ac:dyDescent="0.25">
      <c r="A62" s="12" t="s">
        <v>0</v>
      </c>
      <c r="B62" s="13" t="s">
        <v>1</v>
      </c>
      <c r="C62" s="13" t="s">
        <v>4492</v>
      </c>
      <c r="D62" s="14">
        <v>44383</v>
      </c>
      <c r="E62" s="14">
        <v>44383</v>
      </c>
      <c r="F62" s="14">
        <v>44397</v>
      </c>
      <c r="G62" s="13" t="s">
        <v>3</v>
      </c>
      <c r="H62" s="13" t="s">
        <v>4</v>
      </c>
      <c r="I62" s="15">
        <v>-20245.240000000002</v>
      </c>
      <c r="J62" s="13" t="s">
        <v>5</v>
      </c>
      <c r="K62" s="13" t="s">
        <v>6</v>
      </c>
      <c r="L62" s="15">
        <v>-1699587.9</v>
      </c>
      <c r="M62" s="15">
        <v>-20245.240000000002</v>
      </c>
      <c r="N62" s="13" t="s">
        <v>4493</v>
      </c>
      <c r="O62" s="13" t="s">
        <v>4471</v>
      </c>
      <c r="P62" s="13" t="s">
        <v>0</v>
      </c>
      <c r="Q62" s="13" t="s">
        <v>0</v>
      </c>
      <c r="R62" s="13" t="s">
        <v>9</v>
      </c>
      <c r="S62" s="13" t="s">
        <v>0</v>
      </c>
      <c r="T62" s="13" t="s">
        <v>0</v>
      </c>
      <c r="U62" s="13" t="s">
        <v>0</v>
      </c>
      <c r="V62" s="13" t="s">
        <v>0</v>
      </c>
      <c r="W62" s="13" t="s">
        <v>10</v>
      </c>
      <c r="X62" s="13" t="s">
        <v>0</v>
      </c>
      <c r="Y62" s="14"/>
      <c r="Z62" s="13" t="s">
        <v>0</v>
      </c>
      <c r="AA62" s="13" t="s">
        <v>0</v>
      </c>
      <c r="AB62" s="13" t="s">
        <v>0</v>
      </c>
      <c r="AC62" s="15">
        <v>0</v>
      </c>
    </row>
    <row r="63" spans="1:29" ht="14" customHeight="1" x14ac:dyDescent="0.25">
      <c r="A63" s="12" t="s">
        <v>0</v>
      </c>
      <c r="B63" s="13" t="s">
        <v>1</v>
      </c>
      <c r="C63" s="13" t="s">
        <v>4492</v>
      </c>
      <c r="D63" s="14">
        <v>44383</v>
      </c>
      <c r="E63" s="14">
        <v>44383</v>
      </c>
      <c r="F63" s="14">
        <v>44397</v>
      </c>
      <c r="G63" s="13" t="s">
        <v>3</v>
      </c>
      <c r="H63" s="13" t="s">
        <v>4</v>
      </c>
      <c r="I63" s="15">
        <v>-14786.31</v>
      </c>
      <c r="J63" s="13" t="s">
        <v>5</v>
      </c>
      <c r="K63" s="13" t="s">
        <v>6</v>
      </c>
      <c r="L63" s="15">
        <v>-1241310.72</v>
      </c>
      <c r="M63" s="15">
        <v>-14786.31</v>
      </c>
      <c r="N63" s="13" t="s">
        <v>4493</v>
      </c>
      <c r="O63" s="13" t="s">
        <v>4471</v>
      </c>
      <c r="P63" s="13" t="s">
        <v>0</v>
      </c>
      <c r="Q63" s="13" t="s">
        <v>0</v>
      </c>
      <c r="R63" s="13" t="s">
        <v>9</v>
      </c>
      <c r="S63" s="13" t="s">
        <v>0</v>
      </c>
      <c r="T63" s="13" t="s">
        <v>0</v>
      </c>
      <c r="U63" s="13" t="s">
        <v>0</v>
      </c>
      <c r="V63" s="13" t="s">
        <v>0</v>
      </c>
      <c r="W63" s="13" t="s">
        <v>10</v>
      </c>
      <c r="X63" s="13" t="s">
        <v>0</v>
      </c>
      <c r="Y63" s="14"/>
      <c r="Z63" s="13" t="s">
        <v>0</v>
      </c>
      <c r="AA63" s="13" t="s">
        <v>0</v>
      </c>
      <c r="AB63" s="13" t="s">
        <v>0</v>
      </c>
      <c r="AC63" s="15">
        <v>0</v>
      </c>
    </row>
    <row r="64" spans="1:29" ht="14" customHeight="1" x14ac:dyDescent="0.25">
      <c r="A64" s="12" t="s">
        <v>0</v>
      </c>
      <c r="B64" s="13" t="s">
        <v>1</v>
      </c>
      <c r="C64" s="13" t="s">
        <v>4492</v>
      </c>
      <c r="D64" s="14">
        <v>44383</v>
      </c>
      <c r="E64" s="14">
        <v>44383</v>
      </c>
      <c r="F64" s="14">
        <v>44397</v>
      </c>
      <c r="G64" s="13" t="s">
        <v>3</v>
      </c>
      <c r="H64" s="13" t="s">
        <v>4</v>
      </c>
      <c r="I64" s="15">
        <v>-2411.37</v>
      </c>
      <c r="J64" s="13" t="s">
        <v>5</v>
      </c>
      <c r="K64" s="13" t="s">
        <v>6</v>
      </c>
      <c r="L64" s="15">
        <v>-202434.51</v>
      </c>
      <c r="M64" s="15">
        <v>-2411.37</v>
      </c>
      <c r="N64" s="13" t="s">
        <v>4493</v>
      </c>
      <c r="O64" s="13" t="s">
        <v>4471</v>
      </c>
      <c r="P64" s="13" t="s">
        <v>0</v>
      </c>
      <c r="Q64" s="13" t="s">
        <v>0</v>
      </c>
      <c r="R64" s="13" t="s">
        <v>9</v>
      </c>
      <c r="S64" s="13" t="s">
        <v>0</v>
      </c>
      <c r="T64" s="13" t="s">
        <v>0</v>
      </c>
      <c r="U64" s="13" t="s">
        <v>0</v>
      </c>
      <c r="V64" s="13" t="s">
        <v>0</v>
      </c>
      <c r="W64" s="13" t="s">
        <v>10</v>
      </c>
      <c r="X64" s="13" t="s">
        <v>0</v>
      </c>
      <c r="Y64" s="14"/>
      <c r="Z64" s="13" t="s">
        <v>0</v>
      </c>
      <c r="AA64" s="13" t="s">
        <v>0</v>
      </c>
      <c r="AB64" s="13" t="s">
        <v>0</v>
      </c>
      <c r="AC64" s="15">
        <v>0</v>
      </c>
    </row>
    <row r="65" spans="1:29" ht="14" customHeight="1" x14ac:dyDescent="0.25">
      <c r="A65" s="12" t="s">
        <v>0</v>
      </c>
      <c r="B65" s="13" t="s">
        <v>1</v>
      </c>
      <c r="C65" s="13" t="s">
        <v>4492</v>
      </c>
      <c r="D65" s="14">
        <v>44383</v>
      </c>
      <c r="E65" s="14">
        <v>44383</v>
      </c>
      <c r="F65" s="14">
        <v>44397</v>
      </c>
      <c r="G65" s="13" t="s">
        <v>3</v>
      </c>
      <c r="H65" s="13" t="s">
        <v>4</v>
      </c>
      <c r="I65" s="15">
        <v>-14109.07</v>
      </c>
      <c r="J65" s="13" t="s">
        <v>5</v>
      </c>
      <c r="K65" s="13" t="s">
        <v>6</v>
      </c>
      <c r="L65" s="15">
        <v>-1184456.43</v>
      </c>
      <c r="M65" s="15">
        <v>-14109.07</v>
      </c>
      <c r="N65" s="13" t="s">
        <v>4493</v>
      </c>
      <c r="O65" s="13" t="s">
        <v>4471</v>
      </c>
      <c r="P65" s="13" t="s">
        <v>0</v>
      </c>
      <c r="Q65" s="13" t="s">
        <v>0</v>
      </c>
      <c r="R65" s="13" t="s">
        <v>9</v>
      </c>
      <c r="S65" s="13" t="s">
        <v>0</v>
      </c>
      <c r="T65" s="13" t="s">
        <v>0</v>
      </c>
      <c r="U65" s="13" t="s">
        <v>0</v>
      </c>
      <c r="V65" s="13" t="s">
        <v>0</v>
      </c>
      <c r="W65" s="13" t="s">
        <v>10</v>
      </c>
      <c r="X65" s="13" t="s">
        <v>0</v>
      </c>
      <c r="Y65" s="14"/>
      <c r="Z65" s="13" t="s">
        <v>0</v>
      </c>
      <c r="AA65" s="13" t="s">
        <v>0</v>
      </c>
      <c r="AB65" s="13" t="s">
        <v>0</v>
      </c>
      <c r="AC65" s="15">
        <v>0</v>
      </c>
    </row>
    <row r="66" spans="1:29" ht="14" customHeight="1" x14ac:dyDescent="0.25">
      <c r="A66" s="12" t="s">
        <v>0</v>
      </c>
      <c r="B66" s="13" t="s">
        <v>1</v>
      </c>
      <c r="C66" s="13" t="s">
        <v>4492</v>
      </c>
      <c r="D66" s="14">
        <v>44383</v>
      </c>
      <c r="E66" s="14">
        <v>44383</v>
      </c>
      <c r="F66" s="14">
        <v>44397</v>
      </c>
      <c r="G66" s="13" t="s">
        <v>3</v>
      </c>
      <c r="H66" s="13" t="s">
        <v>4</v>
      </c>
      <c r="I66" s="15">
        <v>-12036.32</v>
      </c>
      <c r="J66" s="13" t="s">
        <v>5</v>
      </c>
      <c r="K66" s="13" t="s">
        <v>6</v>
      </c>
      <c r="L66" s="15">
        <v>-1010449.06</v>
      </c>
      <c r="M66" s="15">
        <v>-12036.32</v>
      </c>
      <c r="N66" s="13" t="s">
        <v>4493</v>
      </c>
      <c r="O66" s="13" t="s">
        <v>4471</v>
      </c>
      <c r="P66" s="13" t="s">
        <v>0</v>
      </c>
      <c r="Q66" s="13" t="s">
        <v>0</v>
      </c>
      <c r="R66" s="13" t="s">
        <v>9</v>
      </c>
      <c r="S66" s="13" t="s">
        <v>0</v>
      </c>
      <c r="T66" s="13" t="s">
        <v>0</v>
      </c>
      <c r="U66" s="13" t="s">
        <v>0</v>
      </c>
      <c r="V66" s="13" t="s">
        <v>0</v>
      </c>
      <c r="W66" s="13" t="s">
        <v>10</v>
      </c>
      <c r="X66" s="13" t="s">
        <v>0</v>
      </c>
      <c r="Y66" s="14"/>
      <c r="Z66" s="13" t="s">
        <v>0</v>
      </c>
      <c r="AA66" s="13" t="s">
        <v>0</v>
      </c>
      <c r="AB66" s="13" t="s">
        <v>0</v>
      </c>
      <c r="AC66" s="15">
        <v>0</v>
      </c>
    </row>
    <row r="67" spans="1:29" ht="14" customHeight="1" x14ac:dyDescent="0.25">
      <c r="A67" s="12" t="s">
        <v>0</v>
      </c>
      <c r="B67" s="13" t="s">
        <v>1</v>
      </c>
      <c r="C67" s="13" t="s">
        <v>4492</v>
      </c>
      <c r="D67" s="14">
        <v>44383</v>
      </c>
      <c r="E67" s="14">
        <v>44383</v>
      </c>
      <c r="F67" s="14">
        <v>44397</v>
      </c>
      <c r="G67" s="13" t="s">
        <v>3</v>
      </c>
      <c r="H67" s="13" t="s">
        <v>4</v>
      </c>
      <c r="I67" s="15">
        <v>-19952.04</v>
      </c>
      <c r="J67" s="13" t="s">
        <v>5</v>
      </c>
      <c r="K67" s="13" t="s">
        <v>6</v>
      </c>
      <c r="L67" s="15">
        <v>-1674973.76</v>
      </c>
      <c r="M67" s="15">
        <v>-19952.04</v>
      </c>
      <c r="N67" s="13" t="s">
        <v>4493</v>
      </c>
      <c r="O67" s="13" t="s">
        <v>4471</v>
      </c>
      <c r="P67" s="13" t="s">
        <v>0</v>
      </c>
      <c r="Q67" s="13" t="s">
        <v>0</v>
      </c>
      <c r="R67" s="13" t="s">
        <v>9</v>
      </c>
      <c r="S67" s="13" t="s">
        <v>0</v>
      </c>
      <c r="T67" s="13" t="s">
        <v>0</v>
      </c>
      <c r="U67" s="13" t="s">
        <v>0</v>
      </c>
      <c r="V67" s="13" t="s">
        <v>0</v>
      </c>
      <c r="W67" s="13" t="s">
        <v>10</v>
      </c>
      <c r="X67" s="13" t="s">
        <v>0</v>
      </c>
      <c r="Y67" s="14"/>
      <c r="Z67" s="13" t="s">
        <v>0</v>
      </c>
      <c r="AA67" s="13" t="s">
        <v>0</v>
      </c>
      <c r="AB67" s="13" t="s">
        <v>0</v>
      </c>
      <c r="AC67" s="15">
        <v>0</v>
      </c>
    </row>
    <row r="68" spans="1:29" ht="14" customHeight="1" x14ac:dyDescent="0.25">
      <c r="A68" s="12" t="s">
        <v>0</v>
      </c>
      <c r="B68" s="13" t="s">
        <v>1</v>
      </c>
      <c r="C68" s="13" t="s">
        <v>4492</v>
      </c>
      <c r="D68" s="14">
        <v>44383</v>
      </c>
      <c r="E68" s="14">
        <v>44383</v>
      </c>
      <c r="F68" s="14">
        <v>44397</v>
      </c>
      <c r="G68" s="13" t="s">
        <v>3</v>
      </c>
      <c r="H68" s="13" t="s">
        <v>4</v>
      </c>
      <c r="I68" s="15">
        <v>-13404.15</v>
      </c>
      <c r="J68" s="13" t="s">
        <v>5</v>
      </c>
      <c r="K68" s="13" t="s">
        <v>6</v>
      </c>
      <c r="L68" s="15">
        <v>-1125278.3899999999</v>
      </c>
      <c r="M68" s="15">
        <v>-13404.15</v>
      </c>
      <c r="N68" s="13" t="s">
        <v>4493</v>
      </c>
      <c r="O68" s="13" t="s">
        <v>4471</v>
      </c>
      <c r="P68" s="13" t="s">
        <v>0</v>
      </c>
      <c r="Q68" s="13" t="s">
        <v>0</v>
      </c>
      <c r="R68" s="13" t="s">
        <v>9</v>
      </c>
      <c r="S68" s="13" t="s">
        <v>0</v>
      </c>
      <c r="T68" s="13" t="s">
        <v>0</v>
      </c>
      <c r="U68" s="13" t="s">
        <v>0</v>
      </c>
      <c r="V68" s="13" t="s">
        <v>0</v>
      </c>
      <c r="W68" s="13" t="s">
        <v>10</v>
      </c>
      <c r="X68" s="13" t="s">
        <v>0</v>
      </c>
      <c r="Y68" s="14"/>
      <c r="Z68" s="13" t="s">
        <v>0</v>
      </c>
      <c r="AA68" s="13" t="s">
        <v>0</v>
      </c>
      <c r="AB68" s="13" t="s">
        <v>0</v>
      </c>
      <c r="AC68" s="15">
        <v>0</v>
      </c>
    </row>
    <row r="69" spans="1:29" ht="14" customHeight="1" x14ac:dyDescent="0.25">
      <c r="A69" s="12" t="s">
        <v>0</v>
      </c>
      <c r="B69" s="13" t="s">
        <v>1</v>
      </c>
      <c r="C69" s="13" t="s">
        <v>4494</v>
      </c>
      <c r="D69" s="14">
        <v>44383</v>
      </c>
      <c r="E69" s="14">
        <v>44383</v>
      </c>
      <c r="F69" s="14">
        <v>44397</v>
      </c>
      <c r="G69" s="13" t="s">
        <v>3</v>
      </c>
      <c r="H69" s="13" t="s">
        <v>4</v>
      </c>
      <c r="I69" s="15">
        <v>-10338.34</v>
      </c>
      <c r="J69" s="13" t="s">
        <v>5</v>
      </c>
      <c r="K69" s="13" t="s">
        <v>6</v>
      </c>
      <c r="L69" s="15">
        <v>-867903.65</v>
      </c>
      <c r="M69" s="15">
        <v>-10338.34</v>
      </c>
      <c r="N69" s="13" t="s">
        <v>4495</v>
      </c>
      <c r="O69" s="13" t="s">
        <v>4471</v>
      </c>
      <c r="P69" s="13" t="s">
        <v>0</v>
      </c>
      <c r="Q69" s="13" t="s">
        <v>0</v>
      </c>
      <c r="R69" s="13" t="s">
        <v>9</v>
      </c>
      <c r="S69" s="13" t="s">
        <v>0</v>
      </c>
      <c r="T69" s="13" t="s">
        <v>0</v>
      </c>
      <c r="U69" s="13" t="s">
        <v>0</v>
      </c>
      <c r="V69" s="13" t="s">
        <v>0</v>
      </c>
      <c r="W69" s="13" t="s">
        <v>10</v>
      </c>
      <c r="X69" s="13" t="s">
        <v>0</v>
      </c>
      <c r="Y69" s="14"/>
      <c r="Z69" s="13" t="s">
        <v>0</v>
      </c>
      <c r="AA69" s="13" t="s">
        <v>0</v>
      </c>
      <c r="AB69" s="13" t="s">
        <v>0</v>
      </c>
      <c r="AC69" s="15">
        <v>0</v>
      </c>
    </row>
    <row r="70" spans="1:29" ht="14" customHeight="1" x14ac:dyDescent="0.25">
      <c r="A70" s="12" t="s">
        <v>0</v>
      </c>
      <c r="B70" s="13" t="s">
        <v>1</v>
      </c>
      <c r="C70" s="13" t="s">
        <v>4494</v>
      </c>
      <c r="D70" s="14">
        <v>44383</v>
      </c>
      <c r="E70" s="14">
        <v>44383</v>
      </c>
      <c r="F70" s="14">
        <v>44397</v>
      </c>
      <c r="G70" s="13" t="s">
        <v>3</v>
      </c>
      <c r="H70" s="13" t="s">
        <v>4</v>
      </c>
      <c r="I70" s="15">
        <v>-13181.38</v>
      </c>
      <c r="J70" s="13" t="s">
        <v>5</v>
      </c>
      <c r="K70" s="13" t="s">
        <v>6</v>
      </c>
      <c r="L70" s="15">
        <v>-1106576.8500000001</v>
      </c>
      <c r="M70" s="15">
        <v>-13181.38</v>
      </c>
      <c r="N70" s="13" t="s">
        <v>4495</v>
      </c>
      <c r="O70" s="13" t="s">
        <v>4471</v>
      </c>
      <c r="P70" s="13" t="s">
        <v>0</v>
      </c>
      <c r="Q70" s="13" t="s">
        <v>0</v>
      </c>
      <c r="R70" s="13" t="s">
        <v>9</v>
      </c>
      <c r="S70" s="13" t="s">
        <v>0</v>
      </c>
      <c r="T70" s="13" t="s">
        <v>0</v>
      </c>
      <c r="U70" s="13" t="s">
        <v>0</v>
      </c>
      <c r="V70" s="13" t="s">
        <v>0</v>
      </c>
      <c r="W70" s="13" t="s">
        <v>10</v>
      </c>
      <c r="X70" s="13" t="s">
        <v>0</v>
      </c>
      <c r="Y70" s="14"/>
      <c r="Z70" s="13" t="s">
        <v>0</v>
      </c>
      <c r="AA70" s="13" t="s">
        <v>0</v>
      </c>
      <c r="AB70" s="13" t="s">
        <v>0</v>
      </c>
      <c r="AC70" s="15">
        <v>0</v>
      </c>
    </row>
    <row r="71" spans="1:29" ht="14" customHeight="1" x14ac:dyDescent="0.25">
      <c r="A71" s="12" t="s">
        <v>0</v>
      </c>
      <c r="B71" s="13" t="s">
        <v>1</v>
      </c>
      <c r="C71" s="13" t="s">
        <v>4494</v>
      </c>
      <c r="D71" s="14">
        <v>44383</v>
      </c>
      <c r="E71" s="14">
        <v>44383</v>
      </c>
      <c r="F71" s="14">
        <v>44397</v>
      </c>
      <c r="G71" s="13" t="s">
        <v>3</v>
      </c>
      <c r="H71" s="13" t="s">
        <v>4</v>
      </c>
      <c r="I71" s="15">
        <v>-8368.5400000000009</v>
      </c>
      <c r="J71" s="13" t="s">
        <v>5</v>
      </c>
      <c r="K71" s="13" t="s">
        <v>6</v>
      </c>
      <c r="L71" s="15">
        <v>-702538.93</v>
      </c>
      <c r="M71" s="15">
        <v>-8368.5400000000009</v>
      </c>
      <c r="N71" s="13" t="s">
        <v>4495</v>
      </c>
      <c r="O71" s="13" t="s">
        <v>4471</v>
      </c>
      <c r="P71" s="13" t="s">
        <v>0</v>
      </c>
      <c r="Q71" s="13" t="s">
        <v>0</v>
      </c>
      <c r="R71" s="13" t="s">
        <v>9</v>
      </c>
      <c r="S71" s="13" t="s">
        <v>0</v>
      </c>
      <c r="T71" s="13" t="s">
        <v>0</v>
      </c>
      <c r="U71" s="13" t="s">
        <v>0</v>
      </c>
      <c r="V71" s="13" t="s">
        <v>0</v>
      </c>
      <c r="W71" s="13" t="s">
        <v>10</v>
      </c>
      <c r="X71" s="13" t="s">
        <v>0</v>
      </c>
      <c r="Y71" s="14"/>
      <c r="Z71" s="13" t="s">
        <v>0</v>
      </c>
      <c r="AA71" s="13" t="s">
        <v>0</v>
      </c>
      <c r="AB71" s="13" t="s">
        <v>0</v>
      </c>
      <c r="AC71" s="15">
        <v>0</v>
      </c>
    </row>
    <row r="72" spans="1:29" ht="14" customHeight="1" x14ac:dyDescent="0.25">
      <c r="A72" s="12" t="s">
        <v>0</v>
      </c>
      <c r="B72" s="13" t="s">
        <v>1</v>
      </c>
      <c r="C72" s="13" t="s">
        <v>4494</v>
      </c>
      <c r="D72" s="14">
        <v>44383</v>
      </c>
      <c r="E72" s="14">
        <v>44383</v>
      </c>
      <c r="F72" s="14">
        <v>44397</v>
      </c>
      <c r="G72" s="13" t="s">
        <v>3</v>
      </c>
      <c r="H72" s="13" t="s">
        <v>4</v>
      </c>
      <c r="I72" s="15">
        <v>-11673.01</v>
      </c>
      <c r="J72" s="13" t="s">
        <v>5</v>
      </c>
      <c r="K72" s="13" t="s">
        <v>6</v>
      </c>
      <c r="L72" s="15">
        <v>-979949.19</v>
      </c>
      <c r="M72" s="15">
        <v>-11673.01</v>
      </c>
      <c r="N72" s="13" t="s">
        <v>4495</v>
      </c>
      <c r="O72" s="13" t="s">
        <v>4471</v>
      </c>
      <c r="P72" s="13" t="s">
        <v>0</v>
      </c>
      <c r="Q72" s="13" t="s">
        <v>0</v>
      </c>
      <c r="R72" s="13" t="s">
        <v>9</v>
      </c>
      <c r="S72" s="13" t="s">
        <v>0</v>
      </c>
      <c r="T72" s="13" t="s">
        <v>0</v>
      </c>
      <c r="U72" s="13" t="s">
        <v>0</v>
      </c>
      <c r="V72" s="13" t="s">
        <v>0</v>
      </c>
      <c r="W72" s="13" t="s">
        <v>10</v>
      </c>
      <c r="X72" s="13" t="s">
        <v>0</v>
      </c>
      <c r="Y72" s="14"/>
      <c r="Z72" s="13" t="s">
        <v>0</v>
      </c>
      <c r="AA72" s="13" t="s">
        <v>0</v>
      </c>
      <c r="AB72" s="13" t="s">
        <v>0</v>
      </c>
      <c r="AC72" s="15">
        <v>0</v>
      </c>
    </row>
    <row r="73" spans="1:29" ht="14" customHeight="1" x14ac:dyDescent="0.25">
      <c r="A73" s="12" t="s">
        <v>0</v>
      </c>
      <c r="B73" s="13" t="s">
        <v>1</v>
      </c>
      <c r="C73" s="13" t="s">
        <v>4494</v>
      </c>
      <c r="D73" s="14">
        <v>44383</v>
      </c>
      <c r="E73" s="14">
        <v>44383</v>
      </c>
      <c r="F73" s="14">
        <v>44397</v>
      </c>
      <c r="G73" s="13" t="s">
        <v>3</v>
      </c>
      <c r="H73" s="13" t="s">
        <v>4</v>
      </c>
      <c r="I73" s="15">
        <v>-18752.740000000002</v>
      </c>
      <c r="J73" s="13" t="s">
        <v>5</v>
      </c>
      <c r="K73" s="13" t="s">
        <v>6</v>
      </c>
      <c r="L73" s="15">
        <v>-1574292.52</v>
      </c>
      <c r="M73" s="15">
        <v>-18752.740000000002</v>
      </c>
      <c r="N73" s="13" t="s">
        <v>4495</v>
      </c>
      <c r="O73" s="13" t="s">
        <v>4471</v>
      </c>
      <c r="P73" s="13" t="s">
        <v>0</v>
      </c>
      <c r="Q73" s="13" t="s">
        <v>0</v>
      </c>
      <c r="R73" s="13" t="s">
        <v>9</v>
      </c>
      <c r="S73" s="13" t="s">
        <v>0</v>
      </c>
      <c r="T73" s="13" t="s">
        <v>0</v>
      </c>
      <c r="U73" s="13" t="s">
        <v>0</v>
      </c>
      <c r="V73" s="13" t="s">
        <v>0</v>
      </c>
      <c r="W73" s="13" t="s">
        <v>10</v>
      </c>
      <c r="X73" s="13" t="s">
        <v>0</v>
      </c>
      <c r="Y73" s="14"/>
      <c r="Z73" s="13" t="s">
        <v>0</v>
      </c>
      <c r="AA73" s="13" t="s">
        <v>0</v>
      </c>
      <c r="AB73" s="13" t="s">
        <v>0</v>
      </c>
      <c r="AC73" s="15">
        <v>0</v>
      </c>
    </row>
    <row r="74" spans="1:29" ht="14" customHeight="1" x14ac:dyDescent="0.25">
      <c r="A74" s="12" t="s">
        <v>0</v>
      </c>
      <c r="B74" s="13" t="s">
        <v>1</v>
      </c>
      <c r="C74" s="13" t="s">
        <v>4496</v>
      </c>
      <c r="D74" s="14">
        <v>44384</v>
      </c>
      <c r="E74" s="14">
        <v>44384</v>
      </c>
      <c r="F74" s="14">
        <v>44395</v>
      </c>
      <c r="G74" s="13" t="s">
        <v>48</v>
      </c>
      <c r="H74" s="13" t="s">
        <v>4</v>
      </c>
      <c r="I74" s="15">
        <v>-9.9600000000000009</v>
      </c>
      <c r="J74" s="13" t="s">
        <v>3437</v>
      </c>
      <c r="K74" s="13" t="s">
        <v>6</v>
      </c>
      <c r="L74" s="15">
        <v>-836.14</v>
      </c>
      <c r="M74" s="15">
        <v>-9.9600000000000009</v>
      </c>
      <c r="N74" s="13" t="s">
        <v>4497</v>
      </c>
      <c r="O74" s="13" t="s">
        <v>4497</v>
      </c>
      <c r="P74" s="13" t="s">
        <v>1656</v>
      </c>
      <c r="Q74" s="13" t="s">
        <v>0</v>
      </c>
      <c r="R74" s="13" t="s">
        <v>9</v>
      </c>
      <c r="S74" s="13" t="s">
        <v>1656</v>
      </c>
      <c r="T74" s="13" t="s">
        <v>0</v>
      </c>
      <c r="U74" s="13" t="s">
        <v>0</v>
      </c>
      <c r="V74" s="13" t="s">
        <v>0</v>
      </c>
      <c r="W74" s="13" t="s">
        <v>10</v>
      </c>
      <c r="X74" s="13" t="s">
        <v>0</v>
      </c>
      <c r="Y74" s="14"/>
      <c r="Z74" s="13" t="s">
        <v>0</v>
      </c>
      <c r="AA74" s="13" t="s">
        <v>0</v>
      </c>
      <c r="AB74" s="13" t="s">
        <v>0</v>
      </c>
      <c r="AC74" s="15">
        <v>0</v>
      </c>
    </row>
    <row r="75" spans="1:29" ht="14" customHeight="1" x14ac:dyDescent="0.25">
      <c r="A75" s="12" t="s">
        <v>0</v>
      </c>
      <c r="B75" s="13" t="s">
        <v>1</v>
      </c>
      <c r="C75" s="13" t="s">
        <v>4498</v>
      </c>
      <c r="D75" s="14">
        <v>44384</v>
      </c>
      <c r="E75" s="14">
        <v>44384</v>
      </c>
      <c r="F75" s="14">
        <v>44395</v>
      </c>
      <c r="G75" s="13" t="s">
        <v>48</v>
      </c>
      <c r="H75" s="13" t="s">
        <v>4</v>
      </c>
      <c r="I75" s="15">
        <v>-39.840000000000003</v>
      </c>
      <c r="J75" s="13" t="s">
        <v>1233</v>
      </c>
      <c r="K75" s="13" t="s">
        <v>6</v>
      </c>
      <c r="L75" s="15">
        <v>-3344.57</v>
      </c>
      <c r="M75" s="15">
        <v>-39.840000000000003</v>
      </c>
      <c r="N75" s="13" t="s">
        <v>4499</v>
      </c>
      <c r="O75" s="13" t="s">
        <v>4499</v>
      </c>
      <c r="P75" s="13" t="s">
        <v>1656</v>
      </c>
      <c r="Q75" s="13" t="s">
        <v>0</v>
      </c>
      <c r="R75" s="13" t="s">
        <v>9</v>
      </c>
      <c r="S75" s="13" t="s">
        <v>1656</v>
      </c>
      <c r="T75" s="13" t="s">
        <v>0</v>
      </c>
      <c r="U75" s="13" t="s">
        <v>0</v>
      </c>
      <c r="V75" s="13" t="s">
        <v>0</v>
      </c>
      <c r="W75" s="13" t="s">
        <v>10</v>
      </c>
      <c r="X75" s="13" t="s">
        <v>0</v>
      </c>
      <c r="Y75" s="14"/>
      <c r="Z75" s="13" t="s">
        <v>0</v>
      </c>
      <c r="AA75" s="13" t="s">
        <v>0</v>
      </c>
      <c r="AB75" s="13" t="s">
        <v>0</v>
      </c>
      <c r="AC75" s="15">
        <v>0</v>
      </c>
    </row>
    <row r="76" spans="1:29" ht="14" customHeight="1" x14ac:dyDescent="0.25">
      <c r="A76" s="12" t="s">
        <v>0</v>
      </c>
      <c r="B76" s="13" t="s">
        <v>1</v>
      </c>
      <c r="C76" s="13" t="s">
        <v>4500</v>
      </c>
      <c r="D76" s="14">
        <v>44384</v>
      </c>
      <c r="E76" s="14">
        <v>44384</v>
      </c>
      <c r="F76" s="14">
        <v>44395</v>
      </c>
      <c r="G76" s="13" t="s">
        <v>48</v>
      </c>
      <c r="H76" s="13" t="s">
        <v>4</v>
      </c>
      <c r="I76" s="15">
        <v>-59.76</v>
      </c>
      <c r="J76" s="13" t="s">
        <v>894</v>
      </c>
      <c r="K76" s="13" t="s">
        <v>6</v>
      </c>
      <c r="L76" s="15">
        <v>-5016.8500000000004</v>
      </c>
      <c r="M76" s="15">
        <v>-59.76</v>
      </c>
      <c r="N76" s="13" t="s">
        <v>4501</v>
      </c>
      <c r="O76" s="13" t="s">
        <v>4501</v>
      </c>
      <c r="P76" s="13" t="s">
        <v>1656</v>
      </c>
      <c r="Q76" s="13" t="s">
        <v>0</v>
      </c>
      <c r="R76" s="13" t="s">
        <v>9</v>
      </c>
      <c r="S76" s="13" t="s">
        <v>1656</v>
      </c>
      <c r="T76" s="13" t="s">
        <v>0</v>
      </c>
      <c r="U76" s="13" t="s">
        <v>0</v>
      </c>
      <c r="V76" s="13" t="s">
        <v>0</v>
      </c>
      <c r="W76" s="13" t="s">
        <v>10</v>
      </c>
      <c r="X76" s="13" t="s">
        <v>0</v>
      </c>
      <c r="Y76" s="14"/>
      <c r="Z76" s="13" t="s">
        <v>0</v>
      </c>
      <c r="AA76" s="13" t="s">
        <v>0</v>
      </c>
      <c r="AB76" s="13" t="s">
        <v>0</v>
      </c>
      <c r="AC76" s="15"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1"/>
  <sheetViews>
    <sheetView workbookViewId="0">
      <selection activeCell="I10" sqref="I10"/>
    </sheetView>
  </sheetViews>
  <sheetFormatPr defaultRowHeight="12.5" x14ac:dyDescent="0.25"/>
  <cols>
    <col min="4" max="4" width="11.08984375" bestFit="1" customWidth="1"/>
    <col min="5" max="5" width="13.26953125" bestFit="1" customWidth="1"/>
    <col min="6" max="6" width="9.90625" bestFit="1" customWidth="1"/>
    <col min="9" max="9" width="17" bestFit="1" customWidth="1"/>
    <col min="12" max="12" width="13.453125" bestFit="1" customWidth="1"/>
    <col min="13" max="13" width="18" bestFit="1" customWidth="1"/>
  </cols>
  <sheetData>
    <row r="1" spans="1:31" ht="37.5" x14ac:dyDescent="0.25">
      <c r="A1" s="5" t="s">
        <v>3361</v>
      </c>
      <c r="B1" s="1" t="s">
        <v>3362</v>
      </c>
      <c r="C1" s="1" t="s">
        <v>3363</v>
      </c>
      <c r="D1" s="1" t="s">
        <v>3364</v>
      </c>
      <c r="E1" s="1" t="s">
        <v>3365</v>
      </c>
      <c r="F1" s="1" t="s">
        <v>3366</v>
      </c>
      <c r="G1" s="5" t="s">
        <v>3367</v>
      </c>
      <c r="H1" s="5" t="s">
        <v>3368</v>
      </c>
      <c r="I1" s="1" t="s">
        <v>3369</v>
      </c>
      <c r="J1" s="1" t="s">
        <v>3370</v>
      </c>
      <c r="K1" s="5" t="s">
        <v>3371</v>
      </c>
      <c r="L1" s="5" t="s">
        <v>3372</v>
      </c>
      <c r="M1" s="1" t="s">
        <v>3373</v>
      </c>
      <c r="N1" s="6" t="s">
        <v>4385</v>
      </c>
      <c r="O1" s="7" t="s">
        <v>4386</v>
      </c>
      <c r="P1" s="1" t="s">
        <v>3374</v>
      </c>
      <c r="Q1" s="1" t="s">
        <v>3375</v>
      </c>
      <c r="R1" s="1" t="s">
        <v>3376</v>
      </c>
      <c r="S1" s="1" t="s">
        <v>3377</v>
      </c>
      <c r="T1" s="1" t="s">
        <v>3378</v>
      </c>
      <c r="U1" s="1" t="s">
        <v>3379</v>
      </c>
      <c r="V1" s="1" t="s">
        <v>3380</v>
      </c>
      <c r="W1" s="1" t="s">
        <v>3381</v>
      </c>
      <c r="X1" s="1" t="s">
        <v>3382</v>
      </c>
      <c r="Y1" s="1" t="s">
        <v>3383</v>
      </c>
      <c r="Z1" s="1" t="s">
        <v>3384</v>
      </c>
      <c r="AA1" s="1" t="s">
        <v>3385</v>
      </c>
      <c r="AB1" s="1" t="s">
        <v>3386</v>
      </c>
      <c r="AC1" s="1" t="s">
        <v>3387</v>
      </c>
      <c r="AD1" s="1" t="s">
        <v>3388</v>
      </c>
      <c r="AE1" s="5" t="s">
        <v>3389</v>
      </c>
    </row>
    <row r="2" spans="1:31" x14ac:dyDescent="0.25">
      <c r="A2" s="2" t="s">
        <v>0</v>
      </c>
      <c r="B2" t="s">
        <v>1</v>
      </c>
      <c r="C2" t="s">
        <v>265</v>
      </c>
      <c r="D2" s="3">
        <v>44042</v>
      </c>
      <c r="E2" s="3">
        <v>44042</v>
      </c>
      <c r="F2" s="3">
        <v>44055</v>
      </c>
      <c r="G2" t="s">
        <v>266</v>
      </c>
      <c r="H2" t="s">
        <v>4</v>
      </c>
      <c r="I2" s="4">
        <v>325632.73</v>
      </c>
      <c r="J2" t="s">
        <v>5</v>
      </c>
      <c r="K2" t="s">
        <v>6</v>
      </c>
      <c r="L2" s="4">
        <v>27336867.68</v>
      </c>
      <c r="M2" s="4">
        <v>325632.73</v>
      </c>
      <c r="N2" s="8" t="s">
        <v>4387</v>
      </c>
      <c r="O2" s="9" t="s">
        <v>4388</v>
      </c>
      <c r="P2" t="s">
        <v>267</v>
      </c>
      <c r="Q2" t="s">
        <v>268</v>
      </c>
      <c r="R2" t="s">
        <v>0</v>
      </c>
      <c r="S2" t="s">
        <v>0</v>
      </c>
      <c r="T2" t="s">
        <v>9</v>
      </c>
      <c r="U2" t="s">
        <v>0</v>
      </c>
      <c r="V2" t="s">
        <v>0</v>
      </c>
      <c r="W2" t="s">
        <v>0</v>
      </c>
      <c r="X2" t="s">
        <v>0</v>
      </c>
      <c r="Y2" t="s">
        <v>10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x14ac:dyDescent="0.25">
      <c r="A3" s="2" t="s">
        <v>0</v>
      </c>
      <c r="B3" t="s">
        <v>1</v>
      </c>
      <c r="C3" t="s">
        <v>1079</v>
      </c>
      <c r="D3" s="3">
        <v>44135</v>
      </c>
      <c r="E3" s="3">
        <v>44135</v>
      </c>
      <c r="F3" s="3">
        <v>44143</v>
      </c>
      <c r="G3" t="s">
        <v>270</v>
      </c>
      <c r="H3" t="s">
        <v>4</v>
      </c>
      <c r="I3" s="4">
        <v>156670</v>
      </c>
      <c r="J3" t="s">
        <v>5</v>
      </c>
      <c r="K3" t="s">
        <v>6</v>
      </c>
      <c r="L3" s="4">
        <v>13152446.5</v>
      </c>
      <c r="M3" s="4">
        <v>156670</v>
      </c>
      <c r="N3" s="8" t="s">
        <v>4389</v>
      </c>
      <c r="O3" s="9" t="s">
        <v>4388</v>
      </c>
      <c r="P3" t="s">
        <v>271</v>
      </c>
      <c r="Q3" t="s">
        <v>1080</v>
      </c>
      <c r="R3" t="s">
        <v>1080</v>
      </c>
      <c r="S3" t="s">
        <v>0</v>
      </c>
      <c r="T3" t="s">
        <v>9</v>
      </c>
      <c r="U3" t="s">
        <v>1080</v>
      </c>
      <c r="V3" t="s">
        <v>0</v>
      </c>
      <c r="W3" t="s">
        <v>0</v>
      </c>
      <c r="X3" t="s">
        <v>0</v>
      </c>
      <c r="Y3" t="s">
        <v>10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x14ac:dyDescent="0.25">
      <c r="A4" s="2" t="s">
        <v>0</v>
      </c>
      <c r="B4" t="s">
        <v>1</v>
      </c>
      <c r="C4" t="s">
        <v>1537</v>
      </c>
      <c r="D4" s="3">
        <v>44165</v>
      </c>
      <c r="E4" s="3">
        <v>44165</v>
      </c>
      <c r="F4" s="3">
        <v>44175</v>
      </c>
      <c r="G4" t="s">
        <v>270</v>
      </c>
      <c r="H4" t="s">
        <v>4</v>
      </c>
      <c r="I4" s="4">
        <v>141680</v>
      </c>
      <c r="J4" t="s">
        <v>5</v>
      </c>
      <c r="K4" t="s">
        <v>6</v>
      </c>
      <c r="L4" s="4">
        <v>11894036</v>
      </c>
      <c r="M4" s="4">
        <v>141680</v>
      </c>
      <c r="N4" s="8" t="s">
        <v>4390</v>
      </c>
      <c r="O4" s="9" t="s">
        <v>4388</v>
      </c>
      <c r="P4" t="s">
        <v>271</v>
      </c>
      <c r="Q4" t="s">
        <v>1538</v>
      </c>
      <c r="R4" t="s">
        <v>1538</v>
      </c>
      <c r="S4" t="s">
        <v>0</v>
      </c>
      <c r="T4" t="s">
        <v>9</v>
      </c>
      <c r="U4" t="s">
        <v>1538</v>
      </c>
      <c r="V4" t="s">
        <v>0</v>
      </c>
      <c r="W4" t="s">
        <v>0</v>
      </c>
      <c r="X4" t="s">
        <v>0</v>
      </c>
      <c r="Y4" t="s">
        <v>10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x14ac:dyDescent="0.25">
      <c r="A5" s="2" t="s">
        <v>0</v>
      </c>
      <c r="B5" t="s">
        <v>1</v>
      </c>
      <c r="C5" t="s">
        <v>1971</v>
      </c>
      <c r="D5" s="3">
        <v>44196</v>
      </c>
      <c r="E5" s="3">
        <v>44196</v>
      </c>
      <c r="F5" s="3">
        <v>44209</v>
      </c>
      <c r="G5" t="s">
        <v>270</v>
      </c>
      <c r="H5" t="s">
        <v>4</v>
      </c>
      <c r="I5" s="4">
        <v>107868</v>
      </c>
      <c r="J5" t="s">
        <v>5</v>
      </c>
      <c r="K5" t="s">
        <v>6</v>
      </c>
      <c r="L5" s="4">
        <v>9055518.5999999996</v>
      </c>
      <c r="M5" s="4">
        <v>107868</v>
      </c>
      <c r="N5" s="8" t="s">
        <v>4391</v>
      </c>
      <c r="O5" s="9" t="s">
        <v>4388</v>
      </c>
      <c r="P5" t="s">
        <v>271</v>
      </c>
      <c r="Q5" t="s">
        <v>1972</v>
      </c>
      <c r="R5" t="s">
        <v>1973</v>
      </c>
      <c r="S5" t="s">
        <v>0</v>
      </c>
      <c r="T5" t="s">
        <v>9</v>
      </c>
      <c r="U5" t="s">
        <v>1973</v>
      </c>
      <c r="V5" t="s">
        <v>0</v>
      </c>
      <c r="W5" t="s">
        <v>0</v>
      </c>
      <c r="X5" t="s">
        <v>0</v>
      </c>
      <c r="Y5" t="s">
        <v>10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x14ac:dyDescent="0.25">
      <c r="A6" s="2" t="s">
        <v>0</v>
      </c>
      <c r="B6" t="s">
        <v>1</v>
      </c>
      <c r="C6" t="s">
        <v>807</v>
      </c>
      <c r="D6" s="3">
        <v>44104</v>
      </c>
      <c r="E6" s="3">
        <v>44104</v>
      </c>
      <c r="F6" s="3">
        <v>44119</v>
      </c>
      <c r="G6" t="s">
        <v>270</v>
      </c>
      <c r="H6" t="s">
        <v>4</v>
      </c>
      <c r="I6" s="4">
        <v>101863</v>
      </c>
      <c r="J6" t="s">
        <v>5</v>
      </c>
      <c r="K6" t="s">
        <v>6</v>
      </c>
      <c r="L6" s="4">
        <v>8551398.8499999996</v>
      </c>
      <c r="M6" s="4">
        <v>101863</v>
      </c>
      <c r="N6" s="8" t="s">
        <v>4392</v>
      </c>
      <c r="O6" s="9" t="s">
        <v>4388</v>
      </c>
      <c r="P6" t="s">
        <v>271</v>
      </c>
      <c r="Q6" t="s">
        <v>808</v>
      </c>
      <c r="R6" t="s">
        <v>808</v>
      </c>
      <c r="S6" t="s">
        <v>0</v>
      </c>
      <c r="T6" t="s">
        <v>9</v>
      </c>
      <c r="U6" t="s">
        <v>809</v>
      </c>
      <c r="V6" t="s">
        <v>0</v>
      </c>
      <c r="W6" t="s">
        <v>0</v>
      </c>
      <c r="X6" t="s">
        <v>0</v>
      </c>
      <c r="Y6" t="s">
        <v>10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x14ac:dyDescent="0.25">
      <c r="A7" s="2" t="s">
        <v>0</v>
      </c>
      <c r="B7" t="s">
        <v>1</v>
      </c>
      <c r="C7" t="s">
        <v>269</v>
      </c>
      <c r="D7" s="3">
        <v>44042</v>
      </c>
      <c r="E7" s="3">
        <v>44042</v>
      </c>
      <c r="F7" s="3">
        <v>44057</v>
      </c>
      <c r="G7" t="s">
        <v>270</v>
      </c>
      <c r="H7" t="s">
        <v>4</v>
      </c>
      <c r="I7" s="4">
        <v>93379.3</v>
      </c>
      <c r="J7" t="s">
        <v>5</v>
      </c>
      <c r="K7" t="s">
        <v>6</v>
      </c>
      <c r="L7" s="4">
        <v>7839192.2400000002</v>
      </c>
      <c r="M7" s="4">
        <v>93379.3</v>
      </c>
      <c r="N7" s="8" t="s">
        <v>4393</v>
      </c>
      <c r="O7" s="9" t="s">
        <v>4388</v>
      </c>
      <c r="P7" t="s">
        <v>271</v>
      </c>
      <c r="Q7" t="s">
        <v>272</v>
      </c>
      <c r="R7" t="s">
        <v>273</v>
      </c>
      <c r="S7" t="s">
        <v>0</v>
      </c>
      <c r="T7" t="s">
        <v>9</v>
      </c>
      <c r="U7" t="s">
        <v>274</v>
      </c>
      <c r="V7" t="s">
        <v>0</v>
      </c>
      <c r="W7" t="s">
        <v>0</v>
      </c>
      <c r="X7" t="s">
        <v>0</v>
      </c>
      <c r="Y7" t="s">
        <v>10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x14ac:dyDescent="0.25">
      <c r="A8" s="2" t="s">
        <v>0</v>
      </c>
      <c r="B8" t="s">
        <v>1</v>
      </c>
      <c r="C8" t="s">
        <v>4377</v>
      </c>
      <c r="D8" s="3">
        <v>44377</v>
      </c>
      <c r="E8" s="3">
        <v>44377</v>
      </c>
      <c r="F8" s="3">
        <v>44385</v>
      </c>
      <c r="G8" t="s">
        <v>270</v>
      </c>
      <c r="H8" t="s">
        <v>4</v>
      </c>
      <c r="I8" s="4">
        <v>83284.13</v>
      </c>
      <c r="J8" t="s">
        <v>5</v>
      </c>
      <c r="K8" t="s">
        <v>6</v>
      </c>
      <c r="L8" s="4">
        <v>6991702.71</v>
      </c>
      <c r="M8" s="4">
        <v>83284.13</v>
      </c>
      <c r="N8" s="8" t="s">
        <v>4394</v>
      </c>
      <c r="O8" s="9" t="s">
        <v>4388</v>
      </c>
      <c r="P8" t="s">
        <v>4378</v>
      </c>
      <c r="Q8" t="s">
        <v>4379</v>
      </c>
      <c r="R8" t="s">
        <v>4380</v>
      </c>
      <c r="S8" t="s">
        <v>0</v>
      </c>
      <c r="T8" t="s">
        <v>9</v>
      </c>
      <c r="U8" t="s">
        <v>4381</v>
      </c>
      <c r="V8" t="s">
        <v>0</v>
      </c>
      <c r="W8" t="s">
        <v>0</v>
      </c>
      <c r="X8" t="s">
        <v>0</v>
      </c>
      <c r="Y8" t="s">
        <v>10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x14ac:dyDescent="0.25">
      <c r="A9" s="2" t="s">
        <v>0</v>
      </c>
      <c r="B9" t="s">
        <v>1</v>
      </c>
      <c r="C9" t="s">
        <v>534</v>
      </c>
      <c r="D9" s="3">
        <v>44074</v>
      </c>
      <c r="E9" s="3">
        <v>44074</v>
      </c>
      <c r="F9" s="3">
        <v>44086</v>
      </c>
      <c r="G9" t="s">
        <v>270</v>
      </c>
      <c r="H9" t="s">
        <v>4</v>
      </c>
      <c r="I9" s="4">
        <v>77016.92</v>
      </c>
      <c r="J9" t="s">
        <v>5</v>
      </c>
      <c r="K9" t="s">
        <v>6</v>
      </c>
      <c r="L9" s="4">
        <v>6465570.4299999997</v>
      </c>
      <c r="M9" s="4">
        <v>77016.92</v>
      </c>
      <c r="N9" s="8" t="s">
        <v>4395</v>
      </c>
      <c r="O9" s="9" t="s">
        <v>4388</v>
      </c>
      <c r="P9" t="s">
        <v>271</v>
      </c>
      <c r="Q9" t="s">
        <v>535</v>
      </c>
      <c r="R9" t="s">
        <v>535</v>
      </c>
      <c r="S9" t="s">
        <v>0</v>
      </c>
      <c r="T9" t="s">
        <v>9</v>
      </c>
      <c r="U9" t="s">
        <v>536</v>
      </c>
      <c r="V9" t="s">
        <v>0</v>
      </c>
      <c r="W9" t="s">
        <v>0</v>
      </c>
      <c r="X9" t="s">
        <v>0</v>
      </c>
      <c r="Y9" t="s">
        <v>10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x14ac:dyDescent="0.25">
      <c r="A10" s="2" t="s">
        <v>0</v>
      </c>
      <c r="B10" t="s">
        <v>1</v>
      </c>
      <c r="C10" t="s">
        <v>2371</v>
      </c>
      <c r="D10" s="3">
        <v>44227</v>
      </c>
      <c r="E10" s="3">
        <v>44227</v>
      </c>
      <c r="F10" s="3">
        <v>44235</v>
      </c>
      <c r="G10" t="s">
        <v>270</v>
      </c>
      <c r="H10" t="s">
        <v>4</v>
      </c>
      <c r="I10" s="4">
        <v>76783.5</v>
      </c>
      <c r="J10" t="s">
        <v>5</v>
      </c>
      <c r="K10" t="s">
        <v>6</v>
      </c>
      <c r="L10" s="4">
        <v>6445974.8300000001</v>
      </c>
      <c r="M10" s="4">
        <v>76783.5</v>
      </c>
      <c r="N10" s="8" t="s">
        <v>4396</v>
      </c>
      <c r="O10" s="9" t="s">
        <v>4388</v>
      </c>
      <c r="P10" t="s">
        <v>271</v>
      </c>
      <c r="Q10" t="s">
        <v>2372</v>
      </c>
      <c r="R10" t="s">
        <v>2372</v>
      </c>
      <c r="S10" t="s">
        <v>0</v>
      </c>
      <c r="T10" t="s">
        <v>9</v>
      </c>
      <c r="U10" t="s">
        <v>2373</v>
      </c>
      <c r="V10" t="s">
        <v>0</v>
      </c>
      <c r="W10" t="s">
        <v>0</v>
      </c>
      <c r="X10" t="s">
        <v>0</v>
      </c>
      <c r="Y10" t="s">
        <v>10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x14ac:dyDescent="0.25">
      <c r="A11" s="2" t="s">
        <v>0</v>
      </c>
      <c r="B11" t="s">
        <v>1</v>
      </c>
      <c r="C11" t="s">
        <v>3817</v>
      </c>
      <c r="D11" s="3">
        <v>44347</v>
      </c>
      <c r="E11" s="3">
        <v>44347</v>
      </c>
      <c r="F11" s="3">
        <v>44359</v>
      </c>
      <c r="G11" t="s">
        <v>270</v>
      </c>
      <c r="H11" t="s">
        <v>4</v>
      </c>
      <c r="I11" s="4">
        <v>70088.88</v>
      </c>
      <c r="J11" t="s">
        <v>5</v>
      </c>
      <c r="K11" t="s">
        <v>6</v>
      </c>
      <c r="L11" s="4">
        <v>5883961.4800000004</v>
      </c>
      <c r="M11" s="4">
        <v>70088.88</v>
      </c>
      <c r="N11" s="8" t="s">
        <v>4397</v>
      </c>
      <c r="O11" s="9" t="s">
        <v>4388</v>
      </c>
      <c r="P11" t="s">
        <v>3818</v>
      </c>
      <c r="Q11" t="s">
        <v>3819</v>
      </c>
      <c r="R11" t="s">
        <v>3820</v>
      </c>
      <c r="S11" t="s">
        <v>0</v>
      </c>
      <c r="T11" t="s">
        <v>9</v>
      </c>
      <c r="U11" t="s">
        <v>3821</v>
      </c>
      <c r="V11" t="s">
        <v>0</v>
      </c>
      <c r="W11" t="s">
        <v>0</v>
      </c>
      <c r="X11" t="s">
        <v>0</v>
      </c>
      <c r="Y11" t="s">
        <v>10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x14ac:dyDescent="0.25">
      <c r="A12" s="2" t="s">
        <v>0</v>
      </c>
      <c r="B12" t="s">
        <v>1</v>
      </c>
      <c r="C12" t="s">
        <v>2690</v>
      </c>
      <c r="D12" s="3">
        <v>44255</v>
      </c>
      <c r="E12" s="3">
        <v>44255</v>
      </c>
      <c r="F12" s="3">
        <v>44264</v>
      </c>
      <c r="G12" t="s">
        <v>270</v>
      </c>
      <c r="H12" t="s">
        <v>4</v>
      </c>
      <c r="I12" s="4">
        <v>47003.360000000001</v>
      </c>
      <c r="J12" t="s">
        <v>5</v>
      </c>
      <c r="K12" t="s">
        <v>6</v>
      </c>
      <c r="L12" s="4">
        <v>3945932.07</v>
      </c>
      <c r="M12" s="4">
        <v>47003.360000000001</v>
      </c>
      <c r="N12" s="8" t="s">
        <v>4398</v>
      </c>
      <c r="O12" s="9" t="s">
        <v>4388</v>
      </c>
      <c r="P12" t="s">
        <v>271</v>
      </c>
      <c r="Q12" t="s">
        <v>2691</v>
      </c>
      <c r="R12" t="s">
        <v>2692</v>
      </c>
      <c r="S12" t="s">
        <v>0</v>
      </c>
      <c r="T12" t="s">
        <v>9</v>
      </c>
      <c r="U12" t="s">
        <v>2693</v>
      </c>
      <c r="V12" t="s">
        <v>0</v>
      </c>
      <c r="W12" t="s">
        <v>0</v>
      </c>
      <c r="X12" t="s">
        <v>0</v>
      </c>
      <c r="Y12" t="s">
        <v>10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x14ac:dyDescent="0.25">
      <c r="A13" s="2" t="s">
        <v>0</v>
      </c>
      <c r="B13" t="s">
        <v>1</v>
      </c>
      <c r="C13" t="s">
        <v>3945</v>
      </c>
      <c r="D13" s="3">
        <v>44355</v>
      </c>
      <c r="E13" s="3">
        <v>44355</v>
      </c>
      <c r="F13" s="3">
        <v>44362</v>
      </c>
      <c r="G13" t="s">
        <v>266</v>
      </c>
      <c r="H13" t="s">
        <v>4</v>
      </c>
      <c r="I13" s="4">
        <v>44969.31</v>
      </c>
      <c r="J13" t="s">
        <v>5</v>
      </c>
      <c r="K13" t="s">
        <v>6</v>
      </c>
      <c r="L13" s="4">
        <v>3775173.57</v>
      </c>
      <c r="M13" s="4">
        <v>44969.31</v>
      </c>
      <c r="N13" s="8" t="s">
        <v>4399</v>
      </c>
      <c r="O13" s="9" t="s">
        <v>4388</v>
      </c>
      <c r="P13" t="s">
        <v>3900</v>
      </c>
      <c r="Q13" t="s">
        <v>3946</v>
      </c>
      <c r="R13" t="s">
        <v>0</v>
      </c>
      <c r="S13" t="s">
        <v>0</v>
      </c>
      <c r="T13" t="s">
        <v>9</v>
      </c>
      <c r="U13" t="s">
        <v>0</v>
      </c>
      <c r="V13" t="s">
        <v>0</v>
      </c>
      <c r="W13" t="s">
        <v>0</v>
      </c>
      <c r="X13" t="s">
        <v>0</v>
      </c>
      <c r="Y13" t="s">
        <v>10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x14ac:dyDescent="0.25">
      <c r="A14" s="2" t="s">
        <v>0</v>
      </c>
      <c r="B14" t="s">
        <v>1</v>
      </c>
      <c r="C14" t="s">
        <v>3945</v>
      </c>
      <c r="D14" s="3">
        <v>44355</v>
      </c>
      <c r="E14" s="3">
        <v>44355</v>
      </c>
      <c r="F14" s="3">
        <v>44362</v>
      </c>
      <c r="G14" t="s">
        <v>266</v>
      </c>
      <c r="H14" t="s">
        <v>4</v>
      </c>
      <c r="I14" s="4">
        <v>44567.51</v>
      </c>
      <c r="J14" t="s">
        <v>5</v>
      </c>
      <c r="K14" t="s">
        <v>6</v>
      </c>
      <c r="L14" s="4">
        <v>3741442.47</v>
      </c>
      <c r="M14" s="4">
        <v>44567.51</v>
      </c>
      <c r="N14" s="8" t="s">
        <v>4400</v>
      </c>
      <c r="O14" s="9" t="s">
        <v>4388</v>
      </c>
      <c r="P14" t="s">
        <v>3900</v>
      </c>
      <c r="Q14" t="s">
        <v>3946</v>
      </c>
      <c r="R14" t="s">
        <v>0</v>
      </c>
      <c r="S14" t="s">
        <v>0</v>
      </c>
      <c r="T14" t="s">
        <v>9</v>
      </c>
      <c r="U14" t="s">
        <v>0</v>
      </c>
      <c r="V14" t="s">
        <v>0</v>
      </c>
      <c r="W14" t="s">
        <v>0</v>
      </c>
      <c r="X14" t="s">
        <v>0</v>
      </c>
      <c r="Y14" t="s">
        <v>10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x14ac:dyDescent="0.25">
      <c r="A15" s="2" t="s">
        <v>0</v>
      </c>
      <c r="B15" t="s">
        <v>1</v>
      </c>
      <c r="C15" t="s">
        <v>3083</v>
      </c>
      <c r="D15" s="3">
        <v>44286</v>
      </c>
      <c r="E15" s="3">
        <v>44286</v>
      </c>
      <c r="F15" s="3">
        <v>44293</v>
      </c>
      <c r="G15" t="s">
        <v>270</v>
      </c>
      <c r="H15" t="s">
        <v>4</v>
      </c>
      <c r="I15" s="4">
        <v>40622.68</v>
      </c>
      <c r="J15" t="s">
        <v>5</v>
      </c>
      <c r="K15" t="s">
        <v>6</v>
      </c>
      <c r="L15" s="4">
        <v>3410273.99</v>
      </c>
      <c r="M15" s="4">
        <v>40622.68</v>
      </c>
      <c r="N15" s="8" t="s">
        <v>4401</v>
      </c>
      <c r="O15" s="9" t="s">
        <v>4388</v>
      </c>
      <c r="P15" t="s">
        <v>3084</v>
      </c>
      <c r="Q15" t="s">
        <v>3085</v>
      </c>
      <c r="R15" t="s">
        <v>3086</v>
      </c>
      <c r="S15" t="s">
        <v>0</v>
      </c>
      <c r="T15" t="s">
        <v>9</v>
      </c>
      <c r="U15" t="s">
        <v>3086</v>
      </c>
      <c r="V15" t="s">
        <v>0</v>
      </c>
      <c r="W15" t="s">
        <v>0</v>
      </c>
      <c r="X15" t="s">
        <v>0</v>
      </c>
      <c r="Y15" t="s">
        <v>10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x14ac:dyDescent="0.25">
      <c r="A16" s="2" t="s">
        <v>0</v>
      </c>
      <c r="B16" t="s">
        <v>1</v>
      </c>
      <c r="C16" t="s">
        <v>3332</v>
      </c>
      <c r="D16" s="3">
        <v>44316</v>
      </c>
      <c r="E16" s="3">
        <v>44316</v>
      </c>
      <c r="F16" s="3">
        <v>44324</v>
      </c>
      <c r="G16" t="s">
        <v>270</v>
      </c>
      <c r="H16" t="s">
        <v>4</v>
      </c>
      <c r="I16" s="4">
        <v>37880.629999999997</v>
      </c>
      <c r="J16" t="s">
        <v>5</v>
      </c>
      <c r="K16" t="s">
        <v>6</v>
      </c>
      <c r="L16" s="4">
        <v>3180078.89</v>
      </c>
      <c r="M16" s="4">
        <v>37880.629999999997</v>
      </c>
      <c r="N16" s="8" t="s">
        <v>4402</v>
      </c>
      <c r="O16" s="9" t="s">
        <v>4388</v>
      </c>
      <c r="P16" t="s">
        <v>3333</v>
      </c>
      <c r="Q16" t="s">
        <v>3334</v>
      </c>
      <c r="R16" t="s">
        <v>3335</v>
      </c>
      <c r="S16" t="s">
        <v>0</v>
      </c>
      <c r="T16" t="s">
        <v>9</v>
      </c>
      <c r="U16" t="s">
        <v>3336</v>
      </c>
      <c r="V16" t="s">
        <v>0</v>
      </c>
      <c r="W16" t="s">
        <v>0</v>
      </c>
      <c r="X16" t="s">
        <v>0</v>
      </c>
      <c r="Y16" t="s">
        <v>10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x14ac:dyDescent="0.25">
      <c r="A17" s="2" t="s">
        <v>0</v>
      </c>
      <c r="B17" t="s">
        <v>1</v>
      </c>
      <c r="C17" t="s">
        <v>3555</v>
      </c>
      <c r="D17" s="3">
        <v>44325</v>
      </c>
      <c r="E17" s="3">
        <v>44325</v>
      </c>
      <c r="F17" s="3">
        <v>44340</v>
      </c>
      <c r="G17" t="s">
        <v>266</v>
      </c>
      <c r="H17" t="s">
        <v>4</v>
      </c>
      <c r="I17" s="4">
        <v>17842.22</v>
      </c>
      <c r="J17" t="s">
        <v>5</v>
      </c>
      <c r="K17" t="s">
        <v>6</v>
      </c>
      <c r="L17" s="4">
        <v>1497854.37</v>
      </c>
      <c r="M17" s="4">
        <v>17842.22</v>
      </c>
      <c r="N17" s="8" t="s">
        <v>4403</v>
      </c>
      <c r="O17" s="9" t="s">
        <v>4388</v>
      </c>
      <c r="P17" t="s">
        <v>3556</v>
      </c>
      <c r="Q17" t="s">
        <v>3557</v>
      </c>
      <c r="R17" t="s">
        <v>0</v>
      </c>
      <c r="S17" t="s">
        <v>0</v>
      </c>
      <c r="T17" t="s">
        <v>9</v>
      </c>
      <c r="U17" t="s">
        <v>0</v>
      </c>
      <c r="V17" t="s">
        <v>0</v>
      </c>
      <c r="W17" t="s">
        <v>0</v>
      </c>
      <c r="X17" t="s">
        <v>0</v>
      </c>
      <c r="Y17" t="s">
        <v>10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x14ac:dyDescent="0.25">
      <c r="A18" s="2" t="s">
        <v>0</v>
      </c>
      <c r="B18" t="s">
        <v>1</v>
      </c>
      <c r="C18" t="s">
        <v>3403</v>
      </c>
      <c r="D18" s="3">
        <v>44320</v>
      </c>
      <c r="E18" s="3">
        <v>44320</v>
      </c>
      <c r="F18" s="3">
        <v>44339</v>
      </c>
      <c r="G18" t="s">
        <v>266</v>
      </c>
      <c r="H18" t="s">
        <v>4</v>
      </c>
      <c r="I18" s="4">
        <v>4273.5</v>
      </c>
      <c r="J18" t="s">
        <v>5</v>
      </c>
      <c r="K18" t="s">
        <v>6</v>
      </c>
      <c r="L18" s="4">
        <v>358760.33</v>
      </c>
      <c r="M18" s="4">
        <v>4273.5</v>
      </c>
      <c r="N18" s="8" t="s">
        <v>4404</v>
      </c>
      <c r="O18" s="9" t="s">
        <v>4388</v>
      </c>
      <c r="P18" t="s">
        <v>3404</v>
      </c>
      <c r="Q18" t="s">
        <v>3404</v>
      </c>
      <c r="R18" t="s">
        <v>3405</v>
      </c>
      <c r="S18" t="s">
        <v>0</v>
      </c>
      <c r="T18" t="s">
        <v>9</v>
      </c>
      <c r="U18" t="s">
        <v>3405</v>
      </c>
      <c r="V18" t="s">
        <v>0</v>
      </c>
      <c r="W18" t="s">
        <v>0</v>
      </c>
      <c r="X18" t="s">
        <v>0</v>
      </c>
      <c r="Y18" t="s">
        <v>10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x14ac:dyDescent="0.25">
      <c r="A19" s="2" t="s">
        <v>0</v>
      </c>
      <c r="B19" t="s">
        <v>289</v>
      </c>
      <c r="C19" t="s">
        <v>2697</v>
      </c>
      <c r="D19" s="3">
        <v>44255</v>
      </c>
      <c r="E19" s="3">
        <v>44255</v>
      </c>
      <c r="F19" s="3">
        <v>44262</v>
      </c>
      <c r="G19" t="s">
        <v>266</v>
      </c>
      <c r="H19" t="s">
        <v>4</v>
      </c>
      <c r="I19" s="4">
        <v>2393.9</v>
      </c>
      <c r="J19" t="s">
        <v>5</v>
      </c>
      <c r="K19" t="s">
        <v>6</v>
      </c>
      <c r="L19" s="4">
        <v>200967.91</v>
      </c>
      <c r="M19" s="4">
        <v>2393.9</v>
      </c>
      <c r="N19" s="8" t="s">
        <v>4405</v>
      </c>
      <c r="O19" s="9" t="s">
        <v>4388</v>
      </c>
      <c r="P19" t="s">
        <v>2698</v>
      </c>
      <c r="Q19" t="s">
        <v>2699</v>
      </c>
      <c r="R19" t="s">
        <v>1994</v>
      </c>
      <c r="S19" t="s">
        <v>0</v>
      </c>
      <c r="T19" t="s">
        <v>9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x14ac:dyDescent="0.25">
      <c r="A20" s="2" t="s">
        <v>0</v>
      </c>
      <c r="B20" t="s">
        <v>1</v>
      </c>
      <c r="C20" t="s">
        <v>3776</v>
      </c>
      <c r="D20" s="3">
        <v>44344</v>
      </c>
      <c r="E20" s="3">
        <v>44344</v>
      </c>
      <c r="F20" s="3">
        <v>44357</v>
      </c>
      <c r="G20" t="s">
        <v>266</v>
      </c>
      <c r="H20" t="s">
        <v>4</v>
      </c>
      <c r="I20" s="4">
        <v>1323.56</v>
      </c>
      <c r="J20" t="s">
        <v>5</v>
      </c>
      <c r="K20" t="s">
        <v>6</v>
      </c>
      <c r="L20" s="4">
        <v>111112.86</v>
      </c>
      <c r="M20" s="4">
        <v>1323.56</v>
      </c>
      <c r="N20" s="8" t="s">
        <v>4406</v>
      </c>
      <c r="O20" s="9" t="s">
        <v>4388</v>
      </c>
      <c r="P20" t="s">
        <v>3777</v>
      </c>
      <c r="Q20" t="s">
        <v>3778</v>
      </c>
      <c r="R20" t="s">
        <v>0</v>
      </c>
      <c r="S20" t="s">
        <v>0</v>
      </c>
      <c r="T20" t="s">
        <v>9</v>
      </c>
      <c r="U20" t="s">
        <v>0</v>
      </c>
      <c r="V20" t="s">
        <v>0</v>
      </c>
      <c r="W20" t="s">
        <v>0</v>
      </c>
      <c r="X20" t="s">
        <v>0</v>
      </c>
      <c r="Y20" t="s">
        <v>10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x14ac:dyDescent="0.25">
      <c r="A21" s="2" t="s">
        <v>0</v>
      </c>
      <c r="B21" t="s">
        <v>289</v>
      </c>
      <c r="C21" t="s">
        <v>2700</v>
      </c>
      <c r="D21" s="3">
        <v>44255</v>
      </c>
      <c r="E21" s="3">
        <v>44255</v>
      </c>
      <c r="F21" s="3">
        <v>44264</v>
      </c>
      <c r="G21" t="s">
        <v>266</v>
      </c>
      <c r="H21" t="s">
        <v>4</v>
      </c>
      <c r="I21" s="4">
        <v>1244.9000000000001</v>
      </c>
      <c r="J21" t="s">
        <v>5</v>
      </c>
      <c r="K21" t="s">
        <v>6</v>
      </c>
      <c r="L21" s="4">
        <v>104509.36</v>
      </c>
      <c r="M21" s="4">
        <v>1244.9000000000001</v>
      </c>
      <c r="N21" s="8" t="s">
        <v>4407</v>
      </c>
      <c r="O21" s="9" t="s">
        <v>4388</v>
      </c>
      <c r="P21" t="s">
        <v>2701</v>
      </c>
      <c r="Q21" t="s">
        <v>2701</v>
      </c>
      <c r="R21" t="s">
        <v>2002</v>
      </c>
      <c r="S21" t="s">
        <v>0</v>
      </c>
      <c r="T21" t="s">
        <v>9</v>
      </c>
      <c r="U21" t="s">
        <v>1999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x14ac:dyDescent="0.25">
      <c r="A22" s="2" t="s">
        <v>0</v>
      </c>
      <c r="B22" t="s">
        <v>1</v>
      </c>
      <c r="C22" t="s">
        <v>1628</v>
      </c>
      <c r="D22" s="3">
        <v>44171</v>
      </c>
      <c r="E22" s="3">
        <v>44171</v>
      </c>
      <c r="F22" s="3">
        <v>44207</v>
      </c>
      <c r="G22" t="s">
        <v>266</v>
      </c>
      <c r="H22" t="s">
        <v>4</v>
      </c>
      <c r="I22" s="4">
        <v>495</v>
      </c>
      <c r="J22" t="s">
        <v>5</v>
      </c>
      <c r="K22" t="s">
        <v>6</v>
      </c>
      <c r="L22" s="4">
        <v>41555.25</v>
      </c>
      <c r="M22" s="4">
        <v>495</v>
      </c>
      <c r="N22" s="8" t="s">
        <v>4408</v>
      </c>
      <c r="O22" s="9" t="s">
        <v>4388</v>
      </c>
      <c r="P22" t="s">
        <v>1629</v>
      </c>
      <c r="Q22" t="s">
        <v>1629</v>
      </c>
      <c r="R22" t="s">
        <v>50</v>
      </c>
      <c r="S22" t="s">
        <v>0</v>
      </c>
      <c r="T22" t="s">
        <v>9</v>
      </c>
      <c r="U22" t="s">
        <v>50</v>
      </c>
      <c r="V22" t="s">
        <v>0</v>
      </c>
      <c r="W22" t="s">
        <v>0</v>
      </c>
      <c r="X22" t="s">
        <v>0</v>
      </c>
      <c r="Y22" t="s">
        <v>10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x14ac:dyDescent="0.25">
      <c r="A23" s="2" t="s">
        <v>0</v>
      </c>
      <c r="B23" t="s">
        <v>289</v>
      </c>
      <c r="C23" t="s">
        <v>3087</v>
      </c>
      <c r="D23" s="3">
        <v>44286</v>
      </c>
      <c r="E23" s="3">
        <v>44286</v>
      </c>
      <c r="F23" s="3">
        <v>44297</v>
      </c>
      <c r="G23" t="s">
        <v>266</v>
      </c>
      <c r="H23" t="s">
        <v>4</v>
      </c>
      <c r="I23" s="4">
        <v>304.95</v>
      </c>
      <c r="J23" t="s">
        <v>394</v>
      </c>
      <c r="K23" t="s">
        <v>6</v>
      </c>
      <c r="L23" s="4">
        <v>25600.55</v>
      </c>
      <c r="M23" s="4">
        <v>304.95</v>
      </c>
      <c r="N23" s="8" t="s">
        <v>4409</v>
      </c>
      <c r="O23" s="9" t="s">
        <v>4388</v>
      </c>
      <c r="P23" t="s">
        <v>3088</v>
      </c>
      <c r="Q23" t="s">
        <v>3088</v>
      </c>
      <c r="R23" t="s">
        <v>3089</v>
      </c>
      <c r="S23" t="s">
        <v>0</v>
      </c>
      <c r="T23" t="s">
        <v>9</v>
      </c>
      <c r="U23" t="s">
        <v>1995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x14ac:dyDescent="0.25">
      <c r="A24" s="2" t="s">
        <v>0</v>
      </c>
      <c r="B24" t="s">
        <v>289</v>
      </c>
      <c r="C24" t="s">
        <v>815</v>
      </c>
      <c r="D24" s="3">
        <v>44104</v>
      </c>
      <c r="E24" s="3">
        <v>44104</v>
      </c>
      <c r="F24" s="3">
        <v>44116</v>
      </c>
      <c r="G24" t="s">
        <v>266</v>
      </c>
      <c r="H24" t="s">
        <v>4</v>
      </c>
      <c r="I24" s="4">
        <v>282.83</v>
      </c>
      <c r="J24" t="s">
        <v>68</v>
      </c>
      <c r="K24" t="s">
        <v>6</v>
      </c>
      <c r="L24" s="4">
        <v>23743.58</v>
      </c>
      <c r="M24" s="4">
        <v>282.83</v>
      </c>
      <c r="N24" s="8" t="s">
        <v>4410</v>
      </c>
      <c r="O24" s="9" t="s">
        <v>4388</v>
      </c>
      <c r="P24" t="s">
        <v>816</v>
      </c>
      <c r="Q24" t="s">
        <v>816</v>
      </c>
      <c r="R24" t="s">
        <v>817</v>
      </c>
      <c r="S24" t="s">
        <v>0</v>
      </c>
      <c r="T24" t="s">
        <v>9</v>
      </c>
      <c r="U24" t="s">
        <v>295</v>
      </c>
      <c r="V24" t="s">
        <v>0</v>
      </c>
      <c r="W24" t="s">
        <v>0</v>
      </c>
      <c r="X24" t="s">
        <v>0</v>
      </c>
      <c r="Y24" t="s">
        <v>291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x14ac:dyDescent="0.25">
      <c r="A25" s="2" t="s">
        <v>0</v>
      </c>
      <c r="B25" t="s">
        <v>1</v>
      </c>
      <c r="C25" t="s">
        <v>2008</v>
      </c>
      <c r="D25" s="3">
        <v>44197</v>
      </c>
      <c r="E25" s="3">
        <v>44197</v>
      </c>
      <c r="F25" s="3">
        <v>44235</v>
      </c>
      <c r="G25" t="s">
        <v>266</v>
      </c>
      <c r="H25" t="s">
        <v>4</v>
      </c>
      <c r="I25" s="4">
        <v>271</v>
      </c>
      <c r="J25" t="s">
        <v>5</v>
      </c>
      <c r="K25" t="s">
        <v>6</v>
      </c>
      <c r="L25" s="4">
        <v>22750.45</v>
      </c>
      <c r="M25" s="4">
        <v>271</v>
      </c>
      <c r="N25" s="8" t="s">
        <v>4411</v>
      </c>
      <c r="O25" s="9" t="s">
        <v>4388</v>
      </c>
      <c r="P25" t="s">
        <v>2009</v>
      </c>
      <c r="Q25" t="s">
        <v>2009</v>
      </c>
      <c r="R25" t="s">
        <v>1656</v>
      </c>
      <c r="S25" t="s">
        <v>0</v>
      </c>
      <c r="T25" t="s">
        <v>9</v>
      </c>
      <c r="U25" t="s">
        <v>1656</v>
      </c>
      <c r="V25" t="s">
        <v>0</v>
      </c>
      <c r="W25" t="s">
        <v>0</v>
      </c>
      <c r="X25" t="s">
        <v>0</v>
      </c>
      <c r="Y25" t="s">
        <v>10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x14ac:dyDescent="0.25">
      <c r="A26" s="2" t="s">
        <v>0</v>
      </c>
      <c r="B26" t="s">
        <v>1</v>
      </c>
      <c r="C26" t="s">
        <v>4116</v>
      </c>
      <c r="D26" s="3">
        <v>44364</v>
      </c>
      <c r="E26" s="3">
        <v>44364</v>
      </c>
      <c r="F26" s="3">
        <v>44384</v>
      </c>
      <c r="G26" t="s">
        <v>266</v>
      </c>
      <c r="H26" t="s">
        <v>4</v>
      </c>
      <c r="I26" s="4">
        <v>50</v>
      </c>
      <c r="J26" t="s">
        <v>5</v>
      </c>
      <c r="K26" t="s">
        <v>6</v>
      </c>
      <c r="L26" s="4">
        <v>4197.5</v>
      </c>
      <c r="M26" s="4">
        <v>50</v>
      </c>
      <c r="N26" s="8" t="s">
        <v>4412</v>
      </c>
      <c r="O26" s="9" t="s">
        <v>4388</v>
      </c>
      <c r="P26" t="s">
        <v>4117</v>
      </c>
      <c r="Q26" t="s">
        <v>4117</v>
      </c>
      <c r="R26" t="s">
        <v>50</v>
      </c>
      <c r="S26" t="s">
        <v>0</v>
      </c>
      <c r="T26" t="s">
        <v>9</v>
      </c>
      <c r="U26" t="s">
        <v>50</v>
      </c>
      <c r="V26" t="s">
        <v>0</v>
      </c>
      <c r="W26" t="s">
        <v>0</v>
      </c>
      <c r="X26" t="s">
        <v>0</v>
      </c>
      <c r="Y26" t="s">
        <v>10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x14ac:dyDescent="0.25">
      <c r="A27" s="2" t="s">
        <v>0</v>
      </c>
      <c r="B27" t="s">
        <v>1</v>
      </c>
      <c r="C27" t="s">
        <v>1906</v>
      </c>
      <c r="D27" s="3">
        <v>44191</v>
      </c>
      <c r="E27" s="3">
        <v>44191</v>
      </c>
      <c r="F27" s="3">
        <v>44207</v>
      </c>
      <c r="G27" t="s">
        <v>266</v>
      </c>
      <c r="H27" t="s">
        <v>4</v>
      </c>
      <c r="I27" s="4">
        <v>32</v>
      </c>
      <c r="J27" t="s">
        <v>5</v>
      </c>
      <c r="K27" t="s">
        <v>6</v>
      </c>
      <c r="L27" s="4">
        <v>2686.4</v>
      </c>
      <c r="M27" s="4">
        <v>32</v>
      </c>
      <c r="N27" s="8" t="s">
        <v>4413</v>
      </c>
      <c r="O27" s="9" t="s">
        <v>4388</v>
      </c>
      <c r="P27" t="s">
        <v>1907</v>
      </c>
      <c r="Q27" t="s">
        <v>1908</v>
      </c>
      <c r="R27" t="s">
        <v>0</v>
      </c>
      <c r="S27" t="s">
        <v>0</v>
      </c>
      <c r="T27" t="s">
        <v>9</v>
      </c>
      <c r="U27" t="s">
        <v>0</v>
      </c>
      <c r="V27" t="s">
        <v>0</v>
      </c>
      <c r="W27" t="s">
        <v>0</v>
      </c>
      <c r="X27" t="s">
        <v>0</v>
      </c>
      <c r="Y27" t="s">
        <v>10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x14ac:dyDescent="0.25">
      <c r="A28" s="2" t="s">
        <v>0</v>
      </c>
      <c r="B28" t="s">
        <v>1</v>
      </c>
      <c r="C28" t="s">
        <v>1909</v>
      </c>
      <c r="D28" s="3">
        <v>44191</v>
      </c>
      <c r="E28" s="3">
        <v>44191</v>
      </c>
      <c r="F28" s="3">
        <v>44207</v>
      </c>
      <c r="G28" t="s">
        <v>266</v>
      </c>
      <c r="H28" t="s">
        <v>4</v>
      </c>
      <c r="I28" s="4">
        <v>32</v>
      </c>
      <c r="J28" t="s">
        <v>5</v>
      </c>
      <c r="K28" t="s">
        <v>6</v>
      </c>
      <c r="L28" s="4">
        <v>2686.4</v>
      </c>
      <c r="M28" s="4">
        <v>32</v>
      </c>
      <c r="N28" s="8" t="s">
        <v>4414</v>
      </c>
      <c r="O28" s="9" t="s">
        <v>4388</v>
      </c>
      <c r="P28" t="s">
        <v>1910</v>
      </c>
      <c r="Q28" t="s">
        <v>1908</v>
      </c>
      <c r="R28" t="s">
        <v>0</v>
      </c>
      <c r="S28" t="s">
        <v>0</v>
      </c>
      <c r="T28" t="s">
        <v>9</v>
      </c>
      <c r="U28" t="s">
        <v>0</v>
      </c>
      <c r="V28" t="s">
        <v>0</v>
      </c>
      <c r="W28" t="s">
        <v>0</v>
      </c>
      <c r="X28" t="s">
        <v>0</v>
      </c>
      <c r="Y28" t="s">
        <v>10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x14ac:dyDescent="0.25">
      <c r="A29" s="2" t="s">
        <v>0</v>
      </c>
      <c r="B29" t="s">
        <v>1</v>
      </c>
      <c r="C29" t="s">
        <v>4282</v>
      </c>
      <c r="D29" s="3">
        <v>44371</v>
      </c>
      <c r="E29" s="3">
        <v>44371</v>
      </c>
      <c r="F29" s="3">
        <v>44382</v>
      </c>
      <c r="G29" t="s">
        <v>266</v>
      </c>
      <c r="H29" t="s">
        <v>4</v>
      </c>
      <c r="I29" s="4">
        <v>9.9600000000000009</v>
      </c>
      <c r="J29" t="s">
        <v>3437</v>
      </c>
      <c r="K29" t="s">
        <v>6</v>
      </c>
      <c r="L29" s="4">
        <v>836.14</v>
      </c>
      <c r="M29" s="4">
        <v>9.9600000000000009</v>
      </c>
      <c r="N29" s="8" t="s">
        <v>4415</v>
      </c>
      <c r="O29" s="9" t="s">
        <v>4388</v>
      </c>
      <c r="P29" t="s">
        <v>4283</v>
      </c>
      <c r="Q29" t="s">
        <v>4283</v>
      </c>
      <c r="R29" t="s">
        <v>1656</v>
      </c>
      <c r="S29" t="s">
        <v>0</v>
      </c>
      <c r="T29" t="s">
        <v>9</v>
      </c>
      <c r="U29" t="s">
        <v>1656</v>
      </c>
      <c r="V29" t="s">
        <v>0</v>
      </c>
      <c r="W29" t="s">
        <v>0</v>
      </c>
      <c r="X29" t="s">
        <v>0</v>
      </c>
      <c r="Y29" t="s">
        <v>10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x14ac:dyDescent="0.25">
      <c r="A30" s="2" t="s">
        <v>0</v>
      </c>
      <c r="B30" t="s">
        <v>1</v>
      </c>
      <c r="C30" t="s">
        <v>3687</v>
      </c>
      <c r="D30" s="3">
        <v>44337</v>
      </c>
      <c r="E30" s="3">
        <v>44337</v>
      </c>
      <c r="F30" s="3">
        <v>44356</v>
      </c>
      <c r="G30" t="s">
        <v>266</v>
      </c>
      <c r="H30" t="s">
        <v>4</v>
      </c>
      <c r="I30" s="4">
        <v>6.62</v>
      </c>
      <c r="J30" t="s">
        <v>3688</v>
      </c>
      <c r="K30" t="s">
        <v>6</v>
      </c>
      <c r="L30" s="4">
        <v>555.75</v>
      </c>
      <c r="M30" s="4">
        <v>6.62</v>
      </c>
      <c r="N30" s="8" t="s">
        <v>4416</v>
      </c>
      <c r="O30" s="9" t="s">
        <v>4388</v>
      </c>
      <c r="P30" t="s">
        <v>3689</v>
      </c>
      <c r="Q30" t="s">
        <v>3689</v>
      </c>
      <c r="R30" t="s">
        <v>1656</v>
      </c>
      <c r="S30" t="s">
        <v>0</v>
      </c>
      <c r="T30" t="s">
        <v>9</v>
      </c>
      <c r="U30" t="s">
        <v>1656</v>
      </c>
      <c r="V30" t="s">
        <v>0</v>
      </c>
      <c r="W30" t="s">
        <v>0</v>
      </c>
      <c r="X30" t="s">
        <v>0</v>
      </c>
      <c r="Y30" t="s">
        <v>10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x14ac:dyDescent="0.25">
      <c r="A31" s="2" t="s">
        <v>0</v>
      </c>
      <c r="B31" t="s">
        <v>1</v>
      </c>
      <c r="C31" t="s">
        <v>3684</v>
      </c>
      <c r="D31" s="3">
        <v>44337</v>
      </c>
      <c r="E31" s="3">
        <v>44337</v>
      </c>
      <c r="F31" s="3">
        <v>44346</v>
      </c>
      <c r="G31" t="s">
        <v>266</v>
      </c>
      <c r="H31" t="s">
        <v>6</v>
      </c>
      <c r="I31" s="4">
        <v>68.64</v>
      </c>
      <c r="J31" t="s">
        <v>3685</v>
      </c>
      <c r="K31" t="s">
        <v>6</v>
      </c>
      <c r="L31" s="4">
        <v>68.64</v>
      </c>
      <c r="M31" s="4">
        <v>0.81</v>
      </c>
      <c r="N31" s="8" t="s">
        <v>4417</v>
      </c>
      <c r="O31" s="9" t="s">
        <v>4388</v>
      </c>
      <c r="P31" t="s">
        <v>3686</v>
      </c>
      <c r="Q31" t="s">
        <v>3686</v>
      </c>
      <c r="R31" t="s">
        <v>1656</v>
      </c>
      <c r="S31" t="s">
        <v>0</v>
      </c>
      <c r="T31" t="s">
        <v>9</v>
      </c>
      <c r="U31" t="s">
        <v>1656</v>
      </c>
      <c r="V31" t="s">
        <v>0</v>
      </c>
      <c r="W31" t="s">
        <v>0</v>
      </c>
      <c r="X31" t="s">
        <v>0</v>
      </c>
      <c r="Y31" t="s">
        <v>10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x14ac:dyDescent="0.25">
      <c r="A32" s="2" t="s">
        <v>0</v>
      </c>
      <c r="B32" t="s">
        <v>1</v>
      </c>
      <c r="C32" t="s">
        <v>3701</v>
      </c>
      <c r="D32" s="3">
        <v>44337</v>
      </c>
      <c r="E32" s="3">
        <v>44337</v>
      </c>
      <c r="F32" s="3">
        <v>44346</v>
      </c>
      <c r="G32" t="s">
        <v>48</v>
      </c>
      <c r="H32" t="s">
        <v>6</v>
      </c>
      <c r="I32" s="4">
        <v>-68.64</v>
      </c>
      <c r="J32" t="s">
        <v>3685</v>
      </c>
      <c r="K32" t="s">
        <v>6</v>
      </c>
      <c r="L32" s="4">
        <v>-68.64</v>
      </c>
      <c r="M32" s="4">
        <v>-0.81</v>
      </c>
      <c r="N32" s="8" t="s">
        <v>4417</v>
      </c>
      <c r="O32" s="9" t="s">
        <v>4388</v>
      </c>
      <c r="P32" t="s">
        <v>3686</v>
      </c>
      <c r="Q32" t="s">
        <v>3686</v>
      </c>
      <c r="R32" t="s">
        <v>1656</v>
      </c>
      <c r="S32" t="s">
        <v>0</v>
      </c>
      <c r="T32" t="s">
        <v>9</v>
      </c>
      <c r="U32" t="s">
        <v>1656</v>
      </c>
      <c r="V32" t="s">
        <v>0</v>
      </c>
      <c r="W32" t="s">
        <v>0</v>
      </c>
      <c r="X32" t="s">
        <v>0</v>
      </c>
      <c r="Y32" t="s">
        <v>10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x14ac:dyDescent="0.25">
      <c r="A33" s="2" t="s">
        <v>0</v>
      </c>
      <c r="B33" t="s">
        <v>1</v>
      </c>
      <c r="C33" t="s">
        <v>3692</v>
      </c>
      <c r="D33" s="3">
        <v>44337</v>
      </c>
      <c r="E33" s="3">
        <v>44337</v>
      </c>
      <c r="F33" s="3">
        <v>44346</v>
      </c>
      <c r="G33" t="s">
        <v>48</v>
      </c>
      <c r="H33" t="s">
        <v>4</v>
      </c>
      <c r="I33" s="4">
        <v>-6.62</v>
      </c>
      <c r="J33" t="s">
        <v>3688</v>
      </c>
      <c r="K33" t="s">
        <v>6</v>
      </c>
      <c r="L33" s="4">
        <v>-555.75</v>
      </c>
      <c r="M33" s="4">
        <v>-6.62</v>
      </c>
      <c r="N33" s="8" t="s">
        <v>4416</v>
      </c>
      <c r="O33" s="9" t="s">
        <v>4388</v>
      </c>
      <c r="P33" t="s">
        <v>3689</v>
      </c>
      <c r="Q33" t="s">
        <v>3689</v>
      </c>
      <c r="R33" t="s">
        <v>1656</v>
      </c>
      <c r="S33" t="s">
        <v>0</v>
      </c>
      <c r="T33" t="s">
        <v>9</v>
      </c>
      <c r="U33" t="s">
        <v>1656</v>
      </c>
      <c r="V33" t="s">
        <v>0</v>
      </c>
      <c r="W33" t="s">
        <v>0</v>
      </c>
      <c r="X33" t="s">
        <v>0</v>
      </c>
      <c r="Y33" t="s">
        <v>10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x14ac:dyDescent="0.25">
      <c r="A34" s="2" t="s">
        <v>0</v>
      </c>
      <c r="B34" t="s">
        <v>1</v>
      </c>
      <c r="C34" t="s">
        <v>3445</v>
      </c>
      <c r="D34" s="3">
        <v>44320</v>
      </c>
      <c r="E34" s="3">
        <v>44320</v>
      </c>
      <c r="F34" s="3">
        <v>44339</v>
      </c>
      <c r="G34" t="s">
        <v>48</v>
      </c>
      <c r="H34" t="s">
        <v>4</v>
      </c>
      <c r="I34" s="4">
        <v>-9.9600000000000009</v>
      </c>
      <c r="J34" t="s">
        <v>3437</v>
      </c>
      <c r="K34" t="s">
        <v>6</v>
      </c>
      <c r="L34" s="4">
        <v>-836.14</v>
      </c>
      <c r="M34" s="4">
        <v>-9.9600000000000009</v>
      </c>
      <c r="N34" s="8" t="s">
        <v>4415</v>
      </c>
      <c r="O34" s="9" t="s">
        <v>4388</v>
      </c>
      <c r="P34" t="s">
        <v>3446</v>
      </c>
      <c r="Q34" t="s">
        <v>3446</v>
      </c>
      <c r="R34" t="s">
        <v>1656</v>
      </c>
      <c r="S34" t="s">
        <v>0</v>
      </c>
      <c r="T34" t="s">
        <v>9</v>
      </c>
      <c r="U34" t="s">
        <v>1656</v>
      </c>
      <c r="V34" t="s">
        <v>0</v>
      </c>
      <c r="W34" t="s">
        <v>0</v>
      </c>
      <c r="X34" t="s">
        <v>0</v>
      </c>
      <c r="Y34" t="s">
        <v>10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x14ac:dyDescent="0.25">
      <c r="A35" s="2" t="s">
        <v>0</v>
      </c>
      <c r="B35" t="s">
        <v>1</v>
      </c>
      <c r="C35" t="s">
        <v>1161</v>
      </c>
      <c r="D35" s="3">
        <v>44140</v>
      </c>
      <c r="E35" s="3">
        <v>44140</v>
      </c>
      <c r="F35" s="3">
        <v>44163</v>
      </c>
      <c r="G35" t="s">
        <v>48</v>
      </c>
      <c r="H35" t="s">
        <v>4</v>
      </c>
      <c r="I35" s="4">
        <v>-32</v>
      </c>
      <c r="J35" t="s">
        <v>5</v>
      </c>
      <c r="K35" t="s">
        <v>6</v>
      </c>
      <c r="L35" s="4">
        <v>-2686.4</v>
      </c>
      <c r="M35" s="4">
        <v>-32</v>
      </c>
      <c r="N35" s="8" t="s">
        <v>4413</v>
      </c>
      <c r="O35" s="9" t="s">
        <v>4388</v>
      </c>
      <c r="P35" t="s">
        <v>1162</v>
      </c>
      <c r="Q35" t="s">
        <v>1162</v>
      </c>
      <c r="R35" t="s">
        <v>50</v>
      </c>
      <c r="S35" t="s">
        <v>0</v>
      </c>
      <c r="T35" t="s">
        <v>9</v>
      </c>
      <c r="U35" t="s">
        <v>50</v>
      </c>
      <c r="V35" t="s">
        <v>0</v>
      </c>
      <c r="W35" t="s">
        <v>0</v>
      </c>
      <c r="X35" t="s">
        <v>0</v>
      </c>
      <c r="Y35" t="s">
        <v>10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x14ac:dyDescent="0.25">
      <c r="A36" s="2" t="s">
        <v>0</v>
      </c>
      <c r="B36" t="s">
        <v>1</v>
      </c>
      <c r="C36" t="s">
        <v>1928</v>
      </c>
      <c r="D36" s="3">
        <v>44191</v>
      </c>
      <c r="E36" s="3">
        <v>44191</v>
      </c>
      <c r="F36" s="3">
        <v>44196</v>
      </c>
      <c r="G36" t="s">
        <v>3</v>
      </c>
      <c r="H36" t="s">
        <v>4</v>
      </c>
      <c r="I36" s="4">
        <v>-32</v>
      </c>
      <c r="J36" t="s">
        <v>5</v>
      </c>
      <c r="K36" t="s">
        <v>6</v>
      </c>
      <c r="L36" s="4">
        <v>-2686.4</v>
      </c>
      <c r="M36" s="4">
        <v>-32</v>
      </c>
      <c r="N36" s="8" t="s">
        <v>4414</v>
      </c>
      <c r="O36" s="9" t="s">
        <v>4388</v>
      </c>
      <c r="P36" t="s">
        <v>1910</v>
      </c>
      <c r="Q36" t="s">
        <v>1908</v>
      </c>
      <c r="R36" t="s">
        <v>0</v>
      </c>
      <c r="S36" t="s">
        <v>0</v>
      </c>
      <c r="T36" t="s">
        <v>9</v>
      </c>
      <c r="U36" t="s">
        <v>0</v>
      </c>
      <c r="V36" t="s">
        <v>0</v>
      </c>
      <c r="W36" t="s">
        <v>0</v>
      </c>
      <c r="X36" t="s">
        <v>0</v>
      </c>
      <c r="Y36" t="s">
        <v>10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x14ac:dyDescent="0.25">
      <c r="A37" s="2" t="s">
        <v>0</v>
      </c>
      <c r="B37" t="s">
        <v>1</v>
      </c>
      <c r="C37" t="s">
        <v>3960</v>
      </c>
      <c r="D37" s="3">
        <v>44358</v>
      </c>
      <c r="E37" s="3">
        <v>44358</v>
      </c>
      <c r="F37" s="3">
        <v>44370</v>
      </c>
      <c r="G37" t="s">
        <v>48</v>
      </c>
      <c r="H37" t="s">
        <v>4</v>
      </c>
      <c r="I37" s="4">
        <v>-50</v>
      </c>
      <c r="J37" t="s">
        <v>5</v>
      </c>
      <c r="K37" t="s">
        <v>6</v>
      </c>
      <c r="L37" s="4">
        <v>-4197.5</v>
      </c>
      <c r="M37" s="4">
        <v>-50</v>
      </c>
      <c r="N37" s="8" t="s">
        <v>4412</v>
      </c>
      <c r="O37" s="9" t="s">
        <v>4388</v>
      </c>
      <c r="P37" t="s">
        <v>3961</v>
      </c>
      <c r="Q37" t="s">
        <v>3961</v>
      </c>
      <c r="R37" t="s">
        <v>50</v>
      </c>
      <c r="S37" t="s">
        <v>0</v>
      </c>
      <c r="T37" t="s">
        <v>9</v>
      </c>
      <c r="U37" t="s">
        <v>50</v>
      </c>
      <c r="V37" t="s">
        <v>0</v>
      </c>
      <c r="W37" t="s">
        <v>0</v>
      </c>
      <c r="X37" t="s">
        <v>0</v>
      </c>
      <c r="Y37" t="s">
        <v>10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x14ac:dyDescent="0.25">
      <c r="A38" s="2" t="s">
        <v>0</v>
      </c>
      <c r="B38" t="s">
        <v>1</v>
      </c>
      <c r="C38" t="s">
        <v>2020</v>
      </c>
      <c r="D38" s="3">
        <v>44197</v>
      </c>
      <c r="E38" s="3">
        <v>44197</v>
      </c>
      <c r="F38" s="3">
        <v>44220</v>
      </c>
      <c r="G38" t="s">
        <v>48</v>
      </c>
      <c r="H38" t="s">
        <v>4</v>
      </c>
      <c r="I38" s="4">
        <v>-271</v>
      </c>
      <c r="J38" t="s">
        <v>5</v>
      </c>
      <c r="K38" t="s">
        <v>6</v>
      </c>
      <c r="L38" s="4">
        <v>-22750.45</v>
      </c>
      <c r="M38" s="4">
        <v>-271</v>
      </c>
      <c r="N38" s="8" t="s">
        <v>4411</v>
      </c>
      <c r="O38" s="9" t="s">
        <v>4388</v>
      </c>
      <c r="P38" t="s">
        <v>2009</v>
      </c>
      <c r="Q38" t="s">
        <v>2009</v>
      </c>
      <c r="R38" t="s">
        <v>1656</v>
      </c>
      <c r="S38" t="s">
        <v>0</v>
      </c>
      <c r="T38" t="s">
        <v>9</v>
      </c>
      <c r="U38" t="s">
        <v>1656</v>
      </c>
      <c r="V38" t="s">
        <v>0</v>
      </c>
      <c r="W38" t="s">
        <v>0</v>
      </c>
      <c r="X38" t="s">
        <v>0</v>
      </c>
      <c r="Y38" t="s">
        <v>10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x14ac:dyDescent="0.25">
      <c r="A39" s="2" t="s">
        <v>0</v>
      </c>
      <c r="B39" t="s">
        <v>289</v>
      </c>
      <c r="C39" t="s">
        <v>827</v>
      </c>
      <c r="D39" s="3">
        <v>44104</v>
      </c>
      <c r="E39" s="3">
        <v>44104</v>
      </c>
      <c r="F39" s="3">
        <v>44114</v>
      </c>
      <c r="G39" t="s">
        <v>48</v>
      </c>
      <c r="H39" t="s">
        <v>4</v>
      </c>
      <c r="I39" s="4">
        <v>-282.83</v>
      </c>
      <c r="J39" t="s">
        <v>68</v>
      </c>
      <c r="K39" t="s">
        <v>6</v>
      </c>
      <c r="L39" s="4">
        <v>-23743.58</v>
      </c>
      <c r="M39" s="4">
        <v>-282.83</v>
      </c>
      <c r="N39" s="8" t="s">
        <v>4410</v>
      </c>
      <c r="O39" s="9" t="s">
        <v>4388</v>
      </c>
      <c r="P39" t="s">
        <v>816</v>
      </c>
      <c r="Q39" t="s">
        <v>816</v>
      </c>
      <c r="R39" t="s">
        <v>817</v>
      </c>
      <c r="S39" t="s">
        <v>0</v>
      </c>
      <c r="T39" t="s">
        <v>9</v>
      </c>
      <c r="U39" t="s">
        <v>295</v>
      </c>
      <c r="V39" t="s">
        <v>0</v>
      </c>
      <c r="W39" t="s">
        <v>0</v>
      </c>
      <c r="X39" t="s">
        <v>0</v>
      </c>
      <c r="Y39" t="s">
        <v>291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x14ac:dyDescent="0.25">
      <c r="A40" s="2" t="s">
        <v>0</v>
      </c>
      <c r="B40" t="s">
        <v>289</v>
      </c>
      <c r="C40" t="s">
        <v>3090</v>
      </c>
      <c r="D40" s="3">
        <v>44286</v>
      </c>
      <c r="E40" s="3">
        <v>44286</v>
      </c>
      <c r="F40" s="3">
        <v>44292</v>
      </c>
      <c r="G40" t="s">
        <v>48</v>
      </c>
      <c r="H40" t="s">
        <v>4</v>
      </c>
      <c r="I40" s="4">
        <v>-304.95</v>
      </c>
      <c r="J40" t="s">
        <v>394</v>
      </c>
      <c r="K40" t="s">
        <v>6</v>
      </c>
      <c r="L40" s="4">
        <v>-25600.55</v>
      </c>
      <c r="M40" s="4">
        <v>-304.95</v>
      </c>
      <c r="N40" s="8" t="s">
        <v>4409</v>
      </c>
      <c r="O40" s="9" t="s">
        <v>4388</v>
      </c>
      <c r="P40" t="s">
        <v>3088</v>
      </c>
      <c r="Q40" t="s">
        <v>3088</v>
      </c>
      <c r="R40" t="s">
        <v>3089</v>
      </c>
      <c r="S40" t="s">
        <v>0</v>
      </c>
      <c r="T40" t="s">
        <v>9</v>
      </c>
      <c r="U40" t="s">
        <v>1995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x14ac:dyDescent="0.25">
      <c r="A41" s="2" t="s">
        <v>0</v>
      </c>
      <c r="B41" t="s">
        <v>1</v>
      </c>
      <c r="C41" t="s">
        <v>1648</v>
      </c>
      <c r="D41" s="3">
        <v>44171</v>
      </c>
      <c r="E41" s="3">
        <v>44171</v>
      </c>
      <c r="F41" s="3">
        <v>44189</v>
      </c>
      <c r="G41" t="s">
        <v>48</v>
      </c>
      <c r="H41" t="s">
        <v>4</v>
      </c>
      <c r="I41" s="4">
        <v>-495</v>
      </c>
      <c r="J41" t="s">
        <v>5</v>
      </c>
      <c r="K41" t="s">
        <v>6</v>
      </c>
      <c r="L41" s="4">
        <v>-41555.25</v>
      </c>
      <c r="M41" s="4">
        <v>-495</v>
      </c>
      <c r="N41" s="8" t="s">
        <v>4408</v>
      </c>
      <c r="O41" s="9" t="s">
        <v>4388</v>
      </c>
      <c r="P41" t="s">
        <v>1629</v>
      </c>
      <c r="Q41" t="s">
        <v>1629</v>
      </c>
      <c r="R41" t="s">
        <v>50</v>
      </c>
      <c r="S41" t="s">
        <v>0</v>
      </c>
      <c r="T41" t="s">
        <v>9</v>
      </c>
      <c r="U41" t="s">
        <v>50</v>
      </c>
      <c r="V41" t="s">
        <v>0</v>
      </c>
      <c r="W41" t="s">
        <v>0</v>
      </c>
      <c r="X41" t="s">
        <v>0</v>
      </c>
      <c r="Y41" t="s">
        <v>10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x14ac:dyDescent="0.25">
      <c r="A42" s="2" t="s">
        <v>0</v>
      </c>
      <c r="B42" t="s">
        <v>289</v>
      </c>
      <c r="C42" t="s">
        <v>2722</v>
      </c>
      <c r="D42" s="3">
        <v>44255</v>
      </c>
      <c r="E42" s="3">
        <v>44255</v>
      </c>
      <c r="F42" s="3">
        <v>44262</v>
      </c>
      <c r="G42" t="s">
        <v>48</v>
      </c>
      <c r="H42" t="s">
        <v>4</v>
      </c>
      <c r="I42" s="4">
        <v>-1244.9000000000001</v>
      </c>
      <c r="J42" t="s">
        <v>5</v>
      </c>
      <c r="K42" t="s">
        <v>6</v>
      </c>
      <c r="L42" s="4">
        <v>-104509.36</v>
      </c>
      <c r="M42" s="4">
        <v>-1244.9000000000001</v>
      </c>
      <c r="N42" s="8" t="s">
        <v>4407</v>
      </c>
      <c r="O42" s="9" t="s">
        <v>4388</v>
      </c>
      <c r="P42" t="s">
        <v>2701</v>
      </c>
      <c r="Q42" t="s">
        <v>2701</v>
      </c>
      <c r="R42" t="s">
        <v>2002</v>
      </c>
      <c r="S42" t="s">
        <v>0</v>
      </c>
      <c r="T42" t="s">
        <v>9</v>
      </c>
      <c r="U42" t="s">
        <v>1999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x14ac:dyDescent="0.25">
      <c r="A43" s="2" t="s">
        <v>0</v>
      </c>
      <c r="B43" t="s">
        <v>1</v>
      </c>
      <c r="C43" t="s">
        <v>3789</v>
      </c>
      <c r="D43" s="3">
        <v>44344</v>
      </c>
      <c r="E43" s="3">
        <v>44344</v>
      </c>
      <c r="F43" s="3">
        <v>44344</v>
      </c>
      <c r="G43" t="s">
        <v>3</v>
      </c>
      <c r="H43" t="s">
        <v>4</v>
      </c>
      <c r="I43" s="4">
        <v>-1323.56</v>
      </c>
      <c r="J43" t="s">
        <v>5</v>
      </c>
      <c r="K43" t="s">
        <v>6</v>
      </c>
      <c r="L43" s="4">
        <v>-111112.86</v>
      </c>
      <c r="M43" s="4">
        <v>-1323.56</v>
      </c>
      <c r="N43" s="8" t="s">
        <v>4406</v>
      </c>
      <c r="O43" s="9" t="s">
        <v>4388</v>
      </c>
      <c r="P43" t="s">
        <v>3777</v>
      </c>
      <c r="Q43" t="s">
        <v>3778</v>
      </c>
      <c r="R43" t="s">
        <v>0</v>
      </c>
      <c r="S43" t="s">
        <v>0</v>
      </c>
      <c r="T43" t="s">
        <v>9</v>
      </c>
      <c r="U43" t="s">
        <v>0</v>
      </c>
      <c r="V43" t="s">
        <v>0</v>
      </c>
      <c r="W43" t="s">
        <v>0</v>
      </c>
      <c r="X43" t="s">
        <v>0</v>
      </c>
      <c r="Y43" t="s">
        <v>10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x14ac:dyDescent="0.25">
      <c r="A44" s="2" t="s">
        <v>0</v>
      </c>
      <c r="B44" t="s">
        <v>289</v>
      </c>
      <c r="C44" t="s">
        <v>2720</v>
      </c>
      <c r="D44" s="3">
        <v>44255</v>
      </c>
      <c r="E44" s="3">
        <v>44255</v>
      </c>
      <c r="F44" s="3">
        <v>44262</v>
      </c>
      <c r="G44" t="s">
        <v>48</v>
      </c>
      <c r="H44" t="s">
        <v>4</v>
      </c>
      <c r="I44" s="4">
        <v>-2393.9</v>
      </c>
      <c r="J44" t="s">
        <v>5</v>
      </c>
      <c r="K44" t="s">
        <v>6</v>
      </c>
      <c r="L44" s="4">
        <v>-200967.91</v>
      </c>
      <c r="M44" s="4">
        <v>-2393.9</v>
      </c>
      <c r="N44" s="8" t="s">
        <v>4405</v>
      </c>
      <c r="O44" s="9" t="s">
        <v>4388</v>
      </c>
      <c r="P44" t="s">
        <v>2698</v>
      </c>
      <c r="Q44" t="s">
        <v>2699</v>
      </c>
      <c r="R44" t="s">
        <v>1994</v>
      </c>
      <c r="S44" t="s">
        <v>0</v>
      </c>
      <c r="T44" t="s">
        <v>9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x14ac:dyDescent="0.25">
      <c r="A45" s="2" t="s">
        <v>0</v>
      </c>
      <c r="B45" t="s">
        <v>1</v>
      </c>
      <c r="C45" t="s">
        <v>3449</v>
      </c>
      <c r="D45" s="3">
        <v>44320</v>
      </c>
      <c r="E45" s="3">
        <v>44320</v>
      </c>
      <c r="F45" s="3">
        <v>44339</v>
      </c>
      <c r="G45" t="s">
        <v>48</v>
      </c>
      <c r="H45" t="s">
        <v>4</v>
      </c>
      <c r="I45" s="4">
        <v>-4273.5</v>
      </c>
      <c r="J45" t="s">
        <v>5</v>
      </c>
      <c r="K45" t="s">
        <v>6</v>
      </c>
      <c r="L45" s="4">
        <v>-358760.33</v>
      </c>
      <c r="M45" s="4">
        <v>-4273.5</v>
      </c>
      <c r="N45" s="8" t="s">
        <v>4404</v>
      </c>
      <c r="O45" s="9" t="s">
        <v>4388</v>
      </c>
      <c r="P45" t="s">
        <v>3404</v>
      </c>
      <c r="Q45" t="s">
        <v>3404</v>
      </c>
      <c r="R45" t="s">
        <v>3405</v>
      </c>
      <c r="S45" t="s">
        <v>0</v>
      </c>
      <c r="T45" t="s">
        <v>9</v>
      </c>
      <c r="U45" t="s">
        <v>3405</v>
      </c>
      <c r="V45" t="s">
        <v>0</v>
      </c>
      <c r="W45" t="s">
        <v>0</v>
      </c>
      <c r="X45" t="s">
        <v>0</v>
      </c>
      <c r="Y45" t="s">
        <v>10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x14ac:dyDescent="0.25">
      <c r="A46" s="2" t="s">
        <v>0</v>
      </c>
      <c r="B46" t="s">
        <v>1</v>
      </c>
      <c r="C46" t="s">
        <v>3558</v>
      </c>
      <c r="D46" s="3">
        <v>44325</v>
      </c>
      <c r="E46" s="3">
        <v>44325</v>
      </c>
      <c r="F46" s="3">
        <v>44331</v>
      </c>
      <c r="G46" t="s">
        <v>3</v>
      </c>
      <c r="H46" t="s">
        <v>4</v>
      </c>
      <c r="I46" s="4">
        <v>-17842.22</v>
      </c>
      <c r="J46" t="s">
        <v>5</v>
      </c>
      <c r="K46" t="s">
        <v>6</v>
      </c>
      <c r="L46" s="4">
        <v>-1497854.37</v>
      </c>
      <c r="M46" s="4">
        <v>-17842.22</v>
      </c>
      <c r="N46" s="8" t="s">
        <v>4403</v>
      </c>
      <c r="O46" s="9" t="s">
        <v>4388</v>
      </c>
      <c r="P46" t="s">
        <v>3556</v>
      </c>
      <c r="Q46" t="s">
        <v>3557</v>
      </c>
      <c r="R46" t="s">
        <v>0</v>
      </c>
      <c r="S46" t="s">
        <v>0</v>
      </c>
      <c r="T46" t="s">
        <v>9</v>
      </c>
      <c r="U46" t="s">
        <v>0</v>
      </c>
      <c r="V46" t="s">
        <v>0</v>
      </c>
      <c r="W46" t="s">
        <v>0</v>
      </c>
      <c r="X46" t="s">
        <v>0</v>
      </c>
      <c r="Y46" t="s">
        <v>10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x14ac:dyDescent="0.25">
      <c r="A47" s="2" t="s">
        <v>0</v>
      </c>
      <c r="B47" t="s">
        <v>289</v>
      </c>
      <c r="C47" t="s">
        <v>3332</v>
      </c>
      <c r="D47" s="3">
        <v>44316</v>
      </c>
      <c r="E47" s="3">
        <v>44316</v>
      </c>
      <c r="F47" s="3">
        <v>44324</v>
      </c>
      <c r="G47" t="s">
        <v>270</v>
      </c>
      <c r="H47" t="s">
        <v>4</v>
      </c>
      <c r="I47" s="4">
        <v>-37880.629999999997</v>
      </c>
      <c r="J47" t="s">
        <v>5</v>
      </c>
      <c r="K47" t="s">
        <v>6</v>
      </c>
      <c r="L47" s="4">
        <v>-3180078.89</v>
      </c>
      <c r="M47" s="4">
        <v>-37880.629999999997</v>
      </c>
      <c r="N47" s="8" t="s">
        <v>4402</v>
      </c>
      <c r="O47" s="9" t="s">
        <v>4388</v>
      </c>
      <c r="P47" t="s">
        <v>3333</v>
      </c>
      <c r="Q47" t="s">
        <v>3334</v>
      </c>
      <c r="R47" t="s">
        <v>3346</v>
      </c>
      <c r="S47" t="s">
        <v>0</v>
      </c>
      <c r="T47" t="s">
        <v>9</v>
      </c>
      <c r="U47" t="s">
        <v>3336</v>
      </c>
      <c r="V47" t="s">
        <v>0</v>
      </c>
      <c r="W47" t="s">
        <v>0</v>
      </c>
      <c r="X47" t="s">
        <v>0</v>
      </c>
      <c r="Y47" t="s">
        <v>291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x14ac:dyDescent="0.25">
      <c r="A48" s="2" t="s">
        <v>0</v>
      </c>
      <c r="B48" t="s">
        <v>289</v>
      </c>
      <c r="C48" t="s">
        <v>3083</v>
      </c>
      <c r="D48" s="3">
        <v>44286</v>
      </c>
      <c r="E48" s="3">
        <v>44286</v>
      </c>
      <c r="F48" s="3">
        <v>44293</v>
      </c>
      <c r="G48" t="s">
        <v>270</v>
      </c>
      <c r="H48" t="s">
        <v>4</v>
      </c>
      <c r="I48" s="4">
        <v>-40622.68</v>
      </c>
      <c r="J48" t="s">
        <v>5</v>
      </c>
      <c r="K48" t="s">
        <v>6</v>
      </c>
      <c r="L48" s="4">
        <v>-3410273.99</v>
      </c>
      <c r="M48" s="4">
        <v>-40622.68</v>
      </c>
      <c r="N48" s="8" t="s">
        <v>4401</v>
      </c>
      <c r="O48" s="9" t="s">
        <v>4388</v>
      </c>
      <c r="P48" t="s">
        <v>3084</v>
      </c>
      <c r="Q48" t="s">
        <v>3085</v>
      </c>
      <c r="R48" t="s">
        <v>3086</v>
      </c>
      <c r="S48" t="s">
        <v>0</v>
      </c>
      <c r="T48" t="s">
        <v>9</v>
      </c>
      <c r="U48" t="s">
        <v>3086</v>
      </c>
      <c r="V48" t="s">
        <v>0</v>
      </c>
      <c r="W48" t="s">
        <v>0</v>
      </c>
      <c r="X48" t="s">
        <v>0</v>
      </c>
      <c r="Y48" t="s">
        <v>291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x14ac:dyDescent="0.25">
      <c r="A49" s="2" t="s">
        <v>0</v>
      </c>
      <c r="B49" t="s">
        <v>1</v>
      </c>
      <c r="C49" t="s">
        <v>3899</v>
      </c>
      <c r="D49" s="3">
        <v>44353</v>
      </c>
      <c r="E49" s="3">
        <v>44353</v>
      </c>
      <c r="F49" s="3">
        <v>44363</v>
      </c>
      <c r="G49" t="s">
        <v>3</v>
      </c>
      <c r="H49" t="s">
        <v>4</v>
      </c>
      <c r="I49" s="4">
        <v>-44567.51</v>
      </c>
      <c r="J49" t="s">
        <v>5</v>
      </c>
      <c r="K49" t="s">
        <v>6</v>
      </c>
      <c r="L49" s="4">
        <v>-3741442.47</v>
      </c>
      <c r="M49" s="4">
        <v>-44567.51</v>
      </c>
      <c r="N49" s="8" t="s">
        <v>4400</v>
      </c>
      <c r="O49" s="9" t="s">
        <v>4388</v>
      </c>
      <c r="P49" t="s">
        <v>3900</v>
      </c>
      <c r="Q49" t="s">
        <v>3886</v>
      </c>
      <c r="R49" t="s">
        <v>0</v>
      </c>
      <c r="S49" t="s">
        <v>0</v>
      </c>
      <c r="T49" t="s">
        <v>9</v>
      </c>
      <c r="U49" t="s">
        <v>0</v>
      </c>
      <c r="V49" t="s">
        <v>0</v>
      </c>
      <c r="W49" t="s">
        <v>0</v>
      </c>
      <c r="X49" t="s">
        <v>0</v>
      </c>
      <c r="Y49" t="s">
        <v>10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x14ac:dyDescent="0.25">
      <c r="A50" s="2" t="s">
        <v>0</v>
      </c>
      <c r="B50" t="s">
        <v>1</v>
      </c>
      <c r="C50" t="s">
        <v>3899</v>
      </c>
      <c r="D50" s="3">
        <v>44353</v>
      </c>
      <c r="E50" s="3">
        <v>44353</v>
      </c>
      <c r="F50" s="3">
        <v>44363</v>
      </c>
      <c r="G50" t="s">
        <v>3</v>
      </c>
      <c r="H50" t="s">
        <v>4</v>
      </c>
      <c r="I50" s="4">
        <v>-44969.31</v>
      </c>
      <c r="J50" t="s">
        <v>5</v>
      </c>
      <c r="K50" t="s">
        <v>6</v>
      </c>
      <c r="L50" s="4">
        <v>-3775173.57</v>
      </c>
      <c r="M50" s="4">
        <v>-44969.31</v>
      </c>
      <c r="N50" s="8" t="s">
        <v>4399</v>
      </c>
      <c r="O50" s="9" t="s">
        <v>4388</v>
      </c>
      <c r="P50" t="s">
        <v>3900</v>
      </c>
      <c r="Q50" t="s">
        <v>3886</v>
      </c>
      <c r="R50" t="s">
        <v>0</v>
      </c>
      <c r="S50" t="s">
        <v>0</v>
      </c>
      <c r="T50" t="s">
        <v>9</v>
      </c>
      <c r="U50" t="s">
        <v>0</v>
      </c>
      <c r="V50" t="s">
        <v>0</v>
      </c>
      <c r="W50" t="s">
        <v>0</v>
      </c>
      <c r="X50" t="s">
        <v>0</v>
      </c>
      <c r="Y50" t="s">
        <v>10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x14ac:dyDescent="0.25">
      <c r="A51" s="2" t="s">
        <v>0</v>
      </c>
      <c r="B51" t="s">
        <v>289</v>
      </c>
      <c r="C51" t="s">
        <v>2690</v>
      </c>
      <c r="D51" s="3">
        <v>44255</v>
      </c>
      <c r="E51" s="3">
        <v>44255</v>
      </c>
      <c r="F51" s="3">
        <v>44264</v>
      </c>
      <c r="G51" t="s">
        <v>270</v>
      </c>
      <c r="H51" t="s">
        <v>4</v>
      </c>
      <c r="I51" s="4">
        <v>-47003.360000000001</v>
      </c>
      <c r="J51" t="s">
        <v>5</v>
      </c>
      <c r="K51" t="s">
        <v>6</v>
      </c>
      <c r="L51" s="4">
        <v>-3945932.07</v>
      </c>
      <c r="M51" s="4">
        <v>-47003.360000000001</v>
      </c>
      <c r="N51" s="8" t="s">
        <v>4398</v>
      </c>
      <c r="O51" s="9" t="s">
        <v>4388</v>
      </c>
      <c r="P51" t="s">
        <v>271</v>
      </c>
      <c r="Q51" t="s">
        <v>2691</v>
      </c>
      <c r="R51" t="s">
        <v>2691</v>
      </c>
      <c r="S51" t="s">
        <v>0</v>
      </c>
      <c r="T51" t="s">
        <v>9</v>
      </c>
      <c r="U51" t="s">
        <v>2693</v>
      </c>
      <c r="V51" t="s">
        <v>0</v>
      </c>
      <c r="W51" t="s">
        <v>0</v>
      </c>
      <c r="X51" t="s">
        <v>0</v>
      </c>
      <c r="Y51" t="s">
        <v>291</v>
      </c>
      <c r="Z51" t="s">
        <v>0</v>
      </c>
      <c r="AA51" s="3"/>
      <c r="AB51" t="s">
        <v>0</v>
      </c>
      <c r="AC51" t="s">
        <v>0</v>
      </c>
      <c r="AD51" t="s">
        <v>0</v>
      </c>
      <c r="AE51" s="4">
        <v>0</v>
      </c>
    </row>
    <row r="52" spans="1:31" x14ac:dyDescent="0.25">
      <c r="A52" s="2" t="s">
        <v>0</v>
      </c>
      <c r="B52" t="s">
        <v>289</v>
      </c>
      <c r="C52" t="s">
        <v>3817</v>
      </c>
      <c r="D52" s="3">
        <v>44347</v>
      </c>
      <c r="E52" s="3">
        <v>44347</v>
      </c>
      <c r="F52" s="3">
        <v>44359</v>
      </c>
      <c r="G52" t="s">
        <v>270</v>
      </c>
      <c r="H52" t="s">
        <v>4</v>
      </c>
      <c r="I52" s="4">
        <v>-70088.88</v>
      </c>
      <c r="J52" t="s">
        <v>5</v>
      </c>
      <c r="K52" t="s">
        <v>6</v>
      </c>
      <c r="L52" s="4">
        <v>-5883961.4800000004</v>
      </c>
      <c r="M52" s="4">
        <v>-70088.88</v>
      </c>
      <c r="N52" s="8" t="s">
        <v>4397</v>
      </c>
      <c r="O52" s="9" t="s">
        <v>4388</v>
      </c>
      <c r="P52" t="s">
        <v>3818</v>
      </c>
      <c r="Q52" t="s">
        <v>3819</v>
      </c>
      <c r="R52" t="s">
        <v>3820</v>
      </c>
      <c r="S52" t="s">
        <v>0</v>
      </c>
      <c r="T52" t="s">
        <v>9</v>
      </c>
      <c r="U52" t="s">
        <v>3821</v>
      </c>
      <c r="V52" t="s">
        <v>0</v>
      </c>
      <c r="W52" t="s">
        <v>0</v>
      </c>
      <c r="X52" t="s">
        <v>0</v>
      </c>
      <c r="Y52" t="s">
        <v>291</v>
      </c>
      <c r="Z52" t="s">
        <v>0</v>
      </c>
      <c r="AA52" s="3"/>
      <c r="AB52" t="s">
        <v>0</v>
      </c>
      <c r="AC52" t="s">
        <v>0</v>
      </c>
      <c r="AD52" t="s">
        <v>0</v>
      </c>
      <c r="AE52" s="4">
        <v>0</v>
      </c>
    </row>
    <row r="53" spans="1:31" x14ac:dyDescent="0.25">
      <c r="A53" s="2" t="s">
        <v>0</v>
      </c>
      <c r="B53" t="s">
        <v>289</v>
      </c>
      <c r="C53" t="s">
        <v>2371</v>
      </c>
      <c r="D53" s="3">
        <v>44227</v>
      </c>
      <c r="E53" s="3">
        <v>44227</v>
      </c>
      <c r="F53" s="3">
        <v>44235</v>
      </c>
      <c r="G53" t="s">
        <v>270</v>
      </c>
      <c r="H53" t="s">
        <v>4</v>
      </c>
      <c r="I53" s="4">
        <v>-76783.5</v>
      </c>
      <c r="J53" t="s">
        <v>5</v>
      </c>
      <c r="K53" t="s">
        <v>6</v>
      </c>
      <c r="L53" s="4">
        <v>-6445974.8300000001</v>
      </c>
      <c r="M53" s="4">
        <v>-76783.5</v>
      </c>
      <c r="N53" s="8" t="s">
        <v>4396</v>
      </c>
      <c r="O53" s="9" t="s">
        <v>4388</v>
      </c>
      <c r="P53" t="s">
        <v>271</v>
      </c>
      <c r="Q53" t="s">
        <v>2372</v>
      </c>
      <c r="R53" t="s">
        <v>2372</v>
      </c>
      <c r="S53" t="s">
        <v>0</v>
      </c>
      <c r="T53" t="s">
        <v>9</v>
      </c>
      <c r="U53" t="s">
        <v>2373</v>
      </c>
      <c r="V53" t="s">
        <v>0</v>
      </c>
      <c r="W53" t="s">
        <v>0</v>
      </c>
      <c r="X53" t="s">
        <v>0</v>
      </c>
      <c r="Y53" t="s">
        <v>291</v>
      </c>
      <c r="Z53" t="s">
        <v>0</v>
      </c>
      <c r="AA53" s="3"/>
      <c r="AB53" t="s">
        <v>0</v>
      </c>
      <c r="AC53" t="s">
        <v>0</v>
      </c>
      <c r="AD53" t="s">
        <v>0</v>
      </c>
      <c r="AE53" s="4">
        <v>0</v>
      </c>
    </row>
    <row r="54" spans="1:31" x14ac:dyDescent="0.25">
      <c r="A54" s="2" t="s">
        <v>0</v>
      </c>
      <c r="B54" t="s">
        <v>289</v>
      </c>
      <c r="C54" t="s">
        <v>534</v>
      </c>
      <c r="D54" s="3">
        <v>44074</v>
      </c>
      <c r="E54" s="3">
        <v>44074</v>
      </c>
      <c r="F54" s="3">
        <v>44086</v>
      </c>
      <c r="G54" t="s">
        <v>270</v>
      </c>
      <c r="H54" t="s">
        <v>4</v>
      </c>
      <c r="I54" s="4">
        <v>-77016.92</v>
      </c>
      <c r="J54" t="s">
        <v>5</v>
      </c>
      <c r="K54" t="s">
        <v>6</v>
      </c>
      <c r="L54" s="4">
        <v>-6465570.4299999997</v>
      </c>
      <c r="M54" s="4">
        <v>-77016.92</v>
      </c>
      <c r="N54" s="8" t="s">
        <v>4395</v>
      </c>
      <c r="O54" s="9" t="s">
        <v>4388</v>
      </c>
      <c r="P54" t="s">
        <v>271</v>
      </c>
      <c r="Q54" t="s">
        <v>535</v>
      </c>
      <c r="R54" t="s">
        <v>535</v>
      </c>
      <c r="S54" t="s">
        <v>0</v>
      </c>
      <c r="T54" t="s">
        <v>9</v>
      </c>
      <c r="U54" t="s">
        <v>536</v>
      </c>
      <c r="V54" t="s">
        <v>0</v>
      </c>
      <c r="W54" t="s">
        <v>0</v>
      </c>
      <c r="X54" t="s">
        <v>0</v>
      </c>
      <c r="Y54" t="s">
        <v>291</v>
      </c>
      <c r="Z54" t="s">
        <v>0</v>
      </c>
      <c r="AA54" s="3"/>
      <c r="AB54" t="s">
        <v>0</v>
      </c>
      <c r="AC54" t="s">
        <v>0</v>
      </c>
      <c r="AD54" t="s">
        <v>0</v>
      </c>
      <c r="AE54" s="4">
        <v>0</v>
      </c>
    </row>
    <row r="55" spans="1:31" x14ac:dyDescent="0.25">
      <c r="A55" s="2" t="s">
        <v>0</v>
      </c>
      <c r="B55" t="s">
        <v>289</v>
      </c>
      <c r="C55" t="s">
        <v>4377</v>
      </c>
      <c r="D55" s="3">
        <v>44377</v>
      </c>
      <c r="E55" s="3">
        <v>44377</v>
      </c>
      <c r="F55" s="3">
        <v>44385</v>
      </c>
      <c r="G55" t="s">
        <v>270</v>
      </c>
      <c r="H55" t="s">
        <v>4</v>
      </c>
      <c r="I55" s="4">
        <v>-83284.13</v>
      </c>
      <c r="J55" t="s">
        <v>5</v>
      </c>
      <c r="K55" t="s">
        <v>6</v>
      </c>
      <c r="L55" s="4">
        <v>-6991702.71</v>
      </c>
      <c r="M55" s="4">
        <v>-83284.13</v>
      </c>
      <c r="N55" s="8" t="s">
        <v>4394</v>
      </c>
      <c r="O55" s="9" t="s">
        <v>4388</v>
      </c>
      <c r="P55" t="s">
        <v>4378</v>
      </c>
      <c r="Q55" t="s">
        <v>4379</v>
      </c>
      <c r="R55" t="s">
        <v>4380</v>
      </c>
      <c r="S55" t="s">
        <v>0</v>
      </c>
      <c r="T55" t="s">
        <v>9</v>
      </c>
      <c r="U55" t="s">
        <v>4381</v>
      </c>
      <c r="V55" t="s">
        <v>0</v>
      </c>
      <c r="W55" t="s">
        <v>0</v>
      </c>
      <c r="X55" t="s">
        <v>0</v>
      </c>
      <c r="Y55" t="s">
        <v>291</v>
      </c>
      <c r="Z55" t="s">
        <v>0</v>
      </c>
      <c r="AA55" s="3"/>
      <c r="AB55" t="s">
        <v>0</v>
      </c>
      <c r="AC55" t="s">
        <v>0</v>
      </c>
      <c r="AD55" t="s">
        <v>0</v>
      </c>
      <c r="AE55" s="4">
        <v>0</v>
      </c>
    </row>
    <row r="56" spans="1:31" x14ac:dyDescent="0.25">
      <c r="A56" s="2" t="s">
        <v>0</v>
      </c>
      <c r="B56" t="s">
        <v>289</v>
      </c>
      <c r="C56" t="s">
        <v>269</v>
      </c>
      <c r="D56" s="3">
        <v>44042</v>
      </c>
      <c r="E56" s="3">
        <v>44042</v>
      </c>
      <c r="F56" s="3">
        <v>44057</v>
      </c>
      <c r="G56" t="s">
        <v>270</v>
      </c>
      <c r="H56" t="s">
        <v>4</v>
      </c>
      <c r="I56" s="4">
        <v>-93379.3</v>
      </c>
      <c r="J56" t="s">
        <v>5</v>
      </c>
      <c r="K56" t="s">
        <v>6</v>
      </c>
      <c r="L56" s="4">
        <v>-7839192.2400000002</v>
      </c>
      <c r="M56" s="4">
        <v>-93379.3</v>
      </c>
      <c r="N56" s="8" t="s">
        <v>4393</v>
      </c>
      <c r="O56" s="9" t="s">
        <v>4388</v>
      </c>
      <c r="P56" t="s">
        <v>271</v>
      </c>
      <c r="Q56" t="s">
        <v>272</v>
      </c>
      <c r="R56" t="s">
        <v>290</v>
      </c>
      <c r="S56" t="s">
        <v>0</v>
      </c>
      <c r="T56" t="s">
        <v>9</v>
      </c>
      <c r="U56" t="s">
        <v>274</v>
      </c>
      <c r="V56" t="s">
        <v>0</v>
      </c>
      <c r="W56" t="s">
        <v>0</v>
      </c>
      <c r="X56" t="s">
        <v>0</v>
      </c>
      <c r="Y56" t="s">
        <v>291</v>
      </c>
      <c r="Z56" t="s">
        <v>0</v>
      </c>
      <c r="AA56" s="3"/>
      <c r="AB56" t="s">
        <v>0</v>
      </c>
      <c r="AC56" t="s">
        <v>0</v>
      </c>
      <c r="AD56" t="s">
        <v>0</v>
      </c>
      <c r="AE56" s="4">
        <v>0</v>
      </c>
    </row>
    <row r="57" spans="1:31" x14ac:dyDescent="0.25">
      <c r="A57" s="2" t="s">
        <v>0</v>
      </c>
      <c r="B57" t="s">
        <v>289</v>
      </c>
      <c r="C57" t="s">
        <v>807</v>
      </c>
      <c r="D57" s="3">
        <v>44104</v>
      </c>
      <c r="E57" s="3">
        <v>44104</v>
      </c>
      <c r="F57" s="3">
        <v>44119</v>
      </c>
      <c r="G57" t="s">
        <v>270</v>
      </c>
      <c r="H57" t="s">
        <v>4</v>
      </c>
      <c r="I57" s="4">
        <v>-101863</v>
      </c>
      <c r="J57" t="s">
        <v>5</v>
      </c>
      <c r="K57" t="s">
        <v>6</v>
      </c>
      <c r="L57" s="4">
        <v>-8551398.8499999996</v>
      </c>
      <c r="M57" s="4">
        <v>-101863</v>
      </c>
      <c r="N57" s="8" t="s">
        <v>4392</v>
      </c>
      <c r="O57" s="9" t="s">
        <v>4388</v>
      </c>
      <c r="P57" t="s">
        <v>271</v>
      </c>
      <c r="Q57" t="s">
        <v>808</v>
      </c>
      <c r="R57" t="s">
        <v>808</v>
      </c>
      <c r="S57" t="s">
        <v>0</v>
      </c>
      <c r="T57" t="s">
        <v>9</v>
      </c>
      <c r="U57" t="s">
        <v>809</v>
      </c>
      <c r="V57" t="s">
        <v>0</v>
      </c>
      <c r="W57" t="s">
        <v>0</v>
      </c>
      <c r="X57" t="s">
        <v>0</v>
      </c>
      <c r="Y57" t="s">
        <v>291</v>
      </c>
      <c r="Z57" t="s">
        <v>0</v>
      </c>
      <c r="AA57" s="3"/>
      <c r="AB57" t="s">
        <v>0</v>
      </c>
      <c r="AC57" t="s">
        <v>0</v>
      </c>
      <c r="AD57" t="s">
        <v>0</v>
      </c>
      <c r="AE57" s="4">
        <v>0</v>
      </c>
    </row>
    <row r="58" spans="1:31" x14ac:dyDescent="0.25">
      <c r="A58" s="2" t="s">
        <v>0</v>
      </c>
      <c r="B58" t="s">
        <v>289</v>
      </c>
      <c r="C58" t="s">
        <v>1971</v>
      </c>
      <c r="D58" s="3">
        <v>44196</v>
      </c>
      <c r="E58" s="3">
        <v>44196</v>
      </c>
      <c r="F58" s="3">
        <v>44209</v>
      </c>
      <c r="G58" t="s">
        <v>270</v>
      </c>
      <c r="H58" t="s">
        <v>4</v>
      </c>
      <c r="I58" s="4">
        <v>-107868</v>
      </c>
      <c r="J58" t="s">
        <v>5</v>
      </c>
      <c r="K58" t="s">
        <v>6</v>
      </c>
      <c r="L58" s="4">
        <v>-9055518.5999999996</v>
      </c>
      <c r="M58" s="4">
        <v>-107868</v>
      </c>
      <c r="N58" s="8" t="s">
        <v>4391</v>
      </c>
      <c r="O58" s="9" t="s">
        <v>4388</v>
      </c>
      <c r="P58" t="s">
        <v>271</v>
      </c>
      <c r="Q58" t="s">
        <v>1991</v>
      </c>
      <c r="R58" t="s">
        <v>1973</v>
      </c>
      <c r="S58" t="s">
        <v>0</v>
      </c>
      <c r="T58" t="s">
        <v>9</v>
      </c>
      <c r="U58" t="s">
        <v>1973</v>
      </c>
      <c r="V58" t="s">
        <v>0</v>
      </c>
      <c r="W58" t="s">
        <v>0</v>
      </c>
      <c r="X58" t="s">
        <v>0</v>
      </c>
      <c r="Y58" t="s">
        <v>291</v>
      </c>
      <c r="Z58" t="s">
        <v>0</v>
      </c>
      <c r="AA58" s="3"/>
      <c r="AB58" t="s">
        <v>0</v>
      </c>
      <c r="AC58" t="s">
        <v>0</v>
      </c>
      <c r="AD58" t="s">
        <v>0</v>
      </c>
      <c r="AE58" s="4">
        <v>0</v>
      </c>
    </row>
    <row r="59" spans="1:31" x14ac:dyDescent="0.25">
      <c r="A59" s="2" t="s">
        <v>0</v>
      </c>
      <c r="B59" t="s">
        <v>289</v>
      </c>
      <c r="C59" t="s">
        <v>1537</v>
      </c>
      <c r="D59" s="3">
        <v>44165</v>
      </c>
      <c r="E59" s="3">
        <v>44165</v>
      </c>
      <c r="F59" s="3">
        <v>44175</v>
      </c>
      <c r="G59" t="s">
        <v>270</v>
      </c>
      <c r="H59" t="s">
        <v>4</v>
      </c>
      <c r="I59" s="4">
        <v>-141680</v>
      </c>
      <c r="J59" t="s">
        <v>5</v>
      </c>
      <c r="K59" t="s">
        <v>6</v>
      </c>
      <c r="L59" s="4">
        <v>-11894036</v>
      </c>
      <c r="M59" s="4">
        <v>-141680</v>
      </c>
      <c r="N59" s="8" t="s">
        <v>4390</v>
      </c>
      <c r="O59" s="9" t="s">
        <v>4388</v>
      </c>
      <c r="P59" t="s">
        <v>271</v>
      </c>
      <c r="Q59" t="s">
        <v>1538</v>
      </c>
      <c r="R59" t="s">
        <v>1538</v>
      </c>
      <c r="S59" t="s">
        <v>0</v>
      </c>
      <c r="T59" t="s">
        <v>9</v>
      </c>
      <c r="U59" t="s">
        <v>1538</v>
      </c>
      <c r="V59" t="s">
        <v>0</v>
      </c>
      <c r="W59" t="s">
        <v>0</v>
      </c>
      <c r="X59" t="s">
        <v>0</v>
      </c>
      <c r="Y59" t="s">
        <v>291</v>
      </c>
      <c r="Z59" t="s">
        <v>0</v>
      </c>
      <c r="AA59" s="3"/>
      <c r="AB59" t="s">
        <v>0</v>
      </c>
      <c r="AC59" t="s">
        <v>0</v>
      </c>
      <c r="AD59" t="s">
        <v>0</v>
      </c>
      <c r="AE59" s="4">
        <v>0</v>
      </c>
    </row>
    <row r="60" spans="1:31" x14ac:dyDescent="0.25">
      <c r="A60" s="2" t="s">
        <v>0</v>
      </c>
      <c r="B60" t="s">
        <v>289</v>
      </c>
      <c r="C60" t="s">
        <v>1079</v>
      </c>
      <c r="D60" s="3">
        <v>44135</v>
      </c>
      <c r="E60" s="3">
        <v>44135</v>
      </c>
      <c r="F60" s="3">
        <v>44143</v>
      </c>
      <c r="G60" t="s">
        <v>270</v>
      </c>
      <c r="H60" t="s">
        <v>4</v>
      </c>
      <c r="I60" s="4">
        <v>-156670</v>
      </c>
      <c r="J60" t="s">
        <v>5</v>
      </c>
      <c r="K60" t="s">
        <v>6</v>
      </c>
      <c r="L60" s="4">
        <v>-13152446.5</v>
      </c>
      <c r="M60" s="4">
        <v>-156670</v>
      </c>
      <c r="N60" s="8" t="s">
        <v>4389</v>
      </c>
      <c r="O60" s="9" t="s">
        <v>4388</v>
      </c>
      <c r="P60" t="s">
        <v>271</v>
      </c>
      <c r="Q60" t="s">
        <v>1080</v>
      </c>
      <c r="R60" t="s">
        <v>1080</v>
      </c>
      <c r="S60" t="s">
        <v>0</v>
      </c>
      <c r="T60" t="s">
        <v>9</v>
      </c>
      <c r="U60" t="s">
        <v>1080</v>
      </c>
      <c r="V60" t="s">
        <v>0</v>
      </c>
      <c r="W60" t="s">
        <v>0</v>
      </c>
      <c r="X60" t="s">
        <v>0</v>
      </c>
      <c r="Y60" t="s">
        <v>291</v>
      </c>
      <c r="Z60" t="s">
        <v>0</v>
      </c>
      <c r="AA60" s="3"/>
      <c r="AB60" t="s">
        <v>0</v>
      </c>
      <c r="AC60" t="s">
        <v>0</v>
      </c>
      <c r="AD60" t="s">
        <v>0</v>
      </c>
      <c r="AE60" s="4">
        <v>0</v>
      </c>
    </row>
    <row r="61" spans="1:31" x14ac:dyDescent="0.25">
      <c r="A61" s="2" t="s">
        <v>0</v>
      </c>
      <c r="B61" t="s">
        <v>1</v>
      </c>
      <c r="C61" t="s">
        <v>285</v>
      </c>
      <c r="D61" s="3">
        <v>44042</v>
      </c>
      <c r="E61" s="3">
        <v>44042</v>
      </c>
      <c r="F61" s="3">
        <v>44053</v>
      </c>
      <c r="G61" t="s">
        <v>3</v>
      </c>
      <c r="H61" t="s">
        <v>4</v>
      </c>
      <c r="I61" s="4">
        <v>-325632.73</v>
      </c>
      <c r="J61" t="s">
        <v>5</v>
      </c>
      <c r="K61" t="s">
        <v>6</v>
      </c>
      <c r="L61" s="4">
        <v>-27336867.68</v>
      </c>
      <c r="M61" s="4">
        <v>-325632.73</v>
      </c>
      <c r="N61" s="8" t="s">
        <v>4387</v>
      </c>
      <c r="O61" s="9" t="s">
        <v>4388</v>
      </c>
      <c r="P61" t="s">
        <v>267</v>
      </c>
      <c r="Q61" t="s">
        <v>268</v>
      </c>
      <c r="R61" t="s">
        <v>0</v>
      </c>
      <c r="S61" t="s">
        <v>0</v>
      </c>
      <c r="T61" t="s">
        <v>9</v>
      </c>
      <c r="U61" t="s">
        <v>0</v>
      </c>
      <c r="V61" t="s">
        <v>0</v>
      </c>
      <c r="W61" t="s">
        <v>0</v>
      </c>
      <c r="X61" t="s">
        <v>0</v>
      </c>
      <c r="Y61" t="s">
        <v>10</v>
      </c>
      <c r="Z61" t="s">
        <v>0</v>
      </c>
      <c r="AA61" s="3"/>
      <c r="AB61" t="s">
        <v>0</v>
      </c>
      <c r="AC61" t="s">
        <v>0</v>
      </c>
      <c r="AD61" t="s">
        <v>0</v>
      </c>
      <c r="AE61" s="4">
        <v>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59938A-410F-4D12-8CBF-7099699E8FB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F5BEB4-9008-4766-9F8C-FBCB573B43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6C90D9-7341-481A-BC32-263E5051CC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c337d5-e798-4fe7-92a8-e5522ccd74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ES 110-Total Population</vt:lpstr>
      <vt:lpstr>July 2021(7 days) Population</vt:lpstr>
      <vt:lpstr>Reversal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2022-09-04T14:40:12Z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2021-09-04T06:40:33Z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700f2eb5-4640-404d-98da-05fca4d471de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0x010100F52FB8054E7BC343824610924DACAD55</vt:lpwstr>
  </property>
</Properties>
</file>